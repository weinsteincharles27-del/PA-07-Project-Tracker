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 average of the 2018 and 2022 midterm Democratic shares in today’s district (rows 10 and 12). Type any share to override.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how far 2024 votes cast were from the same rule (votes = last same-type election, 2020) in the backtest.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how far 2024 votes cast were from the same rule (votes = last same-type election, 2020) in the backtest.</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how far 2024 votes cast were from the same rule (votes = last same-type election, 2020) in the backtest.</t>
        </r>
      </text>
    </comment>
  </commentList>
</comments>
</file>

<file path=xl/sharedStrings.xml><?xml version="1.0" encoding="utf-8"?>
<sst xmlns="http://schemas.openxmlformats.org/spreadsheetml/2006/main" count="9724" uniqueCount="691">
  <si>
    <t xml:space="preserve">PA-07 2026 House Forecast — Precinct Level: three forecasts compared</t>
  </si>
  <si>
    <t xml:space="preserve">Candidates: Brooks | Mackenzie   |   Change the yellow cell to set the district-wide Brooks share; all three forecasts and their district totals update.</t>
  </si>
  <si>
    <t xml:space="preserve">Forecasts A, B and C use different SHAP-based weightings of the same random-forest inputs (see How Forecasts Are Weighted). Error terms come from each forecast’s own 2024 backtest.</t>
  </si>
  <si>
    <t xml:space="preserve">SCENARIO</t>
  </si>
  <si>
    <t xml:space="preserve">District-wide Brooks share of the two-party vote (input)</t>
  </si>
  <si>
    <t xml:space="preserve">← default: average of the 2018 and 2022 midterms in today’s district</t>
  </si>
  <si>
    <t xml:space="preserve">Past House results in today’s district</t>
  </si>
  <si>
    <t xml:space="preserve">Democratic share</t>
  </si>
  <si>
    <t xml:space="preserve">Democratic votes</t>
  </si>
  <si>
    <t xml:space="preserve">Republican votes</t>
  </si>
  <si>
    <t xml:space="preserve">(certified precinct returns; Carbon and Polk 2018/2020 excluded — they voted in PA-09/PA-08)</t>
  </si>
  <si>
    <t xml:space="preserve">2018 General</t>
  </si>
  <si>
    <t xml:space="preserve">2020 General</t>
  </si>
  <si>
    <t xml:space="preserve">2022 General</t>
  </si>
  <si>
    <t xml:space="preserve">2024 General</t>
  </si>
  <si>
    <t xml:space="preserve">DISTRICT TOTALS BY FORECAST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</si>
  <si>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</si>
  <si>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</si>
  <si>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</si>
  <si>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</si>
  <si>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</si>
  <si>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</si>
  <si>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 pts)</t>
  </si>
  <si>
    <t xml:space="preserve">Brooks share range</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</si>
  <si>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</si>
  <si>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</si>
  <si>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</si>
  <si>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</si>
  <si>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</si>
  <si>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</si>
  <si>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</si>
  <si>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ERROR TERMS — 2024 BACKTEST OF EACH FORECAST</t>
  </si>
  <si>
    <t xml:space="preserve">Rows scored</t>
  </si>
  <si>
    <t xml:space="preserve">Avg miss per row, Dem share (pts)</t>
  </si>
  <si>
    <t xml:space="preserve">RMS miss per row, Dem share (pts)</t>
  </si>
  <si>
    <t xml:space="preserve">District-wide miss (pts)</t>
  </si>
  <si>
    <t xml:space="preserve">Pattern RMS miss (pts)</t>
  </si>
  <si>
    <t xml:space="preserve">Total votes cast miss</t>
  </si>
  <si>
    <t xml:space="preserve">Avg miss per row, Dem votes</t>
  </si>
  <si>
    <t xml:space="preserve">Rows within 3 pts</t>
  </si>
  <si>
    <t xml:space="preserve">District-wide miss is the same for all three because it comes from the level rule (last same-type election), not the forests. The pattern miss is what separates the forecasts; it sets each row’s error term.</t>
  </si>
  <si>
    <t xml:space="preserve">PRECINCT COMPARISON (Brooks share by forecast, live)</t>
  </si>
  <si>
    <t xml:space="preserve">County</t>
  </si>
  <si>
    <t xml:space="preserve">Municipality</t>
  </si>
  <si>
    <t xml:space="preserve">Precinct</t>
  </si>
  <si>
    <t xml:space="preserve">Spread (max − min, pts)</t>
  </si>
  <si>
    <t xml:space="preserve">Error term A (± pts)</t>
  </si>
  <si>
    <t xml:space="preserve">Error term B (± pts)</t>
  </si>
  <si>
    <t xml:space="preserve">Error term C (± pts)</t>
  </si>
  <si>
    <t xml:space="preserve">Projected votes (A)</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</si>
  <si>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</si>
  <si>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</si>
  <si>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</si>
  <si>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Brooks and Mackenzie votes are formulas: 2022 House votes cast × forecast Brooks share (turnout held at 2022 levels). Change the district scenario on the Scenario &amp; Comparison tab. Error terms come from this forecast’s 2024 backtest.</t>
  </si>
  <si>
    <t xml:space="preserve">Model / scenario</t>
  </si>
  <si>
    <t xml:space="preserve">Random forest on results only — Forecast A (Full random forest), precinct model; turnout = 2022</t>
  </si>
  <si>
    <t xml:space="preserve">As-of date</t>
  </si>
  <si>
    <t xml:space="preserve">Prepared by</t>
  </si>
  <si>
    <t xml:space="preserve">Max</t>
  </si>
  <si>
    <t xml:space="preserve">Version</t>
  </si>
  <si>
    <t xml:space="preserve">v1.0</t>
  </si>
  <si>
    <t xml:space="preserve">District Brooks share (scenario)</t>
  </si>
  <si>
    <t xml:space="preserve">Uniform shift applied</t>
  </si>
  <si>
    <t xml:space="preserve">2024 backtest district miss (pts)</t>
  </si>
  <si>
    <t xml:space="preserve">DISTRICT TOTALS (auto-sum — do not type over)</t>
  </si>
  <si>
    <t xml:space="preserve">Geography</t>
  </si>
  <si>
    <t xml:space="preserve">(muni)</t>
  </si>
  <si>
    <t xml:space="preserve">(precinct)</t>
  </si>
  <si>
    <t xml:space="preserve">Mackenzie share</t>
  </si>
  <si>
    <t xml:space="preserve">Notes</t>
  </si>
  <si>
    <t xml:space="preserve">Error term: Brooks share (± pts)</t>
  </si>
  <si>
    <t xml:space="preserve">Brooks share, low</t>
  </si>
  <si>
    <t xml:space="preserve">Brooks share, high</t>
  </si>
  <si>
    <t xml:space="preserve">Error term: votes cast (± votes)</t>
  </si>
  <si>
    <t xml:space="preserve">Error term: Brooks votes (± votes)</t>
  </si>
  <si>
    <t xml:space="preserve">PA-07 District</t>
  </si>
  <si>
    <t xml:space="preserve">(all precincts)</t>
  </si>
  <si>
    <t xml:space="preserve">Headline forecast for the briefing</t>
  </si>
  <si>
    <t xml:space="preserve">Discussion prompt: Precinct and municipal district totals use the same scenario share, so their Brooks share matches by design; vote totals differ slightly because 2022 votes were re-allocated where precinct lines changed.</t>
  </si>
  <si>
    <t xml:space="preserve">PRECINCT DETAIL</t>
  </si>
  <si>
    <t xml:space="preserve">MODEL INPUTS (from the random forests — do not edit)</t>
  </si>
  <si>
    <t xml:space="preserve">Notes / source method</t>
  </si>
  <si>
    <t xml:space="preserve">Model lean vs district (pts)</t>
  </si>
  <si>
    <t xml:space="preserve">Votes cast (= 2022 House votes)</t>
  </si>
  <si>
    <t xml:space="preserve">Forecast Brooks share (unrounded)</t>
  </si>
  <si>
    <t xml:space="preserve">Votes error term (% of votes)</t>
  </si>
  <si>
    <t xml:space="preserve">Size group (backtest error band)</t>
  </si>
  <si>
    <t xml:space="preserve">Carbon</t>
  </si>
  <si>
    <t xml:space="preserve">BANKS TOWNSHIP</t>
  </si>
  <si>
    <t xml:space="preserve">random forest</t>
  </si>
  <si>
    <t xml:space="preserve">Small</t>
  </si>
  <si>
    <t xml:space="preserve">BEAVER MEADOWS BOROUGH</t>
  </si>
  <si>
    <t xml:space="preserve">BOWMANSTOWN BOROUGH</t>
  </si>
  <si>
    <t xml:space="preserve">EAST PENN TOWNSHIP</t>
  </si>
  <si>
    <t xml:space="preserve">EAST PENN TOWNSHIP-NORTH</t>
  </si>
  <si>
    <t xml:space="preserve">EAST PENN TOWNSHIP-SOUTH</t>
  </si>
  <si>
    <t xml:space="preserve">EAST SIDE BOROUGH</t>
  </si>
  <si>
    <t xml:space="preserve">FRANKLIN TOWNSHIP</t>
  </si>
  <si>
    <t xml:space="preserve">FRANKLIN TOWNSHIP-HARRITY</t>
  </si>
  <si>
    <t xml:space="preserve">Medium</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</si>
  <si>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</si>
  <si>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</si>
  <si>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</si>
  <si>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</si>
  <si>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</si>
  <si>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</si>
  <si>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</si>
  <si>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</si>
  <si>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</si>
  <si>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</si>
  <si>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</si>
  <si>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</si>
  <si>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</si>
  <si>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</si>
  <si>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</si>
  <si>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</si>
  <si>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</si>
  <si>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</si>
  <si>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</si>
  <si>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</si>
  <si>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</si>
  <si>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</si>
  <si>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</si>
  <si>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</si>
  <si>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</si>
  <si>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</si>
  <si>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</si>
  <si>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</si>
  <si>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</si>
  <si>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</si>
  <si>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</si>
  <si>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</si>
  <si>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</si>
  <si>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</si>
  <si>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</si>
  <si>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</si>
  <si>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</si>
  <si>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</si>
  <si>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</si>
  <si>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</si>
  <si>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</si>
  <si>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</si>
  <si>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</si>
  <si>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</si>
  <si>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</si>
  <si>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</si>
  <si>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</si>
  <si>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</si>
  <si>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</si>
  <si>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</si>
  <si>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</si>
  <si>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</si>
  <si>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</si>
  <si>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</si>
  <si>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</si>
  <si>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</si>
  <si>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</si>
  <si>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</si>
  <si>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</si>
  <si>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</si>
  <si>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</si>
  <si>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</si>
  <si>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</si>
  <si>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</si>
  <si>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</si>
  <si>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</si>
  <si>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</si>
  <si>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</si>
  <si>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</si>
  <si>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</si>
  <si>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</si>
  <si>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</si>
  <si>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</si>
  <si>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</si>
  <si>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</si>
  <si>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</si>
  <si>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</si>
  <si>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</si>
  <si>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</si>
  <si>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</si>
  <si>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</si>
  <si>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</si>
  <si>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</si>
  <si>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</si>
  <si>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</si>
  <si>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</si>
  <si>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</si>
  <si>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</si>
  <si>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</si>
  <si>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</si>
  <si>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 No comparable 2022/2024 result under this code — inputs lean on its municipality</t>
  </si>
  <si>
    <t xml:space="preserve">ALLENTOWN 17TH WD 4TH DT PARK</t>
  </si>
  <si>
    <t xml:space="preserve">Large</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</si>
  <si>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</si>
  <si>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</si>
  <si>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</si>
  <si>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</si>
  <si>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</si>
  <si>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</si>
  <si>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</si>
  <si>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</si>
  <si>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</si>
  <si>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</si>
  <si>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</si>
  <si>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</si>
  <si>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</si>
  <si>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</si>
  <si>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</si>
  <si>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</si>
  <si>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</si>
  <si>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</si>
  <si>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</si>
  <si>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</si>
  <si>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</si>
  <si>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</si>
  <si>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</si>
  <si>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</si>
  <si>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</si>
  <si>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</si>
  <si>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</si>
  <si>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</si>
  <si>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</si>
  <si>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</si>
  <si>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</si>
  <si>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</si>
  <si>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</si>
  <si>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</si>
  <si>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</si>
  <si>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</si>
  <si>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</si>
  <si>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</si>
  <si>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</si>
  <si>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</si>
  <si>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</si>
  <si>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</si>
  <si>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</si>
  <si>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</si>
  <si>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</si>
  <si>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</si>
  <si>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</si>
  <si>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</si>
  <si>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</si>
  <si>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</si>
  <si>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</si>
  <si>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</si>
  <si>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</si>
  <si>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</si>
  <si>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</si>
  <si>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</si>
  <si>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</si>
  <si>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</si>
  <si>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</si>
  <si>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</si>
  <si>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</si>
  <si>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</si>
  <si>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</si>
  <si>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</si>
  <si>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</si>
  <si>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</si>
  <si>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</si>
  <si>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</si>
  <si>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</si>
  <si>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</si>
  <si>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</si>
  <si>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</si>
  <si>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</si>
  <si>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</si>
  <si>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</si>
  <si>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</si>
  <si>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</si>
  <si>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</si>
  <si>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</si>
  <si>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</si>
  <si>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</si>
  <si>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</si>
  <si>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</si>
  <si>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</si>
  <si>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</si>
  <si>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</si>
  <si>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</si>
  <si>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</si>
  <si>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</si>
  <si>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</si>
  <si>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</si>
  <si>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</si>
  <si>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</si>
  <si>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</si>
  <si>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</si>
  <si>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</si>
  <si>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</si>
  <si>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</si>
  <si>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</si>
  <si>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</si>
  <si>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</si>
  <si>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</si>
  <si>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</si>
  <si>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</si>
  <si>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</si>
  <si>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</si>
  <si>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</si>
  <si>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</si>
  <si>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</si>
  <si>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</si>
  <si>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</si>
  <si>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</si>
  <si>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</si>
  <si>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</si>
  <si>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</si>
  <si>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</si>
  <si>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</si>
  <si>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</si>
  <si>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</si>
  <si>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</si>
  <si>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</si>
  <si>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</si>
  <si>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</si>
  <si>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</si>
  <si>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</si>
  <si>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</si>
  <si>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</si>
  <si>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</si>
  <si>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</si>
  <si>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</si>
  <si>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</si>
  <si>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</si>
  <si>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</si>
  <si>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</si>
  <si>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</si>
  <si>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</si>
  <si>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</si>
  <si>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</si>
  <si>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</si>
  <si>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</si>
  <si>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</si>
  <si>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</si>
  <si>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</si>
  <si>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</si>
  <si>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</si>
  <si>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</si>
  <si>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</si>
  <si>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</si>
  <si>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</si>
  <si>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</si>
  <si>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</si>
  <si>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</si>
  <si>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</si>
  <si>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</si>
  <si>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</si>
  <si>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</si>
  <si>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BORO NORTH</t>
  </si>
  <si>
    <t xml:space="preserve">BANGOR BORO SOUTH</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</si>
  <si>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</si>
  <si>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</si>
  <si>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</si>
  <si>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</si>
  <si>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</si>
  <si>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</si>
  <si>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</si>
  <si>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</si>
  <si>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</si>
  <si>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</si>
  <si>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</si>
  <si>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</si>
  <si>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</si>
  <si>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</si>
  <si>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</si>
  <si>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</si>
  <si>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</si>
  <si>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</si>
  <si>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</si>
  <si>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</si>
  <si>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</si>
  <si>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</si>
  <si>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</si>
  <si>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</si>
  <si>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</si>
  <si>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</si>
  <si>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</si>
  <si>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</si>
  <si>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</si>
  <si>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</si>
  <si>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</si>
  <si>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</si>
  <si>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</si>
  <si>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</si>
  <si>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</si>
  <si>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</si>
  <si>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</si>
  <si>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</si>
  <si>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</si>
  <si>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</si>
  <si>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</si>
  <si>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</si>
  <si>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</si>
  <si>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</si>
  <si>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</si>
  <si>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</si>
  <si>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</si>
  <si>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</si>
  <si>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</si>
  <si>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</si>
  <si>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</si>
  <si>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</si>
  <si>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</si>
  <si>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</si>
  <si>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</si>
  <si>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</si>
  <si>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</si>
  <si>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</si>
  <si>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</si>
  <si>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</si>
  <si>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</si>
  <si>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</si>
  <si>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</si>
  <si>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</si>
  <si>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</si>
  <si>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</si>
  <si>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</si>
  <si>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TWSP EAST</t>
  </si>
  <si>
    <t xml:space="preserve">FORKS TWSP NORTH</t>
  </si>
  <si>
    <t xml:space="preserve">FORKS TWSP NORTHWEST</t>
  </si>
  <si>
    <t xml:space="preserve">FORKS TWSP SOUTH</t>
  </si>
  <si>
    <t xml:space="preserve">FORKS TWSP SOUTHEAST</t>
  </si>
  <si>
    <t xml:space="preserve">FORKS TWSP SOUTHWEST</t>
  </si>
  <si>
    <t xml:space="preserve">FORKS TWSP WEST</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</si>
  <si>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</si>
  <si>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</si>
  <si>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</si>
  <si>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</si>
  <si>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</si>
  <si>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</si>
  <si>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</si>
  <si>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</si>
  <si>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</si>
  <si>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</si>
  <si>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</si>
  <si>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</si>
  <si>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</si>
  <si>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</si>
  <si>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</si>
  <si>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</si>
  <si>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</si>
  <si>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</si>
  <si>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</si>
  <si>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</si>
  <si>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</si>
  <si>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</si>
  <si>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EAST</t>
  </si>
  <si>
    <t xml:space="preserve">LOWER NAZARETH NORTH</t>
  </si>
  <si>
    <t xml:space="preserve">LOWER NAZARETH SOUTH</t>
  </si>
  <si>
    <t xml:space="preserve">LOWER NAZARETH WEST</t>
  </si>
  <si>
    <t xml:space="preserve">LOWER SAUCON</t>
  </si>
  <si>
    <t xml:space="preserve">LOWER SAUCON TWSP - 1</t>
  </si>
  <si>
    <t xml:space="preserve">LOWER SAUCON TWSP - 2</t>
  </si>
  <si>
    <t xml:space="preserve">LOWER SAUCON TWSP - 3</t>
  </si>
  <si>
    <t xml:space="preserve">LOWER SAUCON TWSP - 4</t>
  </si>
  <si>
    <t xml:space="preserve">LOWER SAUCON TWSP - 6</t>
  </si>
  <si>
    <t xml:space="preserve">LOWER SAUCON TWSP - 7</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</si>
  <si>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</si>
  <si>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</si>
  <si>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</si>
  <si>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</si>
  <si>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</si>
  <si>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</si>
  <si>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</si>
  <si>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</si>
  <si>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</si>
  <si>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</si>
  <si>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</si>
  <si>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</si>
  <si>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</si>
  <si>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</si>
  <si>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</si>
  <si>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</si>
  <si>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</si>
  <si>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</si>
  <si>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CENTRAL</t>
  </si>
  <si>
    <t xml:space="preserve">PALMER - EAST</t>
  </si>
  <si>
    <t xml:space="preserve">PALMER - NORTH</t>
  </si>
  <si>
    <t xml:space="preserve">PALMER - NORTHEAST</t>
  </si>
  <si>
    <t xml:space="preserve">PALMER - NORTHWEST</t>
  </si>
  <si>
    <t xml:space="preserve">PALMER - SOUTH</t>
  </si>
  <si>
    <t xml:space="preserve">PALMER - SOUTHEAST</t>
  </si>
  <si>
    <t xml:space="preserve">PALMER - SOUTHWEST</t>
  </si>
  <si>
    <t xml:space="preserve">PALMER - WEST</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</si>
  <si>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</si>
  <si>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</si>
  <si>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</si>
  <si>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</si>
  <si>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</si>
  <si>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</si>
  <si>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</si>
  <si>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</si>
  <si>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</si>
  <si>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</si>
  <si>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</si>
  <si>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</si>
  <si>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</si>
  <si>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</si>
  <si>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</si>
  <si>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</si>
  <si>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</si>
  <si>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</si>
  <si>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</si>
  <si>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</si>
  <si>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</si>
  <si>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</si>
  <si>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</si>
  <si>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</si>
  <si>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</si>
  <si>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EAST 1</t>
  </si>
  <si>
    <t xml:space="preserve">UPPER NAZARETH - EAST 2</t>
  </si>
  <si>
    <t xml:space="preserve">UPPER NAZARETH - WEST 1</t>
  </si>
  <si>
    <t xml:space="preserve">UPPER NAZARETH - WEST 2</t>
  </si>
  <si>
    <t xml:space="preserve">WALNUTPORT</t>
  </si>
  <si>
    <t xml:space="preserve">WALNUTPORT BORO</t>
  </si>
  <si>
    <t xml:space="preserve">WASHINGTON TWSP - LOWER</t>
  </si>
  <si>
    <t xml:space="preserve">WASHINGTON TWSP - UPPER</t>
  </si>
  <si>
    <t xml:space="preserve">random forest — 2022 base votes allocated from its municipality</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</si>
  <si>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</si>
  <si>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</si>
  <si>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</si>
  <si>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</si>
  <si>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</si>
  <si>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</si>
  <si>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</si>
  <si>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</si>
  <si>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</si>
  <si>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</si>
  <si>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</si>
  <si>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</si>
  <si>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only — Forecast B (SHAP-selected forest), precinct model; turnout = 2022</t>
  </si>
  <si>
    <t xml:space="preserve">PA-07 2026 House Forecast — Precinct-Level Predictions (Forecast C: shap family-reweighted forest)</t>
  </si>
  <si>
    <t xml:space="preserve">Random forest on results only — Forecast C (SHAP family-reweighted forest), precinct model; turnout = 2022</t>
  </si>
  <si>
    <t xml:space="preserve">How the three precinct-level forecasts weigh their inputs (SHAP) — results-only random forests, turnout held at 2022</t>
  </si>
  <si>
    <t xml:space="preserve">Forecast A — Full random forest.</t>
  </si>
  <si>
    <t xml:space="preserve">Every candidate input goes into one random forest that forecasts each place’s Democratic share relative to the district. Nothing is weighted by hand: each input’s weight is whatever the forest learned, and SHAP measures it afterwards. This is the reference forecast.</t>
  </si>
  <si>
    <t xml:space="preserve">Forecast B — SHAP-selected forest.</t>
  </si>
  <si>
    <t xml:space="preserve">Uses SHAP to decide which inputs stay. An input is kept only if (1) its mean |SHAP| beat all 10 random columns in at least 18 of 20 refits and (2) it carried at least 2% of the forest’s SHAP total in Forecast A. The forest is refit on the survivors, so weight that was spread thinly over weak inputs is concentrated on the strong ones.</t>
  </si>
  <si>
    <t xml:space="preserve">Forecast C — SHAP family-reweighted forest.</t>
  </si>
  <si>
    <t xml:space="preserve">Uses SHAP to re-weight Forecast A. Each forecast = starting value + sum of SHAP values; Forecast C multiplies each input family’s SHAP sum by a family weight, chosen by how well it predicts elections the forest did not see (out-of-fold SHAP, leave-one-election-out, fitted within each election). Families under 3% of SHAP are held at ×1; others are limited to ×0.5–×2, a guard given only three training elections.</t>
  </si>
  <si>
    <t xml:space="preserve">Turnout (all three).</t>
  </si>
  <si>
    <t xml:space="preserve">No turnout model. Every precinct/municipality casts the same number of House votes as in 2022, so the three forecasts differ only in their results model.</t>
  </si>
  <si>
    <t xml:space="preserve">Family weights in each forecast (share of SHAP value in votes, 2026 forecast rows)</t>
  </si>
  <si>
    <t xml:space="preserve">Input family</t>
  </si>
  <si>
    <t xml:space="preserve">Forecast C family weight (×)</t>
  </si>
  <si>
    <t xml:space="preserve">C weight used in 2024 backtest (×)</t>
  </si>
  <si>
    <t xml:space="preserve">Read</t>
  </si>
  <si>
    <t xml:space="preserve">Election type</t>
  </si>
  <si>
    <t xml:space="preserve">unchanged (or held at ×1, under 3% of SHAP)</t>
  </si>
  <si>
    <t xml:space="preserve">Geography &amp; municipal context</t>
  </si>
  <si>
    <t xml:space="preserve">Historical voter data</t>
  </si>
  <si>
    <t xml:space="preserve">amplified</t>
  </si>
  <si>
    <t xml:space="preserve">Voter registration data</t>
  </si>
  <si>
    <t xml:space="preserve">damped</t>
  </si>
  <si>
    <t xml:space="preserve">Out-of-fold fit of the family weights: pattern error 2.59 → 2.55 pts after re-weighting.</t>
  </si>
  <si>
    <t xml:space="preserve">Forecast B — which inputs survived the SHAP selection</t>
  </si>
  <si>
    <t xml:space="preserve">Input</t>
  </si>
  <si>
    <t xml:space="preserve">Beat random columns (of 20)</t>
  </si>
  <si>
    <t xml:space="preserve">Share of forest SHAP in A</t>
  </si>
  <si>
    <t xml:space="preserve">Kept in B?</t>
  </si>
  <si>
    <t xml:space="preserve">Precinct House lean, last election (t−2)</t>
  </si>
  <si>
    <t xml:space="preserve">Yes</t>
  </si>
  <si>
    <t xml:space="preserve">Electorate last election: R % of ballots</t>
  </si>
  <si>
    <t xml:space="preserve">Municipality House lean, last election (t−2)</t>
  </si>
  <si>
    <t xml:space="preserve">State registration: R % (as of election)</t>
  </si>
  <si>
    <t xml:space="preserve">Precinct House lean, last same-type election (t−4)</t>
  </si>
  <si>
    <t xml:space="preserve">State registration: D % (as of election)</t>
  </si>
  <si>
    <t xml:space="preserve">State registration: change in D−R margin since t−2</t>
  </si>
  <si>
    <t xml:space="preserve">No</t>
  </si>
  <si>
    <t xml:space="preserve">Precinct vs. its municipality, last election (pts)</t>
  </si>
  <si>
    <t xml:space="preserve">Mail use last election: R voters</t>
  </si>
  <si>
    <t xml:space="preserve">Turnout last election: R registrants</t>
  </si>
  <si>
    <t xml:space="preserve">Voter-file party switch gap (today’s R % − state R %)</t>
  </si>
  <si>
    <t xml:space="preserve">Mail use last election: D voters</t>
  </si>
  <si>
    <t xml:space="preserve">Turnout last election (state)</t>
  </si>
  <si>
    <t xml:space="preserve">Registrants: Boomer + Silent %</t>
  </si>
  <si>
    <t xml:space="preserve">Registrants: Millennial + Gen Z %</t>
  </si>
  <si>
    <t xml:space="preserve">Turnout last election: D registrants</t>
  </si>
  <si>
    <t xml:space="preserve">Registered voters (log, state)</t>
  </si>
  <si>
    <t xml:space="preserve">Midterm year (1/0)</t>
  </si>
  <si>
    <t xml:space="preserve">Registrants: female % (known sex)</t>
  </si>
  <si>
    <t xml:space="preserve">State registration: other %</t>
  </si>
  <si>
    <t xml:space="preserve">County: Carbon</t>
  </si>
  <si>
    <t xml:space="preserve">County: Northampton</t>
  </si>
  <si>
    <t xml:space="preserve">County: Lehigh</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</si>
  <si>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</si>
  <si>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</si>
  <si>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</si>
  <si>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</si>
  <si>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</si>
  <si>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</si>
  <si>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</si>
  <si>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</si>
  <si>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Democratic percent of the two-party House vote, 2024 (certified precinct results), above or below the district average</t>
  </si>
  <si>
    <t xml:space="preserve">Democratic percent of the two-party vote</t>
  </si>
  <si>
    <t xml:space="preserve">Beat all 10 random comparison columns in 20 of 20 refits in the Democratic percent forest.</t>
  </si>
  <si>
    <t xml:space="preserve">Registered Republicans as a percent of everyone who voted, 2024 (voter file)</t>
  </si>
  <si>
    <t xml:space="preserve">Democratic percent of the two-party House vote in the precinct’s whole municipality, 2024, above or below the district average</t>
  </si>
  <si>
    <t xml:space="preserve">Registered Republicans as a percent of all registered voters, 2026 primary rolls (Department of State)</t>
  </si>
  <si>
    <t xml:space="preserve">Democratic percent of the two-party House vote, 2022 — the last midterm (certified precinct results), above or below the district average</t>
  </si>
  <si>
    <t xml:space="preserve">Registered Democrats as a percent of all registered voters, 2026 primary rolls (Department of State)</t>
  </si>
  <si>
    <t xml:space="preserve">Change in registered Democrats minus Republicans (percent of registered) from the 2024 general to the 2026 primary (Department of State)</t>
  </si>
  <si>
    <t xml:space="preserve">Percent of Republican voters who voted by mail, 2024 (voter file)</t>
  </si>
  <si>
    <t xml:space="preserve">Precinct’s 2024 House Democratic percent minus its municipality’s, in points</t>
  </si>
  <si>
    <t xml:space="preserve">Percent of registered Republicans who voted, 2024 (voter file)</t>
  </si>
  <si>
    <t xml:space="preserve">Republican percent of registered voters in the 2026 voter file minus the Republican percent on the 2026 state rolls (a party-switching signal)</t>
  </si>
  <si>
    <t xml:space="preserve">Percent of Democratic voters who voted by mail, 2024 (voter file)</t>
  </si>
  <si>
    <t xml:space="preserve">Ballots cast as a percent of registered voters, 2024 (Department of State)</t>
  </si>
  <si>
    <t xml:space="preserve">Registered voters born 1964 or earlier, as a percent of all registered voters, 2026 (voter file)</t>
  </si>
  <si>
    <t xml:space="preserve">Percent of registered Democrats who voted, 2024 (voter file)</t>
  </si>
  <si>
    <t xml:space="preserve">Registered voters born 1981 or later, as a percent of all registered voters, 2026 (voter file)</t>
  </si>
  <si>
    <t xml:space="preserve">Number of registered voters, 2026 primary rolls, on a log scale (Department of State)</t>
  </si>
  <si>
    <t xml:space="preserve">Election type: 1 for a midterm year (2026), 0 for a presidential year</t>
  </si>
  <si>
    <t xml:space="preserve">Beat all 10 random comparison columns in 19 of 20 refits in the Democratic percent forest.</t>
  </si>
  <si>
    <t xml:space="preserve">Women as a percent of registered voters whose sex is recorded, 2026 (voter file)</t>
  </si>
  <si>
    <t xml:space="preserve">Precinct is in Carbon County (1/0)</t>
  </si>
  <si>
    <t xml:space="preserve">Beat all 10 random comparison columns in 15 of 20 refits in the Democratic percent forest.</t>
  </si>
  <si>
    <t xml:space="preserve">Registered voters in neither major party, as a percent of all registered, 2026 primary rolls (Department of State)</t>
  </si>
  <si>
    <t xml:space="preserve">Beat all 10 random comparison columns in 17 of 20 refits in the Democratic percent forest.</t>
  </si>
  <si>
    <t xml:space="preserve">Precinct is in Northampton County (1/0)</t>
  </si>
  <si>
    <t xml:space="preserve">Beat all 10 random comparison columns in 1 of 20 refits in the Democratic percent forest.</t>
  </si>
  <si>
    <t xml:space="preserve">Precinct is in Lehigh County (1/0)</t>
  </si>
  <si>
    <t xml:space="preserve">Historical voter data, total</t>
  </si>
  <si>
    <t xml:space="preserve">Voter registration data, total</t>
  </si>
  <si>
    <t xml:space="preserve">Geography &amp; municipal context, total</t>
  </si>
  <si>
    <t xml:space="preserve">Election type, total</t>
  </si>
  <si>
    <t xml:space="preserve">All features, total</t>
  </si>
  <si>
    <t xml:space="preserve">How to read this table. Each row is one input that this forecast uses. Rows are ranked by SHAP value in votes on the 2026 forecast rows.</t>
  </si>
  <si>
    <t xml:space="preserve">SHAP value: for one place, the number of votes that one input added to or took away from that place’s forecast, measured from the model’s starting value, which is the average forecast over the places and years it was trained on (SHAP stands for SHapley Additive exPlanations). Values are exact TreeSHAP over every tree.</t>
  </si>
  <si>
    <t xml:space="preserve">SHAP value in votes is the average, over the 370 precincts, of the votes the input added to or took away from the forecast, ignoring whether it added or took away. Brooks votes and Mackenzie votes are counted together (an input that moves 10 votes from Mackenzie to Brooks counts as 20). Votes cast are fixed at 2022 levels, so every vote an input moves is a shift between the two candidates.</t>
  </si>
  <si>
    <t xml:space="preserve">Share of model is the input’s SHAP value in votes divided by the total for all inputs. Share within its family divides by the total for its own family instead.</t>
  </si>
  <si>
    <t xml:space="preserve">What the model forecasts. One random forest forecasts each place’s Democratic percent of the two-party House vote, measured above or below the district average for that election (so it learns the pattern, not the year’s overall level). Turnout is not modeled: each place casts the same number of House votes as in 2022 (the last midterm). Brooks share = the forecast pattern plus one uniform shift that makes the district total equal the scenario on the Scenario &amp; Comparison tab.</t>
  </si>
  <si>
    <t xml:space="preserve">Forecast A weighting: none imposed. Each input’s weight is exactly what the full forest learned; the SHAP values show it after the fact.</t>
  </si>
  <si>
    <t xml:space="preserve">How the inputs were tested. Each forest of Forecast A was refit 20 times with a different random seed, each time with 10 extra columns of random numbers added (5 that change from row to row and 5 that keep one value for each place in every year). The significance column counts the refits in which the input’s average absolute SHAP value on the 2026 forecast rows was larger than that of every random column.</t>
  </si>
  <si>
    <t xml:space="preserve">Settings: max_features=0.33, min_samples_leaf=1, 500 trees, trained on 977 precinct-elections (2020–2024).</t>
  </si>
  <si>
    <t xml:space="preserve">Historical voter data: past election results (any race) and past turnout (how many voted, which registered parties voted, mail use). Voter registration data: who is on the roll and with which party, the number registered, age and sex make-up, and change in registration. Geography &amp; municipal context: county and the precinct’s municipality. Election type: midterm or presidential year.</t>
  </si>
  <si>
    <t xml:space="preserve">Forecast B weighting: SHAP-selected. Only inputs that beat all 10 random columns in at least 18 of 20 refits AND held at least 2% of their forest’s SHAP total in Forecast A were kept; the forests were then refit (settings re-tuned) on those inputs alone, so the SHAP weight that the dropped inputs carried is redistributed among the survivors.</t>
  </si>
  <si>
    <t xml:space="preserve">Settings: max_features=0.33, min_samples_leaf=3, 500 trees, trained on 977 precinct-elections (2020–2024).</t>
  </si>
  <si>
    <t xml:space="preserve">Forecast C weighting: SHAP family re-weighting. Forecast A’s forests are kept, but each input family’s SHAP contribution is multiplied by a family weight fitted to out-of-sample accuracy: Election type ×1.00; Geography &amp; municipal context ×1.00; Historical voter data ×1.08; Voter registration data ×0.87. The forecast is the forest’s starting value plus the re-weighted SHAP values, so the SHAP values in this table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</si>
  <si>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</si>
  <si>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</si>
  <si>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</si>
  <si>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</si>
  <si>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</si>
  <si>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</si>
  <si>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</si>
  <si>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</si>
  <si>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</si>
  <si>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</si>
  <si>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</si>
  <si>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</si>
  <si>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</si>
  <si>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</si>
  <si>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</si>
  <si>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</si>
  <si>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</si>
  <si>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 — the level part of the error</t>
  </si>
  <si>
    <t xml:space="preserve">Root-mean-square miss per row after removing the district-wide miss (points) — the pattern part</t>
  </si>
  <si>
    <t xml:space="preserve">Total votes cast miss (percent) — votes held at the 2020 level</t>
  </si>
  <si>
    <t xml:space="preserve">Rows within 3 points on Democratic share</t>
  </si>
  <si>
    <t xml:space="preserve">Rows with a comparable 2024 result</t>
  </si>
  <si>
    <t xml:space="preserve">Rows in the table</t>
  </si>
  <si>
    <t xml:space="preserve">What this tab is: the same forecast method, run as if it were the week before the 2024 general election, compared with the actual 2024 House results.</t>
  </si>
  <si>
    <t xml:space="preserve">Every 2024 election result was removed from the training data before the backtest ran. Registration as of the 2024 election was kept.</t>
  </si>
  <si>
    <t xml:space="preserve">The backtest’s random forest was trained on the 2020 and 2022 elections. Votes cast were set the same way as in the 2026 forecast: equal to the last election of the same type (2020 House votes for 2024), with no turnout model.</t>
  </si>
  <si>
    <t xml:space="preserve">District level: the backtest set the district Democratic share to the last election of the same type (2020: 51.4%), the same rule as the 2026 default scenario (average of the last two midterms). The actual 2024 share was 49.4%, so about 2.2 points of every row’s error is the district-wide miss, not the precinct pattern.</t>
  </si>
  <si>
    <t xml:space="preserve">Forecast A: no weighting imposed.</t>
  </si>
  <si>
    <t xml:space="preserve">The forecast of 2024 used 2022 and 2020 results as inputs: the same inputs as the 2026 forecast, taken two years earlier.</t>
  </si>
  <si>
    <t xml:space="preserve">Actual votes are the 2024 House results for the precinct exactly as given in the data. Error = predicted minus actual. Shares are of the two-party vote (Democratic plus Republican).</t>
  </si>
  <si>
    <t xml:space="preserve">The district row adds only the rows that have a comparable 2024 result. 'All rows (predicted only)' adds the predicted votes of every row.</t>
  </si>
  <si>
    <t xml:space="preserve">Wild was the 2024 Democratic candidate and Mackenzie the 2024 Republican candidate.</t>
  </si>
  <si>
    <t xml:space="preserve">Rows marked 'No comparable 2024 result' are left out of the district total row and the error figures: their 2024 result does not line up with the number of people in today’s precinct who voted (re-drawn or re-paired precinct codes).</t>
  </si>
  <si>
    <t xml:space="preserve">These backtest errors set the error terms on the 2026 forecast tab: each row gets the root-mean-square pattern miss of backtest rows of similar size (small / medium / large thirds by votes cast).</t>
  </si>
  <si>
    <t xml:space="preserve">Forecast B: inputs chosen with the same random-column test and 2% rule as the 2026 forecast, then refit.</t>
  </si>
  <si>
    <t xml:space="preserve">Forecast C: family weights for the backtest were fitted only on elections before 2024 (Election type ×1.00; Geography &amp; municipal context ×1.00; Historical voter data ×0.98; Voter registration data ×1.24).</t>
  </si>
  <si>
    <t xml:space="preserve">Data</t>
  </si>
  <si>
    <t xml:space="preserve">Source: PA07_Precinct_Data.xlsx (Results Consolidated, Precinct Consolidated, Precinct Summary). No ACS/household data. The baseline forecast file supplied was used for layout only; none of its numbers are used.</t>
  </si>
  <si>
    <t xml:space="preserve">Training: 2020, 2022 and 2024 general elections (2018 provides history only). Rows where the House race was not PA-07 (Carbon and Polk in 2018/2020) are not used as targets.</t>
  </si>
  <si>
    <t xml:space="preserve">Precinct results are used only where the certified House votes line up with the number of people in today’s precinct who voted that year (within 0.6–1.6× of the district norm); about 4–5% of precinct-years fail and are excluded (re-drawn or re-paired codes). For precincts without a comparable 2022 result, 2022 votes cast are the municipality’s 2022 House votes divided among its precincts by how many people in each voted in 2022.</t>
  </si>
  <si>
    <t xml:space="preserve">State registration (Precinct Summary) was linked to voter-file precinct codes through identical certified D and R vote counts; 368 of 370 precincts link.</t>
  </si>
  <si>
    <t xml:space="preserve">Forecasting</t>
  </si>
  <si>
    <t xml:space="preserve">Each forecast = one random forest on results only (500 trees, settings tuned by leave-one-election-out cross-validation): each place’s Democratic share above/below the district average. Turnout is not modeled — votes cast = the place’s 2022 House votes. Brooks votes = 2022 votes × (forecast pattern + one uniform shift to the scenario district share).</t>
  </si>
  <si>
    <t xml:space="preserve">SHAP: exact path-dependent TreeSHAP (Lundberg, Erion &amp; Lee 2018) over every tree — the algorithm behind shap.TreeExplainer. The shap package is blocked in this environment, so it was implemented in C; it matches brute-force Shapley values to ~1e-15, and base + ΣSHAP equals every forest prediction.</t>
  </si>
  <si>
    <t xml:space="preserve">Error terms</t>
  </si>
  <si>
    <t xml:space="preserve">Row error term (± pts) = root-mean-square miss of that forecast’s 2024 backtest for rows of similar size (thirds by votes cast), after removing the district-wide miss. Votes-cast error term = how far 2024 votes cast in places of similar size were from their 2020 votes (the analogue of assuming 2026 = 2022). Brooks-votes error term combines the two. Low/high columns are ±1 error term (roughly a 68% range if errors are normal).</t>
  </si>
  <si>
    <t xml:space="preserve">District error term = the size of the district-wide miss in the backtest when the district share was set by the default rule (last same-type election). That miss was about 2 points in 2024. It is the main source of uncertainty and is driven by the national environment and candidates, which none of the forests model.</t>
  </si>
  <si>
    <t xml:space="preserve">Caveats</t>
  </si>
  <si>
    <t xml:space="preserve">• Turnout is held at 2022 levels everywhere. If 2026 turnout rises or falls evenly, Brooks share is unchanged and vote totals scale; uneven changes (e.g. stronger turnout in Democratic areas) are not captured.</t>
  </si>
  <si>
    <t xml:space="preserve">• Forecast C’s family weights rest on two or three held-out elections; they are bounded (×0.5–×2) to stop them over-fitting.</t>
  </si>
  <si>
    <t xml:space="preserve">• Toss-up calls (where A, B and C disagree, or a row’s low–high range spans 50%) should be read as ranges, not calls.</t>
  </si>
</sst>
</file>

<file path=xl/styles.xml><?xml version="1.0" encoding="utf-8"?>
<styleSheet xmlns="http://schemas.openxmlformats.org/spreadsheetml/2006/main">
  <numFmts count="14">
    <numFmt numFmtId="164" formatCode="General"/>
    <numFmt numFmtId="165" formatCode="0.0%"/>
    <numFmt numFmtId="166" formatCode="#,##0"/>
    <numFmt numFmtId="167" formatCode="0.0"/>
    <numFmt numFmtId="168" formatCode="0"/>
    <numFmt numFmtId="169" formatCode="0.00"/>
    <numFmt numFmtId="170" formatCode="\+0.00;\-0.00"/>
    <numFmt numFmtId="171" formatCode="\+0.0%;\-0.0%"/>
    <numFmt numFmtId="172" formatCode="0%"/>
    <numFmt numFmtId="173" formatCode="yyyy\-mm\-dd"/>
    <numFmt numFmtId="174" formatCode="\+0.0;\-0.0"/>
    <numFmt numFmtId="175" formatCode="\+#,##0;\-#,##0;0"/>
    <numFmt numFmtId="176" formatCode="\+#,##0;\-#,##0"/>
    <numFmt numFmtId="17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0"/>
      <name val="Arial"/>
      <family val="2"/>
    </font>
    <font>
      <sz val="11"/>
      <color rgb="FF008000"/>
      <name val="Calibri"/>
      <family val="0"/>
      <charset val="1"/>
    </font>
    <font>
      <b val="true"/>
      <sz val="11"/>
      <color rgb="FF1F4E79"/>
      <name val="Calibri"/>
      <family val="0"/>
      <charset val="1"/>
    </font>
  </fonts>
  <fills count="8">
    <fill>
      <patternFill patternType="none"/>
    </fill>
    <fill>
      <patternFill patternType="gray125"/>
    </fill>
    <fill>
      <patternFill patternType="solid">
        <fgColor rgb="FFD6E3F0"/>
        <bgColor rgb="FFC6EFCE"/>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F2F2F2"/>
        <bgColor rgb="FFFFFFFF"/>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4" fontId="5" fillId="6"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160560</xdr:rowOff>
    </xdr:from>
    <xdr:to>
      <xdr:col>17</xdr:col>
      <xdr:colOff>130320</xdr:colOff>
      <xdr:row>9</xdr:row>
      <xdr:rowOff>200880</xdr:rowOff>
    </xdr:to>
    <xdr:pic>
      <xdr:nvPicPr>
        <xdr:cNvPr id="0" name="Image 1" descr="Picture"/>
        <xdr:cNvPicPr/>
      </xdr:nvPicPr>
      <xdr:blipFill>
        <a:blip r:embed="rId1"/>
        <a:stretch/>
      </xdr:blipFill>
      <xdr:spPr>
        <a:xfrm>
          <a:off x="12453120" y="380880"/>
          <a:ext cx="5633640" cy="2736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34"/>
    <col collapsed="false" customWidth="true" hidden="false" outlineLevel="0" max="6" min="4" style="0" width="15"/>
    <col collapsed="false" customWidth="true" hidden="false" outlineLevel="0" max="7" min="7" style="0" width="14"/>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AVERAGE(C10,C12)</f>
        <v>0.528169484134382</v>
      </c>
      <c r="D6" s="3" t="s">
        <v>5</v>
      </c>
    </row>
    <row r="8" customFormat="false" ht="31.5" hidden="false" customHeight="true" outlineLevel="0" collapsed="false">
      <c r="A8" s="7" t="s">
        <v>6</v>
      </c>
      <c r="B8" s="7"/>
      <c r="C8" s="7" t="s">
        <v>7</v>
      </c>
      <c r="D8" s="7" t="s">
        <v>8</v>
      </c>
      <c r="E8" s="7" t="s">
        <v>9</v>
      </c>
    </row>
    <row r="9" customFormat="false" ht="15" hidden="false" customHeight="false" outlineLevel="0" collapsed="false">
      <c r="A9" s="3" t="s">
        <v>10</v>
      </c>
    </row>
    <row r="10" customFormat="false" ht="15" hidden="false" customHeight="false" outlineLevel="0" collapsed="false">
      <c r="A10" s="8" t="s">
        <v>11</v>
      </c>
      <c r="B10" s="8"/>
      <c r="C10" s="9" t="n">
        <f aca="false">D10/(D10+E10)</f>
        <v>0.547373248760395</v>
      </c>
      <c r="D10" s="10" t="n">
        <v>126510</v>
      </c>
      <c r="E10" s="10" t="n">
        <v>104612</v>
      </c>
    </row>
    <row r="11" customFormat="false" ht="15" hidden="false" customHeight="false" outlineLevel="0" collapsed="false">
      <c r="A11" s="8" t="s">
        <v>12</v>
      </c>
      <c r="B11" s="8"/>
      <c r="C11" s="9" t="n">
        <f aca="false">D11/(D11+E11)</f>
        <v>0.514370811615786</v>
      </c>
      <c r="D11" s="10" t="n">
        <v>176154</v>
      </c>
      <c r="E11" s="10" t="n">
        <v>166311</v>
      </c>
    </row>
    <row r="12" customFormat="false" ht="15" hidden="false" customHeight="false" outlineLevel="0" collapsed="false">
      <c r="A12" s="8" t="s">
        <v>13</v>
      </c>
      <c r="B12" s="8"/>
      <c r="C12" s="9" t="n">
        <f aca="false">D12/(D12+E12)</f>
        <v>0.508965719508369</v>
      </c>
      <c r="D12" s="10" t="n">
        <v>149243</v>
      </c>
      <c r="E12" s="10" t="n">
        <v>143985</v>
      </c>
    </row>
    <row r="13" customFormat="false" ht="15" hidden="false" customHeight="false" outlineLevel="0" collapsed="false">
      <c r="A13" s="8" t="s">
        <v>14</v>
      </c>
      <c r="B13" s="8"/>
      <c r="C13" s="9" t="n">
        <f aca="false">D13/(D13+E13)</f>
        <v>0.494248133629371</v>
      </c>
      <c r="D13" s="10" t="n">
        <v>196561</v>
      </c>
      <c r="E13" s="10" t="n">
        <v>201136</v>
      </c>
    </row>
    <row r="15" customFormat="false" ht="15" hidden="false" customHeight="false" outlineLevel="0" collapsed="false">
      <c r="A15" s="4" t="s">
        <v>15</v>
      </c>
      <c r="B15" s="4"/>
      <c r="C15" s="4"/>
      <c r="D15" s="4"/>
      <c r="E15" s="4"/>
      <c r="F15" s="4"/>
      <c r="G15" s="4"/>
      <c r="H15" s="4"/>
      <c r="I15" s="4"/>
    </row>
    <row r="16" customFormat="false" ht="31.5" hidden="false" customHeight="true" outlineLevel="0" collapsed="false">
      <c r="A16" s="7" t="s">
        <v>16</v>
      </c>
      <c r="B16" s="7" t="s">
        <v>17</v>
      </c>
      <c r="C16" s="7" t="s">
        <v>18</v>
      </c>
      <c r="D16" s="7" t="s">
        <v>19</v>
      </c>
      <c r="E16" s="7" t="s">
        <v>20</v>
      </c>
      <c r="F16" s="7" t="s">
        <v>21</v>
      </c>
      <c r="G16" s="7" t="s">
        <v>22</v>
      </c>
      <c r="H16" s="7" t="s">
        <v>23</v>
      </c>
      <c r="I16" s="7" t="s">
        <v>24</v>
      </c>
    </row>
    <row r="17" customFormat="false" ht="15" hidden="false" customHeight="false" outlineLevel="0" collapsed="false">
      <c r="A17" s="11" t="s">
        <v>25</v>
      </c>
      <c r="B17" s="12" t="s">
        <v>26</v>
      </c>
      <c r="C17" s="13" t="n">
        <f aca="false">'2026 Forecast A'!D8</f>
        <v>158256</v>
      </c>
      <c r="D17" s="13" t="n">
        <f aca="false">'2026 Forecast A'!E8</f>
        <v>141367</v>
      </c>
      <c r="E17" s="13" t="n">
        <f aca="false">'2026 Forecast A'!F8</f>
        <v>299623</v>
      </c>
      <c r="F17" s="14" t="n">
        <f aca="false">'2026 Forecast A'!G8</f>
        <v>0.528183750913648</v>
      </c>
      <c r="G17" s="15" t="n">
        <f aca="false">'2026 Forecast A'!J8</f>
        <v>2.23110140227628</v>
      </c>
      <c r="H17" s="12" t="str">
        <f aca="false">TEXT('2026 Forecast A'!K8,"0.0%")&amp;" – "&amp;TEXT('2026 Forecast A'!L8,"0.0%")</f>
        <v>50.6% – 55.0%</v>
      </c>
      <c r="I17" s="13" t="n">
        <f aca="false">'2026 Forecast A'!N8</f>
        <v>8118</v>
      </c>
    </row>
    <row r="18" customFormat="false" ht="15" hidden="false" customHeight="false" outlineLevel="0" collapsed="false">
      <c r="A18" s="11" t="s">
        <v>27</v>
      </c>
      <c r="B18" s="12" t="s">
        <v>28</v>
      </c>
      <c r="C18" s="13" t="n">
        <f aca="false">'2026 Forecast B'!D8</f>
        <v>158252</v>
      </c>
      <c r="D18" s="13" t="n">
        <f aca="false">'2026 Forecast B'!E8</f>
        <v>141371</v>
      </c>
      <c r="E18" s="13" t="n">
        <f aca="false">'2026 Forecast B'!F8</f>
        <v>299623</v>
      </c>
      <c r="F18" s="14" t="n">
        <f aca="false">'2026 Forecast B'!G8</f>
        <v>0.528170400803677</v>
      </c>
      <c r="G18" s="15" t="n">
        <f aca="false">'2026 Forecast B'!J8</f>
        <v>2.23358860698981</v>
      </c>
      <c r="H18" s="12" t="str">
        <f aca="false">TEXT('2026 Forecast B'!K8,"0.0%")&amp;" – "&amp;TEXT('2026 Forecast B'!L8,"0.0%")</f>
        <v>50.6% – 55.1%</v>
      </c>
      <c r="I18" s="13" t="n">
        <f aca="false">'2026 Forecast B'!N8</f>
        <v>8124</v>
      </c>
    </row>
    <row r="19" customFormat="false" ht="15" hidden="false" customHeight="false" outlineLevel="0" collapsed="false">
      <c r="A19" s="11" t="s">
        <v>29</v>
      </c>
      <c r="B19" s="12" t="s">
        <v>30</v>
      </c>
      <c r="C19" s="13" t="n">
        <f aca="false">'2026 Forecast C'!D8</f>
        <v>158260</v>
      </c>
      <c r="D19" s="13" t="n">
        <f aca="false">'2026 Forecast C'!E8</f>
        <v>141363</v>
      </c>
      <c r="E19" s="13" t="n">
        <f aca="false">'2026 Forecast C'!F8</f>
        <v>299623</v>
      </c>
      <c r="F19" s="14" t="n">
        <f aca="false">'2026 Forecast C'!G8</f>
        <v>0.52819710102362</v>
      </c>
      <c r="G19" s="15" t="n">
        <f aca="false">'2026 Forecast C'!J8</f>
        <v>2.23303589483125</v>
      </c>
      <c r="H19" s="12" t="str">
        <f aca="false">TEXT('2026 Forecast C'!K8,"0.0%")&amp;" – "&amp;TEXT('2026 Forecast C'!L8,"0.0%")</f>
        <v>50.6% – 55.1%</v>
      </c>
      <c r="I19" s="13" t="n">
        <f aca="false">'2026 Forecast C'!N8</f>
        <v>8122</v>
      </c>
    </row>
    <row r="21" customFormat="false" ht="15" hidden="false" customHeight="false" outlineLevel="0" collapsed="false">
      <c r="A21" s="4" t="s">
        <v>31</v>
      </c>
      <c r="B21" s="4"/>
      <c r="C21" s="4"/>
      <c r="D21" s="4"/>
      <c r="E21" s="4"/>
      <c r="F21" s="4"/>
      <c r="G21" s="4"/>
      <c r="H21" s="4"/>
      <c r="I21" s="4"/>
    </row>
    <row r="22" customFormat="false" ht="45" hidden="false" customHeight="true" outlineLevel="0" collapsed="false">
      <c r="A22" s="7" t="s">
        <v>16</v>
      </c>
      <c r="B22" s="7" t="s">
        <v>32</v>
      </c>
      <c r="C22" s="7" t="s">
        <v>33</v>
      </c>
      <c r="D22" s="7" t="s">
        <v>34</v>
      </c>
      <c r="E22" s="7" t="s">
        <v>35</v>
      </c>
      <c r="F22" s="7" t="s">
        <v>36</v>
      </c>
      <c r="G22" s="7" t="s">
        <v>37</v>
      </c>
      <c r="H22" s="7" t="s">
        <v>38</v>
      </c>
      <c r="I22" s="7" t="s">
        <v>39</v>
      </c>
    </row>
    <row r="23" customFormat="false" ht="15" hidden="false" customHeight="false" outlineLevel="0" collapsed="false">
      <c r="A23" s="16" t="s">
        <v>25</v>
      </c>
      <c r="B23" s="17" t="n">
        <f aca="false">'2024 Backtest A'!F384</f>
        <v>342</v>
      </c>
      <c r="C23" s="18" t="n">
        <f aca="false">'2024 Backtest A'!F378</f>
        <v>2.72623235857021</v>
      </c>
      <c r="D23" s="18" t="n">
        <f aca="false">'2024 Backtest A'!F379</f>
        <v>3.34385362468937</v>
      </c>
      <c r="E23" s="19" t="n">
        <f aca="false">'2024 Backtest A'!F380</f>
        <v>2.23110140227628</v>
      </c>
      <c r="F23" s="18" t="n">
        <f aca="false">'2024 Backtest A'!F381</f>
        <v>2.16005891267527</v>
      </c>
      <c r="G23" s="20" t="n">
        <f aca="false">'2024 Backtest A'!F382</f>
        <v>-0.0290726534598739</v>
      </c>
      <c r="H23" s="21" t="n">
        <f aca="false">'2024 Backtest A'!F376</f>
        <v>34.1520467836257</v>
      </c>
      <c r="I23" s="22" t="n">
        <f aca="false">'2024 Backtest A'!F383</f>
        <v>0.625730994152047</v>
      </c>
    </row>
    <row r="24" customFormat="false" ht="15" hidden="false" customHeight="false" outlineLevel="0" collapsed="false">
      <c r="A24" s="16" t="s">
        <v>27</v>
      </c>
      <c r="B24" s="17" t="n">
        <f aca="false">'2024 Backtest B'!F384</f>
        <v>342</v>
      </c>
      <c r="C24" s="18" t="n">
        <f aca="false">'2024 Backtest B'!F378</f>
        <v>2.85169538228628</v>
      </c>
      <c r="D24" s="18" t="n">
        <f aca="false">'2024 Backtest B'!F379</f>
        <v>3.44372641432581</v>
      </c>
      <c r="E24" s="19" t="n">
        <f aca="false">'2024 Backtest B'!F380</f>
        <v>2.23358860698981</v>
      </c>
      <c r="F24" s="18" t="n">
        <f aca="false">'2024 Backtest B'!F381</f>
        <v>2.27483603393027</v>
      </c>
      <c r="G24" s="20" t="n">
        <f aca="false">'2024 Backtest B'!F382</f>
        <v>-0.0290726534598739</v>
      </c>
      <c r="H24" s="21" t="n">
        <f aca="false">'2024 Backtest B'!F376</f>
        <v>36.687134502924</v>
      </c>
      <c r="I24" s="22" t="n">
        <f aca="false">'2024 Backtest B'!F383</f>
        <v>0.584795321637427</v>
      </c>
    </row>
    <row r="25" customFormat="false" ht="15" hidden="false" customHeight="false" outlineLevel="0" collapsed="false">
      <c r="A25" s="16" t="s">
        <v>29</v>
      </c>
      <c r="B25" s="17" t="n">
        <f aca="false">'2024 Backtest C'!F384</f>
        <v>342</v>
      </c>
      <c r="C25" s="18" t="n">
        <f aca="false">'2024 Backtest C'!F378</f>
        <v>2.81138416016969</v>
      </c>
      <c r="D25" s="18" t="n">
        <f aca="false">'2024 Backtest C'!F379</f>
        <v>3.57555201304457</v>
      </c>
      <c r="E25" s="19" t="n">
        <f aca="false">'2024 Backtest C'!F380</f>
        <v>2.23303589483125</v>
      </c>
      <c r="F25" s="18" t="n">
        <f aca="false">'2024 Backtest C'!F381</f>
        <v>2.42615154898535</v>
      </c>
      <c r="G25" s="20" t="n">
        <f aca="false">'2024 Backtest C'!F382</f>
        <v>-0.0290726534598739</v>
      </c>
      <c r="H25" s="21" t="n">
        <f aca="false">'2024 Backtest C'!F376</f>
        <v>34.7690058479532</v>
      </c>
      <c r="I25" s="22" t="n">
        <f aca="false">'2024 Backtest C'!F383</f>
        <v>0.631578947368421</v>
      </c>
    </row>
    <row r="26" customFormat="false" ht="15" hidden="false" customHeight="false" outlineLevel="0" collapsed="false">
      <c r="A26" s="23" t="s">
        <v>40</v>
      </c>
      <c r="B26" s="23"/>
      <c r="C26" s="23"/>
      <c r="D26" s="23"/>
      <c r="E26" s="23"/>
      <c r="F26" s="23"/>
      <c r="G26" s="23"/>
      <c r="H26" s="23"/>
      <c r="I26" s="23"/>
    </row>
    <row r="28" customFormat="false" ht="15" hidden="false" customHeight="false" outlineLevel="0" collapsed="false">
      <c r="A28" s="4" t="s">
        <v>41</v>
      </c>
      <c r="B28" s="4"/>
      <c r="C28" s="4"/>
      <c r="D28" s="4"/>
      <c r="E28" s="4"/>
      <c r="F28" s="4"/>
      <c r="G28" s="4"/>
      <c r="H28" s="4"/>
      <c r="I28" s="4"/>
      <c r="J28" s="4"/>
      <c r="K28" s="4"/>
      <c r="L28" s="4"/>
    </row>
    <row r="29" customFormat="false" ht="31.5" hidden="false" customHeight="true" outlineLevel="0" collapsed="false">
      <c r="A29" s="7" t="s">
        <v>42</v>
      </c>
      <c r="B29" s="7" t="s">
        <v>43</v>
      </c>
      <c r="C29" s="7" t="s">
        <v>44</v>
      </c>
      <c r="D29" s="7" t="s">
        <v>25</v>
      </c>
      <c r="E29" s="7" t="s">
        <v>27</v>
      </c>
      <c r="F29" s="7" t="s">
        <v>29</v>
      </c>
      <c r="G29" s="7" t="s">
        <v>45</v>
      </c>
      <c r="H29" s="7" t="s">
        <v>46</v>
      </c>
      <c r="I29" s="7" t="s">
        <v>47</v>
      </c>
      <c r="J29" s="7" t="s">
        <v>48</v>
      </c>
      <c r="K29" s="7" t="s">
        <v>49</v>
      </c>
      <c r="L29" s="7" t="s">
        <v>50</v>
      </c>
    </row>
    <row r="30" customFormat="false" ht="15" hidden="false" customHeight="false" outlineLevel="0" collapsed="false">
      <c r="A30" s="8" t="str">
        <f aca="false">'2026 Forecast A'!A12</f>
        <v>Carbon</v>
      </c>
      <c r="B30" s="8" t="str">
        <f aca="false">'2026 Forecast A'!B12</f>
        <v>BANKS TOWNSHIP</v>
      </c>
      <c r="C30" s="8" t="str">
        <f aca="false">'2026 Forecast A'!C12</f>
        <v>BANKS TOWNSHIP</v>
      </c>
      <c r="D30" s="9" t="n">
        <f aca="false">'2026 Forecast A'!G12</f>
        <v>0.44300518134715</v>
      </c>
      <c r="E30" s="9" t="n">
        <f aca="false">'2026 Forecast B'!G12</f>
        <v>0.44559585492228</v>
      </c>
      <c r="F30" s="9" t="n">
        <f aca="false">'2026 Forecast C'!G12</f>
        <v>0.437823834196891</v>
      </c>
      <c r="G30" s="24" t="n">
        <f aca="false">(MAX(D30:F30)-MIN(D30:F30))*100</f>
        <v>0.777202072538857</v>
      </c>
      <c r="H30" s="24" t="n">
        <f aca="false">'2026 Forecast A'!J12</f>
        <v>3.02608556967268</v>
      </c>
      <c r="I30" s="24" t="n">
        <f aca="false">'2026 Forecast B'!J12</f>
        <v>2.87480042420966</v>
      </c>
      <c r="J30" s="24" t="n">
        <f aca="false">'2026 Forecast C'!J12</f>
        <v>3.45317612968717</v>
      </c>
      <c r="K30" s="25" t="n">
        <f aca="false">'2026 Forecast A'!F12</f>
        <v>386</v>
      </c>
      <c r="L30" s="26" t="str">
        <f aca="false">IF(OR(AND(D30&gt;0.5,E30&gt;0.5,F30&gt;0.5),AND(D30&lt;0.5,E30&lt;0.5,F30&lt;0.5)),"Yes","No — toss-up")</f>
        <v>Yes</v>
      </c>
    </row>
    <row r="31" customFormat="false" ht="15" hidden="false" customHeight="false" outlineLevel="0" collapsed="false">
      <c r="A31" s="8" t="str">
        <f aca="false">'2026 Forecast A'!A13</f>
        <v>Carbon</v>
      </c>
      <c r="B31" s="8" t="str">
        <f aca="false">'2026 Forecast A'!B13</f>
        <v>BEAVER MEADOWS BOROUGH</v>
      </c>
      <c r="C31" s="8" t="str">
        <f aca="false">'2026 Forecast A'!C13</f>
        <v>BEAVER MEADOWS BOROUGH</v>
      </c>
      <c r="D31" s="9" t="n">
        <f aca="false">'2026 Forecast A'!G13</f>
        <v>0.32484076433121</v>
      </c>
      <c r="E31" s="9" t="n">
        <f aca="false">'2026 Forecast B'!G13</f>
        <v>0.331210191082803</v>
      </c>
      <c r="F31" s="9" t="n">
        <f aca="false">'2026 Forecast C'!G13</f>
        <v>0.315286624203822</v>
      </c>
      <c r="G31" s="24" t="n">
        <f aca="false">(MAX(D31:F31)-MIN(D31:F31))*100</f>
        <v>1.59235668789809</v>
      </c>
      <c r="H31" s="24" t="n">
        <f aca="false">'2026 Forecast A'!J13</f>
        <v>3.02608556967268</v>
      </c>
      <c r="I31" s="24" t="n">
        <f aca="false">'2026 Forecast B'!J13</f>
        <v>2.87480042420966</v>
      </c>
      <c r="J31" s="24" t="n">
        <f aca="false">'2026 Forecast C'!J13</f>
        <v>3.45317612968717</v>
      </c>
      <c r="K31" s="25" t="n">
        <f aca="false">'2026 Forecast A'!F13</f>
        <v>314</v>
      </c>
      <c r="L31" s="26" t="str">
        <f aca="false">IF(OR(AND(D31&gt;0.5,E31&gt;0.5,F31&gt;0.5),AND(D31&lt;0.5,E31&lt;0.5,F31&lt;0.5)),"Yes","No — toss-up")</f>
        <v>Yes</v>
      </c>
    </row>
    <row r="32" customFormat="false" ht="15" hidden="false" customHeight="false" outlineLevel="0" collapsed="false">
      <c r="A32" s="8" t="str">
        <f aca="false">'2026 Forecast A'!A14</f>
        <v>Carbon</v>
      </c>
      <c r="B32" s="8" t="str">
        <f aca="false">'2026 Forecast A'!B14</f>
        <v>BOWMANSTOWN BOROUGH</v>
      </c>
      <c r="C32" s="8" t="str">
        <f aca="false">'2026 Forecast A'!C14</f>
        <v>BOWMANSTOWN BOROUGH</v>
      </c>
      <c r="D32" s="9" t="n">
        <f aca="false">'2026 Forecast A'!G14</f>
        <v>0.359195402298851</v>
      </c>
      <c r="E32" s="9" t="n">
        <f aca="false">'2026 Forecast B'!G14</f>
        <v>0.373563218390805</v>
      </c>
      <c r="F32" s="9" t="n">
        <f aca="false">'2026 Forecast C'!G14</f>
        <v>0.353448275862069</v>
      </c>
      <c r="G32" s="24" t="n">
        <f aca="false">(MAX(D32:F32)-MIN(D32:F32))*100</f>
        <v>2.01149425287356</v>
      </c>
      <c r="H32" s="24" t="n">
        <f aca="false">'2026 Forecast A'!J14</f>
        <v>3.02608556967268</v>
      </c>
      <c r="I32" s="24" t="n">
        <f aca="false">'2026 Forecast B'!J14</f>
        <v>2.87480042420966</v>
      </c>
      <c r="J32" s="24" t="n">
        <f aca="false">'2026 Forecast C'!J14</f>
        <v>3.45317612968717</v>
      </c>
      <c r="K32" s="25" t="n">
        <f aca="false">'2026 Forecast A'!F14</f>
        <v>348</v>
      </c>
      <c r="L32" s="26" t="str">
        <f aca="false">IF(OR(AND(D32&gt;0.5,E32&gt;0.5,F32&gt;0.5),AND(D32&lt;0.5,E32&lt;0.5,F32&lt;0.5)),"Yes","No — toss-up")</f>
        <v>Yes</v>
      </c>
    </row>
    <row r="33" customFormat="false" ht="15" hidden="false" customHeight="false" outlineLevel="0" collapsed="false">
      <c r="A33" s="8" t="str">
        <f aca="false">'2026 Forecast A'!A15</f>
        <v>Carbon</v>
      </c>
      <c r="B33" s="8" t="str">
        <f aca="false">'2026 Forecast A'!B15</f>
        <v>EAST PENN TOWNSHIP</v>
      </c>
      <c r="C33" s="8" t="str">
        <f aca="false">'2026 Forecast A'!C15</f>
        <v>EAST PENN TOWNSHIP-NORTH</v>
      </c>
      <c r="D33" s="9" t="n">
        <f aca="false">'2026 Forecast A'!G15</f>
        <v>0.290830945558739</v>
      </c>
      <c r="E33" s="9" t="n">
        <f aca="false">'2026 Forecast B'!G15</f>
        <v>0.297994269340974</v>
      </c>
      <c r="F33" s="9" t="n">
        <f aca="false">'2026 Forecast C'!G15</f>
        <v>0.282234957020057</v>
      </c>
      <c r="G33" s="24" t="n">
        <f aca="false">(MAX(D33:F33)-MIN(D33:F33))*100</f>
        <v>1.57593123209169</v>
      </c>
      <c r="H33" s="24" t="n">
        <f aca="false">'2026 Forecast A'!J15</f>
        <v>3.02608556967268</v>
      </c>
      <c r="I33" s="24" t="n">
        <f aca="false">'2026 Forecast B'!J15</f>
        <v>2.87480042420966</v>
      </c>
      <c r="J33" s="24" t="n">
        <f aca="false">'2026 Forecast C'!J15</f>
        <v>3.45317612968717</v>
      </c>
      <c r="K33" s="25" t="n">
        <f aca="false">'2026 Forecast A'!F15</f>
        <v>698</v>
      </c>
      <c r="L33" s="26" t="str">
        <f aca="false">IF(OR(AND(D33&gt;0.5,E33&gt;0.5,F33&gt;0.5),AND(D33&lt;0.5,E33&lt;0.5,F33&lt;0.5)),"Yes","No — toss-up")</f>
        <v>Yes</v>
      </c>
    </row>
    <row r="34" customFormat="false" ht="15" hidden="false" customHeight="false" outlineLevel="0" collapsed="false">
      <c r="A34" s="8" t="str">
        <f aca="false">'2026 Forecast A'!A16</f>
        <v>Carbon</v>
      </c>
      <c r="B34" s="8" t="str">
        <f aca="false">'2026 Forecast A'!B16</f>
        <v>EAST PENN TOWNSHIP</v>
      </c>
      <c r="C34" s="8" t="str">
        <f aca="false">'2026 Forecast A'!C16</f>
        <v>EAST PENN TOWNSHIP-SOUTH</v>
      </c>
      <c r="D34" s="9" t="n">
        <f aca="false">'2026 Forecast A'!G16</f>
        <v>0.320534223706177</v>
      </c>
      <c r="E34" s="9" t="n">
        <f aca="false">'2026 Forecast B'!G16</f>
        <v>0.320534223706177</v>
      </c>
      <c r="F34" s="9" t="n">
        <f aca="false">'2026 Forecast C'!G16</f>
        <v>0.312186978297162</v>
      </c>
      <c r="G34" s="24" t="n">
        <f aca="false">(MAX(D34:F34)-MIN(D34:F34))*100</f>
        <v>0.834724540901505</v>
      </c>
      <c r="H34" s="24" t="n">
        <f aca="false">'2026 Forecast A'!J16</f>
        <v>3.02608556967268</v>
      </c>
      <c r="I34" s="24" t="n">
        <f aca="false">'2026 Forecast B'!J16</f>
        <v>2.87480042420966</v>
      </c>
      <c r="J34" s="24" t="n">
        <f aca="false">'2026 Forecast C'!J16</f>
        <v>3.45317612968717</v>
      </c>
      <c r="K34" s="25" t="n">
        <f aca="false">'2026 Forecast A'!F16</f>
        <v>599</v>
      </c>
      <c r="L34" s="26" t="str">
        <f aca="false">IF(OR(AND(D34&gt;0.5,E34&gt;0.5,F34&gt;0.5),AND(D34&lt;0.5,E34&lt;0.5,F34&lt;0.5)),"Yes","No — toss-up")</f>
        <v>Yes</v>
      </c>
    </row>
    <row r="35" customFormat="false" ht="15" hidden="false" customHeight="false" outlineLevel="0" collapsed="false">
      <c r="A35" s="8" t="str">
        <f aca="false">'2026 Forecast A'!A17</f>
        <v>Carbon</v>
      </c>
      <c r="B35" s="8" t="str">
        <f aca="false">'2026 Forecast A'!B17</f>
        <v>EAST SIDE BOROUGH</v>
      </c>
      <c r="C35" s="8" t="str">
        <f aca="false">'2026 Forecast A'!C17</f>
        <v>EAST SIDE BOROUGH</v>
      </c>
      <c r="D35" s="9" t="n">
        <f aca="false">'2026 Forecast A'!G17</f>
        <v>0.382978723404255</v>
      </c>
      <c r="E35" s="9" t="n">
        <f aca="false">'2026 Forecast B'!G17</f>
        <v>0.393617021276596</v>
      </c>
      <c r="F35" s="9" t="n">
        <f aca="false">'2026 Forecast C'!G17</f>
        <v>0.372340425531915</v>
      </c>
      <c r="G35" s="24" t="n">
        <f aca="false">(MAX(D35:F35)-MIN(D35:F35))*100</f>
        <v>2.12765957446809</v>
      </c>
      <c r="H35" s="24" t="n">
        <f aca="false">'2026 Forecast A'!J17</f>
        <v>3.02608556967268</v>
      </c>
      <c r="I35" s="24" t="n">
        <f aca="false">'2026 Forecast B'!J17</f>
        <v>2.87480042420966</v>
      </c>
      <c r="J35" s="24" t="n">
        <f aca="false">'2026 Forecast C'!J17</f>
        <v>3.45317612968717</v>
      </c>
      <c r="K35" s="25" t="n">
        <f aca="false">'2026 Forecast A'!F17</f>
        <v>94</v>
      </c>
      <c r="L35" s="26" t="str">
        <f aca="false">IF(OR(AND(D35&gt;0.5,E35&gt;0.5,F35&gt;0.5),AND(D35&lt;0.5,E35&lt;0.5,F35&lt;0.5)),"Yes","No — toss-up")</f>
        <v>Yes</v>
      </c>
    </row>
    <row r="36" customFormat="false" ht="15" hidden="false" customHeight="false" outlineLevel="0" collapsed="false">
      <c r="A36" s="8" t="str">
        <f aca="false">'2026 Forecast A'!A18</f>
        <v>Carbon</v>
      </c>
      <c r="B36" s="8" t="str">
        <f aca="false">'2026 Forecast A'!B18</f>
        <v>FRANKLIN TOWNSHIP</v>
      </c>
      <c r="C36" s="8" t="str">
        <f aca="false">'2026 Forecast A'!C18</f>
        <v>FRANKLIN TOWNSHIP-HARRITY</v>
      </c>
      <c r="D36" s="9" t="n">
        <f aca="false">'2026 Forecast A'!G18</f>
        <v>0.32300357568534</v>
      </c>
      <c r="E36" s="9" t="n">
        <f aca="false">'2026 Forecast B'!G18</f>
        <v>0.32300357568534</v>
      </c>
      <c r="F36" s="9" t="n">
        <f aca="false">'2026 Forecast C'!G18</f>
        <v>0.313468414779499</v>
      </c>
      <c r="G36" s="24" t="n">
        <f aca="false">(MAX(D36:F36)-MIN(D36:F36))*100</f>
        <v>0.953516090584033</v>
      </c>
      <c r="H36" s="24" t="n">
        <f aca="false">'2026 Forecast A'!J18</f>
        <v>1.8085538155628</v>
      </c>
      <c r="I36" s="24" t="n">
        <f aca="false">'2026 Forecast B'!J18</f>
        <v>1.92472098334064</v>
      </c>
      <c r="J36" s="24" t="n">
        <f aca="false">'2026 Forecast C'!J18</f>
        <v>2.05025038892674</v>
      </c>
      <c r="K36" s="25" t="n">
        <f aca="false">'2026 Forecast A'!F18</f>
        <v>839</v>
      </c>
      <c r="L36" s="26" t="str">
        <f aca="false">IF(OR(AND(D36&gt;0.5,E36&gt;0.5,F36&gt;0.5),AND(D36&lt;0.5,E36&lt;0.5,F36&lt;0.5)),"Yes","No — toss-up")</f>
        <v>Yes</v>
      </c>
    </row>
    <row r="37" customFormat="false" ht="15" hidden="false" customHeight="false" outlineLevel="0" collapsed="false">
      <c r="A37" s="8" t="str">
        <f aca="false">'2026 Forecast A'!A19</f>
        <v>Carbon</v>
      </c>
      <c r="B37" s="8" t="str">
        <f aca="false">'2026 Forecast A'!B19</f>
        <v>FRANKLIN TOWNSHIP</v>
      </c>
      <c r="C37" s="8" t="str">
        <f aca="false">'2026 Forecast A'!C19</f>
        <v>FRANKLIN TOWNSHIP-IND DIST</v>
      </c>
      <c r="D37" s="9" t="n">
        <f aca="false">'2026 Forecast A'!G19</f>
        <v>0.312775330396476</v>
      </c>
      <c r="E37" s="9" t="n">
        <f aca="false">'2026 Forecast B'!G19</f>
        <v>0.319383259911894</v>
      </c>
      <c r="F37" s="9" t="n">
        <f aca="false">'2026 Forecast C'!G19</f>
        <v>0.303964757709251</v>
      </c>
      <c r="G37" s="24" t="n">
        <f aca="false">(MAX(D37:F37)-MIN(D37:F37))*100</f>
        <v>1.54185022026432</v>
      </c>
      <c r="H37" s="24" t="n">
        <f aca="false">'2026 Forecast A'!J19</f>
        <v>3.02608556967268</v>
      </c>
      <c r="I37" s="24" t="n">
        <f aca="false">'2026 Forecast B'!J19</f>
        <v>2.87480042420966</v>
      </c>
      <c r="J37" s="24" t="n">
        <f aca="false">'2026 Forecast C'!J19</f>
        <v>3.45317612968717</v>
      </c>
      <c r="K37" s="25" t="n">
        <f aca="false">'2026 Forecast A'!F19</f>
        <v>454</v>
      </c>
      <c r="L37" s="26" t="str">
        <f aca="false">IF(OR(AND(D37&gt;0.5,E37&gt;0.5,F37&gt;0.5),AND(D37&lt;0.5,E37&lt;0.5,F37&lt;0.5)),"Yes","No — toss-up")</f>
        <v>Yes</v>
      </c>
    </row>
    <row r="38" customFormat="false" ht="15" hidden="false" customHeight="false" outlineLevel="0" collapsed="false">
      <c r="A38" s="8" t="str">
        <f aca="false">'2026 Forecast A'!A20</f>
        <v>Carbon</v>
      </c>
      <c r="B38" s="8" t="str">
        <f aca="false">'2026 Forecast A'!B20</f>
        <v>FRANKLIN TOWNSHIP</v>
      </c>
      <c r="C38" s="8" t="str">
        <f aca="false">'2026 Forecast A'!C20</f>
        <v>FRANKLIN TOWNSHIP-LONG RUN</v>
      </c>
      <c r="D38" s="9" t="n">
        <f aca="false">'2026 Forecast A'!G20</f>
        <v>0.311278195488722</v>
      </c>
      <c r="E38" s="9" t="n">
        <f aca="false">'2026 Forecast B'!G20</f>
        <v>0.311278195488722</v>
      </c>
      <c r="F38" s="9" t="n">
        <f aca="false">'2026 Forecast C'!G20</f>
        <v>0.302255639097744</v>
      </c>
      <c r="G38" s="24" t="n">
        <f aca="false">(MAX(D38:F38)-MIN(D38:F38))*100</f>
        <v>0.902255639097743</v>
      </c>
      <c r="H38" s="24" t="n">
        <f aca="false">'2026 Forecast A'!J20</f>
        <v>3.02608556967268</v>
      </c>
      <c r="I38" s="24" t="n">
        <f aca="false">'2026 Forecast B'!J20</f>
        <v>2.87480042420966</v>
      </c>
      <c r="J38" s="24" t="n">
        <f aca="false">'2026 Forecast C'!J20</f>
        <v>3.45317612968717</v>
      </c>
      <c r="K38" s="25" t="n">
        <f aca="false">'2026 Forecast A'!F20</f>
        <v>665</v>
      </c>
      <c r="L38" s="26" t="str">
        <f aca="false">IF(OR(AND(D38&gt;0.5,E38&gt;0.5,F38&gt;0.5),AND(D38&lt;0.5,E38&lt;0.5,F38&lt;0.5)),"Yes","No — toss-up")</f>
        <v>Yes</v>
      </c>
    </row>
    <row r="39" customFormat="false" ht="15" hidden="false" customHeight="false" outlineLevel="0" collapsed="false">
      <c r="A39" s="8" t="str">
        <f aca="false">'2026 Forecast A'!A21</f>
        <v>Carbon</v>
      </c>
      <c r="B39" s="8" t="str">
        <f aca="false">'2026 Forecast A'!B21</f>
        <v>JIM THORPE BOROUGH</v>
      </c>
      <c r="C39" s="8" t="str">
        <f aca="false">'2026 Forecast A'!C21</f>
        <v>JIM THORPE BOROUGH-1ST</v>
      </c>
      <c r="D39" s="9" t="n">
        <f aca="false">'2026 Forecast A'!G21</f>
        <v>0.490909090909091</v>
      </c>
      <c r="E39" s="9" t="n">
        <f aca="false">'2026 Forecast B'!G21</f>
        <v>0.5</v>
      </c>
      <c r="F39" s="9" t="n">
        <f aca="false">'2026 Forecast C'!G21</f>
        <v>0.488636363636364</v>
      </c>
      <c r="G39" s="24" t="n">
        <f aca="false">(MAX(D39:F39)-MIN(D39:F39))*100</f>
        <v>1.13636363636364</v>
      </c>
      <c r="H39" s="24" t="n">
        <f aca="false">'2026 Forecast A'!J21</f>
        <v>3.02608556967268</v>
      </c>
      <c r="I39" s="24" t="n">
        <f aca="false">'2026 Forecast B'!J21</f>
        <v>2.87480042420966</v>
      </c>
      <c r="J39" s="24" t="n">
        <f aca="false">'2026 Forecast C'!J21</f>
        <v>3.45317612968717</v>
      </c>
      <c r="K39" s="25" t="n">
        <f aca="false">'2026 Forecast A'!F21</f>
        <v>440</v>
      </c>
      <c r="L39" s="26" t="str">
        <f aca="false">IF(OR(AND(D39&gt;0.5,E39&gt;0.5,F39&gt;0.5),AND(D39&lt;0.5,E39&lt;0.5,F39&lt;0.5)),"Yes","No — toss-up")</f>
        <v>No — toss-up</v>
      </c>
    </row>
    <row r="40" customFormat="false" ht="15" hidden="false" customHeight="false" outlineLevel="0" collapsed="false">
      <c r="A40" s="8" t="str">
        <f aca="false">'2026 Forecast A'!A22</f>
        <v>Carbon</v>
      </c>
      <c r="B40" s="8" t="str">
        <f aca="false">'2026 Forecast A'!B22</f>
        <v>JIM THORPE BOROUGH</v>
      </c>
      <c r="C40" s="8" t="str">
        <f aca="false">'2026 Forecast A'!C22</f>
        <v>JIM THORPE BOROUGH-2ND</v>
      </c>
      <c r="D40" s="9" t="n">
        <f aca="false">'2026 Forecast A'!G22</f>
        <v>0.471380471380471</v>
      </c>
      <c r="E40" s="9" t="n">
        <f aca="false">'2026 Forecast B'!G22</f>
        <v>0.491582491582492</v>
      </c>
      <c r="F40" s="9" t="n">
        <f aca="false">'2026 Forecast C'!G22</f>
        <v>0.471380471380471</v>
      </c>
      <c r="G40" s="24" t="n">
        <f aca="false">(MAX(D40:F40)-MIN(D40:F40))*100</f>
        <v>2.02020202020202</v>
      </c>
      <c r="H40" s="24" t="n">
        <f aca="false">'2026 Forecast A'!J22</f>
        <v>3.02608556967268</v>
      </c>
      <c r="I40" s="24" t="n">
        <f aca="false">'2026 Forecast B'!J22</f>
        <v>2.87480042420966</v>
      </c>
      <c r="J40" s="24" t="n">
        <f aca="false">'2026 Forecast C'!J22</f>
        <v>3.45317612968717</v>
      </c>
      <c r="K40" s="25" t="n">
        <f aca="false">'2026 Forecast A'!F22</f>
        <v>297</v>
      </c>
      <c r="L40" s="26" t="str">
        <f aca="false">IF(OR(AND(D40&gt;0.5,E40&gt;0.5,F40&gt;0.5),AND(D40&lt;0.5,E40&lt;0.5,F40&lt;0.5)),"Yes","No — toss-up")</f>
        <v>Yes</v>
      </c>
    </row>
    <row r="41" customFormat="false" ht="15" hidden="false" customHeight="false" outlineLevel="0" collapsed="false">
      <c r="A41" s="8" t="str">
        <f aca="false">'2026 Forecast A'!A23</f>
        <v>Carbon</v>
      </c>
      <c r="B41" s="8" t="str">
        <f aca="false">'2026 Forecast A'!B23</f>
        <v>JIM THORPE BOROUGH</v>
      </c>
      <c r="C41" s="8" t="str">
        <f aca="false">'2026 Forecast A'!C23</f>
        <v>JIM THORPE BOROUGH-3RD</v>
      </c>
      <c r="D41" s="9" t="n">
        <f aca="false">'2026 Forecast A'!G23</f>
        <v>0.4272</v>
      </c>
      <c r="E41" s="9" t="n">
        <f aca="false">'2026 Forecast B'!G23</f>
        <v>0.432</v>
      </c>
      <c r="F41" s="9" t="n">
        <f aca="false">'2026 Forecast C'!G23</f>
        <v>0.4224</v>
      </c>
      <c r="G41" s="24" t="n">
        <f aca="false">(MAX(D41:F41)-MIN(D41:F41))*100</f>
        <v>0.96</v>
      </c>
      <c r="H41" s="24" t="n">
        <f aca="false">'2026 Forecast A'!J23</f>
        <v>3.02608556967268</v>
      </c>
      <c r="I41" s="24" t="n">
        <f aca="false">'2026 Forecast B'!J23</f>
        <v>2.87480042420966</v>
      </c>
      <c r="J41" s="24" t="n">
        <f aca="false">'2026 Forecast C'!J23</f>
        <v>3.45317612968717</v>
      </c>
      <c r="K41" s="25" t="n">
        <f aca="false">'2026 Forecast A'!F23</f>
        <v>625</v>
      </c>
      <c r="L41" s="26" t="str">
        <f aca="false">IF(OR(AND(D41&gt;0.5,E41&gt;0.5,F41&gt;0.5),AND(D41&lt;0.5,E41&lt;0.5,F41&lt;0.5)),"Yes","No — toss-up")</f>
        <v>Yes</v>
      </c>
    </row>
    <row r="42" customFormat="false" ht="15" hidden="false" customHeight="false" outlineLevel="0" collapsed="false">
      <c r="A42" s="8" t="str">
        <f aca="false">'2026 Forecast A'!A24</f>
        <v>Carbon</v>
      </c>
      <c r="B42" s="8" t="str">
        <f aca="false">'2026 Forecast A'!B24</f>
        <v>JIM THORPE BOROUGH</v>
      </c>
      <c r="C42" s="8" t="str">
        <f aca="false">'2026 Forecast A'!C24</f>
        <v>JIM THORPE BOROUGH-4TH</v>
      </c>
      <c r="D42" s="9" t="n">
        <f aca="false">'2026 Forecast A'!G24</f>
        <v>0.55421686746988</v>
      </c>
      <c r="E42" s="9" t="n">
        <f aca="false">'2026 Forecast B'!G24</f>
        <v>0.550200803212851</v>
      </c>
      <c r="F42" s="9" t="n">
        <f aca="false">'2026 Forecast C'!G24</f>
        <v>0.55421686746988</v>
      </c>
      <c r="G42" s="24" t="n">
        <f aca="false">(MAX(D42:F42)-MIN(D42:F42))*100</f>
        <v>0.401606425702816</v>
      </c>
      <c r="H42" s="24" t="n">
        <f aca="false">'2026 Forecast A'!J24</f>
        <v>3.02608556967268</v>
      </c>
      <c r="I42" s="24" t="n">
        <f aca="false">'2026 Forecast B'!J24</f>
        <v>2.87480042420966</v>
      </c>
      <c r="J42" s="24" t="n">
        <f aca="false">'2026 Forecast C'!J24</f>
        <v>3.45317612968717</v>
      </c>
      <c r="K42" s="25" t="n">
        <f aca="false">'2026 Forecast A'!F24</f>
        <v>249</v>
      </c>
      <c r="L42" s="26" t="str">
        <f aca="false">IF(OR(AND(D42&gt;0.5,E42&gt;0.5,F42&gt;0.5),AND(D42&lt;0.5,E42&lt;0.5,F42&lt;0.5)),"Yes","No — toss-up")</f>
        <v>Yes</v>
      </c>
    </row>
    <row r="43" customFormat="false" ht="15" hidden="false" customHeight="false" outlineLevel="0" collapsed="false">
      <c r="A43" s="8" t="str">
        <f aca="false">'2026 Forecast A'!A25</f>
        <v>Carbon</v>
      </c>
      <c r="B43" s="8" t="str">
        <f aca="false">'2026 Forecast A'!B25</f>
        <v>JIM THORPE BOROUGH</v>
      </c>
      <c r="C43" s="8" t="str">
        <f aca="false">'2026 Forecast A'!C25</f>
        <v>JIM THORPE BOROUGH-5TH</v>
      </c>
      <c r="D43" s="9" t="n">
        <f aca="false">'2026 Forecast A'!G25</f>
        <v>0.495238095238095</v>
      </c>
      <c r="E43" s="9" t="n">
        <f aca="false">'2026 Forecast B'!G25</f>
        <v>0.499047619047619</v>
      </c>
      <c r="F43" s="9" t="n">
        <f aca="false">'2026 Forecast C'!G25</f>
        <v>0.493333333333333</v>
      </c>
      <c r="G43" s="24" t="n">
        <f aca="false">(MAX(D43:F43)-MIN(D43:F43))*100</f>
        <v>0.571428571428573</v>
      </c>
      <c r="H43" s="24" t="n">
        <f aca="false">'2026 Forecast A'!J25</f>
        <v>3.02608556967268</v>
      </c>
      <c r="I43" s="24" t="n">
        <f aca="false">'2026 Forecast B'!J25</f>
        <v>2.87480042420966</v>
      </c>
      <c r="J43" s="24" t="n">
        <f aca="false">'2026 Forecast C'!J25</f>
        <v>3.45317612968717</v>
      </c>
      <c r="K43" s="25" t="n">
        <f aca="false">'2026 Forecast A'!F25</f>
        <v>525</v>
      </c>
      <c r="L43" s="26" t="str">
        <f aca="false">IF(OR(AND(D43&gt;0.5,E43&gt;0.5,F43&gt;0.5),AND(D43&lt;0.5,E43&lt;0.5,F43&lt;0.5)),"Yes","No — toss-up")</f>
        <v>Yes</v>
      </c>
    </row>
    <row r="44" customFormat="false" ht="15" hidden="false" customHeight="false" outlineLevel="0" collapsed="false">
      <c r="A44" s="8" t="str">
        <f aca="false">'2026 Forecast A'!A26</f>
        <v>Carbon</v>
      </c>
      <c r="B44" s="8" t="str">
        <f aca="false">'2026 Forecast A'!B26</f>
        <v>KIDDER TOWNSHIP</v>
      </c>
      <c r="C44" s="8" t="str">
        <f aca="false">'2026 Forecast A'!C26</f>
        <v>KIDDER TOWNSHIP-NORTH</v>
      </c>
      <c r="D44" s="9" t="n">
        <f aca="false">'2026 Forecast A'!G26</f>
        <v>0.396</v>
      </c>
      <c r="E44" s="9" t="n">
        <f aca="false">'2026 Forecast B'!G26</f>
        <v>0.396</v>
      </c>
      <c r="F44" s="9" t="n">
        <f aca="false">'2026 Forecast C'!G26</f>
        <v>0.392</v>
      </c>
      <c r="G44" s="24" t="n">
        <f aca="false">(MAX(D44:F44)-MIN(D44:F44))*100</f>
        <v>0.4</v>
      </c>
      <c r="H44" s="24" t="n">
        <f aca="false">'2026 Forecast A'!J26</f>
        <v>3.02608556967268</v>
      </c>
      <c r="I44" s="24" t="n">
        <f aca="false">'2026 Forecast B'!J26</f>
        <v>2.87480042420966</v>
      </c>
      <c r="J44" s="24" t="n">
        <f aca="false">'2026 Forecast C'!J26</f>
        <v>3.45317612968717</v>
      </c>
      <c r="K44" s="25" t="n">
        <f aca="false">'2026 Forecast A'!F26</f>
        <v>250</v>
      </c>
      <c r="L44" s="26" t="str">
        <f aca="false">IF(OR(AND(D44&gt;0.5,E44&gt;0.5,F44&gt;0.5),AND(D44&lt;0.5,E44&lt;0.5,F44&lt;0.5)),"Yes","No — toss-up")</f>
        <v>Yes</v>
      </c>
    </row>
    <row r="45" customFormat="false" ht="15" hidden="false" customHeight="false" outlineLevel="0" collapsed="false">
      <c r="A45" s="8" t="str">
        <f aca="false">'2026 Forecast A'!A27</f>
        <v>Carbon</v>
      </c>
      <c r="B45" s="8" t="str">
        <f aca="false">'2026 Forecast A'!B27</f>
        <v>KIDDER TOWNSHIP</v>
      </c>
      <c r="C45" s="8" t="str">
        <f aca="false">'2026 Forecast A'!C27</f>
        <v>KIDDER TOWNSHIP-SOUTH</v>
      </c>
      <c r="D45" s="9" t="n">
        <f aca="false">'2026 Forecast A'!G27</f>
        <v>0.362862010221465</v>
      </c>
      <c r="E45" s="9" t="n">
        <f aca="false">'2026 Forecast B'!G27</f>
        <v>0.364565587734242</v>
      </c>
      <c r="F45" s="9" t="n">
        <f aca="false">'2026 Forecast C'!G27</f>
        <v>0.356047700170358</v>
      </c>
      <c r="G45" s="24" t="n">
        <f aca="false">(MAX(D45:F45)-MIN(D45:F45))*100</f>
        <v>0.851788756388416</v>
      </c>
      <c r="H45" s="24" t="n">
        <f aca="false">'2026 Forecast A'!J27</f>
        <v>3.02608556967268</v>
      </c>
      <c r="I45" s="24" t="n">
        <f aca="false">'2026 Forecast B'!J27</f>
        <v>2.87480042420966</v>
      </c>
      <c r="J45" s="24" t="n">
        <f aca="false">'2026 Forecast C'!J27</f>
        <v>3.45317612968717</v>
      </c>
      <c r="K45" s="25" t="n">
        <f aca="false">'2026 Forecast A'!F27</f>
        <v>587</v>
      </c>
      <c r="L45" s="26" t="str">
        <f aca="false">IF(OR(AND(D45&gt;0.5,E45&gt;0.5,F45&gt;0.5),AND(D45&lt;0.5,E45&lt;0.5,F45&lt;0.5)),"Yes","No — toss-up")</f>
        <v>Yes</v>
      </c>
    </row>
    <row r="46" customFormat="false" ht="15" hidden="false" customHeight="false" outlineLevel="0" collapsed="false">
      <c r="A46" s="8" t="str">
        <f aca="false">'2026 Forecast A'!A28</f>
        <v>Carbon</v>
      </c>
      <c r="B46" s="8" t="str">
        <f aca="false">'2026 Forecast A'!B28</f>
        <v>LANSFORD BOROUGH</v>
      </c>
      <c r="C46" s="8" t="str">
        <f aca="false">'2026 Forecast A'!C28</f>
        <v>LANSFORD BOROUGH - EAST WARD</v>
      </c>
      <c r="D46" s="9" t="n">
        <f aca="false">'2026 Forecast A'!G28</f>
        <v>0.443064182194617</v>
      </c>
      <c r="E46" s="9" t="n">
        <f aca="false">'2026 Forecast B'!G28</f>
        <v>0.449275362318841</v>
      </c>
      <c r="F46" s="9" t="n">
        <f aca="false">'2026 Forecast C'!G28</f>
        <v>0.436853002070393</v>
      </c>
      <c r="G46" s="24" t="n">
        <f aca="false">(MAX(D46:F46)-MIN(D46:F46))*100</f>
        <v>1.24223602484472</v>
      </c>
      <c r="H46" s="24" t="n">
        <f aca="false">'2026 Forecast A'!J28</f>
        <v>3.02608556967268</v>
      </c>
      <c r="I46" s="24" t="n">
        <f aca="false">'2026 Forecast B'!J28</f>
        <v>2.87480042420966</v>
      </c>
      <c r="J46" s="24" t="n">
        <f aca="false">'2026 Forecast C'!J28</f>
        <v>3.45317612968717</v>
      </c>
      <c r="K46" s="25" t="n">
        <f aca="false">'2026 Forecast A'!F28</f>
        <v>483</v>
      </c>
      <c r="L46" s="26" t="str">
        <f aca="false">IF(OR(AND(D46&gt;0.5,E46&gt;0.5,F46&gt;0.5),AND(D46&lt;0.5,E46&lt;0.5,F46&lt;0.5)),"Yes","No — toss-up")</f>
        <v>Yes</v>
      </c>
    </row>
    <row r="47" customFormat="false" ht="15" hidden="false" customHeight="false" outlineLevel="0" collapsed="false">
      <c r="A47" s="8" t="str">
        <f aca="false">'2026 Forecast A'!A29</f>
        <v>Carbon</v>
      </c>
      <c r="B47" s="8" t="str">
        <f aca="false">'2026 Forecast A'!B29</f>
        <v>LANSFORD BOROUGH</v>
      </c>
      <c r="C47" s="8" t="str">
        <f aca="false">'2026 Forecast A'!C29</f>
        <v>LANSFORD BOROUGH-MIDDLE WARD</v>
      </c>
      <c r="D47" s="9" t="n">
        <f aca="false">'2026 Forecast A'!G29</f>
        <v>0.439024390243902</v>
      </c>
      <c r="E47" s="9" t="n">
        <f aca="false">'2026 Forecast B'!G29</f>
        <v>0.449477351916376</v>
      </c>
      <c r="F47" s="9" t="n">
        <f aca="false">'2026 Forecast C'!G29</f>
        <v>0.43205574912892</v>
      </c>
      <c r="G47" s="24" t="n">
        <f aca="false">(MAX(D47:F47)-MIN(D47:F47))*100</f>
        <v>1.74216027874565</v>
      </c>
      <c r="H47" s="24" t="n">
        <f aca="false">'2026 Forecast A'!J29</f>
        <v>3.02608556967268</v>
      </c>
      <c r="I47" s="24" t="n">
        <f aca="false">'2026 Forecast B'!J29</f>
        <v>2.87480042420966</v>
      </c>
      <c r="J47" s="24" t="n">
        <f aca="false">'2026 Forecast C'!J29</f>
        <v>3.45317612968717</v>
      </c>
      <c r="K47" s="25" t="n">
        <f aca="false">'2026 Forecast A'!F29</f>
        <v>287</v>
      </c>
      <c r="L47" s="26" t="str">
        <f aca="false">IF(OR(AND(D47&gt;0.5,E47&gt;0.5,F47&gt;0.5),AND(D47&lt;0.5,E47&lt;0.5,F47&lt;0.5)),"Yes","No — toss-up")</f>
        <v>Yes</v>
      </c>
    </row>
    <row r="48" customFormat="false" ht="15" hidden="false" customHeight="false" outlineLevel="0" collapsed="false">
      <c r="A48" s="8" t="str">
        <f aca="false">'2026 Forecast A'!A30</f>
        <v>Carbon</v>
      </c>
      <c r="B48" s="8" t="str">
        <f aca="false">'2026 Forecast A'!B30</f>
        <v>LANSFORD BOROUGH</v>
      </c>
      <c r="C48" s="8" t="str">
        <f aca="false">'2026 Forecast A'!C30</f>
        <v>LANSFORD BOROUGH-WEST WARD</v>
      </c>
      <c r="D48" s="9" t="n">
        <f aca="false">'2026 Forecast A'!G30</f>
        <v>0.456521739130435</v>
      </c>
      <c r="E48" s="9" t="n">
        <f aca="false">'2026 Forecast B'!G30</f>
        <v>0.478260869565217</v>
      </c>
      <c r="F48" s="9" t="n">
        <f aca="false">'2026 Forecast C'!G30</f>
        <v>0.456521739130435</v>
      </c>
      <c r="G48" s="24" t="n">
        <f aca="false">(MAX(D48:F48)-MIN(D48:F48))*100</f>
        <v>2.17391304347827</v>
      </c>
      <c r="H48" s="24" t="n">
        <f aca="false">'2026 Forecast A'!J30</f>
        <v>3.02608556967268</v>
      </c>
      <c r="I48" s="24" t="n">
        <f aca="false">'2026 Forecast B'!J30</f>
        <v>2.87480042420966</v>
      </c>
      <c r="J48" s="24" t="n">
        <f aca="false">'2026 Forecast C'!J30</f>
        <v>3.45317612968717</v>
      </c>
      <c r="K48" s="25" t="n">
        <f aca="false">'2026 Forecast A'!F30</f>
        <v>230</v>
      </c>
      <c r="L48" s="26" t="str">
        <f aca="false">IF(OR(AND(D48&gt;0.5,E48&gt;0.5,F48&gt;0.5),AND(D48&lt;0.5,E48&lt;0.5,F48&lt;0.5)),"Yes","No — toss-up")</f>
        <v>Yes</v>
      </c>
    </row>
    <row r="49" customFormat="false" ht="15" hidden="false" customHeight="false" outlineLevel="0" collapsed="false">
      <c r="A49" s="8" t="str">
        <f aca="false">'2026 Forecast A'!A31</f>
        <v>Carbon</v>
      </c>
      <c r="B49" s="8" t="str">
        <f aca="false">'2026 Forecast A'!B31</f>
        <v>LAUSANNE TOWNSHIP</v>
      </c>
      <c r="C49" s="8" t="str">
        <f aca="false">'2026 Forecast A'!C31</f>
        <v>LAUSANNE TOWNSHIP</v>
      </c>
      <c r="D49" s="9" t="n">
        <f aca="false">'2026 Forecast A'!G31</f>
        <v>0.304347826086957</v>
      </c>
      <c r="E49" s="9" t="n">
        <f aca="false">'2026 Forecast B'!G31</f>
        <v>0.31304347826087</v>
      </c>
      <c r="F49" s="9" t="n">
        <f aca="false">'2026 Forecast C'!G31</f>
        <v>0.295652173913044</v>
      </c>
      <c r="G49" s="24" t="n">
        <f aca="false">(MAX(D49:F49)-MIN(D49:F49))*100</f>
        <v>1.73913043478261</v>
      </c>
      <c r="H49" s="24" t="n">
        <f aca="false">'2026 Forecast A'!J31</f>
        <v>3.02608556967268</v>
      </c>
      <c r="I49" s="24" t="n">
        <f aca="false">'2026 Forecast B'!J31</f>
        <v>2.87480042420966</v>
      </c>
      <c r="J49" s="24" t="n">
        <f aca="false">'2026 Forecast C'!J31</f>
        <v>3.45317612968717</v>
      </c>
      <c r="K49" s="25" t="n">
        <f aca="false">'2026 Forecast A'!F31</f>
        <v>115</v>
      </c>
      <c r="L49" s="26" t="str">
        <f aca="false">IF(OR(AND(D49&gt;0.5,E49&gt;0.5,F49&gt;0.5),AND(D49&lt;0.5,E49&lt;0.5,F49&lt;0.5)),"Yes","No — toss-up")</f>
        <v>Yes</v>
      </c>
    </row>
    <row r="50" customFormat="false" ht="15" hidden="false" customHeight="false" outlineLevel="0" collapsed="false">
      <c r="A50" s="8" t="str">
        <f aca="false">'2026 Forecast A'!A32</f>
        <v>Carbon</v>
      </c>
      <c r="B50" s="8" t="str">
        <f aca="false">'2026 Forecast A'!B32</f>
        <v>LEHIGH TOWNSHIP</v>
      </c>
      <c r="C50" s="8" t="str">
        <f aca="false">'2026 Forecast A'!C32</f>
        <v>LEHIGH TOWNSHIP</v>
      </c>
      <c r="D50" s="9" t="n">
        <f aca="false">'2026 Forecast A'!G32</f>
        <v>0.24896265560166</v>
      </c>
      <c r="E50" s="9" t="n">
        <f aca="false">'2026 Forecast B'!G32</f>
        <v>0.257261410788382</v>
      </c>
      <c r="F50" s="9" t="n">
        <f aca="false">'2026 Forecast C'!G32</f>
        <v>0.240663900414938</v>
      </c>
      <c r="G50" s="24" t="n">
        <f aca="false">(MAX(D50:F50)-MIN(D50:F50))*100</f>
        <v>1.6597510373444</v>
      </c>
      <c r="H50" s="24" t="n">
        <f aca="false">'2026 Forecast A'!J32</f>
        <v>3.02608556967268</v>
      </c>
      <c r="I50" s="24" t="n">
        <f aca="false">'2026 Forecast B'!J32</f>
        <v>2.87480042420966</v>
      </c>
      <c r="J50" s="24" t="n">
        <f aca="false">'2026 Forecast C'!J32</f>
        <v>3.45317612968717</v>
      </c>
      <c r="K50" s="25" t="n">
        <f aca="false">'2026 Forecast A'!F32</f>
        <v>241</v>
      </c>
      <c r="L50" s="26" t="str">
        <f aca="false">IF(OR(AND(D50&gt;0.5,E50&gt;0.5,F50&gt;0.5),AND(D50&lt;0.5,E50&lt;0.5,F50&lt;0.5)),"Yes","No — toss-up")</f>
        <v>Yes</v>
      </c>
    </row>
    <row r="51" customFormat="false" ht="15" hidden="false" customHeight="false" outlineLevel="0" collapsed="false">
      <c r="A51" s="8" t="str">
        <f aca="false">'2026 Forecast A'!A33</f>
        <v>Carbon</v>
      </c>
      <c r="B51" s="8" t="str">
        <f aca="false">'2026 Forecast A'!B33</f>
        <v>LEHIGHTON BOROUGH</v>
      </c>
      <c r="C51" s="8" t="str">
        <f aca="false">'2026 Forecast A'!C33</f>
        <v>LEHIGHTON BOROUGH-1ST</v>
      </c>
      <c r="D51" s="9" t="n">
        <f aca="false">'2026 Forecast A'!G33</f>
        <v>0.432862190812721</v>
      </c>
      <c r="E51" s="9" t="n">
        <f aca="false">'2026 Forecast B'!G33</f>
        <v>0.434628975265018</v>
      </c>
      <c r="F51" s="9" t="n">
        <f aca="false">'2026 Forecast C'!G33</f>
        <v>0.429328621908127</v>
      </c>
      <c r="G51" s="24" t="n">
        <f aca="false">(MAX(D51:F51)-MIN(D51:F51))*100</f>
        <v>0.530035335689044</v>
      </c>
      <c r="H51" s="24" t="n">
        <f aca="false">'2026 Forecast A'!J33</f>
        <v>3.02608556967268</v>
      </c>
      <c r="I51" s="24" t="n">
        <f aca="false">'2026 Forecast B'!J33</f>
        <v>2.87480042420966</v>
      </c>
      <c r="J51" s="24" t="n">
        <f aca="false">'2026 Forecast C'!J33</f>
        <v>3.45317612968717</v>
      </c>
      <c r="K51" s="25" t="n">
        <f aca="false">'2026 Forecast A'!F33</f>
        <v>566</v>
      </c>
      <c r="L51" s="26" t="str">
        <f aca="false">IF(OR(AND(D51&gt;0.5,E51&gt;0.5,F51&gt;0.5),AND(D51&lt;0.5,E51&lt;0.5,F51&lt;0.5)),"Yes","No — toss-up")</f>
        <v>Yes</v>
      </c>
    </row>
    <row r="52" customFormat="false" ht="15" hidden="false" customHeight="false" outlineLevel="0" collapsed="false">
      <c r="A52" s="8" t="str">
        <f aca="false">'2026 Forecast A'!A34</f>
        <v>Carbon</v>
      </c>
      <c r="B52" s="8" t="str">
        <f aca="false">'2026 Forecast A'!B34</f>
        <v>LEHIGHTON BOROUGH</v>
      </c>
      <c r="C52" s="8" t="str">
        <f aca="false">'2026 Forecast A'!C34</f>
        <v>LEHIGHTON BOROUGH-2ND</v>
      </c>
      <c r="D52" s="9" t="n">
        <f aca="false">'2026 Forecast A'!G34</f>
        <v>0.42314990512334</v>
      </c>
      <c r="E52" s="9" t="n">
        <f aca="false">'2026 Forecast B'!G34</f>
        <v>0.425047438330171</v>
      </c>
      <c r="F52" s="9" t="n">
        <f aca="false">'2026 Forecast C'!G34</f>
        <v>0.421252371916509</v>
      </c>
      <c r="G52" s="24" t="n">
        <f aca="false">(MAX(D52:F52)-MIN(D52:F52))*100</f>
        <v>0.379506641366223</v>
      </c>
      <c r="H52" s="24" t="n">
        <f aca="false">'2026 Forecast A'!J34</f>
        <v>3.02608556967268</v>
      </c>
      <c r="I52" s="24" t="n">
        <f aca="false">'2026 Forecast B'!J34</f>
        <v>2.87480042420966</v>
      </c>
      <c r="J52" s="24" t="n">
        <f aca="false">'2026 Forecast C'!J34</f>
        <v>3.45317612968717</v>
      </c>
      <c r="K52" s="25" t="n">
        <f aca="false">'2026 Forecast A'!F34</f>
        <v>527</v>
      </c>
      <c r="L52" s="26" t="str">
        <f aca="false">IF(OR(AND(D52&gt;0.5,E52&gt;0.5,F52&gt;0.5),AND(D52&lt;0.5,E52&lt;0.5,F52&lt;0.5)),"Yes","No — toss-up")</f>
        <v>Yes</v>
      </c>
    </row>
    <row r="53" customFormat="false" ht="15" hidden="false" customHeight="false" outlineLevel="0" collapsed="false">
      <c r="A53" s="8" t="str">
        <f aca="false">'2026 Forecast A'!A35</f>
        <v>Carbon</v>
      </c>
      <c r="B53" s="8" t="str">
        <f aca="false">'2026 Forecast A'!B35</f>
        <v>LEHIGHTON BOROUGH</v>
      </c>
      <c r="C53" s="8" t="str">
        <f aca="false">'2026 Forecast A'!C35</f>
        <v>LEHIGHTON BOROUGH-3RD</v>
      </c>
      <c r="D53" s="9" t="n">
        <f aca="false">'2026 Forecast A'!G35</f>
        <v>0.423344947735192</v>
      </c>
      <c r="E53" s="9" t="n">
        <f aca="false">'2026 Forecast B'!G35</f>
        <v>0.426829268292683</v>
      </c>
      <c r="F53" s="9" t="n">
        <f aca="false">'2026 Forecast C'!G35</f>
        <v>0.4198606271777</v>
      </c>
      <c r="G53" s="24" t="n">
        <f aca="false">(MAX(D53:F53)-MIN(D53:F53))*100</f>
        <v>0.696864111498258</v>
      </c>
      <c r="H53" s="24" t="n">
        <f aca="false">'2026 Forecast A'!J35</f>
        <v>3.02608556967268</v>
      </c>
      <c r="I53" s="24" t="n">
        <f aca="false">'2026 Forecast B'!J35</f>
        <v>2.87480042420966</v>
      </c>
      <c r="J53" s="24" t="n">
        <f aca="false">'2026 Forecast C'!J35</f>
        <v>3.45317612968717</v>
      </c>
      <c r="K53" s="25" t="n">
        <f aca="false">'2026 Forecast A'!F35</f>
        <v>574</v>
      </c>
      <c r="L53" s="26" t="str">
        <f aca="false">IF(OR(AND(D53&gt;0.5,E53&gt;0.5,F53&gt;0.5),AND(D53&lt;0.5,E53&lt;0.5,F53&lt;0.5)),"Yes","No — toss-up")</f>
        <v>Yes</v>
      </c>
    </row>
    <row r="54" customFormat="false" ht="15" hidden="false" customHeight="false" outlineLevel="0" collapsed="false">
      <c r="A54" s="8" t="str">
        <f aca="false">'2026 Forecast A'!A36</f>
        <v>Carbon</v>
      </c>
      <c r="B54" s="8" t="str">
        <f aca="false">'2026 Forecast A'!B36</f>
        <v>LOWER TOWAMENSING TOWNSHIP</v>
      </c>
      <c r="C54" s="8" t="str">
        <f aca="false">'2026 Forecast A'!C36</f>
        <v>LOWER TOWAMENSING TWP.-NORTH</v>
      </c>
      <c r="D54" s="9" t="n">
        <f aca="false">'2026 Forecast A'!G36</f>
        <v>0.327909887359199</v>
      </c>
      <c r="E54" s="9" t="n">
        <f aca="false">'2026 Forecast B'!G36</f>
        <v>0.334167709637046</v>
      </c>
      <c r="F54" s="9" t="n">
        <f aca="false">'2026 Forecast C'!G36</f>
        <v>0.319148936170213</v>
      </c>
      <c r="G54" s="24" t="n">
        <f aca="false">(MAX(D54:F54)-MIN(D54:F54))*100</f>
        <v>1.50187734668335</v>
      </c>
      <c r="H54" s="24" t="n">
        <f aca="false">'2026 Forecast A'!J36</f>
        <v>1.8085538155628</v>
      </c>
      <c r="I54" s="24" t="n">
        <f aca="false">'2026 Forecast B'!J36</f>
        <v>1.92472098334064</v>
      </c>
      <c r="J54" s="24" t="n">
        <f aca="false">'2026 Forecast C'!J36</f>
        <v>2.05025038892674</v>
      </c>
      <c r="K54" s="25" t="n">
        <f aca="false">'2026 Forecast A'!F36</f>
        <v>799</v>
      </c>
      <c r="L54" s="26" t="str">
        <f aca="false">IF(OR(AND(D54&gt;0.5,E54&gt;0.5,F54&gt;0.5),AND(D54&lt;0.5,E54&lt;0.5,F54&lt;0.5)),"Yes","No — toss-up")</f>
        <v>Yes</v>
      </c>
    </row>
    <row r="55" customFormat="false" ht="15" hidden="false" customHeight="false" outlineLevel="0" collapsed="false">
      <c r="A55" s="8" t="str">
        <f aca="false">'2026 Forecast A'!A37</f>
        <v>Carbon</v>
      </c>
      <c r="B55" s="8" t="str">
        <f aca="false">'2026 Forecast A'!B37</f>
        <v>LOWER TOWAMENSING TOWNSHIP</v>
      </c>
      <c r="C55" s="8" t="str">
        <f aca="false">'2026 Forecast A'!C37</f>
        <v>LOWER TOWAMENSING TWP.-SOUTH</v>
      </c>
      <c r="D55" s="9" t="n">
        <f aca="false">'2026 Forecast A'!G37</f>
        <v>0.341864716636197</v>
      </c>
      <c r="E55" s="9" t="n">
        <f aca="false">'2026 Forecast B'!G37</f>
        <v>0.341864716636197</v>
      </c>
      <c r="F55" s="9" t="n">
        <f aca="false">'2026 Forecast C'!G37</f>
        <v>0.3327239488117</v>
      </c>
      <c r="G55" s="24" t="n">
        <f aca="false">(MAX(D55:F55)-MIN(D55:F55))*100</f>
        <v>0.914076782449724</v>
      </c>
      <c r="H55" s="24" t="n">
        <f aca="false">'2026 Forecast A'!J37</f>
        <v>3.02608556967268</v>
      </c>
      <c r="I55" s="24" t="n">
        <f aca="false">'2026 Forecast B'!J37</f>
        <v>2.87480042420966</v>
      </c>
      <c r="J55" s="24" t="n">
        <f aca="false">'2026 Forecast C'!J37</f>
        <v>3.45317612968717</v>
      </c>
      <c r="K55" s="25" t="n">
        <f aca="false">'2026 Forecast A'!F37</f>
        <v>547</v>
      </c>
      <c r="L55" s="26" t="str">
        <f aca="false">IF(OR(AND(D55&gt;0.5,E55&gt;0.5,F55&gt;0.5),AND(D55&lt;0.5,E55&lt;0.5,F55&lt;0.5)),"Yes","No — toss-up")</f>
        <v>Yes</v>
      </c>
    </row>
    <row r="56" customFormat="false" ht="15" hidden="false" customHeight="false" outlineLevel="0" collapsed="false">
      <c r="A56" s="8" t="str">
        <f aca="false">'2026 Forecast A'!A38</f>
        <v>Carbon</v>
      </c>
      <c r="B56" s="8" t="str">
        <f aca="false">'2026 Forecast A'!B38</f>
        <v>MAHONING TOWNSHIP</v>
      </c>
      <c r="C56" s="8" t="str">
        <f aca="false">'2026 Forecast A'!C38</f>
        <v>MAHONING TOWNSHIP - NEW MAHONING</v>
      </c>
      <c r="D56" s="9" t="n">
        <f aca="false">'2026 Forecast A'!G38</f>
        <v>0.290488431876607</v>
      </c>
      <c r="E56" s="9" t="n">
        <f aca="false">'2026 Forecast B'!G38</f>
        <v>0.295629820051414</v>
      </c>
      <c r="F56" s="9" t="n">
        <f aca="false">'2026 Forecast C'!G38</f>
        <v>0.280205655526992</v>
      </c>
      <c r="G56" s="24" t="n">
        <f aca="false">(MAX(D56:F56)-MIN(D56:F56))*100</f>
        <v>1.54241645244216</v>
      </c>
      <c r="H56" s="24" t="n">
        <f aca="false">'2026 Forecast A'!J38</f>
        <v>3.02608556967268</v>
      </c>
      <c r="I56" s="24" t="n">
        <f aca="false">'2026 Forecast B'!J38</f>
        <v>2.87480042420966</v>
      </c>
      <c r="J56" s="24" t="n">
        <f aca="false">'2026 Forecast C'!J38</f>
        <v>3.45317612968717</v>
      </c>
      <c r="K56" s="25" t="n">
        <f aca="false">'2026 Forecast A'!F38</f>
        <v>389</v>
      </c>
      <c r="L56" s="26" t="str">
        <f aca="false">IF(OR(AND(D56&gt;0.5,E56&gt;0.5,F56&gt;0.5),AND(D56&lt;0.5,E56&lt;0.5,F56&lt;0.5)),"Yes","No — toss-up")</f>
        <v>Yes</v>
      </c>
    </row>
    <row r="57" customFormat="false" ht="15" hidden="false" customHeight="false" outlineLevel="0" collapsed="false">
      <c r="A57" s="8" t="str">
        <f aca="false">'2026 Forecast A'!A39</f>
        <v>Carbon</v>
      </c>
      <c r="B57" s="8" t="str">
        <f aca="false">'2026 Forecast A'!B39</f>
        <v>MAHONING TOWNSHIP</v>
      </c>
      <c r="C57" s="8" t="str">
        <f aca="false">'2026 Forecast A'!C39</f>
        <v>MAHONING TOWNSHIP - PACKERTON/JAMESTOWN</v>
      </c>
      <c r="D57" s="9" t="n">
        <f aca="false">'2026 Forecast A'!G39</f>
        <v>0.339869281045752</v>
      </c>
      <c r="E57" s="9" t="n">
        <f aca="false">'2026 Forecast B'!G39</f>
        <v>0.34640522875817</v>
      </c>
      <c r="F57" s="9" t="n">
        <f aca="false">'2026 Forecast C'!G39</f>
        <v>0.330065359477124</v>
      </c>
      <c r="G57" s="24" t="n">
        <f aca="false">(MAX(D57:F57)-MIN(D57:F57))*100</f>
        <v>1.63398692810458</v>
      </c>
      <c r="H57" s="24" t="n">
        <f aca="false">'2026 Forecast A'!J39</f>
        <v>3.02608556967268</v>
      </c>
      <c r="I57" s="24" t="n">
        <f aca="false">'2026 Forecast B'!J39</f>
        <v>2.87480042420966</v>
      </c>
      <c r="J57" s="24" t="n">
        <f aca="false">'2026 Forecast C'!J39</f>
        <v>3.45317612968717</v>
      </c>
      <c r="K57" s="25" t="n">
        <f aca="false">'2026 Forecast A'!F39</f>
        <v>306</v>
      </c>
      <c r="L57" s="26" t="str">
        <f aca="false">IF(OR(AND(D57&gt;0.5,E57&gt;0.5,F57&gt;0.5),AND(D57&lt;0.5,E57&lt;0.5,F57&lt;0.5)),"Yes","No — toss-up")</f>
        <v>Yes</v>
      </c>
    </row>
    <row r="58" customFormat="false" ht="15" hidden="false" customHeight="false" outlineLevel="0" collapsed="false">
      <c r="A58" s="8" t="str">
        <f aca="false">'2026 Forecast A'!A40</f>
        <v>Carbon</v>
      </c>
      <c r="B58" s="8" t="str">
        <f aca="false">'2026 Forecast A'!B40</f>
        <v>MAHONING TOWNSHIP</v>
      </c>
      <c r="C58" s="8" t="str">
        <f aca="false">'2026 Forecast A'!C40</f>
        <v>MAHONING TOWNSHIP-MAHONING</v>
      </c>
      <c r="D58" s="9" t="n">
        <f aca="false">'2026 Forecast A'!G40</f>
        <v>0.336734693877551</v>
      </c>
      <c r="E58" s="9" t="n">
        <f aca="false">'2026 Forecast B'!G40</f>
        <v>0.338589981447124</v>
      </c>
      <c r="F58" s="9" t="n">
        <f aca="false">'2026 Forecast C'!G40</f>
        <v>0.328385899814471</v>
      </c>
      <c r="G58" s="24" t="n">
        <f aca="false">(MAX(D58:F58)-MIN(D58:F58))*100</f>
        <v>1.02040816326531</v>
      </c>
      <c r="H58" s="24" t="n">
        <f aca="false">'2026 Forecast A'!J40</f>
        <v>1.8085538155628</v>
      </c>
      <c r="I58" s="24" t="n">
        <f aca="false">'2026 Forecast B'!J40</f>
        <v>1.92472098334064</v>
      </c>
      <c r="J58" s="24" t="n">
        <f aca="false">'2026 Forecast C'!J40</f>
        <v>2.05025038892674</v>
      </c>
      <c r="K58" s="25" t="n">
        <f aca="false">'2026 Forecast A'!F40</f>
        <v>1078</v>
      </c>
      <c r="L58" s="26" t="str">
        <f aca="false">IF(OR(AND(D58&gt;0.5,E58&gt;0.5,F58&gt;0.5),AND(D58&lt;0.5,E58&lt;0.5,F58&lt;0.5)),"Yes","No — toss-up")</f>
        <v>Yes</v>
      </c>
    </row>
    <row r="59" customFormat="false" ht="15" hidden="false" customHeight="false" outlineLevel="0" collapsed="false">
      <c r="A59" s="8" t="str">
        <f aca="false">'2026 Forecast A'!A41</f>
        <v>Carbon</v>
      </c>
      <c r="B59" s="8" t="str">
        <f aca="false">'2026 Forecast A'!B41</f>
        <v>NESQUEHONING BOROUGH</v>
      </c>
      <c r="C59" s="8" t="str">
        <f aca="false">'2026 Forecast A'!C41</f>
        <v>NESQUEHONING BOROUGH-EAST</v>
      </c>
      <c r="D59" s="9" t="n">
        <f aca="false">'2026 Forecast A'!G41</f>
        <v>0.443060498220641</v>
      </c>
      <c r="E59" s="9" t="n">
        <f aca="false">'2026 Forecast B'!G41</f>
        <v>0.443060498220641</v>
      </c>
      <c r="F59" s="9" t="n">
        <f aca="false">'2026 Forecast C'!G41</f>
        <v>0.437722419928826</v>
      </c>
      <c r="G59" s="24" t="n">
        <f aca="false">(MAX(D59:F59)-MIN(D59:F59))*100</f>
        <v>0.533807829181499</v>
      </c>
      <c r="H59" s="24" t="n">
        <f aca="false">'2026 Forecast A'!J41</f>
        <v>3.02608556967268</v>
      </c>
      <c r="I59" s="24" t="n">
        <f aca="false">'2026 Forecast B'!J41</f>
        <v>2.87480042420966</v>
      </c>
      <c r="J59" s="24" t="n">
        <f aca="false">'2026 Forecast C'!J41</f>
        <v>3.45317612968717</v>
      </c>
      <c r="K59" s="25" t="n">
        <f aca="false">'2026 Forecast A'!F41</f>
        <v>562</v>
      </c>
      <c r="L59" s="26" t="str">
        <f aca="false">IF(OR(AND(D59&gt;0.5,E59&gt;0.5,F59&gt;0.5),AND(D59&lt;0.5,E59&lt;0.5,F59&lt;0.5)),"Yes","No — toss-up")</f>
        <v>Yes</v>
      </c>
    </row>
    <row r="60" customFormat="false" ht="15" hidden="false" customHeight="false" outlineLevel="0" collapsed="false">
      <c r="A60" s="8" t="str">
        <f aca="false">'2026 Forecast A'!A42</f>
        <v>Carbon</v>
      </c>
      <c r="B60" s="8" t="str">
        <f aca="false">'2026 Forecast A'!B42</f>
        <v>NESQUEHONING BOROUGH</v>
      </c>
      <c r="C60" s="8" t="str">
        <f aca="false">'2026 Forecast A'!C42</f>
        <v>NESQUEHONING BOROUGH-WEST</v>
      </c>
      <c r="D60" s="9" t="n">
        <f aca="false">'2026 Forecast A'!G42</f>
        <v>0.430379746835443</v>
      </c>
      <c r="E60" s="9" t="n">
        <f aca="false">'2026 Forecast B'!G42</f>
        <v>0.435126582278481</v>
      </c>
      <c r="F60" s="9" t="n">
        <f aca="false">'2026 Forecast C'!G42</f>
        <v>0.425632911392405</v>
      </c>
      <c r="G60" s="24" t="n">
        <f aca="false">(MAX(D60:F60)-MIN(D60:F60))*100</f>
        <v>0.949367088607594</v>
      </c>
      <c r="H60" s="24" t="n">
        <f aca="false">'2026 Forecast A'!J42</f>
        <v>3.02608556967268</v>
      </c>
      <c r="I60" s="24" t="n">
        <f aca="false">'2026 Forecast B'!J42</f>
        <v>2.87480042420966</v>
      </c>
      <c r="J60" s="24" t="n">
        <f aca="false">'2026 Forecast C'!J42</f>
        <v>3.45317612968717</v>
      </c>
      <c r="K60" s="25" t="n">
        <f aca="false">'2026 Forecast A'!F42</f>
        <v>632</v>
      </c>
      <c r="L60" s="26" t="str">
        <f aca="false">IF(OR(AND(D60&gt;0.5,E60&gt;0.5,F60&gt;0.5),AND(D60&lt;0.5,E60&lt;0.5,F60&lt;0.5)),"Yes","No — toss-up")</f>
        <v>Yes</v>
      </c>
    </row>
    <row r="61" customFormat="false" ht="15" hidden="false" customHeight="false" outlineLevel="0" collapsed="false">
      <c r="A61" s="8" t="str">
        <f aca="false">'2026 Forecast A'!A43</f>
        <v>Carbon</v>
      </c>
      <c r="B61" s="8" t="str">
        <f aca="false">'2026 Forecast A'!B43</f>
        <v>PACKER TOWNSHIP</v>
      </c>
      <c r="C61" s="8" t="str">
        <f aca="false">'2026 Forecast A'!C43</f>
        <v>PACKER TOWNSHIP</v>
      </c>
      <c r="D61" s="9" t="n">
        <f aca="false">'2026 Forecast A'!G43</f>
        <v>0.238888888888889</v>
      </c>
      <c r="E61" s="9" t="n">
        <f aca="false">'2026 Forecast B'!G43</f>
        <v>0.25</v>
      </c>
      <c r="F61" s="9" t="n">
        <f aca="false">'2026 Forecast C'!G43</f>
        <v>0.227777777777778</v>
      </c>
      <c r="G61" s="24" t="n">
        <f aca="false">(MAX(D61:F61)-MIN(D61:F61))*100</f>
        <v>2.22222222222222</v>
      </c>
      <c r="H61" s="24" t="n">
        <f aca="false">'2026 Forecast A'!J43</f>
        <v>3.02608556967268</v>
      </c>
      <c r="I61" s="24" t="n">
        <f aca="false">'2026 Forecast B'!J43</f>
        <v>2.87480042420966</v>
      </c>
      <c r="J61" s="24" t="n">
        <f aca="false">'2026 Forecast C'!J43</f>
        <v>3.45317612968717</v>
      </c>
      <c r="K61" s="25" t="n">
        <f aca="false">'2026 Forecast A'!F43</f>
        <v>540</v>
      </c>
      <c r="L61" s="26" t="str">
        <f aca="false">IF(OR(AND(D61&gt;0.5,E61&gt;0.5,F61&gt;0.5),AND(D61&lt;0.5,E61&lt;0.5,F61&lt;0.5)),"Yes","No — toss-up")</f>
        <v>Yes</v>
      </c>
    </row>
    <row r="62" customFormat="false" ht="15" hidden="false" customHeight="false" outlineLevel="0" collapsed="false">
      <c r="A62" s="8" t="str">
        <f aca="false">'2026 Forecast A'!A44</f>
        <v>Carbon</v>
      </c>
      <c r="B62" s="8" t="str">
        <f aca="false">'2026 Forecast A'!B44</f>
        <v>PALMERTON BOROUGH</v>
      </c>
      <c r="C62" s="8" t="str">
        <f aca="false">'2026 Forecast A'!C44</f>
        <v>PALMERTON BOROUGH-EASTERN</v>
      </c>
      <c r="D62" s="9" t="n">
        <f aca="false">'2026 Forecast A'!G44</f>
        <v>0.384388807069219</v>
      </c>
      <c r="E62" s="9" t="n">
        <f aca="false">'2026 Forecast B'!G44</f>
        <v>0.38880706921944</v>
      </c>
      <c r="F62" s="9" t="n">
        <f aca="false">'2026 Forecast C'!G44</f>
        <v>0.378497790868925</v>
      </c>
      <c r="G62" s="24" t="n">
        <f aca="false">(MAX(D62:F62)-MIN(D62:F62))*100</f>
        <v>1.03092783505155</v>
      </c>
      <c r="H62" s="24" t="n">
        <f aca="false">'2026 Forecast A'!J44</f>
        <v>3.02608556967268</v>
      </c>
      <c r="I62" s="24" t="n">
        <f aca="false">'2026 Forecast B'!J44</f>
        <v>2.87480042420966</v>
      </c>
      <c r="J62" s="24" t="n">
        <f aca="false">'2026 Forecast C'!J44</f>
        <v>3.45317612968717</v>
      </c>
      <c r="K62" s="25" t="n">
        <f aca="false">'2026 Forecast A'!F44</f>
        <v>679</v>
      </c>
      <c r="L62" s="26" t="str">
        <f aca="false">IF(OR(AND(D62&gt;0.5,E62&gt;0.5,F62&gt;0.5),AND(D62&lt;0.5,E62&lt;0.5,F62&lt;0.5)),"Yes","No — toss-up")</f>
        <v>Yes</v>
      </c>
    </row>
    <row r="63" customFormat="false" ht="15" hidden="false" customHeight="false" outlineLevel="0" collapsed="false">
      <c r="A63" s="8" t="str">
        <f aca="false">'2026 Forecast A'!A45</f>
        <v>Carbon</v>
      </c>
      <c r="B63" s="8" t="str">
        <f aca="false">'2026 Forecast A'!B45</f>
        <v>PALMERTON BOROUGH</v>
      </c>
      <c r="C63" s="8" t="str">
        <f aca="false">'2026 Forecast A'!C45</f>
        <v>PALMERTON BOROUGH-MIDDLE</v>
      </c>
      <c r="D63" s="9" t="n">
        <f aca="false">'2026 Forecast A'!G45</f>
        <v>0.431623931623932</v>
      </c>
      <c r="E63" s="9" t="n">
        <f aca="false">'2026 Forecast B'!G45</f>
        <v>0.435897435897436</v>
      </c>
      <c r="F63" s="9" t="n">
        <f aca="false">'2026 Forecast C'!G45</f>
        <v>0.427350427350427</v>
      </c>
      <c r="G63" s="24" t="n">
        <f aca="false">(MAX(D63:F63)-MIN(D63:F63))*100</f>
        <v>0.854700854700857</v>
      </c>
      <c r="H63" s="24" t="n">
        <f aca="false">'2026 Forecast A'!J45</f>
        <v>1.8085538155628</v>
      </c>
      <c r="I63" s="24" t="n">
        <f aca="false">'2026 Forecast B'!J45</f>
        <v>1.92472098334064</v>
      </c>
      <c r="J63" s="24" t="n">
        <f aca="false">'2026 Forecast C'!J45</f>
        <v>2.05025038892674</v>
      </c>
      <c r="K63" s="25" t="n">
        <f aca="false">'2026 Forecast A'!F45</f>
        <v>936</v>
      </c>
      <c r="L63" s="26" t="str">
        <f aca="false">IF(OR(AND(D63&gt;0.5,E63&gt;0.5,F63&gt;0.5),AND(D63&lt;0.5,E63&lt;0.5,F63&lt;0.5)),"Yes","No — toss-up")</f>
        <v>Yes</v>
      </c>
    </row>
    <row r="64" customFormat="false" ht="15" hidden="false" customHeight="false" outlineLevel="0" collapsed="false">
      <c r="A64" s="8" t="str">
        <f aca="false">'2026 Forecast A'!A46</f>
        <v>Carbon</v>
      </c>
      <c r="B64" s="8" t="str">
        <f aca="false">'2026 Forecast A'!B46</f>
        <v>PALMERTON BOROUGH</v>
      </c>
      <c r="C64" s="8" t="str">
        <f aca="false">'2026 Forecast A'!C46</f>
        <v>PALMERTON BOROUGH-WESTERN</v>
      </c>
      <c r="D64" s="9" t="n">
        <f aca="false">'2026 Forecast A'!G46</f>
        <v>0.397959183673469</v>
      </c>
      <c r="E64" s="9" t="n">
        <f aca="false">'2026 Forecast B'!G46</f>
        <v>0.401360544217687</v>
      </c>
      <c r="F64" s="9" t="n">
        <f aca="false">'2026 Forecast C'!G46</f>
        <v>0.391156462585034</v>
      </c>
      <c r="G64" s="24" t="n">
        <f aca="false">(MAX(D64:F64)-MIN(D64:F64))*100</f>
        <v>1.02040816326531</v>
      </c>
      <c r="H64" s="24" t="n">
        <f aca="false">'2026 Forecast A'!J46</f>
        <v>3.02608556967268</v>
      </c>
      <c r="I64" s="24" t="n">
        <f aca="false">'2026 Forecast B'!J46</f>
        <v>2.87480042420966</v>
      </c>
      <c r="J64" s="24" t="n">
        <f aca="false">'2026 Forecast C'!J46</f>
        <v>3.45317612968717</v>
      </c>
      <c r="K64" s="25" t="n">
        <f aca="false">'2026 Forecast A'!F46</f>
        <v>294</v>
      </c>
      <c r="L64" s="26" t="str">
        <f aca="false">IF(OR(AND(D64&gt;0.5,E64&gt;0.5,F64&gt;0.5),AND(D64&lt;0.5,E64&lt;0.5,F64&lt;0.5)),"Yes","No — toss-up")</f>
        <v>Yes</v>
      </c>
    </row>
    <row r="65" customFormat="false" ht="15" hidden="false" customHeight="false" outlineLevel="0" collapsed="false">
      <c r="A65" s="8" t="str">
        <f aca="false">'2026 Forecast A'!A47</f>
        <v>Carbon</v>
      </c>
      <c r="B65" s="8" t="str">
        <f aca="false">'2026 Forecast A'!B47</f>
        <v>PARRYVILLE BOROUGH</v>
      </c>
      <c r="C65" s="8" t="str">
        <f aca="false">'2026 Forecast A'!C47</f>
        <v>PARRYVILLE BOROUGH</v>
      </c>
      <c r="D65" s="9" t="n">
        <f aca="false">'2026 Forecast A'!G47</f>
        <v>0.352941176470588</v>
      </c>
      <c r="E65" s="9" t="n">
        <f aca="false">'2026 Forecast B'!G47</f>
        <v>0.358288770053476</v>
      </c>
      <c r="F65" s="9" t="n">
        <f aca="false">'2026 Forecast C'!G47</f>
        <v>0.347593582887701</v>
      </c>
      <c r="G65" s="24" t="n">
        <f aca="false">(MAX(D65:F65)-MIN(D65:F65))*100</f>
        <v>1.06951871657754</v>
      </c>
      <c r="H65" s="24" t="n">
        <f aca="false">'2026 Forecast A'!J47</f>
        <v>3.02608556967268</v>
      </c>
      <c r="I65" s="24" t="n">
        <f aca="false">'2026 Forecast B'!J47</f>
        <v>2.87480042420966</v>
      </c>
      <c r="J65" s="24" t="n">
        <f aca="false">'2026 Forecast C'!J47</f>
        <v>3.45317612968717</v>
      </c>
      <c r="K65" s="25" t="n">
        <f aca="false">'2026 Forecast A'!F47</f>
        <v>187</v>
      </c>
      <c r="L65" s="26" t="str">
        <f aca="false">IF(OR(AND(D65&gt;0.5,E65&gt;0.5,F65&gt;0.5),AND(D65&lt;0.5,E65&lt;0.5,F65&lt;0.5)),"Yes","No — toss-up")</f>
        <v>Yes</v>
      </c>
    </row>
    <row r="66" customFormat="false" ht="15" hidden="false" customHeight="false" outlineLevel="0" collapsed="false">
      <c r="A66" s="8" t="str">
        <f aca="false">'2026 Forecast A'!A48</f>
        <v>Carbon</v>
      </c>
      <c r="B66" s="8" t="str">
        <f aca="false">'2026 Forecast A'!B48</f>
        <v>PENN FOREST TOWNSHIP</v>
      </c>
      <c r="C66" s="8" t="str">
        <f aca="false">'2026 Forecast A'!C48</f>
        <v>PENN FOREST TOWNSHIP-EAST</v>
      </c>
      <c r="D66" s="9" t="n">
        <f aca="false">'2026 Forecast A'!G48</f>
        <v>0.416464891041162</v>
      </c>
      <c r="E66" s="9" t="n">
        <f aca="false">'2026 Forecast B'!G48</f>
        <v>0.420096852300242</v>
      </c>
      <c r="F66" s="9" t="n">
        <f aca="false">'2026 Forecast C'!G48</f>
        <v>0.410411622276029</v>
      </c>
      <c r="G66" s="24" t="n">
        <f aca="false">(MAX(D66:F66)-MIN(D66:F66))*100</f>
        <v>0.968523002421307</v>
      </c>
      <c r="H66" s="24" t="n">
        <f aca="false">'2026 Forecast A'!J48</f>
        <v>1.8085538155628</v>
      </c>
      <c r="I66" s="24" t="n">
        <f aca="false">'2026 Forecast B'!J48</f>
        <v>1.92472098334064</v>
      </c>
      <c r="J66" s="24" t="n">
        <f aca="false">'2026 Forecast C'!J48</f>
        <v>2.05025038892674</v>
      </c>
      <c r="K66" s="25" t="n">
        <f aca="false">'2026 Forecast A'!F48</f>
        <v>826</v>
      </c>
      <c r="L66" s="26" t="str">
        <f aca="false">IF(OR(AND(D66&gt;0.5,E66&gt;0.5,F66&gt;0.5),AND(D66&lt;0.5,E66&lt;0.5,F66&lt;0.5)),"Yes","No — toss-up")</f>
        <v>Yes</v>
      </c>
    </row>
    <row r="67" customFormat="false" ht="15" hidden="false" customHeight="false" outlineLevel="0" collapsed="false">
      <c r="A67" s="8" t="str">
        <f aca="false">'2026 Forecast A'!A49</f>
        <v>Carbon</v>
      </c>
      <c r="B67" s="8" t="str">
        <f aca="false">'2026 Forecast A'!B49</f>
        <v>PENN FOREST TOWNSHIP</v>
      </c>
      <c r="C67" s="8" t="str">
        <f aca="false">'2026 Forecast A'!C49</f>
        <v>PENN FOREST TOWNSHIP-MIDDLE</v>
      </c>
      <c r="D67" s="9" t="n">
        <f aca="false">'2026 Forecast A'!G49</f>
        <v>0.409385113268608</v>
      </c>
      <c r="E67" s="9" t="n">
        <f aca="false">'2026 Forecast B'!G49</f>
        <v>0.415857605177994</v>
      </c>
      <c r="F67" s="9" t="n">
        <f aca="false">'2026 Forecast C'!G49</f>
        <v>0.40453074433657</v>
      </c>
      <c r="G67" s="24" t="n">
        <f aca="false">(MAX(D67:F67)-MIN(D67:F67))*100</f>
        <v>1.13268608414239</v>
      </c>
      <c r="H67" s="24" t="n">
        <f aca="false">'2026 Forecast A'!J49</f>
        <v>3.02608556967268</v>
      </c>
      <c r="I67" s="24" t="n">
        <f aca="false">'2026 Forecast B'!J49</f>
        <v>2.87480042420966</v>
      </c>
      <c r="J67" s="24" t="n">
        <f aca="false">'2026 Forecast C'!J49</f>
        <v>3.45317612968717</v>
      </c>
      <c r="K67" s="25" t="n">
        <f aca="false">'2026 Forecast A'!F49</f>
        <v>618</v>
      </c>
      <c r="L67" s="26" t="str">
        <f aca="false">IF(OR(AND(D67&gt;0.5,E67&gt;0.5,F67&gt;0.5),AND(D67&lt;0.5,E67&lt;0.5,F67&lt;0.5)),"Yes","No — toss-up")</f>
        <v>Yes</v>
      </c>
    </row>
    <row r="68" customFormat="false" ht="15" hidden="false" customHeight="false" outlineLevel="0" collapsed="false">
      <c r="A68" s="8" t="str">
        <f aca="false">'2026 Forecast A'!A50</f>
        <v>Carbon</v>
      </c>
      <c r="B68" s="8" t="str">
        <f aca="false">'2026 Forecast A'!B50</f>
        <v>PENN FOREST TOWNSHIP</v>
      </c>
      <c r="C68" s="8" t="str">
        <f aca="false">'2026 Forecast A'!C50</f>
        <v>PENN FOREST TOWNSHIP-NORTH EAST</v>
      </c>
      <c r="D68" s="9" t="n">
        <f aca="false">'2026 Forecast A'!G50</f>
        <v>0.419117647058824</v>
      </c>
      <c r="E68" s="9" t="n">
        <f aca="false">'2026 Forecast B'!G50</f>
        <v>0.419117647058824</v>
      </c>
      <c r="F68" s="9" t="n">
        <f aca="false">'2026 Forecast C'!G50</f>
        <v>0.414915966386555</v>
      </c>
      <c r="G68" s="24" t="n">
        <f aca="false">(MAX(D68:F68)-MIN(D68:F68))*100</f>
        <v>0.420168067226889</v>
      </c>
      <c r="H68" s="24" t="n">
        <f aca="false">'2026 Forecast A'!J50</f>
        <v>1.8085538155628</v>
      </c>
      <c r="I68" s="24" t="n">
        <f aca="false">'2026 Forecast B'!J50</f>
        <v>1.92472098334064</v>
      </c>
      <c r="J68" s="24" t="n">
        <f aca="false">'2026 Forecast C'!J50</f>
        <v>2.05025038892674</v>
      </c>
      <c r="K68" s="25" t="n">
        <f aca="false">'2026 Forecast A'!F50</f>
        <v>952</v>
      </c>
      <c r="L68" s="26" t="str">
        <f aca="false">IF(OR(AND(D68&gt;0.5,E68&gt;0.5,F68&gt;0.5),AND(D68&lt;0.5,E68&lt;0.5,F68&lt;0.5)),"Yes","No — toss-up")</f>
        <v>Yes</v>
      </c>
    </row>
    <row r="69" customFormat="false" ht="15" hidden="false" customHeight="false" outlineLevel="0" collapsed="false">
      <c r="A69" s="8" t="str">
        <f aca="false">'2026 Forecast A'!A51</f>
        <v>Carbon</v>
      </c>
      <c r="B69" s="8" t="str">
        <f aca="false">'2026 Forecast A'!B51</f>
        <v>PENN FOREST TOWNSHIP</v>
      </c>
      <c r="C69" s="8" t="str">
        <f aca="false">'2026 Forecast A'!C51</f>
        <v>PENN FOREST TOWNSHIP-NORTH WEST</v>
      </c>
      <c r="D69" s="9" t="n">
        <f aca="false">'2026 Forecast A'!G51</f>
        <v>0.357558139534884</v>
      </c>
      <c r="E69" s="9" t="n">
        <f aca="false">'2026 Forecast B'!G51</f>
        <v>0.362403100775194</v>
      </c>
      <c r="F69" s="9" t="n">
        <f aca="false">'2026 Forecast C'!G51</f>
        <v>0.35077519379845</v>
      </c>
      <c r="G69" s="24" t="n">
        <f aca="false">(MAX(D69:F69)-MIN(D69:F69))*100</f>
        <v>1.16279069767442</v>
      </c>
      <c r="H69" s="24" t="n">
        <f aca="false">'2026 Forecast A'!J51</f>
        <v>1.8085538155628</v>
      </c>
      <c r="I69" s="24" t="n">
        <f aca="false">'2026 Forecast B'!J51</f>
        <v>1.92472098334064</v>
      </c>
      <c r="J69" s="24" t="n">
        <f aca="false">'2026 Forecast C'!J51</f>
        <v>2.05025038892674</v>
      </c>
      <c r="K69" s="25" t="n">
        <f aca="false">'2026 Forecast A'!F51</f>
        <v>1032</v>
      </c>
      <c r="L69" s="26" t="str">
        <f aca="false">IF(OR(AND(D69&gt;0.5,E69&gt;0.5,F69&gt;0.5),AND(D69&lt;0.5,E69&lt;0.5,F69&lt;0.5)),"Yes","No — toss-up")</f>
        <v>Yes</v>
      </c>
    </row>
    <row r="70" customFormat="false" ht="15" hidden="false" customHeight="false" outlineLevel="0" collapsed="false">
      <c r="A70" s="8" t="str">
        <f aca="false">'2026 Forecast A'!A52</f>
        <v>Carbon</v>
      </c>
      <c r="B70" s="8" t="str">
        <f aca="false">'2026 Forecast A'!B52</f>
        <v>PENN FOREST TOWNSHIP</v>
      </c>
      <c r="C70" s="8" t="str">
        <f aca="false">'2026 Forecast A'!C52</f>
        <v>PENN FOREST TOWNSHIP-SOUTH WEST</v>
      </c>
      <c r="D70" s="9" t="n">
        <f aca="false">'2026 Forecast A'!G52</f>
        <v>0.399553571428571</v>
      </c>
      <c r="E70" s="9" t="n">
        <f aca="false">'2026 Forecast B'!G52</f>
        <v>0.399553571428571</v>
      </c>
      <c r="F70" s="9" t="n">
        <f aca="false">'2026 Forecast C'!G52</f>
        <v>0.395089285714286</v>
      </c>
      <c r="G70" s="24" t="n">
        <f aca="false">(MAX(D70:F70)-MIN(D70:F70))*100</f>
        <v>0.446428571428575</v>
      </c>
      <c r="H70" s="24" t="n">
        <f aca="false">'2026 Forecast A'!J52</f>
        <v>1.8085538155628</v>
      </c>
      <c r="I70" s="24" t="n">
        <f aca="false">'2026 Forecast B'!J52</f>
        <v>1.92472098334064</v>
      </c>
      <c r="J70" s="24" t="n">
        <f aca="false">'2026 Forecast C'!J52</f>
        <v>2.05025038892674</v>
      </c>
      <c r="K70" s="25" t="n">
        <f aca="false">'2026 Forecast A'!F52</f>
        <v>896</v>
      </c>
      <c r="L70" s="26" t="str">
        <f aca="false">IF(OR(AND(D70&gt;0.5,E70&gt;0.5,F70&gt;0.5),AND(D70&lt;0.5,E70&lt;0.5,F70&lt;0.5)),"Yes","No — toss-up")</f>
        <v>Yes</v>
      </c>
    </row>
    <row r="71" customFormat="false" ht="15" hidden="false" customHeight="false" outlineLevel="0" collapsed="false">
      <c r="A71" s="8" t="str">
        <f aca="false">'2026 Forecast A'!A53</f>
        <v>Carbon</v>
      </c>
      <c r="B71" s="8" t="str">
        <f aca="false">'2026 Forecast A'!B53</f>
        <v>SUMMIT HILL BOROUGH</v>
      </c>
      <c r="C71" s="8" t="str">
        <f aca="false">'2026 Forecast A'!C53</f>
        <v>SUMMIT HILL BOROUGH-1ST</v>
      </c>
      <c r="D71" s="9" t="n">
        <f aca="false">'2026 Forecast A'!G53</f>
        <v>0.506944444444444</v>
      </c>
      <c r="E71" s="9" t="n">
        <f aca="false">'2026 Forecast B'!G53</f>
        <v>0.517361111111111</v>
      </c>
      <c r="F71" s="9" t="n">
        <f aca="false">'2026 Forecast C'!G53</f>
        <v>0.503472222222222</v>
      </c>
      <c r="G71" s="24" t="n">
        <f aca="false">(MAX(D71:F71)-MIN(D71:F71))*100</f>
        <v>1.3888888888889</v>
      </c>
      <c r="H71" s="24" t="n">
        <f aca="false">'2026 Forecast A'!J53</f>
        <v>3.02608556967268</v>
      </c>
      <c r="I71" s="24" t="n">
        <f aca="false">'2026 Forecast B'!J53</f>
        <v>2.87480042420966</v>
      </c>
      <c r="J71" s="24" t="n">
        <f aca="false">'2026 Forecast C'!J53</f>
        <v>3.45317612968717</v>
      </c>
      <c r="K71" s="25" t="n">
        <f aca="false">'2026 Forecast A'!F53</f>
        <v>288</v>
      </c>
      <c r="L71" s="26" t="str">
        <f aca="false">IF(OR(AND(D71&gt;0.5,E71&gt;0.5,F71&gt;0.5),AND(D71&lt;0.5,E71&lt;0.5,F71&lt;0.5)),"Yes","No — toss-up")</f>
        <v>Yes</v>
      </c>
    </row>
    <row r="72" customFormat="false" ht="15" hidden="false" customHeight="false" outlineLevel="0" collapsed="false">
      <c r="A72" s="8" t="str">
        <f aca="false">'2026 Forecast A'!A54</f>
        <v>Carbon</v>
      </c>
      <c r="B72" s="8" t="str">
        <f aca="false">'2026 Forecast A'!B54</f>
        <v>SUMMIT HILL BOROUGH</v>
      </c>
      <c r="C72" s="8" t="str">
        <f aca="false">'2026 Forecast A'!C54</f>
        <v>SUMMIT HILL BOROUGH-2ND</v>
      </c>
      <c r="D72" s="9" t="n">
        <f aca="false">'2026 Forecast A'!G54</f>
        <v>0.516025641025641</v>
      </c>
      <c r="E72" s="9" t="n">
        <f aca="false">'2026 Forecast B'!G54</f>
        <v>0.525641025641026</v>
      </c>
      <c r="F72" s="9" t="n">
        <f aca="false">'2026 Forecast C'!G54</f>
        <v>0.516025641025641</v>
      </c>
      <c r="G72" s="24" t="n">
        <f aca="false">(MAX(D72:F72)-MIN(D72:F72))*100</f>
        <v>0.961538461538458</v>
      </c>
      <c r="H72" s="24" t="n">
        <f aca="false">'2026 Forecast A'!J54</f>
        <v>3.02608556967268</v>
      </c>
      <c r="I72" s="24" t="n">
        <f aca="false">'2026 Forecast B'!J54</f>
        <v>2.87480042420966</v>
      </c>
      <c r="J72" s="24" t="n">
        <f aca="false">'2026 Forecast C'!J54</f>
        <v>3.45317612968717</v>
      </c>
      <c r="K72" s="25" t="n">
        <f aca="false">'2026 Forecast A'!F54</f>
        <v>312</v>
      </c>
      <c r="L72" s="26" t="str">
        <f aca="false">IF(OR(AND(D72&gt;0.5,E72&gt;0.5,F72&gt;0.5),AND(D72&lt;0.5,E72&lt;0.5,F72&lt;0.5)),"Yes","No — toss-up")</f>
        <v>Yes</v>
      </c>
    </row>
    <row r="73" customFormat="false" ht="15" hidden="false" customHeight="false" outlineLevel="0" collapsed="false">
      <c r="A73" s="8" t="str">
        <f aca="false">'2026 Forecast A'!A55</f>
        <v>Carbon</v>
      </c>
      <c r="B73" s="8" t="str">
        <f aca="false">'2026 Forecast A'!B55</f>
        <v>SUMMIT HILL BOROUGH</v>
      </c>
      <c r="C73" s="8" t="str">
        <f aca="false">'2026 Forecast A'!C55</f>
        <v>SUMMIT HILL BOROUGH-3RD/2ND</v>
      </c>
      <c r="D73" s="9" t="n">
        <f aca="false">'2026 Forecast A'!G55</f>
        <v>0.414342629482072</v>
      </c>
      <c r="E73" s="9" t="n">
        <f aca="false">'2026 Forecast B'!G55</f>
        <v>0.422310756972112</v>
      </c>
      <c r="F73" s="9" t="n">
        <f aca="false">'2026 Forecast C'!G55</f>
        <v>0.410358565737052</v>
      </c>
      <c r="G73" s="24" t="n">
        <f aca="false">(MAX(D73:F73)-MIN(D73:F73))*100</f>
        <v>1.19521912350598</v>
      </c>
      <c r="H73" s="24" t="n">
        <f aca="false">'2026 Forecast A'!J55</f>
        <v>3.02608556967268</v>
      </c>
      <c r="I73" s="24" t="n">
        <f aca="false">'2026 Forecast B'!J55</f>
        <v>2.87480042420966</v>
      </c>
      <c r="J73" s="24" t="n">
        <f aca="false">'2026 Forecast C'!J55</f>
        <v>3.45317612968717</v>
      </c>
      <c r="K73" s="25" t="n">
        <f aca="false">'2026 Forecast A'!F55</f>
        <v>251</v>
      </c>
      <c r="L73" s="26" t="str">
        <f aca="false">IF(OR(AND(D73&gt;0.5,E73&gt;0.5,F73&gt;0.5),AND(D73&lt;0.5,E73&lt;0.5,F73&lt;0.5)),"Yes","No — toss-up")</f>
        <v>Yes</v>
      </c>
    </row>
    <row r="74" customFormat="false" ht="15" hidden="false" customHeight="false" outlineLevel="0" collapsed="false">
      <c r="A74" s="8" t="str">
        <f aca="false">'2026 Forecast A'!A56</f>
        <v>Carbon</v>
      </c>
      <c r="B74" s="8" t="str">
        <f aca="false">'2026 Forecast A'!B56</f>
        <v>SUMMIT HILL BOROUGH</v>
      </c>
      <c r="C74" s="8" t="str">
        <f aca="false">'2026 Forecast A'!C56</f>
        <v>SUMMIT HILL-3RD/1ST DIST</v>
      </c>
      <c r="D74" s="9" t="n">
        <f aca="false">'2026 Forecast A'!G56</f>
        <v>0.447916666666667</v>
      </c>
      <c r="E74" s="9" t="n">
        <f aca="false">'2026 Forecast B'!G56</f>
        <v>0.450520833333333</v>
      </c>
      <c r="F74" s="9" t="n">
        <f aca="false">'2026 Forecast C'!G56</f>
        <v>0.4453125</v>
      </c>
      <c r="G74" s="24" t="n">
        <f aca="false">(MAX(D74:F74)-MIN(D74:F74))*100</f>
        <v>0.520833333333332</v>
      </c>
      <c r="H74" s="24" t="n">
        <f aca="false">'2026 Forecast A'!J56</f>
        <v>3.02608556967268</v>
      </c>
      <c r="I74" s="24" t="n">
        <f aca="false">'2026 Forecast B'!J56</f>
        <v>2.87480042420966</v>
      </c>
      <c r="J74" s="24" t="n">
        <f aca="false">'2026 Forecast C'!J56</f>
        <v>3.45317612968717</v>
      </c>
      <c r="K74" s="25" t="n">
        <f aca="false">'2026 Forecast A'!F56</f>
        <v>384</v>
      </c>
      <c r="L74" s="26" t="str">
        <f aca="false">IF(OR(AND(D74&gt;0.5,E74&gt;0.5,F74&gt;0.5),AND(D74&lt;0.5,E74&lt;0.5,F74&lt;0.5)),"Yes","No — toss-up")</f>
        <v>Yes</v>
      </c>
    </row>
    <row r="75" customFormat="false" ht="15" hidden="false" customHeight="false" outlineLevel="0" collapsed="false">
      <c r="A75" s="8" t="str">
        <f aca="false">'2026 Forecast A'!A57</f>
        <v>Carbon</v>
      </c>
      <c r="B75" s="8" t="str">
        <f aca="false">'2026 Forecast A'!B57</f>
        <v>TOWAMENSING TOWNSHIP</v>
      </c>
      <c r="C75" s="8" t="str">
        <f aca="false">'2026 Forecast A'!C57</f>
        <v>TOWAMENSING TOWNSHIP-NORTH</v>
      </c>
      <c r="D75" s="9" t="n">
        <f aca="false">'2026 Forecast A'!G57</f>
        <v>0.345120226308345</v>
      </c>
      <c r="E75" s="9" t="n">
        <f aca="false">'2026 Forecast B'!G57</f>
        <v>0.342291371994342</v>
      </c>
      <c r="F75" s="9" t="n">
        <f aca="false">'2026 Forecast C'!G57</f>
        <v>0.336633663366337</v>
      </c>
      <c r="G75" s="24" t="n">
        <f aca="false">(MAX(D75:F75)-MIN(D75:F75))*100</f>
        <v>0.848656294200845</v>
      </c>
      <c r="H75" s="24" t="n">
        <f aca="false">'2026 Forecast A'!J57</f>
        <v>3.02608556967268</v>
      </c>
      <c r="I75" s="24" t="n">
        <f aca="false">'2026 Forecast B'!J57</f>
        <v>2.87480042420966</v>
      </c>
      <c r="J75" s="24" t="n">
        <f aca="false">'2026 Forecast C'!J57</f>
        <v>3.45317612968717</v>
      </c>
      <c r="K75" s="25" t="n">
        <f aca="false">'2026 Forecast A'!F57</f>
        <v>707</v>
      </c>
      <c r="L75" s="26" t="str">
        <f aca="false">IF(OR(AND(D75&gt;0.5,E75&gt;0.5,F75&gt;0.5),AND(D75&lt;0.5,E75&lt;0.5,F75&lt;0.5)),"Yes","No — toss-up")</f>
        <v>Yes</v>
      </c>
    </row>
    <row r="76" customFormat="false" ht="15" hidden="false" customHeight="false" outlineLevel="0" collapsed="false">
      <c r="A76" s="8" t="str">
        <f aca="false">'2026 Forecast A'!A58</f>
        <v>Carbon</v>
      </c>
      <c r="B76" s="8" t="str">
        <f aca="false">'2026 Forecast A'!B58</f>
        <v>TOWAMENSING TOWNSHIP</v>
      </c>
      <c r="C76" s="8" t="str">
        <f aca="false">'2026 Forecast A'!C58</f>
        <v>TOWAMENSING TOWNSHIP-SOUTH-1</v>
      </c>
      <c r="D76" s="9" t="n">
        <f aca="false">'2026 Forecast A'!G58</f>
        <v>0.313672922252011</v>
      </c>
      <c r="E76" s="9" t="n">
        <f aca="false">'2026 Forecast B'!G58</f>
        <v>0.319034852546917</v>
      </c>
      <c r="F76" s="9" t="n">
        <f aca="false">'2026 Forecast C'!G58</f>
        <v>0.302949061662198</v>
      </c>
      <c r="G76" s="24" t="n">
        <f aca="false">(MAX(D76:F76)-MIN(D76:F76))*100</f>
        <v>1.60857908847185</v>
      </c>
      <c r="H76" s="24" t="n">
        <f aca="false">'2026 Forecast A'!J58</f>
        <v>3.02608556967268</v>
      </c>
      <c r="I76" s="24" t="n">
        <f aca="false">'2026 Forecast B'!J58</f>
        <v>2.87480042420966</v>
      </c>
      <c r="J76" s="24" t="n">
        <f aca="false">'2026 Forecast C'!J58</f>
        <v>3.45317612968717</v>
      </c>
      <c r="K76" s="25" t="n">
        <f aca="false">'2026 Forecast A'!F58</f>
        <v>746</v>
      </c>
      <c r="L76" s="26" t="str">
        <f aca="false">IF(OR(AND(D76&gt;0.5,E76&gt;0.5,F76&gt;0.5),AND(D76&lt;0.5,E76&lt;0.5,F76&lt;0.5)),"Yes","No — toss-up")</f>
        <v>Yes</v>
      </c>
    </row>
    <row r="77" customFormat="false" ht="15" hidden="false" customHeight="false" outlineLevel="0" collapsed="false">
      <c r="A77" s="8" t="str">
        <f aca="false">'2026 Forecast A'!A59</f>
        <v>Carbon</v>
      </c>
      <c r="B77" s="8" t="str">
        <f aca="false">'2026 Forecast A'!B59</f>
        <v>TOWAMENSING TOWNSHIP</v>
      </c>
      <c r="C77" s="8" t="str">
        <f aca="false">'2026 Forecast A'!C59</f>
        <v>TOWAMENSING TOWNSHIP-SOUTH-2</v>
      </c>
      <c r="D77" s="9" t="n">
        <f aca="false">'2026 Forecast A'!G59</f>
        <v>0.324483775811209</v>
      </c>
      <c r="E77" s="9" t="n">
        <f aca="false">'2026 Forecast B'!G59</f>
        <v>0.328908554572271</v>
      </c>
      <c r="F77" s="9" t="n">
        <f aca="false">'2026 Forecast C'!G59</f>
        <v>0.317109144542773</v>
      </c>
      <c r="G77" s="24" t="n">
        <f aca="false">(MAX(D77:F77)-MIN(D77:F77))*100</f>
        <v>1.17994100294985</v>
      </c>
      <c r="H77" s="24" t="n">
        <f aca="false">'2026 Forecast A'!J59</f>
        <v>3.02608556967268</v>
      </c>
      <c r="I77" s="24" t="n">
        <f aca="false">'2026 Forecast B'!J59</f>
        <v>2.87480042420966</v>
      </c>
      <c r="J77" s="24" t="n">
        <f aca="false">'2026 Forecast C'!J59</f>
        <v>3.45317612968717</v>
      </c>
      <c r="K77" s="25" t="n">
        <f aca="false">'2026 Forecast A'!F59</f>
        <v>678</v>
      </c>
      <c r="L77" s="26" t="str">
        <f aca="false">IF(OR(AND(D77&gt;0.5,E77&gt;0.5,F77&gt;0.5),AND(D77&lt;0.5,E77&lt;0.5,F77&lt;0.5)),"Yes","No — toss-up")</f>
        <v>Yes</v>
      </c>
    </row>
    <row r="78" customFormat="false" ht="15" hidden="false" customHeight="false" outlineLevel="0" collapsed="false">
      <c r="A78" s="8" t="str">
        <f aca="false">'2026 Forecast A'!A60</f>
        <v>Carbon</v>
      </c>
      <c r="B78" s="8" t="str">
        <f aca="false">'2026 Forecast A'!B60</f>
        <v>WEATHERLY BOROUGH</v>
      </c>
      <c r="C78" s="8" t="str">
        <f aca="false">'2026 Forecast A'!C60</f>
        <v>WEATHERLY BOROUGH-EAST</v>
      </c>
      <c r="D78" s="9" t="n">
        <f aca="false">'2026 Forecast A'!G60</f>
        <v>0.333887043189369</v>
      </c>
      <c r="E78" s="9" t="n">
        <f aca="false">'2026 Forecast B'!G60</f>
        <v>0.335548172757475</v>
      </c>
      <c r="F78" s="9" t="n">
        <f aca="false">'2026 Forecast C'!G60</f>
        <v>0.323920265780731</v>
      </c>
      <c r="G78" s="24" t="n">
        <f aca="false">(MAX(D78:F78)-MIN(D78:F78))*100</f>
        <v>1.16279069767442</v>
      </c>
      <c r="H78" s="24" t="n">
        <f aca="false">'2026 Forecast A'!J60</f>
        <v>3.02608556967268</v>
      </c>
      <c r="I78" s="24" t="n">
        <f aca="false">'2026 Forecast B'!J60</f>
        <v>2.87480042420966</v>
      </c>
      <c r="J78" s="24" t="n">
        <f aca="false">'2026 Forecast C'!J60</f>
        <v>3.45317612968717</v>
      </c>
      <c r="K78" s="25" t="n">
        <f aca="false">'2026 Forecast A'!F60</f>
        <v>602</v>
      </c>
      <c r="L78" s="26" t="str">
        <f aca="false">IF(OR(AND(D78&gt;0.5,E78&gt;0.5,F78&gt;0.5),AND(D78&lt;0.5,E78&lt;0.5,F78&lt;0.5)),"Yes","No — toss-up")</f>
        <v>Yes</v>
      </c>
    </row>
    <row r="79" customFormat="false" ht="15" hidden="false" customHeight="false" outlineLevel="0" collapsed="false">
      <c r="A79" s="8" t="str">
        <f aca="false">'2026 Forecast A'!A61</f>
        <v>Carbon</v>
      </c>
      <c r="B79" s="8" t="str">
        <f aca="false">'2026 Forecast A'!B61</f>
        <v>WEATHERLY BOROUGH</v>
      </c>
      <c r="C79" s="8" t="str">
        <f aca="false">'2026 Forecast A'!C61</f>
        <v>WEATHERLY BOROUGH-WEST</v>
      </c>
      <c r="D79" s="9" t="n">
        <f aca="false">'2026 Forecast A'!G61</f>
        <v>0.311036789297659</v>
      </c>
      <c r="E79" s="9" t="n">
        <f aca="false">'2026 Forecast B'!G61</f>
        <v>0.324414715719064</v>
      </c>
      <c r="F79" s="9" t="n">
        <f aca="false">'2026 Forecast C'!G61</f>
        <v>0.301003344481605</v>
      </c>
      <c r="G79" s="24" t="n">
        <f aca="false">(MAX(D79:F79)-MIN(D79:F79))*100</f>
        <v>2.34113712374582</v>
      </c>
      <c r="H79" s="24" t="n">
        <f aca="false">'2026 Forecast A'!J61</f>
        <v>3.02608556967268</v>
      </c>
      <c r="I79" s="24" t="n">
        <f aca="false">'2026 Forecast B'!J61</f>
        <v>2.87480042420966</v>
      </c>
      <c r="J79" s="24" t="n">
        <f aca="false">'2026 Forecast C'!J61</f>
        <v>3.45317612968717</v>
      </c>
      <c r="K79" s="25" t="n">
        <f aca="false">'2026 Forecast A'!F61</f>
        <v>299</v>
      </c>
      <c r="L79" s="26" t="str">
        <f aca="false">IF(OR(AND(D79&gt;0.5,E79&gt;0.5,F79&gt;0.5),AND(D79&lt;0.5,E79&lt;0.5,F79&lt;0.5)),"Yes","No — toss-up")</f>
        <v>Yes</v>
      </c>
    </row>
    <row r="80" customFormat="false" ht="15" hidden="false" customHeight="false" outlineLevel="0" collapsed="false">
      <c r="A80" s="8" t="str">
        <f aca="false">'2026 Forecast A'!A62</f>
        <v>Carbon</v>
      </c>
      <c r="B80" s="8" t="str">
        <f aca="false">'2026 Forecast A'!B62</f>
        <v>WEISSPORT BOROUGH</v>
      </c>
      <c r="C80" s="8" t="str">
        <f aca="false">'2026 Forecast A'!C62</f>
        <v>WEISSPORT BOROUGH</v>
      </c>
      <c r="D80" s="9" t="n">
        <f aca="false">'2026 Forecast A'!G62</f>
        <v>0.41</v>
      </c>
      <c r="E80" s="9" t="n">
        <f aca="false">'2026 Forecast B'!G62</f>
        <v>0.41</v>
      </c>
      <c r="F80" s="9" t="n">
        <f aca="false">'2026 Forecast C'!G62</f>
        <v>0.4</v>
      </c>
      <c r="G80" s="24" t="n">
        <f aca="false">(MAX(D80:F80)-MIN(D80:F80))*100</f>
        <v>0.999999999999995</v>
      </c>
      <c r="H80" s="24" t="n">
        <f aca="false">'2026 Forecast A'!J62</f>
        <v>3.02608556967268</v>
      </c>
      <c r="I80" s="24" t="n">
        <f aca="false">'2026 Forecast B'!J62</f>
        <v>2.87480042420966</v>
      </c>
      <c r="J80" s="24" t="n">
        <f aca="false">'2026 Forecast C'!J62</f>
        <v>3.45317612968717</v>
      </c>
      <c r="K80" s="25" t="n">
        <f aca="false">'2026 Forecast A'!F62</f>
        <v>100</v>
      </c>
      <c r="L80" s="26" t="str">
        <f aca="false">IF(OR(AND(D80&gt;0.5,E80&gt;0.5,F80&gt;0.5),AND(D80&lt;0.5,E80&lt;0.5,F80&lt;0.5)),"Yes","No — toss-up")</f>
        <v>Yes</v>
      </c>
    </row>
    <row r="81" customFormat="false" ht="15" hidden="false" customHeight="false" outlineLevel="0" collapsed="false">
      <c r="A81" s="8" t="str">
        <f aca="false">'2026 Forecast A'!A63</f>
        <v>Lehigh</v>
      </c>
      <c r="B81" s="8" t="str">
        <f aca="false">'2026 Forecast A'!B63</f>
        <v>ALBURTIS</v>
      </c>
      <c r="C81" s="8" t="str">
        <f aca="false">'2026 Forecast A'!C63</f>
        <v>ALBURTIS</v>
      </c>
      <c r="D81" s="9" t="n">
        <f aca="false">'2026 Forecast A'!G63</f>
        <v>0.499506416584403</v>
      </c>
      <c r="E81" s="9" t="n">
        <f aca="false">'2026 Forecast B'!G63</f>
        <v>0.510365251727542</v>
      </c>
      <c r="F81" s="9" t="n">
        <f aca="false">'2026 Forecast C'!G63</f>
        <v>0.497532082922014</v>
      </c>
      <c r="G81" s="24" t="n">
        <f aca="false">(MAX(D81:F81)-MIN(D81:F81))*100</f>
        <v>1.28331688055282</v>
      </c>
      <c r="H81" s="24" t="n">
        <f aca="false">'2026 Forecast A'!J63</f>
        <v>1.8085538155628</v>
      </c>
      <c r="I81" s="24" t="n">
        <f aca="false">'2026 Forecast B'!J63</f>
        <v>1.92472098334064</v>
      </c>
      <c r="J81" s="24" t="n">
        <f aca="false">'2026 Forecast C'!J63</f>
        <v>2.05025038892674</v>
      </c>
      <c r="K81" s="25" t="n">
        <f aca="false">'2026 Forecast A'!F63</f>
        <v>1013</v>
      </c>
      <c r="L81" s="26" t="str">
        <f aca="false">IF(OR(AND(D81&gt;0.5,E81&gt;0.5,F81&gt;0.5),AND(D81&lt;0.5,E81&lt;0.5,F81&lt;0.5)),"Yes","No — toss-up")</f>
        <v>No — toss-up</v>
      </c>
    </row>
    <row r="82" customFormat="false" ht="15" hidden="false" customHeight="false" outlineLevel="0" collapsed="false">
      <c r="A82" s="8" t="str">
        <f aca="false">'2026 Forecast A'!A64</f>
        <v>Lehigh</v>
      </c>
      <c r="B82" s="8" t="str">
        <f aca="false">'2026 Forecast A'!B64</f>
        <v>ALLENTOWN</v>
      </c>
      <c r="C82" s="8" t="str">
        <f aca="false">'2026 Forecast A'!C64</f>
        <v>ALLENTOWN 10TH WARD 1ST DIST</v>
      </c>
      <c r="D82" s="9" t="n">
        <f aca="false">'2026 Forecast A'!G64</f>
        <v>0.758208955223881</v>
      </c>
      <c r="E82" s="9" t="n">
        <f aca="false">'2026 Forecast B'!G64</f>
        <v>0.752238805970149</v>
      </c>
      <c r="F82" s="9" t="n">
        <f aca="false">'2026 Forecast C'!G64</f>
        <v>0.764179104477612</v>
      </c>
      <c r="G82" s="24" t="n">
        <f aca="false">(MAX(D82:F82)-MIN(D82:F82))*100</f>
        <v>1.19402985074627</v>
      </c>
      <c r="H82" s="24" t="n">
        <f aca="false">'2026 Forecast A'!J64</f>
        <v>3.02608556967268</v>
      </c>
      <c r="I82" s="24" t="n">
        <f aca="false">'2026 Forecast B'!J64</f>
        <v>2.87480042420966</v>
      </c>
      <c r="J82" s="24" t="n">
        <f aca="false">'2026 Forecast C'!J64</f>
        <v>3.45317612968717</v>
      </c>
      <c r="K82" s="25" t="n">
        <f aca="false">'2026 Forecast A'!F64</f>
        <v>335</v>
      </c>
      <c r="L82" s="26" t="str">
        <f aca="false">IF(OR(AND(D82&gt;0.5,E82&gt;0.5,F82&gt;0.5),AND(D82&lt;0.5,E82&lt;0.5,F82&lt;0.5)),"Yes","No — toss-up")</f>
        <v>Yes</v>
      </c>
    </row>
    <row r="83" customFormat="false" ht="15" hidden="false" customHeight="false" outlineLevel="0" collapsed="false">
      <c r="A83" s="8" t="str">
        <f aca="false">'2026 Forecast A'!A65</f>
        <v>Lehigh</v>
      </c>
      <c r="B83" s="8" t="str">
        <f aca="false">'2026 Forecast A'!B65</f>
        <v>ALLENTOWN</v>
      </c>
      <c r="C83" s="8" t="str">
        <f aca="false">'2026 Forecast A'!C65</f>
        <v>ALLENTOWN 10TH WARD 3RD DIST</v>
      </c>
      <c r="D83" s="9" t="n">
        <f aca="false">'2026 Forecast A'!G65</f>
        <v>0.703349282296651</v>
      </c>
      <c r="E83" s="9" t="n">
        <f aca="false">'2026 Forecast B'!G65</f>
        <v>0.708133971291866</v>
      </c>
      <c r="F83" s="9" t="n">
        <f aca="false">'2026 Forecast C'!G65</f>
        <v>0.708133971291866</v>
      </c>
      <c r="G83" s="24" t="n">
        <f aca="false">(MAX(D83:F83)-MIN(D83:F83))*100</f>
        <v>0.478468899521534</v>
      </c>
      <c r="H83" s="24" t="n">
        <f aca="false">'2026 Forecast A'!J65</f>
        <v>3.02608556967268</v>
      </c>
      <c r="I83" s="24" t="n">
        <f aca="false">'2026 Forecast B'!J65</f>
        <v>2.87480042420966</v>
      </c>
      <c r="J83" s="24" t="n">
        <f aca="false">'2026 Forecast C'!J65</f>
        <v>3.45317612968717</v>
      </c>
      <c r="K83" s="25" t="n">
        <f aca="false">'2026 Forecast A'!F65</f>
        <v>209</v>
      </c>
      <c r="L83" s="26" t="str">
        <f aca="false">IF(OR(AND(D83&gt;0.5,E83&gt;0.5,F83&gt;0.5),AND(D83&lt;0.5,E83&lt;0.5,F83&lt;0.5)),"Yes","No — toss-up")</f>
        <v>Yes</v>
      </c>
    </row>
    <row r="84" customFormat="false" ht="15" hidden="false" customHeight="false" outlineLevel="0" collapsed="false">
      <c r="A84" s="8" t="str">
        <f aca="false">'2026 Forecast A'!A66</f>
        <v>Lehigh</v>
      </c>
      <c r="B84" s="8" t="str">
        <f aca="false">'2026 Forecast A'!B66</f>
        <v>ALLENTOWN</v>
      </c>
      <c r="C84" s="8" t="str">
        <f aca="false">'2026 Forecast A'!C66</f>
        <v>ALLENTOWN 10TH WARD 4TH DIST</v>
      </c>
      <c r="D84" s="9" t="n">
        <f aca="false">'2026 Forecast A'!G66</f>
        <v>0.736401673640167</v>
      </c>
      <c r="E84" s="9" t="n">
        <f aca="false">'2026 Forecast B'!G66</f>
        <v>0.740585774058577</v>
      </c>
      <c r="F84" s="9" t="n">
        <f aca="false">'2026 Forecast C'!G66</f>
        <v>0.744769874476987</v>
      </c>
      <c r="G84" s="24" t="n">
        <f aca="false">(MAX(D84:F84)-MIN(D84:F84))*100</f>
        <v>0.836820083681999</v>
      </c>
      <c r="H84" s="24" t="n">
        <f aca="false">'2026 Forecast A'!J66</f>
        <v>3.02608556967268</v>
      </c>
      <c r="I84" s="24" t="n">
        <f aca="false">'2026 Forecast B'!J66</f>
        <v>2.87480042420966</v>
      </c>
      <c r="J84" s="24" t="n">
        <f aca="false">'2026 Forecast C'!J66</f>
        <v>3.45317612968717</v>
      </c>
      <c r="K84" s="25" t="n">
        <f aca="false">'2026 Forecast A'!F66</f>
        <v>239</v>
      </c>
      <c r="L84" s="26" t="str">
        <f aca="false">IF(OR(AND(D84&gt;0.5,E84&gt;0.5,F84&gt;0.5),AND(D84&lt;0.5,E84&lt;0.5,F84&lt;0.5)),"Yes","No — toss-up")</f>
        <v>Yes</v>
      </c>
    </row>
    <row r="85" customFormat="false" ht="15" hidden="false" customHeight="false" outlineLevel="0" collapsed="false">
      <c r="A85" s="8" t="str">
        <f aca="false">'2026 Forecast A'!A67</f>
        <v>Lehigh</v>
      </c>
      <c r="B85" s="8" t="str">
        <f aca="false">'2026 Forecast A'!B67</f>
        <v>ALLENTOWN</v>
      </c>
      <c r="C85" s="8" t="str">
        <f aca="false">'2026 Forecast A'!C67</f>
        <v>ALLENTOWN 11TH WARD 1ST DIST</v>
      </c>
      <c r="D85" s="9" t="n">
        <f aca="false">'2026 Forecast A'!G67</f>
        <v>0.714285714285714</v>
      </c>
      <c r="E85" s="9" t="n">
        <f aca="false">'2026 Forecast B'!G67</f>
        <v>0.718487394957983</v>
      </c>
      <c r="F85" s="9" t="n">
        <f aca="false">'2026 Forecast C'!G67</f>
        <v>0.722689075630252</v>
      </c>
      <c r="G85" s="24" t="n">
        <f aca="false">(MAX(D85:F85)-MIN(D85:F85))*100</f>
        <v>0.840336134453779</v>
      </c>
      <c r="H85" s="24" t="n">
        <f aca="false">'2026 Forecast A'!J67</f>
        <v>3.02608556967268</v>
      </c>
      <c r="I85" s="24" t="n">
        <f aca="false">'2026 Forecast B'!J67</f>
        <v>2.87480042420966</v>
      </c>
      <c r="J85" s="24" t="n">
        <f aca="false">'2026 Forecast C'!J67</f>
        <v>3.45317612968717</v>
      </c>
      <c r="K85" s="25" t="n">
        <f aca="false">'2026 Forecast A'!F67</f>
        <v>238</v>
      </c>
      <c r="L85" s="26" t="str">
        <f aca="false">IF(OR(AND(D85&gt;0.5,E85&gt;0.5,F85&gt;0.5),AND(D85&lt;0.5,E85&lt;0.5,F85&lt;0.5)),"Yes","No — toss-up")</f>
        <v>Yes</v>
      </c>
    </row>
    <row r="86" customFormat="false" ht="15" hidden="false" customHeight="false" outlineLevel="0" collapsed="false">
      <c r="A86" s="8" t="str">
        <f aca="false">'2026 Forecast A'!A68</f>
        <v>Lehigh</v>
      </c>
      <c r="B86" s="8" t="str">
        <f aca="false">'2026 Forecast A'!B68</f>
        <v>ALLENTOWN</v>
      </c>
      <c r="C86" s="8" t="str">
        <f aca="false">'2026 Forecast A'!C68</f>
        <v>ALLENTOWN 11TH WARD 2ND DIST</v>
      </c>
      <c r="D86" s="9" t="n">
        <f aca="false">'2026 Forecast A'!G68</f>
        <v>0.775862068965517</v>
      </c>
      <c r="E86" s="9" t="n">
        <f aca="false">'2026 Forecast B'!G68</f>
        <v>0.78448275862069</v>
      </c>
      <c r="F86" s="9" t="n">
        <f aca="false">'2026 Forecast C'!G68</f>
        <v>0.78448275862069</v>
      </c>
      <c r="G86" s="24" t="n">
        <f aca="false">(MAX(D86:F86)-MIN(D86:F86))*100</f>
        <v>0.862068965517238</v>
      </c>
      <c r="H86" s="24" t="n">
        <f aca="false">'2026 Forecast A'!J68</f>
        <v>3.02608556967268</v>
      </c>
      <c r="I86" s="24" t="n">
        <f aca="false">'2026 Forecast B'!J68</f>
        <v>2.87480042420966</v>
      </c>
      <c r="J86" s="24" t="n">
        <f aca="false">'2026 Forecast C'!J68</f>
        <v>3.45317612968717</v>
      </c>
      <c r="K86" s="25" t="n">
        <f aca="false">'2026 Forecast A'!F68</f>
        <v>232</v>
      </c>
      <c r="L86" s="26" t="str">
        <f aca="false">IF(OR(AND(D86&gt;0.5,E86&gt;0.5,F86&gt;0.5),AND(D86&lt;0.5,E86&lt;0.5,F86&lt;0.5)),"Yes","No — toss-up")</f>
        <v>Yes</v>
      </c>
    </row>
    <row r="87" customFormat="false" ht="15" hidden="false" customHeight="false" outlineLevel="0" collapsed="false">
      <c r="A87" s="8" t="str">
        <f aca="false">'2026 Forecast A'!A69</f>
        <v>Lehigh</v>
      </c>
      <c r="B87" s="8" t="str">
        <f aca="false">'2026 Forecast A'!B69</f>
        <v>ALLENTOWN</v>
      </c>
      <c r="C87" s="8" t="str">
        <f aca="false">'2026 Forecast A'!C69</f>
        <v>ALLENTOWN 11TH WARD 3RD DIST</v>
      </c>
      <c r="D87" s="9" t="n">
        <f aca="false">'2026 Forecast A'!G69</f>
        <v>0.720670391061453</v>
      </c>
      <c r="E87" s="9" t="n">
        <f aca="false">'2026 Forecast B'!G69</f>
        <v>0.709497206703911</v>
      </c>
      <c r="F87" s="9" t="n">
        <f aca="false">'2026 Forecast C'!G69</f>
        <v>0.729050279329609</v>
      </c>
      <c r="G87" s="24" t="n">
        <f aca="false">(MAX(D87:F87)-MIN(D87:F87))*100</f>
        <v>1.95530726256984</v>
      </c>
      <c r="H87" s="24" t="n">
        <f aca="false">'2026 Forecast A'!J69</f>
        <v>3.02608556967268</v>
      </c>
      <c r="I87" s="24" t="n">
        <f aca="false">'2026 Forecast B'!J69</f>
        <v>2.87480042420966</v>
      </c>
      <c r="J87" s="24" t="n">
        <f aca="false">'2026 Forecast C'!J69</f>
        <v>3.45317612968717</v>
      </c>
      <c r="K87" s="25" t="n">
        <f aca="false">'2026 Forecast A'!F69</f>
        <v>358</v>
      </c>
      <c r="L87" s="26" t="str">
        <f aca="false">IF(OR(AND(D87&gt;0.5,E87&gt;0.5,F87&gt;0.5),AND(D87&lt;0.5,E87&lt;0.5,F87&lt;0.5)),"Yes","No — toss-up")</f>
        <v>Yes</v>
      </c>
    </row>
    <row r="88" customFormat="false" ht="15" hidden="false" customHeight="false" outlineLevel="0" collapsed="false">
      <c r="A88" s="8" t="str">
        <f aca="false">'2026 Forecast A'!A70</f>
        <v>Lehigh</v>
      </c>
      <c r="B88" s="8" t="str">
        <f aca="false">'2026 Forecast A'!B70</f>
        <v>ALLENTOWN</v>
      </c>
      <c r="C88" s="8" t="str">
        <f aca="false">'2026 Forecast A'!C70</f>
        <v>ALLENTOWN 11TH WARD 4TH DIST</v>
      </c>
      <c r="D88" s="9" t="n">
        <f aca="false">'2026 Forecast A'!G70</f>
        <v>0.801307189542484</v>
      </c>
      <c r="E88" s="9" t="n">
        <f aca="false">'2026 Forecast B'!G70</f>
        <v>0.793464052287582</v>
      </c>
      <c r="F88" s="9" t="n">
        <f aca="false">'2026 Forecast C'!G70</f>
        <v>0.806535947712418</v>
      </c>
      <c r="G88" s="24" t="n">
        <f aca="false">(MAX(D88:F88)-MIN(D88:F88))*100</f>
        <v>1.30718954248367</v>
      </c>
      <c r="H88" s="24" t="n">
        <f aca="false">'2026 Forecast A'!J70</f>
        <v>3.02608556967268</v>
      </c>
      <c r="I88" s="24" t="n">
        <f aca="false">'2026 Forecast B'!J70</f>
        <v>2.87480042420966</v>
      </c>
      <c r="J88" s="24" t="n">
        <f aca="false">'2026 Forecast C'!J70</f>
        <v>3.45317612968717</v>
      </c>
      <c r="K88" s="25" t="n">
        <f aca="false">'2026 Forecast A'!F70</f>
        <v>765</v>
      </c>
      <c r="L88" s="26" t="str">
        <f aca="false">IF(OR(AND(D88&gt;0.5,E88&gt;0.5,F88&gt;0.5),AND(D88&lt;0.5,E88&lt;0.5,F88&lt;0.5)),"Yes","No — toss-up")</f>
        <v>Yes</v>
      </c>
    </row>
    <row r="89" customFormat="false" ht="15" hidden="false" customHeight="false" outlineLevel="0" collapsed="false">
      <c r="A89" s="8" t="str">
        <f aca="false">'2026 Forecast A'!A71</f>
        <v>Lehigh</v>
      </c>
      <c r="B89" s="8" t="str">
        <f aca="false">'2026 Forecast A'!B71</f>
        <v>ALLENTOWN</v>
      </c>
      <c r="C89" s="8" t="str">
        <f aca="false">'2026 Forecast A'!C71</f>
        <v>ALLENTOWN 11TH WARD 5TH DIST</v>
      </c>
      <c r="D89" s="9" t="n">
        <f aca="false">'2026 Forecast A'!G71</f>
        <v>0.691729323308271</v>
      </c>
      <c r="E89" s="9" t="n">
        <f aca="false">'2026 Forecast B'!G71</f>
        <v>0.68922305764411</v>
      </c>
      <c r="F89" s="9" t="n">
        <f aca="false">'2026 Forecast C'!G71</f>
        <v>0.696741854636591</v>
      </c>
      <c r="G89" s="24" t="n">
        <f aca="false">(MAX(D89:F89)-MIN(D89:F89))*100</f>
        <v>0.751879699248115</v>
      </c>
      <c r="H89" s="24" t="n">
        <f aca="false">'2026 Forecast A'!J71</f>
        <v>3.02608556967268</v>
      </c>
      <c r="I89" s="24" t="n">
        <f aca="false">'2026 Forecast B'!J71</f>
        <v>2.87480042420966</v>
      </c>
      <c r="J89" s="24" t="n">
        <f aca="false">'2026 Forecast C'!J71</f>
        <v>3.45317612968717</v>
      </c>
      <c r="K89" s="25" t="n">
        <f aca="false">'2026 Forecast A'!F71</f>
        <v>399</v>
      </c>
      <c r="L89" s="26" t="str">
        <f aca="false">IF(OR(AND(D89&gt;0.5,E89&gt;0.5,F89&gt;0.5),AND(D89&lt;0.5,E89&lt;0.5,F89&lt;0.5)),"Yes","No — toss-up")</f>
        <v>Yes</v>
      </c>
    </row>
    <row r="90" customFormat="false" ht="15" hidden="false" customHeight="false" outlineLevel="0" collapsed="false">
      <c r="A90" s="8" t="str">
        <f aca="false">'2026 Forecast A'!A72</f>
        <v>Lehigh</v>
      </c>
      <c r="B90" s="8" t="str">
        <f aca="false">'2026 Forecast A'!B72</f>
        <v>ALLENTOWN</v>
      </c>
      <c r="C90" s="8" t="str">
        <f aca="false">'2026 Forecast A'!C72</f>
        <v>ALLENTOWN 11TH WARD 6TH DIST</v>
      </c>
      <c r="D90" s="9" t="n">
        <f aca="false">'2026 Forecast A'!G72</f>
        <v>0.645863570391872</v>
      </c>
      <c r="E90" s="9" t="n">
        <f aca="false">'2026 Forecast B'!G72</f>
        <v>0.65021770682148</v>
      </c>
      <c r="F90" s="9" t="n">
        <f aca="false">'2026 Forecast C'!G72</f>
        <v>0.65021770682148</v>
      </c>
      <c r="G90" s="24" t="n">
        <f aca="false">(MAX(D90:F90)-MIN(D90:F90))*100</f>
        <v>0.435413642960814</v>
      </c>
      <c r="H90" s="24" t="n">
        <f aca="false">'2026 Forecast A'!J72</f>
        <v>3.02608556967268</v>
      </c>
      <c r="I90" s="24" t="n">
        <f aca="false">'2026 Forecast B'!J72</f>
        <v>2.87480042420966</v>
      </c>
      <c r="J90" s="24" t="n">
        <f aca="false">'2026 Forecast C'!J72</f>
        <v>3.45317612968717</v>
      </c>
      <c r="K90" s="25" t="n">
        <f aca="false">'2026 Forecast A'!F72</f>
        <v>689</v>
      </c>
      <c r="L90" s="26" t="str">
        <f aca="false">IF(OR(AND(D90&gt;0.5,E90&gt;0.5,F90&gt;0.5),AND(D90&lt;0.5,E90&lt;0.5,F90&lt;0.5)),"Yes","No — toss-up")</f>
        <v>Yes</v>
      </c>
    </row>
    <row r="91" customFormat="false" ht="15" hidden="false" customHeight="false" outlineLevel="0" collapsed="false">
      <c r="A91" s="8" t="str">
        <f aca="false">'2026 Forecast A'!A73</f>
        <v>Lehigh</v>
      </c>
      <c r="B91" s="8" t="str">
        <f aca="false">'2026 Forecast A'!B73</f>
        <v>ALLENTOWN</v>
      </c>
      <c r="C91" s="8" t="str">
        <f aca="false">'2026 Forecast A'!C73</f>
        <v>ALLENTOWN 11TH WARD 7TH DIST</v>
      </c>
      <c r="D91" s="9" t="n">
        <f aca="false">'2026 Forecast A'!G73</f>
        <v>0.667279411764706</v>
      </c>
      <c r="E91" s="9" t="n">
        <f aca="false">'2026 Forecast B'!G73</f>
        <v>0.659926470588235</v>
      </c>
      <c r="F91" s="9" t="n">
        <f aca="false">'2026 Forecast C'!G73</f>
        <v>0.670955882352941</v>
      </c>
      <c r="G91" s="24" t="n">
        <f aca="false">(MAX(D91:F91)-MIN(D91:F91))*100</f>
        <v>1.10294117647058</v>
      </c>
      <c r="H91" s="24" t="n">
        <f aca="false">'2026 Forecast A'!J73</f>
        <v>3.02608556967268</v>
      </c>
      <c r="I91" s="24" t="n">
        <f aca="false">'2026 Forecast B'!J73</f>
        <v>2.87480042420966</v>
      </c>
      <c r="J91" s="24" t="n">
        <f aca="false">'2026 Forecast C'!J73</f>
        <v>3.45317612968717</v>
      </c>
      <c r="K91" s="25" t="n">
        <f aca="false">'2026 Forecast A'!F73</f>
        <v>544</v>
      </c>
      <c r="L91" s="26" t="str">
        <f aca="false">IF(OR(AND(D91&gt;0.5,E91&gt;0.5,F91&gt;0.5),AND(D91&lt;0.5,E91&lt;0.5,F91&lt;0.5)),"Yes","No — toss-up")</f>
        <v>Yes</v>
      </c>
    </row>
    <row r="92" customFormat="false" ht="15" hidden="false" customHeight="false" outlineLevel="0" collapsed="false">
      <c r="A92" s="8" t="str">
        <f aca="false">'2026 Forecast A'!A74</f>
        <v>Lehigh</v>
      </c>
      <c r="B92" s="8" t="str">
        <f aca="false">'2026 Forecast A'!B74</f>
        <v>ALLENTOWN</v>
      </c>
      <c r="C92" s="8" t="str">
        <f aca="false">'2026 Forecast A'!C74</f>
        <v>ALLENTOWN 12TH WARD 1ST DIST</v>
      </c>
      <c r="D92" s="9" t="n">
        <f aca="false">'2026 Forecast A'!G74</f>
        <v>0.716145833333333</v>
      </c>
      <c r="E92" s="9" t="n">
        <f aca="false">'2026 Forecast B'!G74</f>
        <v>0.703125</v>
      </c>
      <c r="F92" s="9" t="n">
        <f aca="false">'2026 Forecast C'!G74</f>
        <v>0.723958333333333</v>
      </c>
      <c r="G92" s="24" t="n">
        <f aca="false">(MAX(D92:F92)-MIN(D92:F92))*100</f>
        <v>2.08333333333334</v>
      </c>
      <c r="H92" s="24" t="n">
        <f aca="false">'2026 Forecast A'!J74</f>
        <v>3.02608556967268</v>
      </c>
      <c r="I92" s="24" t="n">
        <f aca="false">'2026 Forecast B'!J74</f>
        <v>2.87480042420966</v>
      </c>
      <c r="J92" s="24" t="n">
        <f aca="false">'2026 Forecast C'!J74</f>
        <v>3.45317612968717</v>
      </c>
      <c r="K92" s="25" t="n">
        <f aca="false">'2026 Forecast A'!F74</f>
        <v>384</v>
      </c>
      <c r="L92" s="26" t="str">
        <f aca="false">IF(OR(AND(D92&gt;0.5,E92&gt;0.5,F92&gt;0.5),AND(D92&lt;0.5,E92&lt;0.5,F92&lt;0.5)),"Yes","No — toss-up")</f>
        <v>Yes</v>
      </c>
    </row>
    <row r="93" customFormat="false" ht="15" hidden="false" customHeight="false" outlineLevel="0" collapsed="false">
      <c r="A93" s="8" t="str">
        <f aca="false">'2026 Forecast A'!A75</f>
        <v>Lehigh</v>
      </c>
      <c r="B93" s="8" t="str">
        <f aca="false">'2026 Forecast A'!B75</f>
        <v>ALLENTOWN</v>
      </c>
      <c r="C93" s="8" t="str">
        <f aca="false">'2026 Forecast A'!C75</f>
        <v>ALLENTOWN 12TH WARD 2ND DIST</v>
      </c>
      <c r="D93" s="9" t="n">
        <f aca="false">'2026 Forecast A'!G75</f>
        <v>0.668724279835391</v>
      </c>
      <c r="E93" s="9" t="n">
        <f aca="false">'2026 Forecast B'!G75</f>
        <v>0.676954732510288</v>
      </c>
      <c r="F93" s="9" t="n">
        <f aca="false">'2026 Forecast C'!G75</f>
        <v>0.67283950617284</v>
      </c>
      <c r="G93" s="24" t="n">
        <f aca="false">(MAX(D93:F93)-MIN(D93:F93))*100</f>
        <v>0.823045267489708</v>
      </c>
      <c r="H93" s="24" t="n">
        <f aca="false">'2026 Forecast A'!J75</f>
        <v>3.02608556967268</v>
      </c>
      <c r="I93" s="24" t="n">
        <f aca="false">'2026 Forecast B'!J75</f>
        <v>2.87480042420966</v>
      </c>
      <c r="J93" s="24" t="n">
        <f aca="false">'2026 Forecast C'!J75</f>
        <v>3.45317612968717</v>
      </c>
      <c r="K93" s="25" t="n">
        <f aca="false">'2026 Forecast A'!F75</f>
        <v>486</v>
      </c>
      <c r="L93" s="26" t="str">
        <f aca="false">IF(OR(AND(D93&gt;0.5,E93&gt;0.5,F93&gt;0.5),AND(D93&lt;0.5,E93&lt;0.5,F93&lt;0.5)),"Yes","No — toss-up")</f>
        <v>Yes</v>
      </c>
    </row>
    <row r="94" customFormat="false" ht="15" hidden="false" customHeight="false" outlineLevel="0" collapsed="false">
      <c r="A94" s="8" t="str">
        <f aca="false">'2026 Forecast A'!A76</f>
        <v>Lehigh</v>
      </c>
      <c r="B94" s="8" t="str">
        <f aca="false">'2026 Forecast A'!B76</f>
        <v>ALLENTOWN</v>
      </c>
      <c r="C94" s="8" t="str">
        <f aca="false">'2026 Forecast A'!C76</f>
        <v>ALLENTOWN 12TH WARD 3RD DIST</v>
      </c>
      <c r="D94" s="9" t="n">
        <f aca="false">'2026 Forecast A'!G76</f>
        <v>0.663306451612903</v>
      </c>
      <c r="E94" s="9" t="n">
        <f aca="false">'2026 Forecast B'!G76</f>
        <v>0.659274193548387</v>
      </c>
      <c r="F94" s="9" t="n">
        <f aca="false">'2026 Forecast C'!G76</f>
        <v>0.667338709677419</v>
      </c>
      <c r="G94" s="24" t="n">
        <f aca="false">(MAX(D94:F94)-MIN(D94:F94))*100</f>
        <v>0.806451612903225</v>
      </c>
      <c r="H94" s="24" t="n">
        <f aca="false">'2026 Forecast A'!J76</f>
        <v>3.02608556967268</v>
      </c>
      <c r="I94" s="24" t="n">
        <f aca="false">'2026 Forecast B'!J76</f>
        <v>2.87480042420966</v>
      </c>
      <c r="J94" s="24" t="n">
        <f aca="false">'2026 Forecast C'!J76</f>
        <v>3.45317612968717</v>
      </c>
      <c r="K94" s="25" t="n">
        <f aca="false">'2026 Forecast A'!F76</f>
        <v>496</v>
      </c>
      <c r="L94" s="26" t="str">
        <f aca="false">IF(OR(AND(D94&gt;0.5,E94&gt;0.5,F94&gt;0.5),AND(D94&lt;0.5,E94&lt;0.5,F94&lt;0.5)),"Yes","No — toss-up")</f>
        <v>Yes</v>
      </c>
    </row>
    <row r="95" customFormat="false" ht="15" hidden="false" customHeight="false" outlineLevel="0" collapsed="false">
      <c r="A95" s="8" t="str">
        <f aca="false">'2026 Forecast A'!A77</f>
        <v>Lehigh</v>
      </c>
      <c r="B95" s="8" t="str">
        <f aca="false">'2026 Forecast A'!B77</f>
        <v>ALLENTOWN</v>
      </c>
      <c r="C95" s="8" t="str">
        <f aca="false">'2026 Forecast A'!C77</f>
        <v>ALLENTOWN 12TH WARD 4TH DIST</v>
      </c>
      <c r="D95" s="9" t="n">
        <f aca="false">'2026 Forecast A'!G77</f>
        <v>0.609540636042403</v>
      </c>
      <c r="E95" s="9" t="n">
        <f aca="false">'2026 Forecast B'!G77</f>
        <v>0.614840989399293</v>
      </c>
      <c r="F95" s="9" t="n">
        <f aca="false">'2026 Forecast C'!G77</f>
        <v>0.614840989399293</v>
      </c>
      <c r="G95" s="24" t="n">
        <f aca="false">(MAX(D95:F95)-MIN(D95:F95))*100</f>
        <v>0.53003533568905</v>
      </c>
      <c r="H95" s="24" t="n">
        <f aca="false">'2026 Forecast A'!J77</f>
        <v>3.02608556967268</v>
      </c>
      <c r="I95" s="24" t="n">
        <f aca="false">'2026 Forecast B'!J77</f>
        <v>2.87480042420966</v>
      </c>
      <c r="J95" s="24" t="n">
        <f aca="false">'2026 Forecast C'!J77</f>
        <v>3.45317612968717</v>
      </c>
      <c r="K95" s="25" t="n">
        <f aca="false">'2026 Forecast A'!F77</f>
        <v>566</v>
      </c>
      <c r="L95" s="26" t="str">
        <f aca="false">IF(OR(AND(D95&gt;0.5,E95&gt;0.5,F95&gt;0.5),AND(D95&lt;0.5,E95&lt;0.5,F95&lt;0.5)),"Yes","No — toss-up")</f>
        <v>Yes</v>
      </c>
    </row>
    <row r="96" customFormat="false" ht="15" hidden="false" customHeight="false" outlineLevel="0" collapsed="false">
      <c r="A96" s="8" t="str">
        <f aca="false">'2026 Forecast A'!A78</f>
        <v>Lehigh</v>
      </c>
      <c r="B96" s="8" t="str">
        <f aca="false">'2026 Forecast A'!B78</f>
        <v>ALLENTOWN</v>
      </c>
      <c r="C96" s="8" t="str">
        <f aca="false">'2026 Forecast A'!C78</f>
        <v>ALLENTOWN 12TH WARD 5TH DIST</v>
      </c>
      <c r="D96" s="9" t="n">
        <f aca="false">'2026 Forecast A'!G78</f>
        <v>0.64390243902439</v>
      </c>
      <c r="E96" s="9" t="n">
        <f aca="false">'2026 Forecast B'!G78</f>
        <v>0.648780487804878</v>
      </c>
      <c r="F96" s="9" t="n">
        <f aca="false">'2026 Forecast C'!G78</f>
        <v>0.646341463414634</v>
      </c>
      <c r="G96" s="24" t="n">
        <f aca="false">(MAX(D96:F96)-MIN(D96:F96))*100</f>
        <v>0.487804878048781</v>
      </c>
      <c r="H96" s="24" t="n">
        <f aca="false">'2026 Forecast A'!J78</f>
        <v>3.02608556967268</v>
      </c>
      <c r="I96" s="24" t="n">
        <f aca="false">'2026 Forecast B'!J78</f>
        <v>2.87480042420966</v>
      </c>
      <c r="J96" s="24" t="n">
        <f aca="false">'2026 Forecast C'!J78</f>
        <v>3.45317612968717</v>
      </c>
      <c r="K96" s="25" t="n">
        <f aca="false">'2026 Forecast A'!F78</f>
        <v>410</v>
      </c>
      <c r="L96" s="26" t="str">
        <f aca="false">IF(OR(AND(D96&gt;0.5,E96&gt;0.5,F96&gt;0.5),AND(D96&lt;0.5,E96&lt;0.5,F96&lt;0.5)),"Yes","No — toss-up")</f>
        <v>Yes</v>
      </c>
    </row>
    <row r="97" customFormat="false" ht="15" hidden="false" customHeight="false" outlineLevel="0" collapsed="false">
      <c r="A97" s="8" t="str">
        <f aca="false">'2026 Forecast A'!A79</f>
        <v>Lehigh</v>
      </c>
      <c r="B97" s="8" t="str">
        <f aca="false">'2026 Forecast A'!B79</f>
        <v>ALLENTOWN</v>
      </c>
      <c r="C97" s="8" t="str">
        <f aca="false">'2026 Forecast A'!C79</f>
        <v>ALLENTOWN 13TH WARD 1ST DIST</v>
      </c>
      <c r="D97" s="9" t="n">
        <f aca="false">'2026 Forecast A'!G79</f>
        <v>0.727011494252874</v>
      </c>
      <c r="E97" s="9" t="n">
        <f aca="false">'2026 Forecast B'!G79</f>
        <v>0.738505747126437</v>
      </c>
      <c r="F97" s="9" t="n">
        <f aca="false">'2026 Forecast C'!G79</f>
        <v>0.732758620689655</v>
      </c>
      <c r="G97" s="24" t="n">
        <f aca="false">(MAX(D97:F97)-MIN(D97:F97))*100</f>
        <v>1.14942528735632</v>
      </c>
      <c r="H97" s="24" t="n">
        <f aca="false">'2026 Forecast A'!J79</f>
        <v>3.02608556967268</v>
      </c>
      <c r="I97" s="24" t="n">
        <f aca="false">'2026 Forecast B'!J79</f>
        <v>2.87480042420966</v>
      </c>
      <c r="J97" s="24" t="n">
        <f aca="false">'2026 Forecast C'!J79</f>
        <v>3.45317612968717</v>
      </c>
      <c r="K97" s="25" t="n">
        <f aca="false">'2026 Forecast A'!F79</f>
        <v>348</v>
      </c>
      <c r="L97" s="26" t="str">
        <f aca="false">IF(OR(AND(D97&gt;0.5,E97&gt;0.5,F97&gt;0.5),AND(D97&lt;0.5,E97&lt;0.5,F97&lt;0.5)),"Yes","No — toss-up")</f>
        <v>Yes</v>
      </c>
    </row>
    <row r="98" customFormat="false" ht="15" hidden="false" customHeight="false" outlineLevel="0" collapsed="false">
      <c r="A98" s="8" t="str">
        <f aca="false">'2026 Forecast A'!A80</f>
        <v>Lehigh</v>
      </c>
      <c r="B98" s="8" t="str">
        <f aca="false">'2026 Forecast A'!B80</f>
        <v>ALLENTOWN</v>
      </c>
      <c r="C98" s="8" t="str">
        <f aca="false">'2026 Forecast A'!C80</f>
        <v>ALLENTOWN 13TH WARD 2ND DIST</v>
      </c>
      <c r="D98" s="9" t="n">
        <f aca="false">'2026 Forecast A'!G80</f>
        <v>0.680272108843537</v>
      </c>
      <c r="E98" s="9" t="n">
        <f aca="false">'2026 Forecast B'!G80</f>
        <v>0.693877551020408</v>
      </c>
      <c r="F98" s="9" t="n">
        <f aca="false">'2026 Forecast C'!G80</f>
        <v>0.683673469387755</v>
      </c>
      <c r="G98" s="24" t="n">
        <f aca="false">(MAX(D98:F98)-MIN(D98:F98))*100</f>
        <v>1.36054421768708</v>
      </c>
      <c r="H98" s="24" t="n">
        <f aca="false">'2026 Forecast A'!J80</f>
        <v>3.02608556967268</v>
      </c>
      <c r="I98" s="24" t="n">
        <f aca="false">'2026 Forecast B'!J80</f>
        <v>2.87480042420966</v>
      </c>
      <c r="J98" s="24" t="n">
        <f aca="false">'2026 Forecast C'!J80</f>
        <v>3.45317612968717</v>
      </c>
      <c r="K98" s="25" t="n">
        <f aca="false">'2026 Forecast A'!F80</f>
        <v>294</v>
      </c>
      <c r="L98" s="26" t="str">
        <f aca="false">IF(OR(AND(D98&gt;0.5,E98&gt;0.5,F98&gt;0.5),AND(D98&lt;0.5,E98&lt;0.5,F98&lt;0.5)),"Yes","No — toss-up")</f>
        <v>Yes</v>
      </c>
    </row>
    <row r="99" customFormat="false" ht="15" hidden="false" customHeight="false" outlineLevel="0" collapsed="false">
      <c r="A99" s="8" t="str">
        <f aca="false">'2026 Forecast A'!A81</f>
        <v>Lehigh</v>
      </c>
      <c r="B99" s="8" t="str">
        <f aca="false">'2026 Forecast A'!B81</f>
        <v>ALLENTOWN</v>
      </c>
      <c r="C99" s="8" t="str">
        <f aca="false">'2026 Forecast A'!C81</f>
        <v>ALLENTOWN 13TH WARD 3RD DIST</v>
      </c>
      <c r="D99" s="9" t="n">
        <f aca="false">'2026 Forecast A'!G81</f>
        <v>0.683377308707124</v>
      </c>
      <c r="E99" s="9" t="n">
        <f aca="false">'2026 Forecast B'!G81</f>
        <v>0.683377308707124</v>
      </c>
      <c r="F99" s="9" t="n">
        <f aca="false">'2026 Forecast C'!G81</f>
        <v>0.686015831134565</v>
      </c>
      <c r="G99" s="24" t="n">
        <f aca="false">(MAX(D99:F99)-MIN(D99:F99))*100</f>
        <v>0.263852242744067</v>
      </c>
      <c r="H99" s="24" t="n">
        <f aca="false">'2026 Forecast A'!J81</f>
        <v>3.02608556967268</v>
      </c>
      <c r="I99" s="24" t="n">
        <f aca="false">'2026 Forecast B'!J81</f>
        <v>2.87480042420966</v>
      </c>
      <c r="J99" s="24" t="n">
        <f aca="false">'2026 Forecast C'!J81</f>
        <v>3.45317612968717</v>
      </c>
      <c r="K99" s="25" t="n">
        <f aca="false">'2026 Forecast A'!F81</f>
        <v>379</v>
      </c>
      <c r="L99" s="26" t="str">
        <f aca="false">IF(OR(AND(D99&gt;0.5,E99&gt;0.5,F99&gt;0.5),AND(D99&lt;0.5,E99&lt;0.5,F99&lt;0.5)),"Yes","No — toss-up")</f>
        <v>Yes</v>
      </c>
    </row>
    <row r="100" customFormat="false" ht="15" hidden="false" customHeight="false" outlineLevel="0" collapsed="false">
      <c r="A100" s="8" t="str">
        <f aca="false">'2026 Forecast A'!A82</f>
        <v>Lehigh</v>
      </c>
      <c r="B100" s="8" t="str">
        <f aca="false">'2026 Forecast A'!B82</f>
        <v>ALLENTOWN</v>
      </c>
      <c r="C100" s="8" t="str">
        <f aca="false">'2026 Forecast A'!C82</f>
        <v>ALLENTOWN 13TH WARD 4TH DIST</v>
      </c>
      <c r="D100" s="9" t="n">
        <f aca="false">'2026 Forecast A'!G82</f>
        <v>0.711340206185567</v>
      </c>
      <c r="E100" s="9" t="n">
        <f aca="false">'2026 Forecast B'!G82</f>
        <v>0.718213058419244</v>
      </c>
      <c r="F100" s="9" t="n">
        <f aca="false">'2026 Forecast C'!G82</f>
        <v>0.714776632302406</v>
      </c>
      <c r="G100" s="24" t="n">
        <f aca="false">(MAX(D100:F100)-MIN(D100:F100))*100</f>
        <v>0.687285223367695</v>
      </c>
      <c r="H100" s="24" t="n">
        <f aca="false">'2026 Forecast A'!J82</f>
        <v>3.02608556967268</v>
      </c>
      <c r="I100" s="24" t="n">
        <f aca="false">'2026 Forecast B'!J82</f>
        <v>2.87480042420966</v>
      </c>
      <c r="J100" s="24" t="n">
        <f aca="false">'2026 Forecast C'!J82</f>
        <v>3.45317612968717</v>
      </c>
      <c r="K100" s="25" t="n">
        <f aca="false">'2026 Forecast A'!F82</f>
        <v>291</v>
      </c>
      <c r="L100" s="26" t="str">
        <f aca="false">IF(OR(AND(D100&gt;0.5,E100&gt;0.5,F100&gt;0.5),AND(D100&lt;0.5,E100&lt;0.5,F100&lt;0.5)),"Yes","No — toss-up")</f>
        <v>Yes</v>
      </c>
    </row>
    <row r="101" customFormat="false" ht="15" hidden="false" customHeight="false" outlineLevel="0" collapsed="false">
      <c r="A101" s="8" t="str">
        <f aca="false">'2026 Forecast A'!A83</f>
        <v>Lehigh</v>
      </c>
      <c r="B101" s="8" t="str">
        <f aca="false">'2026 Forecast A'!B83</f>
        <v>ALLENTOWN</v>
      </c>
      <c r="C101" s="8" t="str">
        <f aca="false">'2026 Forecast A'!C83</f>
        <v>ALLENTOWN 14TH WARD 1ST DIST</v>
      </c>
      <c r="D101" s="9" t="n">
        <f aca="false">'2026 Forecast A'!G83</f>
        <v>0.670731707317073</v>
      </c>
      <c r="E101" s="9" t="n">
        <f aca="false">'2026 Forecast B'!G83</f>
        <v>0.672473867595819</v>
      </c>
      <c r="F101" s="9" t="n">
        <f aca="false">'2026 Forecast C'!G83</f>
        <v>0.674216027874565</v>
      </c>
      <c r="G101" s="24" t="n">
        <f aca="false">(MAX(D101:F101)-MIN(D101:F101))*100</f>
        <v>0.348432055749126</v>
      </c>
      <c r="H101" s="24" t="n">
        <f aca="false">'2026 Forecast A'!J83</f>
        <v>3.02608556967268</v>
      </c>
      <c r="I101" s="24" t="n">
        <f aca="false">'2026 Forecast B'!J83</f>
        <v>2.87480042420966</v>
      </c>
      <c r="J101" s="24" t="n">
        <f aca="false">'2026 Forecast C'!J83</f>
        <v>3.45317612968717</v>
      </c>
      <c r="K101" s="25" t="n">
        <f aca="false">'2026 Forecast A'!F83</f>
        <v>574</v>
      </c>
      <c r="L101" s="26" t="str">
        <f aca="false">IF(OR(AND(D101&gt;0.5,E101&gt;0.5,F101&gt;0.5),AND(D101&lt;0.5,E101&lt;0.5,F101&lt;0.5)),"Yes","No — toss-up")</f>
        <v>Yes</v>
      </c>
    </row>
    <row r="102" customFormat="false" ht="15" hidden="false" customHeight="false" outlineLevel="0" collapsed="false">
      <c r="A102" s="8" t="str">
        <f aca="false">'2026 Forecast A'!A84</f>
        <v>Lehigh</v>
      </c>
      <c r="B102" s="8" t="str">
        <f aca="false">'2026 Forecast A'!B84</f>
        <v>ALLENTOWN</v>
      </c>
      <c r="C102" s="8" t="str">
        <f aca="false">'2026 Forecast A'!C84</f>
        <v>ALLENTOWN 14TH WARD 2ND DIST</v>
      </c>
      <c r="D102" s="9" t="n">
        <f aca="false">'2026 Forecast A'!G84</f>
        <v>0.672694394213382</v>
      </c>
      <c r="E102" s="9" t="n">
        <f aca="false">'2026 Forecast B'!G84</f>
        <v>0.683544303797468</v>
      </c>
      <c r="F102" s="9" t="n">
        <f aca="false">'2026 Forecast C'!G84</f>
        <v>0.678119349005425</v>
      </c>
      <c r="G102" s="24" t="n">
        <f aca="false">(MAX(D102:F102)-MIN(D102:F102))*100</f>
        <v>1.08499095840868</v>
      </c>
      <c r="H102" s="24" t="n">
        <f aca="false">'2026 Forecast A'!J84</f>
        <v>3.02608556967268</v>
      </c>
      <c r="I102" s="24" t="n">
        <f aca="false">'2026 Forecast B'!J84</f>
        <v>2.87480042420966</v>
      </c>
      <c r="J102" s="24" t="n">
        <f aca="false">'2026 Forecast C'!J84</f>
        <v>3.45317612968717</v>
      </c>
      <c r="K102" s="25" t="n">
        <f aca="false">'2026 Forecast A'!F84</f>
        <v>553</v>
      </c>
      <c r="L102" s="26" t="str">
        <f aca="false">IF(OR(AND(D102&gt;0.5,E102&gt;0.5,F102&gt;0.5),AND(D102&lt;0.5,E102&lt;0.5,F102&lt;0.5)),"Yes","No — toss-up")</f>
        <v>Yes</v>
      </c>
    </row>
    <row r="103" customFormat="false" ht="15" hidden="false" customHeight="false" outlineLevel="0" collapsed="false">
      <c r="A103" s="8" t="str">
        <f aca="false">'2026 Forecast A'!A85</f>
        <v>Lehigh</v>
      </c>
      <c r="B103" s="8" t="str">
        <f aca="false">'2026 Forecast A'!B85</f>
        <v>ALLENTOWN</v>
      </c>
      <c r="C103" s="8" t="str">
        <f aca="false">'2026 Forecast A'!C85</f>
        <v>ALLENTOWN 15TH WARD 1ST DIST</v>
      </c>
      <c r="D103" s="9" t="n">
        <f aca="false">'2026 Forecast A'!G85</f>
        <v>0.604206500956023</v>
      </c>
      <c r="E103" s="9" t="n">
        <f aca="false">'2026 Forecast B'!G85</f>
        <v>0.621414913957935</v>
      </c>
      <c r="F103" s="9" t="n">
        <f aca="false">'2026 Forecast C'!G85</f>
        <v>0.604206500956023</v>
      </c>
      <c r="G103" s="24" t="n">
        <f aca="false">(MAX(D103:F103)-MIN(D103:F103))*100</f>
        <v>1.72084130019121</v>
      </c>
      <c r="H103" s="24" t="n">
        <f aca="false">'2026 Forecast A'!J85</f>
        <v>3.02608556967268</v>
      </c>
      <c r="I103" s="24" t="n">
        <f aca="false">'2026 Forecast B'!J85</f>
        <v>2.87480042420966</v>
      </c>
      <c r="J103" s="24" t="n">
        <f aca="false">'2026 Forecast C'!J85</f>
        <v>3.45317612968717</v>
      </c>
      <c r="K103" s="25" t="n">
        <f aca="false">'2026 Forecast A'!F85</f>
        <v>523</v>
      </c>
      <c r="L103" s="26" t="str">
        <f aca="false">IF(OR(AND(D103&gt;0.5,E103&gt;0.5,F103&gt;0.5),AND(D103&lt;0.5,E103&lt;0.5,F103&lt;0.5)),"Yes","No — toss-up")</f>
        <v>Yes</v>
      </c>
    </row>
    <row r="104" customFormat="false" ht="15" hidden="false" customHeight="false" outlineLevel="0" collapsed="false">
      <c r="A104" s="8" t="str">
        <f aca="false">'2026 Forecast A'!A86</f>
        <v>Lehigh</v>
      </c>
      <c r="B104" s="8" t="str">
        <f aca="false">'2026 Forecast A'!B86</f>
        <v>ALLENTOWN</v>
      </c>
      <c r="C104" s="8" t="str">
        <f aca="false">'2026 Forecast A'!C86</f>
        <v>ALLENTOWN 15TH WARD 2ND DIST</v>
      </c>
      <c r="D104" s="9" t="n">
        <f aca="false">'2026 Forecast A'!G86</f>
        <v>0.65</v>
      </c>
      <c r="E104" s="9" t="n">
        <f aca="false">'2026 Forecast B'!G86</f>
        <v>0.661666666666667</v>
      </c>
      <c r="F104" s="9" t="n">
        <f aca="false">'2026 Forecast C'!G86</f>
        <v>0.655</v>
      </c>
      <c r="G104" s="24" t="n">
        <f aca="false">(MAX(D104:F104)-MIN(D104:F104))*100</f>
        <v>1.16666666666666</v>
      </c>
      <c r="H104" s="24" t="n">
        <f aca="false">'2026 Forecast A'!J86</f>
        <v>3.02608556967268</v>
      </c>
      <c r="I104" s="24" t="n">
        <f aca="false">'2026 Forecast B'!J86</f>
        <v>2.87480042420966</v>
      </c>
      <c r="J104" s="24" t="n">
        <f aca="false">'2026 Forecast C'!J86</f>
        <v>3.45317612968717</v>
      </c>
      <c r="K104" s="25" t="n">
        <f aca="false">'2026 Forecast A'!F86</f>
        <v>600</v>
      </c>
      <c r="L104" s="26" t="str">
        <f aca="false">IF(OR(AND(D104&gt;0.5,E104&gt;0.5,F104&gt;0.5),AND(D104&lt;0.5,E104&lt;0.5,F104&lt;0.5)),"Yes","No — toss-up")</f>
        <v>Yes</v>
      </c>
    </row>
    <row r="105" customFormat="false" ht="15" hidden="false" customHeight="false" outlineLevel="0" collapsed="false">
      <c r="A105" s="8" t="str">
        <f aca="false">'2026 Forecast A'!A87</f>
        <v>Lehigh</v>
      </c>
      <c r="B105" s="8" t="str">
        <f aca="false">'2026 Forecast A'!B87</f>
        <v>ALLENTOWN</v>
      </c>
      <c r="C105" s="8" t="str">
        <f aca="false">'2026 Forecast A'!C87</f>
        <v>ALLENTOWN 15TH WARD 3RD DIST</v>
      </c>
      <c r="D105" s="9" t="n">
        <f aca="false">'2026 Forecast A'!G87</f>
        <v>0.65321375186846</v>
      </c>
      <c r="E105" s="9" t="n">
        <f aca="false">'2026 Forecast B'!G87</f>
        <v>0.656203288490284</v>
      </c>
      <c r="F105" s="9" t="n">
        <f aca="false">'2026 Forecast C'!G87</f>
        <v>0.656203288490284</v>
      </c>
      <c r="G105" s="24" t="n">
        <f aca="false">(MAX(D105:F105)-MIN(D105:F105))*100</f>
        <v>0.298953662182355</v>
      </c>
      <c r="H105" s="24" t="n">
        <f aca="false">'2026 Forecast A'!J87</f>
        <v>3.02608556967268</v>
      </c>
      <c r="I105" s="24" t="n">
        <f aca="false">'2026 Forecast B'!J87</f>
        <v>2.87480042420966</v>
      </c>
      <c r="J105" s="24" t="n">
        <f aca="false">'2026 Forecast C'!J87</f>
        <v>3.45317612968717</v>
      </c>
      <c r="K105" s="25" t="n">
        <f aca="false">'2026 Forecast A'!F87</f>
        <v>669</v>
      </c>
      <c r="L105" s="26" t="str">
        <f aca="false">IF(OR(AND(D105&gt;0.5,E105&gt;0.5,F105&gt;0.5),AND(D105&lt;0.5,E105&lt;0.5,F105&lt;0.5)),"Yes","No — toss-up")</f>
        <v>Yes</v>
      </c>
    </row>
    <row r="106" customFormat="false" ht="15" hidden="false" customHeight="false" outlineLevel="0" collapsed="false">
      <c r="A106" s="8" t="str">
        <f aca="false">'2026 Forecast A'!A88</f>
        <v>Lehigh</v>
      </c>
      <c r="B106" s="8" t="str">
        <f aca="false">'2026 Forecast A'!B88</f>
        <v>ALLENTOWN</v>
      </c>
      <c r="C106" s="8" t="str">
        <f aca="false">'2026 Forecast A'!C88</f>
        <v>ALLENTOWN 15TH WARD 4TH DIST</v>
      </c>
      <c r="D106" s="9" t="n">
        <f aca="false">'2026 Forecast A'!G88</f>
        <v>0.612068965517241</v>
      </c>
      <c r="E106" s="9" t="n">
        <f aca="false">'2026 Forecast B'!G88</f>
        <v>0.627155172413793</v>
      </c>
      <c r="F106" s="9" t="n">
        <f aca="false">'2026 Forecast C'!G88</f>
        <v>0.616379310344828</v>
      </c>
      <c r="G106" s="24" t="n">
        <f aca="false">(MAX(D106:F106)-MIN(D106:F106))*100</f>
        <v>1.50862068965518</v>
      </c>
      <c r="H106" s="24" t="n">
        <f aca="false">'2026 Forecast A'!J88</f>
        <v>3.02608556967268</v>
      </c>
      <c r="I106" s="24" t="n">
        <f aca="false">'2026 Forecast B'!J88</f>
        <v>2.87480042420966</v>
      </c>
      <c r="J106" s="24" t="n">
        <f aca="false">'2026 Forecast C'!J88</f>
        <v>3.45317612968717</v>
      </c>
      <c r="K106" s="25" t="n">
        <f aca="false">'2026 Forecast A'!F88</f>
        <v>464</v>
      </c>
      <c r="L106" s="26" t="str">
        <f aca="false">IF(OR(AND(D106&gt;0.5,E106&gt;0.5,F106&gt;0.5),AND(D106&lt;0.5,E106&lt;0.5,F106&lt;0.5)),"Yes","No — toss-up")</f>
        <v>Yes</v>
      </c>
    </row>
    <row r="107" customFormat="false" ht="15" hidden="false" customHeight="false" outlineLevel="0" collapsed="false">
      <c r="A107" s="8" t="str">
        <f aca="false">'2026 Forecast A'!A89</f>
        <v>Lehigh</v>
      </c>
      <c r="B107" s="8" t="str">
        <f aca="false">'2026 Forecast A'!B89</f>
        <v>ALLENTOWN</v>
      </c>
      <c r="C107" s="8" t="str">
        <f aca="false">'2026 Forecast A'!C89</f>
        <v>ALLENTOWN 16TH WARD 1ST DIST</v>
      </c>
      <c r="D107" s="9" t="n">
        <f aca="false">'2026 Forecast A'!G89</f>
        <v>0.653061224489796</v>
      </c>
      <c r="E107" s="9" t="n">
        <f aca="false">'2026 Forecast B'!G89</f>
        <v>0.662131519274376</v>
      </c>
      <c r="F107" s="9" t="n">
        <f aca="false">'2026 Forecast C'!G89</f>
        <v>0.655328798185941</v>
      </c>
      <c r="G107" s="24" t="n">
        <f aca="false">(MAX(D107:F107)-MIN(D107:F107))*100</f>
        <v>0.907029478458055</v>
      </c>
      <c r="H107" s="24" t="n">
        <f aca="false">'2026 Forecast A'!J89</f>
        <v>3.02608556967268</v>
      </c>
      <c r="I107" s="24" t="n">
        <f aca="false">'2026 Forecast B'!J89</f>
        <v>2.87480042420966</v>
      </c>
      <c r="J107" s="24" t="n">
        <f aca="false">'2026 Forecast C'!J89</f>
        <v>3.45317612968717</v>
      </c>
      <c r="K107" s="25" t="n">
        <f aca="false">'2026 Forecast A'!F89</f>
        <v>441</v>
      </c>
      <c r="L107" s="26" t="str">
        <f aca="false">IF(OR(AND(D107&gt;0.5,E107&gt;0.5,F107&gt;0.5),AND(D107&lt;0.5,E107&lt;0.5,F107&lt;0.5)),"Yes","No — toss-up")</f>
        <v>Yes</v>
      </c>
    </row>
    <row r="108" customFormat="false" ht="15" hidden="false" customHeight="false" outlineLevel="0" collapsed="false">
      <c r="A108" s="8" t="str">
        <f aca="false">'2026 Forecast A'!A90</f>
        <v>Lehigh</v>
      </c>
      <c r="B108" s="8" t="str">
        <f aca="false">'2026 Forecast A'!B90</f>
        <v>ALLENTOWN</v>
      </c>
      <c r="C108" s="8" t="str">
        <f aca="false">'2026 Forecast A'!C90</f>
        <v>ALLENTOWN 16TH WARD 2ND DIST</v>
      </c>
      <c r="D108" s="9" t="n">
        <f aca="false">'2026 Forecast A'!G90</f>
        <v>0.624031007751938</v>
      </c>
      <c r="E108" s="9" t="n">
        <f aca="false">'2026 Forecast B'!G90</f>
        <v>0.635658914728682</v>
      </c>
      <c r="F108" s="9" t="n">
        <f aca="false">'2026 Forecast C'!G90</f>
        <v>0.626614987080103</v>
      </c>
      <c r="G108" s="24" t="n">
        <f aca="false">(MAX(D108:F108)-MIN(D108:F108))*100</f>
        <v>1.16279069767442</v>
      </c>
      <c r="H108" s="24" t="n">
        <f aca="false">'2026 Forecast A'!J90</f>
        <v>3.02608556967268</v>
      </c>
      <c r="I108" s="24" t="n">
        <f aca="false">'2026 Forecast B'!J90</f>
        <v>2.87480042420966</v>
      </c>
      <c r="J108" s="24" t="n">
        <f aca="false">'2026 Forecast C'!J90</f>
        <v>3.45317612968717</v>
      </c>
      <c r="K108" s="25" t="n">
        <f aca="false">'2026 Forecast A'!F90</f>
        <v>774</v>
      </c>
      <c r="L108" s="26" t="str">
        <f aca="false">IF(OR(AND(D108&gt;0.5,E108&gt;0.5,F108&gt;0.5),AND(D108&lt;0.5,E108&lt;0.5,F108&lt;0.5)),"Yes","No — toss-up")</f>
        <v>Yes</v>
      </c>
    </row>
    <row r="109" customFormat="false" ht="15" hidden="false" customHeight="false" outlineLevel="0" collapsed="false">
      <c r="A109" s="8" t="str">
        <f aca="false">'2026 Forecast A'!A91</f>
        <v>Lehigh</v>
      </c>
      <c r="B109" s="8" t="str">
        <f aca="false">'2026 Forecast A'!B91</f>
        <v>ALLENTOWN</v>
      </c>
      <c r="C109" s="8" t="str">
        <f aca="false">'2026 Forecast A'!C91</f>
        <v>ALLENTOWN 17TH WARD 1ST DIST</v>
      </c>
      <c r="D109" s="9" t="n">
        <f aca="false">'2026 Forecast A'!G91</f>
        <v>0.711382113821138</v>
      </c>
      <c r="E109" s="9" t="n">
        <f aca="false">'2026 Forecast B'!G91</f>
        <v>0.707317073170732</v>
      </c>
      <c r="F109" s="9" t="n">
        <f aca="false">'2026 Forecast C'!G91</f>
        <v>0.715447154471545</v>
      </c>
      <c r="G109" s="24" t="n">
        <f aca="false">(MAX(D109:F109)-MIN(D109:F109))*100</f>
        <v>0.813008130081305</v>
      </c>
      <c r="H109" s="24" t="n">
        <f aca="false">'2026 Forecast A'!J91</f>
        <v>3.02608556967268</v>
      </c>
      <c r="I109" s="24" t="n">
        <f aca="false">'2026 Forecast B'!J91</f>
        <v>2.87480042420966</v>
      </c>
      <c r="J109" s="24" t="n">
        <f aca="false">'2026 Forecast C'!J91</f>
        <v>3.45317612968717</v>
      </c>
      <c r="K109" s="25" t="n">
        <f aca="false">'2026 Forecast A'!F91</f>
        <v>492</v>
      </c>
      <c r="L109" s="26" t="str">
        <f aca="false">IF(OR(AND(D109&gt;0.5,E109&gt;0.5,F109&gt;0.5),AND(D109&lt;0.5,E109&lt;0.5,F109&lt;0.5)),"Yes","No — toss-up")</f>
        <v>Yes</v>
      </c>
    </row>
    <row r="110" customFormat="false" ht="15" hidden="false" customHeight="false" outlineLevel="0" collapsed="false">
      <c r="A110" s="8" t="str">
        <f aca="false">'2026 Forecast A'!A92</f>
        <v>Lehigh</v>
      </c>
      <c r="B110" s="8" t="str">
        <f aca="false">'2026 Forecast A'!B92</f>
        <v>ALLENTOWN</v>
      </c>
      <c r="C110" s="8" t="str">
        <f aca="false">'2026 Forecast A'!C92</f>
        <v>ALLENTOWN 17TH WARD 2ND DIST</v>
      </c>
      <c r="D110" s="9" t="n">
        <f aca="false">'2026 Forecast A'!G92</f>
        <v>0.678456591639871</v>
      </c>
      <c r="E110" s="9" t="n">
        <f aca="false">'2026 Forecast B'!G92</f>
        <v>0.663987138263666</v>
      </c>
      <c r="F110" s="9" t="n">
        <f aca="false">'2026 Forecast C'!G92</f>
        <v>0.684887459807074</v>
      </c>
      <c r="G110" s="24" t="n">
        <f aca="false">(MAX(D110:F110)-MIN(D110:F110))*100</f>
        <v>2.09003215434084</v>
      </c>
      <c r="H110" s="24" t="n">
        <f aca="false">'2026 Forecast A'!J92</f>
        <v>3.02608556967268</v>
      </c>
      <c r="I110" s="24" t="n">
        <f aca="false">'2026 Forecast B'!J92</f>
        <v>2.87480042420966</v>
      </c>
      <c r="J110" s="24" t="n">
        <f aca="false">'2026 Forecast C'!J92</f>
        <v>3.45317612968717</v>
      </c>
      <c r="K110" s="25" t="n">
        <f aca="false">'2026 Forecast A'!F92</f>
        <v>622</v>
      </c>
      <c r="L110" s="26" t="str">
        <f aca="false">IF(OR(AND(D110&gt;0.5,E110&gt;0.5,F110&gt;0.5),AND(D110&lt;0.5,E110&lt;0.5,F110&lt;0.5)),"Yes","No — toss-up")</f>
        <v>Yes</v>
      </c>
    </row>
    <row r="111" customFormat="false" ht="15" hidden="false" customHeight="false" outlineLevel="0" collapsed="false">
      <c r="A111" s="8" t="str">
        <f aca="false">'2026 Forecast A'!A93</f>
        <v>Lehigh</v>
      </c>
      <c r="B111" s="8" t="str">
        <f aca="false">'2026 Forecast A'!B93</f>
        <v>ALLENTOWN</v>
      </c>
      <c r="C111" s="8" t="str">
        <f aca="false">'2026 Forecast A'!C93</f>
        <v>ALLENTOWN 17TH WARD 3RD DIST</v>
      </c>
      <c r="D111" s="9" t="n">
        <f aca="false">'2026 Forecast A'!G93</f>
        <v>0.668613138686131</v>
      </c>
      <c r="E111" s="9" t="n">
        <f aca="false">'2026 Forecast B'!G93</f>
        <v>0.648175182481752</v>
      </c>
      <c r="F111" s="9" t="n">
        <f aca="false">'2026 Forecast C'!G93</f>
        <v>0.677372262773723</v>
      </c>
      <c r="G111" s="24" t="n">
        <f aca="false">(MAX(D111:F111)-MIN(D111:F111))*100</f>
        <v>2.91970802919708</v>
      </c>
      <c r="H111" s="24" t="n">
        <f aca="false">'2026 Forecast A'!J93</f>
        <v>3.02608556967268</v>
      </c>
      <c r="I111" s="24" t="n">
        <f aca="false">'2026 Forecast B'!J93</f>
        <v>2.87480042420966</v>
      </c>
      <c r="J111" s="24" t="n">
        <f aca="false">'2026 Forecast C'!J93</f>
        <v>3.45317612968717</v>
      </c>
      <c r="K111" s="25" t="n">
        <f aca="false">'2026 Forecast A'!F93</f>
        <v>685</v>
      </c>
      <c r="L111" s="26" t="str">
        <f aca="false">IF(OR(AND(D111&gt;0.5,E111&gt;0.5,F111&gt;0.5),AND(D111&lt;0.5,E111&lt;0.5,F111&lt;0.5)),"Yes","No — toss-up")</f>
        <v>Yes</v>
      </c>
    </row>
    <row r="112" customFormat="false" ht="15" hidden="false" customHeight="false" outlineLevel="0" collapsed="false">
      <c r="A112" s="8" t="str">
        <f aca="false">'2026 Forecast A'!A94</f>
        <v>Lehigh</v>
      </c>
      <c r="B112" s="8" t="str">
        <f aca="false">'2026 Forecast A'!B94</f>
        <v>ALLENTOWN</v>
      </c>
      <c r="C112" s="8" t="str">
        <f aca="false">'2026 Forecast A'!C94</f>
        <v>ALLENTOWN 17TH WARD 4TH DIST</v>
      </c>
      <c r="D112" s="9" t="n">
        <f aca="false">'2026 Forecast A'!G94</f>
        <v>0.591417910447761</v>
      </c>
      <c r="E112" s="9" t="n">
        <f aca="false">'2026 Forecast B'!G94</f>
        <v>0.58955223880597</v>
      </c>
      <c r="F112" s="9" t="n">
        <f aca="false">'2026 Forecast C'!G94</f>
        <v>0.593283582089552</v>
      </c>
      <c r="G112" s="24" t="n">
        <f aca="false">(MAX(D112:F112)-MIN(D112:F112))*100</f>
        <v>0.373134328358205</v>
      </c>
      <c r="H112" s="24" t="n">
        <f aca="false">'2026 Forecast A'!J94</f>
        <v>3.02608556967268</v>
      </c>
      <c r="I112" s="24" t="n">
        <f aca="false">'2026 Forecast B'!J94</f>
        <v>2.87480042420966</v>
      </c>
      <c r="J112" s="24" t="n">
        <f aca="false">'2026 Forecast C'!J94</f>
        <v>3.45317612968717</v>
      </c>
      <c r="K112" s="25" t="n">
        <f aca="false">'2026 Forecast A'!F94</f>
        <v>536</v>
      </c>
      <c r="L112" s="26" t="str">
        <f aca="false">IF(OR(AND(D112&gt;0.5,E112&gt;0.5,F112&gt;0.5),AND(D112&lt;0.5,E112&lt;0.5,F112&lt;0.5)),"Yes","No — toss-up")</f>
        <v>Yes</v>
      </c>
    </row>
    <row r="113" customFormat="false" ht="15" hidden="false" customHeight="false" outlineLevel="0" collapsed="false">
      <c r="A113" s="8" t="str">
        <f aca="false">'2026 Forecast A'!A95</f>
        <v>Lehigh</v>
      </c>
      <c r="B113" s="8" t="str">
        <f aca="false">'2026 Forecast A'!B95</f>
        <v>ALLENTOWN</v>
      </c>
      <c r="C113" s="8" t="str">
        <f aca="false">'2026 Forecast A'!C95</f>
        <v>ALLENTOWN 17TH WD 4TH DT PARK</v>
      </c>
      <c r="D113" s="9" t="n">
        <f aca="false">'2026 Forecast A'!G95</f>
        <v>0.591414944356121</v>
      </c>
      <c r="E113" s="9" t="n">
        <f aca="false">'2026 Forecast B'!G95</f>
        <v>0.596184419713832</v>
      </c>
      <c r="F113" s="9" t="n">
        <f aca="false">'2026 Forecast C'!G95</f>
        <v>0.592209856915739</v>
      </c>
      <c r="G113" s="24" t="n">
        <f aca="false">(MAX(D113:F113)-MIN(D113:F113))*100</f>
        <v>0.476947535771066</v>
      </c>
      <c r="H113" s="24" t="n">
        <f aca="false">'2026 Forecast A'!J95</f>
        <v>1.24911041755021</v>
      </c>
      <c r="I113" s="24" t="n">
        <f aca="false">'2026 Forecast B'!J95</f>
        <v>1.87117215961084</v>
      </c>
      <c r="J113" s="24" t="n">
        <f aca="false">'2026 Forecast C'!J95</f>
        <v>1.25589305869883</v>
      </c>
      <c r="K113" s="25" t="n">
        <f aca="false">'2026 Forecast A'!F95</f>
        <v>1258</v>
      </c>
      <c r="L113" s="26" t="str">
        <f aca="false">IF(OR(AND(D113&gt;0.5,E113&gt;0.5,F113&gt;0.5),AND(D113&lt;0.5,E113&lt;0.5,F113&lt;0.5)),"Yes","No — toss-up")</f>
        <v>Yes</v>
      </c>
    </row>
    <row r="114" customFormat="false" ht="15" hidden="false" customHeight="false" outlineLevel="0" collapsed="false">
      <c r="A114" s="8" t="str">
        <f aca="false">'2026 Forecast A'!A96</f>
        <v>Lehigh</v>
      </c>
      <c r="B114" s="8" t="str">
        <f aca="false">'2026 Forecast A'!B96</f>
        <v>ALLENTOWN</v>
      </c>
      <c r="C114" s="8" t="str">
        <f aca="false">'2026 Forecast A'!C96</f>
        <v>ALLENTOWN 18TH WARD 1ST DIST</v>
      </c>
      <c r="D114" s="9" t="n">
        <f aca="false">'2026 Forecast A'!G96</f>
        <v>0.709565217391304</v>
      </c>
      <c r="E114" s="9" t="n">
        <f aca="false">'2026 Forecast B'!G96</f>
        <v>0.702608695652174</v>
      </c>
      <c r="F114" s="9" t="n">
        <f aca="false">'2026 Forecast C'!G96</f>
        <v>0.716521739130435</v>
      </c>
      <c r="G114" s="24" t="n">
        <f aca="false">(MAX(D114:F114)-MIN(D114:F114))*100</f>
        <v>1.39130434782609</v>
      </c>
      <c r="H114" s="24" t="n">
        <f aca="false">'2026 Forecast A'!J96</f>
        <v>3.02608556967268</v>
      </c>
      <c r="I114" s="24" t="n">
        <f aca="false">'2026 Forecast B'!J96</f>
        <v>2.87480042420966</v>
      </c>
      <c r="J114" s="24" t="n">
        <f aca="false">'2026 Forecast C'!J96</f>
        <v>3.45317612968717</v>
      </c>
      <c r="K114" s="25" t="n">
        <f aca="false">'2026 Forecast A'!F96</f>
        <v>575</v>
      </c>
      <c r="L114" s="26" t="str">
        <f aca="false">IF(OR(AND(D114&gt;0.5,E114&gt;0.5,F114&gt;0.5),AND(D114&lt;0.5,E114&lt;0.5,F114&lt;0.5)),"Yes","No — toss-up")</f>
        <v>Yes</v>
      </c>
    </row>
    <row r="115" customFormat="false" ht="15" hidden="false" customHeight="false" outlineLevel="0" collapsed="false">
      <c r="A115" s="8" t="str">
        <f aca="false">'2026 Forecast A'!A97</f>
        <v>Lehigh</v>
      </c>
      <c r="B115" s="8" t="str">
        <f aca="false">'2026 Forecast A'!B97</f>
        <v>ALLENTOWN</v>
      </c>
      <c r="C115" s="8" t="str">
        <f aca="false">'2026 Forecast A'!C97</f>
        <v>ALLENTOWN 18TH WARD 2ND DIST</v>
      </c>
      <c r="D115" s="9" t="n">
        <f aca="false">'2026 Forecast A'!G97</f>
        <v>0.654402102496715</v>
      </c>
      <c r="E115" s="9" t="n">
        <f aca="false">'2026 Forecast B'!G97</f>
        <v>0.650459921156373</v>
      </c>
      <c r="F115" s="9" t="n">
        <f aca="false">'2026 Forecast C'!G97</f>
        <v>0.658344283837057</v>
      </c>
      <c r="G115" s="24" t="n">
        <f aca="false">(MAX(D115:F115)-MIN(D115:F115))*100</f>
        <v>0.788436268068327</v>
      </c>
      <c r="H115" s="24" t="n">
        <f aca="false">'2026 Forecast A'!J97</f>
        <v>3.02608556967268</v>
      </c>
      <c r="I115" s="24" t="n">
        <f aca="false">'2026 Forecast B'!J97</f>
        <v>2.87480042420966</v>
      </c>
      <c r="J115" s="24" t="n">
        <f aca="false">'2026 Forecast C'!J97</f>
        <v>3.45317612968717</v>
      </c>
      <c r="K115" s="25" t="n">
        <f aca="false">'2026 Forecast A'!F97</f>
        <v>761</v>
      </c>
      <c r="L115" s="26" t="str">
        <f aca="false">IF(OR(AND(D115&gt;0.5,E115&gt;0.5,F115&gt;0.5),AND(D115&lt;0.5,E115&lt;0.5,F115&lt;0.5)),"Yes","No — toss-up")</f>
        <v>Yes</v>
      </c>
    </row>
    <row r="116" customFormat="false" ht="15" hidden="false" customHeight="false" outlineLevel="0" collapsed="false">
      <c r="A116" s="8" t="str">
        <f aca="false">'2026 Forecast A'!A98</f>
        <v>Lehigh</v>
      </c>
      <c r="B116" s="8" t="str">
        <f aca="false">'2026 Forecast A'!B98</f>
        <v>ALLENTOWN</v>
      </c>
      <c r="C116" s="8" t="str">
        <f aca="false">'2026 Forecast A'!C98</f>
        <v>ALLENTOWN 18TH WD 2ND DT PARK</v>
      </c>
      <c r="D116" s="9" t="n">
        <f aca="false">'2026 Forecast A'!G98</f>
        <v>0.545454545454545</v>
      </c>
      <c r="E116" s="9" t="n">
        <f aca="false">'2026 Forecast B'!G98</f>
        <v>0.590909090909091</v>
      </c>
      <c r="F116" s="9" t="n">
        <f aca="false">'2026 Forecast C'!G98</f>
        <v>0.545454545454545</v>
      </c>
      <c r="G116" s="24" t="n">
        <f aca="false">(MAX(D116:F116)-MIN(D116:F116))*100</f>
        <v>4.54545454545455</v>
      </c>
      <c r="H116" s="24" t="n">
        <f aca="false">'2026 Forecast A'!J98</f>
        <v>3.02608556967268</v>
      </c>
      <c r="I116" s="24" t="n">
        <f aca="false">'2026 Forecast B'!J98</f>
        <v>2.87480042420966</v>
      </c>
      <c r="J116" s="24" t="n">
        <f aca="false">'2026 Forecast C'!J98</f>
        <v>3.45317612968717</v>
      </c>
      <c r="K116" s="25" t="n">
        <f aca="false">'2026 Forecast A'!F98</f>
        <v>22</v>
      </c>
      <c r="L116" s="26" t="str">
        <f aca="false">IF(OR(AND(D116&gt;0.5,E116&gt;0.5,F116&gt;0.5),AND(D116&lt;0.5,E116&lt;0.5,F116&lt;0.5)),"Yes","No — toss-up")</f>
        <v>Yes</v>
      </c>
    </row>
    <row r="117" customFormat="false" ht="15" hidden="false" customHeight="false" outlineLevel="0" collapsed="false">
      <c r="A117" s="8" t="str">
        <f aca="false">'2026 Forecast A'!A99</f>
        <v>Lehigh</v>
      </c>
      <c r="B117" s="8" t="str">
        <f aca="false">'2026 Forecast A'!B99</f>
        <v>ALLENTOWN</v>
      </c>
      <c r="C117" s="8" t="str">
        <f aca="false">'2026 Forecast A'!C99</f>
        <v>ALLENTOWN 19TH WARD 1ST DIST</v>
      </c>
      <c r="D117" s="9" t="n">
        <f aca="false">'2026 Forecast A'!G99</f>
        <v>0.604904632152589</v>
      </c>
      <c r="E117" s="9" t="n">
        <f aca="false">'2026 Forecast B'!G99</f>
        <v>0.615803814713896</v>
      </c>
      <c r="F117" s="9" t="n">
        <f aca="false">'2026 Forecast C'!G99</f>
        <v>0.607629427792916</v>
      </c>
      <c r="G117" s="24" t="n">
        <f aca="false">(MAX(D117:F117)-MIN(D117:F117))*100</f>
        <v>1.08991825613078</v>
      </c>
      <c r="H117" s="24" t="n">
        <f aca="false">'2026 Forecast A'!J99</f>
        <v>3.02608556967268</v>
      </c>
      <c r="I117" s="24" t="n">
        <f aca="false">'2026 Forecast B'!J99</f>
        <v>2.87480042420966</v>
      </c>
      <c r="J117" s="24" t="n">
        <f aca="false">'2026 Forecast C'!J99</f>
        <v>3.45317612968717</v>
      </c>
      <c r="K117" s="25" t="n">
        <f aca="false">'2026 Forecast A'!F99</f>
        <v>367</v>
      </c>
      <c r="L117" s="26" t="str">
        <f aca="false">IF(OR(AND(D117&gt;0.5,E117&gt;0.5,F117&gt;0.5),AND(D117&lt;0.5,E117&lt;0.5,F117&lt;0.5)),"Yes","No — toss-up")</f>
        <v>Yes</v>
      </c>
    </row>
    <row r="118" customFormat="false" ht="15" hidden="false" customHeight="false" outlineLevel="0" collapsed="false">
      <c r="A118" s="8" t="str">
        <f aca="false">'2026 Forecast A'!A100</f>
        <v>Lehigh</v>
      </c>
      <c r="B118" s="8" t="str">
        <f aca="false">'2026 Forecast A'!B100</f>
        <v>ALLENTOWN</v>
      </c>
      <c r="C118" s="8" t="str">
        <f aca="false">'2026 Forecast A'!C100</f>
        <v>ALLENTOWN 19TH WARD 2ND DIST</v>
      </c>
      <c r="D118" s="9" t="n">
        <f aca="false">'2026 Forecast A'!G100</f>
        <v>0.674545454545455</v>
      </c>
      <c r="E118" s="9" t="n">
        <f aca="false">'2026 Forecast B'!G100</f>
        <v>0.689090909090909</v>
      </c>
      <c r="F118" s="9" t="n">
        <f aca="false">'2026 Forecast C'!G100</f>
        <v>0.68</v>
      </c>
      <c r="G118" s="24" t="n">
        <f aca="false">(MAX(D118:F118)-MIN(D118:F118))*100</f>
        <v>1.45454545454545</v>
      </c>
      <c r="H118" s="24" t="n">
        <f aca="false">'2026 Forecast A'!J100</f>
        <v>3.02608556967268</v>
      </c>
      <c r="I118" s="24" t="n">
        <f aca="false">'2026 Forecast B'!J100</f>
        <v>2.87480042420966</v>
      </c>
      <c r="J118" s="24" t="n">
        <f aca="false">'2026 Forecast C'!J100</f>
        <v>3.45317612968717</v>
      </c>
      <c r="K118" s="25" t="n">
        <f aca="false">'2026 Forecast A'!F100</f>
        <v>550</v>
      </c>
      <c r="L118" s="26" t="str">
        <f aca="false">IF(OR(AND(D118&gt;0.5,E118&gt;0.5,F118&gt;0.5),AND(D118&lt;0.5,E118&lt;0.5,F118&lt;0.5)),"Yes","No — toss-up")</f>
        <v>Yes</v>
      </c>
    </row>
    <row r="119" customFormat="false" ht="15" hidden="false" customHeight="false" outlineLevel="0" collapsed="false">
      <c r="A119" s="8" t="str">
        <f aca="false">'2026 Forecast A'!A101</f>
        <v>Lehigh</v>
      </c>
      <c r="B119" s="8" t="str">
        <f aca="false">'2026 Forecast A'!B101</f>
        <v>ALLENTOWN</v>
      </c>
      <c r="C119" s="8" t="str">
        <f aca="false">'2026 Forecast A'!C101</f>
        <v>ALLENTOWN 19TH WARD 3RD DIST</v>
      </c>
      <c r="D119" s="9" t="n">
        <f aca="false">'2026 Forecast A'!G101</f>
        <v>0.631828978622328</v>
      </c>
      <c r="E119" s="9" t="n">
        <f aca="false">'2026 Forecast B'!G101</f>
        <v>0.634204275534442</v>
      </c>
      <c r="F119" s="9" t="n">
        <f aca="false">'2026 Forecast C'!G101</f>
        <v>0.636579572446556</v>
      </c>
      <c r="G119" s="24" t="n">
        <f aca="false">(MAX(D119:F119)-MIN(D119:F119))*100</f>
        <v>0.475059382422804</v>
      </c>
      <c r="H119" s="24" t="n">
        <f aca="false">'2026 Forecast A'!J101</f>
        <v>3.02608556967268</v>
      </c>
      <c r="I119" s="24" t="n">
        <f aca="false">'2026 Forecast B'!J101</f>
        <v>2.87480042420966</v>
      </c>
      <c r="J119" s="24" t="n">
        <f aca="false">'2026 Forecast C'!J101</f>
        <v>3.45317612968717</v>
      </c>
      <c r="K119" s="25" t="n">
        <f aca="false">'2026 Forecast A'!F101</f>
        <v>421</v>
      </c>
      <c r="L119" s="26" t="str">
        <f aca="false">IF(OR(AND(D119&gt;0.5,E119&gt;0.5,F119&gt;0.5),AND(D119&lt;0.5,E119&lt;0.5,F119&lt;0.5)),"Yes","No — toss-up")</f>
        <v>Yes</v>
      </c>
    </row>
    <row r="120" customFormat="false" ht="15" hidden="false" customHeight="false" outlineLevel="0" collapsed="false">
      <c r="A120" s="8" t="str">
        <f aca="false">'2026 Forecast A'!A102</f>
        <v>Lehigh</v>
      </c>
      <c r="B120" s="8" t="str">
        <f aca="false">'2026 Forecast A'!B102</f>
        <v>ALLENTOWN</v>
      </c>
      <c r="C120" s="8" t="str">
        <f aca="false">'2026 Forecast A'!C102</f>
        <v>ALLENTOWN 19TH WARD 4TH DIST</v>
      </c>
      <c r="D120" s="9" t="n">
        <f aca="false">'2026 Forecast A'!G102</f>
        <v>0.66839378238342</v>
      </c>
      <c r="E120" s="9" t="n">
        <f aca="false">'2026 Forecast B'!G102</f>
        <v>0.678756476683938</v>
      </c>
      <c r="F120" s="9" t="n">
        <f aca="false">'2026 Forecast C'!G102</f>
        <v>0.670984455958549</v>
      </c>
      <c r="G120" s="24" t="n">
        <f aca="false">(MAX(D120:F120)-MIN(D120:F120))*100</f>
        <v>1.03626943005181</v>
      </c>
      <c r="H120" s="24" t="n">
        <f aca="false">'2026 Forecast A'!J102</f>
        <v>3.02608556967268</v>
      </c>
      <c r="I120" s="24" t="n">
        <f aca="false">'2026 Forecast B'!J102</f>
        <v>2.87480042420966</v>
      </c>
      <c r="J120" s="24" t="n">
        <f aca="false">'2026 Forecast C'!J102</f>
        <v>3.45317612968717</v>
      </c>
      <c r="K120" s="25" t="n">
        <f aca="false">'2026 Forecast A'!F102</f>
        <v>386</v>
      </c>
      <c r="L120" s="26" t="str">
        <f aca="false">IF(OR(AND(D120&gt;0.5,E120&gt;0.5,F120&gt;0.5),AND(D120&lt;0.5,E120&lt;0.5,F120&lt;0.5)),"Yes","No — toss-up")</f>
        <v>Yes</v>
      </c>
    </row>
    <row r="121" customFormat="false" ht="15" hidden="false" customHeight="false" outlineLevel="0" collapsed="false">
      <c r="A121" s="8" t="str">
        <f aca="false">'2026 Forecast A'!A103</f>
        <v>Lehigh</v>
      </c>
      <c r="B121" s="8" t="str">
        <f aca="false">'2026 Forecast A'!B103</f>
        <v>ALLENTOWN</v>
      </c>
      <c r="C121" s="8" t="str">
        <f aca="false">'2026 Forecast A'!C103</f>
        <v>ALLENTOWN 19TH WARD 5TH DIST</v>
      </c>
      <c r="D121" s="9" t="n">
        <f aca="false">'2026 Forecast A'!G103</f>
        <v>0.639072847682119</v>
      </c>
      <c r="E121" s="9" t="n">
        <f aca="false">'2026 Forecast B'!G103</f>
        <v>0.640728476821192</v>
      </c>
      <c r="F121" s="9" t="n">
        <f aca="false">'2026 Forecast C'!G103</f>
        <v>0.642384105960265</v>
      </c>
      <c r="G121" s="24" t="n">
        <f aca="false">(MAX(D121:F121)-MIN(D121:F121))*100</f>
        <v>0.33112582781456</v>
      </c>
      <c r="H121" s="24" t="n">
        <f aca="false">'2026 Forecast A'!J103</f>
        <v>3.02608556967268</v>
      </c>
      <c r="I121" s="24" t="n">
        <f aca="false">'2026 Forecast B'!J103</f>
        <v>2.87480042420966</v>
      </c>
      <c r="J121" s="24" t="n">
        <f aca="false">'2026 Forecast C'!J103</f>
        <v>3.45317612968717</v>
      </c>
      <c r="K121" s="25" t="n">
        <f aca="false">'2026 Forecast A'!F103</f>
        <v>604</v>
      </c>
      <c r="L121" s="26" t="str">
        <f aca="false">IF(OR(AND(D121&gt;0.5,E121&gt;0.5,F121&gt;0.5),AND(D121&lt;0.5,E121&lt;0.5,F121&lt;0.5)),"Yes","No — toss-up")</f>
        <v>Yes</v>
      </c>
    </row>
    <row r="122" customFormat="false" ht="15" hidden="false" customHeight="false" outlineLevel="0" collapsed="false">
      <c r="A122" s="8" t="str">
        <f aca="false">'2026 Forecast A'!A104</f>
        <v>Lehigh</v>
      </c>
      <c r="B122" s="8" t="str">
        <f aca="false">'2026 Forecast A'!B104</f>
        <v>ALLENTOWN</v>
      </c>
      <c r="C122" s="8" t="str">
        <f aca="false">'2026 Forecast A'!C104</f>
        <v>ALLENTOWN 19TH WARD 5TH DT SAL</v>
      </c>
      <c r="D122" s="9" t="n">
        <f aca="false">'2026 Forecast A'!G104</f>
        <v>0.5</v>
      </c>
      <c r="E122" s="9" t="n">
        <f aca="false">'2026 Forecast B'!G104</f>
        <v>0.5</v>
      </c>
      <c r="F122" s="9" t="n">
        <f aca="false">'2026 Forecast C'!G104</f>
        <v>0.5</v>
      </c>
      <c r="G122" s="24" t="n">
        <f aca="false">(MAX(D122:F122)-MIN(D122:F122))*100</f>
        <v>0</v>
      </c>
      <c r="H122" s="24" t="n">
        <f aca="false">'2026 Forecast A'!J104</f>
        <v>3.02608556967268</v>
      </c>
      <c r="I122" s="24" t="n">
        <f aca="false">'2026 Forecast B'!J104</f>
        <v>2.87480042420966</v>
      </c>
      <c r="J122" s="24" t="n">
        <f aca="false">'2026 Forecast C'!J104</f>
        <v>3.45317612968717</v>
      </c>
      <c r="K122" s="25" t="n">
        <f aca="false">'2026 Forecast A'!F104</f>
        <v>2</v>
      </c>
      <c r="L122" s="26" t="str">
        <f aca="false">IF(OR(AND(D122&gt;0.5,E122&gt;0.5,F122&gt;0.5),AND(D122&lt;0.5,E122&lt;0.5,F122&lt;0.5)),"Yes","No — toss-up")</f>
        <v>No — toss-up</v>
      </c>
    </row>
    <row r="123" customFormat="false" ht="15" hidden="false" customHeight="false" outlineLevel="0" collapsed="false">
      <c r="A123" s="8" t="str">
        <f aca="false">'2026 Forecast A'!A105</f>
        <v>Lehigh</v>
      </c>
      <c r="B123" s="8" t="str">
        <f aca="false">'2026 Forecast A'!B105</f>
        <v>ALLENTOWN</v>
      </c>
      <c r="C123" s="8" t="str">
        <f aca="false">'2026 Forecast A'!C105</f>
        <v>ALLENTOWN 19TH WARD 6TH DIST</v>
      </c>
      <c r="D123" s="9" t="n">
        <f aca="false">'2026 Forecast A'!G105</f>
        <v>0.653246753246753</v>
      </c>
      <c r="E123" s="9" t="n">
        <f aca="false">'2026 Forecast B'!G105</f>
        <v>0.662337662337662</v>
      </c>
      <c r="F123" s="9" t="n">
        <f aca="false">'2026 Forecast C'!G105</f>
        <v>0.658441558441559</v>
      </c>
      <c r="G123" s="24" t="n">
        <f aca="false">(MAX(D123:F123)-MIN(D123:F123))*100</f>
        <v>0.909090909090904</v>
      </c>
      <c r="H123" s="24" t="n">
        <f aca="false">'2026 Forecast A'!J105</f>
        <v>3.02608556967268</v>
      </c>
      <c r="I123" s="24" t="n">
        <f aca="false">'2026 Forecast B'!J105</f>
        <v>2.87480042420966</v>
      </c>
      <c r="J123" s="24" t="n">
        <f aca="false">'2026 Forecast C'!J105</f>
        <v>3.45317612968717</v>
      </c>
      <c r="K123" s="25" t="n">
        <f aca="false">'2026 Forecast A'!F105</f>
        <v>770</v>
      </c>
      <c r="L123" s="26" t="str">
        <f aca="false">IF(OR(AND(D123&gt;0.5,E123&gt;0.5,F123&gt;0.5),AND(D123&lt;0.5,E123&lt;0.5,F123&lt;0.5)),"Yes","No — toss-up")</f>
        <v>Yes</v>
      </c>
    </row>
    <row r="124" customFormat="false" ht="15" hidden="false" customHeight="false" outlineLevel="0" collapsed="false">
      <c r="A124" s="8" t="str">
        <f aca="false">'2026 Forecast A'!A106</f>
        <v>Lehigh</v>
      </c>
      <c r="B124" s="8" t="str">
        <f aca="false">'2026 Forecast A'!B106</f>
        <v>ALLENTOWN</v>
      </c>
      <c r="C124" s="8" t="str">
        <f aca="false">'2026 Forecast A'!C106</f>
        <v>ALLENTOWN 1ST WARD</v>
      </c>
      <c r="D124" s="9" t="n">
        <f aca="false">'2026 Forecast A'!G106</f>
        <v>0.765676567656766</v>
      </c>
      <c r="E124" s="9" t="n">
        <f aca="false">'2026 Forecast B'!G106</f>
        <v>0.778877887788779</v>
      </c>
      <c r="F124" s="9" t="n">
        <f aca="false">'2026 Forecast C'!G106</f>
        <v>0.768976897689769</v>
      </c>
      <c r="G124" s="24" t="n">
        <f aca="false">(MAX(D124:F124)-MIN(D124:F124))*100</f>
        <v>1.32013201320131</v>
      </c>
      <c r="H124" s="24" t="n">
        <f aca="false">'2026 Forecast A'!J106</f>
        <v>3.02608556967268</v>
      </c>
      <c r="I124" s="24" t="n">
        <f aca="false">'2026 Forecast B'!J106</f>
        <v>2.87480042420966</v>
      </c>
      <c r="J124" s="24" t="n">
        <f aca="false">'2026 Forecast C'!J106</f>
        <v>3.45317612968717</v>
      </c>
      <c r="K124" s="25" t="n">
        <f aca="false">'2026 Forecast A'!F106</f>
        <v>303</v>
      </c>
      <c r="L124" s="26" t="str">
        <f aca="false">IF(OR(AND(D124&gt;0.5,E124&gt;0.5,F124&gt;0.5),AND(D124&lt;0.5,E124&lt;0.5,F124&lt;0.5)),"Yes","No — toss-up")</f>
        <v>Yes</v>
      </c>
    </row>
    <row r="125" customFormat="false" ht="15" hidden="false" customHeight="false" outlineLevel="0" collapsed="false">
      <c r="A125" s="8" t="str">
        <f aca="false">'2026 Forecast A'!A107</f>
        <v>Lehigh</v>
      </c>
      <c r="B125" s="8" t="str">
        <f aca="false">'2026 Forecast A'!B107</f>
        <v>ALLENTOWN</v>
      </c>
      <c r="C125" s="8" t="str">
        <f aca="false">'2026 Forecast A'!C107</f>
        <v>ALLENTOWN 2ND WARD</v>
      </c>
      <c r="D125" s="9" t="n">
        <f aca="false">'2026 Forecast A'!G107</f>
        <v>0.733552631578947</v>
      </c>
      <c r="E125" s="9" t="n">
        <f aca="false">'2026 Forecast B'!G107</f>
        <v>0.723684210526316</v>
      </c>
      <c r="F125" s="9" t="n">
        <f aca="false">'2026 Forecast C'!G107</f>
        <v>0.740131578947369</v>
      </c>
      <c r="G125" s="24" t="n">
        <f aca="false">(MAX(D125:F125)-MIN(D125:F125))*100</f>
        <v>1.64473684210527</v>
      </c>
      <c r="H125" s="24" t="n">
        <f aca="false">'2026 Forecast A'!J107</f>
        <v>3.02608556967268</v>
      </c>
      <c r="I125" s="24" t="n">
        <f aca="false">'2026 Forecast B'!J107</f>
        <v>2.87480042420966</v>
      </c>
      <c r="J125" s="24" t="n">
        <f aca="false">'2026 Forecast C'!J107</f>
        <v>3.45317612968717</v>
      </c>
      <c r="K125" s="25" t="n">
        <f aca="false">'2026 Forecast A'!F107</f>
        <v>304</v>
      </c>
      <c r="L125" s="26" t="str">
        <f aca="false">IF(OR(AND(D125&gt;0.5,E125&gt;0.5,F125&gt;0.5),AND(D125&lt;0.5,E125&lt;0.5,F125&lt;0.5)),"Yes","No — toss-up")</f>
        <v>Yes</v>
      </c>
    </row>
    <row r="126" customFormat="false" ht="15" hidden="false" customHeight="false" outlineLevel="0" collapsed="false">
      <c r="A126" s="8" t="str">
        <f aca="false">'2026 Forecast A'!A108</f>
        <v>Lehigh</v>
      </c>
      <c r="B126" s="8" t="str">
        <f aca="false">'2026 Forecast A'!B108</f>
        <v>ALLENTOWN</v>
      </c>
      <c r="C126" s="8" t="str">
        <f aca="false">'2026 Forecast A'!C108</f>
        <v>ALLENTOWN 3RD WARD</v>
      </c>
      <c r="D126" s="9" t="n">
        <f aca="false">'2026 Forecast A'!G108</f>
        <v>0.755148741418764</v>
      </c>
      <c r="E126" s="9" t="n">
        <f aca="false">'2026 Forecast B'!G108</f>
        <v>0.745995423340961</v>
      </c>
      <c r="F126" s="9" t="n">
        <f aca="false">'2026 Forecast C'!G108</f>
        <v>0.764302059496568</v>
      </c>
      <c r="G126" s="24" t="n">
        <f aca="false">(MAX(D126:F126)-MIN(D126:F126))*100</f>
        <v>1.83066361556063</v>
      </c>
      <c r="H126" s="24" t="n">
        <f aca="false">'2026 Forecast A'!J108</f>
        <v>3.02608556967268</v>
      </c>
      <c r="I126" s="24" t="n">
        <f aca="false">'2026 Forecast B'!J108</f>
        <v>2.87480042420966</v>
      </c>
      <c r="J126" s="24" t="n">
        <f aca="false">'2026 Forecast C'!J108</f>
        <v>3.45317612968717</v>
      </c>
      <c r="K126" s="25" t="n">
        <f aca="false">'2026 Forecast A'!F108</f>
        <v>437</v>
      </c>
      <c r="L126" s="26" t="str">
        <f aca="false">IF(OR(AND(D126&gt;0.5,E126&gt;0.5,F126&gt;0.5),AND(D126&lt;0.5,E126&lt;0.5,F126&lt;0.5)),"Yes","No — toss-up")</f>
        <v>Yes</v>
      </c>
    </row>
    <row r="127" customFormat="false" ht="15" hidden="false" customHeight="false" outlineLevel="0" collapsed="false">
      <c r="A127" s="8" t="str">
        <f aca="false">'2026 Forecast A'!A109</f>
        <v>Lehigh</v>
      </c>
      <c r="B127" s="8" t="str">
        <f aca="false">'2026 Forecast A'!B109</f>
        <v>ALLENTOWN</v>
      </c>
      <c r="C127" s="8" t="str">
        <f aca="false">'2026 Forecast A'!C109</f>
        <v>ALLENTOWN 4TH WARD</v>
      </c>
      <c r="D127" s="9" t="n">
        <f aca="false">'2026 Forecast A'!G109</f>
        <v>0.724137931034483</v>
      </c>
      <c r="E127" s="9" t="n">
        <f aca="false">'2026 Forecast B'!G109</f>
        <v>0.71551724137931</v>
      </c>
      <c r="F127" s="9" t="n">
        <f aca="false">'2026 Forecast C'!G109</f>
        <v>0.728448275862069</v>
      </c>
      <c r="G127" s="24" t="n">
        <f aca="false">(MAX(D127:F127)-MIN(D127:F127))*100</f>
        <v>1.29310344827586</v>
      </c>
      <c r="H127" s="24" t="n">
        <f aca="false">'2026 Forecast A'!J109</f>
        <v>3.02608556967268</v>
      </c>
      <c r="I127" s="24" t="n">
        <f aca="false">'2026 Forecast B'!J109</f>
        <v>2.87480042420966</v>
      </c>
      <c r="J127" s="24" t="n">
        <f aca="false">'2026 Forecast C'!J109</f>
        <v>3.45317612968717</v>
      </c>
      <c r="K127" s="25" t="n">
        <f aca="false">'2026 Forecast A'!F109</f>
        <v>232</v>
      </c>
      <c r="L127" s="26" t="str">
        <f aca="false">IF(OR(AND(D127&gt;0.5,E127&gt;0.5,F127&gt;0.5),AND(D127&lt;0.5,E127&lt;0.5,F127&lt;0.5)),"Yes","No — toss-up")</f>
        <v>Yes</v>
      </c>
    </row>
    <row r="128" customFormat="false" ht="15" hidden="false" customHeight="false" outlineLevel="0" collapsed="false">
      <c r="A128" s="8" t="str">
        <f aca="false">'2026 Forecast A'!A110</f>
        <v>Lehigh</v>
      </c>
      <c r="B128" s="8" t="str">
        <f aca="false">'2026 Forecast A'!B110</f>
        <v>ALLENTOWN</v>
      </c>
      <c r="C128" s="8" t="str">
        <f aca="false">'2026 Forecast A'!C110</f>
        <v>ALLENTOWN 5TH WARD</v>
      </c>
      <c r="D128" s="9" t="n">
        <f aca="false">'2026 Forecast A'!G110</f>
        <v>0.782918149466192</v>
      </c>
      <c r="E128" s="9" t="n">
        <f aca="false">'2026 Forecast B'!G110</f>
        <v>0.790035587188612</v>
      </c>
      <c r="F128" s="9" t="n">
        <f aca="false">'2026 Forecast C'!G110</f>
        <v>0.790035587188612</v>
      </c>
      <c r="G128" s="24" t="n">
        <f aca="false">(MAX(D128:F128)-MIN(D128:F128))*100</f>
        <v>0.711743772241991</v>
      </c>
      <c r="H128" s="24" t="n">
        <f aca="false">'2026 Forecast A'!J110</f>
        <v>3.02608556967268</v>
      </c>
      <c r="I128" s="24" t="n">
        <f aca="false">'2026 Forecast B'!J110</f>
        <v>2.87480042420966</v>
      </c>
      <c r="J128" s="24" t="n">
        <f aca="false">'2026 Forecast C'!J110</f>
        <v>3.45317612968717</v>
      </c>
      <c r="K128" s="25" t="n">
        <f aca="false">'2026 Forecast A'!F110</f>
        <v>281</v>
      </c>
      <c r="L128" s="26" t="str">
        <f aca="false">IF(OR(AND(D128&gt;0.5,E128&gt;0.5,F128&gt;0.5),AND(D128&lt;0.5,E128&lt;0.5,F128&lt;0.5)),"Yes","No — toss-up")</f>
        <v>Yes</v>
      </c>
    </row>
    <row r="129" customFormat="false" ht="15" hidden="false" customHeight="false" outlineLevel="0" collapsed="false">
      <c r="A129" s="8" t="str">
        <f aca="false">'2026 Forecast A'!A111</f>
        <v>Lehigh</v>
      </c>
      <c r="B129" s="8" t="str">
        <f aca="false">'2026 Forecast A'!B111</f>
        <v>ALLENTOWN</v>
      </c>
      <c r="C129" s="8" t="str">
        <f aca="false">'2026 Forecast A'!C111</f>
        <v>ALLENTOWN 6TH WARD 1ST DIST</v>
      </c>
      <c r="D129" s="9" t="n">
        <f aca="false">'2026 Forecast A'!G111</f>
        <v>0.682926829268293</v>
      </c>
      <c r="E129" s="9" t="n">
        <f aca="false">'2026 Forecast B'!G111</f>
        <v>0.691056910569106</v>
      </c>
      <c r="F129" s="9" t="n">
        <f aca="false">'2026 Forecast C'!G111</f>
        <v>0.682926829268293</v>
      </c>
      <c r="G129" s="24" t="n">
        <f aca="false">(MAX(D129:F129)-MIN(D129:F129))*100</f>
        <v>0.813008130081294</v>
      </c>
      <c r="H129" s="24" t="n">
        <f aca="false">'2026 Forecast A'!J111</f>
        <v>3.02608556967268</v>
      </c>
      <c r="I129" s="24" t="n">
        <f aca="false">'2026 Forecast B'!J111</f>
        <v>2.87480042420966</v>
      </c>
      <c r="J129" s="24" t="n">
        <f aca="false">'2026 Forecast C'!J111</f>
        <v>3.45317612968717</v>
      </c>
      <c r="K129" s="25" t="n">
        <f aca="false">'2026 Forecast A'!F111</f>
        <v>123</v>
      </c>
      <c r="L129" s="26" t="str">
        <f aca="false">IF(OR(AND(D129&gt;0.5,E129&gt;0.5,F129&gt;0.5),AND(D129&lt;0.5,E129&lt;0.5,F129&lt;0.5)),"Yes","No — toss-up")</f>
        <v>Yes</v>
      </c>
    </row>
    <row r="130" customFormat="false" ht="15" hidden="false" customHeight="false" outlineLevel="0" collapsed="false">
      <c r="A130" s="8" t="str">
        <f aca="false">'2026 Forecast A'!A112</f>
        <v>Lehigh</v>
      </c>
      <c r="B130" s="8" t="str">
        <f aca="false">'2026 Forecast A'!B112</f>
        <v>ALLENTOWN</v>
      </c>
      <c r="C130" s="8" t="str">
        <f aca="false">'2026 Forecast A'!C112</f>
        <v>ALLENTOWN 6TH WARD 2ND DIST</v>
      </c>
      <c r="D130" s="9" t="n">
        <f aca="false">'2026 Forecast A'!G112</f>
        <v>0.66551724137931</v>
      </c>
      <c r="E130" s="9" t="n">
        <f aca="false">'2026 Forecast B'!G112</f>
        <v>0.679310344827586</v>
      </c>
      <c r="F130" s="9" t="n">
        <f aca="false">'2026 Forecast C'!G112</f>
        <v>0.668965517241379</v>
      </c>
      <c r="G130" s="24" t="n">
        <f aca="false">(MAX(D130:F130)-MIN(D130:F130))*100</f>
        <v>1.37931034482759</v>
      </c>
      <c r="H130" s="24" t="n">
        <f aca="false">'2026 Forecast A'!J112</f>
        <v>3.02608556967268</v>
      </c>
      <c r="I130" s="24" t="n">
        <f aca="false">'2026 Forecast B'!J112</f>
        <v>2.87480042420966</v>
      </c>
      <c r="J130" s="24" t="n">
        <f aca="false">'2026 Forecast C'!J112</f>
        <v>3.45317612968717</v>
      </c>
      <c r="K130" s="25" t="n">
        <f aca="false">'2026 Forecast A'!F112</f>
        <v>290</v>
      </c>
      <c r="L130" s="26" t="str">
        <f aca="false">IF(OR(AND(D130&gt;0.5,E130&gt;0.5,F130&gt;0.5),AND(D130&lt;0.5,E130&lt;0.5,F130&lt;0.5)),"Yes","No — toss-up")</f>
        <v>Yes</v>
      </c>
    </row>
    <row r="131" customFormat="false" ht="15" hidden="false" customHeight="false" outlineLevel="0" collapsed="false">
      <c r="A131" s="8" t="str">
        <f aca="false">'2026 Forecast A'!A113</f>
        <v>Lehigh</v>
      </c>
      <c r="B131" s="8" t="str">
        <f aca="false">'2026 Forecast A'!B113</f>
        <v>ALLENTOWN</v>
      </c>
      <c r="C131" s="8" t="str">
        <f aca="false">'2026 Forecast A'!C113</f>
        <v>ALLENTOWN 7TH WARD</v>
      </c>
      <c r="D131" s="9" t="n">
        <f aca="false">'2026 Forecast A'!G113</f>
        <v>0.764411027568922</v>
      </c>
      <c r="E131" s="9" t="n">
        <f aca="false">'2026 Forecast B'!G113</f>
        <v>0.756892230576441</v>
      </c>
      <c r="F131" s="9" t="n">
        <f aca="false">'2026 Forecast C'!G113</f>
        <v>0.769423558897243</v>
      </c>
      <c r="G131" s="24" t="n">
        <f aca="false">(MAX(D131:F131)-MIN(D131:F131))*100</f>
        <v>1.25313283208021</v>
      </c>
      <c r="H131" s="24" t="n">
        <f aca="false">'2026 Forecast A'!J113</f>
        <v>3.02608556967268</v>
      </c>
      <c r="I131" s="24" t="n">
        <f aca="false">'2026 Forecast B'!J113</f>
        <v>2.87480042420966</v>
      </c>
      <c r="J131" s="24" t="n">
        <f aca="false">'2026 Forecast C'!J113</f>
        <v>3.45317612968717</v>
      </c>
      <c r="K131" s="25" t="n">
        <f aca="false">'2026 Forecast A'!F113</f>
        <v>399</v>
      </c>
      <c r="L131" s="26" t="str">
        <f aca="false">IF(OR(AND(D131&gt;0.5,E131&gt;0.5,F131&gt;0.5),AND(D131&lt;0.5,E131&lt;0.5,F131&lt;0.5)),"Yes","No — toss-up")</f>
        <v>Yes</v>
      </c>
    </row>
    <row r="132" customFormat="false" ht="15" hidden="false" customHeight="false" outlineLevel="0" collapsed="false">
      <c r="A132" s="8" t="str">
        <f aca="false">'2026 Forecast A'!A114</f>
        <v>Lehigh</v>
      </c>
      <c r="B132" s="8" t="str">
        <f aca="false">'2026 Forecast A'!B114</f>
        <v>ALLENTOWN</v>
      </c>
      <c r="C132" s="8" t="str">
        <f aca="false">'2026 Forecast A'!C114</f>
        <v>ALLENTOWN 8TH WARD 1ST DIST</v>
      </c>
      <c r="D132" s="9" t="n">
        <f aca="false">'2026 Forecast A'!G114</f>
        <v>0.765957446808511</v>
      </c>
      <c r="E132" s="9" t="n">
        <f aca="false">'2026 Forecast B'!G114</f>
        <v>0.765957446808511</v>
      </c>
      <c r="F132" s="9" t="n">
        <f aca="false">'2026 Forecast C'!G114</f>
        <v>0.773049645390071</v>
      </c>
      <c r="G132" s="24" t="n">
        <f aca="false">(MAX(D132:F132)-MIN(D132:F132))*100</f>
        <v>0.709219858156029</v>
      </c>
      <c r="H132" s="24" t="n">
        <f aca="false">'2026 Forecast A'!J114</f>
        <v>3.02608556967268</v>
      </c>
      <c r="I132" s="24" t="n">
        <f aca="false">'2026 Forecast B'!J114</f>
        <v>2.87480042420966</v>
      </c>
      <c r="J132" s="24" t="n">
        <f aca="false">'2026 Forecast C'!J114</f>
        <v>3.45317612968717</v>
      </c>
      <c r="K132" s="25" t="n">
        <f aca="false">'2026 Forecast A'!F114</f>
        <v>141</v>
      </c>
      <c r="L132" s="26" t="str">
        <f aca="false">IF(OR(AND(D132&gt;0.5,E132&gt;0.5,F132&gt;0.5),AND(D132&lt;0.5,E132&lt;0.5,F132&lt;0.5)),"Yes","No — toss-up")</f>
        <v>Yes</v>
      </c>
    </row>
    <row r="133" customFormat="false" ht="15" hidden="false" customHeight="false" outlineLevel="0" collapsed="false">
      <c r="A133" s="8" t="str">
        <f aca="false">'2026 Forecast A'!A115</f>
        <v>Lehigh</v>
      </c>
      <c r="B133" s="8" t="str">
        <f aca="false">'2026 Forecast A'!B115</f>
        <v>ALLENTOWN</v>
      </c>
      <c r="C133" s="8" t="str">
        <f aca="false">'2026 Forecast A'!C115</f>
        <v>ALLENTOWN 8TH WARD 2ND DIST</v>
      </c>
      <c r="D133" s="9" t="n">
        <f aca="false">'2026 Forecast A'!G115</f>
        <v>0.757225433526012</v>
      </c>
      <c r="E133" s="9" t="n">
        <f aca="false">'2026 Forecast B'!G115</f>
        <v>0.780346820809249</v>
      </c>
      <c r="F133" s="9" t="n">
        <f aca="false">'2026 Forecast C'!G115</f>
        <v>0.763005780346821</v>
      </c>
      <c r="G133" s="24" t="n">
        <f aca="false">(MAX(D133:F133)-MIN(D133:F133))*100</f>
        <v>2.3121387283237</v>
      </c>
      <c r="H133" s="24" t="n">
        <f aca="false">'2026 Forecast A'!J115</f>
        <v>3.02608556967268</v>
      </c>
      <c r="I133" s="24" t="n">
        <f aca="false">'2026 Forecast B'!J115</f>
        <v>2.87480042420966</v>
      </c>
      <c r="J133" s="24" t="n">
        <f aca="false">'2026 Forecast C'!J115</f>
        <v>3.45317612968717</v>
      </c>
      <c r="K133" s="25" t="n">
        <f aca="false">'2026 Forecast A'!F115</f>
        <v>173</v>
      </c>
      <c r="L133" s="26" t="str">
        <f aca="false">IF(OR(AND(D133&gt;0.5,E133&gt;0.5,F133&gt;0.5),AND(D133&lt;0.5,E133&lt;0.5,F133&lt;0.5)),"Yes","No — toss-up")</f>
        <v>Yes</v>
      </c>
    </row>
    <row r="134" customFormat="false" ht="15" hidden="false" customHeight="false" outlineLevel="0" collapsed="false">
      <c r="A134" s="8" t="str">
        <f aca="false">'2026 Forecast A'!A116</f>
        <v>Lehigh</v>
      </c>
      <c r="B134" s="8" t="str">
        <f aca="false">'2026 Forecast A'!B116</f>
        <v>ALLENTOWN</v>
      </c>
      <c r="C134" s="8" t="str">
        <f aca="false">'2026 Forecast A'!C116</f>
        <v>ALLENTOWN 8TH WARD 3RD DIST</v>
      </c>
      <c r="D134" s="9" t="n">
        <f aca="false">'2026 Forecast A'!G116</f>
        <v>0.763636363636364</v>
      </c>
      <c r="E134" s="9" t="n">
        <f aca="false">'2026 Forecast B'!G116</f>
        <v>0.781818181818182</v>
      </c>
      <c r="F134" s="9" t="n">
        <f aca="false">'2026 Forecast C'!G116</f>
        <v>0.767272727272727</v>
      </c>
      <c r="G134" s="24" t="n">
        <f aca="false">(MAX(D134:F134)-MIN(D134:F134))*100</f>
        <v>1.81818181818182</v>
      </c>
      <c r="H134" s="24" t="n">
        <f aca="false">'2026 Forecast A'!J116</f>
        <v>3.02608556967268</v>
      </c>
      <c r="I134" s="24" t="n">
        <f aca="false">'2026 Forecast B'!J116</f>
        <v>2.87480042420966</v>
      </c>
      <c r="J134" s="24" t="n">
        <f aca="false">'2026 Forecast C'!J116</f>
        <v>3.45317612968717</v>
      </c>
      <c r="K134" s="25" t="n">
        <f aca="false">'2026 Forecast A'!F116</f>
        <v>275</v>
      </c>
      <c r="L134" s="26" t="str">
        <f aca="false">IF(OR(AND(D134&gt;0.5,E134&gt;0.5,F134&gt;0.5),AND(D134&lt;0.5,E134&lt;0.5,F134&lt;0.5)),"Yes","No — toss-up")</f>
        <v>Yes</v>
      </c>
    </row>
    <row r="135" customFormat="false" ht="15" hidden="false" customHeight="false" outlineLevel="0" collapsed="false">
      <c r="A135" s="8" t="str">
        <f aca="false">'2026 Forecast A'!A117</f>
        <v>Lehigh</v>
      </c>
      <c r="B135" s="8" t="str">
        <f aca="false">'2026 Forecast A'!B117</f>
        <v>ALLENTOWN</v>
      </c>
      <c r="C135" s="8" t="str">
        <f aca="false">'2026 Forecast A'!C117</f>
        <v>ALLENTOWN 8TH WARD 4TH DIST</v>
      </c>
      <c r="D135" s="9" t="n">
        <f aca="false">'2026 Forecast A'!G117</f>
        <v>0.696177062374246</v>
      </c>
      <c r="E135" s="9" t="n">
        <f aca="false">'2026 Forecast B'!G117</f>
        <v>0.696177062374246</v>
      </c>
      <c r="F135" s="9" t="n">
        <f aca="false">'2026 Forecast C'!G117</f>
        <v>0.702213279678069</v>
      </c>
      <c r="G135" s="24" t="n">
        <f aca="false">(MAX(D135:F135)-MIN(D135:F135))*100</f>
        <v>0.603621730382298</v>
      </c>
      <c r="H135" s="24" t="n">
        <f aca="false">'2026 Forecast A'!J117</f>
        <v>3.02608556967268</v>
      </c>
      <c r="I135" s="24" t="n">
        <f aca="false">'2026 Forecast B'!J117</f>
        <v>2.87480042420966</v>
      </c>
      <c r="J135" s="24" t="n">
        <f aca="false">'2026 Forecast C'!J117</f>
        <v>3.45317612968717</v>
      </c>
      <c r="K135" s="25" t="n">
        <f aca="false">'2026 Forecast A'!F117</f>
        <v>497</v>
      </c>
      <c r="L135" s="26" t="str">
        <f aca="false">IF(OR(AND(D135&gt;0.5,E135&gt;0.5,F135&gt;0.5),AND(D135&lt;0.5,E135&lt;0.5,F135&lt;0.5)),"Yes","No — toss-up")</f>
        <v>Yes</v>
      </c>
    </row>
    <row r="136" customFormat="false" ht="15" hidden="false" customHeight="false" outlineLevel="0" collapsed="false">
      <c r="A136" s="8" t="str">
        <f aca="false">'2026 Forecast A'!A118</f>
        <v>Lehigh</v>
      </c>
      <c r="B136" s="8" t="str">
        <f aca="false">'2026 Forecast A'!B118</f>
        <v>ALLENTOWN</v>
      </c>
      <c r="C136" s="8" t="str">
        <f aca="false">'2026 Forecast A'!C118</f>
        <v>ALLENTOWN 8TH WARD 5TH DIST</v>
      </c>
      <c r="D136" s="9" t="n">
        <f aca="false">'2026 Forecast A'!G118</f>
        <v>0.711009174311927</v>
      </c>
      <c r="E136" s="9" t="n">
        <f aca="false">'2026 Forecast B'!G118</f>
        <v>0.706422018348624</v>
      </c>
      <c r="F136" s="9" t="n">
        <f aca="false">'2026 Forecast C'!G118</f>
        <v>0.720183486238532</v>
      </c>
      <c r="G136" s="24" t="n">
        <f aca="false">(MAX(D136:F136)-MIN(D136:F136))*100</f>
        <v>1.37614678899083</v>
      </c>
      <c r="H136" s="24" t="n">
        <f aca="false">'2026 Forecast A'!J118</f>
        <v>3.02608556967268</v>
      </c>
      <c r="I136" s="24" t="n">
        <f aca="false">'2026 Forecast B'!J118</f>
        <v>2.87480042420966</v>
      </c>
      <c r="J136" s="24" t="n">
        <f aca="false">'2026 Forecast C'!J118</f>
        <v>3.45317612968717</v>
      </c>
      <c r="K136" s="25" t="n">
        <f aca="false">'2026 Forecast A'!F118</f>
        <v>218</v>
      </c>
      <c r="L136" s="26" t="str">
        <f aca="false">IF(OR(AND(D136&gt;0.5,E136&gt;0.5,F136&gt;0.5),AND(D136&lt;0.5,E136&lt;0.5,F136&lt;0.5)),"Yes","No — toss-up")</f>
        <v>Yes</v>
      </c>
    </row>
    <row r="137" customFormat="false" ht="15" hidden="false" customHeight="false" outlineLevel="0" collapsed="false">
      <c r="A137" s="8" t="str">
        <f aca="false">'2026 Forecast A'!A119</f>
        <v>Lehigh</v>
      </c>
      <c r="B137" s="8" t="str">
        <f aca="false">'2026 Forecast A'!B119</f>
        <v>ALLENTOWN</v>
      </c>
      <c r="C137" s="8" t="str">
        <f aca="false">'2026 Forecast A'!C119</f>
        <v>ALLENTOWN 8TH WARD 6TH DIST</v>
      </c>
      <c r="D137" s="9" t="n">
        <f aca="false">'2026 Forecast A'!G119</f>
        <v>0.722689075630252</v>
      </c>
      <c r="E137" s="9" t="n">
        <f aca="false">'2026 Forecast B'!G119</f>
        <v>0.726890756302521</v>
      </c>
      <c r="F137" s="9" t="n">
        <f aca="false">'2026 Forecast C'!G119</f>
        <v>0.726890756302521</v>
      </c>
      <c r="G137" s="24" t="n">
        <f aca="false">(MAX(D137:F137)-MIN(D137:F137))*100</f>
        <v>0.420168067226889</v>
      </c>
      <c r="H137" s="24" t="n">
        <f aca="false">'2026 Forecast A'!J119</f>
        <v>3.02608556967268</v>
      </c>
      <c r="I137" s="24" t="n">
        <f aca="false">'2026 Forecast B'!J119</f>
        <v>2.87480042420966</v>
      </c>
      <c r="J137" s="24" t="n">
        <f aca="false">'2026 Forecast C'!J119</f>
        <v>3.45317612968717</v>
      </c>
      <c r="K137" s="25" t="n">
        <f aca="false">'2026 Forecast A'!F119</f>
        <v>238</v>
      </c>
      <c r="L137" s="26" t="str">
        <f aca="false">IF(OR(AND(D137&gt;0.5,E137&gt;0.5,F137&gt;0.5),AND(D137&lt;0.5,E137&lt;0.5,F137&lt;0.5)),"Yes","No — toss-up")</f>
        <v>Yes</v>
      </c>
    </row>
    <row r="138" customFormat="false" ht="15" hidden="false" customHeight="false" outlineLevel="0" collapsed="false">
      <c r="A138" s="8" t="str">
        <f aca="false">'2026 Forecast A'!A120</f>
        <v>Lehigh</v>
      </c>
      <c r="B138" s="8" t="str">
        <f aca="false">'2026 Forecast A'!B120</f>
        <v>ALLENTOWN</v>
      </c>
      <c r="C138" s="8" t="str">
        <f aca="false">'2026 Forecast A'!C120</f>
        <v>ALLENTOWN 8TH WARD 7TH DIST</v>
      </c>
      <c r="D138" s="9" t="n">
        <f aca="false">'2026 Forecast A'!G120</f>
        <v>0.658767772511848</v>
      </c>
      <c r="E138" s="9" t="n">
        <f aca="false">'2026 Forecast B'!G120</f>
        <v>0.663507109004739</v>
      </c>
      <c r="F138" s="9" t="n">
        <f aca="false">'2026 Forecast C'!G120</f>
        <v>0.661137440758294</v>
      </c>
      <c r="G138" s="24" t="n">
        <f aca="false">(MAX(D138:F138)-MIN(D138:F138))*100</f>
        <v>0.473933649289093</v>
      </c>
      <c r="H138" s="24" t="n">
        <f aca="false">'2026 Forecast A'!J120</f>
        <v>3.02608556967268</v>
      </c>
      <c r="I138" s="24" t="n">
        <f aca="false">'2026 Forecast B'!J120</f>
        <v>2.87480042420966</v>
      </c>
      <c r="J138" s="24" t="n">
        <f aca="false">'2026 Forecast C'!J120</f>
        <v>3.45317612968717</v>
      </c>
      <c r="K138" s="25" t="n">
        <f aca="false">'2026 Forecast A'!F120</f>
        <v>422</v>
      </c>
      <c r="L138" s="26" t="str">
        <f aca="false">IF(OR(AND(D138&gt;0.5,E138&gt;0.5,F138&gt;0.5),AND(D138&lt;0.5,E138&lt;0.5,F138&lt;0.5)),"Yes","No — toss-up")</f>
        <v>Yes</v>
      </c>
    </row>
    <row r="139" customFormat="false" ht="15" hidden="false" customHeight="false" outlineLevel="0" collapsed="false">
      <c r="A139" s="8" t="str">
        <f aca="false">'2026 Forecast A'!A121</f>
        <v>Lehigh</v>
      </c>
      <c r="B139" s="8" t="str">
        <f aca="false">'2026 Forecast A'!B121</f>
        <v>ALLENTOWN</v>
      </c>
      <c r="C139" s="8" t="str">
        <f aca="false">'2026 Forecast A'!C121</f>
        <v>ALLENTOWN 9TH WARD</v>
      </c>
      <c r="D139" s="9" t="n">
        <f aca="false">'2026 Forecast A'!G121</f>
        <v>0.737541528239203</v>
      </c>
      <c r="E139" s="9" t="n">
        <f aca="false">'2026 Forecast B'!G121</f>
        <v>0.744186046511628</v>
      </c>
      <c r="F139" s="9" t="n">
        <f aca="false">'2026 Forecast C'!G121</f>
        <v>0.744186046511628</v>
      </c>
      <c r="G139" s="24" t="n">
        <f aca="false">(MAX(D139:F139)-MIN(D139:F139))*100</f>
        <v>0.664451827242529</v>
      </c>
      <c r="H139" s="24" t="n">
        <f aca="false">'2026 Forecast A'!J121</f>
        <v>3.02608556967268</v>
      </c>
      <c r="I139" s="24" t="n">
        <f aca="false">'2026 Forecast B'!J121</f>
        <v>2.87480042420966</v>
      </c>
      <c r="J139" s="24" t="n">
        <f aca="false">'2026 Forecast C'!J121</f>
        <v>3.45317612968717</v>
      </c>
      <c r="K139" s="25" t="n">
        <f aca="false">'2026 Forecast A'!F121</f>
        <v>301</v>
      </c>
      <c r="L139" s="26" t="str">
        <f aca="false">IF(OR(AND(D139&gt;0.5,E139&gt;0.5,F139&gt;0.5),AND(D139&lt;0.5,E139&lt;0.5,F139&lt;0.5)),"Yes","No — toss-up")</f>
        <v>Yes</v>
      </c>
    </row>
    <row r="140" customFormat="false" ht="15" hidden="false" customHeight="false" outlineLevel="0" collapsed="false">
      <c r="A140" s="8" t="str">
        <f aca="false">'2026 Forecast A'!A122</f>
        <v>Lehigh</v>
      </c>
      <c r="B140" s="8" t="str">
        <f aca="false">'2026 Forecast A'!B122</f>
        <v>BETHLEHEM</v>
      </c>
      <c r="C140" s="8" t="str">
        <f aca="false">'2026 Forecast A'!C122</f>
        <v>BETHLEHEM 10TH WARD</v>
      </c>
      <c r="D140" s="9" t="n">
        <f aca="false">'2026 Forecast A'!G122</f>
        <v>0.737341772151899</v>
      </c>
      <c r="E140" s="9" t="n">
        <f aca="false">'2026 Forecast B'!G122</f>
        <v>0.734177215189873</v>
      </c>
      <c r="F140" s="9" t="n">
        <f aca="false">'2026 Forecast C'!G122</f>
        <v>0.743670886075949</v>
      </c>
      <c r="G140" s="24" t="n">
        <f aca="false">(MAX(D140:F140)-MIN(D140:F140))*100</f>
        <v>0.949367088607589</v>
      </c>
      <c r="H140" s="24" t="n">
        <f aca="false">'2026 Forecast A'!J122</f>
        <v>3.02608556967268</v>
      </c>
      <c r="I140" s="24" t="n">
        <f aca="false">'2026 Forecast B'!J122</f>
        <v>2.87480042420966</v>
      </c>
      <c r="J140" s="24" t="n">
        <f aca="false">'2026 Forecast C'!J122</f>
        <v>3.45317612968717</v>
      </c>
      <c r="K140" s="25" t="n">
        <f aca="false">'2026 Forecast A'!F122</f>
        <v>632</v>
      </c>
      <c r="L140" s="26" t="str">
        <f aca="false">IF(OR(AND(D140&gt;0.5,E140&gt;0.5,F140&gt;0.5),AND(D140&lt;0.5,E140&lt;0.5,F140&lt;0.5)),"Yes","No — toss-up")</f>
        <v>Yes</v>
      </c>
    </row>
    <row r="141" customFormat="false" ht="15" hidden="false" customHeight="false" outlineLevel="0" collapsed="false">
      <c r="A141" s="8" t="str">
        <f aca="false">'2026 Forecast A'!A123</f>
        <v>Lehigh</v>
      </c>
      <c r="B141" s="8" t="str">
        <f aca="false">'2026 Forecast A'!B123</f>
        <v>BETHLEHEM</v>
      </c>
      <c r="C141" s="8" t="str">
        <f aca="false">'2026 Forecast A'!C123</f>
        <v>BETHLEHEM 11TH WARD</v>
      </c>
      <c r="D141" s="9" t="n">
        <f aca="false">'2026 Forecast A'!G123</f>
        <v>0.707792207792208</v>
      </c>
      <c r="E141" s="9" t="n">
        <f aca="false">'2026 Forecast B'!G123</f>
        <v>0.705627705627706</v>
      </c>
      <c r="F141" s="9" t="n">
        <f aca="false">'2026 Forecast C'!G123</f>
        <v>0.712121212121212</v>
      </c>
      <c r="G141" s="24" t="n">
        <f aca="false">(MAX(D141:F141)-MIN(D141:F141))*100</f>
        <v>0.649350649350655</v>
      </c>
      <c r="H141" s="24" t="n">
        <f aca="false">'2026 Forecast A'!J123</f>
        <v>3.02608556967268</v>
      </c>
      <c r="I141" s="24" t="n">
        <f aca="false">'2026 Forecast B'!J123</f>
        <v>2.87480042420966</v>
      </c>
      <c r="J141" s="24" t="n">
        <f aca="false">'2026 Forecast C'!J123</f>
        <v>3.45317612968717</v>
      </c>
      <c r="K141" s="25" t="n">
        <f aca="false">'2026 Forecast A'!F123</f>
        <v>462</v>
      </c>
      <c r="L141" s="26" t="str">
        <f aca="false">IF(OR(AND(D141&gt;0.5,E141&gt;0.5,F141&gt;0.5),AND(D141&lt;0.5,E141&lt;0.5,F141&lt;0.5)),"Yes","No — toss-up")</f>
        <v>Yes</v>
      </c>
    </row>
    <row r="142" customFormat="false" ht="15" hidden="false" customHeight="false" outlineLevel="0" collapsed="false">
      <c r="A142" s="8" t="str">
        <f aca="false">'2026 Forecast A'!A124</f>
        <v>Lehigh</v>
      </c>
      <c r="B142" s="8" t="str">
        <f aca="false">'2026 Forecast A'!B124</f>
        <v>BETHLEHEM</v>
      </c>
      <c r="C142" s="8" t="str">
        <f aca="false">'2026 Forecast A'!C124</f>
        <v>BETHLEHEM 12TH WARD 1ST DIST</v>
      </c>
      <c r="D142" s="9" t="n">
        <f aca="false">'2026 Forecast A'!G124</f>
        <v>0.742857142857143</v>
      </c>
      <c r="E142" s="9" t="n">
        <f aca="false">'2026 Forecast B'!G124</f>
        <v>0.736734693877551</v>
      </c>
      <c r="F142" s="9" t="n">
        <f aca="false">'2026 Forecast C'!G124</f>
        <v>0.748979591836735</v>
      </c>
      <c r="G142" s="24" t="n">
        <f aca="false">(MAX(D142:F142)-MIN(D142:F142))*100</f>
        <v>1.22448979591837</v>
      </c>
      <c r="H142" s="24" t="n">
        <f aca="false">'2026 Forecast A'!J124</f>
        <v>3.02608556967268</v>
      </c>
      <c r="I142" s="24" t="n">
        <f aca="false">'2026 Forecast B'!J124</f>
        <v>2.87480042420966</v>
      </c>
      <c r="J142" s="24" t="n">
        <f aca="false">'2026 Forecast C'!J124</f>
        <v>3.45317612968717</v>
      </c>
      <c r="K142" s="25" t="n">
        <f aca="false">'2026 Forecast A'!F124</f>
        <v>490</v>
      </c>
      <c r="L142" s="26" t="str">
        <f aca="false">IF(OR(AND(D142&gt;0.5,E142&gt;0.5,F142&gt;0.5),AND(D142&lt;0.5,E142&lt;0.5,F142&lt;0.5)),"Yes","No — toss-up")</f>
        <v>Yes</v>
      </c>
    </row>
    <row r="143" customFormat="false" ht="15" hidden="false" customHeight="false" outlineLevel="0" collapsed="false">
      <c r="A143" s="8" t="str">
        <f aca="false">'2026 Forecast A'!A125</f>
        <v>Lehigh</v>
      </c>
      <c r="B143" s="8" t="str">
        <f aca="false">'2026 Forecast A'!B125</f>
        <v>BETHLEHEM</v>
      </c>
      <c r="C143" s="8" t="str">
        <f aca="false">'2026 Forecast A'!C125</f>
        <v>BETHLEHEM 12TH WARD 2ND DIST</v>
      </c>
      <c r="D143" s="9" t="n">
        <f aca="false">'2026 Forecast A'!G125</f>
        <v>0.72289156626506</v>
      </c>
      <c r="E143" s="9" t="n">
        <f aca="false">'2026 Forecast B'!G125</f>
        <v>0.719449225473322</v>
      </c>
      <c r="F143" s="9" t="n">
        <f aca="false">'2026 Forecast C'!G125</f>
        <v>0.728055077452668</v>
      </c>
      <c r="G143" s="24" t="n">
        <f aca="false">(MAX(D143:F143)-MIN(D143:F143))*100</f>
        <v>0.860585197934594</v>
      </c>
      <c r="H143" s="24" t="n">
        <f aca="false">'2026 Forecast A'!J125</f>
        <v>3.02608556967268</v>
      </c>
      <c r="I143" s="24" t="n">
        <f aca="false">'2026 Forecast B'!J125</f>
        <v>2.87480042420966</v>
      </c>
      <c r="J143" s="24" t="n">
        <f aca="false">'2026 Forecast C'!J125</f>
        <v>3.45317612968717</v>
      </c>
      <c r="K143" s="25" t="n">
        <f aca="false">'2026 Forecast A'!F125</f>
        <v>581</v>
      </c>
      <c r="L143" s="26" t="str">
        <f aca="false">IF(OR(AND(D143&gt;0.5,E143&gt;0.5,F143&gt;0.5),AND(D143&lt;0.5,E143&lt;0.5,F143&lt;0.5)),"Yes","No — toss-up")</f>
        <v>Yes</v>
      </c>
    </row>
    <row r="144" customFormat="false" ht="15" hidden="false" customHeight="false" outlineLevel="0" collapsed="false">
      <c r="A144" s="8" t="str">
        <f aca="false">'2026 Forecast A'!A126</f>
        <v>Lehigh</v>
      </c>
      <c r="B144" s="8" t="str">
        <f aca="false">'2026 Forecast A'!B126</f>
        <v>BETHLEHEM</v>
      </c>
      <c r="C144" s="8" t="str">
        <f aca="false">'2026 Forecast A'!C126</f>
        <v>BETHLEHEM 13TH WARD 1ST DIST</v>
      </c>
      <c r="D144" s="9" t="n">
        <f aca="false">'2026 Forecast A'!G126</f>
        <v>0.684027777777778</v>
      </c>
      <c r="E144" s="9" t="n">
        <f aca="false">'2026 Forecast B'!G126</f>
        <v>0.674768518518519</v>
      </c>
      <c r="F144" s="9" t="n">
        <f aca="false">'2026 Forecast C'!G126</f>
        <v>0.689814814814815</v>
      </c>
      <c r="G144" s="24" t="n">
        <f aca="false">(MAX(D144:F144)-MIN(D144:F144))*100</f>
        <v>1.50462962962963</v>
      </c>
      <c r="H144" s="24" t="n">
        <f aca="false">'2026 Forecast A'!J126</f>
        <v>1.8085538155628</v>
      </c>
      <c r="I144" s="24" t="n">
        <f aca="false">'2026 Forecast B'!J126</f>
        <v>1.92472098334064</v>
      </c>
      <c r="J144" s="24" t="n">
        <f aca="false">'2026 Forecast C'!J126</f>
        <v>2.05025038892674</v>
      </c>
      <c r="K144" s="25" t="n">
        <f aca="false">'2026 Forecast A'!F126</f>
        <v>864</v>
      </c>
      <c r="L144" s="26" t="str">
        <f aca="false">IF(OR(AND(D144&gt;0.5,E144&gt;0.5,F144&gt;0.5),AND(D144&lt;0.5,E144&lt;0.5,F144&lt;0.5)),"Yes","No — toss-up")</f>
        <v>Yes</v>
      </c>
    </row>
    <row r="145" customFormat="false" ht="15" hidden="false" customHeight="false" outlineLevel="0" collapsed="false">
      <c r="A145" s="8" t="str">
        <f aca="false">'2026 Forecast A'!A127</f>
        <v>Lehigh</v>
      </c>
      <c r="B145" s="8" t="str">
        <f aca="false">'2026 Forecast A'!B127</f>
        <v>BETHLEHEM</v>
      </c>
      <c r="C145" s="8" t="str">
        <f aca="false">'2026 Forecast A'!C127</f>
        <v>BETHLEHEM 13TH WARD 2ND DIST</v>
      </c>
      <c r="D145" s="9" t="n">
        <f aca="false">'2026 Forecast A'!G127</f>
        <v>0.656451612903226</v>
      </c>
      <c r="E145" s="9" t="n">
        <f aca="false">'2026 Forecast B'!G127</f>
        <v>0.656451612903226</v>
      </c>
      <c r="F145" s="9" t="n">
        <f aca="false">'2026 Forecast C'!G127</f>
        <v>0.661290322580645</v>
      </c>
      <c r="G145" s="24" t="n">
        <f aca="false">(MAX(D145:F145)-MIN(D145:F145))*100</f>
        <v>0.483870967741928</v>
      </c>
      <c r="H145" s="24" t="n">
        <f aca="false">'2026 Forecast A'!J127</f>
        <v>3.02608556967268</v>
      </c>
      <c r="I145" s="24" t="n">
        <f aca="false">'2026 Forecast B'!J127</f>
        <v>2.87480042420966</v>
      </c>
      <c r="J145" s="24" t="n">
        <f aca="false">'2026 Forecast C'!J127</f>
        <v>3.45317612968717</v>
      </c>
      <c r="K145" s="25" t="n">
        <f aca="false">'2026 Forecast A'!F127</f>
        <v>620</v>
      </c>
      <c r="L145" s="26" t="str">
        <f aca="false">IF(OR(AND(D145&gt;0.5,E145&gt;0.5,F145&gt;0.5),AND(D145&lt;0.5,E145&lt;0.5,F145&lt;0.5)),"Yes","No — toss-up")</f>
        <v>Yes</v>
      </c>
    </row>
    <row r="146" customFormat="false" ht="15" hidden="false" customHeight="false" outlineLevel="0" collapsed="false">
      <c r="A146" s="8" t="str">
        <f aca="false">'2026 Forecast A'!A128</f>
        <v>Lehigh</v>
      </c>
      <c r="B146" s="8" t="str">
        <f aca="false">'2026 Forecast A'!B128</f>
        <v>BETHLEHEM</v>
      </c>
      <c r="C146" s="8" t="str">
        <f aca="false">'2026 Forecast A'!C128</f>
        <v>BETHLEHEM 13TH WARD 3RD DIST</v>
      </c>
      <c r="D146" s="9" t="n">
        <f aca="false">'2026 Forecast A'!G128</f>
        <v>0.637700534759358</v>
      </c>
      <c r="E146" s="9" t="n">
        <f aca="false">'2026 Forecast B'!G128</f>
        <v>0.633689839572193</v>
      </c>
      <c r="F146" s="9" t="n">
        <f aca="false">'2026 Forecast C'!G128</f>
        <v>0.643048128342246</v>
      </c>
      <c r="G146" s="24" t="n">
        <f aca="false">(MAX(D146:F146)-MIN(D146:F146))*100</f>
        <v>0.935828877005351</v>
      </c>
      <c r="H146" s="24" t="n">
        <f aca="false">'2026 Forecast A'!J128</f>
        <v>3.02608556967268</v>
      </c>
      <c r="I146" s="24" t="n">
        <f aca="false">'2026 Forecast B'!J128</f>
        <v>2.87480042420966</v>
      </c>
      <c r="J146" s="24" t="n">
        <f aca="false">'2026 Forecast C'!J128</f>
        <v>3.45317612968717</v>
      </c>
      <c r="K146" s="25" t="n">
        <f aca="false">'2026 Forecast A'!F128</f>
        <v>748</v>
      </c>
      <c r="L146" s="26" t="str">
        <f aca="false">IF(OR(AND(D146&gt;0.5,E146&gt;0.5,F146&gt;0.5),AND(D146&lt;0.5,E146&lt;0.5,F146&lt;0.5)),"Yes","No — toss-up")</f>
        <v>Yes</v>
      </c>
    </row>
    <row r="147" customFormat="false" ht="15" hidden="false" customHeight="false" outlineLevel="0" collapsed="false">
      <c r="A147" s="8" t="str">
        <f aca="false">'2026 Forecast A'!A129</f>
        <v>Lehigh</v>
      </c>
      <c r="B147" s="8" t="str">
        <f aca="false">'2026 Forecast A'!B129</f>
        <v>BETHLEHEM</v>
      </c>
      <c r="C147" s="8" t="str">
        <f aca="false">'2026 Forecast A'!C129</f>
        <v>BETHLEHEM 13TH WARD 4TH DIST</v>
      </c>
      <c r="D147" s="9" t="n">
        <f aca="false">'2026 Forecast A'!G129</f>
        <v>0.647058823529412</v>
      </c>
      <c r="E147" s="9" t="n">
        <f aca="false">'2026 Forecast B'!G129</f>
        <v>0.637254901960784</v>
      </c>
      <c r="F147" s="9" t="n">
        <f aca="false">'2026 Forecast C'!G129</f>
        <v>0.652505446623094</v>
      </c>
      <c r="G147" s="24" t="n">
        <f aca="false">(MAX(D147:F147)-MIN(D147:F147))*100</f>
        <v>1.52505446623095</v>
      </c>
      <c r="H147" s="24" t="n">
        <f aca="false">'2026 Forecast A'!J129</f>
        <v>1.8085538155628</v>
      </c>
      <c r="I147" s="24" t="n">
        <f aca="false">'2026 Forecast B'!J129</f>
        <v>1.92472098334064</v>
      </c>
      <c r="J147" s="24" t="n">
        <f aca="false">'2026 Forecast C'!J129</f>
        <v>2.05025038892674</v>
      </c>
      <c r="K147" s="25" t="n">
        <f aca="false">'2026 Forecast A'!F129</f>
        <v>918</v>
      </c>
      <c r="L147" s="26" t="str">
        <f aca="false">IF(OR(AND(D147&gt;0.5,E147&gt;0.5,F147&gt;0.5),AND(D147&lt;0.5,E147&lt;0.5,F147&lt;0.5)),"Yes","No — toss-up")</f>
        <v>Yes</v>
      </c>
    </row>
    <row r="148" customFormat="false" ht="15" hidden="false" customHeight="false" outlineLevel="0" collapsed="false">
      <c r="A148" s="8" t="str">
        <f aca="false">'2026 Forecast A'!A130</f>
        <v>Lehigh</v>
      </c>
      <c r="B148" s="8" t="str">
        <f aca="false">'2026 Forecast A'!B130</f>
        <v>BETHLEHEM</v>
      </c>
      <c r="C148" s="8" t="str">
        <f aca="false">'2026 Forecast A'!C130</f>
        <v>BETHLEHEM 13TH WARD 5TH DIST</v>
      </c>
      <c r="D148" s="9" t="n">
        <f aca="false">'2026 Forecast A'!G130</f>
        <v>0.650842266462481</v>
      </c>
      <c r="E148" s="9" t="n">
        <f aca="false">'2026 Forecast B'!G130</f>
        <v>0.644716692189893</v>
      </c>
      <c r="F148" s="9" t="n">
        <f aca="false">'2026 Forecast C'!G130</f>
        <v>0.655436447166922</v>
      </c>
      <c r="G148" s="24" t="n">
        <f aca="false">(MAX(D148:F148)-MIN(D148:F148))*100</f>
        <v>1.07197549770292</v>
      </c>
      <c r="H148" s="24" t="n">
        <f aca="false">'2026 Forecast A'!J130</f>
        <v>3.02608556967268</v>
      </c>
      <c r="I148" s="24" t="n">
        <f aca="false">'2026 Forecast B'!J130</f>
        <v>2.87480042420966</v>
      </c>
      <c r="J148" s="24" t="n">
        <f aca="false">'2026 Forecast C'!J130</f>
        <v>3.45317612968717</v>
      </c>
      <c r="K148" s="25" t="n">
        <f aca="false">'2026 Forecast A'!F130</f>
        <v>653</v>
      </c>
      <c r="L148" s="26" t="str">
        <f aca="false">IF(OR(AND(D148&gt;0.5,E148&gt;0.5,F148&gt;0.5),AND(D148&lt;0.5,E148&lt;0.5,F148&lt;0.5)),"Yes","No — toss-up")</f>
        <v>Yes</v>
      </c>
    </row>
    <row r="149" customFormat="false" ht="15" hidden="false" customHeight="false" outlineLevel="0" collapsed="false">
      <c r="A149" s="8" t="str">
        <f aca="false">'2026 Forecast A'!A131</f>
        <v>Lehigh</v>
      </c>
      <c r="B149" s="8" t="str">
        <f aca="false">'2026 Forecast A'!B131</f>
        <v>BETHLEHEM</v>
      </c>
      <c r="C149" s="8" t="str">
        <f aca="false">'2026 Forecast A'!C131</f>
        <v>BETHLEHEM 13TH WARD 6TH DIST</v>
      </c>
      <c r="D149" s="9" t="n">
        <f aca="false">'2026 Forecast A'!G131</f>
        <v>0.606473594548552</v>
      </c>
      <c r="E149" s="9" t="n">
        <f aca="false">'2026 Forecast B'!G131</f>
        <v>0.609880749574106</v>
      </c>
      <c r="F149" s="9" t="n">
        <f aca="false">'2026 Forecast C'!G131</f>
        <v>0.614991482112436</v>
      </c>
      <c r="G149" s="24" t="n">
        <f aca="false">(MAX(D149:F149)-MIN(D149:F149))*100</f>
        <v>0.851788756388416</v>
      </c>
      <c r="H149" s="24" t="n">
        <f aca="false">'2026 Forecast A'!J131</f>
        <v>3.02608556967268</v>
      </c>
      <c r="I149" s="24" t="n">
        <f aca="false">'2026 Forecast B'!J131</f>
        <v>2.87480042420966</v>
      </c>
      <c r="J149" s="24" t="n">
        <f aca="false">'2026 Forecast C'!J131</f>
        <v>3.45317612968717</v>
      </c>
      <c r="K149" s="25" t="n">
        <f aca="false">'2026 Forecast A'!F131</f>
        <v>587</v>
      </c>
      <c r="L149" s="26" t="str">
        <f aca="false">IF(OR(AND(D149&gt;0.5,E149&gt;0.5,F149&gt;0.5),AND(D149&lt;0.5,E149&lt;0.5,F149&lt;0.5)),"Yes","No — toss-up")</f>
        <v>Yes</v>
      </c>
    </row>
    <row r="150" customFormat="false" ht="15" hidden="false" customHeight="false" outlineLevel="0" collapsed="false">
      <c r="A150" s="8" t="str">
        <f aca="false">'2026 Forecast A'!A132</f>
        <v>Lehigh</v>
      </c>
      <c r="B150" s="8" t="str">
        <f aca="false">'2026 Forecast A'!B132</f>
        <v>BETHLEHEM</v>
      </c>
      <c r="C150" s="8" t="str">
        <f aca="false">'2026 Forecast A'!C132</f>
        <v>BETHLEHEM 13TH WARD 7TH DIST</v>
      </c>
      <c r="D150" s="9" t="n">
        <f aca="false">'2026 Forecast A'!G132</f>
        <v>0.665625</v>
      </c>
      <c r="E150" s="9" t="n">
        <f aca="false">'2026 Forecast B'!G132</f>
        <v>0.6578125</v>
      </c>
      <c r="F150" s="9" t="n">
        <f aca="false">'2026 Forecast C'!G132</f>
        <v>0.66875</v>
      </c>
      <c r="G150" s="24" t="n">
        <f aca="false">(MAX(D150:F150)-MIN(D150:F150))*100</f>
        <v>1.09374999999999</v>
      </c>
      <c r="H150" s="24" t="n">
        <f aca="false">'2026 Forecast A'!J132</f>
        <v>3.02608556967268</v>
      </c>
      <c r="I150" s="24" t="n">
        <f aca="false">'2026 Forecast B'!J132</f>
        <v>2.87480042420966</v>
      </c>
      <c r="J150" s="24" t="n">
        <f aca="false">'2026 Forecast C'!J132</f>
        <v>3.45317612968717</v>
      </c>
      <c r="K150" s="25" t="n">
        <f aca="false">'2026 Forecast A'!F132</f>
        <v>640</v>
      </c>
      <c r="L150" s="26" t="str">
        <f aca="false">IF(OR(AND(D150&gt;0.5,E150&gt;0.5,F150&gt;0.5),AND(D150&lt;0.5,E150&lt;0.5,F150&lt;0.5)),"Yes","No — toss-up")</f>
        <v>Yes</v>
      </c>
    </row>
    <row r="151" customFormat="false" ht="15" hidden="false" customHeight="false" outlineLevel="0" collapsed="false">
      <c r="A151" s="8" t="str">
        <f aca="false">'2026 Forecast A'!A133</f>
        <v>Lehigh</v>
      </c>
      <c r="B151" s="8" t="str">
        <f aca="false">'2026 Forecast A'!B133</f>
        <v>BETHLEHEM</v>
      </c>
      <c r="C151" s="8" t="str">
        <f aca="false">'2026 Forecast A'!C133</f>
        <v>BETHLEHEM 13TH WARD 8TH DIST</v>
      </c>
      <c r="D151" s="9" t="n">
        <f aca="false">'2026 Forecast A'!G133</f>
        <v>0.64367816091954</v>
      </c>
      <c r="E151" s="9" t="n">
        <f aca="false">'2026 Forecast B'!G133</f>
        <v>0.642241379310345</v>
      </c>
      <c r="F151" s="9" t="n">
        <f aca="false">'2026 Forecast C'!G133</f>
        <v>0.647988505747126</v>
      </c>
      <c r="G151" s="24" t="n">
        <f aca="false">(MAX(D151:F151)-MIN(D151:F151))*100</f>
        <v>0.574712643678155</v>
      </c>
      <c r="H151" s="24" t="n">
        <f aca="false">'2026 Forecast A'!J133</f>
        <v>3.02608556967268</v>
      </c>
      <c r="I151" s="24" t="n">
        <f aca="false">'2026 Forecast B'!J133</f>
        <v>2.87480042420966</v>
      </c>
      <c r="J151" s="24" t="n">
        <f aca="false">'2026 Forecast C'!J133</f>
        <v>3.45317612968717</v>
      </c>
      <c r="K151" s="25" t="n">
        <f aca="false">'2026 Forecast A'!F133</f>
        <v>696</v>
      </c>
      <c r="L151" s="26" t="str">
        <f aca="false">IF(OR(AND(D151&gt;0.5,E151&gt;0.5,F151&gt;0.5),AND(D151&lt;0.5,E151&lt;0.5,F151&lt;0.5)),"Yes","No — toss-up")</f>
        <v>Yes</v>
      </c>
    </row>
    <row r="152" customFormat="false" ht="15" hidden="false" customHeight="false" outlineLevel="0" collapsed="false">
      <c r="A152" s="8" t="str">
        <f aca="false">'2026 Forecast A'!A134</f>
        <v>Lehigh</v>
      </c>
      <c r="B152" s="8" t="str">
        <f aca="false">'2026 Forecast A'!B134</f>
        <v>CATASAUQUA</v>
      </c>
      <c r="C152" s="8" t="str">
        <f aca="false">'2026 Forecast A'!C134</f>
        <v>CATASAUQUA 1ST DIST</v>
      </c>
      <c r="D152" s="9" t="n">
        <f aca="false">'2026 Forecast A'!G134</f>
        <v>0.594353640416048</v>
      </c>
      <c r="E152" s="9" t="n">
        <f aca="false">'2026 Forecast B'!G134</f>
        <v>0.597325408618128</v>
      </c>
      <c r="F152" s="9" t="n">
        <f aca="false">'2026 Forecast C'!G134</f>
        <v>0.597325408618128</v>
      </c>
      <c r="G152" s="24" t="n">
        <f aca="false">(MAX(D152:F152)-MIN(D152:F152))*100</f>
        <v>0.297176820208023</v>
      </c>
      <c r="H152" s="24" t="n">
        <f aca="false">'2026 Forecast A'!J134</f>
        <v>3.02608556967268</v>
      </c>
      <c r="I152" s="24" t="n">
        <f aca="false">'2026 Forecast B'!J134</f>
        <v>2.87480042420966</v>
      </c>
      <c r="J152" s="24" t="n">
        <f aca="false">'2026 Forecast C'!J134</f>
        <v>3.45317612968717</v>
      </c>
      <c r="K152" s="25" t="n">
        <f aca="false">'2026 Forecast A'!F134</f>
        <v>673</v>
      </c>
      <c r="L152" s="26" t="str">
        <f aca="false">IF(OR(AND(D152&gt;0.5,E152&gt;0.5,F152&gt;0.5),AND(D152&lt;0.5,E152&lt;0.5,F152&lt;0.5)),"Yes","No — toss-up")</f>
        <v>Yes</v>
      </c>
    </row>
    <row r="153" customFormat="false" ht="15" hidden="false" customHeight="false" outlineLevel="0" collapsed="false">
      <c r="A153" s="8" t="str">
        <f aca="false">'2026 Forecast A'!A135</f>
        <v>Lehigh</v>
      </c>
      <c r="B153" s="8" t="str">
        <f aca="false">'2026 Forecast A'!B135</f>
        <v>CATASAUQUA</v>
      </c>
      <c r="C153" s="8" t="str">
        <f aca="false">'2026 Forecast A'!C135</f>
        <v>CATASAUQUA 2ND DIST</v>
      </c>
      <c r="D153" s="9" t="n">
        <f aca="false">'2026 Forecast A'!G135</f>
        <v>0.533733133433283</v>
      </c>
      <c r="E153" s="9" t="n">
        <f aca="false">'2026 Forecast B'!G135</f>
        <v>0.542728635682159</v>
      </c>
      <c r="F153" s="9" t="n">
        <f aca="false">'2026 Forecast C'!G135</f>
        <v>0.533733133433283</v>
      </c>
      <c r="G153" s="24" t="n">
        <f aca="false">(MAX(D153:F153)-MIN(D153:F153))*100</f>
        <v>0.899550224887558</v>
      </c>
      <c r="H153" s="24" t="n">
        <f aca="false">'2026 Forecast A'!J135</f>
        <v>3.02608556967268</v>
      </c>
      <c r="I153" s="24" t="n">
        <f aca="false">'2026 Forecast B'!J135</f>
        <v>2.87480042420966</v>
      </c>
      <c r="J153" s="24" t="n">
        <f aca="false">'2026 Forecast C'!J135</f>
        <v>3.45317612968717</v>
      </c>
      <c r="K153" s="25" t="n">
        <f aca="false">'2026 Forecast A'!F135</f>
        <v>667</v>
      </c>
      <c r="L153" s="26" t="str">
        <f aca="false">IF(OR(AND(D153&gt;0.5,E153&gt;0.5,F153&gt;0.5),AND(D153&lt;0.5,E153&lt;0.5,F153&lt;0.5)),"Yes","No — toss-up")</f>
        <v>Yes</v>
      </c>
    </row>
    <row r="154" customFormat="false" ht="15" hidden="false" customHeight="false" outlineLevel="0" collapsed="false">
      <c r="A154" s="8" t="str">
        <f aca="false">'2026 Forecast A'!A136</f>
        <v>Lehigh</v>
      </c>
      <c r="B154" s="8" t="str">
        <f aca="false">'2026 Forecast A'!B136</f>
        <v>CATASAUQUA</v>
      </c>
      <c r="C154" s="8" t="str">
        <f aca="false">'2026 Forecast A'!C136</f>
        <v>CATASAUQUA 3RD DIST</v>
      </c>
      <c r="D154" s="9" t="n">
        <f aca="false">'2026 Forecast A'!G136</f>
        <v>0.545454545454545</v>
      </c>
      <c r="E154" s="9" t="n">
        <f aca="false">'2026 Forecast B'!G136</f>
        <v>0.550649350649351</v>
      </c>
      <c r="F154" s="9" t="n">
        <f aca="false">'2026 Forecast C'!G136</f>
        <v>0.546753246753247</v>
      </c>
      <c r="G154" s="24" t="n">
        <f aca="false">(MAX(D154:F154)-MIN(D154:F154))*100</f>
        <v>0.51948051948052</v>
      </c>
      <c r="H154" s="24" t="n">
        <f aca="false">'2026 Forecast A'!J136</f>
        <v>3.02608556967268</v>
      </c>
      <c r="I154" s="24" t="n">
        <f aca="false">'2026 Forecast B'!J136</f>
        <v>2.87480042420966</v>
      </c>
      <c r="J154" s="24" t="n">
        <f aca="false">'2026 Forecast C'!J136</f>
        <v>3.45317612968717</v>
      </c>
      <c r="K154" s="25" t="n">
        <f aca="false">'2026 Forecast A'!F136</f>
        <v>770</v>
      </c>
      <c r="L154" s="26" t="str">
        <f aca="false">IF(OR(AND(D154&gt;0.5,E154&gt;0.5,F154&gt;0.5),AND(D154&lt;0.5,E154&lt;0.5,F154&lt;0.5)),"Yes","No — toss-up")</f>
        <v>Yes</v>
      </c>
    </row>
    <row r="155" customFormat="false" ht="15" hidden="false" customHeight="false" outlineLevel="0" collapsed="false">
      <c r="A155" s="8" t="str">
        <f aca="false">'2026 Forecast A'!A137</f>
        <v>Lehigh</v>
      </c>
      <c r="B155" s="8" t="str">
        <f aca="false">'2026 Forecast A'!B137</f>
        <v>COOPERSBURG</v>
      </c>
      <c r="C155" s="8" t="str">
        <f aca="false">'2026 Forecast A'!C137</f>
        <v>COOPERSBURG</v>
      </c>
      <c r="D155" s="9" t="n">
        <f aca="false">'2026 Forecast A'!G137</f>
        <v>0.534044298605414</v>
      </c>
      <c r="E155" s="9" t="n">
        <f aca="false">'2026 Forecast B'!G137</f>
        <v>0.531583264971288</v>
      </c>
      <c r="F155" s="9" t="n">
        <f aca="false">'2026 Forecast C'!G137</f>
        <v>0.534864643150123</v>
      </c>
      <c r="G155" s="24" t="n">
        <f aca="false">(MAX(D155:F155)-MIN(D155:F155))*100</f>
        <v>0.328137817883512</v>
      </c>
      <c r="H155" s="24" t="n">
        <f aca="false">'2026 Forecast A'!J137</f>
        <v>1.24911041755021</v>
      </c>
      <c r="I155" s="24" t="n">
        <f aca="false">'2026 Forecast B'!J137</f>
        <v>1.87117215961084</v>
      </c>
      <c r="J155" s="24" t="n">
        <f aca="false">'2026 Forecast C'!J137</f>
        <v>1.25589305869883</v>
      </c>
      <c r="K155" s="25" t="n">
        <f aca="false">'2026 Forecast A'!F137</f>
        <v>1219</v>
      </c>
      <c r="L155" s="26" t="str">
        <f aca="false">IF(OR(AND(D155&gt;0.5,E155&gt;0.5,F155&gt;0.5),AND(D155&lt;0.5,E155&lt;0.5,F155&lt;0.5)),"Yes","No — toss-up")</f>
        <v>Yes</v>
      </c>
    </row>
    <row r="156" customFormat="false" ht="15" hidden="false" customHeight="false" outlineLevel="0" collapsed="false">
      <c r="A156" s="8" t="str">
        <f aca="false">'2026 Forecast A'!A138</f>
        <v>Lehigh</v>
      </c>
      <c r="B156" s="8" t="str">
        <f aca="false">'2026 Forecast A'!B138</f>
        <v>COPLAY</v>
      </c>
      <c r="C156" s="8" t="str">
        <f aca="false">'2026 Forecast A'!C138</f>
        <v>COPLAY 1ST DISTRICT</v>
      </c>
      <c r="D156" s="9" t="n">
        <f aca="false">'2026 Forecast A'!G138</f>
        <v>0.545454545454545</v>
      </c>
      <c r="E156" s="9" t="n">
        <f aca="false">'2026 Forecast B'!G138</f>
        <v>0.556363636363636</v>
      </c>
      <c r="F156" s="9" t="n">
        <f aca="false">'2026 Forecast C'!G138</f>
        <v>0.547272727272727</v>
      </c>
      <c r="G156" s="24" t="n">
        <f aca="false">(MAX(D156:F156)-MIN(D156:F156))*100</f>
        <v>1.0909090909091</v>
      </c>
      <c r="H156" s="24" t="n">
        <f aca="false">'2026 Forecast A'!J138</f>
        <v>3.02608556967268</v>
      </c>
      <c r="I156" s="24" t="n">
        <f aca="false">'2026 Forecast B'!J138</f>
        <v>2.87480042420966</v>
      </c>
      <c r="J156" s="24" t="n">
        <f aca="false">'2026 Forecast C'!J138</f>
        <v>3.45317612968717</v>
      </c>
      <c r="K156" s="25" t="n">
        <f aca="false">'2026 Forecast A'!F138</f>
        <v>550</v>
      </c>
      <c r="L156" s="26" t="str">
        <f aca="false">IF(OR(AND(D156&gt;0.5,E156&gt;0.5,F156&gt;0.5),AND(D156&lt;0.5,E156&lt;0.5,F156&lt;0.5)),"Yes","No — toss-up")</f>
        <v>Yes</v>
      </c>
    </row>
    <row r="157" customFormat="false" ht="15" hidden="false" customHeight="false" outlineLevel="0" collapsed="false">
      <c r="A157" s="8" t="str">
        <f aca="false">'2026 Forecast A'!A139</f>
        <v>Lehigh</v>
      </c>
      <c r="B157" s="8" t="str">
        <f aca="false">'2026 Forecast A'!B139</f>
        <v>COPLAY</v>
      </c>
      <c r="C157" s="8" t="str">
        <f aca="false">'2026 Forecast A'!C139</f>
        <v>COPLAY 2ND DISTRICT</v>
      </c>
      <c r="D157" s="9" t="n">
        <f aca="false">'2026 Forecast A'!G139</f>
        <v>0.555555555555556</v>
      </c>
      <c r="E157" s="9" t="n">
        <f aca="false">'2026 Forecast B'!G139</f>
        <v>0.563587684069612</v>
      </c>
      <c r="F157" s="9" t="n">
        <f aca="false">'2026 Forecast C'!G139</f>
        <v>0.555555555555556</v>
      </c>
      <c r="G157" s="24" t="n">
        <f aca="false">(MAX(D157:F157)-MIN(D157:F157))*100</f>
        <v>0.803212851405621</v>
      </c>
      <c r="H157" s="24" t="n">
        <f aca="false">'2026 Forecast A'!J139</f>
        <v>3.02608556967268</v>
      </c>
      <c r="I157" s="24" t="n">
        <f aca="false">'2026 Forecast B'!J139</f>
        <v>2.87480042420966</v>
      </c>
      <c r="J157" s="24" t="n">
        <f aca="false">'2026 Forecast C'!J139</f>
        <v>3.45317612968717</v>
      </c>
      <c r="K157" s="25" t="n">
        <f aca="false">'2026 Forecast A'!F139</f>
        <v>747</v>
      </c>
      <c r="L157" s="26" t="str">
        <f aca="false">IF(OR(AND(D157&gt;0.5,E157&gt;0.5,F157&gt;0.5),AND(D157&lt;0.5,E157&lt;0.5,F157&lt;0.5)),"Yes","No — toss-up")</f>
        <v>Yes</v>
      </c>
    </row>
    <row r="158" customFormat="false" ht="15" hidden="false" customHeight="false" outlineLevel="0" collapsed="false">
      <c r="A158" s="8" t="str">
        <f aca="false">'2026 Forecast A'!A140</f>
        <v>Lehigh</v>
      </c>
      <c r="B158" s="8" t="str">
        <f aca="false">'2026 Forecast A'!B140</f>
        <v>EMMAUS</v>
      </c>
      <c r="C158" s="8" t="str">
        <f aca="false">'2026 Forecast A'!C140</f>
        <v>EMMAUS 1ST DISTRICT</v>
      </c>
      <c r="D158" s="9" t="n">
        <f aca="false">'2026 Forecast A'!G140</f>
        <v>0.572127139364303</v>
      </c>
      <c r="E158" s="9" t="n">
        <f aca="false">'2026 Forecast B'!G140</f>
        <v>0.578239608801956</v>
      </c>
      <c r="F158" s="9" t="n">
        <f aca="false">'2026 Forecast C'!G140</f>
        <v>0.574572127139364</v>
      </c>
      <c r="G158" s="24" t="n">
        <f aca="false">(MAX(D158:F158)-MIN(D158:F158))*100</f>
        <v>0.611246943765287</v>
      </c>
      <c r="H158" s="24" t="n">
        <f aca="false">'2026 Forecast A'!J140</f>
        <v>1.8085538155628</v>
      </c>
      <c r="I158" s="24" t="n">
        <f aca="false">'2026 Forecast B'!J140</f>
        <v>1.92472098334064</v>
      </c>
      <c r="J158" s="24" t="n">
        <f aca="false">'2026 Forecast C'!J140</f>
        <v>2.05025038892674</v>
      </c>
      <c r="K158" s="25" t="n">
        <f aca="false">'2026 Forecast A'!F140</f>
        <v>818</v>
      </c>
      <c r="L158" s="26" t="str">
        <f aca="false">IF(OR(AND(D158&gt;0.5,E158&gt;0.5,F158&gt;0.5),AND(D158&lt;0.5,E158&lt;0.5,F158&lt;0.5)),"Yes","No — toss-up")</f>
        <v>Yes</v>
      </c>
    </row>
    <row r="159" customFormat="false" ht="15" hidden="false" customHeight="false" outlineLevel="0" collapsed="false">
      <c r="A159" s="8" t="str">
        <f aca="false">'2026 Forecast A'!A141</f>
        <v>Lehigh</v>
      </c>
      <c r="B159" s="8" t="str">
        <f aca="false">'2026 Forecast A'!B141</f>
        <v>EMMAUS</v>
      </c>
      <c r="C159" s="8" t="str">
        <f aca="false">'2026 Forecast A'!C141</f>
        <v>EMMAUS 2ND DISTRICT</v>
      </c>
      <c r="D159" s="9" t="n">
        <f aca="false">'2026 Forecast A'!G141</f>
        <v>0.563975155279503</v>
      </c>
      <c r="E159" s="9" t="n">
        <f aca="false">'2026 Forecast B'!G141</f>
        <v>0.567701863354037</v>
      </c>
      <c r="F159" s="9" t="n">
        <f aca="false">'2026 Forecast C'!G141</f>
        <v>0.566459627329193</v>
      </c>
      <c r="G159" s="24" t="n">
        <f aca="false">(MAX(D159:F159)-MIN(D159:F159))*100</f>
        <v>0.372670807453412</v>
      </c>
      <c r="H159" s="24" t="n">
        <f aca="false">'2026 Forecast A'!J141</f>
        <v>1.8085538155628</v>
      </c>
      <c r="I159" s="24" t="n">
        <f aca="false">'2026 Forecast B'!J141</f>
        <v>1.92472098334064</v>
      </c>
      <c r="J159" s="24" t="n">
        <f aca="false">'2026 Forecast C'!J141</f>
        <v>2.05025038892674</v>
      </c>
      <c r="K159" s="25" t="n">
        <f aca="false">'2026 Forecast A'!F141</f>
        <v>805</v>
      </c>
      <c r="L159" s="26" t="str">
        <f aca="false">IF(OR(AND(D159&gt;0.5,E159&gt;0.5,F159&gt;0.5),AND(D159&lt;0.5,E159&lt;0.5,F159&lt;0.5)),"Yes","No — toss-up")</f>
        <v>Yes</v>
      </c>
    </row>
    <row r="160" customFormat="false" ht="15" hidden="false" customHeight="false" outlineLevel="0" collapsed="false">
      <c r="A160" s="8" t="str">
        <f aca="false">'2026 Forecast A'!A142</f>
        <v>Lehigh</v>
      </c>
      <c r="B160" s="8" t="str">
        <f aca="false">'2026 Forecast A'!B142</f>
        <v>EMMAUS</v>
      </c>
      <c r="C160" s="8" t="str">
        <f aca="false">'2026 Forecast A'!C142</f>
        <v>EMMAUS 3RD DISTRICT</v>
      </c>
      <c r="D160" s="9" t="n">
        <f aca="false">'2026 Forecast A'!G142</f>
        <v>0.547945205479452</v>
      </c>
      <c r="E160" s="9" t="n">
        <f aca="false">'2026 Forecast B'!G142</f>
        <v>0.551859099804305</v>
      </c>
      <c r="F160" s="9" t="n">
        <f aca="false">'2026 Forecast C'!G142</f>
        <v>0.548923679060665</v>
      </c>
      <c r="G160" s="24" t="n">
        <f aca="false">(MAX(D160:F160)-MIN(D160:F160))*100</f>
        <v>0.391389432485323</v>
      </c>
      <c r="H160" s="24" t="n">
        <f aca="false">'2026 Forecast A'!J142</f>
        <v>1.8085538155628</v>
      </c>
      <c r="I160" s="24" t="n">
        <f aca="false">'2026 Forecast B'!J142</f>
        <v>1.92472098334064</v>
      </c>
      <c r="J160" s="24" t="n">
        <f aca="false">'2026 Forecast C'!J142</f>
        <v>2.05025038892674</v>
      </c>
      <c r="K160" s="25" t="n">
        <f aca="false">'2026 Forecast A'!F142</f>
        <v>1022</v>
      </c>
      <c r="L160" s="26" t="str">
        <f aca="false">IF(OR(AND(D160&gt;0.5,E160&gt;0.5,F160&gt;0.5),AND(D160&lt;0.5,E160&lt;0.5,F160&lt;0.5)),"Yes","No — toss-up")</f>
        <v>Yes</v>
      </c>
    </row>
    <row r="161" customFormat="false" ht="15" hidden="false" customHeight="false" outlineLevel="0" collapsed="false">
      <c r="A161" s="8" t="str">
        <f aca="false">'2026 Forecast A'!A143</f>
        <v>Lehigh</v>
      </c>
      <c r="B161" s="8" t="str">
        <f aca="false">'2026 Forecast A'!B143</f>
        <v>EMMAUS</v>
      </c>
      <c r="C161" s="8" t="str">
        <f aca="false">'2026 Forecast A'!C143</f>
        <v>EMMAUS 4TH DISTRICT</v>
      </c>
      <c r="D161" s="9" t="n">
        <f aca="false">'2026 Forecast A'!G143</f>
        <v>0.58703071672355</v>
      </c>
      <c r="E161" s="9" t="n">
        <f aca="false">'2026 Forecast B'!G143</f>
        <v>0.593856655290102</v>
      </c>
      <c r="F161" s="9" t="n">
        <f aca="false">'2026 Forecast C'!G143</f>
        <v>0.590443686006826</v>
      </c>
      <c r="G161" s="24" t="n">
        <f aca="false">(MAX(D161:F161)-MIN(D161:F161))*100</f>
        <v>0.682593856655289</v>
      </c>
      <c r="H161" s="24" t="n">
        <f aca="false">'2026 Forecast A'!J143</f>
        <v>1.8085538155628</v>
      </c>
      <c r="I161" s="24" t="n">
        <f aca="false">'2026 Forecast B'!J143</f>
        <v>1.92472098334064</v>
      </c>
      <c r="J161" s="24" t="n">
        <f aca="false">'2026 Forecast C'!J143</f>
        <v>2.05025038892674</v>
      </c>
      <c r="K161" s="25" t="n">
        <f aca="false">'2026 Forecast A'!F143</f>
        <v>879</v>
      </c>
      <c r="L161" s="26" t="str">
        <f aca="false">IF(OR(AND(D161&gt;0.5,E161&gt;0.5,F161&gt;0.5),AND(D161&lt;0.5,E161&lt;0.5,F161&lt;0.5)),"Yes","No — toss-up")</f>
        <v>Yes</v>
      </c>
    </row>
    <row r="162" customFormat="false" ht="15" hidden="false" customHeight="false" outlineLevel="0" collapsed="false">
      <c r="A162" s="8" t="str">
        <f aca="false">'2026 Forecast A'!A144</f>
        <v>Lehigh</v>
      </c>
      <c r="B162" s="8" t="str">
        <f aca="false">'2026 Forecast A'!B144</f>
        <v>EMMAUS</v>
      </c>
      <c r="C162" s="8" t="str">
        <f aca="false">'2026 Forecast A'!C144</f>
        <v>EMMAUS 5TH DISTRICT</v>
      </c>
      <c r="D162" s="9" t="n">
        <f aca="false">'2026 Forecast A'!G144</f>
        <v>0.543321299638989</v>
      </c>
      <c r="E162" s="9" t="n">
        <f aca="false">'2026 Forecast B'!G144</f>
        <v>0.545126353790614</v>
      </c>
      <c r="F162" s="9" t="n">
        <f aca="false">'2026 Forecast C'!G144</f>
        <v>0.545126353790614</v>
      </c>
      <c r="G162" s="24" t="n">
        <f aca="false">(MAX(D162:F162)-MIN(D162:F162))*100</f>
        <v>0.180505415162457</v>
      </c>
      <c r="H162" s="24" t="n">
        <f aca="false">'2026 Forecast A'!J144</f>
        <v>3.02608556967268</v>
      </c>
      <c r="I162" s="24" t="n">
        <f aca="false">'2026 Forecast B'!J144</f>
        <v>2.87480042420966</v>
      </c>
      <c r="J162" s="24" t="n">
        <f aca="false">'2026 Forecast C'!J144</f>
        <v>3.45317612968717</v>
      </c>
      <c r="K162" s="25" t="n">
        <f aca="false">'2026 Forecast A'!F144</f>
        <v>554</v>
      </c>
      <c r="L162" s="26" t="str">
        <f aca="false">IF(OR(AND(D162&gt;0.5,E162&gt;0.5,F162&gt;0.5),AND(D162&lt;0.5,E162&lt;0.5,F162&lt;0.5)),"Yes","No — toss-up")</f>
        <v>Yes</v>
      </c>
    </row>
    <row r="163" customFormat="false" ht="15" hidden="false" customHeight="false" outlineLevel="0" collapsed="false">
      <c r="A163" s="8" t="str">
        <f aca="false">'2026 Forecast A'!A145</f>
        <v>Lehigh</v>
      </c>
      <c r="B163" s="8" t="str">
        <f aca="false">'2026 Forecast A'!B145</f>
        <v>EMMAUS</v>
      </c>
      <c r="C163" s="8" t="str">
        <f aca="false">'2026 Forecast A'!C145</f>
        <v>EMMAUS 6TH DISTRICT</v>
      </c>
      <c r="D163" s="9" t="n">
        <f aca="false">'2026 Forecast A'!G145</f>
        <v>0.607355864811133</v>
      </c>
      <c r="E163" s="9" t="n">
        <f aca="false">'2026 Forecast B'!G145</f>
        <v>0.599403578528827</v>
      </c>
      <c r="F163" s="9" t="n">
        <f aca="false">'2026 Forecast C'!G145</f>
        <v>0.612326043737575</v>
      </c>
      <c r="G163" s="24" t="n">
        <f aca="false">(MAX(D163:F163)-MIN(D163:F163))*100</f>
        <v>1.29224652087475</v>
      </c>
      <c r="H163" s="24" t="n">
        <f aca="false">'2026 Forecast A'!J145</f>
        <v>1.8085538155628</v>
      </c>
      <c r="I163" s="24" t="n">
        <f aca="false">'2026 Forecast B'!J145</f>
        <v>1.92472098334064</v>
      </c>
      <c r="J163" s="24" t="n">
        <f aca="false">'2026 Forecast C'!J145</f>
        <v>2.05025038892674</v>
      </c>
      <c r="K163" s="25" t="n">
        <f aca="false">'2026 Forecast A'!F145</f>
        <v>1006</v>
      </c>
      <c r="L163" s="26" t="str">
        <f aca="false">IF(OR(AND(D163&gt;0.5,E163&gt;0.5,F163&gt;0.5),AND(D163&lt;0.5,E163&lt;0.5,F163&lt;0.5)),"Yes","No — toss-up")</f>
        <v>Yes</v>
      </c>
    </row>
    <row r="164" customFormat="false" ht="15" hidden="false" customHeight="false" outlineLevel="0" collapsed="false">
      <c r="A164" s="8" t="str">
        <f aca="false">'2026 Forecast A'!A146</f>
        <v>Lehigh</v>
      </c>
      <c r="B164" s="8" t="str">
        <f aca="false">'2026 Forecast A'!B146</f>
        <v>FOUNTAIN HILL</v>
      </c>
      <c r="C164" s="8" t="str">
        <f aca="false">'2026 Forecast A'!C146</f>
        <v>FOUNTAIN HILL 1ST DIST</v>
      </c>
      <c r="D164" s="9" t="n">
        <f aca="false">'2026 Forecast A'!G146</f>
        <v>0.704028021015762</v>
      </c>
      <c r="E164" s="9" t="n">
        <f aca="false">'2026 Forecast B'!G146</f>
        <v>0.716287215411559</v>
      </c>
      <c r="F164" s="9" t="n">
        <f aca="false">'2026 Forecast C'!G146</f>
        <v>0.711033274956217</v>
      </c>
      <c r="G164" s="24" t="n">
        <f aca="false">(MAX(D164:F164)-MIN(D164:F164))*100</f>
        <v>1.22591943957969</v>
      </c>
      <c r="H164" s="24" t="n">
        <f aca="false">'2026 Forecast A'!J146</f>
        <v>3.02608556967268</v>
      </c>
      <c r="I164" s="24" t="n">
        <f aca="false">'2026 Forecast B'!J146</f>
        <v>2.87480042420966</v>
      </c>
      <c r="J164" s="24" t="n">
        <f aca="false">'2026 Forecast C'!J146</f>
        <v>3.45317612968717</v>
      </c>
      <c r="K164" s="25" t="n">
        <f aca="false">'2026 Forecast A'!F146</f>
        <v>571</v>
      </c>
      <c r="L164" s="26" t="str">
        <f aca="false">IF(OR(AND(D164&gt;0.5,E164&gt;0.5,F164&gt;0.5),AND(D164&lt;0.5,E164&lt;0.5,F164&lt;0.5)),"Yes","No — toss-up")</f>
        <v>Yes</v>
      </c>
    </row>
    <row r="165" customFormat="false" ht="15" hidden="false" customHeight="false" outlineLevel="0" collapsed="false">
      <c r="A165" s="8" t="str">
        <f aca="false">'2026 Forecast A'!A147</f>
        <v>Lehigh</v>
      </c>
      <c r="B165" s="8" t="str">
        <f aca="false">'2026 Forecast A'!B147</f>
        <v>FOUNTAIN HILL</v>
      </c>
      <c r="C165" s="8" t="str">
        <f aca="false">'2026 Forecast A'!C147</f>
        <v>FOUNTAIN HILL 2ND DIST</v>
      </c>
      <c r="D165" s="9" t="n">
        <f aca="false">'2026 Forecast A'!G147</f>
        <v>0.675847457627119</v>
      </c>
      <c r="E165" s="9" t="n">
        <f aca="false">'2026 Forecast B'!G147</f>
        <v>0.675847457627119</v>
      </c>
      <c r="F165" s="9" t="n">
        <f aca="false">'2026 Forecast C'!G147</f>
        <v>0.677966101694915</v>
      </c>
      <c r="G165" s="24" t="n">
        <f aca="false">(MAX(D165:F165)-MIN(D165:F165))*100</f>
        <v>0.21186440677966</v>
      </c>
      <c r="H165" s="24" t="n">
        <f aca="false">'2026 Forecast A'!J147</f>
        <v>3.02608556967268</v>
      </c>
      <c r="I165" s="24" t="n">
        <f aca="false">'2026 Forecast B'!J147</f>
        <v>2.87480042420966</v>
      </c>
      <c r="J165" s="24" t="n">
        <f aca="false">'2026 Forecast C'!J147</f>
        <v>3.45317612968717</v>
      </c>
      <c r="K165" s="25" t="n">
        <f aca="false">'2026 Forecast A'!F147</f>
        <v>472</v>
      </c>
      <c r="L165" s="26" t="str">
        <f aca="false">IF(OR(AND(D165&gt;0.5,E165&gt;0.5,F165&gt;0.5),AND(D165&lt;0.5,E165&lt;0.5,F165&lt;0.5)),"Yes","No — toss-up")</f>
        <v>Yes</v>
      </c>
    </row>
    <row r="166" customFormat="false" ht="15" hidden="false" customHeight="false" outlineLevel="0" collapsed="false">
      <c r="A166" s="8" t="str">
        <f aca="false">'2026 Forecast A'!A148</f>
        <v>Lehigh</v>
      </c>
      <c r="B166" s="8" t="str">
        <f aca="false">'2026 Forecast A'!B148</f>
        <v>FOUNTAIN HILL</v>
      </c>
      <c r="C166" s="8" t="str">
        <f aca="false">'2026 Forecast A'!C148</f>
        <v>FOUNTAIN HILL 3RD DIST</v>
      </c>
      <c r="D166" s="9" t="n">
        <f aca="false">'2026 Forecast A'!G148</f>
        <v>0.691699604743083</v>
      </c>
      <c r="E166" s="9" t="n">
        <f aca="false">'2026 Forecast B'!G148</f>
        <v>0.685770750988142</v>
      </c>
      <c r="F166" s="9" t="n">
        <f aca="false">'2026 Forecast C'!G148</f>
        <v>0.697628458498024</v>
      </c>
      <c r="G166" s="24" t="n">
        <f aca="false">(MAX(D166:F166)-MIN(D166:F166))*100</f>
        <v>1.18577075098814</v>
      </c>
      <c r="H166" s="24" t="n">
        <f aca="false">'2026 Forecast A'!J148</f>
        <v>3.02608556967268</v>
      </c>
      <c r="I166" s="24" t="n">
        <f aca="false">'2026 Forecast B'!J148</f>
        <v>2.87480042420966</v>
      </c>
      <c r="J166" s="24" t="n">
        <f aca="false">'2026 Forecast C'!J148</f>
        <v>3.45317612968717</v>
      </c>
      <c r="K166" s="25" t="n">
        <f aca="false">'2026 Forecast A'!F148</f>
        <v>506</v>
      </c>
      <c r="L166" s="26" t="str">
        <f aca="false">IF(OR(AND(D166&gt;0.5,E166&gt;0.5,F166&gt;0.5),AND(D166&lt;0.5,E166&lt;0.5,F166&lt;0.5)),"Yes","No — toss-up")</f>
        <v>Yes</v>
      </c>
    </row>
    <row r="167" customFormat="false" ht="15" hidden="false" customHeight="false" outlineLevel="0" collapsed="false">
      <c r="A167" s="8" t="str">
        <f aca="false">'2026 Forecast A'!A149</f>
        <v>Lehigh</v>
      </c>
      <c r="B167" s="8" t="str">
        <f aca="false">'2026 Forecast A'!B149</f>
        <v>HANOVER</v>
      </c>
      <c r="C167" s="8" t="str">
        <f aca="false">'2026 Forecast A'!C149</f>
        <v>HANOVER</v>
      </c>
      <c r="D167" s="9" t="n">
        <f aca="false">'2026 Forecast A'!G149</f>
        <v>0.582441113490364</v>
      </c>
      <c r="E167" s="9" t="n">
        <f aca="false">'2026 Forecast B'!G149</f>
        <v>0.591006423982869</v>
      </c>
      <c r="F167" s="9" t="n">
        <f aca="false">'2026 Forecast C'!G149</f>
        <v>0.58458244111349</v>
      </c>
      <c r="G167" s="24" t="n">
        <f aca="false">(MAX(D167:F167)-MIN(D167:F167))*100</f>
        <v>0.856531049250542</v>
      </c>
      <c r="H167" s="24" t="n">
        <f aca="false">'2026 Forecast A'!J149</f>
        <v>3.02608556967268</v>
      </c>
      <c r="I167" s="24" t="n">
        <f aca="false">'2026 Forecast B'!J149</f>
        <v>2.87480042420966</v>
      </c>
      <c r="J167" s="24" t="n">
        <f aca="false">'2026 Forecast C'!J149</f>
        <v>3.45317612968717</v>
      </c>
      <c r="K167" s="25" t="n">
        <f aca="false">'2026 Forecast A'!F149</f>
        <v>467</v>
      </c>
      <c r="L167" s="26" t="str">
        <f aca="false">IF(OR(AND(D167&gt;0.5,E167&gt;0.5,F167&gt;0.5),AND(D167&lt;0.5,E167&lt;0.5,F167&lt;0.5)),"Yes","No — toss-up")</f>
        <v>Yes</v>
      </c>
    </row>
    <row r="168" customFormat="false" ht="15" hidden="false" customHeight="false" outlineLevel="0" collapsed="false">
      <c r="A168" s="8" t="str">
        <f aca="false">'2026 Forecast A'!A150</f>
        <v>Lehigh</v>
      </c>
      <c r="B168" s="8" t="str">
        <f aca="false">'2026 Forecast A'!B150</f>
        <v>HEIDELBERG</v>
      </c>
      <c r="C168" s="8" t="str">
        <f aca="false">'2026 Forecast A'!C150</f>
        <v>HEIDELBERG</v>
      </c>
      <c r="D168" s="9" t="n">
        <f aca="false">'2026 Forecast A'!G150</f>
        <v>0.350625</v>
      </c>
      <c r="E168" s="9" t="n">
        <f aca="false">'2026 Forecast B'!G150</f>
        <v>0.344375</v>
      </c>
      <c r="F168" s="9" t="n">
        <f aca="false">'2026 Forecast C'!G150</f>
        <v>0.3425</v>
      </c>
      <c r="G168" s="24" t="n">
        <f aca="false">(MAX(D168:F168)-MIN(D168:F168))*100</f>
        <v>0.812499999999999</v>
      </c>
      <c r="H168" s="24" t="n">
        <f aca="false">'2026 Forecast A'!J150</f>
        <v>1.24911041755021</v>
      </c>
      <c r="I168" s="24" t="n">
        <f aca="false">'2026 Forecast B'!J150</f>
        <v>1.87117215961084</v>
      </c>
      <c r="J168" s="24" t="n">
        <f aca="false">'2026 Forecast C'!J150</f>
        <v>1.25589305869883</v>
      </c>
      <c r="K168" s="25" t="n">
        <f aca="false">'2026 Forecast A'!F150</f>
        <v>1600</v>
      </c>
      <c r="L168" s="26" t="str">
        <f aca="false">IF(OR(AND(D168&gt;0.5,E168&gt;0.5,F168&gt;0.5),AND(D168&lt;0.5,E168&lt;0.5,F168&lt;0.5)),"Yes","No — toss-up")</f>
        <v>Yes</v>
      </c>
    </row>
    <row r="169" customFormat="false" ht="15" hidden="false" customHeight="false" outlineLevel="0" collapsed="false">
      <c r="A169" s="8" t="str">
        <f aca="false">'2026 Forecast A'!A151</f>
        <v>Lehigh</v>
      </c>
      <c r="B169" s="8" t="str">
        <f aca="false">'2026 Forecast A'!B151</f>
        <v>LOWER MACUNGIE</v>
      </c>
      <c r="C169" s="8" t="str">
        <f aca="false">'2026 Forecast A'!C151</f>
        <v>LOWER MACUNGIE 10TH DISTRICT</v>
      </c>
      <c r="D169" s="9" t="n">
        <f aca="false">'2026 Forecast A'!G151</f>
        <v>0.538767395626243</v>
      </c>
      <c r="E169" s="9" t="n">
        <f aca="false">'2026 Forecast B'!G151</f>
        <v>0.535453943008615</v>
      </c>
      <c r="F169" s="9" t="n">
        <f aca="false">'2026 Forecast C'!G151</f>
        <v>0.539430086149768</v>
      </c>
      <c r="G169" s="24" t="n">
        <f aca="false">(MAX(D169:F169)-MIN(D169:F169))*100</f>
        <v>0.397614314115313</v>
      </c>
      <c r="H169" s="24" t="n">
        <f aca="false">'2026 Forecast A'!J151</f>
        <v>1.24911041755021</v>
      </c>
      <c r="I169" s="24" t="n">
        <f aca="false">'2026 Forecast B'!J151</f>
        <v>1.87117215961084</v>
      </c>
      <c r="J169" s="24" t="n">
        <f aca="false">'2026 Forecast C'!J151</f>
        <v>1.25589305869883</v>
      </c>
      <c r="K169" s="25" t="n">
        <f aca="false">'2026 Forecast A'!F151</f>
        <v>1509</v>
      </c>
      <c r="L169" s="26" t="str">
        <f aca="false">IF(OR(AND(D169&gt;0.5,E169&gt;0.5,F169&gt;0.5),AND(D169&lt;0.5,E169&lt;0.5,F169&lt;0.5)),"Yes","No — toss-up")</f>
        <v>Yes</v>
      </c>
    </row>
    <row r="170" customFormat="false" ht="15" hidden="false" customHeight="false" outlineLevel="0" collapsed="false">
      <c r="A170" s="8" t="str">
        <f aca="false">'2026 Forecast A'!A152</f>
        <v>Lehigh</v>
      </c>
      <c r="B170" s="8" t="str">
        <f aca="false">'2026 Forecast A'!B152</f>
        <v>LOWER MACUNGIE</v>
      </c>
      <c r="C170" s="8" t="str">
        <f aca="false">'2026 Forecast A'!C152</f>
        <v>LOWER MACUNGIE 1ST DISTRICT</v>
      </c>
      <c r="D170" s="9" t="n">
        <f aca="false">'2026 Forecast A'!G152</f>
        <v>0.543838862559242</v>
      </c>
      <c r="E170" s="9" t="n">
        <f aca="false">'2026 Forecast B'!G152</f>
        <v>0.540876777251185</v>
      </c>
      <c r="F170" s="9" t="n">
        <f aca="false">'2026 Forecast C'!G152</f>
        <v>0.545023696682464</v>
      </c>
      <c r="G170" s="24" t="n">
        <f aca="false">(MAX(D170:F170)-MIN(D170:F170))*100</f>
        <v>0.414691943127954</v>
      </c>
      <c r="H170" s="24" t="n">
        <f aca="false">'2026 Forecast A'!J152</f>
        <v>1.24911041755021</v>
      </c>
      <c r="I170" s="24" t="n">
        <f aca="false">'2026 Forecast B'!J152</f>
        <v>1.87117215961084</v>
      </c>
      <c r="J170" s="24" t="n">
        <f aca="false">'2026 Forecast C'!J152</f>
        <v>1.25589305869883</v>
      </c>
      <c r="K170" s="25" t="n">
        <f aca="false">'2026 Forecast A'!F152</f>
        <v>1688</v>
      </c>
      <c r="L170" s="26" t="str">
        <f aca="false">IF(OR(AND(D170&gt;0.5,E170&gt;0.5,F170&gt;0.5),AND(D170&lt;0.5,E170&lt;0.5,F170&lt;0.5)),"Yes","No — toss-up")</f>
        <v>Yes</v>
      </c>
    </row>
    <row r="171" customFormat="false" ht="15" hidden="false" customHeight="false" outlineLevel="0" collapsed="false">
      <c r="A171" s="8" t="str">
        <f aca="false">'2026 Forecast A'!A153</f>
        <v>Lehigh</v>
      </c>
      <c r="B171" s="8" t="str">
        <f aca="false">'2026 Forecast A'!B153</f>
        <v>LOWER MACUNGIE</v>
      </c>
      <c r="C171" s="8" t="str">
        <f aca="false">'2026 Forecast A'!C153</f>
        <v>LOWER MACUNGIE 2ND DISTRICT</v>
      </c>
      <c r="D171" s="9" t="n">
        <f aca="false">'2026 Forecast A'!G153</f>
        <v>0.542401628222524</v>
      </c>
      <c r="E171" s="9" t="n">
        <f aca="false">'2026 Forecast B'!G153</f>
        <v>0.538331071913161</v>
      </c>
      <c r="F171" s="9" t="n">
        <f aca="false">'2026 Forecast C'!G153</f>
        <v>0.543758480325645</v>
      </c>
      <c r="G171" s="24" t="n">
        <f aca="false">(MAX(D171:F171)-MIN(D171:F171))*100</f>
        <v>0.542740841248313</v>
      </c>
      <c r="H171" s="24" t="n">
        <f aca="false">'2026 Forecast A'!J153</f>
        <v>1.24911041755021</v>
      </c>
      <c r="I171" s="24" t="n">
        <f aca="false">'2026 Forecast B'!J153</f>
        <v>1.87117215961084</v>
      </c>
      <c r="J171" s="24" t="n">
        <f aca="false">'2026 Forecast C'!J153</f>
        <v>1.25589305869883</v>
      </c>
      <c r="K171" s="25" t="n">
        <f aca="false">'2026 Forecast A'!F153</f>
        <v>2948</v>
      </c>
      <c r="L171" s="26" t="str">
        <f aca="false">IF(OR(AND(D171&gt;0.5,E171&gt;0.5,F171&gt;0.5),AND(D171&lt;0.5,E171&lt;0.5,F171&lt;0.5)),"Yes","No — toss-up")</f>
        <v>Yes</v>
      </c>
    </row>
    <row r="172" customFormat="false" ht="15" hidden="false" customHeight="false" outlineLevel="0" collapsed="false">
      <c r="A172" s="8" t="str">
        <f aca="false">'2026 Forecast A'!A154</f>
        <v>Lehigh</v>
      </c>
      <c r="B172" s="8" t="str">
        <f aca="false">'2026 Forecast A'!B154</f>
        <v>LOWER MACUNGIE</v>
      </c>
      <c r="C172" s="8" t="str">
        <f aca="false">'2026 Forecast A'!C154</f>
        <v>LOWER MACUNGIE 3RD DISTRICT</v>
      </c>
      <c r="D172" s="9" t="n">
        <f aca="false">'2026 Forecast A'!G154</f>
        <v>0.53686327077748</v>
      </c>
      <c r="E172" s="9" t="n">
        <f aca="false">'2026 Forecast B'!G154</f>
        <v>0.534182305630027</v>
      </c>
      <c r="F172" s="9" t="n">
        <f aca="false">'2026 Forecast C'!G154</f>
        <v>0.538203753351206</v>
      </c>
      <c r="G172" s="24" t="n">
        <f aca="false">(MAX(D172:F172)-MIN(D172:F172))*100</f>
        <v>0.402144772117963</v>
      </c>
      <c r="H172" s="24" t="n">
        <f aca="false">'2026 Forecast A'!J154</f>
        <v>1.24911041755021</v>
      </c>
      <c r="I172" s="24" t="n">
        <f aca="false">'2026 Forecast B'!J154</f>
        <v>1.87117215961084</v>
      </c>
      <c r="J172" s="24" t="n">
        <f aca="false">'2026 Forecast C'!J154</f>
        <v>1.25589305869883</v>
      </c>
      <c r="K172" s="25" t="n">
        <f aca="false">'2026 Forecast A'!F154</f>
        <v>1492</v>
      </c>
      <c r="L172" s="26" t="str">
        <f aca="false">IF(OR(AND(D172&gt;0.5,E172&gt;0.5,F172&gt;0.5),AND(D172&lt;0.5,E172&lt;0.5,F172&lt;0.5)),"Yes","No — toss-up")</f>
        <v>Yes</v>
      </c>
    </row>
    <row r="173" customFormat="false" ht="15" hidden="false" customHeight="false" outlineLevel="0" collapsed="false">
      <c r="A173" s="8" t="str">
        <f aca="false">'2026 Forecast A'!A155</f>
        <v>Lehigh</v>
      </c>
      <c r="B173" s="8" t="str">
        <f aca="false">'2026 Forecast A'!B155</f>
        <v>LOWER MACUNGIE</v>
      </c>
      <c r="C173" s="8" t="str">
        <f aca="false">'2026 Forecast A'!C155</f>
        <v>LOWER MACUNGIE 4TH DISTRICT</v>
      </c>
      <c r="D173" s="9" t="n">
        <f aca="false">'2026 Forecast A'!G155</f>
        <v>0.536531365313653</v>
      </c>
      <c r="E173" s="9" t="n">
        <f aca="false">'2026 Forecast B'!G155</f>
        <v>0.538745387453875</v>
      </c>
      <c r="F173" s="9" t="n">
        <f aca="false">'2026 Forecast C'!G155</f>
        <v>0.538007380073801</v>
      </c>
      <c r="G173" s="24" t="n">
        <f aca="false">(MAX(D173:F173)-MIN(D173:F173))*100</f>
        <v>0.221402214022148</v>
      </c>
      <c r="H173" s="24" t="n">
        <f aca="false">'2026 Forecast A'!J155</f>
        <v>1.24911041755021</v>
      </c>
      <c r="I173" s="24" t="n">
        <f aca="false">'2026 Forecast B'!J155</f>
        <v>1.87117215961084</v>
      </c>
      <c r="J173" s="24" t="n">
        <f aca="false">'2026 Forecast C'!J155</f>
        <v>1.25589305869883</v>
      </c>
      <c r="K173" s="25" t="n">
        <f aca="false">'2026 Forecast A'!F155</f>
        <v>1355</v>
      </c>
      <c r="L173" s="26" t="str">
        <f aca="false">IF(OR(AND(D173&gt;0.5,E173&gt;0.5,F173&gt;0.5),AND(D173&lt;0.5,E173&lt;0.5,F173&lt;0.5)),"Yes","No — toss-up")</f>
        <v>Yes</v>
      </c>
    </row>
    <row r="174" customFormat="false" ht="15" hidden="false" customHeight="false" outlineLevel="0" collapsed="false">
      <c r="A174" s="8" t="str">
        <f aca="false">'2026 Forecast A'!A156</f>
        <v>Lehigh</v>
      </c>
      <c r="B174" s="8" t="str">
        <f aca="false">'2026 Forecast A'!B156</f>
        <v>LOWER MACUNGIE</v>
      </c>
      <c r="C174" s="8" t="str">
        <f aca="false">'2026 Forecast A'!C156</f>
        <v>LOWER MACUNGIE 5TH DISTRICT</v>
      </c>
      <c r="D174" s="9" t="n">
        <f aca="false">'2026 Forecast A'!G156</f>
        <v>0.553067993366501</v>
      </c>
      <c r="E174" s="9" t="n">
        <f aca="false">'2026 Forecast B'!G156</f>
        <v>0.538142620232173</v>
      </c>
      <c r="F174" s="9" t="n">
        <f aca="false">'2026 Forecast C'!G156</f>
        <v>0.554726368159204</v>
      </c>
      <c r="G174" s="24" t="n">
        <f aca="false">(MAX(D174:F174)-MIN(D174:F174))*100</f>
        <v>1.65837479270314</v>
      </c>
      <c r="H174" s="24" t="n">
        <f aca="false">'2026 Forecast A'!J156</f>
        <v>1.24911041755021</v>
      </c>
      <c r="I174" s="24" t="n">
        <f aca="false">'2026 Forecast B'!J156</f>
        <v>1.87117215961084</v>
      </c>
      <c r="J174" s="24" t="n">
        <f aca="false">'2026 Forecast C'!J156</f>
        <v>1.25589305869883</v>
      </c>
      <c r="K174" s="25" t="n">
        <f aca="false">'2026 Forecast A'!F156</f>
        <v>1206</v>
      </c>
      <c r="L174" s="26" t="str">
        <f aca="false">IF(OR(AND(D174&gt;0.5,E174&gt;0.5,F174&gt;0.5),AND(D174&lt;0.5,E174&lt;0.5,F174&lt;0.5)),"Yes","No — toss-up")</f>
        <v>Yes</v>
      </c>
    </row>
    <row r="175" customFormat="false" ht="15" hidden="false" customHeight="false" outlineLevel="0" collapsed="false">
      <c r="A175" s="8" t="str">
        <f aca="false">'2026 Forecast A'!A157</f>
        <v>Lehigh</v>
      </c>
      <c r="B175" s="8" t="str">
        <f aca="false">'2026 Forecast A'!B157</f>
        <v>LOWER MACUNGIE</v>
      </c>
      <c r="C175" s="8" t="str">
        <f aca="false">'2026 Forecast A'!C157</f>
        <v>LOWER MACUNGIE 6TH DISTRICT</v>
      </c>
      <c r="D175" s="9" t="n">
        <f aca="false">'2026 Forecast A'!G157</f>
        <v>0.536618444846293</v>
      </c>
      <c r="E175" s="9" t="n">
        <f aca="false">'2026 Forecast B'!G157</f>
        <v>0.545207956600362</v>
      </c>
      <c r="F175" s="9" t="n">
        <f aca="false">'2026 Forecast C'!G157</f>
        <v>0.5375226039783</v>
      </c>
      <c r="G175" s="24" t="n">
        <f aca="false">(MAX(D175:F175)-MIN(D175:F175))*100</f>
        <v>0.858951175406875</v>
      </c>
      <c r="H175" s="24" t="n">
        <f aca="false">'2026 Forecast A'!J157</f>
        <v>1.24911041755021</v>
      </c>
      <c r="I175" s="24" t="n">
        <f aca="false">'2026 Forecast B'!J157</f>
        <v>1.87117215961084</v>
      </c>
      <c r="J175" s="24" t="n">
        <f aca="false">'2026 Forecast C'!J157</f>
        <v>1.25589305869883</v>
      </c>
      <c r="K175" s="25" t="n">
        <f aca="false">'2026 Forecast A'!F157</f>
        <v>2212</v>
      </c>
      <c r="L175" s="26" t="str">
        <f aca="false">IF(OR(AND(D175&gt;0.5,E175&gt;0.5,F175&gt;0.5),AND(D175&lt;0.5,E175&lt;0.5,F175&lt;0.5)),"Yes","No — toss-up")</f>
        <v>Yes</v>
      </c>
    </row>
    <row r="176" customFormat="false" ht="15" hidden="false" customHeight="false" outlineLevel="0" collapsed="false">
      <c r="A176" s="8" t="str">
        <f aca="false">'2026 Forecast A'!A158</f>
        <v>Lehigh</v>
      </c>
      <c r="B176" s="8" t="str">
        <f aca="false">'2026 Forecast A'!B158</f>
        <v>LOWER MACUNGIE</v>
      </c>
      <c r="C176" s="8" t="str">
        <f aca="false">'2026 Forecast A'!C158</f>
        <v>LOWER MACUNGIE 7TH DISTRICT</v>
      </c>
      <c r="D176" s="9" t="n">
        <f aca="false">'2026 Forecast A'!G158</f>
        <v>0.566869300911854</v>
      </c>
      <c r="E176" s="9" t="n">
        <f aca="false">'2026 Forecast B'!G158</f>
        <v>0.556990881458967</v>
      </c>
      <c r="F176" s="9" t="n">
        <f aca="false">'2026 Forecast C'!G158</f>
        <v>0.570668693009119</v>
      </c>
      <c r="G176" s="24" t="n">
        <f aca="false">(MAX(D176:F176)-MIN(D176:F176))*100</f>
        <v>1.36778115501519</v>
      </c>
      <c r="H176" s="24" t="n">
        <f aca="false">'2026 Forecast A'!J158</f>
        <v>1.24911041755021</v>
      </c>
      <c r="I176" s="24" t="n">
        <f aca="false">'2026 Forecast B'!J158</f>
        <v>1.87117215961084</v>
      </c>
      <c r="J176" s="24" t="n">
        <f aca="false">'2026 Forecast C'!J158</f>
        <v>1.25589305869883</v>
      </c>
      <c r="K176" s="25" t="n">
        <f aca="false">'2026 Forecast A'!F158</f>
        <v>1316</v>
      </c>
      <c r="L176" s="26" t="str">
        <f aca="false">IF(OR(AND(D176&gt;0.5,E176&gt;0.5,F176&gt;0.5),AND(D176&lt;0.5,E176&lt;0.5,F176&lt;0.5)),"Yes","No — toss-up")</f>
        <v>Yes</v>
      </c>
    </row>
    <row r="177" customFormat="false" ht="15" hidden="false" customHeight="false" outlineLevel="0" collapsed="false">
      <c r="A177" s="8" t="str">
        <f aca="false">'2026 Forecast A'!A159</f>
        <v>Lehigh</v>
      </c>
      <c r="B177" s="8" t="str">
        <f aca="false">'2026 Forecast A'!B159</f>
        <v>LOWER MACUNGIE</v>
      </c>
      <c r="C177" s="8" t="str">
        <f aca="false">'2026 Forecast A'!C159</f>
        <v>LOWER MACUNGIE 8TH DISTRICT</v>
      </c>
      <c r="D177" s="9" t="n">
        <f aca="false">'2026 Forecast A'!G159</f>
        <v>0.548387096774194</v>
      </c>
      <c r="E177" s="9" t="n">
        <f aca="false">'2026 Forecast B'!G159</f>
        <v>0.538634658664666</v>
      </c>
      <c r="F177" s="9" t="n">
        <f aca="false">'2026 Forecast C'!G159</f>
        <v>0.549887471867967</v>
      </c>
      <c r="G177" s="24" t="n">
        <f aca="false">(MAX(D177:F177)-MIN(D177:F177))*100</f>
        <v>1.12528132033007</v>
      </c>
      <c r="H177" s="24" t="n">
        <f aca="false">'2026 Forecast A'!J159</f>
        <v>1.24911041755021</v>
      </c>
      <c r="I177" s="24" t="n">
        <f aca="false">'2026 Forecast B'!J159</f>
        <v>1.87117215961084</v>
      </c>
      <c r="J177" s="24" t="n">
        <f aca="false">'2026 Forecast C'!J159</f>
        <v>1.25589305869883</v>
      </c>
      <c r="K177" s="25" t="n">
        <f aca="false">'2026 Forecast A'!F159</f>
        <v>1333</v>
      </c>
      <c r="L177" s="26" t="str">
        <f aca="false">IF(OR(AND(D177&gt;0.5,E177&gt;0.5,F177&gt;0.5),AND(D177&lt;0.5,E177&lt;0.5,F177&lt;0.5)),"Yes","No — toss-up")</f>
        <v>Yes</v>
      </c>
    </row>
    <row r="178" customFormat="false" ht="15" hidden="false" customHeight="false" outlineLevel="0" collapsed="false">
      <c r="A178" s="8" t="str">
        <f aca="false">'2026 Forecast A'!A160</f>
        <v>Lehigh</v>
      </c>
      <c r="B178" s="8" t="str">
        <f aca="false">'2026 Forecast A'!B160</f>
        <v>LOWER MACUNGIE</v>
      </c>
      <c r="C178" s="8" t="str">
        <f aca="false">'2026 Forecast A'!C160</f>
        <v>LOWER MACUNGIE 9TH DISTRICT</v>
      </c>
      <c r="D178" s="9" t="n">
        <f aca="false">'2026 Forecast A'!G160</f>
        <v>0.546979865771812</v>
      </c>
      <c r="E178" s="9" t="n">
        <f aca="false">'2026 Forecast B'!G160</f>
        <v>0.544742729306488</v>
      </c>
      <c r="F178" s="9" t="n">
        <f aca="false">'2026 Forecast C'!G160</f>
        <v>0.549217002237136</v>
      </c>
      <c r="G178" s="24" t="n">
        <f aca="false">(MAX(D178:F178)-MIN(D178:F178))*100</f>
        <v>0.447427293064873</v>
      </c>
      <c r="H178" s="24" t="n">
        <f aca="false">'2026 Forecast A'!J160</f>
        <v>1.8085538155628</v>
      </c>
      <c r="I178" s="24" t="n">
        <f aca="false">'2026 Forecast B'!J160</f>
        <v>1.92472098334064</v>
      </c>
      <c r="J178" s="24" t="n">
        <f aca="false">'2026 Forecast C'!J160</f>
        <v>2.05025038892674</v>
      </c>
      <c r="K178" s="25" t="n">
        <f aca="false">'2026 Forecast A'!F160</f>
        <v>894</v>
      </c>
      <c r="L178" s="26" t="str">
        <f aca="false">IF(OR(AND(D178&gt;0.5,E178&gt;0.5,F178&gt;0.5),AND(D178&lt;0.5,E178&lt;0.5,F178&lt;0.5)),"Yes","No — toss-up")</f>
        <v>Yes</v>
      </c>
    </row>
    <row r="179" customFormat="false" ht="15" hidden="false" customHeight="false" outlineLevel="0" collapsed="false">
      <c r="A179" s="8" t="str">
        <f aca="false">'2026 Forecast A'!A161</f>
        <v>Lehigh</v>
      </c>
      <c r="B179" s="8" t="str">
        <f aca="false">'2026 Forecast A'!B161</f>
        <v>LOWER MILFORD</v>
      </c>
      <c r="C179" s="8" t="str">
        <f aca="false">'2026 Forecast A'!C161</f>
        <v>LOWER MILFORD</v>
      </c>
      <c r="D179" s="9" t="n">
        <f aca="false">'2026 Forecast A'!G161</f>
        <v>0.417862100879223</v>
      </c>
      <c r="E179" s="9" t="n">
        <f aca="false">'2026 Forecast B'!G161</f>
        <v>0.40721888014808</v>
      </c>
      <c r="F179" s="9" t="n">
        <f aca="false">'2026 Forecast C'!G161</f>
        <v>0.413697362332254</v>
      </c>
      <c r="G179" s="24" t="n">
        <f aca="false">(MAX(D179:F179)-MIN(D179:F179))*100</f>
        <v>1.0643220731143</v>
      </c>
      <c r="H179" s="24" t="n">
        <f aca="false">'2026 Forecast A'!J161</f>
        <v>1.24911041755021</v>
      </c>
      <c r="I179" s="24" t="n">
        <f aca="false">'2026 Forecast B'!J161</f>
        <v>1.87117215961084</v>
      </c>
      <c r="J179" s="24" t="n">
        <f aca="false">'2026 Forecast C'!J161</f>
        <v>1.25589305869883</v>
      </c>
      <c r="K179" s="25" t="n">
        <f aca="false">'2026 Forecast A'!F161</f>
        <v>2161</v>
      </c>
      <c r="L179" s="26" t="str">
        <f aca="false">IF(OR(AND(D179&gt;0.5,E179&gt;0.5,F179&gt;0.5),AND(D179&lt;0.5,E179&lt;0.5,F179&lt;0.5)),"Yes","No — toss-up")</f>
        <v>Yes</v>
      </c>
    </row>
    <row r="180" customFormat="false" ht="15" hidden="false" customHeight="false" outlineLevel="0" collapsed="false">
      <c r="A180" s="8" t="str">
        <f aca="false">'2026 Forecast A'!A162</f>
        <v>Lehigh</v>
      </c>
      <c r="B180" s="8" t="str">
        <f aca="false">'2026 Forecast A'!B162</f>
        <v>LOWHILL</v>
      </c>
      <c r="C180" s="8" t="str">
        <f aca="false">'2026 Forecast A'!C162</f>
        <v>LOWHILL</v>
      </c>
      <c r="D180" s="9" t="n">
        <f aca="false">'2026 Forecast A'!G162</f>
        <v>0.399342645850452</v>
      </c>
      <c r="E180" s="9" t="n">
        <f aca="false">'2026 Forecast B'!G162</f>
        <v>0.391125718981101</v>
      </c>
      <c r="F180" s="9" t="n">
        <f aca="false">'2026 Forecast C'!G162</f>
        <v>0.394412489728841</v>
      </c>
      <c r="G180" s="24" t="n">
        <f aca="false">(MAX(D180:F180)-MIN(D180:F180))*100</f>
        <v>0.821692686935088</v>
      </c>
      <c r="H180" s="24" t="n">
        <f aca="false">'2026 Forecast A'!J162</f>
        <v>1.24911041755021</v>
      </c>
      <c r="I180" s="24" t="n">
        <f aca="false">'2026 Forecast B'!J162</f>
        <v>1.87117215961084</v>
      </c>
      <c r="J180" s="24" t="n">
        <f aca="false">'2026 Forecast C'!J162</f>
        <v>1.25589305869883</v>
      </c>
      <c r="K180" s="25" t="n">
        <f aca="false">'2026 Forecast A'!F162</f>
        <v>1217</v>
      </c>
      <c r="L180" s="26" t="str">
        <f aca="false">IF(OR(AND(D180&gt;0.5,E180&gt;0.5,F180&gt;0.5),AND(D180&lt;0.5,E180&lt;0.5,F180&lt;0.5)),"Yes","No — toss-up")</f>
        <v>Yes</v>
      </c>
    </row>
    <row r="181" customFormat="false" ht="15" hidden="false" customHeight="false" outlineLevel="0" collapsed="false">
      <c r="A181" s="8" t="str">
        <f aca="false">'2026 Forecast A'!A163</f>
        <v>Lehigh</v>
      </c>
      <c r="B181" s="8" t="str">
        <f aca="false">'2026 Forecast A'!B163</f>
        <v>LYNN</v>
      </c>
      <c r="C181" s="8" t="str">
        <f aca="false">'2026 Forecast A'!C163</f>
        <v>LYNN JACKSONVILLE DISTRICT</v>
      </c>
      <c r="D181" s="9" t="n">
        <f aca="false">'2026 Forecast A'!G163</f>
        <v>0.314814814814815</v>
      </c>
      <c r="E181" s="9" t="n">
        <f aca="false">'2026 Forecast B'!G163</f>
        <v>0.311111111111111</v>
      </c>
      <c r="F181" s="9" t="n">
        <f aca="false">'2026 Forecast C'!G163</f>
        <v>0.305555555555556</v>
      </c>
      <c r="G181" s="24" t="n">
        <f aca="false">(MAX(D181:F181)-MIN(D181:F181))*100</f>
        <v>0.925925925925925</v>
      </c>
      <c r="H181" s="24" t="n">
        <f aca="false">'2026 Forecast A'!J163</f>
        <v>3.02608556967268</v>
      </c>
      <c r="I181" s="24" t="n">
        <f aca="false">'2026 Forecast B'!J163</f>
        <v>2.87480042420966</v>
      </c>
      <c r="J181" s="24" t="n">
        <f aca="false">'2026 Forecast C'!J163</f>
        <v>3.45317612968717</v>
      </c>
      <c r="K181" s="25" t="n">
        <f aca="false">'2026 Forecast A'!F163</f>
        <v>540</v>
      </c>
      <c r="L181" s="26" t="str">
        <f aca="false">IF(OR(AND(D181&gt;0.5,E181&gt;0.5,F181&gt;0.5),AND(D181&lt;0.5,E181&lt;0.5,F181&lt;0.5)),"Yes","No — toss-up")</f>
        <v>Yes</v>
      </c>
    </row>
    <row r="182" customFormat="false" ht="15" hidden="false" customHeight="false" outlineLevel="0" collapsed="false">
      <c r="A182" s="8" t="str">
        <f aca="false">'2026 Forecast A'!A164</f>
        <v>Lehigh</v>
      </c>
      <c r="B182" s="8" t="str">
        <f aca="false">'2026 Forecast A'!B164</f>
        <v>LYNN</v>
      </c>
      <c r="C182" s="8" t="str">
        <f aca="false">'2026 Forecast A'!C164</f>
        <v>LYNN LYNNVILLE DISTRICT</v>
      </c>
      <c r="D182" s="9" t="n">
        <f aca="false">'2026 Forecast A'!G164</f>
        <v>0.358333333333333</v>
      </c>
      <c r="E182" s="9" t="n">
        <f aca="false">'2026 Forecast B'!G164</f>
        <v>0.35</v>
      </c>
      <c r="F182" s="9" t="n">
        <f aca="false">'2026 Forecast C'!G164</f>
        <v>0.35</v>
      </c>
      <c r="G182" s="24" t="n">
        <f aca="false">(MAX(D182:F182)-MIN(D182:F182))*100</f>
        <v>0.833333333333336</v>
      </c>
      <c r="H182" s="24" t="n">
        <f aca="false">'2026 Forecast A'!J164</f>
        <v>3.02608556967268</v>
      </c>
      <c r="I182" s="24" t="n">
        <f aca="false">'2026 Forecast B'!J164</f>
        <v>2.87480042420966</v>
      </c>
      <c r="J182" s="24" t="n">
        <f aca="false">'2026 Forecast C'!J164</f>
        <v>3.45317612968717</v>
      </c>
      <c r="K182" s="25" t="n">
        <f aca="false">'2026 Forecast A'!F164</f>
        <v>360</v>
      </c>
      <c r="L182" s="26" t="str">
        <f aca="false">IF(OR(AND(D182&gt;0.5,E182&gt;0.5,F182&gt;0.5),AND(D182&lt;0.5,E182&lt;0.5,F182&lt;0.5)),"Yes","No — toss-up")</f>
        <v>Yes</v>
      </c>
    </row>
    <row r="183" customFormat="false" ht="15" hidden="false" customHeight="false" outlineLevel="0" collapsed="false">
      <c r="A183" s="8" t="str">
        <f aca="false">'2026 Forecast A'!A165</f>
        <v>Lehigh</v>
      </c>
      <c r="B183" s="8" t="str">
        <f aca="false">'2026 Forecast A'!B165</f>
        <v>LYNN</v>
      </c>
      <c r="C183" s="8" t="str">
        <f aca="false">'2026 Forecast A'!C165</f>
        <v>LYNN NEW TRIPOLI DISTRICT</v>
      </c>
      <c r="D183" s="9" t="n">
        <f aca="false">'2026 Forecast A'!G165</f>
        <v>0.372705506783719</v>
      </c>
      <c r="E183" s="9" t="n">
        <f aca="false">'2026 Forecast B'!G165</f>
        <v>0.365522745411014</v>
      </c>
      <c r="F183" s="9" t="n">
        <f aca="false">'2026 Forecast C'!G165</f>
        <v>0.365522745411014</v>
      </c>
      <c r="G183" s="24" t="n">
        <f aca="false">(MAX(D183:F183)-MIN(D183:F183))*100</f>
        <v>0.718276137270546</v>
      </c>
      <c r="H183" s="24" t="n">
        <f aca="false">'2026 Forecast A'!J165</f>
        <v>1.24911041755021</v>
      </c>
      <c r="I183" s="24" t="n">
        <f aca="false">'2026 Forecast B'!J165</f>
        <v>1.87117215961084</v>
      </c>
      <c r="J183" s="24" t="n">
        <f aca="false">'2026 Forecast C'!J165</f>
        <v>1.25589305869883</v>
      </c>
      <c r="K183" s="25" t="n">
        <f aca="false">'2026 Forecast A'!F165</f>
        <v>1253</v>
      </c>
      <c r="L183" s="26" t="str">
        <f aca="false">IF(OR(AND(D183&gt;0.5,E183&gt;0.5,F183&gt;0.5),AND(D183&lt;0.5,E183&lt;0.5,F183&lt;0.5)),"Yes","No — toss-up")</f>
        <v>Yes</v>
      </c>
    </row>
    <row r="184" customFormat="false" ht="15" hidden="false" customHeight="false" outlineLevel="0" collapsed="false">
      <c r="A184" s="8" t="str">
        <f aca="false">'2026 Forecast A'!A166</f>
        <v>Lehigh</v>
      </c>
      <c r="B184" s="8" t="str">
        <f aca="false">'2026 Forecast A'!B166</f>
        <v>MACUNGIE</v>
      </c>
      <c r="C184" s="8" t="str">
        <f aca="false">'2026 Forecast A'!C166</f>
        <v>MACUNGIE</v>
      </c>
      <c r="D184" s="9" t="n">
        <f aca="false">'2026 Forecast A'!G166</f>
        <v>0.561440677966102</v>
      </c>
      <c r="E184" s="9" t="n">
        <f aca="false">'2026 Forecast B'!G166</f>
        <v>0.563559322033898</v>
      </c>
      <c r="F184" s="9" t="n">
        <f aca="false">'2026 Forecast C'!G166</f>
        <v>0.564971751412429</v>
      </c>
      <c r="G184" s="24" t="n">
        <f aca="false">(MAX(D184:F184)-MIN(D184:F184))*100</f>
        <v>0.353107344632775</v>
      </c>
      <c r="H184" s="24" t="n">
        <f aca="false">'2026 Forecast A'!J166</f>
        <v>1.24911041755021</v>
      </c>
      <c r="I184" s="24" t="n">
        <f aca="false">'2026 Forecast B'!J166</f>
        <v>1.87117215961084</v>
      </c>
      <c r="J184" s="24" t="n">
        <f aca="false">'2026 Forecast C'!J166</f>
        <v>1.25589305869883</v>
      </c>
      <c r="K184" s="25" t="n">
        <f aca="false">'2026 Forecast A'!F166</f>
        <v>1416</v>
      </c>
      <c r="L184" s="26" t="str">
        <f aca="false">IF(OR(AND(D184&gt;0.5,E184&gt;0.5,F184&gt;0.5),AND(D184&lt;0.5,E184&lt;0.5,F184&lt;0.5)),"Yes","No — toss-up")</f>
        <v>Yes</v>
      </c>
    </row>
    <row r="185" customFormat="false" ht="15" hidden="false" customHeight="false" outlineLevel="0" collapsed="false">
      <c r="A185" s="8" t="str">
        <f aca="false">'2026 Forecast A'!A167</f>
        <v>Lehigh</v>
      </c>
      <c r="B185" s="8" t="str">
        <f aca="false">'2026 Forecast A'!B167</f>
        <v>NORTH WHITEHALL</v>
      </c>
      <c r="C185" s="8" t="str">
        <f aca="false">'2026 Forecast A'!C167</f>
        <v>NORTH WHITEHALL 1ST DISTRICT</v>
      </c>
      <c r="D185" s="9" t="n">
        <f aca="false">'2026 Forecast A'!G167</f>
        <v>0.471436198611853</v>
      </c>
      <c r="E185" s="9" t="n">
        <f aca="false">'2026 Forecast B'!G167</f>
        <v>0.452749599572878</v>
      </c>
      <c r="F185" s="9" t="n">
        <f aca="false">'2026 Forecast C'!G167</f>
        <v>0.470902295782168</v>
      </c>
      <c r="G185" s="24" t="n">
        <f aca="false">(MAX(D185:F185)-MIN(D185:F185))*100</f>
        <v>1.86865990389749</v>
      </c>
      <c r="H185" s="24" t="n">
        <f aca="false">'2026 Forecast A'!J167</f>
        <v>1.24911041755021</v>
      </c>
      <c r="I185" s="24" t="n">
        <f aca="false">'2026 Forecast B'!J167</f>
        <v>1.87117215961084</v>
      </c>
      <c r="J185" s="24" t="n">
        <f aca="false">'2026 Forecast C'!J167</f>
        <v>1.25589305869883</v>
      </c>
      <c r="K185" s="25" t="n">
        <f aca="false">'2026 Forecast A'!F167</f>
        <v>1873</v>
      </c>
      <c r="L185" s="26" t="str">
        <f aca="false">IF(OR(AND(D185&gt;0.5,E185&gt;0.5,F185&gt;0.5),AND(D185&lt;0.5,E185&lt;0.5,F185&lt;0.5)),"Yes","No — toss-up")</f>
        <v>Yes</v>
      </c>
    </row>
    <row r="186" customFormat="false" ht="15" hidden="false" customHeight="false" outlineLevel="0" collapsed="false">
      <c r="A186" s="8" t="str">
        <f aca="false">'2026 Forecast A'!A168</f>
        <v>Lehigh</v>
      </c>
      <c r="B186" s="8" t="str">
        <f aca="false">'2026 Forecast A'!B168</f>
        <v>NORTH WHITEHALL</v>
      </c>
      <c r="C186" s="8" t="str">
        <f aca="false">'2026 Forecast A'!C168</f>
        <v>NORTH WHITEHALL 2ND DISTRICT</v>
      </c>
      <c r="D186" s="9" t="n">
        <f aca="false">'2026 Forecast A'!G168</f>
        <v>0.435512897420516</v>
      </c>
      <c r="E186" s="9" t="n">
        <f aca="false">'2026 Forecast B'!G168</f>
        <v>0.434913017396521</v>
      </c>
      <c r="F186" s="9" t="n">
        <f aca="false">'2026 Forecast C'!G168</f>
        <v>0.43251349730054</v>
      </c>
      <c r="G186" s="24" t="n">
        <f aca="false">(MAX(D186:F186)-MIN(D186:F186))*100</f>
        <v>0.299940011997601</v>
      </c>
      <c r="H186" s="24" t="n">
        <f aca="false">'2026 Forecast A'!J168</f>
        <v>1.24911041755021</v>
      </c>
      <c r="I186" s="24" t="n">
        <f aca="false">'2026 Forecast B'!J168</f>
        <v>1.87117215961084</v>
      </c>
      <c r="J186" s="24" t="n">
        <f aca="false">'2026 Forecast C'!J168</f>
        <v>1.25589305869883</v>
      </c>
      <c r="K186" s="25" t="n">
        <f aca="false">'2026 Forecast A'!F168</f>
        <v>1667</v>
      </c>
      <c r="L186" s="26" t="str">
        <f aca="false">IF(OR(AND(D186&gt;0.5,E186&gt;0.5,F186&gt;0.5),AND(D186&lt;0.5,E186&lt;0.5,F186&lt;0.5)),"Yes","No — toss-up")</f>
        <v>Yes</v>
      </c>
    </row>
    <row r="187" customFormat="false" ht="15" hidden="false" customHeight="false" outlineLevel="0" collapsed="false">
      <c r="A187" s="8" t="str">
        <f aca="false">'2026 Forecast A'!A169</f>
        <v>Lehigh</v>
      </c>
      <c r="B187" s="8" t="str">
        <f aca="false">'2026 Forecast A'!B169</f>
        <v>NORTH WHITEHALL</v>
      </c>
      <c r="C187" s="8" t="str">
        <f aca="false">'2026 Forecast A'!C169</f>
        <v>NORTH WHITEHALL 3RD DISTRICT</v>
      </c>
      <c r="D187" s="9" t="n">
        <f aca="false">'2026 Forecast A'!G169</f>
        <v>0.433070866141732</v>
      </c>
      <c r="E187" s="9" t="n">
        <f aca="false">'2026 Forecast B'!G169</f>
        <v>0.43082114735658</v>
      </c>
      <c r="F187" s="9" t="n">
        <f aca="false">'2026 Forecast C'!G169</f>
        <v>0.43082114735658</v>
      </c>
      <c r="G187" s="24" t="n">
        <f aca="false">(MAX(D187:F187)-MIN(D187:F187))*100</f>
        <v>0.224971878515184</v>
      </c>
      <c r="H187" s="24" t="n">
        <f aca="false">'2026 Forecast A'!J169</f>
        <v>1.8085538155628</v>
      </c>
      <c r="I187" s="24" t="n">
        <f aca="false">'2026 Forecast B'!J169</f>
        <v>1.92472098334064</v>
      </c>
      <c r="J187" s="24" t="n">
        <f aca="false">'2026 Forecast C'!J169</f>
        <v>2.05025038892674</v>
      </c>
      <c r="K187" s="25" t="n">
        <f aca="false">'2026 Forecast A'!F169</f>
        <v>889</v>
      </c>
      <c r="L187" s="26" t="str">
        <f aca="false">IF(OR(AND(D187&gt;0.5,E187&gt;0.5,F187&gt;0.5),AND(D187&lt;0.5,E187&lt;0.5,F187&lt;0.5)),"Yes","No — toss-up")</f>
        <v>Yes</v>
      </c>
    </row>
    <row r="188" customFormat="false" ht="15" hidden="false" customHeight="false" outlineLevel="0" collapsed="false">
      <c r="A188" s="8" t="str">
        <f aca="false">'2026 Forecast A'!A170</f>
        <v>Lehigh</v>
      </c>
      <c r="B188" s="8" t="str">
        <f aca="false">'2026 Forecast A'!B170</f>
        <v>NORTH WHITEHALL</v>
      </c>
      <c r="C188" s="8" t="str">
        <f aca="false">'2026 Forecast A'!C170</f>
        <v>NORTH WHITEHALL 4TH DISTRICT</v>
      </c>
      <c r="D188" s="9" t="n">
        <f aca="false">'2026 Forecast A'!G170</f>
        <v>0.444096950742768</v>
      </c>
      <c r="E188" s="9" t="n">
        <f aca="false">'2026 Forecast B'!G170</f>
        <v>0.43862392494136</v>
      </c>
      <c r="F188" s="9" t="n">
        <f aca="false">'2026 Forecast C'!G170</f>
        <v>0.44175136825645</v>
      </c>
      <c r="G188" s="24" t="n">
        <f aca="false">(MAX(D188:F188)-MIN(D188:F188))*100</f>
        <v>0.547302580140735</v>
      </c>
      <c r="H188" s="24" t="n">
        <f aca="false">'2026 Forecast A'!J170</f>
        <v>1.24911041755021</v>
      </c>
      <c r="I188" s="24" t="n">
        <f aca="false">'2026 Forecast B'!J170</f>
        <v>1.87117215961084</v>
      </c>
      <c r="J188" s="24" t="n">
        <f aca="false">'2026 Forecast C'!J170</f>
        <v>1.25589305869883</v>
      </c>
      <c r="K188" s="25" t="n">
        <f aca="false">'2026 Forecast A'!F170</f>
        <v>1279</v>
      </c>
      <c r="L188" s="26" t="str">
        <f aca="false">IF(OR(AND(D188&gt;0.5,E188&gt;0.5,F188&gt;0.5),AND(D188&lt;0.5,E188&lt;0.5,F188&lt;0.5)),"Yes","No — toss-up")</f>
        <v>Yes</v>
      </c>
    </row>
    <row r="189" customFormat="false" ht="15" hidden="false" customHeight="false" outlineLevel="0" collapsed="false">
      <c r="A189" s="8" t="str">
        <f aca="false">'2026 Forecast A'!A171</f>
        <v>Lehigh</v>
      </c>
      <c r="B189" s="8" t="str">
        <f aca="false">'2026 Forecast A'!B171</f>
        <v>NORTH WHITEHALL</v>
      </c>
      <c r="C189" s="8" t="str">
        <f aca="false">'2026 Forecast A'!C171</f>
        <v>NORTH WHITEHALL 5TH DISTRICT</v>
      </c>
      <c r="D189" s="9" t="n">
        <f aca="false">'2026 Forecast A'!G171</f>
        <v>0.423599320882852</v>
      </c>
      <c r="E189" s="9" t="n">
        <f aca="false">'2026 Forecast B'!G171</f>
        <v>0.417657045840407</v>
      </c>
      <c r="F189" s="9" t="n">
        <f aca="false">'2026 Forecast C'!G171</f>
        <v>0.420203735144312</v>
      </c>
      <c r="G189" s="24" t="n">
        <f aca="false">(MAX(D189:F189)-MIN(D189:F189))*100</f>
        <v>0.594227504244482</v>
      </c>
      <c r="H189" s="24" t="n">
        <f aca="false">'2026 Forecast A'!J171</f>
        <v>1.8085538155628</v>
      </c>
      <c r="I189" s="24" t="n">
        <f aca="false">'2026 Forecast B'!J171</f>
        <v>1.92472098334064</v>
      </c>
      <c r="J189" s="24" t="n">
        <f aca="false">'2026 Forecast C'!J171</f>
        <v>2.05025038892674</v>
      </c>
      <c r="K189" s="25" t="n">
        <f aca="false">'2026 Forecast A'!F171</f>
        <v>1178</v>
      </c>
      <c r="L189" s="26" t="str">
        <f aca="false">IF(OR(AND(D189&gt;0.5,E189&gt;0.5,F189&gt;0.5),AND(D189&lt;0.5,E189&lt;0.5,F189&lt;0.5)),"Yes","No — toss-up")</f>
        <v>Yes</v>
      </c>
    </row>
    <row r="190" customFormat="false" ht="15" hidden="false" customHeight="false" outlineLevel="0" collapsed="false">
      <c r="A190" s="8" t="str">
        <f aca="false">'2026 Forecast A'!A172</f>
        <v>Lehigh</v>
      </c>
      <c r="B190" s="8" t="str">
        <f aca="false">'2026 Forecast A'!B172</f>
        <v>NORTH WHITEHALL</v>
      </c>
      <c r="C190" s="8" t="str">
        <f aca="false">'2026 Forecast A'!C172</f>
        <v>NORTH WHITEHALL 6TH DISTRICT</v>
      </c>
      <c r="D190" s="9" t="n">
        <f aca="false">'2026 Forecast A'!G172</f>
        <v>0.472924187725632</v>
      </c>
      <c r="E190" s="9" t="n">
        <f aca="false">'2026 Forecast B'!G172</f>
        <v>0.468110709987966</v>
      </c>
      <c r="F190" s="9" t="n">
        <f aca="false">'2026 Forecast C'!G172</f>
        <v>0.470517448856799</v>
      </c>
      <c r="G190" s="24" t="n">
        <f aca="false">(MAX(D190:F190)-MIN(D190:F190))*100</f>
        <v>0.481347773766549</v>
      </c>
      <c r="H190" s="24" t="n">
        <f aca="false">'2026 Forecast A'!J172</f>
        <v>1.8085538155628</v>
      </c>
      <c r="I190" s="24" t="n">
        <f aca="false">'2026 Forecast B'!J172</f>
        <v>1.92472098334064</v>
      </c>
      <c r="J190" s="24" t="n">
        <f aca="false">'2026 Forecast C'!J172</f>
        <v>2.05025038892674</v>
      </c>
      <c r="K190" s="25" t="n">
        <f aca="false">'2026 Forecast A'!F172</f>
        <v>831</v>
      </c>
      <c r="L190" s="26" t="str">
        <f aca="false">IF(OR(AND(D190&gt;0.5,E190&gt;0.5,F190&gt;0.5),AND(D190&lt;0.5,E190&lt;0.5,F190&lt;0.5)),"Yes","No — toss-up")</f>
        <v>Yes</v>
      </c>
    </row>
    <row r="191" customFormat="false" ht="15" hidden="false" customHeight="false" outlineLevel="0" collapsed="false">
      <c r="A191" s="8" t="str">
        <f aca="false">'2026 Forecast A'!A173</f>
        <v>Lehigh</v>
      </c>
      <c r="B191" s="8" t="str">
        <f aca="false">'2026 Forecast A'!B173</f>
        <v>SALISBURY</v>
      </c>
      <c r="C191" s="8" t="str">
        <f aca="false">'2026 Forecast A'!C173</f>
        <v>SALISBURY 1ST WARD</v>
      </c>
      <c r="D191" s="9" t="n">
        <f aca="false">'2026 Forecast A'!G173</f>
        <v>0.541293532338309</v>
      </c>
      <c r="E191" s="9" t="n">
        <f aca="false">'2026 Forecast B'!G173</f>
        <v>0.550248756218906</v>
      </c>
      <c r="F191" s="9" t="n">
        <f aca="false">'2026 Forecast C'!G173</f>
        <v>0.541293532338309</v>
      </c>
      <c r="G191" s="24" t="n">
        <f aca="false">(MAX(D191:F191)-MIN(D191:F191))*100</f>
        <v>0.8955223880597</v>
      </c>
      <c r="H191" s="24" t="n">
        <f aca="false">'2026 Forecast A'!J173</f>
        <v>1.8085538155628</v>
      </c>
      <c r="I191" s="24" t="n">
        <f aca="false">'2026 Forecast B'!J173</f>
        <v>1.92472098334064</v>
      </c>
      <c r="J191" s="24" t="n">
        <f aca="false">'2026 Forecast C'!J173</f>
        <v>2.05025038892674</v>
      </c>
      <c r="K191" s="25" t="n">
        <f aca="false">'2026 Forecast A'!F173</f>
        <v>1005</v>
      </c>
      <c r="L191" s="26" t="str">
        <f aca="false">IF(OR(AND(D191&gt;0.5,E191&gt;0.5,F191&gt;0.5),AND(D191&lt;0.5,E191&lt;0.5,F191&lt;0.5)),"Yes","No — toss-up")</f>
        <v>Yes</v>
      </c>
    </row>
    <row r="192" customFormat="false" ht="15" hidden="false" customHeight="false" outlineLevel="0" collapsed="false">
      <c r="A192" s="8" t="str">
        <f aca="false">'2026 Forecast A'!A174</f>
        <v>Lehigh</v>
      </c>
      <c r="B192" s="8" t="str">
        <f aca="false">'2026 Forecast A'!B174</f>
        <v>SALISBURY</v>
      </c>
      <c r="C192" s="8" t="str">
        <f aca="false">'2026 Forecast A'!C174</f>
        <v>SALISBURY 2ND WARD</v>
      </c>
      <c r="D192" s="9" t="n">
        <f aca="false">'2026 Forecast A'!G174</f>
        <v>0.548770144189992</v>
      </c>
      <c r="E192" s="9" t="n">
        <f aca="false">'2026 Forecast B'!G174</f>
        <v>0.557251908396947</v>
      </c>
      <c r="F192" s="9" t="n">
        <f aca="false">'2026 Forecast C'!G174</f>
        <v>0.549618320610687</v>
      </c>
      <c r="G192" s="24" t="n">
        <f aca="false">(MAX(D192:F192)-MIN(D192:F192))*100</f>
        <v>0.848176420695512</v>
      </c>
      <c r="H192" s="24" t="n">
        <f aca="false">'2026 Forecast A'!J174</f>
        <v>1.8085538155628</v>
      </c>
      <c r="I192" s="24" t="n">
        <f aca="false">'2026 Forecast B'!J174</f>
        <v>1.92472098334064</v>
      </c>
      <c r="J192" s="24" t="n">
        <f aca="false">'2026 Forecast C'!J174</f>
        <v>2.05025038892674</v>
      </c>
      <c r="K192" s="25" t="n">
        <f aca="false">'2026 Forecast A'!F174</f>
        <v>1179</v>
      </c>
      <c r="L192" s="26" t="str">
        <f aca="false">IF(OR(AND(D192&gt;0.5,E192&gt;0.5,F192&gt;0.5),AND(D192&lt;0.5,E192&lt;0.5,F192&lt;0.5)),"Yes","No — toss-up")</f>
        <v>Yes</v>
      </c>
    </row>
    <row r="193" customFormat="false" ht="15" hidden="false" customHeight="false" outlineLevel="0" collapsed="false">
      <c r="A193" s="8" t="str">
        <f aca="false">'2026 Forecast A'!A175</f>
        <v>Lehigh</v>
      </c>
      <c r="B193" s="8" t="str">
        <f aca="false">'2026 Forecast A'!B175</f>
        <v>SALISBURY</v>
      </c>
      <c r="C193" s="8" t="str">
        <f aca="false">'2026 Forecast A'!C175</f>
        <v>SALISBURY 3RD WARD 1ST DIST</v>
      </c>
      <c r="D193" s="9" t="n">
        <f aca="false">'2026 Forecast A'!G175</f>
        <v>0.539285714285714</v>
      </c>
      <c r="E193" s="9" t="n">
        <f aca="false">'2026 Forecast B'!G175</f>
        <v>0.5375</v>
      </c>
      <c r="F193" s="9" t="n">
        <f aca="false">'2026 Forecast C'!G175</f>
        <v>0.541071428571429</v>
      </c>
      <c r="G193" s="24" t="n">
        <f aca="false">(MAX(D193:F193)-MIN(D193:F193))*100</f>
        <v>0.357142857142856</v>
      </c>
      <c r="H193" s="24" t="n">
        <f aca="false">'2026 Forecast A'!J175</f>
        <v>3.02608556967268</v>
      </c>
      <c r="I193" s="24" t="n">
        <f aca="false">'2026 Forecast B'!J175</f>
        <v>2.87480042420966</v>
      </c>
      <c r="J193" s="24" t="n">
        <f aca="false">'2026 Forecast C'!J175</f>
        <v>3.45317612968717</v>
      </c>
      <c r="K193" s="25" t="n">
        <f aca="false">'2026 Forecast A'!F175</f>
        <v>560</v>
      </c>
      <c r="L193" s="26" t="str">
        <f aca="false">IF(OR(AND(D193&gt;0.5,E193&gt;0.5,F193&gt;0.5),AND(D193&lt;0.5,E193&lt;0.5,F193&lt;0.5)),"Yes","No — toss-up")</f>
        <v>Yes</v>
      </c>
    </row>
    <row r="194" customFormat="false" ht="15" hidden="false" customHeight="false" outlineLevel="0" collapsed="false">
      <c r="A194" s="8" t="str">
        <f aca="false">'2026 Forecast A'!A176</f>
        <v>Lehigh</v>
      </c>
      <c r="B194" s="8" t="str">
        <f aca="false">'2026 Forecast A'!B176</f>
        <v>SALISBURY</v>
      </c>
      <c r="C194" s="8" t="str">
        <f aca="false">'2026 Forecast A'!C176</f>
        <v>SALISBURY 3RD WARD 2ND DIST</v>
      </c>
      <c r="D194" s="9" t="n">
        <f aca="false">'2026 Forecast A'!G176</f>
        <v>0.547770700636943</v>
      </c>
      <c r="E194" s="9" t="n">
        <f aca="false">'2026 Forecast B'!G176</f>
        <v>0.549363057324841</v>
      </c>
      <c r="F194" s="9" t="n">
        <f aca="false">'2026 Forecast C'!G176</f>
        <v>0.549363057324841</v>
      </c>
      <c r="G194" s="24" t="n">
        <f aca="false">(MAX(D194:F194)-MIN(D194:F194))*100</f>
        <v>0.159235668789814</v>
      </c>
      <c r="H194" s="24" t="n">
        <f aca="false">'2026 Forecast A'!J176</f>
        <v>3.02608556967268</v>
      </c>
      <c r="I194" s="24" t="n">
        <f aca="false">'2026 Forecast B'!J176</f>
        <v>2.87480042420966</v>
      </c>
      <c r="J194" s="24" t="n">
        <f aca="false">'2026 Forecast C'!J176</f>
        <v>3.45317612968717</v>
      </c>
      <c r="K194" s="25" t="n">
        <f aca="false">'2026 Forecast A'!F176</f>
        <v>628</v>
      </c>
      <c r="L194" s="26" t="str">
        <f aca="false">IF(OR(AND(D194&gt;0.5,E194&gt;0.5,F194&gt;0.5),AND(D194&lt;0.5,E194&lt;0.5,F194&lt;0.5)),"Yes","No — toss-up")</f>
        <v>Yes</v>
      </c>
    </row>
    <row r="195" customFormat="false" ht="15" hidden="false" customHeight="false" outlineLevel="0" collapsed="false">
      <c r="A195" s="8" t="str">
        <f aca="false">'2026 Forecast A'!A177</f>
        <v>Lehigh</v>
      </c>
      <c r="B195" s="8" t="str">
        <f aca="false">'2026 Forecast A'!B177</f>
        <v>SALISBURY</v>
      </c>
      <c r="C195" s="8" t="str">
        <f aca="false">'2026 Forecast A'!C177</f>
        <v>SALISBURY 4TH WARD 1ST DIST</v>
      </c>
      <c r="D195" s="9" t="n">
        <f aca="false">'2026 Forecast A'!G177</f>
        <v>0.531865585168019</v>
      </c>
      <c r="E195" s="9" t="n">
        <f aca="false">'2026 Forecast B'!G177</f>
        <v>0.52954808806489</v>
      </c>
      <c r="F195" s="9" t="n">
        <f aca="false">'2026 Forecast C'!G177</f>
        <v>0.531865585168019</v>
      </c>
      <c r="G195" s="24" t="n">
        <f aca="false">(MAX(D195:F195)-MIN(D195:F195))*100</f>
        <v>0.231749710312856</v>
      </c>
      <c r="H195" s="24" t="n">
        <f aca="false">'2026 Forecast A'!J177</f>
        <v>1.8085538155628</v>
      </c>
      <c r="I195" s="24" t="n">
        <f aca="false">'2026 Forecast B'!J177</f>
        <v>1.92472098334064</v>
      </c>
      <c r="J195" s="24" t="n">
        <f aca="false">'2026 Forecast C'!J177</f>
        <v>2.05025038892674</v>
      </c>
      <c r="K195" s="25" t="n">
        <f aca="false">'2026 Forecast A'!F177</f>
        <v>863</v>
      </c>
      <c r="L195" s="26" t="str">
        <f aca="false">IF(OR(AND(D195&gt;0.5,E195&gt;0.5,F195&gt;0.5),AND(D195&lt;0.5,E195&lt;0.5,F195&lt;0.5)),"Yes","No — toss-up")</f>
        <v>Yes</v>
      </c>
    </row>
    <row r="196" customFormat="false" ht="15" hidden="false" customHeight="false" outlineLevel="0" collapsed="false">
      <c r="A196" s="8" t="str">
        <f aca="false">'2026 Forecast A'!A178</f>
        <v>Lehigh</v>
      </c>
      <c r="B196" s="8" t="str">
        <f aca="false">'2026 Forecast A'!B178</f>
        <v>SALISBURY</v>
      </c>
      <c r="C196" s="8" t="str">
        <f aca="false">'2026 Forecast A'!C178</f>
        <v>SALISBURY 4TH WARD 2ND DIST</v>
      </c>
      <c r="D196" s="9" t="n">
        <f aca="false">'2026 Forecast A'!G178</f>
        <v>0.524150268336315</v>
      </c>
      <c r="E196" s="9" t="n">
        <f aca="false">'2026 Forecast B'!G178</f>
        <v>0.524150268336315</v>
      </c>
      <c r="F196" s="9" t="n">
        <f aca="false">'2026 Forecast C'!G178</f>
        <v>0.524150268336315</v>
      </c>
      <c r="G196" s="24" t="n">
        <f aca="false">(MAX(D196:F196)-MIN(D196:F196))*100</f>
        <v>0</v>
      </c>
      <c r="H196" s="24" t="n">
        <f aca="false">'2026 Forecast A'!J178</f>
        <v>3.02608556967268</v>
      </c>
      <c r="I196" s="24" t="n">
        <f aca="false">'2026 Forecast B'!J178</f>
        <v>2.87480042420966</v>
      </c>
      <c r="J196" s="24" t="n">
        <f aca="false">'2026 Forecast C'!J178</f>
        <v>3.45317612968717</v>
      </c>
      <c r="K196" s="25" t="n">
        <f aca="false">'2026 Forecast A'!F178</f>
        <v>559</v>
      </c>
      <c r="L196" s="26" t="str">
        <f aca="false">IF(OR(AND(D196&gt;0.5,E196&gt;0.5,F196&gt;0.5),AND(D196&lt;0.5,E196&lt;0.5,F196&lt;0.5)),"Yes","No — toss-up")</f>
        <v>Yes</v>
      </c>
    </row>
    <row r="197" customFormat="false" ht="15" hidden="false" customHeight="false" outlineLevel="0" collapsed="false">
      <c r="A197" s="8" t="str">
        <f aca="false">'2026 Forecast A'!A179</f>
        <v>Lehigh</v>
      </c>
      <c r="B197" s="8" t="str">
        <f aca="false">'2026 Forecast A'!B179</f>
        <v>SALISBURY</v>
      </c>
      <c r="C197" s="8" t="str">
        <f aca="false">'2026 Forecast A'!C179</f>
        <v>SALISBURY 5TH WARD 1ST DIST</v>
      </c>
      <c r="D197" s="9" t="n">
        <f aca="false">'2026 Forecast A'!G179</f>
        <v>0.562596599690881</v>
      </c>
      <c r="E197" s="9" t="n">
        <f aca="false">'2026 Forecast B'!G179</f>
        <v>0.550231839258114</v>
      </c>
      <c r="F197" s="9" t="n">
        <f aca="false">'2026 Forecast C'!G179</f>
        <v>0.565687789799073</v>
      </c>
      <c r="G197" s="24" t="n">
        <f aca="false">(MAX(D197:F197)-MIN(D197:F197))*100</f>
        <v>1.54559505409583</v>
      </c>
      <c r="H197" s="24" t="n">
        <f aca="false">'2026 Forecast A'!J179</f>
        <v>3.02608556967268</v>
      </c>
      <c r="I197" s="24" t="n">
        <f aca="false">'2026 Forecast B'!J179</f>
        <v>2.87480042420966</v>
      </c>
      <c r="J197" s="24" t="n">
        <f aca="false">'2026 Forecast C'!J179</f>
        <v>3.45317612968717</v>
      </c>
      <c r="K197" s="25" t="n">
        <f aca="false">'2026 Forecast A'!F179</f>
        <v>647</v>
      </c>
      <c r="L197" s="26" t="str">
        <f aca="false">IF(OR(AND(D197&gt;0.5,E197&gt;0.5,F197&gt;0.5),AND(D197&lt;0.5,E197&lt;0.5,F197&lt;0.5)),"Yes","No — toss-up")</f>
        <v>Yes</v>
      </c>
    </row>
    <row r="198" customFormat="false" ht="15" hidden="false" customHeight="false" outlineLevel="0" collapsed="false">
      <c r="A198" s="8" t="str">
        <f aca="false">'2026 Forecast A'!A180</f>
        <v>Lehigh</v>
      </c>
      <c r="B198" s="8" t="str">
        <f aca="false">'2026 Forecast A'!B180</f>
        <v>SALISBURY</v>
      </c>
      <c r="C198" s="8" t="str">
        <f aca="false">'2026 Forecast A'!C180</f>
        <v>SALISBURY 5TH WARD 2ND DIST</v>
      </c>
      <c r="D198" s="9" t="n">
        <f aca="false">'2026 Forecast A'!G180</f>
        <v>0.541531823085221</v>
      </c>
      <c r="E198" s="9" t="n">
        <f aca="false">'2026 Forecast B'!G180</f>
        <v>0.540453074433657</v>
      </c>
      <c r="F198" s="9" t="n">
        <f aca="false">'2026 Forecast C'!G180</f>
        <v>0.542610571736785</v>
      </c>
      <c r="G198" s="24" t="n">
        <f aca="false">(MAX(D198:F198)-MIN(D198:F198))*100</f>
        <v>0.215749730312831</v>
      </c>
      <c r="H198" s="24" t="n">
        <f aca="false">'2026 Forecast A'!J180</f>
        <v>1.8085538155628</v>
      </c>
      <c r="I198" s="24" t="n">
        <f aca="false">'2026 Forecast B'!J180</f>
        <v>1.92472098334064</v>
      </c>
      <c r="J198" s="24" t="n">
        <f aca="false">'2026 Forecast C'!J180</f>
        <v>2.05025038892674</v>
      </c>
      <c r="K198" s="25" t="n">
        <f aca="false">'2026 Forecast A'!F180</f>
        <v>927</v>
      </c>
      <c r="L198" s="26" t="str">
        <f aca="false">IF(OR(AND(D198&gt;0.5,E198&gt;0.5,F198&gt;0.5),AND(D198&lt;0.5,E198&lt;0.5,F198&lt;0.5)),"Yes","No — toss-up")</f>
        <v>Yes</v>
      </c>
    </row>
    <row r="199" customFormat="false" ht="15" hidden="false" customHeight="false" outlineLevel="0" collapsed="false">
      <c r="A199" s="8" t="str">
        <f aca="false">'2026 Forecast A'!A181</f>
        <v>Lehigh</v>
      </c>
      <c r="B199" s="8" t="str">
        <f aca="false">'2026 Forecast A'!B181</f>
        <v>SLATINGTON</v>
      </c>
      <c r="C199" s="8" t="str">
        <f aca="false">'2026 Forecast A'!C181</f>
        <v>SLATINGTON 1ST DIST</v>
      </c>
      <c r="D199" s="9" t="n">
        <f aca="false">'2026 Forecast A'!G181</f>
        <v>0.483204134366925</v>
      </c>
      <c r="E199" s="9" t="n">
        <f aca="false">'2026 Forecast B'!G181</f>
        <v>0.496124031007752</v>
      </c>
      <c r="F199" s="9" t="n">
        <f aca="false">'2026 Forecast C'!G181</f>
        <v>0.48062015503876</v>
      </c>
      <c r="G199" s="24" t="n">
        <f aca="false">(MAX(D199:F199)-MIN(D199:F199))*100</f>
        <v>1.55038759689922</v>
      </c>
      <c r="H199" s="24" t="n">
        <f aca="false">'2026 Forecast A'!J181</f>
        <v>3.02608556967268</v>
      </c>
      <c r="I199" s="24" t="n">
        <f aca="false">'2026 Forecast B'!J181</f>
        <v>2.87480042420966</v>
      </c>
      <c r="J199" s="24" t="n">
        <f aca="false">'2026 Forecast C'!J181</f>
        <v>3.45317612968717</v>
      </c>
      <c r="K199" s="25" t="n">
        <f aca="false">'2026 Forecast A'!F181</f>
        <v>387</v>
      </c>
      <c r="L199" s="26" t="str">
        <f aca="false">IF(OR(AND(D199&gt;0.5,E199&gt;0.5,F199&gt;0.5),AND(D199&lt;0.5,E199&lt;0.5,F199&lt;0.5)),"Yes","No — toss-up")</f>
        <v>Yes</v>
      </c>
    </row>
    <row r="200" customFormat="false" ht="15" hidden="false" customHeight="false" outlineLevel="0" collapsed="false">
      <c r="A200" s="8" t="str">
        <f aca="false">'2026 Forecast A'!A182</f>
        <v>Lehigh</v>
      </c>
      <c r="B200" s="8" t="str">
        <f aca="false">'2026 Forecast A'!B182</f>
        <v>SLATINGTON</v>
      </c>
      <c r="C200" s="8" t="str">
        <f aca="false">'2026 Forecast A'!C182</f>
        <v>SLATINGTON 2ND DIST</v>
      </c>
      <c r="D200" s="9" t="n">
        <f aca="false">'2026 Forecast A'!G182</f>
        <v>0.443708609271523</v>
      </c>
      <c r="E200" s="9" t="n">
        <f aca="false">'2026 Forecast B'!G182</f>
        <v>0.456953642384106</v>
      </c>
      <c r="F200" s="9" t="n">
        <f aca="false">'2026 Forecast C'!G182</f>
        <v>0.440397350993377</v>
      </c>
      <c r="G200" s="24" t="n">
        <f aca="false">(MAX(D200:F200)-MIN(D200:F200))*100</f>
        <v>1.65562913907285</v>
      </c>
      <c r="H200" s="24" t="n">
        <f aca="false">'2026 Forecast A'!J182</f>
        <v>3.02608556967268</v>
      </c>
      <c r="I200" s="24" t="n">
        <f aca="false">'2026 Forecast B'!J182</f>
        <v>2.87480042420966</v>
      </c>
      <c r="J200" s="24" t="n">
        <f aca="false">'2026 Forecast C'!J182</f>
        <v>3.45317612968717</v>
      </c>
      <c r="K200" s="25" t="n">
        <f aca="false">'2026 Forecast A'!F182</f>
        <v>302</v>
      </c>
      <c r="L200" s="26" t="str">
        <f aca="false">IF(OR(AND(D200&gt;0.5,E200&gt;0.5,F200&gt;0.5),AND(D200&lt;0.5,E200&lt;0.5,F200&lt;0.5)),"Yes","No — toss-up")</f>
        <v>Yes</v>
      </c>
    </row>
    <row r="201" customFormat="false" ht="15" hidden="false" customHeight="false" outlineLevel="0" collapsed="false">
      <c r="A201" s="8" t="str">
        <f aca="false">'2026 Forecast A'!A183</f>
        <v>Lehigh</v>
      </c>
      <c r="B201" s="8" t="str">
        <f aca="false">'2026 Forecast A'!B183</f>
        <v>SLATINGTON</v>
      </c>
      <c r="C201" s="8" t="str">
        <f aca="false">'2026 Forecast A'!C183</f>
        <v>SLATINGTON 3RD DIST</v>
      </c>
      <c r="D201" s="9" t="n">
        <f aca="false">'2026 Forecast A'!G183</f>
        <v>0.466767371601208</v>
      </c>
      <c r="E201" s="9" t="n">
        <f aca="false">'2026 Forecast B'!G183</f>
        <v>0.465256797583082</v>
      </c>
      <c r="F201" s="9" t="n">
        <f aca="false">'2026 Forecast C'!G183</f>
        <v>0.465256797583082</v>
      </c>
      <c r="G201" s="24" t="n">
        <f aca="false">(MAX(D201:F201)-MIN(D201:F201))*100</f>
        <v>0.151057401812688</v>
      </c>
      <c r="H201" s="24" t="n">
        <f aca="false">'2026 Forecast A'!J183</f>
        <v>3.02608556967268</v>
      </c>
      <c r="I201" s="24" t="n">
        <f aca="false">'2026 Forecast B'!J183</f>
        <v>2.87480042420966</v>
      </c>
      <c r="J201" s="24" t="n">
        <f aca="false">'2026 Forecast C'!J183</f>
        <v>3.45317612968717</v>
      </c>
      <c r="K201" s="25" t="n">
        <f aca="false">'2026 Forecast A'!F183</f>
        <v>662</v>
      </c>
      <c r="L201" s="26" t="str">
        <f aca="false">IF(OR(AND(D201&gt;0.5,E201&gt;0.5,F201&gt;0.5),AND(D201&lt;0.5,E201&lt;0.5,F201&lt;0.5)),"Yes","No — toss-up")</f>
        <v>Yes</v>
      </c>
    </row>
    <row r="202" customFormat="false" ht="15" hidden="false" customHeight="false" outlineLevel="0" collapsed="false">
      <c r="A202" s="8" t="str">
        <f aca="false">'2026 Forecast A'!A184</f>
        <v>Lehigh</v>
      </c>
      <c r="B202" s="8" t="str">
        <f aca="false">'2026 Forecast A'!B184</f>
        <v>SOUTH WHITEHALL</v>
      </c>
      <c r="C202" s="8" t="str">
        <f aca="false">'2026 Forecast A'!C184</f>
        <v>SOUTH WHITEHALL 1ST DISTRICT</v>
      </c>
      <c r="D202" s="9" t="n">
        <f aca="false">'2026 Forecast A'!G184</f>
        <v>0.541549295774648</v>
      </c>
      <c r="E202" s="9" t="n">
        <f aca="false">'2026 Forecast B'!G184</f>
        <v>0.547887323943662</v>
      </c>
      <c r="F202" s="9" t="n">
        <f aca="false">'2026 Forecast C'!G184</f>
        <v>0.542957746478873</v>
      </c>
      <c r="G202" s="24" t="n">
        <f aca="false">(MAX(D202:F202)-MIN(D202:F202))*100</f>
        <v>0.633802816901419</v>
      </c>
      <c r="H202" s="24" t="n">
        <f aca="false">'2026 Forecast A'!J184</f>
        <v>1.24911041755021</v>
      </c>
      <c r="I202" s="24" t="n">
        <f aca="false">'2026 Forecast B'!J184</f>
        <v>1.87117215961084</v>
      </c>
      <c r="J202" s="24" t="n">
        <f aca="false">'2026 Forecast C'!J184</f>
        <v>1.25589305869883</v>
      </c>
      <c r="K202" s="25" t="n">
        <f aca="false">'2026 Forecast A'!F184</f>
        <v>1420</v>
      </c>
      <c r="L202" s="26" t="str">
        <f aca="false">IF(OR(AND(D202&gt;0.5,E202&gt;0.5,F202&gt;0.5),AND(D202&lt;0.5,E202&lt;0.5,F202&lt;0.5)),"Yes","No — toss-up")</f>
        <v>Yes</v>
      </c>
    </row>
    <row r="203" customFormat="false" ht="15" hidden="false" customHeight="false" outlineLevel="0" collapsed="false">
      <c r="A203" s="8" t="str">
        <f aca="false">'2026 Forecast A'!A185</f>
        <v>Lehigh</v>
      </c>
      <c r="B203" s="8" t="str">
        <f aca="false">'2026 Forecast A'!B185</f>
        <v>SOUTH WHITEHALL</v>
      </c>
      <c r="C203" s="8" t="str">
        <f aca="false">'2026 Forecast A'!C185</f>
        <v>SOUTH WHITEHALL 2ND DISTRICT</v>
      </c>
      <c r="D203" s="9" t="n">
        <f aca="false">'2026 Forecast A'!G185</f>
        <v>0.543913713405239</v>
      </c>
      <c r="E203" s="9" t="n">
        <f aca="false">'2026 Forecast B'!G185</f>
        <v>0.550077041602465</v>
      </c>
      <c r="F203" s="9" t="n">
        <f aca="false">'2026 Forecast C'!G185</f>
        <v>0.545454545454545</v>
      </c>
      <c r="G203" s="24" t="n">
        <f aca="false">(MAX(D203:F203)-MIN(D203:F203))*100</f>
        <v>0.616332819722643</v>
      </c>
      <c r="H203" s="24" t="n">
        <f aca="false">'2026 Forecast A'!J185</f>
        <v>3.02608556967268</v>
      </c>
      <c r="I203" s="24" t="n">
        <f aca="false">'2026 Forecast B'!J185</f>
        <v>2.87480042420966</v>
      </c>
      <c r="J203" s="24" t="n">
        <f aca="false">'2026 Forecast C'!J185</f>
        <v>3.45317612968717</v>
      </c>
      <c r="K203" s="25" t="n">
        <f aca="false">'2026 Forecast A'!F185</f>
        <v>649</v>
      </c>
      <c r="L203" s="26" t="str">
        <f aca="false">IF(OR(AND(D203&gt;0.5,E203&gt;0.5,F203&gt;0.5),AND(D203&lt;0.5,E203&lt;0.5,F203&lt;0.5)),"Yes","No — toss-up")</f>
        <v>Yes</v>
      </c>
    </row>
    <row r="204" customFormat="false" ht="15" hidden="false" customHeight="false" outlineLevel="0" collapsed="false">
      <c r="A204" s="8" t="str">
        <f aca="false">'2026 Forecast A'!A186</f>
        <v>Lehigh</v>
      </c>
      <c r="B204" s="8" t="str">
        <f aca="false">'2026 Forecast A'!B186</f>
        <v>SOUTH WHITEHALL</v>
      </c>
      <c r="C204" s="8" t="str">
        <f aca="false">'2026 Forecast A'!C186</f>
        <v>SOUTH WHITEHALL 3RD DISTRICT</v>
      </c>
      <c r="D204" s="9" t="n">
        <f aca="false">'2026 Forecast A'!G186</f>
        <v>0.597062579821201</v>
      </c>
      <c r="E204" s="9" t="n">
        <f aca="false">'2026 Forecast B'!G186</f>
        <v>0.59323116219668</v>
      </c>
      <c r="F204" s="9" t="n">
        <f aca="false">'2026 Forecast C'!G186</f>
        <v>0.602809706257982</v>
      </c>
      <c r="G204" s="24" t="n">
        <f aca="false">(MAX(D204:F204)-MIN(D204:F204))*100</f>
        <v>0.957854406130265</v>
      </c>
      <c r="H204" s="24" t="n">
        <f aca="false">'2026 Forecast A'!J186</f>
        <v>1.24911041755021</v>
      </c>
      <c r="I204" s="24" t="n">
        <f aca="false">'2026 Forecast B'!J186</f>
        <v>1.87117215961084</v>
      </c>
      <c r="J204" s="24" t="n">
        <f aca="false">'2026 Forecast C'!J186</f>
        <v>1.25589305869883</v>
      </c>
      <c r="K204" s="25" t="n">
        <f aca="false">'2026 Forecast A'!F186</f>
        <v>1566</v>
      </c>
      <c r="L204" s="26" t="str">
        <f aca="false">IF(OR(AND(D204&gt;0.5,E204&gt;0.5,F204&gt;0.5),AND(D204&lt;0.5,E204&lt;0.5,F204&lt;0.5)),"Yes","No — toss-up")</f>
        <v>Yes</v>
      </c>
    </row>
    <row r="205" customFormat="false" ht="15" hidden="false" customHeight="false" outlineLevel="0" collapsed="false">
      <c r="A205" s="8" t="str">
        <f aca="false">'2026 Forecast A'!A187</f>
        <v>Lehigh</v>
      </c>
      <c r="B205" s="8" t="str">
        <f aca="false">'2026 Forecast A'!B187</f>
        <v>SOUTH WHITEHALL</v>
      </c>
      <c r="C205" s="8" t="str">
        <f aca="false">'2026 Forecast A'!C187</f>
        <v>SOUTH WHITEHALL 4TH DISTRICT</v>
      </c>
      <c r="D205" s="9" t="n">
        <f aca="false">'2026 Forecast A'!G187</f>
        <v>0.536585365853659</v>
      </c>
      <c r="E205" s="9" t="n">
        <f aca="false">'2026 Forecast B'!G187</f>
        <v>0.538908246225319</v>
      </c>
      <c r="F205" s="9" t="n">
        <f aca="false">'2026 Forecast C'!G187</f>
        <v>0.537746806039489</v>
      </c>
      <c r="G205" s="24" t="n">
        <f aca="false">(MAX(D205:F205)-MIN(D205:F205))*100</f>
        <v>0.232288037166084</v>
      </c>
      <c r="H205" s="24" t="n">
        <f aca="false">'2026 Forecast A'!J187</f>
        <v>1.8085538155628</v>
      </c>
      <c r="I205" s="24" t="n">
        <f aca="false">'2026 Forecast B'!J187</f>
        <v>1.92472098334064</v>
      </c>
      <c r="J205" s="24" t="n">
        <f aca="false">'2026 Forecast C'!J187</f>
        <v>2.05025038892674</v>
      </c>
      <c r="K205" s="25" t="n">
        <f aca="false">'2026 Forecast A'!F187</f>
        <v>861</v>
      </c>
      <c r="L205" s="26" t="str">
        <f aca="false">IF(OR(AND(D205&gt;0.5,E205&gt;0.5,F205&gt;0.5),AND(D205&lt;0.5,E205&lt;0.5,F205&lt;0.5)),"Yes","No — toss-up")</f>
        <v>Yes</v>
      </c>
    </row>
    <row r="206" customFormat="false" ht="15" hidden="false" customHeight="false" outlineLevel="0" collapsed="false">
      <c r="A206" s="8" t="str">
        <f aca="false">'2026 Forecast A'!A188</f>
        <v>Lehigh</v>
      </c>
      <c r="B206" s="8" t="str">
        <f aca="false">'2026 Forecast A'!B188</f>
        <v>SOUTH WHITEHALL</v>
      </c>
      <c r="C206" s="8" t="str">
        <f aca="false">'2026 Forecast A'!C188</f>
        <v>SOUTH WHITEHALL 5TH DISTRICT</v>
      </c>
      <c r="D206" s="9" t="n">
        <f aca="false">'2026 Forecast A'!G188</f>
        <v>0.627118644067797</v>
      </c>
      <c r="E206" s="9" t="n">
        <f aca="false">'2026 Forecast B'!G188</f>
        <v>0.615112994350282</v>
      </c>
      <c r="F206" s="9" t="n">
        <f aca="false">'2026 Forecast C'!G188</f>
        <v>0.634180790960452</v>
      </c>
      <c r="G206" s="24" t="n">
        <f aca="false">(MAX(D206:F206)-MIN(D206:F206))*100</f>
        <v>1.90677966101696</v>
      </c>
      <c r="H206" s="24" t="n">
        <f aca="false">'2026 Forecast A'!J188</f>
        <v>1.24911041755021</v>
      </c>
      <c r="I206" s="24" t="n">
        <f aca="false">'2026 Forecast B'!J188</f>
        <v>1.87117215961084</v>
      </c>
      <c r="J206" s="24" t="n">
        <f aca="false">'2026 Forecast C'!J188</f>
        <v>1.25589305869883</v>
      </c>
      <c r="K206" s="25" t="n">
        <f aca="false">'2026 Forecast A'!F188</f>
        <v>1416</v>
      </c>
      <c r="L206" s="26" t="str">
        <f aca="false">IF(OR(AND(D206&gt;0.5,E206&gt;0.5,F206&gt;0.5),AND(D206&lt;0.5,E206&lt;0.5,F206&lt;0.5)),"Yes","No — toss-up")</f>
        <v>Yes</v>
      </c>
    </row>
    <row r="207" customFormat="false" ht="15" hidden="false" customHeight="false" outlineLevel="0" collapsed="false">
      <c r="A207" s="8" t="str">
        <f aca="false">'2026 Forecast A'!A189</f>
        <v>Lehigh</v>
      </c>
      <c r="B207" s="8" t="str">
        <f aca="false">'2026 Forecast A'!B189</f>
        <v>SOUTH WHITEHALL</v>
      </c>
      <c r="C207" s="8" t="str">
        <f aca="false">'2026 Forecast A'!C189</f>
        <v>SOUTH WHITEHALL 6TH DISTRICT</v>
      </c>
      <c r="D207" s="9" t="n">
        <f aca="false">'2026 Forecast A'!G189</f>
        <v>0.625</v>
      </c>
      <c r="E207" s="9" t="n">
        <f aca="false">'2026 Forecast B'!G189</f>
        <v>0.61864406779661</v>
      </c>
      <c r="F207" s="9" t="n">
        <f aca="false">'2026 Forecast C'!G189</f>
        <v>0.63135593220339</v>
      </c>
      <c r="G207" s="24" t="n">
        <f aca="false">(MAX(D207:F207)-MIN(D207:F207))*100</f>
        <v>1.27118644067796</v>
      </c>
      <c r="H207" s="24" t="n">
        <f aca="false">'2026 Forecast A'!J189</f>
        <v>1.24911041755021</v>
      </c>
      <c r="I207" s="24" t="n">
        <f aca="false">'2026 Forecast B'!J189</f>
        <v>1.87117215961084</v>
      </c>
      <c r="J207" s="24" t="n">
        <f aca="false">'2026 Forecast C'!J189</f>
        <v>1.25589305869883</v>
      </c>
      <c r="K207" s="25" t="n">
        <f aca="false">'2026 Forecast A'!F189</f>
        <v>1416</v>
      </c>
      <c r="L207" s="26" t="str">
        <f aca="false">IF(OR(AND(D207&gt;0.5,E207&gt;0.5,F207&gt;0.5),AND(D207&lt;0.5,E207&lt;0.5,F207&lt;0.5)),"Yes","No — toss-up")</f>
        <v>Yes</v>
      </c>
    </row>
    <row r="208" customFormat="false" ht="15" hidden="false" customHeight="false" outlineLevel="0" collapsed="false">
      <c r="A208" s="8" t="str">
        <f aca="false">'2026 Forecast A'!A190</f>
        <v>Lehigh</v>
      </c>
      <c r="B208" s="8" t="str">
        <f aca="false">'2026 Forecast A'!B190</f>
        <v>SOUTH WHITEHALL</v>
      </c>
      <c r="C208" s="8" t="str">
        <f aca="false">'2026 Forecast A'!C190</f>
        <v>SOUTH WHITEHALL 7TH DISTRICT</v>
      </c>
      <c r="D208" s="9" t="n">
        <f aca="false">'2026 Forecast A'!G190</f>
        <v>0.554089709762533</v>
      </c>
      <c r="E208" s="9" t="n">
        <f aca="false">'2026 Forecast B'!G190</f>
        <v>0.560686015831135</v>
      </c>
      <c r="F208" s="9" t="n">
        <f aca="false">'2026 Forecast C'!G190</f>
        <v>0.555408970976253</v>
      </c>
      <c r="G208" s="24" t="n">
        <f aca="false">(MAX(D208:F208)-MIN(D208:F208))*100</f>
        <v>0.659630606860151</v>
      </c>
      <c r="H208" s="24" t="n">
        <f aca="false">'2026 Forecast A'!J190</f>
        <v>3.02608556967268</v>
      </c>
      <c r="I208" s="24" t="n">
        <f aca="false">'2026 Forecast B'!J190</f>
        <v>2.87480042420966</v>
      </c>
      <c r="J208" s="24" t="n">
        <f aca="false">'2026 Forecast C'!J190</f>
        <v>3.45317612968717</v>
      </c>
      <c r="K208" s="25" t="n">
        <f aca="false">'2026 Forecast A'!F190</f>
        <v>758</v>
      </c>
      <c r="L208" s="26" t="str">
        <f aca="false">IF(OR(AND(D208&gt;0.5,E208&gt;0.5,F208&gt;0.5),AND(D208&lt;0.5,E208&lt;0.5,F208&lt;0.5)),"Yes","No — toss-up")</f>
        <v>Yes</v>
      </c>
    </row>
    <row r="209" customFormat="false" ht="15" hidden="false" customHeight="false" outlineLevel="0" collapsed="false">
      <c r="A209" s="8" t="str">
        <f aca="false">'2026 Forecast A'!A191</f>
        <v>Lehigh</v>
      </c>
      <c r="B209" s="8" t="str">
        <f aca="false">'2026 Forecast A'!B191</f>
        <v>SOUTH WHITEHALL</v>
      </c>
      <c r="C209" s="8" t="str">
        <f aca="false">'2026 Forecast A'!C191</f>
        <v>SOUTH WHITEHALL 8TH DISTRICT</v>
      </c>
      <c r="D209" s="9" t="n">
        <f aca="false">'2026 Forecast A'!G191</f>
        <v>0.542056074766355</v>
      </c>
      <c r="E209" s="9" t="n">
        <f aca="false">'2026 Forecast B'!G191</f>
        <v>0.544023610427939</v>
      </c>
      <c r="F209" s="9" t="n">
        <f aca="false">'2026 Forecast C'!G191</f>
        <v>0.544023610427939</v>
      </c>
      <c r="G209" s="24" t="n">
        <f aca="false">(MAX(D209:F209)-MIN(D209:F209))*100</f>
        <v>0.196753566158392</v>
      </c>
      <c r="H209" s="24" t="n">
        <f aca="false">'2026 Forecast A'!J191</f>
        <v>1.24911041755021</v>
      </c>
      <c r="I209" s="24" t="n">
        <f aca="false">'2026 Forecast B'!J191</f>
        <v>1.87117215961084</v>
      </c>
      <c r="J209" s="24" t="n">
        <f aca="false">'2026 Forecast C'!J191</f>
        <v>1.25589305869883</v>
      </c>
      <c r="K209" s="25" t="n">
        <f aca="false">'2026 Forecast A'!F191</f>
        <v>2033</v>
      </c>
      <c r="L209" s="26" t="str">
        <f aca="false">IF(OR(AND(D209&gt;0.5,E209&gt;0.5,F209&gt;0.5),AND(D209&lt;0.5,E209&lt;0.5,F209&lt;0.5)),"Yes","No — toss-up")</f>
        <v>Yes</v>
      </c>
    </row>
    <row r="210" customFormat="false" ht="15" hidden="false" customHeight="false" outlineLevel="0" collapsed="false">
      <c r="A210" s="8" t="str">
        <f aca="false">'2026 Forecast A'!A192</f>
        <v>Lehigh</v>
      </c>
      <c r="B210" s="8" t="str">
        <f aca="false">'2026 Forecast A'!B192</f>
        <v>UPPER MACUNGIE</v>
      </c>
      <c r="C210" s="8" t="str">
        <f aca="false">'2026 Forecast A'!C192</f>
        <v>UPPER MACUNGIE 1ST DISTRICT</v>
      </c>
      <c r="D210" s="9" t="n">
        <f aca="false">'2026 Forecast A'!G192</f>
        <v>0.543894389438944</v>
      </c>
      <c r="E210" s="9" t="n">
        <f aca="false">'2026 Forecast B'!G192</f>
        <v>0.541914191419142</v>
      </c>
      <c r="F210" s="9" t="n">
        <f aca="false">'2026 Forecast C'!G192</f>
        <v>0.545874587458746</v>
      </c>
      <c r="G210" s="24" t="n">
        <f aca="false">(MAX(D210:F210)-MIN(D210:F210))*100</f>
        <v>0.396039603960396</v>
      </c>
      <c r="H210" s="24" t="n">
        <f aca="false">'2026 Forecast A'!J192</f>
        <v>1.24911041755021</v>
      </c>
      <c r="I210" s="24" t="n">
        <f aca="false">'2026 Forecast B'!J192</f>
        <v>1.87117215961084</v>
      </c>
      <c r="J210" s="24" t="n">
        <f aca="false">'2026 Forecast C'!J192</f>
        <v>1.25589305869883</v>
      </c>
      <c r="K210" s="25" t="n">
        <f aca="false">'2026 Forecast A'!F192</f>
        <v>1515</v>
      </c>
      <c r="L210" s="26" t="str">
        <f aca="false">IF(OR(AND(D210&gt;0.5,E210&gt;0.5,F210&gt;0.5),AND(D210&lt;0.5,E210&lt;0.5,F210&lt;0.5)),"Yes","No — toss-up")</f>
        <v>Yes</v>
      </c>
    </row>
    <row r="211" customFormat="false" ht="15" hidden="false" customHeight="false" outlineLevel="0" collapsed="false">
      <c r="A211" s="8" t="str">
        <f aca="false">'2026 Forecast A'!A193</f>
        <v>Lehigh</v>
      </c>
      <c r="B211" s="8" t="str">
        <f aca="false">'2026 Forecast A'!B193</f>
        <v>UPPER MACUNGIE</v>
      </c>
      <c r="C211" s="8" t="str">
        <f aca="false">'2026 Forecast A'!C193</f>
        <v>UPPER MACUNGIE 2ND DISTRICT</v>
      </c>
      <c r="D211" s="9" t="n">
        <f aca="false">'2026 Forecast A'!G193</f>
        <v>0.545889101338432</v>
      </c>
      <c r="E211" s="9" t="n">
        <f aca="false">'2026 Forecast B'!G193</f>
        <v>0.538718929254302</v>
      </c>
      <c r="F211" s="9" t="n">
        <f aca="false">'2026 Forecast C'!G193</f>
        <v>0.547323135755258</v>
      </c>
      <c r="G211" s="24" t="n">
        <f aca="false">(MAX(D211:F211)-MIN(D211:F211))*100</f>
        <v>0.860420650095606</v>
      </c>
      <c r="H211" s="24" t="n">
        <f aca="false">'2026 Forecast A'!J193</f>
        <v>1.24911041755021</v>
      </c>
      <c r="I211" s="24" t="n">
        <f aca="false">'2026 Forecast B'!J193</f>
        <v>1.87117215961084</v>
      </c>
      <c r="J211" s="24" t="n">
        <f aca="false">'2026 Forecast C'!J193</f>
        <v>1.25589305869883</v>
      </c>
      <c r="K211" s="25" t="n">
        <f aca="false">'2026 Forecast A'!F193</f>
        <v>2092</v>
      </c>
      <c r="L211" s="26" t="str">
        <f aca="false">IF(OR(AND(D211&gt;0.5,E211&gt;0.5,F211&gt;0.5),AND(D211&lt;0.5,E211&lt;0.5,F211&lt;0.5)),"Yes","No — toss-up")</f>
        <v>Yes</v>
      </c>
    </row>
    <row r="212" customFormat="false" ht="15" hidden="false" customHeight="false" outlineLevel="0" collapsed="false">
      <c r="A212" s="8" t="str">
        <f aca="false">'2026 Forecast A'!A194</f>
        <v>Lehigh</v>
      </c>
      <c r="B212" s="8" t="str">
        <f aca="false">'2026 Forecast A'!B194</f>
        <v>UPPER MACUNGIE</v>
      </c>
      <c r="C212" s="8" t="str">
        <f aca="false">'2026 Forecast A'!C194</f>
        <v>UPPER MACUNGIE 3RD DISTRICT</v>
      </c>
      <c r="D212" s="9" t="n">
        <f aca="false">'2026 Forecast A'!G194</f>
        <v>0.513573000733676</v>
      </c>
      <c r="E212" s="9" t="n">
        <f aca="false">'2026 Forecast B'!G194</f>
        <v>0.515774027879677</v>
      </c>
      <c r="F212" s="9" t="n">
        <f aca="false">'2026 Forecast C'!G194</f>
        <v>0.51430667644901</v>
      </c>
      <c r="G212" s="24" t="n">
        <f aca="false">(MAX(D212:F212)-MIN(D212:F212))*100</f>
        <v>0.220102714600146</v>
      </c>
      <c r="H212" s="24" t="n">
        <f aca="false">'2026 Forecast A'!J194</f>
        <v>1.24911041755021</v>
      </c>
      <c r="I212" s="24" t="n">
        <f aca="false">'2026 Forecast B'!J194</f>
        <v>1.87117215961084</v>
      </c>
      <c r="J212" s="24" t="n">
        <f aca="false">'2026 Forecast C'!J194</f>
        <v>1.25589305869883</v>
      </c>
      <c r="K212" s="25" t="n">
        <f aca="false">'2026 Forecast A'!F194</f>
        <v>1363</v>
      </c>
      <c r="L212" s="26" t="str">
        <f aca="false">IF(OR(AND(D212&gt;0.5,E212&gt;0.5,F212&gt;0.5),AND(D212&lt;0.5,E212&lt;0.5,F212&lt;0.5)),"Yes","No — toss-up")</f>
        <v>Yes</v>
      </c>
    </row>
    <row r="213" customFormat="false" ht="15" hidden="false" customHeight="false" outlineLevel="0" collapsed="false">
      <c r="A213" s="8" t="str">
        <f aca="false">'2026 Forecast A'!A195</f>
        <v>Lehigh</v>
      </c>
      <c r="B213" s="8" t="str">
        <f aca="false">'2026 Forecast A'!B195</f>
        <v>UPPER MACUNGIE</v>
      </c>
      <c r="C213" s="8" t="str">
        <f aca="false">'2026 Forecast A'!C195</f>
        <v>UPPER MACUNGIE 4TH DISTRICT</v>
      </c>
      <c r="D213" s="9" t="n">
        <f aca="false">'2026 Forecast A'!G195</f>
        <v>0.572052401746725</v>
      </c>
      <c r="E213" s="9" t="n">
        <f aca="false">'2026 Forecast B'!G195</f>
        <v>0.572052401746725</v>
      </c>
      <c r="F213" s="9" t="n">
        <f aca="false">'2026 Forecast C'!G195</f>
        <v>0.574235807860262</v>
      </c>
      <c r="G213" s="24" t="n">
        <f aca="false">(MAX(D213:F213)-MIN(D213:F213))*100</f>
        <v>0.218340611353707</v>
      </c>
      <c r="H213" s="24" t="n">
        <f aca="false">'2026 Forecast A'!J195</f>
        <v>1.8085538155628</v>
      </c>
      <c r="I213" s="24" t="n">
        <f aca="false">'2026 Forecast B'!J195</f>
        <v>1.92472098334064</v>
      </c>
      <c r="J213" s="24" t="n">
        <f aca="false">'2026 Forecast C'!J195</f>
        <v>2.05025038892674</v>
      </c>
      <c r="K213" s="25" t="n">
        <f aca="false">'2026 Forecast A'!F195</f>
        <v>916</v>
      </c>
      <c r="L213" s="26" t="str">
        <f aca="false">IF(OR(AND(D213&gt;0.5,E213&gt;0.5,F213&gt;0.5),AND(D213&lt;0.5,E213&lt;0.5,F213&lt;0.5)),"Yes","No — toss-up")</f>
        <v>Yes</v>
      </c>
    </row>
    <row r="214" customFormat="false" ht="15" hidden="false" customHeight="false" outlineLevel="0" collapsed="false">
      <c r="A214" s="8" t="str">
        <f aca="false">'2026 Forecast A'!A196</f>
        <v>Lehigh</v>
      </c>
      <c r="B214" s="8" t="str">
        <f aca="false">'2026 Forecast A'!B196</f>
        <v>UPPER MACUNGIE</v>
      </c>
      <c r="C214" s="8" t="str">
        <f aca="false">'2026 Forecast A'!C196</f>
        <v>UPPER MACUNGIE 5TH DISTRICT</v>
      </c>
      <c r="D214" s="9" t="n">
        <f aca="false">'2026 Forecast A'!G196</f>
        <v>0.573108584868679</v>
      </c>
      <c r="E214" s="9" t="n">
        <f aca="false">'2026 Forecast B'!G196</f>
        <v>0.569188553508428</v>
      </c>
      <c r="F214" s="9" t="n">
        <f aca="false">'2026 Forecast C'!G196</f>
        <v>0.576636613092905</v>
      </c>
      <c r="G214" s="24" t="n">
        <f aca="false">(MAX(D214:F214)-MIN(D214:F214))*100</f>
        <v>0.744805958447659</v>
      </c>
      <c r="H214" s="24" t="n">
        <f aca="false">'2026 Forecast A'!J196</f>
        <v>1.24911041755021</v>
      </c>
      <c r="I214" s="24" t="n">
        <f aca="false">'2026 Forecast B'!J196</f>
        <v>1.87117215961084</v>
      </c>
      <c r="J214" s="24" t="n">
        <f aca="false">'2026 Forecast C'!J196</f>
        <v>1.25589305869883</v>
      </c>
      <c r="K214" s="25" t="n">
        <f aca="false">'2026 Forecast A'!F196</f>
        <v>2551</v>
      </c>
      <c r="L214" s="26" t="str">
        <f aca="false">IF(OR(AND(D214&gt;0.5,E214&gt;0.5,F214&gt;0.5),AND(D214&lt;0.5,E214&lt;0.5,F214&lt;0.5)),"Yes","No — toss-up")</f>
        <v>Yes</v>
      </c>
    </row>
    <row r="215" customFormat="false" ht="15" hidden="false" customHeight="false" outlineLevel="0" collapsed="false">
      <c r="A215" s="8" t="str">
        <f aca="false">'2026 Forecast A'!A197</f>
        <v>Lehigh</v>
      </c>
      <c r="B215" s="8" t="str">
        <f aca="false">'2026 Forecast A'!B197</f>
        <v>UPPER MACUNGIE</v>
      </c>
      <c r="C215" s="8" t="str">
        <f aca="false">'2026 Forecast A'!C197</f>
        <v>UPPER MACUNGIE 6TH DISTRICT</v>
      </c>
      <c r="D215" s="9" t="n">
        <f aca="false">'2026 Forecast A'!G197</f>
        <v>0.552016985138004</v>
      </c>
      <c r="E215" s="9" t="n">
        <f aca="false">'2026 Forecast B'!G197</f>
        <v>0.552016985138004</v>
      </c>
      <c r="F215" s="9" t="n">
        <f aca="false">'2026 Forecast C'!G197</f>
        <v>0.55307855626327</v>
      </c>
      <c r="G215" s="24" t="n">
        <f aca="false">(MAX(D215:F215)-MIN(D215:F215))*100</f>
        <v>0.106157112526539</v>
      </c>
      <c r="H215" s="24" t="n">
        <f aca="false">'2026 Forecast A'!J197</f>
        <v>1.8085538155628</v>
      </c>
      <c r="I215" s="24" t="n">
        <f aca="false">'2026 Forecast B'!J197</f>
        <v>1.92472098334064</v>
      </c>
      <c r="J215" s="24" t="n">
        <f aca="false">'2026 Forecast C'!J197</f>
        <v>2.05025038892674</v>
      </c>
      <c r="K215" s="25" t="n">
        <f aca="false">'2026 Forecast A'!F197</f>
        <v>942</v>
      </c>
      <c r="L215" s="26" t="str">
        <f aca="false">IF(OR(AND(D215&gt;0.5,E215&gt;0.5,F215&gt;0.5),AND(D215&lt;0.5,E215&lt;0.5,F215&lt;0.5)),"Yes","No — toss-up")</f>
        <v>Yes</v>
      </c>
    </row>
    <row r="216" customFormat="false" ht="15" hidden="false" customHeight="false" outlineLevel="0" collapsed="false">
      <c r="A216" s="8" t="str">
        <f aca="false">'2026 Forecast A'!A198</f>
        <v>Lehigh</v>
      </c>
      <c r="B216" s="8" t="str">
        <f aca="false">'2026 Forecast A'!B198</f>
        <v>UPPER MACUNGIE</v>
      </c>
      <c r="C216" s="8" t="str">
        <f aca="false">'2026 Forecast A'!C198</f>
        <v>UPPER MACUNGIE 7TH DISTRICT</v>
      </c>
      <c r="D216" s="9" t="n">
        <f aca="false">'2026 Forecast A'!G198</f>
        <v>0.587973273942094</v>
      </c>
      <c r="E216" s="9" t="n">
        <f aca="false">'2026 Forecast B'!G198</f>
        <v>0.586859688195991</v>
      </c>
      <c r="F216" s="9" t="n">
        <f aca="false">'2026 Forecast C'!G198</f>
        <v>0.590200445434298</v>
      </c>
      <c r="G216" s="24" t="n">
        <f aca="false">(MAX(D216:F216)-MIN(D216:F216))*100</f>
        <v>0.334075723830729</v>
      </c>
      <c r="H216" s="24" t="n">
        <f aca="false">'2026 Forecast A'!J198</f>
        <v>1.8085538155628</v>
      </c>
      <c r="I216" s="24" t="n">
        <f aca="false">'2026 Forecast B'!J198</f>
        <v>1.92472098334064</v>
      </c>
      <c r="J216" s="24" t="n">
        <f aca="false">'2026 Forecast C'!J198</f>
        <v>2.05025038892674</v>
      </c>
      <c r="K216" s="25" t="n">
        <f aca="false">'2026 Forecast A'!F198</f>
        <v>898</v>
      </c>
      <c r="L216" s="26" t="str">
        <f aca="false">IF(OR(AND(D216&gt;0.5,E216&gt;0.5,F216&gt;0.5),AND(D216&lt;0.5,E216&lt;0.5,F216&lt;0.5)),"Yes","No — toss-up")</f>
        <v>Yes</v>
      </c>
    </row>
    <row r="217" customFormat="false" ht="15" hidden="false" customHeight="false" outlineLevel="0" collapsed="false">
      <c r="A217" s="8" t="str">
        <f aca="false">'2026 Forecast A'!A199</f>
        <v>Lehigh</v>
      </c>
      <c r="B217" s="8" t="str">
        <f aca="false">'2026 Forecast A'!B199</f>
        <v>UPPER MACUNGIE</v>
      </c>
      <c r="C217" s="8" t="str">
        <f aca="false">'2026 Forecast A'!C199</f>
        <v>UPPER MACUNGIE 8TH DISTRICT</v>
      </c>
      <c r="D217" s="9" t="n">
        <f aca="false">'2026 Forecast A'!G199</f>
        <v>0.55005055611729</v>
      </c>
      <c r="E217" s="9" t="n">
        <f aca="false">'2026 Forecast B'!G199</f>
        <v>0.557128412537917</v>
      </c>
      <c r="F217" s="9" t="n">
        <f aca="false">'2026 Forecast C'!G199</f>
        <v>0.551061678463094</v>
      </c>
      <c r="G217" s="24" t="n">
        <f aca="false">(MAX(D217:F217)-MIN(D217:F217))*100</f>
        <v>0.707785642062697</v>
      </c>
      <c r="H217" s="24" t="n">
        <f aca="false">'2026 Forecast A'!J199</f>
        <v>1.8085538155628</v>
      </c>
      <c r="I217" s="24" t="n">
        <f aca="false">'2026 Forecast B'!J199</f>
        <v>1.92472098334064</v>
      </c>
      <c r="J217" s="24" t="n">
        <f aca="false">'2026 Forecast C'!J199</f>
        <v>2.05025038892674</v>
      </c>
      <c r="K217" s="25" t="n">
        <f aca="false">'2026 Forecast A'!F199</f>
        <v>989</v>
      </c>
      <c r="L217" s="26" t="str">
        <f aca="false">IF(OR(AND(D217&gt;0.5,E217&gt;0.5,F217&gt;0.5),AND(D217&lt;0.5,E217&lt;0.5,F217&lt;0.5)),"Yes","No — toss-up")</f>
        <v>Yes</v>
      </c>
    </row>
    <row r="218" customFormat="false" ht="15" hidden="false" customHeight="false" outlineLevel="0" collapsed="false">
      <c r="A218" s="8" t="str">
        <f aca="false">'2026 Forecast A'!A200</f>
        <v>Lehigh</v>
      </c>
      <c r="B218" s="8" t="str">
        <f aca="false">'2026 Forecast A'!B200</f>
        <v>UPPER MILFORD</v>
      </c>
      <c r="C218" s="8" t="str">
        <f aca="false">'2026 Forecast A'!C200</f>
        <v>UPPER MILFORD EASTERN DISTRICT</v>
      </c>
      <c r="D218" s="9" t="n">
        <f aca="false">'2026 Forecast A'!G200</f>
        <v>0.510024057738573</v>
      </c>
      <c r="E218" s="9" t="n">
        <f aca="false">'2026 Forecast B'!G200</f>
        <v>0.499599037690457</v>
      </c>
      <c r="F218" s="9" t="n">
        <f aca="false">'2026 Forecast C'!G200</f>
        <v>0.50962309542903</v>
      </c>
      <c r="G218" s="24" t="n">
        <f aca="false">(MAX(D218:F218)-MIN(D218:F218))*100</f>
        <v>1.04250200481155</v>
      </c>
      <c r="H218" s="24" t="n">
        <f aca="false">'2026 Forecast A'!J200</f>
        <v>1.24911041755021</v>
      </c>
      <c r="I218" s="24" t="n">
        <f aca="false">'2026 Forecast B'!J200</f>
        <v>1.87117215961084</v>
      </c>
      <c r="J218" s="24" t="n">
        <f aca="false">'2026 Forecast C'!J200</f>
        <v>1.25589305869883</v>
      </c>
      <c r="K218" s="25" t="n">
        <f aca="false">'2026 Forecast A'!F200</f>
        <v>2494</v>
      </c>
      <c r="L218" s="26" t="str">
        <f aca="false">IF(OR(AND(D218&gt;0.5,E218&gt;0.5,F218&gt;0.5),AND(D218&lt;0.5,E218&lt;0.5,F218&lt;0.5)),"Yes","No — toss-up")</f>
        <v>No — toss-up</v>
      </c>
    </row>
    <row r="219" customFormat="false" ht="15" hidden="false" customHeight="false" outlineLevel="0" collapsed="false">
      <c r="A219" s="8" t="str">
        <f aca="false">'2026 Forecast A'!A201</f>
        <v>Lehigh</v>
      </c>
      <c r="B219" s="8" t="str">
        <f aca="false">'2026 Forecast A'!B201</f>
        <v>UPPER MILFORD</v>
      </c>
      <c r="C219" s="8" t="str">
        <f aca="false">'2026 Forecast A'!C201</f>
        <v>UPPER MILFORD WESTERN DISTRICT</v>
      </c>
      <c r="D219" s="9" t="n">
        <f aca="false">'2026 Forecast A'!G201</f>
        <v>0.428068410462777</v>
      </c>
      <c r="E219" s="9" t="n">
        <f aca="false">'2026 Forecast B'!G201</f>
        <v>0.418008048289738</v>
      </c>
      <c r="F219" s="9" t="n">
        <f aca="false">'2026 Forecast C'!G201</f>
        <v>0.425050301810865</v>
      </c>
      <c r="G219" s="24" t="n">
        <f aca="false">(MAX(D219:F219)-MIN(D219:F219))*100</f>
        <v>1.00603621730382</v>
      </c>
      <c r="H219" s="24" t="n">
        <f aca="false">'2026 Forecast A'!J201</f>
        <v>1.24911041755021</v>
      </c>
      <c r="I219" s="24" t="n">
        <f aca="false">'2026 Forecast B'!J201</f>
        <v>1.87117215961084</v>
      </c>
      <c r="J219" s="24" t="n">
        <f aca="false">'2026 Forecast C'!J201</f>
        <v>1.25589305869883</v>
      </c>
      <c r="K219" s="25" t="n">
        <f aca="false">'2026 Forecast A'!F201</f>
        <v>1988</v>
      </c>
      <c r="L219" s="26" t="str">
        <f aca="false">IF(OR(AND(D219&gt;0.5,E219&gt;0.5,F219&gt;0.5),AND(D219&lt;0.5,E219&lt;0.5,F219&lt;0.5)),"Yes","No — toss-up")</f>
        <v>Yes</v>
      </c>
    </row>
    <row r="220" customFormat="false" ht="15" hidden="false" customHeight="false" outlineLevel="0" collapsed="false">
      <c r="A220" s="8" t="str">
        <f aca="false">'2026 Forecast A'!A202</f>
        <v>Lehigh</v>
      </c>
      <c r="B220" s="8" t="str">
        <f aca="false">'2026 Forecast A'!B202</f>
        <v>UPPER SAUCON</v>
      </c>
      <c r="C220" s="8" t="str">
        <f aca="false">'2026 Forecast A'!C202</f>
        <v>UPPER SAUCON 1ST DISTRICT</v>
      </c>
      <c r="D220" s="9" t="n">
        <f aca="false">'2026 Forecast A'!G202</f>
        <v>0.53921007441328</v>
      </c>
      <c r="E220" s="9" t="n">
        <f aca="false">'2026 Forecast B'!G202</f>
        <v>0.535203205495135</v>
      </c>
      <c r="F220" s="9" t="n">
        <f aca="false">'2026 Forecast C'!G202</f>
        <v>0.540927303949628</v>
      </c>
      <c r="G220" s="24" t="n">
        <f aca="false">(MAX(D220:F220)-MIN(D220:F220))*100</f>
        <v>0.57240984544934</v>
      </c>
      <c r="H220" s="24" t="n">
        <f aca="false">'2026 Forecast A'!J202</f>
        <v>1.24911041755021</v>
      </c>
      <c r="I220" s="24" t="n">
        <f aca="false">'2026 Forecast B'!J202</f>
        <v>1.87117215961084</v>
      </c>
      <c r="J220" s="24" t="n">
        <f aca="false">'2026 Forecast C'!J202</f>
        <v>1.25589305869883</v>
      </c>
      <c r="K220" s="25" t="n">
        <f aca="false">'2026 Forecast A'!F202</f>
        <v>1747</v>
      </c>
      <c r="L220" s="26" t="str">
        <f aca="false">IF(OR(AND(D220&gt;0.5,E220&gt;0.5,F220&gt;0.5),AND(D220&lt;0.5,E220&lt;0.5,F220&lt;0.5)),"Yes","No — toss-up")</f>
        <v>Yes</v>
      </c>
    </row>
    <row r="221" customFormat="false" ht="15" hidden="false" customHeight="false" outlineLevel="0" collapsed="false">
      <c r="A221" s="8" t="str">
        <f aca="false">'2026 Forecast A'!A203</f>
        <v>Lehigh</v>
      </c>
      <c r="B221" s="8" t="str">
        <f aca="false">'2026 Forecast A'!B203</f>
        <v>UPPER SAUCON</v>
      </c>
      <c r="C221" s="8" t="str">
        <f aca="false">'2026 Forecast A'!C203</f>
        <v>UPPER SAUCON 2ND DISTRICT</v>
      </c>
      <c r="D221" s="9" t="n">
        <f aca="false">'2026 Forecast A'!G203</f>
        <v>0.523462783171521</v>
      </c>
      <c r="E221" s="9" t="n">
        <f aca="false">'2026 Forecast B'!G203</f>
        <v>0.521035598705502</v>
      </c>
      <c r="F221" s="9" t="n">
        <f aca="false">'2026 Forecast C'!G203</f>
        <v>0.524271844660194</v>
      </c>
      <c r="G221" s="24" t="n">
        <f aca="false">(MAX(D221:F221)-MIN(D221:F221))*100</f>
        <v>0.323624595469252</v>
      </c>
      <c r="H221" s="24" t="n">
        <f aca="false">'2026 Forecast A'!J203</f>
        <v>1.24911041755021</v>
      </c>
      <c r="I221" s="24" t="n">
        <f aca="false">'2026 Forecast B'!J203</f>
        <v>1.87117215961084</v>
      </c>
      <c r="J221" s="24" t="n">
        <f aca="false">'2026 Forecast C'!J203</f>
        <v>1.25589305869883</v>
      </c>
      <c r="K221" s="25" t="n">
        <f aca="false">'2026 Forecast A'!F203</f>
        <v>1236</v>
      </c>
      <c r="L221" s="26" t="str">
        <f aca="false">IF(OR(AND(D221&gt;0.5,E221&gt;0.5,F221&gt;0.5),AND(D221&lt;0.5,E221&lt;0.5,F221&lt;0.5)),"Yes","No — toss-up")</f>
        <v>Yes</v>
      </c>
    </row>
    <row r="222" customFormat="false" ht="15" hidden="false" customHeight="false" outlineLevel="0" collapsed="false">
      <c r="A222" s="8" t="str">
        <f aca="false">'2026 Forecast A'!A204</f>
        <v>Lehigh</v>
      </c>
      <c r="B222" s="8" t="str">
        <f aca="false">'2026 Forecast A'!B204</f>
        <v>UPPER SAUCON</v>
      </c>
      <c r="C222" s="8" t="str">
        <f aca="false">'2026 Forecast A'!C204</f>
        <v>UPPER SAUCON 3RD DISTRICT</v>
      </c>
      <c r="D222" s="9" t="n">
        <f aca="false">'2026 Forecast A'!G204</f>
        <v>0.527888446215139</v>
      </c>
      <c r="E222" s="9" t="n">
        <f aca="false">'2026 Forecast B'!G204</f>
        <v>0.516932270916335</v>
      </c>
      <c r="F222" s="9" t="n">
        <f aca="false">'2026 Forecast C'!G204</f>
        <v>0.530876494023904</v>
      </c>
      <c r="G222" s="24" t="n">
        <f aca="false">(MAX(D222:F222)-MIN(D222:F222))*100</f>
        <v>1.39442231075697</v>
      </c>
      <c r="H222" s="24" t="n">
        <f aca="false">'2026 Forecast A'!J204</f>
        <v>1.8085538155628</v>
      </c>
      <c r="I222" s="24" t="n">
        <f aca="false">'2026 Forecast B'!J204</f>
        <v>1.92472098334064</v>
      </c>
      <c r="J222" s="24" t="n">
        <f aca="false">'2026 Forecast C'!J204</f>
        <v>2.05025038892674</v>
      </c>
      <c r="K222" s="25" t="n">
        <f aca="false">'2026 Forecast A'!F204</f>
        <v>1004</v>
      </c>
      <c r="L222" s="26" t="str">
        <f aca="false">IF(OR(AND(D222&gt;0.5,E222&gt;0.5,F222&gt;0.5),AND(D222&lt;0.5,E222&lt;0.5,F222&lt;0.5)),"Yes","No — toss-up")</f>
        <v>Yes</v>
      </c>
    </row>
    <row r="223" customFormat="false" ht="15" hidden="false" customHeight="false" outlineLevel="0" collapsed="false">
      <c r="A223" s="8" t="str">
        <f aca="false">'2026 Forecast A'!A205</f>
        <v>Lehigh</v>
      </c>
      <c r="B223" s="8" t="str">
        <f aca="false">'2026 Forecast A'!B205</f>
        <v>UPPER SAUCON</v>
      </c>
      <c r="C223" s="8" t="str">
        <f aca="false">'2026 Forecast A'!C205</f>
        <v>UPPER SAUCON 4TH DISTRICT</v>
      </c>
      <c r="D223" s="9" t="n">
        <f aca="false">'2026 Forecast A'!G205</f>
        <v>0.527272727272727</v>
      </c>
      <c r="E223" s="9" t="n">
        <f aca="false">'2026 Forecast B'!G205</f>
        <v>0.524621212121212</v>
      </c>
      <c r="F223" s="9" t="n">
        <f aca="false">'2026 Forecast C'!G205</f>
        <v>0.528409090909091</v>
      </c>
      <c r="G223" s="24" t="n">
        <f aca="false">(MAX(D223:F223)-MIN(D223:F223))*100</f>
        <v>0.378787878787878</v>
      </c>
      <c r="H223" s="24" t="n">
        <f aca="false">'2026 Forecast A'!J205</f>
        <v>1.24911041755021</v>
      </c>
      <c r="I223" s="24" t="n">
        <f aca="false">'2026 Forecast B'!J205</f>
        <v>1.87117215961084</v>
      </c>
      <c r="J223" s="24" t="n">
        <f aca="false">'2026 Forecast C'!J205</f>
        <v>1.25589305869883</v>
      </c>
      <c r="K223" s="25" t="n">
        <f aca="false">'2026 Forecast A'!F205</f>
        <v>2640</v>
      </c>
      <c r="L223" s="26" t="str">
        <f aca="false">IF(OR(AND(D223&gt;0.5,E223&gt;0.5,F223&gt;0.5),AND(D223&lt;0.5,E223&lt;0.5,F223&lt;0.5)),"Yes","No — toss-up")</f>
        <v>Yes</v>
      </c>
    </row>
    <row r="224" customFormat="false" ht="15" hidden="false" customHeight="false" outlineLevel="0" collapsed="false">
      <c r="A224" s="8" t="str">
        <f aca="false">'2026 Forecast A'!A206</f>
        <v>Lehigh</v>
      </c>
      <c r="B224" s="8" t="str">
        <f aca="false">'2026 Forecast A'!B206</f>
        <v>UPPER SAUCON</v>
      </c>
      <c r="C224" s="8" t="str">
        <f aca="false">'2026 Forecast A'!C206</f>
        <v>UPPER SAUCON 5TH DISTRICT</v>
      </c>
      <c r="D224" s="9" t="n">
        <f aca="false">'2026 Forecast A'!G206</f>
        <v>0.544022242817424</v>
      </c>
      <c r="E224" s="9" t="n">
        <f aca="false">'2026 Forecast B'!G206</f>
        <v>0.537534754402224</v>
      </c>
      <c r="F224" s="9" t="n">
        <f aca="false">'2026 Forecast C'!G206</f>
        <v>0.545875810936052</v>
      </c>
      <c r="G224" s="24" t="n">
        <f aca="false">(MAX(D224:F224)-MIN(D224:F224))*100</f>
        <v>0.834105653382755</v>
      </c>
      <c r="H224" s="24" t="n">
        <f aca="false">'2026 Forecast A'!J206</f>
        <v>1.8085538155628</v>
      </c>
      <c r="I224" s="24" t="n">
        <f aca="false">'2026 Forecast B'!J206</f>
        <v>1.92472098334064</v>
      </c>
      <c r="J224" s="24" t="n">
        <f aca="false">'2026 Forecast C'!J206</f>
        <v>2.05025038892674</v>
      </c>
      <c r="K224" s="25" t="n">
        <f aca="false">'2026 Forecast A'!F206</f>
        <v>1079</v>
      </c>
      <c r="L224" s="26" t="str">
        <f aca="false">IF(OR(AND(D224&gt;0.5,E224&gt;0.5,F224&gt;0.5),AND(D224&lt;0.5,E224&lt;0.5,F224&lt;0.5)),"Yes","No — toss-up")</f>
        <v>Yes</v>
      </c>
    </row>
    <row r="225" customFormat="false" ht="15" hidden="false" customHeight="false" outlineLevel="0" collapsed="false">
      <c r="A225" s="8" t="str">
        <f aca="false">'2026 Forecast A'!A207</f>
        <v>Lehigh</v>
      </c>
      <c r="B225" s="8" t="str">
        <f aca="false">'2026 Forecast A'!B207</f>
        <v>UPPER SAUCON</v>
      </c>
      <c r="C225" s="8" t="str">
        <f aca="false">'2026 Forecast A'!C207</f>
        <v>UPPER SAUCON 6TH DISTRICT</v>
      </c>
      <c r="D225" s="9" t="n">
        <f aca="false">'2026 Forecast A'!G207</f>
        <v>0.559401309635173</v>
      </c>
      <c r="E225" s="9" t="n">
        <f aca="false">'2026 Forecast B'!G207</f>
        <v>0.546304957904584</v>
      </c>
      <c r="F225" s="9" t="n">
        <f aca="false">'2026 Forecast C'!G207</f>
        <v>0.563143124415341</v>
      </c>
      <c r="G225" s="24" t="n">
        <f aca="false">(MAX(D225:F225)-MIN(D225:F225))*100</f>
        <v>1.68381665107576</v>
      </c>
      <c r="H225" s="24" t="n">
        <f aca="false">'2026 Forecast A'!J207</f>
        <v>1.8085538155628</v>
      </c>
      <c r="I225" s="24" t="n">
        <f aca="false">'2026 Forecast B'!J207</f>
        <v>1.92472098334064</v>
      </c>
      <c r="J225" s="24" t="n">
        <f aca="false">'2026 Forecast C'!J207</f>
        <v>2.05025038892674</v>
      </c>
      <c r="K225" s="25" t="n">
        <f aca="false">'2026 Forecast A'!F207</f>
        <v>1069</v>
      </c>
      <c r="L225" s="26" t="str">
        <f aca="false">IF(OR(AND(D225&gt;0.5,E225&gt;0.5,F225&gt;0.5),AND(D225&lt;0.5,E225&lt;0.5,F225&lt;0.5)),"Yes","No — toss-up")</f>
        <v>Yes</v>
      </c>
    </row>
    <row r="226" customFormat="false" ht="15" hidden="false" customHeight="false" outlineLevel="0" collapsed="false">
      <c r="A226" s="8" t="str">
        <f aca="false">'2026 Forecast A'!A208</f>
        <v>Lehigh</v>
      </c>
      <c r="B226" s="8" t="str">
        <f aca="false">'2026 Forecast A'!B208</f>
        <v>WASHINGTON</v>
      </c>
      <c r="C226" s="8" t="str">
        <f aca="false">'2026 Forecast A'!C208</f>
        <v>WASHINGTON EASTERN DISTRICT</v>
      </c>
      <c r="D226" s="9" t="n">
        <f aca="false">'2026 Forecast A'!G208</f>
        <v>0.356775300171527</v>
      </c>
      <c r="E226" s="9" t="n">
        <f aca="false">'2026 Forecast B'!G208</f>
        <v>0.363636363636364</v>
      </c>
      <c r="F226" s="9" t="n">
        <f aca="false">'2026 Forecast C'!G208</f>
        <v>0.34819897084048</v>
      </c>
      <c r="G226" s="24" t="n">
        <f aca="false">(MAX(D226:F226)-MIN(D226:F226))*100</f>
        <v>1.54373927958834</v>
      </c>
      <c r="H226" s="24" t="n">
        <f aca="false">'2026 Forecast A'!J208</f>
        <v>3.02608556967268</v>
      </c>
      <c r="I226" s="24" t="n">
        <f aca="false">'2026 Forecast B'!J208</f>
        <v>2.87480042420966</v>
      </c>
      <c r="J226" s="24" t="n">
        <f aca="false">'2026 Forecast C'!J208</f>
        <v>3.45317612968717</v>
      </c>
      <c r="K226" s="25" t="n">
        <f aca="false">'2026 Forecast A'!F208</f>
        <v>583</v>
      </c>
      <c r="L226" s="26" t="str">
        <f aca="false">IF(OR(AND(D226&gt;0.5,E226&gt;0.5,F226&gt;0.5),AND(D226&lt;0.5,E226&lt;0.5,F226&lt;0.5)),"Yes","No — toss-up")</f>
        <v>Yes</v>
      </c>
    </row>
    <row r="227" customFormat="false" ht="15" hidden="false" customHeight="false" outlineLevel="0" collapsed="false">
      <c r="A227" s="8" t="str">
        <f aca="false">'2026 Forecast A'!A209</f>
        <v>Lehigh</v>
      </c>
      <c r="B227" s="8" t="str">
        <f aca="false">'2026 Forecast A'!B209</f>
        <v>WASHINGTON</v>
      </c>
      <c r="C227" s="8" t="str">
        <f aca="false">'2026 Forecast A'!C209</f>
        <v>WASHINGTON SOUTHERN DISTRICT</v>
      </c>
      <c r="D227" s="9" t="n">
        <f aca="false">'2026 Forecast A'!G209</f>
        <v>0.380554103502352</v>
      </c>
      <c r="E227" s="9" t="n">
        <f aca="false">'2026 Forecast B'!G209</f>
        <v>0.38003136434919</v>
      </c>
      <c r="F227" s="9" t="n">
        <f aca="false">'2026 Forecast C'!G209</f>
        <v>0.373758494511239</v>
      </c>
      <c r="G227" s="24" t="n">
        <f aca="false">(MAX(D227:F227)-MIN(D227:F227))*100</f>
        <v>0.679560899111342</v>
      </c>
      <c r="H227" s="24" t="n">
        <f aca="false">'2026 Forecast A'!J209</f>
        <v>1.24911041755021</v>
      </c>
      <c r="I227" s="24" t="n">
        <f aca="false">'2026 Forecast B'!J209</f>
        <v>1.87117215961084</v>
      </c>
      <c r="J227" s="24" t="n">
        <f aca="false">'2026 Forecast C'!J209</f>
        <v>1.25589305869883</v>
      </c>
      <c r="K227" s="25" t="n">
        <f aca="false">'2026 Forecast A'!F209</f>
        <v>1913</v>
      </c>
      <c r="L227" s="26" t="str">
        <f aca="false">IF(OR(AND(D227&gt;0.5,E227&gt;0.5,F227&gt;0.5),AND(D227&lt;0.5,E227&lt;0.5,F227&lt;0.5)),"Yes","No — toss-up")</f>
        <v>Yes</v>
      </c>
    </row>
    <row r="228" customFormat="false" ht="15" hidden="false" customHeight="false" outlineLevel="0" collapsed="false">
      <c r="A228" s="8" t="str">
        <f aca="false">'2026 Forecast A'!A210</f>
        <v>Lehigh</v>
      </c>
      <c r="B228" s="8" t="str">
        <f aca="false">'2026 Forecast A'!B210</f>
        <v>WASHINGTON</v>
      </c>
      <c r="C228" s="8" t="str">
        <f aca="false">'2026 Forecast A'!C210</f>
        <v>WASHINGTON WESTERN DISTRICT</v>
      </c>
      <c r="D228" s="9" t="n">
        <f aca="false">'2026 Forecast A'!G210</f>
        <v>0.327450980392157</v>
      </c>
      <c r="E228" s="9" t="n">
        <f aca="false">'2026 Forecast B'!G210</f>
        <v>0.327450980392157</v>
      </c>
      <c r="F228" s="9" t="n">
        <f aca="false">'2026 Forecast C'!G210</f>
        <v>0.319607843137255</v>
      </c>
      <c r="G228" s="24" t="n">
        <f aca="false">(MAX(D228:F228)-MIN(D228:F228))*100</f>
        <v>0.784313725490199</v>
      </c>
      <c r="H228" s="24" t="n">
        <f aca="false">'2026 Forecast A'!J210</f>
        <v>3.02608556967268</v>
      </c>
      <c r="I228" s="24" t="n">
        <f aca="false">'2026 Forecast B'!J210</f>
        <v>2.87480042420966</v>
      </c>
      <c r="J228" s="24" t="n">
        <f aca="false">'2026 Forecast C'!J210</f>
        <v>3.45317612968717</v>
      </c>
      <c r="K228" s="25" t="n">
        <f aca="false">'2026 Forecast A'!F210</f>
        <v>510</v>
      </c>
      <c r="L228" s="26" t="str">
        <f aca="false">IF(OR(AND(D228&gt;0.5,E228&gt;0.5,F228&gt;0.5),AND(D228&lt;0.5,E228&lt;0.5,F228&lt;0.5)),"Yes","No — toss-up")</f>
        <v>Yes</v>
      </c>
    </row>
    <row r="229" customFormat="false" ht="15" hidden="false" customHeight="false" outlineLevel="0" collapsed="false">
      <c r="A229" s="8" t="str">
        <f aca="false">'2026 Forecast A'!A211</f>
        <v>Lehigh</v>
      </c>
      <c r="B229" s="8" t="str">
        <f aca="false">'2026 Forecast A'!B211</f>
        <v>WEISENBERG</v>
      </c>
      <c r="C229" s="8" t="str">
        <f aca="false">'2026 Forecast A'!C211</f>
        <v>WEISENBERG</v>
      </c>
      <c r="D229" s="9" t="n">
        <f aca="false">'2026 Forecast A'!G211</f>
        <v>0.393387815750371</v>
      </c>
      <c r="E229" s="9" t="n">
        <f aca="false">'2026 Forecast B'!G211</f>
        <v>0.382615156017831</v>
      </c>
      <c r="F229" s="9" t="n">
        <f aca="false">'2026 Forecast C'!G211</f>
        <v>0.388187221396731</v>
      </c>
      <c r="G229" s="24" t="n">
        <f aca="false">(MAX(D229:F229)-MIN(D229:F229))*100</f>
        <v>1.07726597325409</v>
      </c>
      <c r="H229" s="24" t="n">
        <f aca="false">'2026 Forecast A'!J211</f>
        <v>1.24911041755021</v>
      </c>
      <c r="I229" s="24" t="n">
        <f aca="false">'2026 Forecast B'!J211</f>
        <v>1.87117215961084</v>
      </c>
      <c r="J229" s="24" t="n">
        <f aca="false">'2026 Forecast C'!J211</f>
        <v>1.25589305869883</v>
      </c>
      <c r="K229" s="25" t="n">
        <f aca="false">'2026 Forecast A'!F211</f>
        <v>2692</v>
      </c>
      <c r="L229" s="26" t="str">
        <f aca="false">IF(OR(AND(D229&gt;0.5,E229&gt;0.5,F229&gt;0.5),AND(D229&lt;0.5,E229&lt;0.5,F229&lt;0.5)),"Yes","No — toss-up")</f>
        <v>Yes</v>
      </c>
    </row>
    <row r="230" customFormat="false" ht="15" hidden="false" customHeight="false" outlineLevel="0" collapsed="false">
      <c r="A230" s="8" t="str">
        <f aca="false">'2026 Forecast A'!A212</f>
        <v>Lehigh</v>
      </c>
      <c r="B230" s="8" t="str">
        <f aca="false">'2026 Forecast A'!B212</f>
        <v>WHITEHALL</v>
      </c>
      <c r="C230" s="8" t="str">
        <f aca="false">'2026 Forecast A'!C212</f>
        <v>WHITEHALL 10TH DISTRICT</v>
      </c>
      <c r="D230" s="9" t="n">
        <f aca="false">'2026 Forecast A'!G212</f>
        <v>0.523443504996157</v>
      </c>
      <c r="E230" s="9" t="n">
        <f aca="false">'2026 Forecast B'!G212</f>
        <v>0.52651806302844</v>
      </c>
      <c r="F230" s="9" t="n">
        <f aca="false">'2026 Forecast C'!G212</f>
        <v>0.523443504996157</v>
      </c>
      <c r="G230" s="24" t="n">
        <f aca="false">(MAX(D230:F230)-MIN(D230:F230))*100</f>
        <v>0.307455803228285</v>
      </c>
      <c r="H230" s="24" t="n">
        <f aca="false">'2026 Forecast A'!J212</f>
        <v>1.24911041755021</v>
      </c>
      <c r="I230" s="24" t="n">
        <f aca="false">'2026 Forecast B'!J212</f>
        <v>1.87117215961084</v>
      </c>
      <c r="J230" s="24" t="n">
        <f aca="false">'2026 Forecast C'!J212</f>
        <v>1.25589305869883</v>
      </c>
      <c r="K230" s="25" t="n">
        <f aca="false">'2026 Forecast A'!F212</f>
        <v>1301</v>
      </c>
      <c r="L230" s="26" t="str">
        <f aca="false">IF(OR(AND(D230&gt;0.5,E230&gt;0.5,F230&gt;0.5),AND(D230&lt;0.5,E230&lt;0.5,F230&lt;0.5)),"Yes","No — toss-up")</f>
        <v>Yes</v>
      </c>
    </row>
    <row r="231" customFormat="false" ht="15" hidden="false" customHeight="false" outlineLevel="0" collapsed="false">
      <c r="A231" s="8" t="str">
        <f aca="false">'2026 Forecast A'!A213</f>
        <v>Lehigh</v>
      </c>
      <c r="B231" s="8" t="str">
        <f aca="false">'2026 Forecast A'!B213</f>
        <v>WHITEHALL</v>
      </c>
      <c r="C231" s="8" t="str">
        <f aca="false">'2026 Forecast A'!C213</f>
        <v>WHITEHALL 11TH DISTRICT</v>
      </c>
      <c r="D231" s="9" t="n">
        <f aca="false">'2026 Forecast A'!G213</f>
        <v>0.523364485981308</v>
      </c>
      <c r="E231" s="9" t="n">
        <f aca="false">'2026 Forecast B'!G213</f>
        <v>0.528556593977155</v>
      </c>
      <c r="F231" s="9" t="n">
        <f aca="false">'2026 Forecast C'!G213</f>
        <v>0.523364485981308</v>
      </c>
      <c r="G231" s="24" t="n">
        <f aca="false">(MAX(D231:F231)-MIN(D231:F231))*100</f>
        <v>0.519210799584635</v>
      </c>
      <c r="H231" s="24" t="n">
        <f aca="false">'2026 Forecast A'!J213</f>
        <v>1.8085538155628</v>
      </c>
      <c r="I231" s="24" t="n">
        <f aca="false">'2026 Forecast B'!J213</f>
        <v>1.92472098334064</v>
      </c>
      <c r="J231" s="24" t="n">
        <f aca="false">'2026 Forecast C'!J213</f>
        <v>2.05025038892674</v>
      </c>
      <c r="K231" s="25" t="n">
        <f aca="false">'2026 Forecast A'!F213</f>
        <v>963</v>
      </c>
      <c r="L231" s="26" t="str">
        <f aca="false">IF(OR(AND(D231&gt;0.5,E231&gt;0.5,F231&gt;0.5),AND(D231&lt;0.5,E231&lt;0.5,F231&lt;0.5)),"Yes","No — toss-up")</f>
        <v>Yes</v>
      </c>
    </row>
    <row r="232" customFormat="false" ht="15" hidden="false" customHeight="false" outlineLevel="0" collapsed="false">
      <c r="A232" s="8" t="str">
        <f aca="false">'2026 Forecast A'!A214</f>
        <v>Lehigh</v>
      </c>
      <c r="B232" s="8" t="str">
        <f aca="false">'2026 Forecast A'!B214</f>
        <v>WHITEHALL</v>
      </c>
      <c r="C232" s="8" t="str">
        <f aca="false">'2026 Forecast A'!C214</f>
        <v>WHITEHALL 12TH DISTRICT</v>
      </c>
      <c r="D232" s="9" t="n">
        <f aca="false">'2026 Forecast A'!G214</f>
        <v>0.594444444444444</v>
      </c>
      <c r="E232" s="9" t="n">
        <f aca="false">'2026 Forecast B'!G214</f>
        <v>0.597777777777778</v>
      </c>
      <c r="F232" s="9" t="n">
        <f aca="false">'2026 Forecast C'!G214</f>
        <v>0.596666666666667</v>
      </c>
      <c r="G232" s="24" t="n">
        <f aca="false">(MAX(D232:F232)-MIN(D232:F232))*100</f>
        <v>0.33333333333333</v>
      </c>
      <c r="H232" s="24" t="n">
        <f aca="false">'2026 Forecast A'!J214</f>
        <v>1.8085538155628</v>
      </c>
      <c r="I232" s="24" t="n">
        <f aca="false">'2026 Forecast B'!J214</f>
        <v>1.92472098334064</v>
      </c>
      <c r="J232" s="24" t="n">
        <f aca="false">'2026 Forecast C'!J214</f>
        <v>2.05025038892674</v>
      </c>
      <c r="K232" s="25" t="n">
        <f aca="false">'2026 Forecast A'!F214</f>
        <v>900</v>
      </c>
      <c r="L232" s="26" t="str">
        <f aca="false">IF(OR(AND(D232&gt;0.5,E232&gt;0.5,F232&gt;0.5),AND(D232&lt;0.5,E232&lt;0.5,F232&lt;0.5)),"Yes","No — toss-up")</f>
        <v>Yes</v>
      </c>
    </row>
    <row r="233" customFormat="false" ht="15" hidden="false" customHeight="false" outlineLevel="0" collapsed="false">
      <c r="A233" s="8" t="str">
        <f aca="false">'2026 Forecast A'!A215</f>
        <v>Lehigh</v>
      </c>
      <c r="B233" s="8" t="str">
        <f aca="false">'2026 Forecast A'!B215</f>
        <v>WHITEHALL</v>
      </c>
      <c r="C233" s="8" t="str">
        <f aca="false">'2026 Forecast A'!C215</f>
        <v>WHITEHALL 1ST DISTRICT</v>
      </c>
      <c r="D233" s="9" t="n">
        <f aca="false">'2026 Forecast A'!G215</f>
        <v>0.617706237424547</v>
      </c>
      <c r="E233" s="9" t="n">
        <f aca="false">'2026 Forecast B'!G215</f>
        <v>0.624748490945674</v>
      </c>
      <c r="F233" s="9" t="n">
        <f aca="false">'2026 Forecast C'!G215</f>
        <v>0.619718309859155</v>
      </c>
      <c r="G233" s="24" t="n">
        <f aca="false">(MAX(D233:F233)-MIN(D233:F233))*100</f>
        <v>0.704225352112675</v>
      </c>
      <c r="H233" s="24" t="n">
        <f aca="false">'2026 Forecast A'!J215</f>
        <v>1.8085538155628</v>
      </c>
      <c r="I233" s="24" t="n">
        <f aca="false">'2026 Forecast B'!J215</f>
        <v>1.92472098334064</v>
      </c>
      <c r="J233" s="24" t="n">
        <f aca="false">'2026 Forecast C'!J215</f>
        <v>2.05025038892674</v>
      </c>
      <c r="K233" s="25" t="n">
        <f aca="false">'2026 Forecast A'!F215</f>
        <v>994</v>
      </c>
      <c r="L233" s="26" t="str">
        <f aca="false">IF(OR(AND(D233&gt;0.5,E233&gt;0.5,F233&gt;0.5),AND(D233&lt;0.5,E233&lt;0.5,F233&lt;0.5)),"Yes","No — toss-up")</f>
        <v>Yes</v>
      </c>
    </row>
    <row r="234" customFormat="false" ht="15" hidden="false" customHeight="false" outlineLevel="0" collapsed="false">
      <c r="A234" s="8" t="str">
        <f aca="false">'2026 Forecast A'!A216</f>
        <v>Lehigh</v>
      </c>
      <c r="B234" s="8" t="str">
        <f aca="false">'2026 Forecast A'!B216</f>
        <v>WHITEHALL</v>
      </c>
      <c r="C234" s="8" t="str">
        <f aca="false">'2026 Forecast A'!C216</f>
        <v>WHITEHALL 2ND DISTRICT</v>
      </c>
      <c r="D234" s="9" t="n">
        <f aca="false">'2026 Forecast A'!G216</f>
        <v>0.587467362924282</v>
      </c>
      <c r="E234" s="9" t="n">
        <f aca="false">'2026 Forecast B'!G216</f>
        <v>0.595300261096606</v>
      </c>
      <c r="F234" s="9" t="n">
        <f aca="false">'2026 Forecast C'!G216</f>
        <v>0.590078328981723</v>
      </c>
      <c r="G234" s="24" t="n">
        <f aca="false">(MAX(D234:F234)-MIN(D234:F234))*100</f>
        <v>0.783289817232369</v>
      </c>
      <c r="H234" s="24" t="n">
        <f aca="false">'2026 Forecast A'!J216</f>
        <v>3.02608556967268</v>
      </c>
      <c r="I234" s="24" t="n">
        <f aca="false">'2026 Forecast B'!J216</f>
        <v>2.87480042420966</v>
      </c>
      <c r="J234" s="24" t="n">
        <f aca="false">'2026 Forecast C'!J216</f>
        <v>3.45317612968717</v>
      </c>
      <c r="K234" s="25" t="n">
        <f aca="false">'2026 Forecast A'!F216</f>
        <v>383</v>
      </c>
      <c r="L234" s="26" t="str">
        <f aca="false">IF(OR(AND(D234&gt;0.5,E234&gt;0.5,F234&gt;0.5),AND(D234&lt;0.5,E234&lt;0.5,F234&lt;0.5)),"Yes","No — toss-up")</f>
        <v>Yes</v>
      </c>
    </row>
    <row r="235" customFormat="false" ht="15" hidden="false" customHeight="false" outlineLevel="0" collapsed="false">
      <c r="A235" s="8" t="str">
        <f aca="false">'2026 Forecast A'!A217</f>
        <v>Lehigh</v>
      </c>
      <c r="B235" s="8" t="str">
        <f aca="false">'2026 Forecast A'!B217</f>
        <v>WHITEHALL</v>
      </c>
      <c r="C235" s="8" t="str">
        <f aca="false">'2026 Forecast A'!C217</f>
        <v>WHITEHALL 3RD DISTRICT</v>
      </c>
      <c r="D235" s="9" t="n">
        <f aca="false">'2026 Forecast A'!G217</f>
        <v>0.632380952380952</v>
      </c>
      <c r="E235" s="9" t="n">
        <f aca="false">'2026 Forecast B'!G217</f>
        <v>0.634285714285714</v>
      </c>
      <c r="F235" s="9" t="n">
        <f aca="false">'2026 Forecast C'!G217</f>
        <v>0.634285714285714</v>
      </c>
      <c r="G235" s="24" t="n">
        <f aca="false">(MAX(D235:F235)-MIN(D235:F235))*100</f>
        <v>0.190476190476185</v>
      </c>
      <c r="H235" s="24" t="n">
        <f aca="false">'2026 Forecast A'!J217</f>
        <v>3.02608556967268</v>
      </c>
      <c r="I235" s="24" t="n">
        <f aca="false">'2026 Forecast B'!J217</f>
        <v>2.87480042420966</v>
      </c>
      <c r="J235" s="24" t="n">
        <f aca="false">'2026 Forecast C'!J217</f>
        <v>3.45317612968717</v>
      </c>
      <c r="K235" s="25" t="n">
        <f aca="false">'2026 Forecast A'!F217</f>
        <v>525</v>
      </c>
      <c r="L235" s="26" t="str">
        <f aca="false">IF(OR(AND(D235&gt;0.5,E235&gt;0.5,F235&gt;0.5),AND(D235&lt;0.5,E235&lt;0.5,F235&lt;0.5)),"Yes","No — toss-up")</f>
        <v>Yes</v>
      </c>
    </row>
    <row r="236" customFormat="false" ht="15" hidden="false" customHeight="false" outlineLevel="0" collapsed="false">
      <c r="A236" s="8" t="str">
        <f aca="false">'2026 Forecast A'!A218</f>
        <v>Lehigh</v>
      </c>
      <c r="B236" s="8" t="str">
        <f aca="false">'2026 Forecast A'!B218</f>
        <v>WHITEHALL</v>
      </c>
      <c r="C236" s="8" t="str">
        <f aca="false">'2026 Forecast A'!C218</f>
        <v>WHITEHALL 4TH DISTRICT</v>
      </c>
      <c r="D236" s="9" t="n">
        <f aca="false">'2026 Forecast A'!G218</f>
        <v>0.593023255813954</v>
      </c>
      <c r="E236" s="9" t="n">
        <f aca="false">'2026 Forecast B'!G218</f>
        <v>0.600290697674419</v>
      </c>
      <c r="F236" s="9" t="n">
        <f aca="false">'2026 Forecast C'!G218</f>
        <v>0.598837209302326</v>
      </c>
      <c r="G236" s="24" t="n">
        <f aca="false">(MAX(D236:F236)-MIN(D236:F236))*100</f>
        <v>0.726744186046502</v>
      </c>
      <c r="H236" s="24" t="n">
        <f aca="false">'2026 Forecast A'!J218</f>
        <v>3.02608556967268</v>
      </c>
      <c r="I236" s="24" t="n">
        <f aca="false">'2026 Forecast B'!J218</f>
        <v>2.87480042420966</v>
      </c>
      <c r="J236" s="24" t="n">
        <f aca="false">'2026 Forecast C'!J218</f>
        <v>3.45317612968717</v>
      </c>
      <c r="K236" s="25" t="n">
        <f aca="false">'2026 Forecast A'!F218</f>
        <v>688</v>
      </c>
      <c r="L236" s="26" t="str">
        <f aca="false">IF(OR(AND(D236&gt;0.5,E236&gt;0.5,F236&gt;0.5),AND(D236&lt;0.5,E236&lt;0.5,F236&lt;0.5)),"Yes","No — toss-up")</f>
        <v>Yes</v>
      </c>
    </row>
    <row r="237" customFormat="false" ht="15" hidden="false" customHeight="false" outlineLevel="0" collapsed="false">
      <c r="A237" s="8" t="str">
        <f aca="false">'2026 Forecast A'!A219</f>
        <v>Lehigh</v>
      </c>
      <c r="B237" s="8" t="str">
        <f aca="false">'2026 Forecast A'!B219</f>
        <v>WHITEHALL</v>
      </c>
      <c r="C237" s="8" t="str">
        <f aca="false">'2026 Forecast A'!C219</f>
        <v>WHITEHALL 5TH DISTRICT</v>
      </c>
      <c r="D237" s="9" t="n">
        <f aca="false">'2026 Forecast A'!G219</f>
        <v>0.522144522144522</v>
      </c>
      <c r="E237" s="9" t="n">
        <f aca="false">'2026 Forecast B'!G219</f>
        <v>0.529137529137529</v>
      </c>
      <c r="F237" s="9" t="n">
        <f aca="false">'2026 Forecast C'!G219</f>
        <v>0.524475524475525</v>
      </c>
      <c r="G237" s="24" t="n">
        <f aca="false">(MAX(D237:F237)-MIN(D237:F237))*100</f>
        <v>0.699300699300698</v>
      </c>
      <c r="H237" s="24" t="n">
        <f aca="false">'2026 Forecast A'!J219</f>
        <v>3.02608556967268</v>
      </c>
      <c r="I237" s="24" t="n">
        <f aca="false">'2026 Forecast B'!J219</f>
        <v>2.87480042420966</v>
      </c>
      <c r="J237" s="24" t="n">
        <f aca="false">'2026 Forecast C'!J219</f>
        <v>3.45317612968717</v>
      </c>
      <c r="K237" s="25" t="n">
        <f aca="false">'2026 Forecast A'!F219</f>
        <v>429</v>
      </c>
      <c r="L237" s="26" t="str">
        <f aca="false">IF(OR(AND(D237&gt;0.5,E237&gt;0.5,F237&gt;0.5),AND(D237&lt;0.5,E237&lt;0.5,F237&lt;0.5)),"Yes","No — toss-up")</f>
        <v>Yes</v>
      </c>
    </row>
    <row r="238" customFormat="false" ht="15" hidden="false" customHeight="false" outlineLevel="0" collapsed="false">
      <c r="A238" s="8" t="str">
        <f aca="false">'2026 Forecast A'!A220</f>
        <v>Lehigh</v>
      </c>
      <c r="B238" s="8" t="str">
        <f aca="false">'2026 Forecast A'!B220</f>
        <v>WHITEHALL</v>
      </c>
      <c r="C238" s="8" t="str">
        <f aca="false">'2026 Forecast A'!C220</f>
        <v>WHITEHALL 6TH DISTRICT</v>
      </c>
      <c r="D238" s="9" t="n">
        <f aca="false">'2026 Forecast A'!G220</f>
        <v>0.559065934065934</v>
      </c>
      <c r="E238" s="9" t="n">
        <f aca="false">'2026 Forecast B'!G220</f>
        <v>0.568681318681319</v>
      </c>
      <c r="F238" s="9" t="n">
        <f aca="false">'2026 Forecast C'!G220</f>
        <v>0.559065934065934</v>
      </c>
      <c r="G238" s="24" t="n">
        <f aca="false">(MAX(D238:F238)-MIN(D238:F238))*100</f>
        <v>0.961538461538458</v>
      </c>
      <c r="H238" s="24" t="n">
        <f aca="false">'2026 Forecast A'!J220</f>
        <v>3.02608556967268</v>
      </c>
      <c r="I238" s="24" t="n">
        <f aca="false">'2026 Forecast B'!J220</f>
        <v>2.87480042420966</v>
      </c>
      <c r="J238" s="24" t="n">
        <f aca="false">'2026 Forecast C'!J220</f>
        <v>3.45317612968717</v>
      </c>
      <c r="K238" s="25" t="n">
        <f aca="false">'2026 Forecast A'!F220</f>
        <v>728</v>
      </c>
      <c r="L238" s="26" t="str">
        <f aca="false">IF(OR(AND(D238&gt;0.5,E238&gt;0.5,F238&gt;0.5),AND(D238&lt;0.5,E238&lt;0.5,F238&lt;0.5)),"Yes","No — toss-up")</f>
        <v>Yes</v>
      </c>
    </row>
    <row r="239" customFormat="false" ht="15" hidden="false" customHeight="false" outlineLevel="0" collapsed="false">
      <c r="A239" s="8" t="str">
        <f aca="false">'2026 Forecast A'!A221</f>
        <v>Lehigh</v>
      </c>
      <c r="B239" s="8" t="str">
        <f aca="false">'2026 Forecast A'!B221</f>
        <v>WHITEHALL</v>
      </c>
      <c r="C239" s="8" t="str">
        <f aca="false">'2026 Forecast A'!C221</f>
        <v>WHITEHALL 7TH DISTRICT</v>
      </c>
      <c r="D239" s="9" t="n">
        <f aca="false">'2026 Forecast A'!G221</f>
        <v>0.518572469045885</v>
      </c>
      <c r="E239" s="9" t="n">
        <f aca="false">'2026 Forecast B'!G221</f>
        <v>0.524399126001457</v>
      </c>
      <c r="F239" s="9" t="n">
        <f aca="false">'2026 Forecast C'!G221</f>
        <v>0.518572469045885</v>
      </c>
      <c r="G239" s="24" t="n">
        <f aca="false">(MAX(D239:F239)-MIN(D239:F239))*100</f>
        <v>0.582665695557172</v>
      </c>
      <c r="H239" s="24" t="n">
        <f aca="false">'2026 Forecast A'!J221</f>
        <v>1.24911041755021</v>
      </c>
      <c r="I239" s="24" t="n">
        <f aca="false">'2026 Forecast B'!J221</f>
        <v>1.87117215961084</v>
      </c>
      <c r="J239" s="24" t="n">
        <f aca="false">'2026 Forecast C'!J221</f>
        <v>1.25589305869883</v>
      </c>
      <c r="K239" s="25" t="n">
        <f aca="false">'2026 Forecast A'!F221</f>
        <v>1373</v>
      </c>
      <c r="L239" s="26" t="str">
        <f aca="false">IF(OR(AND(D239&gt;0.5,E239&gt;0.5,F239&gt;0.5),AND(D239&lt;0.5,E239&lt;0.5,F239&lt;0.5)),"Yes","No — toss-up")</f>
        <v>Yes</v>
      </c>
    </row>
    <row r="240" customFormat="false" ht="15" hidden="false" customHeight="false" outlineLevel="0" collapsed="false">
      <c r="A240" s="8" t="str">
        <f aca="false">'2026 Forecast A'!A222</f>
        <v>Lehigh</v>
      </c>
      <c r="B240" s="8" t="str">
        <f aca="false">'2026 Forecast A'!B222</f>
        <v>WHITEHALL</v>
      </c>
      <c r="C240" s="8" t="str">
        <f aca="false">'2026 Forecast A'!C222</f>
        <v>WHITEHALL 8TH DISTRICT</v>
      </c>
      <c r="D240" s="9" t="n">
        <f aca="false">'2026 Forecast A'!G222</f>
        <v>0.539335664335664</v>
      </c>
      <c r="E240" s="9" t="n">
        <f aca="false">'2026 Forecast B'!G222</f>
        <v>0.547202797202797</v>
      </c>
      <c r="F240" s="9" t="n">
        <f aca="false">'2026 Forecast C'!G222</f>
        <v>0.54020979020979</v>
      </c>
      <c r="G240" s="24" t="n">
        <f aca="false">(MAX(D240:F240)-MIN(D240:F240))*100</f>
        <v>0.786713286713281</v>
      </c>
      <c r="H240" s="24" t="n">
        <f aca="false">'2026 Forecast A'!J222</f>
        <v>1.8085538155628</v>
      </c>
      <c r="I240" s="24" t="n">
        <f aca="false">'2026 Forecast B'!J222</f>
        <v>1.92472098334064</v>
      </c>
      <c r="J240" s="24" t="n">
        <f aca="false">'2026 Forecast C'!J222</f>
        <v>2.05025038892674</v>
      </c>
      <c r="K240" s="25" t="n">
        <f aca="false">'2026 Forecast A'!F222</f>
        <v>1144</v>
      </c>
      <c r="L240" s="26" t="str">
        <f aca="false">IF(OR(AND(D240&gt;0.5,E240&gt;0.5,F240&gt;0.5),AND(D240&lt;0.5,E240&lt;0.5,F240&lt;0.5)),"Yes","No — toss-up")</f>
        <v>Yes</v>
      </c>
    </row>
    <row r="241" customFormat="false" ht="15" hidden="false" customHeight="false" outlineLevel="0" collapsed="false">
      <c r="A241" s="8" t="str">
        <f aca="false">'2026 Forecast A'!A223</f>
        <v>Lehigh</v>
      </c>
      <c r="B241" s="8" t="str">
        <f aca="false">'2026 Forecast A'!B223</f>
        <v>WHITEHALL</v>
      </c>
      <c r="C241" s="8" t="str">
        <f aca="false">'2026 Forecast A'!C223</f>
        <v>WHITEHALL 9TH DISTRICT</v>
      </c>
      <c r="D241" s="9" t="n">
        <f aca="false">'2026 Forecast A'!G223</f>
        <v>0.554398148148148</v>
      </c>
      <c r="E241" s="9" t="n">
        <f aca="false">'2026 Forecast B'!G223</f>
        <v>0.5625</v>
      </c>
      <c r="F241" s="9" t="n">
        <f aca="false">'2026 Forecast C'!G223</f>
        <v>0.555555555555556</v>
      </c>
      <c r="G241" s="24" t="n">
        <f aca="false">(MAX(D241:F241)-MIN(D241:F241))*100</f>
        <v>0.810185185185186</v>
      </c>
      <c r="H241" s="24" t="n">
        <f aca="false">'2026 Forecast A'!J223</f>
        <v>1.8085538155628</v>
      </c>
      <c r="I241" s="24" t="n">
        <f aca="false">'2026 Forecast B'!J223</f>
        <v>1.92472098334064</v>
      </c>
      <c r="J241" s="24" t="n">
        <f aca="false">'2026 Forecast C'!J223</f>
        <v>2.05025038892674</v>
      </c>
      <c r="K241" s="25" t="n">
        <f aca="false">'2026 Forecast A'!F223</f>
        <v>864</v>
      </c>
      <c r="L241" s="26" t="str">
        <f aca="false">IF(OR(AND(D241&gt;0.5,E241&gt;0.5,F241&gt;0.5),AND(D241&lt;0.5,E241&lt;0.5,F241&lt;0.5)),"Yes","No — toss-up")</f>
        <v>Yes</v>
      </c>
    </row>
    <row r="242" customFormat="false" ht="15" hidden="false" customHeight="false" outlineLevel="0" collapsed="false">
      <c r="A242" s="8" t="str">
        <f aca="false">'2026 Forecast A'!A224</f>
        <v>Monroe</v>
      </c>
      <c r="B242" s="8" t="str">
        <f aca="false">'2026 Forecast A'!B224</f>
        <v>ELDRED TOWNSHIP</v>
      </c>
      <c r="C242" s="8" t="str">
        <f aca="false">'2026 Forecast A'!C224</f>
        <v>ELDRED</v>
      </c>
      <c r="D242" s="9" t="n">
        <f aca="false">'2026 Forecast A'!G224</f>
        <v>0.345991561181435</v>
      </c>
      <c r="E242" s="9" t="n">
        <f aca="false">'2026 Forecast B'!G224</f>
        <v>0.347679324894515</v>
      </c>
      <c r="F242" s="9" t="n">
        <f aca="false">'2026 Forecast C'!G224</f>
        <v>0.336708860759494</v>
      </c>
      <c r="G242" s="24" t="n">
        <f aca="false">(MAX(D242:F242)-MIN(D242:F242))*100</f>
        <v>1.09704641350211</v>
      </c>
      <c r="H242" s="24" t="n">
        <f aca="false">'2026 Forecast A'!J224</f>
        <v>1.8085538155628</v>
      </c>
      <c r="I242" s="24" t="n">
        <f aca="false">'2026 Forecast B'!J224</f>
        <v>1.92472098334064</v>
      </c>
      <c r="J242" s="24" t="n">
        <f aca="false">'2026 Forecast C'!J224</f>
        <v>2.05025038892674</v>
      </c>
      <c r="K242" s="25" t="n">
        <f aca="false">'2026 Forecast A'!F224</f>
        <v>1185</v>
      </c>
      <c r="L242" s="26" t="str">
        <f aca="false">IF(OR(AND(D242&gt;0.5,E242&gt;0.5,F242&gt;0.5),AND(D242&lt;0.5,E242&lt;0.5,F242&lt;0.5)),"Yes","No — toss-up")</f>
        <v>Yes</v>
      </c>
    </row>
    <row r="243" customFormat="false" ht="15" hidden="false" customHeight="false" outlineLevel="0" collapsed="false">
      <c r="A243" s="8" t="str">
        <f aca="false">'2026 Forecast A'!A225</f>
        <v>Monroe</v>
      </c>
      <c r="B243" s="8" t="str">
        <f aca="false">'2026 Forecast A'!B225</f>
        <v>POLK TOWNSHIP</v>
      </c>
      <c r="C243" s="8" t="str">
        <f aca="false">'2026 Forecast A'!C225</f>
        <v>POLK</v>
      </c>
      <c r="D243" s="9" t="n">
        <f aca="false">'2026 Forecast A'!G225</f>
        <v>0.371381031613977</v>
      </c>
      <c r="E243" s="9" t="n">
        <f aca="false">'2026 Forecast B'!G225</f>
        <v>0.373377703826955</v>
      </c>
      <c r="F243" s="9" t="n">
        <f aca="false">'2026 Forecast C'!G225</f>
        <v>0.364392678868552</v>
      </c>
      <c r="G243" s="24" t="n">
        <f aca="false">(MAX(D243:F243)-MIN(D243:F243))*100</f>
        <v>0.898502495840264</v>
      </c>
      <c r="H243" s="24" t="n">
        <f aca="false">'2026 Forecast A'!J225</f>
        <v>1.24911041755021</v>
      </c>
      <c r="I243" s="24" t="n">
        <f aca="false">'2026 Forecast B'!J225</f>
        <v>1.87117215961084</v>
      </c>
      <c r="J243" s="24" t="n">
        <f aca="false">'2026 Forecast C'!J225</f>
        <v>1.25589305869883</v>
      </c>
      <c r="K243" s="25" t="n">
        <f aca="false">'2026 Forecast A'!F225</f>
        <v>3005</v>
      </c>
      <c r="L243" s="26" t="str">
        <f aca="false">IF(OR(AND(D243&gt;0.5,E243&gt;0.5,F243&gt;0.5),AND(D243&lt;0.5,E243&lt;0.5,F243&lt;0.5)),"Yes","No — toss-up")</f>
        <v>Yes</v>
      </c>
    </row>
    <row r="244" customFormat="false" ht="15" hidden="false" customHeight="false" outlineLevel="0" collapsed="false">
      <c r="A244" s="8" t="str">
        <f aca="false">'2026 Forecast A'!A226</f>
        <v>Monroe</v>
      </c>
      <c r="B244" s="8" t="str">
        <f aca="false">'2026 Forecast A'!B226</f>
        <v>ROSS TOWNSHIP</v>
      </c>
      <c r="C244" s="8" t="str">
        <f aca="false">'2026 Forecast A'!C226</f>
        <v>ROSS 1</v>
      </c>
      <c r="D244" s="9" t="n">
        <f aca="false">'2026 Forecast A'!G226</f>
        <v>0.387589928057554</v>
      </c>
      <c r="E244" s="9" t="n">
        <f aca="false">'2026 Forecast B'!G226</f>
        <v>0.385791366906475</v>
      </c>
      <c r="F244" s="9" t="n">
        <f aca="false">'2026 Forecast C'!G226</f>
        <v>0.381294964028777</v>
      </c>
      <c r="G244" s="24" t="n">
        <f aca="false">(MAX(D244:F244)-MIN(D244:F244))*100</f>
        <v>0.629496402877694</v>
      </c>
      <c r="H244" s="24" t="n">
        <f aca="false">'2026 Forecast A'!J226</f>
        <v>1.8085538155628</v>
      </c>
      <c r="I244" s="24" t="n">
        <f aca="false">'2026 Forecast B'!J226</f>
        <v>1.92472098334064</v>
      </c>
      <c r="J244" s="24" t="n">
        <f aca="false">'2026 Forecast C'!J226</f>
        <v>2.05025038892674</v>
      </c>
      <c r="K244" s="25" t="n">
        <f aca="false">'2026 Forecast A'!F226</f>
        <v>1112</v>
      </c>
      <c r="L244" s="26" t="str">
        <f aca="false">IF(OR(AND(D244&gt;0.5,E244&gt;0.5,F244&gt;0.5),AND(D244&lt;0.5,E244&lt;0.5,F244&lt;0.5)),"Yes","No — toss-up")</f>
        <v>Yes</v>
      </c>
    </row>
    <row r="245" customFormat="false" ht="15" hidden="false" customHeight="false" outlineLevel="0" collapsed="false">
      <c r="A245" s="8" t="str">
        <f aca="false">'2026 Forecast A'!A227</f>
        <v>Northampton</v>
      </c>
      <c r="B245" s="8" t="str">
        <f aca="false">'2026 Forecast A'!B227</f>
        <v>ALLEN</v>
      </c>
      <c r="C245" s="8" t="str">
        <f aca="false">'2026 Forecast A'!C227</f>
        <v>ALLEN TWSP - NORTH</v>
      </c>
      <c r="D245" s="9" t="n">
        <f aca="false">'2026 Forecast A'!G227</f>
        <v>0.457187745483111</v>
      </c>
      <c r="E245" s="9" t="n">
        <f aca="false">'2026 Forecast B'!G227</f>
        <v>0.452474469756481</v>
      </c>
      <c r="F245" s="9" t="n">
        <f aca="false">'2026 Forecast C'!G227</f>
        <v>0.454045561665357</v>
      </c>
      <c r="G245" s="24" t="n">
        <f aca="false">(MAX(D245:F245)-MIN(D245:F245))*100</f>
        <v>0.471327572663</v>
      </c>
      <c r="H245" s="24" t="n">
        <f aca="false">'2026 Forecast A'!J227</f>
        <v>1.24911041755021</v>
      </c>
      <c r="I245" s="24" t="n">
        <f aca="false">'2026 Forecast B'!J227</f>
        <v>1.87117215961084</v>
      </c>
      <c r="J245" s="24" t="n">
        <f aca="false">'2026 Forecast C'!J227</f>
        <v>1.25589305869883</v>
      </c>
      <c r="K245" s="25" t="n">
        <f aca="false">'2026 Forecast A'!F227</f>
        <v>1273</v>
      </c>
      <c r="L245" s="26" t="str">
        <f aca="false">IF(OR(AND(D245&gt;0.5,E245&gt;0.5,F245&gt;0.5),AND(D245&lt;0.5,E245&lt;0.5,F245&lt;0.5)),"Yes","No — toss-up")</f>
        <v>Yes</v>
      </c>
    </row>
    <row r="246" customFormat="false" ht="15" hidden="false" customHeight="false" outlineLevel="0" collapsed="false">
      <c r="A246" s="8" t="str">
        <f aca="false">'2026 Forecast A'!A228</f>
        <v>Northampton</v>
      </c>
      <c r="B246" s="8" t="str">
        <f aca="false">'2026 Forecast A'!B228</f>
        <v>ALLEN</v>
      </c>
      <c r="C246" s="8" t="str">
        <f aca="false">'2026 Forecast A'!C228</f>
        <v>ALLEN TWSP - SOUTH</v>
      </c>
      <c r="D246" s="9" t="n">
        <f aca="false">'2026 Forecast A'!G228</f>
        <v>0.513187641296157</v>
      </c>
      <c r="E246" s="9" t="n">
        <f aca="false">'2026 Forecast B'!G228</f>
        <v>0.507159005275057</v>
      </c>
      <c r="F246" s="9" t="n">
        <f aca="false">'2026 Forecast C'!G228</f>
        <v>0.511680482290882</v>
      </c>
      <c r="G246" s="24" t="n">
        <f aca="false">(MAX(D246:F246)-MIN(D246:F246))*100</f>
        <v>0.602863602110026</v>
      </c>
      <c r="H246" s="24" t="n">
        <f aca="false">'2026 Forecast A'!J228</f>
        <v>1.24911041755021</v>
      </c>
      <c r="I246" s="24" t="n">
        <f aca="false">'2026 Forecast B'!J228</f>
        <v>1.87117215961084</v>
      </c>
      <c r="J246" s="24" t="n">
        <f aca="false">'2026 Forecast C'!J228</f>
        <v>1.25589305869883</v>
      </c>
      <c r="K246" s="25" t="n">
        <f aca="false">'2026 Forecast A'!F228</f>
        <v>1327</v>
      </c>
      <c r="L246" s="26" t="str">
        <f aca="false">IF(OR(AND(D246&gt;0.5,E246&gt;0.5,F246&gt;0.5),AND(D246&lt;0.5,E246&lt;0.5,F246&lt;0.5)),"Yes","No — toss-up")</f>
        <v>Yes</v>
      </c>
    </row>
    <row r="247" customFormat="false" ht="15" hidden="false" customHeight="false" outlineLevel="0" collapsed="false">
      <c r="A247" s="8" t="str">
        <f aca="false">'2026 Forecast A'!A229</f>
        <v>Northampton</v>
      </c>
      <c r="B247" s="8" t="str">
        <f aca="false">'2026 Forecast A'!B229</f>
        <v>BANGOR</v>
      </c>
      <c r="C247" s="8" t="str">
        <f aca="false">'2026 Forecast A'!C229</f>
        <v>BANGOR BORO NORTH</v>
      </c>
      <c r="D247" s="9" t="n">
        <f aca="false">'2026 Forecast A'!G229</f>
        <v>0.437185929648241</v>
      </c>
      <c r="E247" s="9" t="n">
        <f aca="false">'2026 Forecast B'!G229</f>
        <v>0.433417085427136</v>
      </c>
      <c r="F247" s="9" t="n">
        <f aca="false">'2026 Forecast C'!G229</f>
        <v>0.434673366834171</v>
      </c>
      <c r="G247" s="24" t="n">
        <f aca="false">(MAX(D247:F247)-MIN(D247:F247))*100</f>
        <v>0.376884422110552</v>
      </c>
      <c r="H247" s="24" t="n">
        <f aca="false">'2026 Forecast A'!J229</f>
        <v>1.8085538155628</v>
      </c>
      <c r="I247" s="24" t="n">
        <f aca="false">'2026 Forecast B'!J229</f>
        <v>1.92472098334064</v>
      </c>
      <c r="J247" s="24" t="n">
        <f aca="false">'2026 Forecast C'!J229</f>
        <v>2.05025038892674</v>
      </c>
      <c r="K247" s="25" t="n">
        <f aca="false">'2026 Forecast A'!F229</f>
        <v>796</v>
      </c>
      <c r="L247" s="26" t="str">
        <f aca="false">IF(OR(AND(D247&gt;0.5,E247&gt;0.5,F247&gt;0.5),AND(D247&lt;0.5,E247&lt;0.5,F247&lt;0.5)),"Yes","No — toss-up")</f>
        <v>Yes</v>
      </c>
    </row>
    <row r="248" customFormat="false" ht="15" hidden="false" customHeight="false" outlineLevel="0" collapsed="false">
      <c r="A248" s="8" t="str">
        <f aca="false">'2026 Forecast A'!A230</f>
        <v>Northampton</v>
      </c>
      <c r="B248" s="8" t="str">
        <f aca="false">'2026 Forecast A'!B230</f>
        <v>BANGOR</v>
      </c>
      <c r="C248" s="8" t="str">
        <f aca="false">'2026 Forecast A'!C230</f>
        <v>BANGOR BORO SOUTH</v>
      </c>
      <c r="D248" s="9" t="n">
        <f aca="false">'2026 Forecast A'!G230</f>
        <v>0.451800232288037</v>
      </c>
      <c r="E248" s="9" t="n">
        <f aca="false">'2026 Forecast B'!G230</f>
        <v>0.444831591173055</v>
      </c>
      <c r="F248" s="9" t="n">
        <f aca="false">'2026 Forecast C'!G230</f>
        <v>0.450638792102207</v>
      </c>
      <c r="G248" s="24" t="n">
        <f aca="false">(MAX(D248:F248)-MIN(D248:F248))*100</f>
        <v>0.696864111498258</v>
      </c>
      <c r="H248" s="24" t="n">
        <f aca="false">'2026 Forecast A'!J230</f>
        <v>1.8085538155628</v>
      </c>
      <c r="I248" s="24" t="n">
        <f aca="false">'2026 Forecast B'!J230</f>
        <v>1.92472098334064</v>
      </c>
      <c r="J248" s="24" t="n">
        <f aca="false">'2026 Forecast C'!J230</f>
        <v>2.05025038892674</v>
      </c>
      <c r="K248" s="25" t="n">
        <f aca="false">'2026 Forecast A'!F230</f>
        <v>861</v>
      </c>
      <c r="L248" s="26" t="str">
        <f aca="false">IF(OR(AND(D248&gt;0.5,E248&gt;0.5,F248&gt;0.5),AND(D248&lt;0.5,E248&lt;0.5,F248&lt;0.5)),"Yes","No — toss-up")</f>
        <v>Yes</v>
      </c>
    </row>
    <row r="249" customFormat="false" ht="15" hidden="false" customHeight="false" outlineLevel="0" collapsed="false">
      <c r="A249" s="8" t="str">
        <f aca="false">'2026 Forecast A'!A231</f>
        <v>Northampton</v>
      </c>
      <c r="B249" s="8" t="str">
        <f aca="false">'2026 Forecast A'!B231</f>
        <v>BATH</v>
      </c>
      <c r="C249" s="8" t="str">
        <f aca="false">'2026 Forecast A'!C231</f>
        <v>BATH BORO</v>
      </c>
      <c r="D249" s="9" t="n">
        <f aca="false">'2026 Forecast A'!G231</f>
        <v>0.512578616352201</v>
      </c>
      <c r="E249" s="9" t="n">
        <f aca="false">'2026 Forecast B'!G231</f>
        <v>0.513626834381551</v>
      </c>
      <c r="F249" s="9" t="n">
        <f aca="false">'2026 Forecast C'!G231</f>
        <v>0.512578616352201</v>
      </c>
      <c r="G249" s="24" t="n">
        <f aca="false">(MAX(D249:F249)-MIN(D249:F249))*100</f>
        <v>0.104821802935007</v>
      </c>
      <c r="H249" s="24" t="n">
        <f aca="false">'2026 Forecast A'!J231</f>
        <v>1.8085538155628</v>
      </c>
      <c r="I249" s="24" t="n">
        <f aca="false">'2026 Forecast B'!J231</f>
        <v>1.92472098334064</v>
      </c>
      <c r="J249" s="24" t="n">
        <f aca="false">'2026 Forecast C'!J231</f>
        <v>2.05025038892674</v>
      </c>
      <c r="K249" s="25" t="n">
        <f aca="false">'2026 Forecast A'!F231</f>
        <v>954</v>
      </c>
      <c r="L249" s="26" t="str">
        <f aca="false">IF(OR(AND(D249&gt;0.5,E249&gt;0.5,F249&gt;0.5),AND(D249&lt;0.5,E249&lt;0.5,F249&lt;0.5)),"Yes","No — toss-up")</f>
        <v>Yes</v>
      </c>
    </row>
    <row r="250" customFormat="false" ht="15" hidden="false" customHeight="false" outlineLevel="0" collapsed="false">
      <c r="A250" s="8" t="str">
        <f aca="false">'2026 Forecast A'!A232</f>
        <v>Northampton</v>
      </c>
      <c r="B250" s="8" t="str">
        <f aca="false">'2026 Forecast A'!B232</f>
        <v>BETHLEHEM</v>
      </c>
      <c r="C250" s="8" t="str">
        <f aca="false">'2026 Forecast A'!C232</f>
        <v>BETHLEHEM 14TH WARD 1ST DISTRICT</v>
      </c>
      <c r="D250" s="9" t="n">
        <f aca="false">'2026 Forecast A'!G232</f>
        <v>0.668058455114823</v>
      </c>
      <c r="E250" s="9" t="n">
        <f aca="false">'2026 Forecast B'!G232</f>
        <v>0.65866388308977</v>
      </c>
      <c r="F250" s="9" t="n">
        <f aca="false">'2026 Forecast C'!G232</f>
        <v>0.674321503131524</v>
      </c>
      <c r="G250" s="24" t="n">
        <f aca="false">(MAX(D250:F250)-MIN(D250:F250))*100</f>
        <v>1.56576200417538</v>
      </c>
      <c r="H250" s="24" t="n">
        <f aca="false">'2026 Forecast A'!J232</f>
        <v>1.8085538155628</v>
      </c>
      <c r="I250" s="24" t="n">
        <f aca="false">'2026 Forecast B'!J232</f>
        <v>1.92472098334064</v>
      </c>
      <c r="J250" s="24" t="n">
        <f aca="false">'2026 Forecast C'!J232</f>
        <v>2.05025038892674</v>
      </c>
      <c r="K250" s="25" t="n">
        <f aca="false">'2026 Forecast A'!F232</f>
        <v>958</v>
      </c>
      <c r="L250" s="26" t="str">
        <f aca="false">IF(OR(AND(D250&gt;0.5,E250&gt;0.5,F250&gt;0.5),AND(D250&lt;0.5,E250&lt;0.5,F250&lt;0.5)),"Yes","No — toss-up")</f>
        <v>Yes</v>
      </c>
    </row>
    <row r="251" customFormat="false" ht="15" hidden="false" customHeight="false" outlineLevel="0" collapsed="false">
      <c r="A251" s="8" t="str">
        <f aca="false">'2026 Forecast A'!A233</f>
        <v>Northampton</v>
      </c>
      <c r="B251" s="8" t="str">
        <f aca="false">'2026 Forecast A'!B233</f>
        <v>BETHLEHEM</v>
      </c>
      <c r="C251" s="8" t="str">
        <f aca="false">'2026 Forecast A'!C233</f>
        <v>BETHLEHEM 14TH WARD 2ND DISTRICT</v>
      </c>
      <c r="D251" s="9" t="n">
        <f aca="false">'2026 Forecast A'!G233</f>
        <v>0.629682997118156</v>
      </c>
      <c r="E251" s="9" t="n">
        <f aca="false">'2026 Forecast B'!G233</f>
        <v>0.628242074927954</v>
      </c>
      <c r="F251" s="9" t="n">
        <f aca="false">'2026 Forecast C'!G233</f>
        <v>0.636887608069164</v>
      </c>
      <c r="G251" s="24" t="n">
        <f aca="false">(MAX(D251:F251)-MIN(D251:F251))*100</f>
        <v>0.86455331412103</v>
      </c>
      <c r="H251" s="24" t="n">
        <f aca="false">'2026 Forecast A'!J233</f>
        <v>1.24911041755021</v>
      </c>
      <c r="I251" s="24" t="n">
        <f aca="false">'2026 Forecast B'!J233</f>
        <v>1.87117215961084</v>
      </c>
      <c r="J251" s="24" t="n">
        <f aca="false">'2026 Forecast C'!J233</f>
        <v>1.25589305869883</v>
      </c>
      <c r="K251" s="25" t="n">
        <f aca="false">'2026 Forecast A'!F233</f>
        <v>1388</v>
      </c>
      <c r="L251" s="26" t="str">
        <f aca="false">IF(OR(AND(D251&gt;0.5,E251&gt;0.5,F251&gt;0.5),AND(D251&lt;0.5,E251&lt;0.5,F251&lt;0.5)),"Yes","No — toss-up")</f>
        <v>Yes</v>
      </c>
    </row>
    <row r="252" customFormat="false" ht="15" hidden="false" customHeight="false" outlineLevel="0" collapsed="false">
      <c r="A252" s="8" t="str">
        <f aca="false">'2026 Forecast A'!A234</f>
        <v>Northampton</v>
      </c>
      <c r="B252" s="8" t="str">
        <f aca="false">'2026 Forecast A'!B234</f>
        <v>BETHLEHEM</v>
      </c>
      <c r="C252" s="8" t="str">
        <f aca="false">'2026 Forecast A'!C234</f>
        <v>BETHLEHEM 14TH WARD 3RD DISTRICT</v>
      </c>
      <c r="D252" s="9" t="n">
        <f aca="false">'2026 Forecast A'!G234</f>
        <v>0.683136412459721</v>
      </c>
      <c r="E252" s="9" t="n">
        <f aca="false">'2026 Forecast B'!G234</f>
        <v>0.670247046186896</v>
      </c>
      <c r="F252" s="9" t="n">
        <f aca="false">'2026 Forecast C'!G234</f>
        <v>0.688506981740064</v>
      </c>
      <c r="G252" s="24" t="n">
        <f aca="false">(MAX(D252:F252)-MIN(D252:F252))*100</f>
        <v>1.82599355531686</v>
      </c>
      <c r="H252" s="24" t="n">
        <f aca="false">'2026 Forecast A'!J234</f>
        <v>1.8085538155628</v>
      </c>
      <c r="I252" s="24" t="n">
        <f aca="false">'2026 Forecast B'!J234</f>
        <v>1.92472098334064</v>
      </c>
      <c r="J252" s="24" t="n">
        <f aca="false">'2026 Forecast C'!J234</f>
        <v>2.05025038892674</v>
      </c>
      <c r="K252" s="25" t="n">
        <f aca="false">'2026 Forecast A'!F234</f>
        <v>931</v>
      </c>
      <c r="L252" s="26" t="str">
        <f aca="false">IF(OR(AND(D252&gt;0.5,E252&gt;0.5,F252&gt;0.5),AND(D252&lt;0.5,E252&lt;0.5,F252&lt;0.5)),"Yes","No — toss-up")</f>
        <v>Yes</v>
      </c>
    </row>
    <row r="253" customFormat="false" ht="15" hidden="false" customHeight="false" outlineLevel="0" collapsed="false">
      <c r="A253" s="8" t="str">
        <f aca="false">'2026 Forecast A'!A235</f>
        <v>Northampton</v>
      </c>
      <c r="B253" s="8" t="str">
        <f aca="false">'2026 Forecast A'!B235</f>
        <v>BETHLEHEM</v>
      </c>
      <c r="C253" s="8" t="str">
        <f aca="false">'2026 Forecast A'!C235</f>
        <v>BETHLEHEM 14TH WARD 4TH DISTRICT</v>
      </c>
      <c r="D253" s="9" t="n">
        <f aca="false">'2026 Forecast A'!G235</f>
        <v>0.673323823109843</v>
      </c>
      <c r="E253" s="9" t="n">
        <f aca="false">'2026 Forecast B'!G235</f>
        <v>0.666191155492154</v>
      </c>
      <c r="F253" s="9" t="n">
        <f aca="false">'2026 Forecast C'!G235</f>
        <v>0.679029957203994</v>
      </c>
      <c r="G253" s="24" t="n">
        <f aca="false">(MAX(D253:F253)-MIN(D253:F253))*100</f>
        <v>1.28388017118403</v>
      </c>
      <c r="H253" s="24" t="n">
        <f aca="false">'2026 Forecast A'!J235</f>
        <v>3.02608556967268</v>
      </c>
      <c r="I253" s="24" t="n">
        <f aca="false">'2026 Forecast B'!J235</f>
        <v>2.87480042420966</v>
      </c>
      <c r="J253" s="24" t="n">
        <f aca="false">'2026 Forecast C'!J235</f>
        <v>3.45317612968717</v>
      </c>
      <c r="K253" s="25" t="n">
        <f aca="false">'2026 Forecast A'!F235</f>
        <v>701</v>
      </c>
      <c r="L253" s="26" t="str">
        <f aca="false">IF(OR(AND(D253&gt;0.5,E253&gt;0.5,F253&gt;0.5),AND(D253&lt;0.5,E253&lt;0.5,F253&lt;0.5)),"Yes","No — toss-up")</f>
        <v>Yes</v>
      </c>
    </row>
    <row r="254" customFormat="false" ht="15" hidden="false" customHeight="false" outlineLevel="0" collapsed="false">
      <c r="A254" s="8" t="str">
        <f aca="false">'2026 Forecast A'!A236</f>
        <v>Northampton</v>
      </c>
      <c r="B254" s="8" t="str">
        <f aca="false">'2026 Forecast A'!B236</f>
        <v>BETHLEHEM</v>
      </c>
      <c r="C254" s="8" t="str">
        <f aca="false">'2026 Forecast A'!C236</f>
        <v>BETHLEHEM 14TH WARD 5TH DISTRICT</v>
      </c>
      <c r="D254" s="9" t="n">
        <f aca="false">'2026 Forecast A'!G236</f>
        <v>0.640736949846469</v>
      </c>
      <c r="E254" s="9" t="n">
        <f aca="false">'2026 Forecast B'!G236</f>
        <v>0.647901740020471</v>
      </c>
      <c r="F254" s="9" t="n">
        <f aca="false">'2026 Forecast C'!G236</f>
        <v>0.644831115660184</v>
      </c>
      <c r="G254" s="24" t="n">
        <f aca="false">(MAX(D254:F254)-MIN(D254:F254))*100</f>
        <v>0.716479017400207</v>
      </c>
      <c r="H254" s="24" t="n">
        <f aca="false">'2026 Forecast A'!J236</f>
        <v>1.8085538155628</v>
      </c>
      <c r="I254" s="24" t="n">
        <f aca="false">'2026 Forecast B'!J236</f>
        <v>1.92472098334064</v>
      </c>
      <c r="J254" s="24" t="n">
        <f aca="false">'2026 Forecast C'!J236</f>
        <v>2.05025038892674</v>
      </c>
      <c r="K254" s="25" t="n">
        <f aca="false">'2026 Forecast A'!F236</f>
        <v>977</v>
      </c>
      <c r="L254" s="26" t="str">
        <f aca="false">IF(OR(AND(D254&gt;0.5,E254&gt;0.5,F254&gt;0.5),AND(D254&lt;0.5,E254&lt;0.5,F254&lt;0.5)),"Yes","No — toss-up")</f>
        <v>Yes</v>
      </c>
    </row>
    <row r="255" customFormat="false" ht="15" hidden="false" customHeight="false" outlineLevel="0" collapsed="false">
      <c r="A255" s="8" t="str">
        <f aca="false">'2026 Forecast A'!A237</f>
        <v>Northampton</v>
      </c>
      <c r="B255" s="8" t="str">
        <f aca="false">'2026 Forecast A'!B237</f>
        <v>BETHLEHEM</v>
      </c>
      <c r="C255" s="8" t="str">
        <f aca="false">'2026 Forecast A'!C237</f>
        <v>BETHLEHEM 14TH WARD 6TH DISTRICT</v>
      </c>
      <c r="D255" s="9" t="n">
        <f aca="false">'2026 Forecast A'!G237</f>
        <v>0.663052543786489</v>
      </c>
      <c r="E255" s="9" t="n">
        <f aca="false">'2026 Forecast B'!G237</f>
        <v>0.659716430358632</v>
      </c>
      <c r="F255" s="9" t="n">
        <f aca="false">'2026 Forecast C'!G237</f>
        <v>0.668056713928274</v>
      </c>
      <c r="G255" s="24" t="n">
        <f aca="false">(MAX(D255:F255)-MIN(D255:F255))*100</f>
        <v>0.834028356964145</v>
      </c>
      <c r="H255" s="24" t="n">
        <f aca="false">'2026 Forecast A'!J237</f>
        <v>1.24911041755021</v>
      </c>
      <c r="I255" s="24" t="n">
        <f aca="false">'2026 Forecast B'!J237</f>
        <v>1.87117215961084</v>
      </c>
      <c r="J255" s="24" t="n">
        <f aca="false">'2026 Forecast C'!J237</f>
        <v>1.25589305869883</v>
      </c>
      <c r="K255" s="25" t="n">
        <f aca="false">'2026 Forecast A'!F237</f>
        <v>1199</v>
      </c>
      <c r="L255" s="26" t="str">
        <f aca="false">IF(OR(AND(D255&gt;0.5,E255&gt;0.5,F255&gt;0.5),AND(D255&lt;0.5,E255&lt;0.5,F255&lt;0.5)),"Yes","No — toss-up")</f>
        <v>Yes</v>
      </c>
    </row>
    <row r="256" customFormat="false" ht="15" hidden="false" customHeight="false" outlineLevel="0" collapsed="false">
      <c r="A256" s="8" t="str">
        <f aca="false">'2026 Forecast A'!A238</f>
        <v>Northampton</v>
      </c>
      <c r="B256" s="8" t="str">
        <f aca="false">'2026 Forecast A'!B238</f>
        <v>BETHLEHEM</v>
      </c>
      <c r="C256" s="8" t="str">
        <f aca="false">'2026 Forecast A'!C238</f>
        <v>BETHLEHEM 14TH WARD 7TH DISTRICT</v>
      </c>
      <c r="D256" s="9" t="n">
        <f aca="false">'2026 Forecast A'!G238</f>
        <v>0.617790811339198</v>
      </c>
      <c r="E256" s="9" t="n">
        <f aca="false">'2026 Forecast B'!G238</f>
        <v>0.622678396871945</v>
      </c>
      <c r="F256" s="9" t="n">
        <f aca="false">'2026 Forecast C'!G238</f>
        <v>0.623655913978495</v>
      </c>
      <c r="G256" s="24" t="n">
        <f aca="false">(MAX(D256:F256)-MIN(D256:F256))*100</f>
        <v>0.586510263929618</v>
      </c>
      <c r="H256" s="24" t="n">
        <f aca="false">'2026 Forecast A'!J238</f>
        <v>1.8085538155628</v>
      </c>
      <c r="I256" s="24" t="n">
        <f aca="false">'2026 Forecast B'!J238</f>
        <v>1.92472098334064</v>
      </c>
      <c r="J256" s="24" t="n">
        <f aca="false">'2026 Forecast C'!J238</f>
        <v>2.05025038892674</v>
      </c>
      <c r="K256" s="25" t="n">
        <f aca="false">'2026 Forecast A'!F238</f>
        <v>1023</v>
      </c>
      <c r="L256" s="26" t="str">
        <f aca="false">IF(OR(AND(D256&gt;0.5,E256&gt;0.5,F256&gt;0.5),AND(D256&lt;0.5,E256&lt;0.5,F256&lt;0.5)),"Yes","No — toss-up")</f>
        <v>Yes</v>
      </c>
    </row>
    <row r="257" customFormat="false" ht="15" hidden="false" customHeight="false" outlineLevel="0" collapsed="false">
      <c r="A257" s="8" t="str">
        <f aca="false">'2026 Forecast A'!A239</f>
        <v>Northampton</v>
      </c>
      <c r="B257" s="8" t="str">
        <f aca="false">'2026 Forecast A'!B239</f>
        <v>BETHLEHEM</v>
      </c>
      <c r="C257" s="8" t="str">
        <f aca="false">'2026 Forecast A'!C239</f>
        <v>BETHLEHEM 14TH WARD 8TH DISTRICT</v>
      </c>
      <c r="D257" s="9" t="n">
        <f aca="false">'2026 Forecast A'!G239</f>
        <v>0.676680972818312</v>
      </c>
      <c r="E257" s="9" t="n">
        <f aca="false">'2026 Forecast B'!G239</f>
        <v>0.665236051502146</v>
      </c>
      <c r="F257" s="9" t="n">
        <f aca="false">'2026 Forecast C'!G239</f>
        <v>0.682403433476395</v>
      </c>
      <c r="G257" s="24" t="n">
        <f aca="false">(MAX(D257:F257)-MIN(D257:F257))*100</f>
        <v>1.71673819742489</v>
      </c>
      <c r="H257" s="24" t="n">
        <f aca="false">'2026 Forecast A'!J239</f>
        <v>3.02608556967268</v>
      </c>
      <c r="I257" s="24" t="n">
        <f aca="false">'2026 Forecast B'!J239</f>
        <v>2.87480042420966</v>
      </c>
      <c r="J257" s="24" t="n">
        <f aca="false">'2026 Forecast C'!J239</f>
        <v>3.45317612968717</v>
      </c>
      <c r="K257" s="25" t="n">
        <f aca="false">'2026 Forecast A'!F239</f>
        <v>699</v>
      </c>
      <c r="L257" s="26" t="str">
        <f aca="false">IF(OR(AND(D257&gt;0.5,E257&gt;0.5,F257&gt;0.5),AND(D257&lt;0.5,E257&lt;0.5,F257&lt;0.5)),"Yes","No — toss-up")</f>
        <v>Yes</v>
      </c>
    </row>
    <row r="258" customFormat="false" ht="15" hidden="false" customHeight="false" outlineLevel="0" collapsed="false">
      <c r="A258" s="8" t="str">
        <f aca="false">'2026 Forecast A'!A240</f>
        <v>Northampton</v>
      </c>
      <c r="B258" s="8" t="str">
        <f aca="false">'2026 Forecast A'!B240</f>
        <v>BETHLEHEM</v>
      </c>
      <c r="C258" s="8" t="str">
        <f aca="false">'2026 Forecast A'!C240</f>
        <v>BETHLEHEM 15TH WARD 1ST DISTRICT</v>
      </c>
      <c r="D258" s="9" t="n">
        <f aca="false">'2026 Forecast A'!G240</f>
        <v>0.702668360864041</v>
      </c>
      <c r="E258" s="9" t="n">
        <f aca="false">'2026 Forecast B'!G240</f>
        <v>0.696315120711563</v>
      </c>
      <c r="F258" s="9" t="n">
        <f aca="false">'2026 Forecast C'!G240</f>
        <v>0.709021601016519</v>
      </c>
      <c r="G258" s="24" t="n">
        <f aca="false">(MAX(D258:F258)-MIN(D258:F258))*100</f>
        <v>1.27064803049556</v>
      </c>
      <c r="H258" s="24" t="n">
        <f aca="false">'2026 Forecast A'!J240</f>
        <v>1.8085538155628</v>
      </c>
      <c r="I258" s="24" t="n">
        <f aca="false">'2026 Forecast B'!J240</f>
        <v>1.92472098334064</v>
      </c>
      <c r="J258" s="24" t="n">
        <f aca="false">'2026 Forecast C'!J240</f>
        <v>2.05025038892674</v>
      </c>
      <c r="K258" s="25" t="n">
        <f aca="false">'2026 Forecast A'!F240</f>
        <v>787</v>
      </c>
      <c r="L258" s="26" t="str">
        <f aca="false">IF(OR(AND(D258&gt;0.5,E258&gt;0.5,F258&gt;0.5),AND(D258&lt;0.5,E258&lt;0.5,F258&lt;0.5)),"Yes","No — toss-up")</f>
        <v>Yes</v>
      </c>
    </row>
    <row r="259" customFormat="false" ht="15" hidden="false" customHeight="false" outlineLevel="0" collapsed="false">
      <c r="A259" s="8" t="str">
        <f aca="false">'2026 Forecast A'!A241</f>
        <v>Northampton</v>
      </c>
      <c r="B259" s="8" t="str">
        <f aca="false">'2026 Forecast A'!B241</f>
        <v>BETHLEHEM</v>
      </c>
      <c r="C259" s="8" t="str">
        <f aca="false">'2026 Forecast A'!C241</f>
        <v>BETHLEHEM 15TH WARD 2ND DISTRICT</v>
      </c>
      <c r="D259" s="9" t="n">
        <f aca="false">'2026 Forecast A'!G241</f>
        <v>0.649595687331536</v>
      </c>
      <c r="E259" s="9" t="n">
        <f aca="false">'2026 Forecast B'!G241</f>
        <v>0.652291105121294</v>
      </c>
      <c r="F259" s="9" t="n">
        <f aca="false">'2026 Forecast C'!G241</f>
        <v>0.654088050314465</v>
      </c>
      <c r="G259" s="24" t="n">
        <f aca="false">(MAX(D259:F259)-MIN(D259:F259))*100</f>
        <v>0.449236298292899</v>
      </c>
      <c r="H259" s="24" t="n">
        <f aca="false">'2026 Forecast A'!J241</f>
        <v>1.8085538155628</v>
      </c>
      <c r="I259" s="24" t="n">
        <f aca="false">'2026 Forecast B'!J241</f>
        <v>1.92472098334064</v>
      </c>
      <c r="J259" s="24" t="n">
        <f aca="false">'2026 Forecast C'!J241</f>
        <v>2.05025038892674</v>
      </c>
      <c r="K259" s="25" t="n">
        <f aca="false">'2026 Forecast A'!F241</f>
        <v>1113</v>
      </c>
      <c r="L259" s="26" t="str">
        <f aca="false">IF(OR(AND(D259&gt;0.5,E259&gt;0.5,F259&gt;0.5),AND(D259&lt;0.5,E259&lt;0.5,F259&lt;0.5)),"Yes","No — toss-up")</f>
        <v>Yes</v>
      </c>
    </row>
    <row r="260" customFormat="false" ht="15" hidden="false" customHeight="false" outlineLevel="0" collapsed="false">
      <c r="A260" s="8" t="str">
        <f aca="false">'2026 Forecast A'!A242</f>
        <v>Northampton</v>
      </c>
      <c r="B260" s="8" t="str">
        <f aca="false">'2026 Forecast A'!B242</f>
        <v>BETHLEHEM</v>
      </c>
      <c r="C260" s="8" t="str">
        <f aca="false">'2026 Forecast A'!C242</f>
        <v>BETHLEHEM 15TH WARD 3RD DISTRICT</v>
      </c>
      <c r="D260" s="9" t="n">
        <f aca="false">'2026 Forecast A'!G242</f>
        <v>0.712347354138399</v>
      </c>
      <c r="E260" s="9" t="n">
        <f aca="false">'2026 Forecast B'!G242</f>
        <v>0.724559023066486</v>
      </c>
      <c r="F260" s="9" t="n">
        <f aca="false">'2026 Forecast C'!G242</f>
        <v>0.719131614654003</v>
      </c>
      <c r="G260" s="24" t="n">
        <f aca="false">(MAX(D260:F260)-MIN(D260:F260))*100</f>
        <v>1.22116689280869</v>
      </c>
      <c r="H260" s="24" t="n">
        <f aca="false">'2026 Forecast A'!J242</f>
        <v>3.02608556967268</v>
      </c>
      <c r="I260" s="24" t="n">
        <f aca="false">'2026 Forecast B'!J242</f>
        <v>2.87480042420966</v>
      </c>
      <c r="J260" s="24" t="n">
        <f aca="false">'2026 Forecast C'!J242</f>
        <v>3.45317612968717</v>
      </c>
      <c r="K260" s="25" t="n">
        <f aca="false">'2026 Forecast A'!F242</f>
        <v>737</v>
      </c>
      <c r="L260" s="26" t="str">
        <f aca="false">IF(OR(AND(D260&gt;0.5,E260&gt;0.5,F260&gt;0.5),AND(D260&lt;0.5,E260&lt;0.5,F260&lt;0.5)),"Yes","No — toss-up")</f>
        <v>Yes</v>
      </c>
    </row>
    <row r="261" customFormat="false" ht="15" hidden="false" customHeight="false" outlineLevel="0" collapsed="false">
      <c r="A261" s="8" t="str">
        <f aca="false">'2026 Forecast A'!A243</f>
        <v>Northampton</v>
      </c>
      <c r="B261" s="8" t="str">
        <f aca="false">'2026 Forecast A'!B243</f>
        <v>BETHLEHEM</v>
      </c>
      <c r="C261" s="8" t="str">
        <f aca="false">'2026 Forecast A'!C243</f>
        <v>BETHLEHEM 16TH WARD</v>
      </c>
      <c r="D261" s="9" t="n">
        <f aca="false">'2026 Forecast A'!G243</f>
        <v>0.655253837072019</v>
      </c>
      <c r="E261" s="9" t="n">
        <f aca="false">'2026 Forecast B'!G243</f>
        <v>0.656434474616293</v>
      </c>
      <c r="F261" s="9" t="n">
        <f aca="false">'2026 Forecast C'!G243</f>
        <v>0.661157024793388</v>
      </c>
      <c r="G261" s="24" t="n">
        <f aca="false">(MAX(D261:F261)-MIN(D261:F261))*100</f>
        <v>0.590318772136955</v>
      </c>
      <c r="H261" s="24" t="n">
        <f aca="false">'2026 Forecast A'!J243</f>
        <v>1.8085538155628</v>
      </c>
      <c r="I261" s="24" t="n">
        <f aca="false">'2026 Forecast B'!J243</f>
        <v>1.92472098334064</v>
      </c>
      <c r="J261" s="24" t="n">
        <f aca="false">'2026 Forecast C'!J243</f>
        <v>2.05025038892674</v>
      </c>
      <c r="K261" s="25" t="n">
        <f aca="false">'2026 Forecast A'!F243</f>
        <v>847</v>
      </c>
      <c r="L261" s="26" t="str">
        <f aca="false">IF(OR(AND(D261&gt;0.5,E261&gt;0.5,F261&gt;0.5),AND(D261&lt;0.5,E261&lt;0.5,F261&lt;0.5)),"Yes","No — toss-up")</f>
        <v>Yes</v>
      </c>
    </row>
    <row r="262" customFormat="false" ht="15" hidden="false" customHeight="false" outlineLevel="0" collapsed="false">
      <c r="A262" s="8" t="str">
        <f aca="false">'2026 Forecast A'!A244</f>
        <v>Northampton</v>
      </c>
      <c r="B262" s="8" t="str">
        <f aca="false">'2026 Forecast A'!B244</f>
        <v>BETHLEHEM</v>
      </c>
      <c r="C262" s="8" t="str">
        <f aca="false">'2026 Forecast A'!C244</f>
        <v>BETHLEHEM 17TH WARD</v>
      </c>
      <c r="D262" s="9" t="n">
        <f aca="false">'2026 Forecast A'!G244</f>
        <v>0.728571428571429</v>
      </c>
      <c r="E262" s="9" t="n">
        <f aca="false">'2026 Forecast B'!G244</f>
        <v>0.733333333333333</v>
      </c>
      <c r="F262" s="9" t="n">
        <f aca="false">'2026 Forecast C'!G244</f>
        <v>0.738095238095238</v>
      </c>
      <c r="G262" s="24" t="n">
        <f aca="false">(MAX(D262:F262)-MIN(D262:F262))*100</f>
        <v>0.95238095238096</v>
      </c>
      <c r="H262" s="24" t="n">
        <f aca="false">'2026 Forecast A'!J244</f>
        <v>3.02608556967268</v>
      </c>
      <c r="I262" s="24" t="n">
        <f aca="false">'2026 Forecast B'!J244</f>
        <v>2.87480042420966</v>
      </c>
      <c r="J262" s="24" t="n">
        <f aca="false">'2026 Forecast C'!J244</f>
        <v>3.45317612968717</v>
      </c>
      <c r="K262" s="25" t="n">
        <f aca="false">'2026 Forecast A'!F244</f>
        <v>210</v>
      </c>
      <c r="L262" s="26" t="str">
        <f aca="false">IF(OR(AND(D262&gt;0.5,E262&gt;0.5,F262&gt;0.5),AND(D262&lt;0.5,E262&lt;0.5,F262&lt;0.5)),"Yes","No — toss-up")</f>
        <v>Yes</v>
      </c>
    </row>
    <row r="263" customFormat="false" ht="15" hidden="false" customHeight="false" outlineLevel="0" collapsed="false">
      <c r="A263" s="8" t="str">
        <f aca="false">'2026 Forecast A'!A245</f>
        <v>Northampton</v>
      </c>
      <c r="B263" s="8" t="str">
        <f aca="false">'2026 Forecast A'!B245</f>
        <v>BETHLEHEM</v>
      </c>
      <c r="C263" s="8" t="str">
        <f aca="false">'2026 Forecast A'!C245</f>
        <v>BETHLEHEM 1ST WARD - NORTHERN</v>
      </c>
      <c r="D263" s="9" t="n">
        <f aca="false">'2026 Forecast A'!G245</f>
        <v>0.750561797752809</v>
      </c>
      <c r="E263" s="9" t="n">
        <f aca="false">'2026 Forecast B'!G245</f>
        <v>0.759550561797753</v>
      </c>
      <c r="F263" s="9" t="n">
        <f aca="false">'2026 Forecast C'!G245</f>
        <v>0.757303370786517</v>
      </c>
      <c r="G263" s="24" t="n">
        <f aca="false">(MAX(D263:F263)-MIN(D263:F263))*100</f>
        <v>0.898876404494386</v>
      </c>
      <c r="H263" s="24" t="n">
        <f aca="false">'2026 Forecast A'!J245</f>
        <v>3.02608556967268</v>
      </c>
      <c r="I263" s="24" t="n">
        <f aca="false">'2026 Forecast B'!J245</f>
        <v>2.87480042420966</v>
      </c>
      <c r="J263" s="24" t="n">
        <f aca="false">'2026 Forecast C'!J245</f>
        <v>3.45317612968717</v>
      </c>
      <c r="K263" s="25" t="n">
        <f aca="false">'2026 Forecast A'!F245</f>
        <v>445</v>
      </c>
      <c r="L263" s="26" t="str">
        <f aca="false">IF(OR(AND(D263&gt;0.5,E263&gt;0.5,F263&gt;0.5),AND(D263&lt;0.5,E263&lt;0.5,F263&lt;0.5)),"Yes","No — toss-up")</f>
        <v>Yes</v>
      </c>
    </row>
    <row r="264" customFormat="false" ht="15" hidden="false" customHeight="false" outlineLevel="0" collapsed="false">
      <c r="A264" s="8" t="str">
        <f aca="false">'2026 Forecast A'!A246</f>
        <v>Northampton</v>
      </c>
      <c r="B264" s="8" t="str">
        <f aca="false">'2026 Forecast A'!B246</f>
        <v>BETHLEHEM</v>
      </c>
      <c r="C264" s="8" t="str">
        <f aca="false">'2026 Forecast A'!C246</f>
        <v>BETHLEHEM 1ST WARD - SOUTHERN</v>
      </c>
      <c r="D264" s="9" t="n">
        <f aca="false">'2026 Forecast A'!G246</f>
        <v>0.745762711864407</v>
      </c>
      <c r="E264" s="9" t="n">
        <f aca="false">'2026 Forecast B'!G246</f>
        <v>0.742937853107345</v>
      </c>
      <c r="F264" s="9" t="n">
        <f aca="false">'2026 Forecast C'!G246</f>
        <v>0.751412429378531</v>
      </c>
      <c r="G264" s="24" t="n">
        <f aca="false">(MAX(D264:F264)-MIN(D264:F264))*100</f>
        <v>0.847457627118642</v>
      </c>
      <c r="H264" s="24" t="n">
        <f aca="false">'2026 Forecast A'!J246</f>
        <v>3.02608556967268</v>
      </c>
      <c r="I264" s="24" t="n">
        <f aca="false">'2026 Forecast B'!J246</f>
        <v>2.87480042420966</v>
      </c>
      <c r="J264" s="24" t="n">
        <f aca="false">'2026 Forecast C'!J246</f>
        <v>3.45317612968717</v>
      </c>
      <c r="K264" s="25" t="n">
        <f aca="false">'2026 Forecast A'!F246</f>
        <v>354</v>
      </c>
      <c r="L264" s="26" t="str">
        <f aca="false">IF(OR(AND(D264&gt;0.5,E264&gt;0.5,F264&gt;0.5),AND(D264&lt;0.5,E264&lt;0.5,F264&lt;0.5)),"Yes","No — toss-up")</f>
        <v>Yes</v>
      </c>
    </row>
    <row r="265" customFormat="false" ht="15" hidden="false" customHeight="false" outlineLevel="0" collapsed="false">
      <c r="A265" s="8" t="str">
        <f aca="false">'2026 Forecast A'!A247</f>
        <v>Northampton</v>
      </c>
      <c r="B265" s="8" t="str">
        <f aca="false">'2026 Forecast A'!B247</f>
        <v>BETHLEHEM</v>
      </c>
      <c r="C265" s="8" t="str">
        <f aca="false">'2026 Forecast A'!C247</f>
        <v>BETHLEHEM 2ND WARD</v>
      </c>
      <c r="D265" s="9" t="n">
        <f aca="false">'2026 Forecast A'!G247</f>
        <v>0.786848072562358</v>
      </c>
      <c r="E265" s="9" t="n">
        <f aca="false">'2026 Forecast B'!G247</f>
        <v>0.775510204081633</v>
      </c>
      <c r="F265" s="9" t="n">
        <f aca="false">'2026 Forecast C'!G247</f>
        <v>0.791383219954649</v>
      </c>
      <c r="G265" s="24" t="n">
        <f aca="false">(MAX(D265:F265)-MIN(D265:F265))*100</f>
        <v>1.58730158730159</v>
      </c>
      <c r="H265" s="24" t="n">
        <f aca="false">'2026 Forecast A'!J247</f>
        <v>3.02608556967268</v>
      </c>
      <c r="I265" s="24" t="n">
        <f aca="false">'2026 Forecast B'!J247</f>
        <v>2.87480042420966</v>
      </c>
      <c r="J265" s="24" t="n">
        <f aca="false">'2026 Forecast C'!J247</f>
        <v>3.45317612968717</v>
      </c>
      <c r="K265" s="25" t="n">
        <f aca="false">'2026 Forecast A'!F247</f>
        <v>441</v>
      </c>
      <c r="L265" s="26" t="str">
        <f aca="false">IF(OR(AND(D265&gt;0.5,E265&gt;0.5,F265&gt;0.5),AND(D265&lt;0.5,E265&lt;0.5,F265&lt;0.5)),"Yes","No — toss-up")</f>
        <v>Yes</v>
      </c>
    </row>
    <row r="266" customFormat="false" ht="15" hidden="false" customHeight="false" outlineLevel="0" collapsed="false">
      <c r="A266" s="8" t="str">
        <f aca="false">'2026 Forecast A'!A248</f>
        <v>Northampton</v>
      </c>
      <c r="B266" s="8" t="str">
        <f aca="false">'2026 Forecast A'!B248</f>
        <v>BETHLEHEM</v>
      </c>
      <c r="C266" s="8" t="str">
        <f aca="false">'2026 Forecast A'!C248</f>
        <v>BETHLEHEM 3RD WARD</v>
      </c>
      <c r="D266" s="9" t="n">
        <f aca="false">'2026 Forecast A'!G248</f>
        <v>0.82382762991128</v>
      </c>
      <c r="E266" s="9" t="n">
        <f aca="false">'2026 Forecast B'!G248</f>
        <v>0.79467680608365</v>
      </c>
      <c r="F266" s="9" t="n">
        <f aca="false">'2026 Forecast C'!G248</f>
        <v>0.826362484157161</v>
      </c>
      <c r="G266" s="24" t="n">
        <f aca="false">(MAX(D266:F266)-MIN(D266:F266))*100</f>
        <v>3.16856780735108</v>
      </c>
      <c r="H266" s="24" t="n">
        <f aca="false">'2026 Forecast A'!J248</f>
        <v>1.8085538155628</v>
      </c>
      <c r="I266" s="24" t="n">
        <f aca="false">'2026 Forecast B'!J248</f>
        <v>1.92472098334064</v>
      </c>
      <c r="J266" s="24" t="n">
        <f aca="false">'2026 Forecast C'!J248</f>
        <v>2.05025038892674</v>
      </c>
      <c r="K266" s="25" t="n">
        <f aca="false">'2026 Forecast A'!F248</f>
        <v>789</v>
      </c>
      <c r="L266" s="26" t="str">
        <f aca="false">IF(OR(AND(D266&gt;0.5,E266&gt;0.5,F266&gt;0.5),AND(D266&lt;0.5,E266&lt;0.5,F266&lt;0.5)),"Yes","No — toss-up")</f>
        <v>Yes</v>
      </c>
    </row>
    <row r="267" customFormat="false" ht="15" hidden="false" customHeight="false" outlineLevel="0" collapsed="false">
      <c r="A267" s="8" t="str">
        <f aca="false">'2026 Forecast A'!A249</f>
        <v>Northampton</v>
      </c>
      <c r="B267" s="8" t="str">
        <f aca="false">'2026 Forecast A'!B249</f>
        <v>BETHLEHEM</v>
      </c>
      <c r="C267" s="8" t="str">
        <f aca="false">'2026 Forecast A'!C249</f>
        <v>BETHLEHEM 4TH WARD</v>
      </c>
      <c r="D267" s="9" t="n">
        <f aca="false">'2026 Forecast A'!G249</f>
        <v>0.759656652360515</v>
      </c>
      <c r="E267" s="9" t="n">
        <f aca="false">'2026 Forecast B'!G249</f>
        <v>0.763948497854077</v>
      </c>
      <c r="F267" s="9" t="n">
        <f aca="false">'2026 Forecast C'!G249</f>
        <v>0.766094420600858</v>
      </c>
      <c r="G267" s="24" t="n">
        <f aca="false">(MAX(D267:F267)-MIN(D267:F267))*100</f>
        <v>0.643776824034337</v>
      </c>
      <c r="H267" s="24" t="n">
        <f aca="false">'2026 Forecast A'!J249</f>
        <v>3.02608556967268</v>
      </c>
      <c r="I267" s="24" t="n">
        <f aca="false">'2026 Forecast B'!J249</f>
        <v>2.87480042420966</v>
      </c>
      <c r="J267" s="24" t="n">
        <f aca="false">'2026 Forecast C'!J249</f>
        <v>3.45317612968717</v>
      </c>
      <c r="K267" s="25" t="n">
        <f aca="false">'2026 Forecast A'!F249</f>
        <v>466</v>
      </c>
      <c r="L267" s="26" t="str">
        <f aca="false">IF(OR(AND(D267&gt;0.5,E267&gt;0.5,F267&gt;0.5),AND(D267&lt;0.5,E267&lt;0.5,F267&lt;0.5)),"Yes","No — toss-up")</f>
        <v>Yes</v>
      </c>
    </row>
    <row r="268" customFormat="false" ht="15" hidden="false" customHeight="false" outlineLevel="0" collapsed="false">
      <c r="A268" s="8" t="str">
        <f aca="false">'2026 Forecast A'!A250</f>
        <v>Northampton</v>
      </c>
      <c r="B268" s="8" t="str">
        <f aca="false">'2026 Forecast A'!B250</f>
        <v>BETHLEHEM</v>
      </c>
      <c r="C268" s="8" t="str">
        <f aca="false">'2026 Forecast A'!C250</f>
        <v>BETHLEHEM 5TH WARD</v>
      </c>
      <c r="D268" s="9" t="n">
        <f aca="false">'2026 Forecast A'!G250</f>
        <v>0.740442655935614</v>
      </c>
      <c r="E268" s="9" t="n">
        <f aca="false">'2026 Forecast B'!G250</f>
        <v>0.746478873239437</v>
      </c>
      <c r="F268" s="9" t="n">
        <f aca="false">'2026 Forecast C'!G250</f>
        <v>0.746478873239437</v>
      </c>
      <c r="G268" s="24" t="n">
        <f aca="false">(MAX(D268:F268)-MIN(D268:F268))*100</f>
        <v>0.603621730382298</v>
      </c>
      <c r="H268" s="24" t="n">
        <f aca="false">'2026 Forecast A'!J250</f>
        <v>3.02608556967268</v>
      </c>
      <c r="I268" s="24" t="n">
        <f aca="false">'2026 Forecast B'!J250</f>
        <v>2.87480042420966</v>
      </c>
      <c r="J268" s="24" t="n">
        <f aca="false">'2026 Forecast C'!J250</f>
        <v>3.45317612968717</v>
      </c>
      <c r="K268" s="25" t="n">
        <f aca="false">'2026 Forecast A'!F250</f>
        <v>497</v>
      </c>
      <c r="L268" s="26" t="str">
        <f aca="false">IF(OR(AND(D268&gt;0.5,E268&gt;0.5,F268&gt;0.5),AND(D268&lt;0.5,E268&lt;0.5,F268&lt;0.5)),"Yes","No — toss-up")</f>
        <v>Yes</v>
      </c>
    </row>
    <row r="269" customFormat="false" ht="15" hidden="false" customHeight="false" outlineLevel="0" collapsed="false">
      <c r="A269" s="8" t="str">
        <f aca="false">'2026 Forecast A'!A251</f>
        <v>Northampton</v>
      </c>
      <c r="B269" s="8" t="str">
        <f aca="false">'2026 Forecast A'!B251</f>
        <v>BETHLEHEM</v>
      </c>
      <c r="C269" s="8" t="str">
        <f aca="false">'2026 Forecast A'!C251</f>
        <v>BETHLEHEM 6TH WARD</v>
      </c>
      <c r="D269" s="9" t="n">
        <f aca="false">'2026 Forecast A'!G251</f>
        <v>0.75354609929078</v>
      </c>
      <c r="E269" s="9" t="n">
        <f aca="false">'2026 Forecast B'!G251</f>
        <v>0.74290780141844</v>
      </c>
      <c r="F269" s="9" t="n">
        <f aca="false">'2026 Forecast C'!G251</f>
        <v>0.76063829787234</v>
      </c>
      <c r="G269" s="24" t="n">
        <f aca="false">(MAX(D269:F269)-MIN(D269:F269))*100</f>
        <v>1.77304964539007</v>
      </c>
      <c r="H269" s="24" t="n">
        <f aca="false">'2026 Forecast A'!J251</f>
        <v>3.02608556967268</v>
      </c>
      <c r="I269" s="24" t="n">
        <f aca="false">'2026 Forecast B'!J251</f>
        <v>2.87480042420966</v>
      </c>
      <c r="J269" s="24" t="n">
        <f aca="false">'2026 Forecast C'!J251</f>
        <v>3.45317612968717</v>
      </c>
      <c r="K269" s="25" t="n">
        <f aca="false">'2026 Forecast A'!F251</f>
        <v>564</v>
      </c>
      <c r="L269" s="26" t="str">
        <f aca="false">IF(OR(AND(D269&gt;0.5,E269&gt;0.5,F269&gt;0.5),AND(D269&lt;0.5,E269&lt;0.5,F269&lt;0.5)),"Yes","No — toss-up")</f>
        <v>Yes</v>
      </c>
    </row>
    <row r="270" customFormat="false" ht="15" hidden="false" customHeight="false" outlineLevel="0" collapsed="false">
      <c r="A270" s="8" t="str">
        <f aca="false">'2026 Forecast A'!A252</f>
        <v>Northampton</v>
      </c>
      <c r="B270" s="8" t="str">
        <f aca="false">'2026 Forecast A'!B252</f>
        <v>BETHLEHEM</v>
      </c>
      <c r="C270" s="8" t="str">
        <f aca="false">'2026 Forecast A'!C252</f>
        <v>BETHLEHEM 7TH WARD</v>
      </c>
      <c r="D270" s="9" t="n">
        <f aca="false">'2026 Forecast A'!G252</f>
        <v>0.733695652173913</v>
      </c>
      <c r="E270" s="9" t="n">
        <f aca="false">'2026 Forecast B'!G252</f>
        <v>0.737771739130435</v>
      </c>
      <c r="F270" s="9" t="n">
        <f aca="false">'2026 Forecast C'!G252</f>
        <v>0.740489130434783</v>
      </c>
      <c r="G270" s="24" t="n">
        <f aca="false">(MAX(D270:F270)-MIN(D270:F270))*100</f>
        <v>0.679347826086951</v>
      </c>
      <c r="H270" s="24" t="n">
        <f aca="false">'2026 Forecast A'!J252</f>
        <v>3.02608556967268</v>
      </c>
      <c r="I270" s="24" t="n">
        <f aca="false">'2026 Forecast B'!J252</f>
        <v>2.87480042420966</v>
      </c>
      <c r="J270" s="24" t="n">
        <f aca="false">'2026 Forecast C'!J252</f>
        <v>3.45317612968717</v>
      </c>
      <c r="K270" s="25" t="n">
        <f aca="false">'2026 Forecast A'!F252</f>
        <v>736</v>
      </c>
      <c r="L270" s="26" t="str">
        <f aca="false">IF(OR(AND(D270&gt;0.5,E270&gt;0.5,F270&gt;0.5),AND(D270&lt;0.5,E270&lt;0.5,F270&lt;0.5)),"Yes","No — toss-up")</f>
        <v>Yes</v>
      </c>
    </row>
    <row r="271" customFormat="false" ht="15" hidden="false" customHeight="false" outlineLevel="0" collapsed="false">
      <c r="A271" s="8" t="str">
        <f aca="false">'2026 Forecast A'!A253</f>
        <v>Northampton</v>
      </c>
      <c r="B271" s="8" t="str">
        <f aca="false">'2026 Forecast A'!B253</f>
        <v>BETHLEHEM</v>
      </c>
      <c r="C271" s="8" t="str">
        <f aca="false">'2026 Forecast A'!C253</f>
        <v>BETHLEHEM 8TH WARD</v>
      </c>
      <c r="D271" s="9" t="n">
        <f aca="false">'2026 Forecast A'!G253</f>
        <v>0.717037037037037</v>
      </c>
      <c r="E271" s="9" t="n">
        <f aca="false">'2026 Forecast B'!G253</f>
        <v>0.722962962962963</v>
      </c>
      <c r="F271" s="9" t="n">
        <f aca="false">'2026 Forecast C'!G253</f>
        <v>0.722962962962963</v>
      </c>
      <c r="G271" s="24" t="n">
        <f aca="false">(MAX(D271:F271)-MIN(D271:F271))*100</f>
        <v>0.592592592592589</v>
      </c>
      <c r="H271" s="24" t="n">
        <f aca="false">'2026 Forecast A'!J253</f>
        <v>3.02608556967268</v>
      </c>
      <c r="I271" s="24" t="n">
        <f aca="false">'2026 Forecast B'!J253</f>
        <v>2.87480042420966</v>
      </c>
      <c r="J271" s="24" t="n">
        <f aca="false">'2026 Forecast C'!J253</f>
        <v>3.45317612968717</v>
      </c>
      <c r="K271" s="25" t="n">
        <f aca="false">'2026 Forecast A'!F253</f>
        <v>675</v>
      </c>
      <c r="L271" s="26" t="str">
        <f aca="false">IF(OR(AND(D271&gt;0.5,E271&gt;0.5,F271&gt;0.5),AND(D271&lt;0.5,E271&lt;0.5,F271&lt;0.5)),"Yes","No — toss-up")</f>
        <v>Yes</v>
      </c>
    </row>
    <row r="272" customFormat="false" ht="15" hidden="false" customHeight="false" outlineLevel="0" collapsed="false">
      <c r="A272" s="8" t="str">
        <f aca="false">'2026 Forecast A'!A254</f>
        <v>Northampton</v>
      </c>
      <c r="B272" s="8" t="str">
        <f aca="false">'2026 Forecast A'!B254</f>
        <v>BETHLEHEM</v>
      </c>
      <c r="C272" s="8" t="str">
        <f aca="false">'2026 Forecast A'!C254</f>
        <v>BETHLEHEM 9TH WARD EAST</v>
      </c>
      <c r="D272" s="9" t="n">
        <f aca="false">'2026 Forecast A'!G254</f>
        <v>0.717884130982368</v>
      </c>
      <c r="E272" s="9" t="n">
        <f aca="false">'2026 Forecast B'!G254</f>
        <v>0.721662468513854</v>
      </c>
      <c r="F272" s="9" t="n">
        <f aca="false">'2026 Forecast C'!G254</f>
        <v>0.722921914357683</v>
      </c>
      <c r="G272" s="24" t="n">
        <f aca="false">(MAX(D272:F272)-MIN(D272:F272))*100</f>
        <v>0.50377833753148</v>
      </c>
      <c r="H272" s="24" t="n">
        <f aca="false">'2026 Forecast A'!J254</f>
        <v>1.8085538155628</v>
      </c>
      <c r="I272" s="24" t="n">
        <f aca="false">'2026 Forecast B'!J254</f>
        <v>1.92472098334064</v>
      </c>
      <c r="J272" s="24" t="n">
        <f aca="false">'2026 Forecast C'!J254</f>
        <v>2.05025038892674</v>
      </c>
      <c r="K272" s="25" t="n">
        <f aca="false">'2026 Forecast A'!F254</f>
        <v>794</v>
      </c>
      <c r="L272" s="26" t="str">
        <f aca="false">IF(OR(AND(D272&gt;0.5,E272&gt;0.5,F272&gt;0.5),AND(D272&lt;0.5,E272&lt;0.5,F272&lt;0.5)),"Yes","No — toss-up")</f>
        <v>Yes</v>
      </c>
    </row>
    <row r="273" customFormat="false" ht="15" hidden="false" customHeight="false" outlineLevel="0" collapsed="false">
      <c r="A273" s="8" t="str">
        <f aca="false">'2026 Forecast A'!A255</f>
        <v>Northampton</v>
      </c>
      <c r="B273" s="8" t="str">
        <f aca="false">'2026 Forecast A'!B255</f>
        <v>BETHLEHEM</v>
      </c>
      <c r="C273" s="8" t="str">
        <f aca="false">'2026 Forecast A'!C255</f>
        <v>BETHLEHEM 9TH WARD WEST</v>
      </c>
      <c r="D273" s="9" t="n">
        <f aca="false">'2026 Forecast A'!G255</f>
        <v>0.661698956780924</v>
      </c>
      <c r="E273" s="9" t="n">
        <f aca="false">'2026 Forecast B'!G255</f>
        <v>0.670640834575261</v>
      </c>
      <c r="F273" s="9" t="n">
        <f aca="false">'2026 Forecast C'!G255</f>
        <v>0.658718330849478</v>
      </c>
      <c r="G273" s="24" t="n">
        <f aca="false">(MAX(D273:F273)-MIN(D273:F273))*100</f>
        <v>1.19225037257824</v>
      </c>
      <c r="H273" s="24" t="n">
        <f aca="false">'2026 Forecast A'!J255</f>
        <v>3.02608556967268</v>
      </c>
      <c r="I273" s="24" t="n">
        <f aca="false">'2026 Forecast B'!J255</f>
        <v>2.87480042420966</v>
      </c>
      <c r="J273" s="24" t="n">
        <f aca="false">'2026 Forecast C'!J255</f>
        <v>3.45317612968717</v>
      </c>
      <c r="K273" s="25" t="n">
        <f aca="false">'2026 Forecast A'!F255</f>
        <v>671</v>
      </c>
      <c r="L273" s="26" t="str">
        <f aca="false">IF(OR(AND(D273&gt;0.5,E273&gt;0.5,F273&gt;0.5),AND(D273&lt;0.5,E273&lt;0.5,F273&lt;0.5)),"Yes","No — toss-up")</f>
        <v>Yes</v>
      </c>
    </row>
    <row r="274" customFormat="false" ht="15" hidden="false" customHeight="false" outlineLevel="0" collapsed="false">
      <c r="A274" s="8" t="str">
        <f aca="false">'2026 Forecast A'!A256</f>
        <v>Northampton</v>
      </c>
      <c r="B274" s="8" t="str">
        <f aca="false">'2026 Forecast A'!B256</f>
        <v>BETHLEHEM TOWNSHIP</v>
      </c>
      <c r="C274" s="8" t="str">
        <f aca="false">'2026 Forecast A'!C256</f>
        <v>BETHLEHEM TWSP 1ST WARD 1ST DISTRICT</v>
      </c>
      <c r="D274" s="9" t="n">
        <f aca="false">'2026 Forecast A'!G256</f>
        <v>0.571629213483146</v>
      </c>
      <c r="E274" s="9" t="n">
        <f aca="false">'2026 Forecast B'!G256</f>
        <v>0.573033707865169</v>
      </c>
      <c r="F274" s="9" t="n">
        <f aca="false">'2026 Forecast C'!G256</f>
        <v>0.574438202247191</v>
      </c>
      <c r="G274" s="24" t="n">
        <f aca="false">(MAX(D274:F274)-MIN(D274:F274))*100</f>
        <v>0.28089887640449</v>
      </c>
      <c r="H274" s="24" t="n">
        <f aca="false">'2026 Forecast A'!J256</f>
        <v>3.02608556967268</v>
      </c>
      <c r="I274" s="24" t="n">
        <f aca="false">'2026 Forecast B'!J256</f>
        <v>2.87480042420966</v>
      </c>
      <c r="J274" s="24" t="n">
        <f aca="false">'2026 Forecast C'!J256</f>
        <v>3.45317612968717</v>
      </c>
      <c r="K274" s="25" t="n">
        <f aca="false">'2026 Forecast A'!F256</f>
        <v>712</v>
      </c>
      <c r="L274" s="26" t="str">
        <f aca="false">IF(OR(AND(D274&gt;0.5,E274&gt;0.5,F274&gt;0.5),AND(D274&lt;0.5,E274&lt;0.5,F274&lt;0.5)),"Yes","No — toss-up")</f>
        <v>Yes</v>
      </c>
    </row>
    <row r="275" customFormat="false" ht="15" hidden="false" customHeight="false" outlineLevel="0" collapsed="false">
      <c r="A275" s="8" t="str">
        <f aca="false">'2026 Forecast A'!A257</f>
        <v>Northampton</v>
      </c>
      <c r="B275" s="8" t="str">
        <f aca="false">'2026 Forecast A'!B257</f>
        <v>BETHLEHEM TOWNSHIP</v>
      </c>
      <c r="C275" s="8" t="str">
        <f aca="false">'2026 Forecast A'!C257</f>
        <v>BETHLEHEM TWSP 1ST WARD 2ND DISTRICT</v>
      </c>
      <c r="D275" s="9" t="n">
        <f aca="false">'2026 Forecast A'!G257</f>
        <v>0.557395143487859</v>
      </c>
      <c r="E275" s="9" t="n">
        <f aca="false">'2026 Forecast B'!G257</f>
        <v>0.56401766004415</v>
      </c>
      <c r="F275" s="9" t="n">
        <f aca="false">'2026 Forecast C'!G257</f>
        <v>0.560706401766004</v>
      </c>
      <c r="G275" s="24" t="n">
        <f aca="false">(MAX(D275:F275)-MIN(D275:F275))*100</f>
        <v>0.662251655629143</v>
      </c>
      <c r="H275" s="24" t="n">
        <f aca="false">'2026 Forecast A'!J257</f>
        <v>1.8085538155628</v>
      </c>
      <c r="I275" s="24" t="n">
        <f aca="false">'2026 Forecast B'!J257</f>
        <v>1.92472098334064</v>
      </c>
      <c r="J275" s="24" t="n">
        <f aca="false">'2026 Forecast C'!J257</f>
        <v>2.05025038892674</v>
      </c>
      <c r="K275" s="25" t="n">
        <f aca="false">'2026 Forecast A'!F257</f>
        <v>906</v>
      </c>
      <c r="L275" s="26" t="str">
        <f aca="false">IF(OR(AND(D275&gt;0.5,E275&gt;0.5,F275&gt;0.5),AND(D275&lt;0.5,E275&lt;0.5,F275&lt;0.5)),"Yes","No — toss-up")</f>
        <v>Yes</v>
      </c>
    </row>
    <row r="276" customFormat="false" ht="15" hidden="false" customHeight="false" outlineLevel="0" collapsed="false">
      <c r="A276" s="8" t="str">
        <f aca="false">'2026 Forecast A'!A258</f>
        <v>Northampton</v>
      </c>
      <c r="B276" s="8" t="str">
        <f aca="false">'2026 Forecast A'!B258</f>
        <v>BETHLEHEM TOWNSHIP</v>
      </c>
      <c r="C276" s="8" t="str">
        <f aca="false">'2026 Forecast A'!C258</f>
        <v>BETHLEHEM TWSP 1ST WARD 3RD DISTRICT</v>
      </c>
      <c r="D276" s="9" t="n">
        <f aca="false">'2026 Forecast A'!G258</f>
        <v>0.591008771929825</v>
      </c>
      <c r="E276" s="9" t="n">
        <f aca="false">'2026 Forecast B'!G258</f>
        <v>0.586622807017544</v>
      </c>
      <c r="F276" s="9" t="n">
        <f aca="false">'2026 Forecast C'!G258</f>
        <v>0.596491228070175</v>
      </c>
      <c r="G276" s="24" t="n">
        <f aca="false">(MAX(D276:F276)-MIN(D276:F276))*100</f>
        <v>0.986842105263153</v>
      </c>
      <c r="H276" s="24" t="n">
        <f aca="false">'2026 Forecast A'!J258</f>
        <v>1.8085538155628</v>
      </c>
      <c r="I276" s="24" t="n">
        <f aca="false">'2026 Forecast B'!J258</f>
        <v>1.92472098334064</v>
      </c>
      <c r="J276" s="24" t="n">
        <f aca="false">'2026 Forecast C'!J258</f>
        <v>2.05025038892674</v>
      </c>
      <c r="K276" s="25" t="n">
        <f aca="false">'2026 Forecast A'!F258</f>
        <v>912</v>
      </c>
      <c r="L276" s="26" t="str">
        <f aca="false">IF(OR(AND(D276&gt;0.5,E276&gt;0.5,F276&gt;0.5),AND(D276&lt;0.5,E276&lt;0.5,F276&lt;0.5)),"Yes","No — toss-up")</f>
        <v>Yes</v>
      </c>
    </row>
    <row r="277" customFormat="false" ht="15" hidden="false" customHeight="false" outlineLevel="0" collapsed="false">
      <c r="A277" s="8" t="str">
        <f aca="false">'2026 Forecast A'!A259</f>
        <v>Northampton</v>
      </c>
      <c r="B277" s="8" t="str">
        <f aca="false">'2026 Forecast A'!B259</f>
        <v>BETHLEHEM TOWNSHIP</v>
      </c>
      <c r="C277" s="8" t="str">
        <f aca="false">'2026 Forecast A'!C259</f>
        <v>BETHLEHEM TWSP 1ST WARD 4TH DISTRICT</v>
      </c>
      <c r="D277" s="9" t="n">
        <f aca="false">'2026 Forecast A'!G259</f>
        <v>0.54149377593361</v>
      </c>
      <c r="E277" s="9" t="n">
        <f aca="false">'2026 Forecast B'!G259</f>
        <v>0.54149377593361</v>
      </c>
      <c r="F277" s="9" t="n">
        <f aca="false">'2026 Forecast C'!G259</f>
        <v>0.54356846473029</v>
      </c>
      <c r="G277" s="24" t="n">
        <f aca="false">(MAX(D277:F277)-MIN(D277:F277))*100</f>
        <v>0.207468879668049</v>
      </c>
      <c r="H277" s="24" t="n">
        <f aca="false">'2026 Forecast A'!J259</f>
        <v>3.02608556967268</v>
      </c>
      <c r="I277" s="24" t="n">
        <f aca="false">'2026 Forecast B'!J259</f>
        <v>2.87480042420966</v>
      </c>
      <c r="J277" s="24" t="n">
        <f aca="false">'2026 Forecast C'!J259</f>
        <v>3.45317612968717</v>
      </c>
      <c r="K277" s="25" t="n">
        <f aca="false">'2026 Forecast A'!F259</f>
        <v>482</v>
      </c>
      <c r="L277" s="26" t="str">
        <f aca="false">IF(OR(AND(D277&gt;0.5,E277&gt;0.5,F277&gt;0.5),AND(D277&lt;0.5,E277&lt;0.5,F277&lt;0.5)),"Yes","No — toss-up")</f>
        <v>Yes</v>
      </c>
    </row>
    <row r="278" customFormat="false" ht="15" hidden="false" customHeight="false" outlineLevel="0" collapsed="false">
      <c r="A278" s="8" t="str">
        <f aca="false">'2026 Forecast A'!A260</f>
        <v>Northampton</v>
      </c>
      <c r="B278" s="8" t="str">
        <f aca="false">'2026 Forecast A'!B260</f>
        <v>BETHLEHEM TOWNSHIP</v>
      </c>
      <c r="C278" s="8" t="str">
        <f aca="false">'2026 Forecast A'!C260</f>
        <v>BETHLEHEM TWSP 2ND WARD 1ST DISTRICT</v>
      </c>
      <c r="D278" s="9" t="n">
        <f aca="false">'2026 Forecast A'!G260</f>
        <v>0.594414893617021</v>
      </c>
      <c r="E278" s="9" t="n">
        <f aca="false">'2026 Forecast B'!G260</f>
        <v>0.601063829787234</v>
      </c>
      <c r="F278" s="9" t="n">
        <f aca="false">'2026 Forecast C'!G260</f>
        <v>0.599734042553192</v>
      </c>
      <c r="G278" s="24" t="n">
        <f aca="false">(MAX(D278:F278)-MIN(D278:F278))*100</f>
        <v>0.664893617021278</v>
      </c>
      <c r="H278" s="24" t="n">
        <f aca="false">'2026 Forecast A'!J260</f>
        <v>3.02608556967268</v>
      </c>
      <c r="I278" s="24" t="n">
        <f aca="false">'2026 Forecast B'!J260</f>
        <v>2.87480042420966</v>
      </c>
      <c r="J278" s="24" t="n">
        <f aca="false">'2026 Forecast C'!J260</f>
        <v>3.45317612968717</v>
      </c>
      <c r="K278" s="25" t="n">
        <f aca="false">'2026 Forecast A'!F260</f>
        <v>752</v>
      </c>
      <c r="L278" s="26" t="str">
        <f aca="false">IF(OR(AND(D278&gt;0.5,E278&gt;0.5,F278&gt;0.5),AND(D278&lt;0.5,E278&lt;0.5,F278&lt;0.5)),"Yes","No — toss-up")</f>
        <v>Yes</v>
      </c>
    </row>
    <row r="279" customFormat="false" ht="15" hidden="false" customHeight="false" outlineLevel="0" collapsed="false">
      <c r="A279" s="8" t="str">
        <f aca="false">'2026 Forecast A'!A261</f>
        <v>Northampton</v>
      </c>
      <c r="B279" s="8" t="str">
        <f aca="false">'2026 Forecast A'!B261</f>
        <v>BETHLEHEM TOWNSHIP</v>
      </c>
      <c r="C279" s="8" t="str">
        <f aca="false">'2026 Forecast A'!C261</f>
        <v>BETHLEHEM TWSP 2ND WARD 2ND DISTRICT</v>
      </c>
      <c r="D279" s="9" t="n">
        <f aca="false">'2026 Forecast A'!G261</f>
        <v>0.559300873907616</v>
      </c>
      <c r="E279" s="9" t="n">
        <f aca="false">'2026 Forecast B'!G261</f>
        <v>0.564294631710362</v>
      </c>
      <c r="F279" s="9" t="n">
        <f aca="false">'2026 Forecast C'!G261</f>
        <v>0.561797752808989</v>
      </c>
      <c r="G279" s="24" t="n">
        <f aca="false">(MAX(D279:F279)-MIN(D279:F279))*100</f>
        <v>0.499375780274658</v>
      </c>
      <c r="H279" s="24" t="n">
        <f aca="false">'2026 Forecast A'!J261</f>
        <v>1.8085538155628</v>
      </c>
      <c r="I279" s="24" t="n">
        <f aca="false">'2026 Forecast B'!J261</f>
        <v>1.92472098334064</v>
      </c>
      <c r="J279" s="24" t="n">
        <f aca="false">'2026 Forecast C'!J261</f>
        <v>2.05025038892674</v>
      </c>
      <c r="K279" s="25" t="n">
        <f aca="false">'2026 Forecast A'!F261</f>
        <v>801</v>
      </c>
      <c r="L279" s="26" t="str">
        <f aca="false">IF(OR(AND(D279&gt;0.5,E279&gt;0.5,F279&gt;0.5),AND(D279&lt;0.5,E279&lt;0.5,F279&lt;0.5)),"Yes","No — toss-up")</f>
        <v>Yes</v>
      </c>
    </row>
    <row r="280" customFormat="false" ht="15" hidden="false" customHeight="false" outlineLevel="0" collapsed="false">
      <c r="A280" s="8" t="str">
        <f aca="false">'2026 Forecast A'!A262</f>
        <v>Northampton</v>
      </c>
      <c r="B280" s="8" t="str">
        <f aca="false">'2026 Forecast A'!B262</f>
        <v>BETHLEHEM TOWNSHIP</v>
      </c>
      <c r="C280" s="8" t="str">
        <f aca="false">'2026 Forecast A'!C262</f>
        <v>BETHLEHEM TWSP 2ND WARD 3RD DISTRICT</v>
      </c>
      <c r="D280" s="9" t="n">
        <f aca="false">'2026 Forecast A'!G262</f>
        <v>0.586206896551724</v>
      </c>
      <c r="E280" s="9" t="n">
        <f aca="false">'2026 Forecast B'!G262</f>
        <v>0.594320486815416</v>
      </c>
      <c r="F280" s="9" t="n">
        <f aca="false">'2026 Forecast C'!G262</f>
        <v>0.59026369168357</v>
      </c>
      <c r="G280" s="24" t="n">
        <f aca="false">(MAX(D280:F280)-MIN(D280:F280))*100</f>
        <v>0.811359026369174</v>
      </c>
      <c r="H280" s="24" t="n">
        <f aca="false">'2026 Forecast A'!J262</f>
        <v>3.02608556967268</v>
      </c>
      <c r="I280" s="24" t="n">
        <f aca="false">'2026 Forecast B'!J262</f>
        <v>2.87480042420966</v>
      </c>
      <c r="J280" s="24" t="n">
        <f aca="false">'2026 Forecast C'!J262</f>
        <v>3.45317612968717</v>
      </c>
      <c r="K280" s="25" t="n">
        <f aca="false">'2026 Forecast A'!F262</f>
        <v>493</v>
      </c>
      <c r="L280" s="26" t="str">
        <f aca="false">IF(OR(AND(D280&gt;0.5,E280&gt;0.5,F280&gt;0.5),AND(D280&lt;0.5,E280&lt;0.5,F280&lt;0.5)),"Yes","No — toss-up")</f>
        <v>Yes</v>
      </c>
    </row>
    <row r="281" customFormat="false" ht="15" hidden="false" customHeight="false" outlineLevel="0" collapsed="false">
      <c r="A281" s="8" t="str">
        <f aca="false">'2026 Forecast A'!A263</f>
        <v>Northampton</v>
      </c>
      <c r="B281" s="8" t="str">
        <f aca="false">'2026 Forecast A'!B263</f>
        <v>BETHLEHEM TOWNSHIP</v>
      </c>
      <c r="C281" s="8" t="str">
        <f aca="false">'2026 Forecast A'!C263</f>
        <v>BETHLEHEM TWSP 2ND WARD 4TH DISTRICT</v>
      </c>
      <c r="D281" s="9" t="n">
        <f aca="false">'2026 Forecast A'!G263</f>
        <v>0.6096</v>
      </c>
      <c r="E281" s="9" t="n">
        <f aca="false">'2026 Forecast B'!G263</f>
        <v>0.6064</v>
      </c>
      <c r="F281" s="9" t="n">
        <f aca="false">'2026 Forecast C'!G263</f>
        <v>0.6144</v>
      </c>
      <c r="G281" s="24" t="n">
        <f aca="false">(MAX(D281:F281)-MIN(D281:F281))*100</f>
        <v>0.79999999999999</v>
      </c>
      <c r="H281" s="24" t="n">
        <f aca="false">'2026 Forecast A'!J263</f>
        <v>3.02608556967268</v>
      </c>
      <c r="I281" s="24" t="n">
        <f aca="false">'2026 Forecast B'!J263</f>
        <v>2.87480042420966</v>
      </c>
      <c r="J281" s="24" t="n">
        <f aca="false">'2026 Forecast C'!J263</f>
        <v>3.45317612968717</v>
      </c>
      <c r="K281" s="25" t="n">
        <f aca="false">'2026 Forecast A'!F263</f>
        <v>625</v>
      </c>
      <c r="L281" s="26" t="str">
        <f aca="false">IF(OR(AND(D281&gt;0.5,E281&gt;0.5,F281&gt;0.5),AND(D281&lt;0.5,E281&lt;0.5,F281&lt;0.5)),"Yes","No — toss-up")</f>
        <v>Yes</v>
      </c>
    </row>
    <row r="282" customFormat="false" ht="15" hidden="false" customHeight="false" outlineLevel="0" collapsed="false">
      <c r="A282" s="8" t="str">
        <f aca="false">'2026 Forecast A'!A264</f>
        <v>Northampton</v>
      </c>
      <c r="B282" s="8" t="str">
        <f aca="false">'2026 Forecast A'!B264</f>
        <v>BETHLEHEM TOWNSHIP</v>
      </c>
      <c r="C282" s="8" t="str">
        <f aca="false">'2026 Forecast A'!C264</f>
        <v>BETHLEHEM TWSP 3RD WARD 1ST DISTRICT</v>
      </c>
      <c r="D282" s="9" t="n">
        <f aca="false">'2026 Forecast A'!G264</f>
        <v>0.627160493827161</v>
      </c>
      <c r="E282" s="9" t="n">
        <f aca="false">'2026 Forecast B'!G264</f>
        <v>0.619753086419753</v>
      </c>
      <c r="F282" s="9" t="n">
        <f aca="false">'2026 Forecast C'!G264</f>
        <v>0.632098765432099</v>
      </c>
      <c r="G282" s="24" t="n">
        <f aca="false">(MAX(D282:F282)-MIN(D282:F282))*100</f>
        <v>1.23456790123456</v>
      </c>
      <c r="H282" s="24" t="n">
        <f aca="false">'2026 Forecast A'!J264</f>
        <v>3.02608556967268</v>
      </c>
      <c r="I282" s="24" t="n">
        <f aca="false">'2026 Forecast B'!J264</f>
        <v>2.87480042420966</v>
      </c>
      <c r="J282" s="24" t="n">
        <f aca="false">'2026 Forecast C'!J264</f>
        <v>3.45317612968717</v>
      </c>
      <c r="K282" s="25" t="n">
        <f aca="false">'2026 Forecast A'!F264</f>
        <v>405</v>
      </c>
      <c r="L282" s="26" t="str">
        <f aca="false">IF(OR(AND(D282&gt;0.5,E282&gt;0.5,F282&gt;0.5),AND(D282&lt;0.5,E282&lt;0.5,F282&lt;0.5)),"Yes","No — toss-up")</f>
        <v>Yes</v>
      </c>
    </row>
    <row r="283" customFormat="false" ht="15" hidden="false" customHeight="false" outlineLevel="0" collapsed="false">
      <c r="A283" s="8" t="str">
        <f aca="false">'2026 Forecast A'!A265</f>
        <v>Northampton</v>
      </c>
      <c r="B283" s="8" t="str">
        <f aca="false">'2026 Forecast A'!B265</f>
        <v>BETHLEHEM TOWNSHIP</v>
      </c>
      <c r="C283" s="8" t="str">
        <f aca="false">'2026 Forecast A'!C265</f>
        <v>BETHLEHEM TWSP 3RD WARD 2ND DISTRICT</v>
      </c>
      <c r="D283" s="9" t="n">
        <f aca="false">'2026 Forecast A'!G265</f>
        <v>0.547101449275362</v>
      </c>
      <c r="E283" s="9" t="n">
        <f aca="false">'2026 Forecast B'!G265</f>
        <v>0.545289855072464</v>
      </c>
      <c r="F283" s="9" t="n">
        <f aca="false">'2026 Forecast C'!G265</f>
        <v>0.548913043478261</v>
      </c>
      <c r="G283" s="24" t="n">
        <f aca="false">(MAX(D283:F283)-MIN(D283:F283))*100</f>
        <v>0.362318840579712</v>
      </c>
      <c r="H283" s="24" t="n">
        <f aca="false">'2026 Forecast A'!J265</f>
        <v>3.02608556967268</v>
      </c>
      <c r="I283" s="24" t="n">
        <f aca="false">'2026 Forecast B'!J265</f>
        <v>2.87480042420966</v>
      </c>
      <c r="J283" s="24" t="n">
        <f aca="false">'2026 Forecast C'!J265</f>
        <v>3.45317612968717</v>
      </c>
      <c r="K283" s="25" t="n">
        <f aca="false">'2026 Forecast A'!F265</f>
        <v>552</v>
      </c>
      <c r="L283" s="26" t="str">
        <f aca="false">IF(OR(AND(D283&gt;0.5,E283&gt;0.5,F283&gt;0.5),AND(D283&lt;0.5,E283&lt;0.5,F283&lt;0.5)),"Yes","No — toss-up")</f>
        <v>Yes</v>
      </c>
    </row>
    <row r="284" customFormat="false" ht="15" hidden="false" customHeight="false" outlineLevel="0" collapsed="false">
      <c r="A284" s="8" t="str">
        <f aca="false">'2026 Forecast A'!A266</f>
        <v>Northampton</v>
      </c>
      <c r="B284" s="8" t="str">
        <f aca="false">'2026 Forecast A'!B266</f>
        <v>BETHLEHEM TOWNSHIP</v>
      </c>
      <c r="C284" s="8" t="str">
        <f aca="false">'2026 Forecast A'!C266</f>
        <v>BETHLEHEM TWSP 3RD WARD 3RD DISTRICT</v>
      </c>
      <c r="D284" s="9" t="n">
        <f aca="false">'2026 Forecast A'!G266</f>
        <v>0.56656346749226</v>
      </c>
      <c r="E284" s="9" t="n">
        <f aca="false">'2026 Forecast B'!G266</f>
        <v>0.569659442724458</v>
      </c>
      <c r="F284" s="9" t="n">
        <f aca="false">'2026 Forecast C'!G266</f>
        <v>0.571207430340557</v>
      </c>
      <c r="G284" s="24" t="n">
        <f aca="false">(MAX(D284:F284)-MIN(D284:F284))*100</f>
        <v>0.464396284829727</v>
      </c>
      <c r="H284" s="24" t="n">
        <f aca="false">'2026 Forecast A'!J266</f>
        <v>3.02608556967268</v>
      </c>
      <c r="I284" s="24" t="n">
        <f aca="false">'2026 Forecast B'!J266</f>
        <v>2.87480042420966</v>
      </c>
      <c r="J284" s="24" t="n">
        <f aca="false">'2026 Forecast C'!J266</f>
        <v>3.45317612968717</v>
      </c>
      <c r="K284" s="25" t="n">
        <f aca="false">'2026 Forecast A'!F266</f>
        <v>646</v>
      </c>
      <c r="L284" s="26" t="str">
        <f aca="false">IF(OR(AND(D284&gt;0.5,E284&gt;0.5,F284&gt;0.5),AND(D284&lt;0.5,E284&lt;0.5,F284&lt;0.5)),"Yes","No — toss-up")</f>
        <v>Yes</v>
      </c>
    </row>
    <row r="285" customFormat="false" ht="15" hidden="false" customHeight="false" outlineLevel="0" collapsed="false">
      <c r="A285" s="8" t="str">
        <f aca="false">'2026 Forecast A'!A267</f>
        <v>Northampton</v>
      </c>
      <c r="B285" s="8" t="str">
        <f aca="false">'2026 Forecast A'!B267</f>
        <v>BETHLEHEM TOWNSHIP</v>
      </c>
      <c r="C285" s="8" t="str">
        <f aca="false">'2026 Forecast A'!C267</f>
        <v>BETHLEHEM TWSP 3RD WARD 4TH DISTRICT</v>
      </c>
      <c r="D285" s="9" t="n">
        <f aca="false">'2026 Forecast A'!G267</f>
        <v>0.601706970128023</v>
      </c>
      <c r="E285" s="9" t="n">
        <f aca="false">'2026 Forecast B'!G267</f>
        <v>0.604551920341394</v>
      </c>
      <c r="F285" s="9" t="n">
        <f aca="false">'2026 Forecast C'!G267</f>
        <v>0.607396870554765</v>
      </c>
      <c r="G285" s="24" t="n">
        <f aca="false">(MAX(D285:F285)-MIN(D285:F285))*100</f>
        <v>0.568990042674256</v>
      </c>
      <c r="H285" s="24" t="n">
        <f aca="false">'2026 Forecast A'!J267</f>
        <v>3.02608556967268</v>
      </c>
      <c r="I285" s="24" t="n">
        <f aca="false">'2026 Forecast B'!J267</f>
        <v>2.87480042420966</v>
      </c>
      <c r="J285" s="24" t="n">
        <f aca="false">'2026 Forecast C'!J267</f>
        <v>3.45317612968717</v>
      </c>
      <c r="K285" s="25" t="n">
        <f aca="false">'2026 Forecast A'!F267</f>
        <v>703</v>
      </c>
      <c r="L285" s="26" t="str">
        <f aca="false">IF(OR(AND(D285&gt;0.5,E285&gt;0.5,F285&gt;0.5),AND(D285&lt;0.5,E285&lt;0.5,F285&lt;0.5)),"Yes","No — toss-up")</f>
        <v>Yes</v>
      </c>
    </row>
    <row r="286" customFormat="false" ht="15" hidden="false" customHeight="false" outlineLevel="0" collapsed="false">
      <c r="A286" s="8" t="str">
        <f aca="false">'2026 Forecast A'!A268</f>
        <v>Northampton</v>
      </c>
      <c r="B286" s="8" t="str">
        <f aca="false">'2026 Forecast A'!B268</f>
        <v>BETHLEHEM TOWNSHIP</v>
      </c>
      <c r="C286" s="8" t="str">
        <f aca="false">'2026 Forecast A'!C268</f>
        <v>BETHLEHEM TWSP 3RD WARD 5TH DISTRICT</v>
      </c>
      <c r="D286" s="9" t="n">
        <f aca="false">'2026 Forecast A'!G268</f>
        <v>0.543731778425656</v>
      </c>
      <c r="E286" s="9" t="n">
        <f aca="false">'2026 Forecast B'!G268</f>
        <v>0.543731778425656</v>
      </c>
      <c r="F286" s="9" t="n">
        <f aca="false">'2026 Forecast C'!G268</f>
        <v>0.545189504373178</v>
      </c>
      <c r="G286" s="24" t="n">
        <f aca="false">(MAX(D286:F286)-MIN(D286:F286))*100</f>
        <v>0.14577259475218</v>
      </c>
      <c r="H286" s="24" t="n">
        <f aca="false">'2026 Forecast A'!J268</f>
        <v>3.02608556967268</v>
      </c>
      <c r="I286" s="24" t="n">
        <f aca="false">'2026 Forecast B'!J268</f>
        <v>2.87480042420966</v>
      </c>
      <c r="J286" s="24" t="n">
        <f aca="false">'2026 Forecast C'!J268</f>
        <v>3.45317612968717</v>
      </c>
      <c r="K286" s="25" t="n">
        <f aca="false">'2026 Forecast A'!F268</f>
        <v>686</v>
      </c>
      <c r="L286" s="26" t="str">
        <f aca="false">IF(OR(AND(D286&gt;0.5,E286&gt;0.5,F286&gt;0.5),AND(D286&lt;0.5,E286&lt;0.5,F286&lt;0.5)),"Yes","No — toss-up")</f>
        <v>Yes</v>
      </c>
    </row>
    <row r="287" customFormat="false" ht="15" hidden="false" customHeight="false" outlineLevel="0" collapsed="false">
      <c r="A287" s="8" t="str">
        <f aca="false">'2026 Forecast A'!A269</f>
        <v>Northampton</v>
      </c>
      <c r="B287" s="8" t="str">
        <f aca="false">'2026 Forecast A'!B269</f>
        <v>BETHLEHEM TOWNSHIP</v>
      </c>
      <c r="C287" s="8" t="str">
        <f aca="false">'2026 Forecast A'!C269</f>
        <v>BETHLEHEM TWSP 4TH WARD 1ST DISTRICT</v>
      </c>
      <c r="D287" s="9" t="n">
        <f aca="false">'2026 Forecast A'!G269</f>
        <v>0.599045346062053</v>
      </c>
      <c r="E287" s="9" t="n">
        <f aca="false">'2026 Forecast B'!G269</f>
        <v>0.599045346062053</v>
      </c>
      <c r="F287" s="9" t="n">
        <f aca="false">'2026 Forecast C'!G269</f>
        <v>0.605409705648369</v>
      </c>
      <c r="G287" s="24" t="n">
        <f aca="false">(MAX(D287:F287)-MIN(D287:F287))*100</f>
        <v>0.636435958631665</v>
      </c>
      <c r="H287" s="24" t="n">
        <f aca="false">'2026 Forecast A'!J269</f>
        <v>1.24911041755021</v>
      </c>
      <c r="I287" s="24" t="n">
        <f aca="false">'2026 Forecast B'!J269</f>
        <v>1.87117215961084</v>
      </c>
      <c r="J287" s="24" t="n">
        <f aca="false">'2026 Forecast C'!J269</f>
        <v>1.25589305869883</v>
      </c>
      <c r="K287" s="25" t="n">
        <f aca="false">'2026 Forecast A'!F269</f>
        <v>1257</v>
      </c>
      <c r="L287" s="26" t="str">
        <f aca="false">IF(OR(AND(D287&gt;0.5,E287&gt;0.5,F287&gt;0.5),AND(D287&lt;0.5,E287&lt;0.5,F287&lt;0.5)),"Yes","No — toss-up")</f>
        <v>Yes</v>
      </c>
    </row>
    <row r="288" customFormat="false" ht="15" hidden="false" customHeight="false" outlineLevel="0" collapsed="false">
      <c r="A288" s="8" t="str">
        <f aca="false">'2026 Forecast A'!A270</f>
        <v>Northampton</v>
      </c>
      <c r="B288" s="8" t="str">
        <f aca="false">'2026 Forecast A'!B270</f>
        <v>BETHLEHEM TOWNSHIP</v>
      </c>
      <c r="C288" s="8" t="str">
        <f aca="false">'2026 Forecast A'!C270</f>
        <v>BETHLEHEM TWSP 4TH WARD 2ND DISTRICT</v>
      </c>
      <c r="D288" s="9" t="n">
        <f aca="false">'2026 Forecast A'!G270</f>
        <v>0.544516129032258</v>
      </c>
      <c r="E288" s="9" t="n">
        <f aca="false">'2026 Forecast B'!G270</f>
        <v>0.541935483870968</v>
      </c>
      <c r="F288" s="9" t="n">
        <f aca="false">'2026 Forecast C'!G270</f>
        <v>0.547096774193548</v>
      </c>
      <c r="G288" s="24" t="n">
        <f aca="false">(MAX(D288:F288)-MIN(D288:F288))*100</f>
        <v>0.516129032258061</v>
      </c>
      <c r="H288" s="24" t="n">
        <f aca="false">'2026 Forecast A'!J270</f>
        <v>3.02608556967268</v>
      </c>
      <c r="I288" s="24" t="n">
        <f aca="false">'2026 Forecast B'!J270</f>
        <v>2.87480042420966</v>
      </c>
      <c r="J288" s="24" t="n">
        <f aca="false">'2026 Forecast C'!J270</f>
        <v>3.45317612968717</v>
      </c>
      <c r="K288" s="25" t="n">
        <f aca="false">'2026 Forecast A'!F270</f>
        <v>775</v>
      </c>
      <c r="L288" s="26" t="str">
        <f aca="false">IF(OR(AND(D288&gt;0.5,E288&gt;0.5,F288&gt;0.5),AND(D288&lt;0.5,E288&lt;0.5,F288&lt;0.5)),"Yes","No — toss-up")</f>
        <v>Yes</v>
      </c>
    </row>
    <row r="289" customFormat="false" ht="15" hidden="false" customHeight="false" outlineLevel="0" collapsed="false">
      <c r="A289" s="8" t="str">
        <f aca="false">'2026 Forecast A'!A271</f>
        <v>Northampton</v>
      </c>
      <c r="B289" s="8" t="str">
        <f aca="false">'2026 Forecast A'!B271</f>
        <v>BETHLEHEM TOWNSHIP</v>
      </c>
      <c r="C289" s="8" t="str">
        <f aca="false">'2026 Forecast A'!C271</f>
        <v>BETHLEHEM TWSP 4TH WARD 3RD DISTRICT</v>
      </c>
      <c r="D289" s="9" t="n">
        <f aca="false">'2026 Forecast A'!G271</f>
        <v>0.556265984654731</v>
      </c>
      <c r="E289" s="9" t="n">
        <f aca="false">'2026 Forecast B'!G271</f>
        <v>0.557544757033248</v>
      </c>
      <c r="F289" s="9" t="n">
        <f aca="false">'2026 Forecast C'!G271</f>
        <v>0.558823529411765</v>
      </c>
      <c r="G289" s="24" t="n">
        <f aca="false">(MAX(D289:F289)-MIN(D289:F289))*100</f>
        <v>0.255754475703329</v>
      </c>
      <c r="H289" s="24" t="n">
        <f aca="false">'2026 Forecast A'!J271</f>
        <v>1.8085538155628</v>
      </c>
      <c r="I289" s="24" t="n">
        <f aca="false">'2026 Forecast B'!J271</f>
        <v>1.92472098334064</v>
      </c>
      <c r="J289" s="24" t="n">
        <f aca="false">'2026 Forecast C'!J271</f>
        <v>2.05025038892674</v>
      </c>
      <c r="K289" s="25" t="n">
        <f aca="false">'2026 Forecast A'!F271</f>
        <v>782</v>
      </c>
      <c r="L289" s="26" t="str">
        <f aca="false">IF(OR(AND(D289&gt;0.5,E289&gt;0.5,F289&gt;0.5),AND(D289&lt;0.5,E289&lt;0.5,F289&lt;0.5)),"Yes","No — toss-up")</f>
        <v>Yes</v>
      </c>
    </row>
    <row r="290" customFormat="false" ht="15" hidden="false" customHeight="false" outlineLevel="0" collapsed="false">
      <c r="A290" s="8" t="str">
        <f aca="false">'2026 Forecast A'!A272</f>
        <v>Northampton</v>
      </c>
      <c r="B290" s="8" t="str">
        <f aca="false">'2026 Forecast A'!B272</f>
        <v>BETHLEHEM TOWNSHIP</v>
      </c>
      <c r="C290" s="8" t="str">
        <f aca="false">'2026 Forecast A'!C272</f>
        <v>BETHLEHEM TWSP 4TH WARD 4TH DISTRICT</v>
      </c>
      <c r="D290" s="9" t="n">
        <f aca="false">'2026 Forecast A'!G272</f>
        <v>0.553050397877984</v>
      </c>
      <c r="E290" s="9" t="n">
        <f aca="false">'2026 Forecast B'!G272</f>
        <v>0.558355437665782</v>
      </c>
      <c r="F290" s="9" t="n">
        <f aca="false">'2026 Forecast C'!G272</f>
        <v>0.555702917771883</v>
      </c>
      <c r="G290" s="24" t="n">
        <f aca="false">(MAX(D290:F290)-MIN(D290:F290))*100</f>
        <v>0.530503978779839</v>
      </c>
      <c r="H290" s="24" t="n">
        <f aca="false">'2026 Forecast A'!J272</f>
        <v>3.02608556967268</v>
      </c>
      <c r="I290" s="24" t="n">
        <f aca="false">'2026 Forecast B'!J272</f>
        <v>2.87480042420966</v>
      </c>
      <c r="J290" s="24" t="n">
        <f aca="false">'2026 Forecast C'!J272</f>
        <v>3.45317612968717</v>
      </c>
      <c r="K290" s="25" t="n">
        <f aca="false">'2026 Forecast A'!F272</f>
        <v>754</v>
      </c>
      <c r="L290" s="26" t="str">
        <f aca="false">IF(OR(AND(D290&gt;0.5,E290&gt;0.5,F290&gt;0.5),AND(D290&lt;0.5,E290&lt;0.5,F290&lt;0.5)),"Yes","No — toss-up")</f>
        <v>Yes</v>
      </c>
    </row>
    <row r="291" customFormat="false" ht="15" hidden="false" customHeight="false" outlineLevel="0" collapsed="false">
      <c r="A291" s="8" t="str">
        <f aca="false">'2026 Forecast A'!A273</f>
        <v>Northampton</v>
      </c>
      <c r="B291" s="8" t="str">
        <f aca="false">'2026 Forecast A'!B273</f>
        <v>BUSHKILL</v>
      </c>
      <c r="C291" s="8" t="str">
        <f aca="false">'2026 Forecast A'!C273</f>
        <v>BUSHKILL TWSP - BUSHKILL CENTER</v>
      </c>
      <c r="D291" s="9" t="n">
        <f aca="false">'2026 Forecast A'!G273</f>
        <v>0.425066666666667</v>
      </c>
      <c r="E291" s="9" t="n">
        <f aca="false">'2026 Forecast B'!G273</f>
        <v>0.414933333333333</v>
      </c>
      <c r="F291" s="9" t="n">
        <f aca="false">'2026 Forecast C'!G273</f>
        <v>0.421866666666667</v>
      </c>
      <c r="G291" s="24" t="n">
        <f aca="false">(MAX(D291:F291)-MIN(D291:F291))*100</f>
        <v>1.01333333333333</v>
      </c>
      <c r="H291" s="24" t="n">
        <f aca="false">'2026 Forecast A'!J273</f>
        <v>1.24911041755021</v>
      </c>
      <c r="I291" s="24" t="n">
        <f aca="false">'2026 Forecast B'!J273</f>
        <v>1.87117215961084</v>
      </c>
      <c r="J291" s="24" t="n">
        <f aca="false">'2026 Forecast C'!J273</f>
        <v>1.25589305869883</v>
      </c>
      <c r="K291" s="25" t="n">
        <f aca="false">'2026 Forecast A'!F273</f>
        <v>1875</v>
      </c>
      <c r="L291" s="26" t="str">
        <f aca="false">IF(OR(AND(D291&gt;0.5,E291&gt;0.5,F291&gt;0.5),AND(D291&lt;0.5,E291&lt;0.5,F291&lt;0.5)),"Yes","No — toss-up")</f>
        <v>Yes</v>
      </c>
    </row>
    <row r="292" customFormat="false" ht="15" hidden="false" customHeight="false" outlineLevel="0" collapsed="false">
      <c r="A292" s="8" t="str">
        <f aca="false">'2026 Forecast A'!A274</f>
        <v>Northampton</v>
      </c>
      <c r="B292" s="8" t="str">
        <f aca="false">'2026 Forecast A'!B274</f>
        <v>BUSHKILL</v>
      </c>
      <c r="C292" s="8" t="str">
        <f aca="false">'2026 Forecast A'!C274</f>
        <v>BUSHKILL TWSP - CHERRY HILL</v>
      </c>
      <c r="D292" s="9" t="n">
        <f aca="false">'2026 Forecast A'!G274</f>
        <v>0.447845096814491</v>
      </c>
      <c r="E292" s="9" t="n">
        <f aca="false">'2026 Forecast B'!G274</f>
        <v>0.435352904434728</v>
      </c>
      <c r="F292" s="9" t="n">
        <f aca="false">'2026 Forecast C'!G274</f>
        <v>0.446595877576515</v>
      </c>
      <c r="G292" s="24" t="n">
        <f aca="false">(MAX(D292:F292)-MIN(D292:F292))*100</f>
        <v>1.24921923797626</v>
      </c>
      <c r="H292" s="24" t="n">
        <f aca="false">'2026 Forecast A'!J274</f>
        <v>1.24911041755021</v>
      </c>
      <c r="I292" s="24" t="n">
        <f aca="false">'2026 Forecast B'!J274</f>
        <v>1.87117215961084</v>
      </c>
      <c r="J292" s="24" t="n">
        <f aca="false">'2026 Forecast C'!J274</f>
        <v>1.25589305869883</v>
      </c>
      <c r="K292" s="25" t="n">
        <f aca="false">'2026 Forecast A'!F274</f>
        <v>1601</v>
      </c>
      <c r="L292" s="26" t="str">
        <f aca="false">IF(OR(AND(D292&gt;0.5,E292&gt;0.5,F292&gt;0.5),AND(D292&lt;0.5,E292&lt;0.5,F292&lt;0.5)),"Yes","No — toss-up")</f>
        <v>Yes</v>
      </c>
    </row>
    <row r="293" customFormat="false" ht="15" hidden="false" customHeight="false" outlineLevel="0" collapsed="false">
      <c r="A293" s="8" t="str">
        <f aca="false">'2026 Forecast A'!A275</f>
        <v>Northampton</v>
      </c>
      <c r="B293" s="8" t="str">
        <f aca="false">'2026 Forecast A'!B275</f>
        <v>BUSHKILL</v>
      </c>
      <c r="C293" s="8" t="str">
        <f aca="false">'2026 Forecast A'!C275</f>
        <v>BUSHKILL TWSP - CLEARFIELD</v>
      </c>
      <c r="D293" s="9" t="n">
        <f aca="false">'2026 Forecast A'!G275</f>
        <v>0.388949079089924</v>
      </c>
      <c r="E293" s="9" t="n">
        <f aca="false">'2026 Forecast B'!G275</f>
        <v>0.386782231852654</v>
      </c>
      <c r="F293" s="9" t="n">
        <f aca="false">'2026 Forecast C'!G275</f>
        <v>0.38353196099675</v>
      </c>
      <c r="G293" s="24" t="n">
        <f aca="false">(MAX(D293:F293)-MIN(D293:F293))*100</f>
        <v>0.541711809317441</v>
      </c>
      <c r="H293" s="24" t="n">
        <f aca="false">'2026 Forecast A'!J275</f>
        <v>1.8085538155628</v>
      </c>
      <c r="I293" s="24" t="n">
        <f aca="false">'2026 Forecast B'!J275</f>
        <v>1.92472098334064</v>
      </c>
      <c r="J293" s="24" t="n">
        <f aca="false">'2026 Forecast C'!J275</f>
        <v>2.05025038892674</v>
      </c>
      <c r="K293" s="25" t="n">
        <f aca="false">'2026 Forecast A'!F275</f>
        <v>923</v>
      </c>
      <c r="L293" s="26" t="str">
        <f aca="false">IF(OR(AND(D293&gt;0.5,E293&gt;0.5,F293&gt;0.5),AND(D293&lt;0.5,E293&lt;0.5,F293&lt;0.5)),"Yes","No — toss-up")</f>
        <v>Yes</v>
      </c>
    </row>
    <row r="294" customFormat="false" ht="15" hidden="false" customHeight="false" outlineLevel="0" collapsed="false">
      <c r="A294" s="8" t="str">
        <f aca="false">'2026 Forecast A'!A276</f>
        <v>Northampton</v>
      </c>
      <c r="B294" s="8" t="str">
        <f aca="false">'2026 Forecast A'!B276</f>
        <v>CHAPMAN</v>
      </c>
      <c r="C294" s="8" t="str">
        <f aca="false">'2026 Forecast A'!C276</f>
        <v>CHAPMAN</v>
      </c>
      <c r="D294" s="9" t="n">
        <f aca="false">'2026 Forecast A'!G276</f>
        <v>0.383720930232558</v>
      </c>
      <c r="E294" s="9" t="n">
        <f aca="false">'2026 Forecast B'!G276</f>
        <v>0.395348837209302</v>
      </c>
      <c r="F294" s="9" t="n">
        <f aca="false">'2026 Forecast C'!G276</f>
        <v>0.383720930232558</v>
      </c>
      <c r="G294" s="24" t="n">
        <f aca="false">(MAX(D294:F294)-MIN(D294:F294))*100</f>
        <v>1.16279069767442</v>
      </c>
      <c r="H294" s="24" t="n">
        <f aca="false">'2026 Forecast A'!J276</f>
        <v>3.02608556967268</v>
      </c>
      <c r="I294" s="24" t="n">
        <f aca="false">'2026 Forecast B'!J276</f>
        <v>2.87480042420966</v>
      </c>
      <c r="J294" s="24" t="n">
        <f aca="false">'2026 Forecast C'!J276</f>
        <v>3.45317612968717</v>
      </c>
      <c r="K294" s="25" t="n">
        <f aca="false">'2026 Forecast A'!F276</f>
        <v>86</v>
      </c>
      <c r="L294" s="26" t="str">
        <f aca="false">IF(OR(AND(D294&gt;0.5,E294&gt;0.5,F294&gt;0.5),AND(D294&lt;0.5,E294&lt;0.5,F294&lt;0.5)),"Yes","No — toss-up")</f>
        <v>Yes</v>
      </c>
    </row>
    <row r="295" customFormat="false" ht="15" hidden="false" customHeight="false" outlineLevel="0" collapsed="false">
      <c r="A295" s="8" t="str">
        <f aca="false">'2026 Forecast A'!A277</f>
        <v>Northampton</v>
      </c>
      <c r="B295" s="8" t="str">
        <f aca="false">'2026 Forecast A'!B277</f>
        <v>EAST ALLEN</v>
      </c>
      <c r="C295" s="8" t="str">
        <f aca="false">'2026 Forecast A'!C277</f>
        <v>EAST ALLEN TWSP - EASTERN</v>
      </c>
      <c r="D295" s="9" t="n">
        <f aca="false">'2026 Forecast A'!G277</f>
        <v>0.466305189775368</v>
      </c>
      <c r="E295" s="9" t="n">
        <f aca="false">'2026 Forecast B'!G277</f>
        <v>0.452362509682417</v>
      </c>
      <c r="F295" s="9" t="n">
        <f aca="false">'2026 Forecast C'!G277</f>
        <v>0.465530596436871</v>
      </c>
      <c r="G295" s="24" t="n">
        <f aca="false">(MAX(D295:F295)-MIN(D295:F295))*100</f>
        <v>1.39426800929512</v>
      </c>
      <c r="H295" s="24" t="n">
        <f aca="false">'2026 Forecast A'!J277</f>
        <v>1.24911041755021</v>
      </c>
      <c r="I295" s="24" t="n">
        <f aca="false">'2026 Forecast B'!J277</f>
        <v>1.87117215961084</v>
      </c>
      <c r="J295" s="24" t="n">
        <f aca="false">'2026 Forecast C'!J277</f>
        <v>1.25589305869883</v>
      </c>
      <c r="K295" s="25" t="n">
        <f aca="false">'2026 Forecast A'!F277</f>
        <v>1291</v>
      </c>
      <c r="L295" s="26" t="str">
        <f aca="false">IF(OR(AND(D295&gt;0.5,E295&gt;0.5,F295&gt;0.5),AND(D295&lt;0.5,E295&lt;0.5,F295&lt;0.5)),"Yes","No — toss-up")</f>
        <v>Yes</v>
      </c>
    </row>
    <row r="296" customFormat="false" ht="15" hidden="false" customHeight="false" outlineLevel="0" collapsed="false">
      <c r="A296" s="8" t="str">
        <f aca="false">'2026 Forecast A'!A278</f>
        <v>Northampton</v>
      </c>
      <c r="B296" s="8" t="str">
        <f aca="false">'2026 Forecast A'!B278</f>
        <v>EAST ALLEN</v>
      </c>
      <c r="C296" s="8" t="str">
        <f aca="false">'2026 Forecast A'!C278</f>
        <v>EAST ALLEN TWSP - WESTERN</v>
      </c>
      <c r="D296" s="9" t="n">
        <f aca="false">'2026 Forecast A'!G278</f>
        <v>0.491027732463295</v>
      </c>
      <c r="E296" s="9" t="n">
        <f aca="false">'2026 Forecast B'!G278</f>
        <v>0.489396411092985</v>
      </c>
      <c r="F296" s="9" t="n">
        <f aca="false">'2026 Forecast C'!G278</f>
        <v>0.489396411092985</v>
      </c>
      <c r="G296" s="24" t="n">
        <f aca="false">(MAX(D296:F296)-MIN(D296:F296))*100</f>
        <v>0.163132137030997</v>
      </c>
      <c r="H296" s="24" t="n">
        <f aca="false">'2026 Forecast A'!J278</f>
        <v>1.24911041755021</v>
      </c>
      <c r="I296" s="24" t="n">
        <f aca="false">'2026 Forecast B'!J278</f>
        <v>1.87117215961084</v>
      </c>
      <c r="J296" s="24" t="n">
        <f aca="false">'2026 Forecast C'!J278</f>
        <v>1.25589305869883</v>
      </c>
      <c r="K296" s="25" t="n">
        <f aca="false">'2026 Forecast A'!F278</f>
        <v>1226</v>
      </c>
      <c r="L296" s="26" t="str">
        <f aca="false">IF(OR(AND(D296&gt;0.5,E296&gt;0.5,F296&gt;0.5),AND(D296&lt;0.5,E296&lt;0.5,F296&lt;0.5)),"Yes","No — toss-up")</f>
        <v>Yes</v>
      </c>
    </row>
    <row r="297" customFormat="false" ht="15" hidden="false" customHeight="false" outlineLevel="0" collapsed="false">
      <c r="A297" s="8" t="str">
        <f aca="false">'2026 Forecast A'!A279</f>
        <v>Northampton</v>
      </c>
      <c r="B297" s="8" t="str">
        <f aca="false">'2026 Forecast A'!B279</f>
        <v>EAST BANGOR</v>
      </c>
      <c r="C297" s="8" t="str">
        <f aca="false">'2026 Forecast A'!C279</f>
        <v>EAST BANGOR</v>
      </c>
      <c r="D297" s="9" t="n">
        <f aca="false">'2026 Forecast A'!G279</f>
        <v>0.438746438746439</v>
      </c>
      <c r="E297" s="9" t="n">
        <f aca="false">'2026 Forecast B'!G279</f>
        <v>0.441595441595442</v>
      </c>
      <c r="F297" s="9" t="n">
        <f aca="false">'2026 Forecast C'!G279</f>
        <v>0.435897435897436</v>
      </c>
      <c r="G297" s="24" t="n">
        <f aca="false">(MAX(D297:F297)-MIN(D297:F297))*100</f>
        <v>0.569800569800572</v>
      </c>
      <c r="H297" s="24" t="n">
        <f aca="false">'2026 Forecast A'!J279</f>
        <v>3.02608556967268</v>
      </c>
      <c r="I297" s="24" t="n">
        <f aca="false">'2026 Forecast B'!J279</f>
        <v>2.87480042420966</v>
      </c>
      <c r="J297" s="24" t="n">
        <f aca="false">'2026 Forecast C'!J279</f>
        <v>3.45317612968717</v>
      </c>
      <c r="K297" s="25" t="n">
        <f aca="false">'2026 Forecast A'!F279</f>
        <v>351</v>
      </c>
      <c r="L297" s="26" t="str">
        <f aca="false">IF(OR(AND(D297&gt;0.5,E297&gt;0.5,F297&gt;0.5),AND(D297&lt;0.5,E297&lt;0.5,F297&lt;0.5)),"Yes","No — toss-up")</f>
        <v>Yes</v>
      </c>
    </row>
    <row r="298" customFormat="false" ht="15" hidden="false" customHeight="false" outlineLevel="0" collapsed="false">
      <c r="A298" s="8" t="str">
        <f aca="false">'2026 Forecast A'!A280</f>
        <v>Northampton</v>
      </c>
      <c r="B298" s="8" t="str">
        <f aca="false">'2026 Forecast A'!B280</f>
        <v>EASTON</v>
      </c>
      <c r="C298" s="8" t="str">
        <f aca="false">'2026 Forecast A'!C280</f>
        <v>EASTON 10TH WARD</v>
      </c>
      <c r="D298" s="9" t="n">
        <f aca="false">'2026 Forecast A'!G280</f>
        <v>0.637860082304527</v>
      </c>
      <c r="E298" s="9" t="n">
        <f aca="false">'2026 Forecast B'!G280</f>
        <v>0.666666666666667</v>
      </c>
      <c r="F298" s="9" t="n">
        <f aca="false">'2026 Forecast C'!G280</f>
        <v>0.636488340192044</v>
      </c>
      <c r="G298" s="24" t="n">
        <f aca="false">(MAX(D298:F298)-MIN(D298:F298))*100</f>
        <v>3.01783264746227</v>
      </c>
      <c r="H298" s="24" t="n">
        <f aca="false">'2026 Forecast A'!J280</f>
        <v>3.02608556967268</v>
      </c>
      <c r="I298" s="24" t="n">
        <f aca="false">'2026 Forecast B'!J280</f>
        <v>2.87480042420966</v>
      </c>
      <c r="J298" s="24" t="n">
        <f aca="false">'2026 Forecast C'!J280</f>
        <v>3.45317612968717</v>
      </c>
      <c r="K298" s="25" t="n">
        <f aca="false">'2026 Forecast A'!F280</f>
        <v>729</v>
      </c>
      <c r="L298" s="26" t="str">
        <f aca="false">IF(OR(AND(D298&gt;0.5,E298&gt;0.5,F298&gt;0.5),AND(D298&lt;0.5,E298&lt;0.5,F298&lt;0.5)),"Yes","No — toss-up")</f>
        <v>Yes</v>
      </c>
    </row>
    <row r="299" customFormat="false" ht="15" hidden="false" customHeight="false" outlineLevel="0" collapsed="false">
      <c r="A299" s="8" t="str">
        <f aca="false">'2026 Forecast A'!A281</f>
        <v>Northampton</v>
      </c>
      <c r="B299" s="8" t="str">
        <f aca="false">'2026 Forecast A'!B281</f>
        <v>EASTON</v>
      </c>
      <c r="C299" s="8" t="str">
        <f aca="false">'2026 Forecast A'!C281</f>
        <v>EASTON 11TH WARD</v>
      </c>
      <c r="D299" s="9" t="n">
        <f aca="false">'2026 Forecast A'!G281</f>
        <v>0.662280701754386</v>
      </c>
      <c r="E299" s="9" t="n">
        <f aca="false">'2026 Forecast B'!G281</f>
        <v>0.692982456140351</v>
      </c>
      <c r="F299" s="9" t="n">
        <f aca="false">'2026 Forecast C'!G281</f>
        <v>0.662280701754386</v>
      </c>
      <c r="G299" s="24" t="n">
        <f aca="false">(MAX(D299:F299)-MIN(D299:F299))*100</f>
        <v>3.0701754385965</v>
      </c>
      <c r="H299" s="24" t="n">
        <f aca="false">'2026 Forecast A'!J281</f>
        <v>3.02608556967268</v>
      </c>
      <c r="I299" s="24" t="n">
        <f aca="false">'2026 Forecast B'!J281</f>
        <v>2.87480042420966</v>
      </c>
      <c r="J299" s="24" t="n">
        <f aca="false">'2026 Forecast C'!J281</f>
        <v>3.45317612968717</v>
      </c>
      <c r="K299" s="25" t="n">
        <f aca="false">'2026 Forecast A'!F281</f>
        <v>456</v>
      </c>
      <c r="L299" s="26" t="str">
        <f aca="false">IF(OR(AND(D299&gt;0.5,E299&gt;0.5,F299&gt;0.5),AND(D299&lt;0.5,E299&lt;0.5,F299&lt;0.5)),"Yes","No — toss-up")</f>
        <v>Yes</v>
      </c>
    </row>
    <row r="300" customFormat="false" ht="15" hidden="false" customHeight="false" outlineLevel="0" collapsed="false">
      <c r="A300" s="8" t="str">
        <f aca="false">'2026 Forecast A'!A282</f>
        <v>Northampton</v>
      </c>
      <c r="B300" s="8" t="str">
        <f aca="false">'2026 Forecast A'!B282</f>
        <v>EASTON</v>
      </c>
      <c r="C300" s="8" t="str">
        <f aca="false">'2026 Forecast A'!C282</f>
        <v>EASTON 2ND WARD</v>
      </c>
      <c r="D300" s="9" t="n">
        <f aca="false">'2026 Forecast A'!G282</f>
        <v>0.73469387755102</v>
      </c>
      <c r="E300" s="9" t="n">
        <f aca="false">'2026 Forecast B'!G282</f>
        <v>0.728571428571429</v>
      </c>
      <c r="F300" s="9" t="n">
        <f aca="false">'2026 Forecast C'!G282</f>
        <v>0.740816326530612</v>
      </c>
      <c r="G300" s="24" t="n">
        <f aca="false">(MAX(D300:F300)-MIN(D300:F300))*100</f>
        <v>1.22448979591837</v>
      </c>
      <c r="H300" s="24" t="n">
        <f aca="false">'2026 Forecast A'!J282</f>
        <v>3.02608556967268</v>
      </c>
      <c r="I300" s="24" t="n">
        <f aca="false">'2026 Forecast B'!J282</f>
        <v>2.87480042420966</v>
      </c>
      <c r="J300" s="24" t="n">
        <f aca="false">'2026 Forecast C'!J282</f>
        <v>3.45317612968717</v>
      </c>
      <c r="K300" s="25" t="n">
        <f aca="false">'2026 Forecast A'!F282</f>
        <v>490</v>
      </c>
      <c r="L300" s="26" t="str">
        <f aca="false">IF(OR(AND(D300&gt;0.5,E300&gt;0.5,F300&gt;0.5),AND(D300&lt;0.5,E300&lt;0.5,F300&lt;0.5)),"Yes","No — toss-up")</f>
        <v>Yes</v>
      </c>
    </row>
    <row r="301" customFormat="false" ht="15" hidden="false" customHeight="false" outlineLevel="0" collapsed="false">
      <c r="A301" s="8" t="str">
        <f aca="false">'2026 Forecast A'!A283</f>
        <v>Northampton</v>
      </c>
      <c r="B301" s="8" t="str">
        <f aca="false">'2026 Forecast A'!B283</f>
        <v>EASTON</v>
      </c>
      <c r="C301" s="8" t="str">
        <f aca="false">'2026 Forecast A'!C283</f>
        <v>EASTON 3RD WARD 2ND DISTRICT</v>
      </c>
      <c r="D301" s="9" t="n">
        <f aca="false">'2026 Forecast A'!G283</f>
        <v>0.75635103926097</v>
      </c>
      <c r="E301" s="9" t="n">
        <f aca="false">'2026 Forecast B'!G283</f>
        <v>0.752886836027714</v>
      </c>
      <c r="F301" s="9" t="n">
        <f aca="false">'2026 Forecast C'!G283</f>
        <v>0.763279445727483</v>
      </c>
      <c r="G301" s="24" t="n">
        <f aca="false">(MAX(D301:F301)-MIN(D301:F301))*100</f>
        <v>1.0392609699769</v>
      </c>
      <c r="H301" s="24" t="n">
        <f aca="false">'2026 Forecast A'!J283</f>
        <v>1.8085538155628</v>
      </c>
      <c r="I301" s="24" t="n">
        <f aca="false">'2026 Forecast B'!J283</f>
        <v>1.92472098334064</v>
      </c>
      <c r="J301" s="24" t="n">
        <f aca="false">'2026 Forecast C'!J283</f>
        <v>2.05025038892674</v>
      </c>
      <c r="K301" s="25" t="n">
        <f aca="false">'2026 Forecast A'!F283</f>
        <v>866</v>
      </c>
      <c r="L301" s="26" t="str">
        <f aca="false">IF(OR(AND(D301&gt;0.5,E301&gt;0.5,F301&gt;0.5),AND(D301&lt;0.5,E301&lt;0.5,F301&lt;0.5)),"Yes","No — toss-up")</f>
        <v>Yes</v>
      </c>
    </row>
    <row r="302" customFormat="false" ht="15" hidden="false" customHeight="false" outlineLevel="0" collapsed="false">
      <c r="A302" s="8" t="str">
        <f aca="false">'2026 Forecast A'!A284</f>
        <v>Northampton</v>
      </c>
      <c r="B302" s="8" t="str">
        <f aca="false">'2026 Forecast A'!B284</f>
        <v>EASTON</v>
      </c>
      <c r="C302" s="8" t="str">
        <f aca="false">'2026 Forecast A'!C284</f>
        <v>EASTON 3RD WARD 3RD DISTRICT</v>
      </c>
      <c r="D302" s="9" t="n">
        <f aca="false">'2026 Forecast A'!G284</f>
        <v>0.802238805970149</v>
      </c>
      <c r="E302" s="9" t="n">
        <f aca="false">'2026 Forecast B'!G284</f>
        <v>0.791044776119403</v>
      </c>
      <c r="F302" s="9" t="n">
        <f aca="false">'2026 Forecast C'!G284</f>
        <v>0.805970149253731</v>
      </c>
      <c r="G302" s="24" t="n">
        <f aca="false">(MAX(D302:F302)-MIN(D302:F302))*100</f>
        <v>1.49253731343284</v>
      </c>
      <c r="H302" s="24" t="n">
        <f aca="false">'2026 Forecast A'!J284</f>
        <v>3.02608556967268</v>
      </c>
      <c r="I302" s="24" t="n">
        <f aca="false">'2026 Forecast B'!J284</f>
        <v>2.87480042420966</v>
      </c>
      <c r="J302" s="24" t="n">
        <f aca="false">'2026 Forecast C'!J284</f>
        <v>3.45317612968717</v>
      </c>
      <c r="K302" s="25" t="n">
        <f aca="false">'2026 Forecast A'!F284</f>
        <v>536</v>
      </c>
      <c r="L302" s="26" t="str">
        <f aca="false">IF(OR(AND(D302&gt;0.5,E302&gt;0.5,F302&gt;0.5),AND(D302&lt;0.5,E302&lt;0.5,F302&lt;0.5)),"Yes","No — toss-up")</f>
        <v>Yes</v>
      </c>
    </row>
    <row r="303" customFormat="false" ht="15" hidden="false" customHeight="false" outlineLevel="0" collapsed="false">
      <c r="A303" s="8" t="str">
        <f aca="false">'2026 Forecast A'!A285</f>
        <v>Northampton</v>
      </c>
      <c r="B303" s="8" t="str">
        <f aca="false">'2026 Forecast A'!B285</f>
        <v>EASTON</v>
      </c>
      <c r="C303" s="8" t="str">
        <f aca="false">'2026 Forecast A'!C285</f>
        <v>EASTON 3RD WARD 4TH DISTRICT</v>
      </c>
      <c r="D303" s="9" t="n">
        <f aca="false">'2026 Forecast A'!G285</f>
        <v>0.715758468335788</v>
      </c>
      <c r="E303" s="9" t="n">
        <f aca="false">'2026 Forecast B'!G285</f>
        <v>0.709867452135493</v>
      </c>
      <c r="F303" s="9" t="n">
        <f aca="false">'2026 Forecast C'!G285</f>
        <v>0.723122238586156</v>
      </c>
      <c r="G303" s="24" t="n">
        <f aca="false">(MAX(D303:F303)-MIN(D303:F303))*100</f>
        <v>1.32547864506627</v>
      </c>
      <c r="H303" s="24" t="n">
        <f aca="false">'2026 Forecast A'!J285</f>
        <v>3.02608556967268</v>
      </c>
      <c r="I303" s="24" t="n">
        <f aca="false">'2026 Forecast B'!J285</f>
        <v>2.87480042420966</v>
      </c>
      <c r="J303" s="24" t="n">
        <f aca="false">'2026 Forecast C'!J285</f>
        <v>3.45317612968717</v>
      </c>
      <c r="K303" s="25" t="n">
        <f aca="false">'2026 Forecast A'!F285</f>
        <v>679</v>
      </c>
      <c r="L303" s="26" t="str">
        <f aca="false">IF(OR(AND(D303&gt;0.5,E303&gt;0.5,F303&gt;0.5),AND(D303&lt;0.5,E303&lt;0.5,F303&lt;0.5)),"Yes","No — toss-up")</f>
        <v>Yes</v>
      </c>
    </row>
    <row r="304" customFormat="false" ht="15" hidden="false" customHeight="false" outlineLevel="0" collapsed="false">
      <c r="A304" s="8" t="str">
        <f aca="false">'2026 Forecast A'!A286</f>
        <v>Northampton</v>
      </c>
      <c r="B304" s="8" t="str">
        <f aca="false">'2026 Forecast A'!B286</f>
        <v>EASTON</v>
      </c>
      <c r="C304" s="8" t="str">
        <f aca="false">'2026 Forecast A'!C286</f>
        <v>EASTON 4TH WARD</v>
      </c>
      <c r="D304" s="9" t="n">
        <f aca="false">'2026 Forecast A'!G286</f>
        <v>0.695568400770713</v>
      </c>
      <c r="E304" s="9" t="n">
        <f aca="false">'2026 Forecast B'!G286</f>
        <v>0.701348747591522</v>
      </c>
      <c r="F304" s="9" t="n">
        <f aca="false">'2026 Forecast C'!G286</f>
        <v>0.703275529865125</v>
      </c>
      <c r="G304" s="24" t="n">
        <f aca="false">(MAX(D304:F304)-MIN(D304:F304))*100</f>
        <v>0.770712909441229</v>
      </c>
      <c r="H304" s="24" t="n">
        <f aca="false">'2026 Forecast A'!J286</f>
        <v>3.02608556967268</v>
      </c>
      <c r="I304" s="24" t="n">
        <f aca="false">'2026 Forecast B'!J286</f>
        <v>2.87480042420966</v>
      </c>
      <c r="J304" s="24" t="n">
        <f aca="false">'2026 Forecast C'!J286</f>
        <v>3.45317612968717</v>
      </c>
      <c r="K304" s="25" t="n">
        <f aca="false">'2026 Forecast A'!F286</f>
        <v>519</v>
      </c>
      <c r="L304" s="26" t="str">
        <f aca="false">IF(OR(AND(D304&gt;0.5,E304&gt;0.5,F304&gt;0.5),AND(D304&lt;0.5,E304&lt;0.5,F304&lt;0.5)),"Yes","No — toss-up")</f>
        <v>Yes</v>
      </c>
    </row>
    <row r="305" customFormat="false" ht="15" hidden="false" customHeight="false" outlineLevel="0" collapsed="false">
      <c r="A305" s="8" t="str">
        <f aca="false">'2026 Forecast A'!A287</f>
        <v>Northampton</v>
      </c>
      <c r="B305" s="8" t="str">
        <f aca="false">'2026 Forecast A'!B287</f>
        <v>EASTON</v>
      </c>
      <c r="C305" s="8" t="str">
        <f aca="false">'2026 Forecast A'!C287</f>
        <v>EASTON 5TH WARD</v>
      </c>
      <c r="D305" s="9" t="n">
        <f aca="false">'2026 Forecast A'!G287</f>
        <v>0.740566037735849</v>
      </c>
      <c r="E305" s="9" t="n">
        <f aca="false">'2026 Forecast B'!G287</f>
        <v>0.75</v>
      </c>
      <c r="F305" s="9" t="n">
        <f aca="false">'2026 Forecast C'!G287</f>
        <v>0.75</v>
      </c>
      <c r="G305" s="24" t="n">
        <f aca="false">(MAX(D305:F305)-MIN(D305:F305))*100</f>
        <v>0.943396226415094</v>
      </c>
      <c r="H305" s="24" t="n">
        <f aca="false">'2026 Forecast A'!J287</f>
        <v>3.02608556967268</v>
      </c>
      <c r="I305" s="24" t="n">
        <f aca="false">'2026 Forecast B'!J287</f>
        <v>2.87480042420966</v>
      </c>
      <c r="J305" s="24" t="n">
        <f aca="false">'2026 Forecast C'!J287</f>
        <v>3.45317612968717</v>
      </c>
      <c r="K305" s="25" t="n">
        <f aca="false">'2026 Forecast A'!F287</f>
        <v>212</v>
      </c>
      <c r="L305" s="26" t="str">
        <f aca="false">IF(OR(AND(D305&gt;0.5,E305&gt;0.5,F305&gt;0.5),AND(D305&lt;0.5,E305&lt;0.5,F305&lt;0.5)),"Yes","No — toss-up")</f>
        <v>Yes</v>
      </c>
    </row>
    <row r="306" customFormat="false" ht="15" hidden="false" customHeight="false" outlineLevel="0" collapsed="false">
      <c r="A306" s="8" t="str">
        <f aca="false">'2026 Forecast A'!A288</f>
        <v>Northampton</v>
      </c>
      <c r="B306" s="8" t="str">
        <f aca="false">'2026 Forecast A'!B288</f>
        <v>EASTON</v>
      </c>
      <c r="C306" s="8" t="str">
        <f aca="false">'2026 Forecast A'!C288</f>
        <v>EASTON 6TH WARD</v>
      </c>
      <c r="D306" s="9" t="n">
        <f aca="false">'2026 Forecast A'!G288</f>
        <v>0.737654320987654</v>
      </c>
      <c r="E306" s="9" t="n">
        <f aca="false">'2026 Forecast B'!G288</f>
        <v>0.737654320987654</v>
      </c>
      <c r="F306" s="9" t="n">
        <f aca="false">'2026 Forecast C'!G288</f>
        <v>0.746913580246914</v>
      </c>
      <c r="G306" s="24" t="n">
        <f aca="false">(MAX(D306:F306)-MIN(D306:F306))*100</f>
        <v>0.92592592592593</v>
      </c>
      <c r="H306" s="24" t="n">
        <f aca="false">'2026 Forecast A'!J288</f>
        <v>3.02608556967268</v>
      </c>
      <c r="I306" s="24" t="n">
        <f aca="false">'2026 Forecast B'!J288</f>
        <v>2.87480042420966</v>
      </c>
      <c r="J306" s="24" t="n">
        <f aca="false">'2026 Forecast C'!J288</f>
        <v>3.45317612968717</v>
      </c>
      <c r="K306" s="25" t="n">
        <f aca="false">'2026 Forecast A'!F288</f>
        <v>324</v>
      </c>
      <c r="L306" s="26" t="str">
        <f aca="false">IF(OR(AND(D306&gt;0.5,E306&gt;0.5,F306&gt;0.5),AND(D306&lt;0.5,E306&lt;0.5,F306&lt;0.5)),"Yes","No — toss-up")</f>
        <v>Yes</v>
      </c>
    </row>
    <row r="307" customFormat="false" ht="15" hidden="false" customHeight="false" outlineLevel="0" collapsed="false">
      <c r="A307" s="8" t="str">
        <f aca="false">'2026 Forecast A'!A289</f>
        <v>Northampton</v>
      </c>
      <c r="B307" s="8" t="str">
        <f aca="false">'2026 Forecast A'!B289</f>
        <v>EASTON</v>
      </c>
      <c r="C307" s="8" t="str">
        <f aca="false">'2026 Forecast A'!C289</f>
        <v>EASTON 7TH WARD</v>
      </c>
      <c r="D307" s="9" t="n">
        <f aca="false">'2026 Forecast A'!G289</f>
        <v>0.709302325581395</v>
      </c>
      <c r="E307" s="9" t="n">
        <f aca="false">'2026 Forecast B'!G289</f>
        <v>0.709302325581395</v>
      </c>
      <c r="F307" s="9" t="n">
        <f aca="false">'2026 Forecast C'!G289</f>
        <v>0.715116279069768</v>
      </c>
      <c r="G307" s="24" t="n">
        <f aca="false">(MAX(D307:F307)-MIN(D307:F307))*100</f>
        <v>0.58139534883721</v>
      </c>
      <c r="H307" s="24" t="n">
        <f aca="false">'2026 Forecast A'!J289</f>
        <v>3.02608556967268</v>
      </c>
      <c r="I307" s="24" t="n">
        <f aca="false">'2026 Forecast B'!J289</f>
        <v>2.87480042420966</v>
      </c>
      <c r="J307" s="24" t="n">
        <f aca="false">'2026 Forecast C'!J289</f>
        <v>3.45317612968717</v>
      </c>
      <c r="K307" s="25" t="n">
        <f aca="false">'2026 Forecast A'!F289</f>
        <v>344</v>
      </c>
      <c r="L307" s="26" t="str">
        <f aca="false">IF(OR(AND(D307&gt;0.5,E307&gt;0.5,F307&gt;0.5),AND(D307&lt;0.5,E307&lt;0.5,F307&lt;0.5)),"Yes","No — toss-up")</f>
        <v>Yes</v>
      </c>
    </row>
    <row r="308" customFormat="false" ht="15" hidden="false" customHeight="false" outlineLevel="0" collapsed="false">
      <c r="A308" s="8" t="str">
        <f aca="false">'2026 Forecast A'!A290</f>
        <v>Northampton</v>
      </c>
      <c r="B308" s="8" t="str">
        <f aca="false">'2026 Forecast A'!B290</f>
        <v>EASTON</v>
      </c>
      <c r="C308" s="8" t="str">
        <f aca="false">'2026 Forecast A'!C290</f>
        <v>EASTON 8TH WARD</v>
      </c>
      <c r="D308" s="9" t="n">
        <f aca="false">'2026 Forecast A'!G290</f>
        <v>0.655737704918033</v>
      </c>
      <c r="E308" s="9" t="n">
        <f aca="false">'2026 Forecast B'!G290</f>
        <v>0.66120218579235</v>
      </c>
      <c r="F308" s="9" t="n">
        <f aca="false">'2026 Forecast C'!G290</f>
        <v>0.653005464480874</v>
      </c>
      <c r="G308" s="24" t="n">
        <f aca="false">(MAX(D308:F308)-MIN(D308:F308))*100</f>
        <v>0.819672131147542</v>
      </c>
      <c r="H308" s="24" t="n">
        <f aca="false">'2026 Forecast A'!J290</f>
        <v>3.02608556967268</v>
      </c>
      <c r="I308" s="24" t="n">
        <f aca="false">'2026 Forecast B'!J290</f>
        <v>2.87480042420966</v>
      </c>
      <c r="J308" s="24" t="n">
        <f aca="false">'2026 Forecast C'!J290</f>
        <v>3.45317612968717</v>
      </c>
      <c r="K308" s="25" t="n">
        <f aca="false">'2026 Forecast A'!F290</f>
        <v>732</v>
      </c>
      <c r="L308" s="26" t="str">
        <f aca="false">IF(OR(AND(D308&gt;0.5,E308&gt;0.5,F308&gt;0.5),AND(D308&lt;0.5,E308&lt;0.5,F308&lt;0.5)),"Yes","No — toss-up")</f>
        <v>Yes</v>
      </c>
    </row>
    <row r="309" customFormat="false" ht="15" hidden="false" customHeight="false" outlineLevel="0" collapsed="false">
      <c r="A309" s="8" t="str">
        <f aca="false">'2026 Forecast A'!A291</f>
        <v>Northampton</v>
      </c>
      <c r="B309" s="8" t="str">
        <f aca="false">'2026 Forecast A'!B291</f>
        <v>EASTON</v>
      </c>
      <c r="C309" s="8" t="str">
        <f aca="false">'2026 Forecast A'!C291</f>
        <v>EASTON 9TH WARD</v>
      </c>
      <c r="D309" s="9" t="n">
        <f aca="false">'2026 Forecast A'!G291</f>
        <v>0.711283185840708</v>
      </c>
      <c r="E309" s="9" t="n">
        <f aca="false">'2026 Forecast B'!G291</f>
        <v>0.728982300884956</v>
      </c>
      <c r="F309" s="9" t="n">
        <f aca="false">'2026 Forecast C'!G291</f>
        <v>0.717920353982301</v>
      </c>
      <c r="G309" s="24" t="n">
        <f aca="false">(MAX(D309:F309)-MIN(D309:F309))*100</f>
        <v>1.76991150442478</v>
      </c>
      <c r="H309" s="24" t="n">
        <f aca="false">'2026 Forecast A'!J291</f>
        <v>1.8085538155628</v>
      </c>
      <c r="I309" s="24" t="n">
        <f aca="false">'2026 Forecast B'!J291</f>
        <v>1.92472098334064</v>
      </c>
      <c r="J309" s="24" t="n">
        <f aca="false">'2026 Forecast C'!J291</f>
        <v>2.05025038892674</v>
      </c>
      <c r="K309" s="25" t="n">
        <f aca="false">'2026 Forecast A'!F291</f>
        <v>904</v>
      </c>
      <c r="L309" s="26" t="str">
        <f aca="false">IF(OR(AND(D309&gt;0.5,E309&gt;0.5,F309&gt;0.5),AND(D309&lt;0.5,E309&lt;0.5,F309&lt;0.5)),"Yes","No — toss-up")</f>
        <v>Yes</v>
      </c>
    </row>
    <row r="310" customFormat="false" ht="15" hidden="false" customHeight="false" outlineLevel="0" collapsed="false">
      <c r="A310" s="8" t="str">
        <f aca="false">'2026 Forecast A'!A292</f>
        <v>Northampton</v>
      </c>
      <c r="B310" s="8" t="str">
        <f aca="false">'2026 Forecast A'!B292</f>
        <v>FORKS</v>
      </c>
      <c r="C310" s="8" t="str">
        <f aca="false">'2026 Forecast A'!C292</f>
        <v>FORKS TWSP EAST</v>
      </c>
      <c r="D310" s="9" t="n">
        <f aca="false">'2026 Forecast A'!G292</f>
        <v>0.534075104311544</v>
      </c>
      <c r="E310" s="9" t="n">
        <f aca="false">'2026 Forecast B'!G292</f>
        <v>0.54195642095503</v>
      </c>
      <c r="F310" s="9" t="n">
        <f aca="false">'2026 Forecast C'!G292</f>
        <v>0.534075104311544</v>
      </c>
      <c r="G310" s="24" t="n">
        <f aca="false">(MAX(D310:F310)-MIN(D310:F310))*100</f>
        <v>0.788131664348635</v>
      </c>
      <c r="H310" s="24" t="n">
        <f aca="false">'2026 Forecast A'!J292</f>
        <v>1.24911041755021</v>
      </c>
      <c r="I310" s="24" t="n">
        <f aca="false">'2026 Forecast B'!J292</f>
        <v>1.87117215961084</v>
      </c>
      <c r="J310" s="24" t="n">
        <f aca="false">'2026 Forecast C'!J292</f>
        <v>1.25589305869883</v>
      </c>
      <c r="K310" s="25" t="n">
        <f aca="false">'2026 Forecast A'!F292</f>
        <v>2157</v>
      </c>
      <c r="L310" s="26" t="str">
        <f aca="false">IF(OR(AND(D310&gt;0.5,E310&gt;0.5,F310&gt;0.5),AND(D310&lt;0.5,E310&lt;0.5,F310&lt;0.5)),"Yes","No — toss-up")</f>
        <v>Yes</v>
      </c>
    </row>
    <row r="311" customFormat="false" ht="15" hidden="false" customHeight="false" outlineLevel="0" collapsed="false">
      <c r="A311" s="8" t="str">
        <f aca="false">'2026 Forecast A'!A293</f>
        <v>Northampton</v>
      </c>
      <c r="B311" s="8" t="str">
        <f aca="false">'2026 Forecast A'!B293</f>
        <v>FORKS</v>
      </c>
      <c r="C311" s="8" t="str">
        <f aca="false">'2026 Forecast A'!C293</f>
        <v>FORKS TWSP NORTH</v>
      </c>
      <c r="D311" s="9" t="n">
        <f aca="false">'2026 Forecast A'!G293</f>
        <v>0.522961574507966</v>
      </c>
      <c r="E311" s="9" t="n">
        <f aca="false">'2026 Forecast B'!G293</f>
        <v>0.529522024367385</v>
      </c>
      <c r="F311" s="9" t="n">
        <f aca="false">'2026 Forecast C'!G293</f>
        <v>0.517338331771322</v>
      </c>
      <c r="G311" s="24" t="n">
        <f aca="false">(MAX(D311:F311)-MIN(D311:F311))*100</f>
        <v>1.21836925960637</v>
      </c>
      <c r="H311" s="24" t="n">
        <f aca="false">'2026 Forecast A'!J293</f>
        <v>1.8085538155628</v>
      </c>
      <c r="I311" s="24" t="n">
        <f aca="false">'2026 Forecast B'!J293</f>
        <v>1.92472098334064</v>
      </c>
      <c r="J311" s="24" t="n">
        <f aca="false">'2026 Forecast C'!J293</f>
        <v>2.05025038892674</v>
      </c>
      <c r="K311" s="25" t="n">
        <f aca="false">'2026 Forecast A'!F293</f>
        <v>1067</v>
      </c>
      <c r="L311" s="26" t="str">
        <f aca="false">IF(OR(AND(D311&gt;0.5,E311&gt;0.5,F311&gt;0.5),AND(D311&lt;0.5,E311&lt;0.5,F311&lt;0.5)),"Yes","No — toss-up")</f>
        <v>Yes</v>
      </c>
    </row>
    <row r="312" customFormat="false" ht="15" hidden="false" customHeight="false" outlineLevel="0" collapsed="false">
      <c r="A312" s="8" t="str">
        <f aca="false">'2026 Forecast A'!A294</f>
        <v>Northampton</v>
      </c>
      <c r="B312" s="8" t="str">
        <f aca="false">'2026 Forecast A'!B294</f>
        <v>FORKS</v>
      </c>
      <c r="C312" s="8" t="str">
        <f aca="false">'2026 Forecast A'!C294</f>
        <v>FORKS TWSP NORTHWEST</v>
      </c>
      <c r="D312" s="9" t="n">
        <f aca="false">'2026 Forecast A'!G294</f>
        <v>0.576066790352505</v>
      </c>
      <c r="E312" s="9" t="n">
        <f aca="false">'2026 Forecast B'!G294</f>
        <v>0.563079777365492</v>
      </c>
      <c r="F312" s="9" t="n">
        <f aca="false">'2026 Forecast C'!G294</f>
        <v>0.574211502782931</v>
      </c>
      <c r="G312" s="24" t="n">
        <f aca="false">(MAX(D312:F312)-MIN(D312:F312))*100</f>
        <v>1.2987012987013</v>
      </c>
      <c r="H312" s="24" t="n">
        <f aca="false">'2026 Forecast A'!J294</f>
        <v>1.8085538155628</v>
      </c>
      <c r="I312" s="24" t="n">
        <f aca="false">'2026 Forecast B'!J294</f>
        <v>1.92472098334064</v>
      </c>
      <c r="J312" s="24" t="n">
        <f aca="false">'2026 Forecast C'!J294</f>
        <v>2.05025038892674</v>
      </c>
      <c r="K312" s="25" t="n">
        <f aca="false">'2026 Forecast A'!F294</f>
        <v>1078</v>
      </c>
      <c r="L312" s="26" t="str">
        <f aca="false">IF(OR(AND(D312&gt;0.5,E312&gt;0.5,F312&gt;0.5),AND(D312&lt;0.5,E312&lt;0.5,F312&lt;0.5)),"Yes","No — toss-up")</f>
        <v>Yes</v>
      </c>
    </row>
    <row r="313" customFormat="false" ht="15" hidden="false" customHeight="false" outlineLevel="0" collapsed="false">
      <c r="A313" s="8" t="str">
        <f aca="false">'2026 Forecast A'!A295</f>
        <v>Northampton</v>
      </c>
      <c r="B313" s="8" t="str">
        <f aca="false">'2026 Forecast A'!B295</f>
        <v>FORKS</v>
      </c>
      <c r="C313" s="8" t="str">
        <f aca="false">'2026 Forecast A'!C295</f>
        <v>FORKS TWSP SOUTH</v>
      </c>
      <c r="D313" s="9" t="n">
        <f aca="false">'2026 Forecast A'!G295</f>
        <v>0.534545454545455</v>
      </c>
      <c r="E313" s="9" t="n">
        <f aca="false">'2026 Forecast B'!G295</f>
        <v>0.543636363636364</v>
      </c>
      <c r="F313" s="9" t="n">
        <f aca="false">'2026 Forecast C'!G295</f>
        <v>0.53</v>
      </c>
      <c r="G313" s="24" t="n">
        <f aca="false">(MAX(D313:F313)-MIN(D313:F313))*100</f>
        <v>1.36363636363636</v>
      </c>
      <c r="H313" s="24" t="n">
        <f aca="false">'2026 Forecast A'!J295</f>
        <v>1.8085538155628</v>
      </c>
      <c r="I313" s="24" t="n">
        <f aca="false">'2026 Forecast B'!J295</f>
        <v>1.92472098334064</v>
      </c>
      <c r="J313" s="24" t="n">
        <f aca="false">'2026 Forecast C'!J295</f>
        <v>2.05025038892674</v>
      </c>
      <c r="K313" s="25" t="n">
        <f aca="false">'2026 Forecast A'!F295</f>
        <v>1100</v>
      </c>
      <c r="L313" s="26" t="str">
        <f aca="false">IF(OR(AND(D313&gt;0.5,E313&gt;0.5,F313&gt;0.5),AND(D313&lt;0.5,E313&lt;0.5,F313&lt;0.5)),"Yes","No — toss-up")</f>
        <v>Yes</v>
      </c>
    </row>
    <row r="314" customFormat="false" ht="15" hidden="false" customHeight="false" outlineLevel="0" collapsed="false">
      <c r="A314" s="8" t="str">
        <f aca="false">'2026 Forecast A'!A296</f>
        <v>Northampton</v>
      </c>
      <c r="B314" s="8" t="str">
        <f aca="false">'2026 Forecast A'!B296</f>
        <v>FORKS</v>
      </c>
      <c r="C314" s="8" t="str">
        <f aca="false">'2026 Forecast A'!C296</f>
        <v>FORKS TWSP SOUTHEAST</v>
      </c>
      <c r="D314" s="9" t="n">
        <f aca="false">'2026 Forecast A'!G296</f>
        <v>0.548846675712347</v>
      </c>
      <c r="E314" s="9" t="n">
        <f aca="false">'2026 Forecast B'!G296</f>
        <v>0.557666214382632</v>
      </c>
      <c r="F314" s="9" t="n">
        <f aca="false">'2026 Forecast C'!G296</f>
        <v>0.551560379918589</v>
      </c>
      <c r="G314" s="24" t="n">
        <f aca="false">(MAX(D314:F314)-MIN(D314:F314))*100</f>
        <v>0.881953867028495</v>
      </c>
      <c r="H314" s="24" t="n">
        <f aca="false">'2026 Forecast A'!J296</f>
        <v>1.24911041755021</v>
      </c>
      <c r="I314" s="24" t="n">
        <f aca="false">'2026 Forecast B'!J296</f>
        <v>1.87117215961084</v>
      </c>
      <c r="J314" s="24" t="n">
        <f aca="false">'2026 Forecast C'!J296</f>
        <v>1.25589305869883</v>
      </c>
      <c r="K314" s="25" t="n">
        <f aca="false">'2026 Forecast A'!F296</f>
        <v>1474</v>
      </c>
      <c r="L314" s="26" t="str">
        <f aca="false">IF(OR(AND(D314&gt;0.5,E314&gt;0.5,F314&gt;0.5),AND(D314&lt;0.5,E314&lt;0.5,F314&lt;0.5)),"Yes","No — toss-up")</f>
        <v>Yes</v>
      </c>
    </row>
    <row r="315" customFormat="false" ht="15" hidden="false" customHeight="false" outlineLevel="0" collapsed="false">
      <c r="A315" s="8" t="str">
        <f aca="false">'2026 Forecast A'!A297</f>
        <v>Northampton</v>
      </c>
      <c r="B315" s="8" t="str">
        <f aca="false">'2026 Forecast A'!B297</f>
        <v>FORKS</v>
      </c>
      <c r="C315" s="8" t="str">
        <f aca="false">'2026 Forecast A'!C297</f>
        <v>FORKS TWSP SOUTHWEST</v>
      </c>
      <c r="D315" s="9" t="n">
        <f aca="false">'2026 Forecast A'!G297</f>
        <v>0.524562864279767</v>
      </c>
      <c r="E315" s="9" t="n">
        <f aca="false">'2026 Forecast B'!G297</f>
        <v>0.532889258950874</v>
      </c>
      <c r="F315" s="9" t="n">
        <f aca="false">'2026 Forecast C'!G297</f>
        <v>0.519567027477102</v>
      </c>
      <c r="G315" s="24" t="n">
        <f aca="false">(MAX(D315:F315)-MIN(D315:F315))*100</f>
        <v>1.33222314737719</v>
      </c>
      <c r="H315" s="24" t="n">
        <f aca="false">'2026 Forecast A'!J297</f>
        <v>1.24911041755021</v>
      </c>
      <c r="I315" s="24" t="n">
        <f aca="false">'2026 Forecast B'!J297</f>
        <v>1.87117215961084</v>
      </c>
      <c r="J315" s="24" t="n">
        <f aca="false">'2026 Forecast C'!J297</f>
        <v>1.25589305869883</v>
      </c>
      <c r="K315" s="25" t="n">
        <f aca="false">'2026 Forecast A'!F297</f>
        <v>1201</v>
      </c>
      <c r="L315" s="26" t="str">
        <f aca="false">IF(OR(AND(D315&gt;0.5,E315&gt;0.5,F315&gt;0.5),AND(D315&lt;0.5,E315&lt;0.5,F315&lt;0.5)),"Yes","No — toss-up")</f>
        <v>Yes</v>
      </c>
    </row>
    <row r="316" customFormat="false" ht="15" hidden="false" customHeight="false" outlineLevel="0" collapsed="false">
      <c r="A316" s="8" t="str">
        <f aca="false">'2026 Forecast A'!A298</f>
        <v>Northampton</v>
      </c>
      <c r="B316" s="8" t="str">
        <f aca="false">'2026 Forecast A'!B298</f>
        <v>FORKS</v>
      </c>
      <c r="C316" s="8" t="str">
        <f aca="false">'2026 Forecast A'!C298</f>
        <v>FORKS TWSP WEST</v>
      </c>
      <c r="D316" s="9" t="n">
        <f aca="false">'2026 Forecast A'!G298</f>
        <v>0.483096085409253</v>
      </c>
      <c r="E316" s="9" t="n">
        <f aca="false">'2026 Forecast B'!G298</f>
        <v>0.494661921708185</v>
      </c>
      <c r="F316" s="9" t="n">
        <f aca="false">'2026 Forecast C'!G298</f>
        <v>0.483985765124555</v>
      </c>
      <c r="G316" s="24" t="n">
        <f aca="false">(MAX(D316:F316)-MIN(D316:F316))*100</f>
        <v>1.15658362989324</v>
      </c>
      <c r="H316" s="24" t="n">
        <f aca="false">'2026 Forecast A'!J298</f>
        <v>1.8085538155628</v>
      </c>
      <c r="I316" s="24" t="n">
        <f aca="false">'2026 Forecast B'!J298</f>
        <v>1.92472098334064</v>
      </c>
      <c r="J316" s="24" t="n">
        <f aca="false">'2026 Forecast C'!J298</f>
        <v>2.05025038892674</v>
      </c>
      <c r="K316" s="25" t="n">
        <f aca="false">'2026 Forecast A'!F298</f>
        <v>1124</v>
      </c>
      <c r="L316" s="26" t="str">
        <f aca="false">IF(OR(AND(D316&gt;0.5,E316&gt;0.5,F316&gt;0.5),AND(D316&lt;0.5,E316&lt;0.5,F316&lt;0.5)),"Yes","No — toss-up")</f>
        <v>Yes</v>
      </c>
    </row>
    <row r="317" customFormat="false" ht="15" hidden="false" customHeight="false" outlineLevel="0" collapsed="false">
      <c r="A317" s="8" t="str">
        <f aca="false">'2026 Forecast A'!A299</f>
        <v>Northampton</v>
      </c>
      <c r="B317" s="8" t="str">
        <f aca="false">'2026 Forecast A'!B299</f>
        <v>FREEMANSBURG</v>
      </c>
      <c r="C317" s="8" t="str">
        <f aca="false">'2026 Forecast A'!C299</f>
        <v>FREEMANSBURG</v>
      </c>
      <c r="D317" s="9" t="n">
        <f aca="false">'2026 Forecast A'!G299</f>
        <v>0.62962962962963</v>
      </c>
      <c r="E317" s="9" t="n">
        <f aca="false">'2026 Forecast B'!G299</f>
        <v>0.637037037037037</v>
      </c>
      <c r="F317" s="9" t="n">
        <f aca="false">'2026 Forecast C'!G299</f>
        <v>0.633333333333333</v>
      </c>
      <c r="G317" s="24" t="n">
        <f aca="false">(MAX(D317:F317)-MIN(D317:F317))*100</f>
        <v>0.740740740740742</v>
      </c>
      <c r="H317" s="24" t="n">
        <f aca="false">'2026 Forecast A'!J299</f>
        <v>1.8085538155628</v>
      </c>
      <c r="I317" s="24" t="n">
        <f aca="false">'2026 Forecast B'!J299</f>
        <v>1.92472098334064</v>
      </c>
      <c r="J317" s="24" t="n">
        <f aca="false">'2026 Forecast C'!J299</f>
        <v>2.05025038892674</v>
      </c>
      <c r="K317" s="25" t="n">
        <f aca="false">'2026 Forecast A'!F299</f>
        <v>810</v>
      </c>
      <c r="L317" s="26" t="str">
        <f aca="false">IF(OR(AND(D317&gt;0.5,E317&gt;0.5,F317&gt;0.5),AND(D317&lt;0.5,E317&lt;0.5,F317&lt;0.5)),"Yes","No — toss-up")</f>
        <v>Yes</v>
      </c>
    </row>
    <row r="318" customFormat="false" ht="15" hidden="false" customHeight="false" outlineLevel="0" collapsed="false">
      <c r="A318" s="8" t="str">
        <f aca="false">'2026 Forecast A'!A300</f>
        <v>Northampton</v>
      </c>
      <c r="B318" s="8" t="str">
        <f aca="false">'2026 Forecast A'!B300</f>
        <v>GLENDON</v>
      </c>
      <c r="C318" s="8" t="str">
        <f aca="false">'2026 Forecast A'!C300</f>
        <v>GLENDON</v>
      </c>
      <c r="D318" s="9" t="n">
        <f aca="false">'2026 Forecast A'!G300</f>
        <v>0.553191489361702</v>
      </c>
      <c r="E318" s="9" t="n">
        <f aca="false">'2026 Forecast B'!G300</f>
        <v>0.553191489361702</v>
      </c>
      <c r="F318" s="9" t="n">
        <f aca="false">'2026 Forecast C'!G300</f>
        <v>0.553191489361702</v>
      </c>
      <c r="G318" s="24" t="n">
        <f aca="false">(MAX(D318:F318)-MIN(D318:F318))*100</f>
        <v>0</v>
      </c>
      <c r="H318" s="24" t="n">
        <f aca="false">'2026 Forecast A'!J300</f>
        <v>3.02608556967268</v>
      </c>
      <c r="I318" s="24" t="n">
        <f aca="false">'2026 Forecast B'!J300</f>
        <v>2.87480042420966</v>
      </c>
      <c r="J318" s="24" t="n">
        <f aca="false">'2026 Forecast C'!J300</f>
        <v>3.45317612968717</v>
      </c>
      <c r="K318" s="25" t="n">
        <f aca="false">'2026 Forecast A'!F300</f>
        <v>141</v>
      </c>
      <c r="L318" s="26" t="str">
        <f aca="false">IF(OR(AND(D318&gt;0.5,E318&gt;0.5,F318&gt;0.5),AND(D318&lt;0.5,E318&lt;0.5,F318&lt;0.5)),"Yes","No — toss-up")</f>
        <v>Yes</v>
      </c>
    </row>
    <row r="319" customFormat="false" ht="15" hidden="false" customHeight="false" outlineLevel="0" collapsed="false">
      <c r="A319" s="8" t="str">
        <f aca="false">'2026 Forecast A'!A301</f>
        <v>Northampton</v>
      </c>
      <c r="B319" s="8" t="str">
        <f aca="false">'2026 Forecast A'!B301</f>
        <v>HANOVER</v>
      </c>
      <c r="C319" s="8" t="str">
        <f aca="false">'2026 Forecast A'!C301</f>
        <v>HANOVER #1</v>
      </c>
      <c r="D319" s="9" t="n">
        <f aca="false">'2026 Forecast A'!G301</f>
        <v>0.620820668693009</v>
      </c>
      <c r="E319" s="9" t="n">
        <f aca="false">'2026 Forecast B'!G301</f>
        <v>0.61322188449848</v>
      </c>
      <c r="F319" s="9" t="n">
        <f aca="false">'2026 Forecast C'!G301</f>
        <v>0.627659574468085</v>
      </c>
      <c r="G319" s="24" t="n">
        <f aca="false">(MAX(D319:F319)-MIN(D319:F319))*100</f>
        <v>1.44376899696048</v>
      </c>
      <c r="H319" s="24" t="n">
        <f aca="false">'2026 Forecast A'!J301</f>
        <v>1.24911041755021</v>
      </c>
      <c r="I319" s="24" t="n">
        <f aca="false">'2026 Forecast B'!J301</f>
        <v>1.87117215961084</v>
      </c>
      <c r="J319" s="24" t="n">
        <f aca="false">'2026 Forecast C'!J301</f>
        <v>1.25589305869883</v>
      </c>
      <c r="K319" s="25" t="n">
        <f aca="false">'2026 Forecast A'!F301</f>
        <v>1316</v>
      </c>
      <c r="L319" s="26" t="str">
        <f aca="false">IF(OR(AND(D319&gt;0.5,E319&gt;0.5,F319&gt;0.5),AND(D319&lt;0.5,E319&lt;0.5,F319&lt;0.5)),"Yes","No — toss-up")</f>
        <v>Yes</v>
      </c>
    </row>
    <row r="320" customFormat="false" ht="15" hidden="false" customHeight="false" outlineLevel="0" collapsed="false">
      <c r="A320" s="8" t="str">
        <f aca="false">'2026 Forecast A'!A302</f>
        <v>Northampton</v>
      </c>
      <c r="B320" s="8" t="str">
        <f aca="false">'2026 Forecast A'!B302</f>
        <v>HANOVER</v>
      </c>
      <c r="C320" s="8" t="str">
        <f aca="false">'2026 Forecast A'!C302</f>
        <v>HANOVER #2</v>
      </c>
      <c r="D320" s="9" t="n">
        <f aca="false">'2026 Forecast A'!G302</f>
        <v>0.591486183719194</v>
      </c>
      <c r="E320" s="9" t="n">
        <f aca="false">'2026 Forecast B'!G302</f>
        <v>0.591486183719194</v>
      </c>
      <c r="F320" s="9" t="n">
        <f aca="false">'2026 Forecast C'!G302</f>
        <v>0.596713965646004</v>
      </c>
      <c r="G320" s="24" t="n">
        <f aca="false">(MAX(D320:F320)-MIN(D320:F320))*100</f>
        <v>0.522778192681095</v>
      </c>
      <c r="H320" s="24" t="n">
        <f aca="false">'2026 Forecast A'!J302</f>
        <v>1.24911041755021</v>
      </c>
      <c r="I320" s="24" t="n">
        <f aca="false">'2026 Forecast B'!J302</f>
        <v>1.87117215961084</v>
      </c>
      <c r="J320" s="24" t="n">
        <f aca="false">'2026 Forecast C'!J302</f>
        <v>1.25589305869883</v>
      </c>
      <c r="K320" s="25" t="n">
        <f aca="false">'2026 Forecast A'!F302</f>
        <v>1339</v>
      </c>
      <c r="L320" s="26" t="str">
        <f aca="false">IF(OR(AND(D320&gt;0.5,E320&gt;0.5,F320&gt;0.5),AND(D320&lt;0.5,E320&lt;0.5,F320&lt;0.5)),"Yes","No — toss-up")</f>
        <v>Yes</v>
      </c>
    </row>
    <row r="321" customFormat="false" ht="15" hidden="false" customHeight="false" outlineLevel="0" collapsed="false">
      <c r="A321" s="8" t="str">
        <f aca="false">'2026 Forecast A'!A303</f>
        <v>Northampton</v>
      </c>
      <c r="B321" s="8" t="str">
        <f aca="false">'2026 Forecast A'!B303</f>
        <v>HANOVER</v>
      </c>
      <c r="C321" s="8" t="str">
        <f aca="false">'2026 Forecast A'!C303</f>
        <v>HANOVER #3</v>
      </c>
      <c r="D321" s="9" t="n">
        <f aca="false">'2026 Forecast A'!G303</f>
        <v>0.555096418732782</v>
      </c>
      <c r="E321" s="9" t="n">
        <f aca="false">'2026 Forecast B'!G303</f>
        <v>0.553719008264463</v>
      </c>
      <c r="F321" s="9" t="n">
        <f aca="false">'2026 Forecast C'!G303</f>
        <v>0.557851239669422</v>
      </c>
      <c r="G321" s="24" t="n">
        <f aca="false">(MAX(D321:F321)-MIN(D321:F321))*100</f>
        <v>0.413223140495866</v>
      </c>
      <c r="H321" s="24" t="n">
        <f aca="false">'2026 Forecast A'!J303</f>
        <v>3.02608556967268</v>
      </c>
      <c r="I321" s="24" t="n">
        <f aca="false">'2026 Forecast B'!J303</f>
        <v>2.87480042420966</v>
      </c>
      <c r="J321" s="24" t="n">
        <f aca="false">'2026 Forecast C'!J303</f>
        <v>3.45317612968717</v>
      </c>
      <c r="K321" s="25" t="n">
        <f aca="false">'2026 Forecast A'!F303</f>
        <v>726</v>
      </c>
      <c r="L321" s="26" t="str">
        <f aca="false">IF(OR(AND(D321&gt;0.5,E321&gt;0.5,F321&gt;0.5),AND(D321&lt;0.5,E321&lt;0.5,F321&lt;0.5)),"Yes","No — toss-up")</f>
        <v>Yes</v>
      </c>
    </row>
    <row r="322" customFormat="false" ht="15" hidden="false" customHeight="false" outlineLevel="0" collapsed="false">
      <c r="A322" s="8" t="str">
        <f aca="false">'2026 Forecast A'!A304</f>
        <v>Northampton</v>
      </c>
      <c r="B322" s="8" t="str">
        <f aca="false">'2026 Forecast A'!B304</f>
        <v>HANOVER</v>
      </c>
      <c r="C322" s="8" t="str">
        <f aca="false">'2026 Forecast A'!C304</f>
        <v>HANOVER #4</v>
      </c>
      <c r="D322" s="9" t="n">
        <f aca="false">'2026 Forecast A'!G304</f>
        <v>0.556719022687609</v>
      </c>
      <c r="E322" s="9" t="n">
        <f aca="false">'2026 Forecast B'!G304</f>
        <v>0.554973821989529</v>
      </c>
      <c r="F322" s="9" t="n">
        <f aca="false">'2026 Forecast C'!G304</f>
        <v>0.55933682373473</v>
      </c>
      <c r="G322" s="24" t="n">
        <f aca="false">(MAX(D322:F322)-MIN(D322:F322))*100</f>
        <v>0.436300174520066</v>
      </c>
      <c r="H322" s="24" t="n">
        <f aca="false">'2026 Forecast A'!J304</f>
        <v>1.8085538155628</v>
      </c>
      <c r="I322" s="24" t="n">
        <f aca="false">'2026 Forecast B'!J304</f>
        <v>1.92472098334064</v>
      </c>
      <c r="J322" s="24" t="n">
        <f aca="false">'2026 Forecast C'!J304</f>
        <v>2.05025038892674</v>
      </c>
      <c r="K322" s="25" t="n">
        <f aca="false">'2026 Forecast A'!F304</f>
        <v>1146</v>
      </c>
      <c r="L322" s="26" t="str">
        <f aca="false">IF(OR(AND(D322&gt;0.5,E322&gt;0.5,F322&gt;0.5),AND(D322&lt;0.5,E322&lt;0.5,F322&lt;0.5)),"Yes","No — toss-up")</f>
        <v>Yes</v>
      </c>
    </row>
    <row r="323" customFormat="false" ht="15" hidden="false" customHeight="false" outlineLevel="0" collapsed="false">
      <c r="A323" s="8" t="str">
        <f aca="false">'2026 Forecast A'!A305</f>
        <v>Northampton</v>
      </c>
      <c r="B323" s="8" t="str">
        <f aca="false">'2026 Forecast A'!B305</f>
        <v>HANOVER</v>
      </c>
      <c r="C323" s="8" t="str">
        <f aca="false">'2026 Forecast A'!C305</f>
        <v>HANOVER #5</v>
      </c>
      <c r="D323" s="9" t="n">
        <f aca="false">'2026 Forecast A'!G305</f>
        <v>0.58961038961039</v>
      </c>
      <c r="E323" s="9" t="n">
        <f aca="false">'2026 Forecast B'!G305</f>
        <v>0.587878787878788</v>
      </c>
      <c r="F323" s="9" t="n">
        <f aca="false">'2026 Forecast C'!G305</f>
        <v>0.594805194805195</v>
      </c>
      <c r="G323" s="24" t="n">
        <f aca="false">(MAX(D323:F323)-MIN(D323:F323))*100</f>
        <v>0.692640692640689</v>
      </c>
      <c r="H323" s="24" t="n">
        <f aca="false">'2026 Forecast A'!J305</f>
        <v>1.8085538155628</v>
      </c>
      <c r="I323" s="24" t="n">
        <f aca="false">'2026 Forecast B'!J305</f>
        <v>1.92472098334064</v>
      </c>
      <c r="J323" s="24" t="n">
        <f aca="false">'2026 Forecast C'!J305</f>
        <v>2.05025038892674</v>
      </c>
      <c r="K323" s="25" t="n">
        <f aca="false">'2026 Forecast A'!F305</f>
        <v>1155</v>
      </c>
      <c r="L323" s="26" t="str">
        <f aca="false">IF(OR(AND(D323&gt;0.5,E323&gt;0.5,F323&gt;0.5),AND(D323&lt;0.5,E323&lt;0.5,F323&lt;0.5)),"Yes","No — toss-up")</f>
        <v>Yes</v>
      </c>
    </row>
    <row r="324" customFormat="false" ht="15" hidden="false" customHeight="false" outlineLevel="0" collapsed="false">
      <c r="A324" s="8" t="str">
        <f aca="false">'2026 Forecast A'!A306</f>
        <v>Northampton</v>
      </c>
      <c r="B324" s="8" t="str">
        <f aca="false">'2026 Forecast A'!B306</f>
        <v>HANOVER</v>
      </c>
      <c r="C324" s="8" t="str">
        <f aca="false">'2026 Forecast A'!C306</f>
        <v>HANOVER #6</v>
      </c>
      <c r="D324" s="9" t="n">
        <f aca="false">'2026 Forecast A'!G306</f>
        <v>0.561608300907912</v>
      </c>
      <c r="E324" s="9" t="n">
        <f aca="false">'2026 Forecast B'!G306</f>
        <v>0.56420233463035</v>
      </c>
      <c r="F324" s="9" t="n">
        <f aca="false">'2026 Forecast C'!G306</f>
        <v>0.565499351491569</v>
      </c>
      <c r="G324" s="24" t="n">
        <f aca="false">(MAX(D324:F324)-MIN(D324:F324))*100</f>
        <v>0.389105058365757</v>
      </c>
      <c r="H324" s="24" t="n">
        <f aca="false">'2026 Forecast A'!J306</f>
        <v>3.02608556967268</v>
      </c>
      <c r="I324" s="24" t="n">
        <f aca="false">'2026 Forecast B'!J306</f>
        <v>2.87480042420966</v>
      </c>
      <c r="J324" s="24" t="n">
        <f aca="false">'2026 Forecast C'!J306</f>
        <v>3.45317612968717</v>
      </c>
      <c r="K324" s="25" t="n">
        <f aca="false">'2026 Forecast A'!F306</f>
        <v>771</v>
      </c>
      <c r="L324" s="26" t="str">
        <f aca="false">IF(OR(AND(D324&gt;0.5,E324&gt;0.5,F324&gt;0.5),AND(D324&lt;0.5,E324&lt;0.5,F324&lt;0.5)),"Yes","No — toss-up")</f>
        <v>Yes</v>
      </c>
    </row>
    <row r="325" customFormat="false" ht="15" hidden="false" customHeight="false" outlineLevel="0" collapsed="false">
      <c r="A325" s="8" t="str">
        <f aca="false">'2026 Forecast A'!A307</f>
        <v>Northampton</v>
      </c>
      <c r="B325" s="8" t="str">
        <f aca="false">'2026 Forecast A'!B307</f>
        <v>HELLERTOWN</v>
      </c>
      <c r="C325" s="8" t="str">
        <f aca="false">'2026 Forecast A'!C307</f>
        <v>HELLERTOWN BORO 1ST WARD</v>
      </c>
      <c r="D325" s="9" t="n">
        <f aca="false">'2026 Forecast A'!G307</f>
        <v>0.537671232876712</v>
      </c>
      <c r="E325" s="9" t="n">
        <f aca="false">'2026 Forecast B'!G307</f>
        <v>0.544520547945205</v>
      </c>
      <c r="F325" s="9" t="n">
        <f aca="false">'2026 Forecast C'!G307</f>
        <v>0.538812785388128</v>
      </c>
      <c r="G325" s="24" t="n">
        <f aca="false">(MAX(D325:F325)-MIN(D325:F325))*100</f>
        <v>0.684931506849307</v>
      </c>
      <c r="H325" s="24" t="n">
        <f aca="false">'2026 Forecast A'!J307</f>
        <v>1.8085538155628</v>
      </c>
      <c r="I325" s="24" t="n">
        <f aca="false">'2026 Forecast B'!J307</f>
        <v>1.92472098334064</v>
      </c>
      <c r="J325" s="24" t="n">
        <f aca="false">'2026 Forecast C'!J307</f>
        <v>2.05025038892674</v>
      </c>
      <c r="K325" s="25" t="n">
        <f aca="false">'2026 Forecast A'!F307</f>
        <v>876</v>
      </c>
      <c r="L325" s="26" t="str">
        <f aca="false">IF(OR(AND(D325&gt;0.5,E325&gt;0.5,F325&gt;0.5),AND(D325&lt;0.5,E325&lt;0.5,F325&lt;0.5)),"Yes","No — toss-up")</f>
        <v>Yes</v>
      </c>
    </row>
    <row r="326" customFormat="false" ht="15" hidden="false" customHeight="false" outlineLevel="0" collapsed="false">
      <c r="A326" s="8" t="str">
        <f aca="false">'2026 Forecast A'!A308</f>
        <v>Northampton</v>
      </c>
      <c r="B326" s="8" t="str">
        <f aca="false">'2026 Forecast A'!B308</f>
        <v>HELLERTOWN</v>
      </c>
      <c r="C326" s="8" t="str">
        <f aca="false">'2026 Forecast A'!C308</f>
        <v>HELLERTOWN BORO 2ND WARD</v>
      </c>
      <c r="D326" s="9" t="n">
        <f aca="false">'2026 Forecast A'!G308</f>
        <v>0.549192364170338</v>
      </c>
      <c r="E326" s="9" t="n">
        <f aca="false">'2026 Forecast B'!G308</f>
        <v>0.556534508076358</v>
      </c>
      <c r="F326" s="9" t="n">
        <f aca="false">'2026 Forecast C'!G308</f>
        <v>0.552129221732746</v>
      </c>
      <c r="G326" s="24" t="n">
        <f aca="false">(MAX(D326:F326)-MIN(D326:F326))*100</f>
        <v>0.73421439060205</v>
      </c>
      <c r="H326" s="24" t="n">
        <f aca="false">'2026 Forecast A'!J308</f>
        <v>3.02608556967268</v>
      </c>
      <c r="I326" s="24" t="n">
        <f aca="false">'2026 Forecast B'!J308</f>
        <v>2.87480042420966</v>
      </c>
      <c r="J326" s="24" t="n">
        <f aca="false">'2026 Forecast C'!J308</f>
        <v>3.45317612968717</v>
      </c>
      <c r="K326" s="25" t="n">
        <f aca="false">'2026 Forecast A'!F308</f>
        <v>681</v>
      </c>
      <c r="L326" s="26" t="str">
        <f aca="false">IF(OR(AND(D326&gt;0.5,E326&gt;0.5,F326&gt;0.5),AND(D326&lt;0.5,E326&lt;0.5,F326&lt;0.5)),"Yes","No — toss-up")</f>
        <v>Yes</v>
      </c>
    </row>
    <row r="327" customFormat="false" ht="15" hidden="false" customHeight="false" outlineLevel="0" collapsed="false">
      <c r="A327" s="8" t="str">
        <f aca="false">'2026 Forecast A'!A309</f>
        <v>Northampton</v>
      </c>
      <c r="B327" s="8" t="str">
        <f aca="false">'2026 Forecast A'!B309</f>
        <v>HELLERTOWN</v>
      </c>
      <c r="C327" s="8" t="str">
        <f aca="false">'2026 Forecast A'!C309</f>
        <v>HELLERTOWN BORO 3RD WARD</v>
      </c>
      <c r="D327" s="9" t="n">
        <f aca="false">'2026 Forecast A'!G309</f>
        <v>0.563976377952756</v>
      </c>
      <c r="E327" s="9" t="n">
        <f aca="false">'2026 Forecast B'!G309</f>
        <v>0.566929133858268</v>
      </c>
      <c r="F327" s="9" t="n">
        <f aca="false">'2026 Forecast C'!G309</f>
        <v>0.566929133858268</v>
      </c>
      <c r="G327" s="24" t="n">
        <f aca="false">(MAX(D327:F327)-MIN(D327:F327))*100</f>
        <v>0.295275590551181</v>
      </c>
      <c r="H327" s="24" t="n">
        <f aca="false">'2026 Forecast A'!J309</f>
        <v>1.8085538155628</v>
      </c>
      <c r="I327" s="24" t="n">
        <f aca="false">'2026 Forecast B'!J309</f>
        <v>1.92472098334064</v>
      </c>
      <c r="J327" s="24" t="n">
        <f aca="false">'2026 Forecast C'!J309</f>
        <v>2.05025038892674</v>
      </c>
      <c r="K327" s="25" t="n">
        <f aca="false">'2026 Forecast A'!F309</f>
        <v>1016</v>
      </c>
      <c r="L327" s="26" t="str">
        <f aca="false">IF(OR(AND(D327&gt;0.5,E327&gt;0.5,F327&gt;0.5),AND(D327&lt;0.5,E327&lt;0.5,F327&lt;0.5)),"Yes","No — toss-up")</f>
        <v>Yes</v>
      </c>
    </row>
    <row r="328" customFormat="false" ht="15" hidden="false" customHeight="false" outlineLevel="0" collapsed="false">
      <c r="A328" s="8" t="str">
        <f aca="false">'2026 Forecast A'!A310</f>
        <v>Northampton</v>
      </c>
      <c r="B328" s="8" t="str">
        <f aca="false">'2026 Forecast A'!B310</f>
        <v>LEHIGH</v>
      </c>
      <c r="C328" s="8" t="str">
        <f aca="false">'2026 Forecast A'!C310</f>
        <v>LEHIGH TWSP - CENTRAL</v>
      </c>
      <c r="D328" s="9" t="n">
        <f aca="false">'2026 Forecast A'!G310</f>
        <v>0.383111806098515</v>
      </c>
      <c r="E328" s="9" t="n">
        <f aca="false">'2026 Forecast B'!G310</f>
        <v>0.386239249413604</v>
      </c>
      <c r="F328" s="9" t="n">
        <f aca="false">'2026 Forecast C'!G310</f>
        <v>0.376075058639562</v>
      </c>
      <c r="G328" s="24" t="n">
        <f aca="false">(MAX(D328:F328)-MIN(D328:F328))*100</f>
        <v>1.01641907740422</v>
      </c>
      <c r="H328" s="24" t="n">
        <f aca="false">'2026 Forecast A'!J310</f>
        <v>1.24911041755021</v>
      </c>
      <c r="I328" s="24" t="n">
        <f aca="false">'2026 Forecast B'!J310</f>
        <v>1.87117215961084</v>
      </c>
      <c r="J328" s="24" t="n">
        <f aca="false">'2026 Forecast C'!J310</f>
        <v>1.25589305869883</v>
      </c>
      <c r="K328" s="25" t="n">
        <f aca="false">'2026 Forecast A'!F310</f>
        <v>1279</v>
      </c>
      <c r="L328" s="26" t="str">
        <f aca="false">IF(OR(AND(D328&gt;0.5,E328&gt;0.5,F328&gt;0.5),AND(D328&lt;0.5,E328&lt;0.5,F328&lt;0.5)),"Yes","No — toss-up")</f>
        <v>Yes</v>
      </c>
    </row>
    <row r="329" customFormat="false" ht="15" hidden="false" customHeight="false" outlineLevel="0" collapsed="false">
      <c r="A329" s="8" t="str">
        <f aca="false">'2026 Forecast A'!A311</f>
        <v>Northampton</v>
      </c>
      <c r="B329" s="8" t="str">
        <f aca="false">'2026 Forecast A'!B311</f>
        <v>LEHIGH</v>
      </c>
      <c r="C329" s="8" t="str">
        <f aca="false">'2026 Forecast A'!C311</f>
        <v>LEHIGH TWSP - DANIELSVILLE</v>
      </c>
      <c r="D329" s="9" t="n">
        <f aca="false">'2026 Forecast A'!G311</f>
        <v>0.386159169550173</v>
      </c>
      <c r="E329" s="9" t="n">
        <f aca="false">'2026 Forecast B'!G311</f>
        <v>0.387543252595156</v>
      </c>
      <c r="F329" s="9" t="n">
        <f aca="false">'2026 Forecast C'!G311</f>
        <v>0.380622837370242</v>
      </c>
      <c r="G329" s="24" t="n">
        <f aca="false">(MAX(D329:F329)-MIN(D329:F329))*100</f>
        <v>0.692041522491349</v>
      </c>
      <c r="H329" s="24" t="n">
        <f aca="false">'2026 Forecast A'!J311</f>
        <v>1.24911041755021</v>
      </c>
      <c r="I329" s="24" t="n">
        <f aca="false">'2026 Forecast B'!J311</f>
        <v>1.87117215961084</v>
      </c>
      <c r="J329" s="24" t="n">
        <f aca="false">'2026 Forecast C'!J311</f>
        <v>1.25589305869883</v>
      </c>
      <c r="K329" s="25" t="n">
        <f aca="false">'2026 Forecast A'!F311</f>
        <v>1445</v>
      </c>
      <c r="L329" s="26" t="str">
        <f aca="false">IF(OR(AND(D329&gt;0.5,E329&gt;0.5,F329&gt;0.5),AND(D329&lt;0.5,E329&lt;0.5,F329&lt;0.5)),"Yes","No — toss-up")</f>
        <v>Yes</v>
      </c>
    </row>
    <row r="330" customFormat="false" ht="15" hidden="false" customHeight="false" outlineLevel="0" collapsed="false">
      <c r="A330" s="8" t="str">
        <f aca="false">'2026 Forecast A'!A312</f>
        <v>Northampton</v>
      </c>
      <c r="B330" s="8" t="str">
        <f aca="false">'2026 Forecast A'!B312</f>
        <v>LEHIGH</v>
      </c>
      <c r="C330" s="8" t="str">
        <f aca="false">'2026 Forecast A'!C312</f>
        <v>LEHIGH TWSP - NORTHWESTERN</v>
      </c>
      <c r="D330" s="9" t="n">
        <f aca="false">'2026 Forecast A'!G312</f>
        <v>0.35030549898167</v>
      </c>
      <c r="E330" s="9" t="n">
        <f aca="false">'2026 Forecast B'!G312</f>
        <v>0.358452138492872</v>
      </c>
      <c r="F330" s="9" t="n">
        <f aca="false">'2026 Forecast C'!G312</f>
        <v>0.344195519348269</v>
      </c>
      <c r="G330" s="24" t="n">
        <f aca="false">(MAX(D330:F330)-MIN(D330:F330))*100</f>
        <v>1.42566191446028</v>
      </c>
      <c r="H330" s="24" t="n">
        <f aca="false">'2026 Forecast A'!J312</f>
        <v>3.02608556967268</v>
      </c>
      <c r="I330" s="24" t="n">
        <f aca="false">'2026 Forecast B'!J312</f>
        <v>2.87480042420966</v>
      </c>
      <c r="J330" s="24" t="n">
        <f aca="false">'2026 Forecast C'!J312</f>
        <v>3.45317612968717</v>
      </c>
      <c r="K330" s="25" t="n">
        <f aca="false">'2026 Forecast A'!F312</f>
        <v>491</v>
      </c>
      <c r="L330" s="26" t="str">
        <f aca="false">IF(OR(AND(D330&gt;0.5,E330&gt;0.5,F330&gt;0.5),AND(D330&lt;0.5,E330&lt;0.5,F330&lt;0.5)),"Yes","No — toss-up")</f>
        <v>Yes</v>
      </c>
    </row>
    <row r="331" customFormat="false" ht="15" hidden="false" customHeight="false" outlineLevel="0" collapsed="false">
      <c r="A331" s="8" t="str">
        <f aca="false">'2026 Forecast A'!A313</f>
        <v>Northampton</v>
      </c>
      <c r="B331" s="8" t="str">
        <f aca="false">'2026 Forecast A'!B313</f>
        <v>LEHIGH</v>
      </c>
      <c r="C331" s="8" t="str">
        <f aca="false">'2026 Forecast A'!C313</f>
        <v>LEHIGH TWSP - PENNSVILLE</v>
      </c>
      <c r="D331" s="9" t="n">
        <f aca="false">'2026 Forecast A'!G313</f>
        <v>0.390804597701149</v>
      </c>
      <c r="E331" s="9" t="n">
        <f aca="false">'2026 Forecast B'!G313</f>
        <v>0.392572944297082</v>
      </c>
      <c r="F331" s="9" t="n">
        <f aca="false">'2026 Forecast C'!G313</f>
        <v>0.384615384615385</v>
      </c>
      <c r="G331" s="24" t="n">
        <f aca="false">(MAX(D331:F331)-MIN(D331:F331))*100</f>
        <v>0.795755968169759</v>
      </c>
      <c r="H331" s="24" t="n">
        <f aca="false">'2026 Forecast A'!J313</f>
        <v>1.8085538155628</v>
      </c>
      <c r="I331" s="24" t="n">
        <f aca="false">'2026 Forecast B'!J313</f>
        <v>1.92472098334064</v>
      </c>
      <c r="J331" s="24" t="n">
        <f aca="false">'2026 Forecast C'!J313</f>
        <v>2.05025038892674</v>
      </c>
      <c r="K331" s="25" t="n">
        <f aca="false">'2026 Forecast A'!F313</f>
        <v>1131</v>
      </c>
      <c r="L331" s="26" t="str">
        <f aca="false">IF(OR(AND(D331&gt;0.5,E331&gt;0.5,F331&gt;0.5),AND(D331&lt;0.5,E331&lt;0.5,F331&lt;0.5)),"Yes","No — toss-up")</f>
        <v>Yes</v>
      </c>
    </row>
    <row r="332" customFormat="false" ht="15" hidden="false" customHeight="false" outlineLevel="0" collapsed="false">
      <c r="A332" s="8" t="str">
        <f aca="false">'2026 Forecast A'!A314</f>
        <v>Northampton</v>
      </c>
      <c r="B332" s="8" t="str">
        <f aca="false">'2026 Forecast A'!B314</f>
        <v>LEHIGH</v>
      </c>
      <c r="C332" s="8" t="str">
        <f aca="false">'2026 Forecast A'!C314</f>
        <v>LEHIGH TWSP - TREICHLERS</v>
      </c>
      <c r="D332" s="9" t="n">
        <f aca="false">'2026 Forecast A'!G314</f>
        <v>0.397368421052632</v>
      </c>
      <c r="E332" s="9" t="n">
        <f aca="false">'2026 Forecast B'!G314</f>
        <v>0.396052631578947</v>
      </c>
      <c r="F332" s="9" t="n">
        <f aca="false">'2026 Forecast C'!G314</f>
        <v>0.392105263157895</v>
      </c>
      <c r="G332" s="24" t="n">
        <f aca="false">(MAX(D332:F332)-MIN(D332:F332))*100</f>
        <v>0.526315789473686</v>
      </c>
      <c r="H332" s="24" t="n">
        <f aca="false">'2026 Forecast A'!J314</f>
        <v>3.02608556967268</v>
      </c>
      <c r="I332" s="24" t="n">
        <f aca="false">'2026 Forecast B'!J314</f>
        <v>2.87480042420966</v>
      </c>
      <c r="J332" s="24" t="n">
        <f aca="false">'2026 Forecast C'!J314</f>
        <v>3.45317612968717</v>
      </c>
      <c r="K332" s="25" t="n">
        <f aca="false">'2026 Forecast A'!F314</f>
        <v>760</v>
      </c>
      <c r="L332" s="26" t="str">
        <f aca="false">IF(OR(AND(D332&gt;0.5,E332&gt;0.5,F332&gt;0.5),AND(D332&lt;0.5,E332&lt;0.5,F332&lt;0.5)),"Yes","No — toss-up")</f>
        <v>Yes</v>
      </c>
    </row>
    <row r="333" customFormat="false" ht="15" hidden="false" customHeight="false" outlineLevel="0" collapsed="false">
      <c r="A333" s="8" t="str">
        <f aca="false">'2026 Forecast A'!A315</f>
        <v>Northampton</v>
      </c>
      <c r="B333" s="8" t="str">
        <f aca="false">'2026 Forecast A'!B315</f>
        <v>LOWER MOUNT BETHEL</v>
      </c>
      <c r="C333" s="8" t="str">
        <f aca="false">'2026 Forecast A'!C315</f>
        <v>LOWER MT BETHEL - LOWER</v>
      </c>
      <c r="D333" s="9" t="n">
        <f aca="false">'2026 Forecast A'!G315</f>
        <v>0.395131086142322</v>
      </c>
      <c r="E333" s="9" t="n">
        <f aca="false">'2026 Forecast B'!G315</f>
        <v>0.393258426966292</v>
      </c>
      <c r="F333" s="9" t="n">
        <f aca="false">'2026 Forecast C'!G315</f>
        <v>0.393258426966292</v>
      </c>
      <c r="G333" s="24" t="n">
        <f aca="false">(MAX(D333:F333)-MIN(D333:F333))*100</f>
        <v>0.187265917602997</v>
      </c>
      <c r="H333" s="24" t="n">
        <f aca="false">'2026 Forecast A'!J315</f>
        <v>3.02608556967268</v>
      </c>
      <c r="I333" s="24" t="n">
        <f aca="false">'2026 Forecast B'!J315</f>
        <v>2.87480042420966</v>
      </c>
      <c r="J333" s="24" t="n">
        <f aca="false">'2026 Forecast C'!J315</f>
        <v>3.45317612968717</v>
      </c>
      <c r="K333" s="25" t="n">
        <f aca="false">'2026 Forecast A'!F315</f>
        <v>534</v>
      </c>
      <c r="L333" s="26" t="str">
        <f aca="false">IF(OR(AND(D333&gt;0.5,E333&gt;0.5,F333&gt;0.5),AND(D333&lt;0.5,E333&lt;0.5,F333&lt;0.5)),"Yes","No — toss-up")</f>
        <v>Yes</v>
      </c>
    </row>
    <row r="334" customFormat="false" ht="15" hidden="false" customHeight="false" outlineLevel="0" collapsed="false">
      <c r="A334" s="8" t="str">
        <f aca="false">'2026 Forecast A'!A316</f>
        <v>Northampton</v>
      </c>
      <c r="B334" s="8" t="str">
        <f aca="false">'2026 Forecast A'!B316</f>
        <v>LOWER MOUNT BETHEL</v>
      </c>
      <c r="C334" s="8" t="str">
        <f aca="false">'2026 Forecast A'!C316</f>
        <v>LOWER MT BETHEL - UPPER</v>
      </c>
      <c r="D334" s="9" t="n">
        <f aca="false">'2026 Forecast A'!G316</f>
        <v>0.372979214780601</v>
      </c>
      <c r="E334" s="9" t="n">
        <f aca="false">'2026 Forecast B'!G316</f>
        <v>0.371824480369515</v>
      </c>
      <c r="F334" s="9" t="n">
        <f aca="false">'2026 Forecast C'!G316</f>
        <v>0.366050808314088</v>
      </c>
      <c r="G334" s="24" t="n">
        <f aca="false">(MAX(D334:F334)-MIN(D334:F334))*100</f>
        <v>0.692840646651272</v>
      </c>
      <c r="H334" s="24" t="n">
        <f aca="false">'2026 Forecast A'!J316</f>
        <v>1.8085538155628</v>
      </c>
      <c r="I334" s="24" t="n">
        <f aca="false">'2026 Forecast B'!J316</f>
        <v>1.92472098334064</v>
      </c>
      <c r="J334" s="24" t="n">
        <f aca="false">'2026 Forecast C'!J316</f>
        <v>2.05025038892674</v>
      </c>
      <c r="K334" s="25" t="n">
        <f aca="false">'2026 Forecast A'!F316</f>
        <v>866</v>
      </c>
      <c r="L334" s="26" t="str">
        <f aca="false">IF(OR(AND(D334&gt;0.5,E334&gt;0.5,F334&gt;0.5),AND(D334&lt;0.5,E334&lt;0.5,F334&lt;0.5)),"Yes","No — toss-up")</f>
        <v>Yes</v>
      </c>
    </row>
    <row r="335" customFormat="false" ht="15" hidden="false" customHeight="false" outlineLevel="0" collapsed="false">
      <c r="A335" s="8" t="str">
        <f aca="false">'2026 Forecast A'!A317</f>
        <v>Northampton</v>
      </c>
      <c r="B335" s="8" t="str">
        <f aca="false">'2026 Forecast A'!B317</f>
        <v>LOWER NAZARETH</v>
      </c>
      <c r="C335" s="8" t="str">
        <f aca="false">'2026 Forecast A'!C317</f>
        <v>LOWER NAZARETH EAST</v>
      </c>
      <c r="D335" s="9" t="n">
        <f aca="false">'2026 Forecast A'!G317</f>
        <v>0.458612975391499</v>
      </c>
      <c r="E335" s="9" t="n">
        <f aca="false">'2026 Forecast B'!G317</f>
        <v>0.451901565995526</v>
      </c>
      <c r="F335" s="9" t="n">
        <f aca="false">'2026 Forecast C'!G317</f>
        <v>0.458612975391499</v>
      </c>
      <c r="G335" s="24" t="n">
        <f aca="false">(MAX(D335:F335)-MIN(D335:F335))*100</f>
        <v>0.671140939597315</v>
      </c>
      <c r="H335" s="24" t="n">
        <f aca="false">'2026 Forecast A'!J317</f>
        <v>3.02608556967268</v>
      </c>
      <c r="I335" s="24" t="n">
        <f aca="false">'2026 Forecast B'!J317</f>
        <v>2.87480042420966</v>
      </c>
      <c r="J335" s="24" t="n">
        <f aca="false">'2026 Forecast C'!J317</f>
        <v>3.45317612968717</v>
      </c>
      <c r="K335" s="25" t="n">
        <f aca="false">'2026 Forecast A'!F317</f>
        <v>447</v>
      </c>
      <c r="L335" s="26" t="str">
        <f aca="false">IF(OR(AND(D335&gt;0.5,E335&gt;0.5,F335&gt;0.5),AND(D335&lt;0.5,E335&lt;0.5,F335&lt;0.5)),"Yes","No — toss-up")</f>
        <v>Yes</v>
      </c>
    </row>
    <row r="336" customFormat="false" ht="15" hidden="false" customHeight="false" outlineLevel="0" collapsed="false">
      <c r="A336" s="8" t="str">
        <f aca="false">'2026 Forecast A'!A318</f>
        <v>Northampton</v>
      </c>
      <c r="B336" s="8" t="str">
        <f aca="false">'2026 Forecast A'!B318</f>
        <v>LOWER NAZARETH</v>
      </c>
      <c r="C336" s="8" t="str">
        <f aca="false">'2026 Forecast A'!C318</f>
        <v>LOWER NAZARETH NORTH</v>
      </c>
      <c r="D336" s="9" t="n">
        <f aca="false">'2026 Forecast A'!G318</f>
        <v>0.514614703277237</v>
      </c>
      <c r="E336" s="9" t="n">
        <f aca="false">'2026 Forecast B'!G318</f>
        <v>0.517271922054916</v>
      </c>
      <c r="F336" s="9" t="n">
        <f aca="false">'2026 Forecast C'!G318</f>
        <v>0.508414526129318</v>
      </c>
      <c r="G336" s="24" t="n">
        <f aca="false">(MAX(D336:F336)-MIN(D336:F336))*100</f>
        <v>0.885739592559787</v>
      </c>
      <c r="H336" s="24" t="n">
        <f aca="false">'2026 Forecast A'!J318</f>
        <v>1.8085538155628</v>
      </c>
      <c r="I336" s="24" t="n">
        <f aca="false">'2026 Forecast B'!J318</f>
        <v>1.92472098334064</v>
      </c>
      <c r="J336" s="24" t="n">
        <f aca="false">'2026 Forecast C'!J318</f>
        <v>2.05025038892674</v>
      </c>
      <c r="K336" s="25" t="n">
        <f aca="false">'2026 Forecast A'!F318</f>
        <v>1129</v>
      </c>
      <c r="L336" s="26" t="str">
        <f aca="false">IF(OR(AND(D336&gt;0.5,E336&gt;0.5,F336&gt;0.5),AND(D336&lt;0.5,E336&lt;0.5,F336&lt;0.5)),"Yes","No — toss-up")</f>
        <v>Yes</v>
      </c>
    </row>
    <row r="337" customFormat="false" ht="15" hidden="false" customHeight="false" outlineLevel="0" collapsed="false">
      <c r="A337" s="8" t="str">
        <f aca="false">'2026 Forecast A'!A319</f>
        <v>Northampton</v>
      </c>
      <c r="B337" s="8" t="str">
        <f aca="false">'2026 Forecast A'!B319</f>
        <v>LOWER NAZARETH</v>
      </c>
      <c r="C337" s="8" t="str">
        <f aca="false">'2026 Forecast A'!C319</f>
        <v>LOWER NAZARETH SOUTH</v>
      </c>
      <c r="D337" s="9" t="n">
        <f aca="false">'2026 Forecast A'!G319</f>
        <v>0.477351916376307</v>
      </c>
      <c r="E337" s="9" t="n">
        <f aca="false">'2026 Forecast B'!G319</f>
        <v>0.476480836236934</v>
      </c>
      <c r="F337" s="9" t="n">
        <f aca="false">'2026 Forecast C'!G319</f>
        <v>0.477351916376307</v>
      </c>
      <c r="G337" s="24" t="n">
        <f aca="false">(MAX(D337:F337)-MIN(D337:F337))*100</f>
        <v>0.0871080139372815</v>
      </c>
      <c r="H337" s="24" t="n">
        <f aca="false">'2026 Forecast A'!J319</f>
        <v>1.8085538155628</v>
      </c>
      <c r="I337" s="24" t="n">
        <f aca="false">'2026 Forecast B'!J319</f>
        <v>1.92472098334064</v>
      </c>
      <c r="J337" s="24" t="n">
        <f aca="false">'2026 Forecast C'!J319</f>
        <v>2.05025038892674</v>
      </c>
      <c r="K337" s="25" t="n">
        <f aca="false">'2026 Forecast A'!F319</f>
        <v>1148</v>
      </c>
      <c r="L337" s="26" t="str">
        <f aca="false">IF(OR(AND(D337&gt;0.5,E337&gt;0.5,F337&gt;0.5),AND(D337&lt;0.5,E337&lt;0.5,F337&lt;0.5)),"Yes","No — toss-up")</f>
        <v>Yes</v>
      </c>
    </row>
    <row r="338" customFormat="false" ht="15" hidden="false" customHeight="false" outlineLevel="0" collapsed="false">
      <c r="A338" s="8" t="str">
        <f aca="false">'2026 Forecast A'!A320</f>
        <v>Northampton</v>
      </c>
      <c r="B338" s="8" t="str">
        <f aca="false">'2026 Forecast A'!B320</f>
        <v>LOWER NAZARETH</v>
      </c>
      <c r="C338" s="8" t="str">
        <f aca="false">'2026 Forecast A'!C320</f>
        <v>LOWER NAZARETH WEST</v>
      </c>
      <c r="D338" s="9" t="n">
        <f aca="false">'2026 Forecast A'!G320</f>
        <v>0.485663082437276</v>
      </c>
      <c r="E338" s="9" t="n">
        <f aca="false">'2026 Forecast B'!G320</f>
        <v>0.491935483870968</v>
      </c>
      <c r="F338" s="9" t="n">
        <f aca="false">'2026 Forecast C'!G320</f>
        <v>0.477598566308244</v>
      </c>
      <c r="G338" s="24" t="n">
        <f aca="false">(MAX(D338:F338)-MIN(D338:F338))*100</f>
        <v>1.4336917562724</v>
      </c>
      <c r="H338" s="24" t="n">
        <f aca="false">'2026 Forecast A'!J320</f>
        <v>1.8085538155628</v>
      </c>
      <c r="I338" s="24" t="n">
        <f aca="false">'2026 Forecast B'!J320</f>
        <v>1.92472098334064</v>
      </c>
      <c r="J338" s="24" t="n">
        <f aca="false">'2026 Forecast C'!J320</f>
        <v>2.05025038892674</v>
      </c>
      <c r="K338" s="25" t="n">
        <f aca="false">'2026 Forecast A'!F320</f>
        <v>1116</v>
      </c>
      <c r="L338" s="26" t="str">
        <f aca="false">IF(OR(AND(D338&gt;0.5,E338&gt;0.5,F338&gt;0.5),AND(D338&lt;0.5,E338&lt;0.5,F338&lt;0.5)),"Yes","No — toss-up")</f>
        <v>Yes</v>
      </c>
    </row>
    <row r="339" customFormat="false" ht="15" hidden="false" customHeight="false" outlineLevel="0" collapsed="false">
      <c r="A339" s="8" t="str">
        <f aca="false">'2026 Forecast A'!A321</f>
        <v>Northampton</v>
      </c>
      <c r="B339" s="8" t="str">
        <f aca="false">'2026 Forecast A'!B321</f>
        <v>LOWER SAUCON</v>
      </c>
      <c r="C339" s="8" t="str">
        <f aca="false">'2026 Forecast A'!C321</f>
        <v>LOWER SAUCON TWSP - 1</v>
      </c>
      <c r="D339" s="9" t="n">
        <f aca="false">'2026 Forecast A'!G321</f>
        <v>0.55978835978836</v>
      </c>
      <c r="E339" s="9" t="n">
        <f aca="false">'2026 Forecast B'!G321</f>
        <v>0.544973544973545</v>
      </c>
      <c r="F339" s="9" t="n">
        <f aca="false">'2026 Forecast C'!G321</f>
        <v>0.564021164021164</v>
      </c>
      <c r="G339" s="24" t="n">
        <f aca="false">(MAX(D339:F339)-MIN(D339:F339))*100</f>
        <v>1.9047619047619</v>
      </c>
      <c r="H339" s="24" t="n">
        <f aca="false">'2026 Forecast A'!J321</f>
        <v>1.8085538155628</v>
      </c>
      <c r="I339" s="24" t="n">
        <f aca="false">'2026 Forecast B'!J321</f>
        <v>1.92472098334064</v>
      </c>
      <c r="J339" s="24" t="n">
        <f aca="false">'2026 Forecast C'!J321</f>
        <v>2.05025038892674</v>
      </c>
      <c r="K339" s="25" t="n">
        <f aca="false">'2026 Forecast A'!F321</f>
        <v>945</v>
      </c>
      <c r="L339" s="26" t="str">
        <f aca="false">IF(OR(AND(D339&gt;0.5,E339&gt;0.5,F339&gt;0.5),AND(D339&lt;0.5,E339&lt;0.5,F339&lt;0.5)),"Yes","No — toss-up")</f>
        <v>Yes</v>
      </c>
    </row>
    <row r="340" customFormat="false" ht="15" hidden="false" customHeight="false" outlineLevel="0" collapsed="false">
      <c r="A340" s="8" t="str">
        <f aca="false">'2026 Forecast A'!A322</f>
        <v>Northampton</v>
      </c>
      <c r="B340" s="8" t="str">
        <f aca="false">'2026 Forecast A'!B322</f>
        <v>LOWER SAUCON</v>
      </c>
      <c r="C340" s="8" t="str">
        <f aca="false">'2026 Forecast A'!C322</f>
        <v>LOWER SAUCON TWSP - 2</v>
      </c>
      <c r="D340" s="9" t="n">
        <f aca="false">'2026 Forecast A'!G322</f>
        <v>0.475063398140321</v>
      </c>
      <c r="E340" s="9" t="n">
        <f aca="false">'2026 Forecast B'!G322</f>
        <v>0.476754015215554</v>
      </c>
      <c r="F340" s="9" t="n">
        <f aca="false">'2026 Forecast C'!G322</f>
        <v>0.474218089602705</v>
      </c>
      <c r="G340" s="24" t="n">
        <f aca="false">(MAX(D340:F340)-MIN(D340:F340))*100</f>
        <v>0.253592561284866</v>
      </c>
      <c r="H340" s="24" t="n">
        <f aca="false">'2026 Forecast A'!J322</f>
        <v>1.8085538155628</v>
      </c>
      <c r="I340" s="24" t="n">
        <f aca="false">'2026 Forecast B'!J322</f>
        <v>1.92472098334064</v>
      </c>
      <c r="J340" s="24" t="n">
        <f aca="false">'2026 Forecast C'!J322</f>
        <v>2.05025038892674</v>
      </c>
      <c r="K340" s="25" t="n">
        <f aca="false">'2026 Forecast A'!F322</f>
        <v>1183</v>
      </c>
      <c r="L340" s="26" t="str">
        <f aca="false">IF(OR(AND(D340&gt;0.5,E340&gt;0.5,F340&gt;0.5),AND(D340&lt;0.5,E340&lt;0.5,F340&lt;0.5)),"Yes","No — toss-up")</f>
        <v>Yes</v>
      </c>
    </row>
    <row r="341" customFormat="false" ht="15" hidden="false" customHeight="false" outlineLevel="0" collapsed="false">
      <c r="A341" s="8" t="str">
        <f aca="false">'2026 Forecast A'!A323</f>
        <v>Northampton</v>
      </c>
      <c r="B341" s="8" t="str">
        <f aca="false">'2026 Forecast A'!B323</f>
        <v>LOWER SAUCON</v>
      </c>
      <c r="C341" s="8" t="str">
        <f aca="false">'2026 Forecast A'!C323</f>
        <v>LOWER SAUCON TWSP - 3</v>
      </c>
      <c r="D341" s="9" t="n">
        <f aca="false">'2026 Forecast A'!G323</f>
        <v>0.44973544973545</v>
      </c>
      <c r="E341" s="9" t="n">
        <f aca="false">'2026 Forecast B'!G323</f>
        <v>0.44047619047619</v>
      </c>
      <c r="F341" s="9" t="n">
        <f aca="false">'2026 Forecast C'!G323</f>
        <v>0.44973544973545</v>
      </c>
      <c r="G341" s="24" t="n">
        <f aca="false">(MAX(D341:F341)-MIN(D341:F341))*100</f>
        <v>0.925925925925925</v>
      </c>
      <c r="H341" s="24" t="n">
        <f aca="false">'2026 Forecast A'!J323</f>
        <v>3.02608556967268</v>
      </c>
      <c r="I341" s="24" t="n">
        <f aca="false">'2026 Forecast B'!J323</f>
        <v>2.87480042420966</v>
      </c>
      <c r="J341" s="24" t="n">
        <f aca="false">'2026 Forecast C'!J323</f>
        <v>3.45317612968717</v>
      </c>
      <c r="K341" s="25" t="n">
        <f aca="false">'2026 Forecast A'!F323</f>
        <v>756</v>
      </c>
      <c r="L341" s="26" t="str">
        <f aca="false">IF(OR(AND(D341&gt;0.5,E341&gt;0.5,F341&gt;0.5),AND(D341&lt;0.5,E341&lt;0.5,F341&lt;0.5)),"Yes","No — toss-up")</f>
        <v>Yes</v>
      </c>
    </row>
    <row r="342" customFormat="false" ht="15" hidden="false" customHeight="false" outlineLevel="0" collapsed="false">
      <c r="A342" s="8" t="str">
        <f aca="false">'2026 Forecast A'!A324</f>
        <v>Northampton</v>
      </c>
      <c r="B342" s="8" t="str">
        <f aca="false">'2026 Forecast A'!B324</f>
        <v>LOWER SAUCON</v>
      </c>
      <c r="C342" s="8" t="str">
        <f aca="false">'2026 Forecast A'!C324</f>
        <v>LOWER SAUCON TWSP - 4</v>
      </c>
      <c r="D342" s="9" t="n">
        <f aca="false">'2026 Forecast A'!G324</f>
        <v>0.554376657824934</v>
      </c>
      <c r="E342" s="9" t="n">
        <f aca="false">'2026 Forecast B'!G324</f>
        <v>0.553050397877984</v>
      </c>
      <c r="F342" s="9" t="n">
        <f aca="false">'2026 Forecast C'!G324</f>
        <v>0.555702917771883</v>
      </c>
      <c r="G342" s="24" t="n">
        <f aca="false">(MAX(D342:F342)-MIN(D342:F342))*100</f>
        <v>0.265251989389925</v>
      </c>
      <c r="H342" s="24" t="n">
        <f aca="false">'2026 Forecast A'!J324</f>
        <v>3.02608556967268</v>
      </c>
      <c r="I342" s="24" t="n">
        <f aca="false">'2026 Forecast B'!J324</f>
        <v>2.87480042420966</v>
      </c>
      <c r="J342" s="24" t="n">
        <f aca="false">'2026 Forecast C'!J324</f>
        <v>3.45317612968717</v>
      </c>
      <c r="K342" s="25" t="n">
        <f aca="false">'2026 Forecast A'!F324</f>
        <v>754</v>
      </c>
      <c r="L342" s="26" t="str">
        <f aca="false">IF(OR(AND(D342&gt;0.5,E342&gt;0.5,F342&gt;0.5),AND(D342&lt;0.5,E342&lt;0.5,F342&lt;0.5)),"Yes","No — toss-up")</f>
        <v>Yes</v>
      </c>
    </row>
    <row r="343" customFormat="false" ht="15" hidden="false" customHeight="false" outlineLevel="0" collapsed="false">
      <c r="A343" s="8" t="str">
        <f aca="false">'2026 Forecast A'!A325</f>
        <v>Northampton</v>
      </c>
      <c r="B343" s="8" t="str">
        <f aca="false">'2026 Forecast A'!B325</f>
        <v>LOWER SAUCON</v>
      </c>
      <c r="C343" s="8" t="str">
        <f aca="false">'2026 Forecast A'!C325</f>
        <v>LOWER SAUCON TWSP - 6</v>
      </c>
      <c r="D343" s="9" t="n">
        <f aca="false">'2026 Forecast A'!G325</f>
        <v>0.459393939393939</v>
      </c>
      <c r="E343" s="9" t="n">
        <f aca="false">'2026 Forecast B'!G325</f>
        <v>0.454545454545455</v>
      </c>
      <c r="F343" s="9" t="n">
        <f aca="false">'2026 Forecast C'!G325</f>
        <v>0.459393939393939</v>
      </c>
      <c r="G343" s="24" t="n">
        <f aca="false">(MAX(D343:F343)-MIN(D343:F343))*100</f>
        <v>0.484848484848488</v>
      </c>
      <c r="H343" s="24" t="n">
        <f aca="false">'2026 Forecast A'!J325</f>
        <v>1.8085538155628</v>
      </c>
      <c r="I343" s="24" t="n">
        <f aca="false">'2026 Forecast B'!J325</f>
        <v>1.92472098334064</v>
      </c>
      <c r="J343" s="24" t="n">
        <f aca="false">'2026 Forecast C'!J325</f>
        <v>2.05025038892674</v>
      </c>
      <c r="K343" s="25" t="n">
        <f aca="false">'2026 Forecast A'!F325</f>
        <v>825</v>
      </c>
      <c r="L343" s="26" t="str">
        <f aca="false">IF(OR(AND(D343&gt;0.5,E343&gt;0.5,F343&gt;0.5),AND(D343&lt;0.5,E343&lt;0.5,F343&lt;0.5)),"Yes","No — toss-up")</f>
        <v>Yes</v>
      </c>
    </row>
    <row r="344" customFormat="false" ht="15" hidden="false" customHeight="false" outlineLevel="0" collapsed="false">
      <c r="A344" s="8" t="str">
        <f aca="false">'2026 Forecast A'!A326</f>
        <v>Northampton</v>
      </c>
      <c r="B344" s="8" t="str">
        <f aca="false">'2026 Forecast A'!B326</f>
        <v>LOWER SAUCON</v>
      </c>
      <c r="C344" s="8" t="str">
        <f aca="false">'2026 Forecast A'!C326</f>
        <v>LOWER SAUCON TWSP - 7</v>
      </c>
      <c r="D344" s="9" t="n">
        <f aca="false">'2026 Forecast A'!G326</f>
        <v>0.505915100904663</v>
      </c>
      <c r="E344" s="9" t="n">
        <f aca="false">'2026 Forecast B'!G326</f>
        <v>0.494084899095338</v>
      </c>
      <c r="F344" s="9" t="n">
        <f aca="false">'2026 Forecast C'!G326</f>
        <v>0.503827418232429</v>
      </c>
      <c r="G344" s="24" t="n">
        <f aca="false">(MAX(D344:F344)-MIN(D344:F344))*100</f>
        <v>1.1830201809325</v>
      </c>
      <c r="H344" s="24" t="n">
        <f aca="false">'2026 Forecast A'!J326</f>
        <v>1.24911041755021</v>
      </c>
      <c r="I344" s="24" t="n">
        <f aca="false">'2026 Forecast B'!J326</f>
        <v>1.87117215961084</v>
      </c>
      <c r="J344" s="24" t="n">
        <f aca="false">'2026 Forecast C'!J326</f>
        <v>1.25589305869883</v>
      </c>
      <c r="K344" s="25" t="n">
        <f aca="false">'2026 Forecast A'!F326</f>
        <v>1437</v>
      </c>
      <c r="L344" s="26" t="str">
        <f aca="false">IF(OR(AND(D344&gt;0.5,E344&gt;0.5,F344&gt;0.5),AND(D344&lt;0.5,E344&lt;0.5,F344&lt;0.5)),"Yes","No — toss-up")</f>
        <v>No — toss-up</v>
      </c>
    </row>
    <row r="345" customFormat="false" ht="15" hidden="false" customHeight="false" outlineLevel="0" collapsed="false">
      <c r="A345" s="8" t="str">
        <f aca="false">'2026 Forecast A'!A327</f>
        <v>Northampton</v>
      </c>
      <c r="B345" s="8" t="str">
        <f aca="false">'2026 Forecast A'!B327</f>
        <v>MOORE</v>
      </c>
      <c r="C345" s="8" t="str">
        <f aca="false">'2026 Forecast A'!C327</f>
        <v>MOORE TWSP - BEERSVILLE</v>
      </c>
      <c r="D345" s="9" t="n">
        <f aca="false">'2026 Forecast A'!G327</f>
        <v>0.385272145144077</v>
      </c>
      <c r="E345" s="9" t="n">
        <f aca="false">'2026 Forecast B'!G327</f>
        <v>0.383137673425827</v>
      </c>
      <c r="F345" s="9" t="n">
        <f aca="false">'2026 Forecast C'!G327</f>
        <v>0.378868729989328</v>
      </c>
      <c r="G345" s="24" t="n">
        <f aca="false">(MAX(D345:F345)-MIN(D345:F345))*100</f>
        <v>0.640341515474918</v>
      </c>
      <c r="H345" s="24" t="n">
        <f aca="false">'2026 Forecast A'!J327</f>
        <v>1.8085538155628</v>
      </c>
      <c r="I345" s="24" t="n">
        <f aca="false">'2026 Forecast B'!J327</f>
        <v>1.92472098334064</v>
      </c>
      <c r="J345" s="24" t="n">
        <f aca="false">'2026 Forecast C'!J327</f>
        <v>2.05025038892674</v>
      </c>
      <c r="K345" s="25" t="n">
        <f aca="false">'2026 Forecast A'!F327</f>
        <v>937</v>
      </c>
      <c r="L345" s="26" t="str">
        <f aca="false">IF(OR(AND(D345&gt;0.5,E345&gt;0.5,F345&gt;0.5),AND(D345&lt;0.5,E345&lt;0.5,F345&lt;0.5)),"Yes","No — toss-up")</f>
        <v>Yes</v>
      </c>
    </row>
    <row r="346" customFormat="false" ht="15" hidden="false" customHeight="false" outlineLevel="0" collapsed="false">
      <c r="A346" s="8" t="str">
        <f aca="false">'2026 Forecast A'!A328</f>
        <v>Northampton</v>
      </c>
      <c r="B346" s="8" t="str">
        <f aca="false">'2026 Forecast A'!B328</f>
        <v>MOORE</v>
      </c>
      <c r="C346" s="8" t="str">
        <f aca="false">'2026 Forecast A'!C328</f>
        <v>MOORE TWSP - EASTERN</v>
      </c>
      <c r="D346" s="9" t="n">
        <f aca="false">'2026 Forecast A'!G328</f>
        <v>0.381185426862425</v>
      </c>
      <c r="E346" s="9" t="n">
        <f aca="false">'2026 Forecast B'!G328</f>
        <v>0.385535617183252</v>
      </c>
      <c r="F346" s="9" t="n">
        <f aca="false">'2026 Forecast C'!G328</f>
        <v>0.375203915171289</v>
      </c>
      <c r="G346" s="24" t="n">
        <f aca="false">(MAX(D346:F346)-MIN(D346:F346))*100</f>
        <v>1.0331702011963</v>
      </c>
      <c r="H346" s="24" t="n">
        <f aca="false">'2026 Forecast A'!J328</f>
        <v>1.24911041755021</v>
      </c>
      <c r="I346" s="24" t="n">
        <f aca="false">'2026 Forecast B'!J328</f>
        <v>1.87117215961084</v>
      </c>
      <c r="J346" s="24" t="n">
        <f aca="false">'2026 Forecast C'!J328</f>
        <v>1.25589305869883</v>
      </c>
      <c r="K346" s="25" t="n">
        <f aca="false">'2026 Forecast A'!F328</f>
        <v>1839</v>
      </c>
      <c r="L346" s="26" t="str">
        <f aca="false">IF(OR(AND(D346&gt;0.5,E346&gt;0.5,F346&gt;0.5),AND(D346&lt;0.5,E346&lt;0.5,F346&lt;0.5)),"Yes","No — toss-up")</f>
        <v>Yes</v>
      </c>
    </row>
    <row r="347" customFormat="false" ht="15" hidden="false" customHeight="false" outlineLevel="0" collapsed="false">
      <c r="A347" s="8" t="str">
        <f aca="false">'2026 Forecast A'!A329</f>
        <v>Northampton</v>
      </c>
      <c r="B347" s="8" t="str">
        <f aca="false">'2026 Forecast A'!B329</f>
        <v>MOORE</v>
      </c>
      <c r="C347" s="8" t="str">
        <f aca="false">'2026 Forecast A'!C329</f>
        <v>MOORE TWSP - KLECKNERSVILLE</v>
      </c>
      <c r="D347" s="9" t="n">
        <f aca="false">'2026 Forecast A'!G329</f>
        <v>0.360801781737194</v>
      </c>
      <c r="E347" s="9" t="n">
        <f aca="false">'2026 Forecast B'!G329</f>
        <v>0.360801781737194</v>
      </c>
      <c r="F347" s="9" t="n">
        <f aca="false">'2026 Forecast C'!G329</f>
        <v>0.354120267260579</v>
      </c>
      <c r="G347" s="24" t="n">
        <f aca="false">(MAX(D347:F347)-MIN(D347:F347))*100</f>
        <v>0.668151447661469</v>
      </c>
      <c r="H347" s="24" t="n">
        <f aca="false">'2026 Forecast A'!J329</f>
        <v>1.24911041755021</v>
      </c>
      <c r="I347" s="24" t="n">
        <f aca="false">'2026 Forecast B'!J329</f>
        <v>1.87117215961084</v>
      </c>
      <c r="J347" s="24" t="n">
        <f aca="false">'2026 Forecast C'!J329</f>
        <v>1.25589305869883</v>
      </c>
      <c r="K347" s="25" t="n">
        <f aca="false">'2026 Forecast A'!F329</f>
        <v>1347</v>
      </c>
      <c r="L347" s="26" t="str">
        <f aca="false">IF(OR(AND(D347&gt;0.5,E347&gt;0.5,F347&gt;0.5),AND(D347&lt;0.5,E347&lt;0.5,F347&lt;0.5)),"Yes","No — toss-up")</f>
        <v>Yes</v>
      </c>
    </row>
    <row r="348" customFormat="false" ht="15" hidden="false" customHeight="false" outlineLevel="0" collapsed="false">
      <c r="A348" s="8" t="str">
        <f aca="false">'2026 Forecast A'!A330</f>
        <v>Northampton</v>
      </c>
      <c r="B348" s="8" t="str">
        <f aca="false">'2026 Forecast A'!B330</f>
        <v>MOORE</v>
      </c>
      <c r="C348" s="8" t="str">
        <f aca="false">'2026 Forecast A'!C330</f>
        <v>MOORE TWSP - POINT PHILLIPS</v>
      </c>
      <c r="D348" s="9" t="n">
        <f aca="false">'2026 Forecast A'!G330</f>
        <v>0.36248012718601</v>
      </c>
      <c r="E348" s="9" t="n">
        <f aca="false">'2026 Forecast B'!G330</f>
        <v>0.370429252782194</v>
      </c>
      <c r="F348" s="9" t="n">
        <f aca="false">'2026 Forecast C'!G330</f>
        <v>0.354531001589825</v>
      </c>
      <c r="G348" s="24" t="n">
        <f aca="false">(MAX(D348:F348)-MIN(D348:F348))*100</f>
        <v>1.58982511923688</v>
      </c>
      <c r="H348" s="24" t="n">
        <f aca="false">'2026 Forecast A'!J330</f>
        <v>3.02608556967268</v>
      </c>
      <c r="I348" s="24" t="n">
        <f aca="false">'2026 Forecast B'!J330</f>
        <v>2.87480042420966</v>
      </c>
      <c r="J348" s="24" t="n">
        <f aca="false">'2026 Forecast C'!J330</f>
        <v>3.45317612968717</v>
      </c>
      <c r="K348" s="25" t="n">
        <f aca="false">'2026 Forecast A'!F330</f>
        <v>629</v>
      </c>
      <c r="L348" s="26" t="str">
        <f aca="false">IF(OR(AND(D348&gt;0.5,E348&gt;0.5,F348&gt;0.5),AND(D348&lt;0.5,E348&lt;0.5,F348&lt;0.5)),"Yes","No — toss-up")</f>
        <v>Yes</v>
      </c>
    </row>
    <row r="349" customFormat="false" ht="15" hidden="false" customHeight="false" outlineLevel="0" collapsed="false">
      <c r="A349" s="8" t="str">
        <f aca="false">'2026 Forecast A'!A331</f>
        <v>Northampton</v>
      </c>
      <c r="B349" s="8" t="str">
        <f aca="false">'2026 Forecast A'!B331</f>
        <v>NAZARETH</v>
      </c>
      <c r="C349" s="8" t="str">
        <f aca="false">'2026 Forecast A'!C331</f>
        <v>NAZARETH BORO 1ST WARD</v>
      </c>
      <c r="D349" s="9" t="n">
        <f aca="false">'2026 Forecast A'!G331</f>
        <v>0.542497376705142</v>
      </c>
      <c r="E349" s="9" t="n">
        <f aca="false">'2026 Forecast B'!G331</f>
        <v>0.538300104931794</v>
      </c>
      <c r="F349" s="9" t="n">
        <f aca="false">'2026 Forecast C'!G331</f>
        <v>0.543546694648479</v>
      </c>
      <c r="G349" s="24" t="n">
        <f aca="false">(MAX(D349:F349)-MIN(D349:F349))*100</f>
        <v>0.524658971668413</v>
      </c>
      <c r="H349" s="24" t="n">
        <f aca="false">'2026 Forecast A'!J331</f>
        <v>1.8085538155628</v>
      </c>
      <c r="I349" s="24" t="n">
        <f aca="false">'2026 Forecast B'!J331</f>
        <v>1.92472098334064</v>
      </c>
      <c r="J349" s="24" t="n">
        <f aca="false">'2026 Forecast C'!J331</f>
        <v>2.05025038892674</v>
      </c>
      <c r="K349" s="25" t="n">
        <f aca="false">'2026 Forecast A'!F331</f>
        <v>953</v>
      </c>
      <c r="L349" s="26" t="str">
        <f aca="false">IF(OR(AND(D349&gt;0.5,E349&gt;0.5,F349&gt;0.5),AND(D349&lt;0.5,E349&lt;0.5,F349&lt;0.5)),"Yes","No — toss-up")</f>
        <v>Yes</v>
      </c>
    </row>
    <row r="350" customFormat="false" ht="15" hidden="false" customHeight="false" outlineLevel="0" collapsed="false">
      <c r="A350" s="8" t="str">
        <f aca="false">'2026 Forecast A'!A332</f>
        <v>Northampton</v>
      </c>
      <c r="B350" s="8" t="str">
        <f aca="false">'2026 Forecast A'!B332</f>
        <v>NAZARETH</v>
      </c>
      <c r="C350" s="8" t="str">
        <f aca="false">'2026 Forecast A'!C332</f>
        <v>NAZARETH BORO 2ND WARD</v>
      </c>
      <c r="D350" s="9" t="n">
        <f aca="false">'2026 Forecast A'!G332</f>
        <v>0.55012853470437</v>
      </c>
      <c r="E350" s="9" t="n">
        <f aca="false">'2026 Forecast B'!G332</f>
        <v>0.553984575835476</v>
      </c>
      <c r="F350" s="9" t="n">
        <f aca="false">'2026 Forecast C'!G332</f>
        <v>0.55012853470437</v>
      </c>
      <c r="G350" s="24" t="n">
        <f aca="false">(MAX(D350:F350)-MIN(D350:F350))*100</f>
        <v>0.385604113110538</v>
      </c>
      <c r="H350" s="24" t="n">
        <f aca="false">'2026 Forecast A'!J332</f>
        <v>1.8085538155628</v>
      </c>
      <c r="I350" s="24" t="n">
        <f aca="false">'2026 Forecast B'!J332</f>
        <v>1.92472098334064</v>
      </c>
      <c r="J350" s="24" t="n">
        <f aca="false">'2026 Forecast C'!J332</f>
        <v>2.05025038892674</v>
      </c>
      <c r="K350" s="25" t="n">
        <f aca="false">'2026 Forecast A'!F332</f>
        <v>778</v>
      </c>
      <c r="L350" s="26" t="str">
        <f aca="false">IF(OR(AND(D350&gt;0.5,E350&gt;0.5,F350&gt;0.5),AND(D350&lt;0.5,E350&lt;0.5,F350&lt;0.5)),"Yes","No — toss-up")</f>
        <v>Yes</v>
      </c>
    </row>
    <row r="351" customFormat="false" ht="15" hidden="false" customHeight="false" outlineLevel="0" collapsed="false">
      <c r="A351" s="8" t="str">
        <f aca="false">'2026 Forecast A'!A333</f>
        <v>Northampton</v>
      </c>
      <c r="B351" s="8" t="str">
        <f aca="false">'2026 Forecast A'!B333</f>
        <v>NAZARETH</v>
      </c>
      <c r="C351" s="8" t="str">
        <f aca="false">'2026 Forecast A'!C333</f>
        <v>NAZARETH BORO 3RD WARD</v>
      </c>
      <c r="D351" s="9" t="n">
        <f aca="false">'2026 Forecast A'!G333</f>
        <v>0.530864197530864</v>
      </c>
      <c r="E351" s="9" t="n">
        <f aca="false">'2026 Forecast B'!G333</f>
        <v>0.534979423868313</v>
      </c>
      <c r="F351" s="9" t="n">
        <f aca="false">'2026 Forecast C'!G333</f>
        <v>0.532235939643347</v>
      </c>
      <c r="G351" s="24" t="n">
        <f aca="false">(MAX(D351:F351)-MIN(D351:F351))*100</f>
        <v>0.411522633744854</v>
      </c>
      <c r="H351" s="24" t="n">
        <f aca="false">'2026 Forecast A'!J333</f>
        <v>3.02608556967268</v>
      </c>
      <c r="I351" s="24" t="n">
        <f aca="false">'2026 Forecast B'!J333</f>
        <v>2.87480042420966</v>
      </c>
      <c r="J351" s="24" t="n">
        <f aca="false">'2026 Forecast C'!J333</f>
        <v>3.45317612968717</v>
      </c>
      <c r="K351" s="25" t="n">
        <f aca="false">'2026 Forecast A'!F333</f>
        <v>729</v>
      </c>
      <c r="L351" s="26" t="str">
        <f aca="false">IF(OR(AND(D351&gt;0.5,E351&gt;0.5,F351&gt;0.5),AND(D351&lt;0.5,E351&lt;0.5,F351&lt;0.5)),"Yes","No — toss-up")</f>
        <v>Yes</v>
      </c>
    </row>
    <row r="352" customFormat="false" ht="15" hidden="false" customHeight="false" outlineLevel="0" collapsed="false">
      <c r="A352" s="8" t="str">
        <f aca="false">'2026 Forecast A'!A334</f>
        <v>Northampton</v>
      </c>
      <c r="B352" s="8" t="str">
        <f aca="false">'2026 Forecast A'!B334</f>
        <v>NORTH CATASAUQUA</v>
      </c>
      <c r="C352" s="8" t="str">
        <f aca="false">'2026 Forecast A'!C334</f>
        <v>NORTH CATASAUQUA 1ST WARD</v>
      </c>
      <c r="D352" s="9" t="n">
        <f aca="false">'2026 Forecast A'!G334</f>
        <v>0.497237569060774</v>
      </c>
      <c r="E352" s="9" t="n">
        <f aca="false">'2026 Forecast B'!G334</f>
        <v>0.516574585635359</v>
      </c>
      <c r="F352" s="9" t="n">
        <f aca="false">'2026 Forecast C'!G334</f>
        <v>0.497237569060774</v>
      </c>
      <c r="G352" s="24" t="n">
        <f aca="false">(MAX(D352:F352)-MIN(D352:F352))*100</f>
        <v>1.93370165745856</v>
      </c>
      <c r="H352" s="24" t="n">
        <f aca="false">'2026 Forecast A'!J334</f>
        <v>3.02608556967268</v>
      </c>
      <c r="I352" s="24" t="n">
        <f aca="false">'2026 Forecast B'!J334</f>
        <v>2.87480042420966</v>
      </c>
      <c r="J352" s="24" t="n">
        <f aca="false">'2026 Forecast C'!J334</f>
        <v>3.45317612968717</v>
      </c>
      <c r="K352" s="25" t="n">
        <f aca="false">'2026 Forecast A'!F334</f>
        <v>362</v>
      </c>
      <c r="L352" s="26" t="str">
        <f aca="false">IF(OR(AND(D352&gt;0.5,E352&gt;0.5,F352&gt;0.5),AND(D352&lt;0.5,E352&lt;0.5,F352&lt;0.5)),"Yes","No — toss-up")</f>
        <v>No — toss-up</v>
      </c>
    </row>
    <row r="353" customFormat="false" ht="15" hidden="false" customHeight="false" outlineLevel="0" collapsed="false">
      <c r="A353" s="8" t="str">
        <f aca="false">'2026 Forecast A'!A335</f>
        <v>Northampton</v>
      </c>
      <c r="B353" s="8" t="str">
        <f aca="false">'2026 Forecast A'!B335</f>
        <v>NORTH CATASAUQUA</v>
      </c>
      <c r="C353" s="8" t="str">
        <f aca="false">'2026 Forecast A'!C335</f>
        <v>NORTH CATASAUQUA 2ND WARD</v>
      </c>
      <c r="D353" s="9" t="n">
        <f aca="false">'2026 Forecast A'!G335</f>
        <v>0.54585152838428</v>
      </c>
      <c r="E353" s="9" t="n">
        <f aca="false">'2026 Forecast B'!G335</f>
        <v>0.549126637554585</v>
      </c>
      <c r="F353" s="9" t="n">
        <f aca="false">'2026 Forecast C'!G335</f>
        <v>0.546943231441048</v>
      </c>
      <c r="G353" s="24" t="n">
        <f aca="false">(MAX(D353:F353)-MIN(D353:F353))*100</f>
        <v>0.32751091703056</v>
      </c>
      <c r="H353" s="24" t="n">
        <f aca="false">'2026 Forecast A'!J335</f>
        <v>1.8085538155628</v>
      </c>
      <c r="I353" s="24" t="n">
        <f aca="false">'2026 Forecast B'!J335</f>
        <v>1.92472098334064</v>
      </c>
      <c r="J353" s="24" t="n">
        <f aca="false">'2026 Forecast C'!J335</f>
        <v>2.05025038892674</v>
      </c>
      <c r="K353" s="25" t="n">
        <f aca="false">'2026 Forecast A'!F335</f>
        <v>916</v>
      </c>
      <c r="L353" s="26" t="str">
        <f aca="false">IF(OR(AND(D353&gt;0.5,E353&gt;0.5,F353&gt;0.5),AND(D353&lt;0.5,E353&lt;0.5,F353&lt;0.5)),"Yes","No — toss-up")</f>
        <v>Yes</v>
      </c>
    </row>
    <row r="354" customFormat="false" ht="15" hidden="false" customHeight="false" outlineLevel="0" collapsed="false">
      <c r="A354" s="8" t="str">
        <f aca="false">'2026 Forecast A'!A336</f>
        <v>Northampton</v>
      </c>
      <c r="B354" s="8" t="str">
        <f aca="false">'2026 Forecast A'!B336</f>
        <v>NORTHAMPTON</v>
      </c>
      <c r="C354" s="8" t="str">
        <f aca="false">'2026 Forecast A'!C336</f>
        <v>NORTHAMPTON BORO 1ST WARD</v>
      </c>
      <c r="D354" s="9" t="n">
        <f aca="false">'2026 Forecast A'!G336</f>
        <v>0.52565445026178</v>
      </c>
      <c r="E354" s="9" t="n">
        <f aca="false">'2026 Forecast B'!G336</f>
        <v>0.527748691099476</v>
      </c>
      <c r="F354" s="9" t="n">
        <f aca="false">'2026 Forecast C'!G336</f>
        <v>0.524607329842932</v>
      </c>
      <c r="G354" s="24" t="n">
        <f aca="false">(MAX(D354:F354)-MIN(D354:F354))*100</f>
        <v>0.314136125654452</v>
      </c>
      <c r="H354" s="24" t="n">
        <f aca="false">'2026 Forecast A'!J336</f>
        <v>1.8085538155628</v>
      </c>
      <c r="I354" s="24" t="n">
        <f aca="false">'2026 Forecast B'!J336</f>
        <v>1.92472098334064</v>
      </c>
      <c r="J354" s="24" t="n">
        <f aca="false">'2026 Forecast C'!J336</f>
        <v>2.05025038892674</v>
      </c>
      <c r="K354" s="25" t="n">
        <f aca="false">'2026 Forecast A'!F336</f>
        <v>955</v>
      </c>
      <c r="L354" s="26" t="str">
        <f aca="false">IF(OR(AND(D354&gt;0.5,E354&gt;0.5,F354&gt;0.5),AND(D354&lt;0.5,E354&lt;0.5,F354&lt;0.5)),"Yes","No — toss-up")</f>
        <v>Yes</v>
      </c>
    </row>
    <row r="355" customFormat="false" ht="15" hidden="false" customHeight="false" outlineLevel="0" collapsed="false">
      <c r="A355" s="8" t="str">
        <f aca="false">'2026 Forecast A'!A337</f>
        <v>Northampton</v>
      </c>
      <c r="B355" s="8" t="str">
        <f aca="false">'2026 Forecast A'!B337</f>
        <v>NORTHAMPTON</v>
      </c>
      <c r="C355" s="8" t="str">
        <f aca="false">'2026 Forecast A'!C337</f>
        <v>NORTHAMPTON BORO 2ND WARD</v>
      </c>
      <c r="D355" s="9" t="n">
        <f aca="false">'2026 Forecast A'!G337</f>
        <v>0.543165467625899</v>
      </c>
      <c r="E355" s="9" t="n">
        <f aca="false">'2026 Forecast B'!G337</f>
        <v>0.543165467625899</v>
      </c>
      <c r="F355" s="9" t="n">
        <f aca="false">'2026 Forecast C'!G337</f>
        <v>0.544364508393285</v>
      </c>
      <c r="G355" s="24" t="n">
        <f aca="false">(MAX(D355:F355)-MIN(D355:F355))*100</f>
        <v>0.119904076738608</v>
      </c>
      <c r="H355" s="24" t="n">
        <f aca="false">'2026 Forecast A'!J337</f>
        <v>1.8085538155628</v>
      </c>
      <c r="I355" s="24" t="n">
        <f aca="false">'2026 Forecast B'!J337</f>
        <v>1.92472098334064</v>
      </c>
      <c r="J355" s="24" t="n">
        <f aca="false">'2026 Forecast C'!J337</f>
        <v>2.05025038892674</v>
      </c>
      <c r="K355" s="25" t="n">
        <f aca="false">'2026 Forecast A'!F337</f>
        <v>834</v>
      </c>
      <c r="L355" s="26" t="str">
        <f aca="false">IF(OR(AND(D355&gt;0.5,E355&gt;0.5,F355&gt;0.5),AND(D355&lt;0.5,E355&lt;0.5,F355&lt;0.5)),"Yes","No — toss-up")</f>
        <v>Yes</v>
      </c>
    </row>
    <row r="356" customFormat="false" ht="15" hidden="false" customHeight="false" outlineLevel="0" collapsed="false">
      <c r="A356" s="8" t="str">
        <f aca="false">'2026 Forecast A'!A338</f>
        <v>Northampton</v>
      </c>
      <c r="B356" s="8" t="str">
        <f aca="false">'2026 Forecast A'!B338</f>
        <v>NORTHAMPTON</v>
      </c>
      <c r="C356" s="8" t="str">
        <f aca="false">'2026 Forecast A'!C338</f>
        <v>NORTHAMPTON BORO 3RD WARD</v>
      </c>
      <c r="D356" s="9" t="n">
        <f aca="false">'2026 Forecast A'!G338</f>
        <v>0.519886363636364</v>
      </c>
      <c r="E356" s="9" t="n">
        <f aca="false">'2026 Forecast B'!G338</f>
        <v>0.526704545454546</v>
      </c>
      <c r="F356" s="9" t="n">
        <f aca="false">'2026 Forecast C'!G338</f>
        <v>0.519318181818182</v>
      </c>
      <c r="G356" s="24" t="n">
        <f aca="false">(MAX(D356:F356)-MIN(D356:F356))*100</f>
        <v>0.738636363636369</v>
      </c>
      <c r="H356" s="24" t="n">
        <f aca="false">'2026 Forecast A'!J338</f>
        <v>1.24911041755021</v>
      </c>
      <c r="I356" s="24" t="n">
        <f aca="false">'2026 Forecast B'!J338</f>
        <v>1.87117215961084</v>
      </c>
      <c r="J356" s="24" t="n">
        <f aca="false">'2026 Forecast C'!J338</f>
        <v>1.25589305869883</v>
      </c>
      <c r="K356" s="25" t="n">
        <f aca="false">'2026 Forecast A'!F338</f>
        <v>1760</v>
      </c>
      <c r="L356" s="26" t="str">
        <f aca="false">IF(OR(AND(D356&gt;0.5,E356&gt;0.5,F356&gt;0.5),AND(D356&lt;0.5,E356&lt;0.5,F356&lt;0.5)),"Yes","No — toss-up")</f>
        <v>Yes</v>
      </c>
    </row>
    <row r="357" customFormat="false" ht="15" hidden="false" customHeight="false" outlineLevel="0" collapsed="false">
      <c r="A357" s="8" t="str">
        <f aca="false">'2026 Forecast A'!A339</f>
        <v>Northampton</v>
      </c>
      <c r="B357" s="8" t="str">
        <f aca="false">'2026 Forecast A'!B339</f>
        <v>NORTHAMPTON</v>
      </c>
      <c r="C357" s="8" t="str">
        <f aca="false">'2026 Forecast A'!C339</f>
        <v>NORTHAMPTON BORO 4TH WARD</v>
      </c>
      <c r="D357" s="9" t="n">
        <f aca="false">'2026 Forecast A'!G339</f>
        <v>0.492063492063492</v>
      </c>
      <c r="E357" s="9" t="n">
        <f aca="false">'2026 Forecast B'!G339</f>
        <v>0.510582010582011</v>
      </c>
      <c r="F357" s="9" t="n">
        <f aca="false">'2026 Forecast C'!G339</f>
        <v>0.489417989417989</v>
      </c>
      <c r="G357" s="24" t="n">
        <f aca="false">(MAX(D357:F357)-MIN(D357:F357))*100</f>
        <v>2.11640211640212</v>
      </c>
      <c r="H357" s="24" t="n">
        <f aca="false">'2026 Forecast A'!J339</f>
        <v>3.02608556967268</v>
      </c>
      <c r="I357" s="24" t="n">
        <f aca="false">'2026 Forecast B'!J339</f>
        <v>2.87480042420966</v>
      </c>
      <c r="J357" s="24" t="n">
        <f aca="false">'2026 Forecast C'!J339</f>
        <v>3.45317612968717</v>
      </c>
      <c r="K357" s="25" t="n">
        <f aca="false">'2026 Forecast A'!F339</f>
        <v>378</v>
      </c>
      <c r="L357" s="26" t="str">
        <f aca="false">IF(OR(AND(D357&gt;0.5,E357&gt;0.5,F357&gt;0.5),AND(D357&lt;0.5,E357&lt;0.5,F357&lt;0.5)),"Yes","No — toss-up")</f>
        <v>No — toss-up</v>
      </c>
    </row>
    <row r="358" customFormat="false" ht="15" hidden="false" customHeight="false" outlineLevel="0" collapsed="false">
      <c r="A358" s="8" t="str">
        <f aca="false">'2026 Forecast A'!A340</f>
        <v>Northampton</v>
      </c>
      <c r="B358" s="8" t="str">
        <f aca="false">'2026 Forecast A'!B340</f>
        <v>PALMER</v>
      </c>
      <c r="C358" s="8" t="str">
        <f aca="false">'2026 Forecast A'!C340</f>
        <v>PALMER - CENTRAL</v>
      </c>
      <c r="D358" s="9" t="n">
        <f aca="false">'2026 Forecast A'!G340</f>
        <v>0.530938123752495</v>
      </c>
      <c r="E358" s="9" t="n">
        <f aca="false">'2026 Forecast B'!G340</f>
        <v>0.533932135728543</v>
      </c>
      <c r="F358" s="9" t="n">
        <f aca="false">'2026 Forecast C'!G340</f>
        <v>0.530938123752495</v>
      </c>
      <c r="G358" s="24" t="n">
        <f aca="false">(MAX(D358:F358)-MIN(D358:F358))*100</f>
        <v>0.299401197604787</v>
      </c>
      <c r="H358" s="24" t="n">
        <f aca="false">'2026 Forecast A'!J340</f>
        <v>1.8085538155628</v>
      </c>
      <c r="I358" s="24" t="n">
        <f aca="false">'2026 Forecast B'!J340</f>
        <v>1.92472098334064</v>
      </c>
      <c r="J358" s="24" t="n">
        <f aca="false">'2026 Forecast C'!J340</f>
        <v>2.05025038892674</v>
      </c>
      <c r="K358" s="25" t="n">
        <f aca="false">'2026 Forecast A'!F340</f>
        <v>1002</v>
      </c>
      <c r="L358" s="26" t="str">
        <f aca="false">IF(OR(AND(D358&gt;0.5,E358&gt;0.5,F358&gt;0.5),AND(D358&lt;0.5,E358&lt;0.5,F358&lt;0.5)),"Yes","No — toss-up")</f>
        <v>Yes</v>
      </c>
    </row>
    <row r="359" customFormat="false" ht="15" hidden="false" customHeight="false" outlineLevel="0" collapsed="false">
      <c r="A359" s="8" t="str">
        <f aca="false">'2026 Forecast A'!A341</f>
        <v>Northampton</v>
      </c>
      <c r="B359" s="8" t="str">
        <f aca="false">'2026 Forecast A'!B341</f>
        <v>PALMER</v>
      </c>
      <c r="C359" s="8" t="str">
        <f aca="false">'2026 Forecast A'!C341</f>
        <v>PALMER - EAST</v>
      </c>
      <c r="D359" s="9" t="n">
        <f aca="false">'2026 Forecast A'!G341</f>
        <v>0.551136363636364</v>
      </c>
      <c r="E359" s="9" t="n">
        <f aca="false">'2026 Forecast B'!G341</f>
        <v>0.545454545454545</v>
      </c>
      <c r="F359" s="9" t="n">
        <f aca="false">'2026 Forecast C'!G341</f>
        <v>0.552556818181818</v>
      </c>
      <c r="G359" s="24" t="n">
        <f aca="false">(MAX(D359:F359)-MIN(D359:F359))*100</f>
        <v>0.710227272727282</v>
      </c>
      <c r="H359" s="24" t="n">
        <f aca="false">'2026 Forecast A'!J341</f>
        <v>3.02608556967268</v>
      </c>
      <c r="I359" s="24" t="n">
        <f aca="false">'2026 Forecast B'!J341</f>
        <v>2.87480042420966</v>
      </c>
      <c r="J359" s="24" t="n">
        <f aca="false">'2026 Forecast C'!J341</f>
        <v>3.45317612968717</v>
      </c>
      <c r="K359" s="25" t="n">
        <f aca="false">'2026 Forecast A'!F341</f>
        <v>704</v>
      </c>
      <c r="L359" s="26" t="str">
        <f aca="false">IF(OR(AND(D359&gt;0.5,E359&gt;0.5,F359&gt;0.5),AND(D359&lt;0.5,E359&lt;0.5,F359&lt;0.5)),"Yes","No — toss-up")</f>
        <v>Yes</v>
      </c>
    </row>
    <row r="360" customFormat="false" ht="15" hidden="false" customHeight="false" outlineLevel="0" collapsed="false">
      <c r="A360" s="8" t="str">
        <f aca="false">'2026 Forecast A'!A342</f>
        <v>Northampton</v>
      </c>
      <c r="B360" s="8" t="str">
        <f aca="false">'2026 Forecast A'!B342</f>
        <v>PALMER</v>
      </c>
      <c r="C360" s="8" t="str">
        <f aca="false">'2026 Forecast A'!C342</f>
        <v>PALMER - NORTH</v>
      </c>
      <c r="D360" s="9" t="n">
        <f aca="false">'2026 Forecast A'!G342</f>
        <v>0.521015761821366</v>
      </c>
      <c r="E360" s="9" t="n">
        <f aca="false">'2026 Forecast B'!G342</f>
        <v>0.530647985989492</v>
      </c>
      <c r="F360" s="9" t="n">
        <f aca="false">'2026 Forecast C'!G342</f>
        <v>0.515761821366025</v>
      </c>
      <c r="G360" s="24" t="n">
        <f aca="false">(MAX(D360:F360)-MIN(D360:F360))*100</f>
        <v>1.48861646234676</v>
      </c>
      <c r="H360" s="24" t="n">
        <f aca="false">'2026 Forecast A'!J342</f>
        <v>1.8085538155628</v>
      </c>
      <c r="I360" s="24" t="n">
        <f aca="false">'2026 Forecast B'!J342</f>
        <v>1.92472098334064</v>
      </c>
      <c r="J360" s="24" t="n">
        <f aca="false">'2026 Forecast C'!J342</f>
        <v>2.05025038892674</v>
      </c>
      <c r="K360" s="25" t="n">
        <f aca="false">'2026 Forecast A'!F342</f>
        <v>1142</v>
      </c>
      <c r="L360" s="26" t="str">
        <f aca="false">IF(OR(AND(D360&gt;0.5,E360&gt;0.5,F360&gt;0.5),AND(D360&lt;0.5,E360&lt;0.5,F360&lt;0.5)),"Yes","No — toss-up")</f>
        <v>Yes</v>
      </c>
    </row>
    <row r="361" customFormat="false" ht="15" hidden="false" customHeight="false" outlineLevel="0" collapsed="false">
      <c r="A361" s="8" t="str">
        <f aca="false">'2026 Forecast A'!A343</f>
        <v>Northampton</v>
      </c>
      <c r="B361" s="8" t="str">
        <f aca="false">'2026 Forecast A'!B343</f>
        <v>PALMER</v>
      </c>
      <c r="C361" s="8" t="str">
        <f aca="false">'2026 Forecast A'!C343</f>
        <v>PALMER - NORTHEAST</v>
      </c>
      <c r="D361" s="9" t="n">
        <f aca="false">'2026 Forecast A'!G343</f>
        <v>0.565254969749352</v>
      </c>
      <c r="E361" s="9" t="n">
        <f aca="false">'2026 Forecast B'!G343</f>
        <v>0.566983578219533</v>
      </c>
      <c r="F361" s="9" t="n">
        <f aca="false">'2026 Forecast C'!G343</f>
        <v>0.566119273984443</v>
      </c>
      <c r="G361" s="24" t="n">
        <f aca="false">(MAX(D361:F361)-MIN(D361:F361))*100</f>
        <v>0.172860847018153</v>
      </c>
      <c r="H361" s="24" t="n">
        <f aca="false">'2026 Forecast A'!J343</f>
        <v>1.8085538155628</v>
      </c>
      <c r="I361" s="24" t="n">
        <f aca="false">'2026 Forecast B'!J343</f>
        <v>1.92472098334064</v>
      </c>
      <c r="J361" s="24" t="n">
        <f aca="false">'2026 Forecast C'!J343</f>
        <v>2.05025038892674</v>
      </c>
      <c r="K361" s="25" t="n">
        <f aca="false">'2026 Forecast A'!F343</f>
        <v>1157</v>
      </c>
      <c r="L361" s="26" t="str">
        <f aca="false">IF(OR(AND(D361&gt;0.5,E361&gt;0.5,F361&gt;0.5),AND(D361&lt;0.5,E361&lt;0.5,F361&lt;0.5)),"Yes","No — toss-up")</f>
        <v>Yes</v>
      </c>
    </row>
    <row r="362" customFormat="false" ht="15" hidden="false" customHeight="false" outlineLevel="0" collapsed="false">
      <c r="A362" s="8" t="str">
        <f aca="false">'2026 Forecast A'!A344</f>
        <v>Northampton</v>
      </c>
      <c r="B362" s="8" t="str">
        <f aca="false">'2026 Forecast A'!B344</f>
        <v>PALMER</v>
      </c>
      <c r="C362" s="8" t="str">
        <f aca="false">'2026 Forecast A'!C344</f>
        <v>PALMER - NORTHWEST</v>
      </c>
      <c r="D362" s="9" t="n">
        <f aca="false">'2026 Forecast A'!G344</f>
        <v>0.537158469945355</v>
      </c>
      <c r="E362" s="9" t="n">
        <f aca="false">'2026 Forecast B'!G344</f>
        <v>0.537704918032787</v>
      </c>
      <c r="F362" s="9" t="n">
        <f aca="false">'2026 Forecast C'!G344</f>
        <v>0.537158469945355</v>
      </c>
      <c r="G362" s="24" t="n">
        <f aca="false">(MAX(D362:F362)-MIN(D362:F362))*100</f>
        <v>0.054644808743165</v>
      </c>
      <c r="H362" s="24" t="n">
        <f aca="false">'2026 Forecast A'!J344</f>
        <v>1.24911041755021</v>
      </c>
      <c r="I362" s="24" t="n">
        <f aca="false">'2026 Forecast B'!J344</f>
        <v>1.87117215961084</v>
      </c>
      <c r="J362" s="24" t="n">
        <f aca="false">'2026 Forecast C'!J344</f>
        <v>1.25589305869883</v>
      </c>
      <c r="K362" s="25" t="n">
        <f aca="false">'2026 Forecast A'!F344</f>
        <v>1830</v>
      </c>
      <c r="L362" s="26" t="str">
        <f aca="false">IF(OR(AND(D362&gt;0.5,E362&gt;0.5,F362&gt;0.5),AND(D362&lt;0.5,E362&lt;0.5,F362&lt;0.5)),"Yes","No — toss-up")</f>
        <v>Yes</v>
      </c>
    </row>
    <row r="363" customFormat="false" ht="15" hidden="false" customHeight="false" outlineLevel="0" collapsed="false">
      <c r="A363" s="8" t="str">
        <f aca="false">'2026 Forecast A'!A345</f>
        <v>Northampton</v>
      </c>
      <c r="B363" s="8" t="str">
        <f aca="false">'2026 Forecast A'!B345</f>
        <v>PALMER</v>
      </c>
      <c r="C363" s="8" t="str">
        <f aca="false">'2026 Forecast A'!C345</f>
        <v>PALMER - SOUTH</v>
      </c>
      <c r="D363" s="9" t="n">
        <f aca="false">'2026 Forecast A'!G345</f>
        <v>0.53727901614143</v>
      </c>
      <c r="E363" s="9" t="n">
        <f aca="false">'2026 Forecast B'!G345</f>
        <v>0.535741737125288</v>
      </c>
      <c r="F363" s="9" t="n">
        <f aca="false">'2026 Forecast C'!G345</f>
        <v>0.538816295157571</v>
      </c>
      <c r="G363" s="24" t="n">
        <f aca="false">(MAX(D363:F363)-MIN(D363:F363))*100</f>
        <v>0.307455803228285</v>
      </c>
      <c r="H363" s="24" t="n">
        <f aca="false">'2026 Forecast A'!J345</f>
        <v>1.24911041755021</v>
      </c>
      <c r="I363" s="24" t="n">
        <f aca="false">'2026 Forecast B'!J345</f>
        <v>1.87117215961084</v>
      </c>
      <c r="J363" s="24" t="n">
        <f aca="false">'2026 Forecast C'!J345</f>
        <v>1.25589305869883</v>
      </c>
      <c r="K363" s="25" t="n">
        <f aca="false">'2026 Forecast A'!F345</f>
        <v>1301</v>
      </c>
      <c r="L363" s="26" t="str">
        <f aca="false">IF(OR(AND(D363&gt;0.5,E363&gt;0.5,F363&gt;0.5),AND(D363&lt;0.5,E363&lt;0.5,F363&lt;0.5)),"Yes","No — toss-up")</f>
        <v>Yes</v>
      </c>
    </row>
    <row r="364" customFormat="false" ht="15" hidden="false" customHeight="false" outlineLevel="0" collapsed="false">
      <c r="A364" s="8" t="str">
        <f aca="false">'2026 Forecast A'!A346</f>
        <v>Northampton</v>
      </c>
      <c r="B364" s="8" t="str">
        <f aca="false">'2026 Forecast A'!B346</f>
        <v>PALMER</v>
      </c>
      <c r="C364" s="8" t="str">
        <f aca="false">'2026 Forecast A'!C346</f>
        <v>PALMER - SOUTHEAST</v>
      </c>
      <c r="D364" s="9" t="n">
        <f aca="false">'2026 Forecast A'!G346</f>
        <v>0.564484126984127</v>
      </c>
      <c r="E364" s="9" t="n">
        <f aca="false">'2026 Forecast B'!G346</f>
        <v>0.558531746031746</v>
      </c>
      <c r="F364" s="9" t="n">
        <f aca="false">'2026 Forecast C'!G346</f>
        <v>0.5625</v>
      </c>
      <c r="G364" s="24" t="n">
        <f aca="false">(MAX(D364:F364)-MIN(D364:F364))*100</f>
        <v>0.595238095238093</v>
      </c>
      <c r="H364" s="24" t="n">
        <f aca="false">'2026 Forecast A'!J346</f>
        <v>1.8085538155628</v>
      </c>
      <c r="I364" s="24" t="n">
        <f aca="false">'2026 Forecast B'!J346</f>
        <v>1.92472098334064</v>
      </c>
      <c r="J364" s="24" t="n">
        <f aca="false">'2026 Forecast C'!J346</f>
        <v>2.05025038892674</v>
      </c>
      <c r="K364" s="25" t="n">
        <f aca="false">'2026 Forecast A'!F346</f>
        <v>1008</v>
      </c>
      <c r="L364" s="26" t="str">
        <f aca="false">IF(OR(AND(D364&gt;0.5,E364&gt;0.5,F364&gt;0.5),AND(D364&lt;0.5,E364&lt;0.5,F364&lt;0.5)),"Yes","No — toss-up")</f>
        <v>Yes</v>
      </c>
    </row>
    <row r="365" customFormat="false" ht="15" hidden="false" customHeight="false" outlineLevel="0" collapsed="false">
      <c r="A365" s="8" t="str">
        <f aca="false">'2026 Forecast A'!A347</f>
        <v>Northampton</v>
      </c>
      <c r="B365" s="8" t="str">
        <f aca="false">'2026 Forecast A'!B347</f>
        <v>PALMER</v>
      </c>
      <c r="C365" s="8" t="str">
        <f aca="false">'2026 Forecast A'!C347</f>
        <v>PALMER - SOUTHWEST</v>
      </c>
      <c r="D365" s="9" t="n">
        <f aca="false">'2026 Forecast A'!G347</f>
        <v>0.495361781076067</v>
      </c>
      <c r="E365" s="9" t="n">
        <f aca="false">'2026 Forecast B'!G347</f>
        <v>0.504638218923933</v>
      </c>
      <c r="F365" s="9" t="n">
        <f aca="false">'2026 Forecast C'!G347</f>
        <v>0.495361781076067</v>
      </c>
      <c r="G365" s="24" t="n">
        <f aca="false">(MAX(D365:F365)-MIN(D365:F365))*100</f>
        <v>0.927643784786647</v>
      </c>
      <c r="H365" s="24" t="n">
        <f aca="false">'2026 Forecast A'!J347</f>
        <v>1.8085538155628</v>
      </c>
      <c r="I365" s="24" t="n">
        <f aca="false">'2026 Forecast B'!J347</f>
        <v>1.92472098334064</v>
      </c>
      <c r="J365" s="24" t="n">
        <f aca="false">'2026 Forecast C'!J347</f>
        <v>2.05025038892674</v>
      </c>
      <c r="K365" s="25" t="n">
        <f aca="false">'2026 Forecast A'!F347</f>
        <v>1078</v>
      </c>
      <c r="L365" s="26" t="str">
        <f aca="false">IF(OR(AND(D365&gt;0.5,E365&gt;0.5,F365&gt;0.5),AND(D365&lt;0.5,E365&lt;0.5,F365&lt;0.5)),"Yes","No — toss-up")</f>
        <v>No — toss-up</v>
      </c>
    </row>
    <row r="366" customFormat="false" ht="15" hidden="false" customHeight="false" outlineLevel="0" collapsed="false">
      <c r="A366" s="8" t="str">
        <f aca="false">'2026 Forecast A'!A348</f>
        <v>Northampton</v>
      </c>
      <c r="B366" s="8" t="str">
        <f aca="false">'2026 Forecast A'!B348</f>
        <v>PALMER</v>
      </c>
      <c r="C366" s="8" t="str">
        <f aca="false">'2026 Forecast A'!C348</f>
        <v>PALMER - WEST</v>
      </c>
      <c r="D366" s="9" t="n">
        <f aca="false">'2026 Forecast A'!G348</f>
        <v>0.497607655502392</v>
      </c>
      <c r="E366" s="9" t="n">
        <f aca="false">'2026 Forecast B'!G348</f>
        <v>0.497607655502392</v>
      </c>
      <c r="F366" s="9" t="n">
        <f aca="false">'2026 Forecast C'!G348</f>
        <v>0.496810207336523</v>
      </c>
      <c r="G366" s="24" t="n">
        <f aca="false">(MAX(D366:F366)-MIN(D366:F366))*100</f>
        <v>0.0797448165869186</v>
      </c>
      <c r="H366" s="24" t="n">
        <f aca="false">'2026 Forecast A'!J348</f>
        <v>1.24911041755021</v>
      </c>
      <c r="I366" s="24" t="n">
        <f aca="false">'2026 Forecast B'!J348</f>
        <v>1.87117215961084</v>
      </c>
      <c r="J366" s="24" t="n">
        <f aca="false">'2026 Forecast C'!J348</f>
        <v>1.25589305869883</v>
      </c>
      <c r="K366" s="25" t="n">
        <f aca="false">'2026 Forecast A'!F348</f>
        <v>1254</v>
      </c>
      <c r="L366" s="26" t="str">
        <f aca="false">IF(OR(AND(D366&gt;0.5,E366&gt;0.5,F366&gt;0.5),AND(D366&lt;0.5,E366&lt;0.5,F366&lt;0.5)),"Yes","No — toss-up")</f>
        <v>Yes</v>
      </c>
    </row>
    <row r="367" customFormat="false" ht="15" hidden="false" customHeight="false" outlineLevel="0" collapsed="false">
      <c r="A367" s="8" t="str">
        <f aca="false">'2026 Forecast A'!A349</f>
        <v>Northampton</v>
      </c>
      <c r="B367" s="8" t="str">
        <f aca="false">'2026 Forecast A'!B349</f>
        <v>PEN ARGYL</v>
      </c>
      <c r="C367" s="8" t="str">
        <f aca="false">'2026 Forecast A'!C349</f>
        <v>PEN ARGYL BORO 1ST WARD</v>
      </c>
      <c r="D367" s="9" t="n">
        <f aca="false">'2026 Forecast A'!G349</f>
        <v>0.424870466321244</v>
      </c>
      <c r="E367" s="9" t="n">
        <f aca="false">'2026 Forecast B'!G349</f>
        <v>0.419689119170984</v>
      </c>
      <c r="F367" s="9" t="n">
        <f aca="false">'2026 Forecast C'!G349</f>
        <v>0.419689119170984</v>
      </c>
      <c r="G367" s="24" t="n">
        <f aca="false">(MAX(D367:F367)-MIN(D367:F367))*100</f>
        <v>0.518134715025909</v>
      </c>
      <c r="H367" s="24" t="n">
        <f aca="false">'2026 Forecast A'!J349</f>
        <v>3.02608556967268</v>
      </c>
      <c r="I367" s="24" t="n">
        <f aca="false">'2026 Forecast B'!J349</f>
        <v>2.87480042420966</v>
      </c>
      <c r="J367" s="24" t="n">
        <f aca="false">'2026 Forecast C'!J349</f>
        <v>3.45317612968717</v>
      </c>
      <c r="K367" s="25" t="n">
        <f aca="false">'2026 Forecast A'!F349</f>
        <v>193</v>
      </c>
      <c r="L367" s="26" t="str">
        <f aca="false">IF(OR(AND(D367&gt;0.5,E367&gt;0.5,F367&gt;0.5),AND(D367&lt;0.5,E367&lt;0.5,F367&lt;0.5)),"Yes","No — toss-up")</f>
        <v>Yes</v>
      </c>
    </row>
    <row r="368" customFormat="false" ht="15" hidden="false" customHeight="false" outlineLevel="0" collapsed="false">
      <c r="A368" s="8" t="str">
        <f aca="false">'2026 Forecast A'!A350</f>
        <v>Northampton</v>
      </c>
      <c r="B368" s="8" t="str">
        <f aca="false">'2026 Forecast A'!B350</f>
        <v>PEN ARGYL</v>
      </c>
      <c r="C368" s="8" t="str">
        <f aca="false">'2026 Forecast A'!C350</f>
        <v>PEN ARGYL BORO 2ND WARD</v>
      </c>
      <c r="D368" s="9" t="n">
        <f aca="false">'2026 Forecast A'!G350</f>
        <v>0.401069518716578</v>
      </c>
      <c r="E368" s="9" t="n">
        <f aca="false">'2026 Forecast B'!G350</f>
        <v>0.402852049910873</v>
      </c>
      <c r="F368" s="9" t="n">
        <f aca="false">'2026 Forecast C'!G350</f>
        <v>0.39572192513369</v>
      </c>
      <c r="G368" s="24" t="n">
        <f aca="false">(MAX(D368:F368)-MIN(D368:F368))*100</f>
        <v>0.713012477718356</v>
      </c>
      <c r="H368" s="24" t="n">
        <f aca="false">'2026 Forecast A'!J350</f>
        <v>3.02608556967268</v>
      </c>
      <c r="I368" s="24" t="n">
        <f aca="false">'2026 Forecast B'!J350</f>
        <v>2.87480042420966</v>
      </c>
      <c r="J368" s="24" t="n">
        <f aca="false">'2026 Forecast C'!J350</f>
        <v>3.45317612968717</v>
      </c>
      <c r="K368" s="25" t="n">
        <f aca="false">'2026 Forecast A'!F350</f>
        <v>561</v>
      </c>
      <c r="L368" s="26" t="str">
        <f aca="false">IF(OR(AND(D368&gt;0.5,E368&gt;0.5,F368&gt;0.5),AND(D368&lt;0.5,E368&lt;0.5,F368&lt;0.5)),"Yes","No — toss-up")</f>
        <v>Yes</v>
      </c>
    </row>
    <row r="369" customFormat="false" ht="15" hidden="false" customHeight="false" outlineLevel="0" collapsed="false">
      <c r="A369" s="8" t="str">
        <f aca="false">'2026 Forecast A'!A351</f>
        <v>Northampton</v>
      </c>
      <c r="B369" s="8" t="str">
        <f aca="false">'2026 Forecast A'!B351</f>
        <v>PEN ARGYL</v>
      </c>
      <c r="C369" s="8" t="str">
        <f aca="false">'2026 Forecast A'!C351</f>
        <v>PEN ARGYL BORO 3RD WARD</v>
      </c>
      <c r="D369" s="9" t="n">
        <f aca="false">'2026 Forecast A'!G351</f>
        <v>0.442477876106195</v>
      </c>
      <c r="E369" s="9" t="n">
        <f aca="false">'2026 Forecast B'!G351</f>
        <v>0.442477876106195</v>
      </c>
      <c r="F369" s="9" t="n">
        <f aca="false">'2026 Forecast C'!G351</f>
        <v>0.43952802359882</v>
      </c>
      <c r="G369" s="24" t="n">
        <f aca="false">(MAX(D369:F369)-MIN(D369:F369))*100</f>
        <v>0.294985250737467</v>
      </c>
      <c r="H369" s="24" t="n">
        <f aca="false">'2026 Forecast A'!J351</f>
        <v>3.02608556967268</v>
      </c>
      <c r="I369" s="24" t="n">
        <f aca="false">'2026 Forecast B'!J351</f>
        <v>2.87480042420966</v>
      </c>
      <c r="J369" s="24" t="n">
        <f aca="false">'2026 Forecast C'!J351</f>
        <v>3.45317612968717</v>
      </c>
      <c r="K369" s="25" t="n">
        <f aca="false">'2026 Forecast A'!F351</f>
        <v>339</v>
      </c>
      <c r="L369" s="26" t="str">
        <f aca="false">IF(OR(AND(D369&gt;0.5,E369&gt;0.5,F369&gt;0.5),AND(D369&lt;0.5,E369&lt;0.5,F369&lt;0.5)),"Yes","No — toss-up")</f>
        <v>Yes</v>
      </c>
    </row>
    <row r="370" customFormat="false" ht="15" hidden="false" customHeight="false" outlineLevel="0" collapsed="false">
      <c r="A370" s="8" t="str">
        <f aca="false">'2026 Forecast A'!A352</f>
        <v>Northampton</v>
      </c>
      <c r="B370" s="8" t="str">
        <f aca="false">'2026 Forecast A'!B352</f>
        <v>PEN ARGYL</v>
      </c>
      <c r="C370" s="8" t="str">
        <f aca="false">'2026 Forecast A'!C352</f>
        <v>PEN ARGYL BORO 4TH WARD</v>
      </c>
      <c r="D370" s="9" t="n">
        <f aca="false">'2026 Forecast A'!G352</f>
        <v>0.443877551020408</v>
      </c>
      <c r="E370" s="9" t="n">
        <f aca="false">'2026 Forecast B'!G352</f>
        <v>0.443877551020408</v>
      </c>
      <c r="F370" s="9" t="n">
        <f aca="false">'2026 Forecast C'!G352</f>
        <v>0.438775510204082</v>
      </c>
      <c r="G370" s="24" t="n">
        <f aca="false">(MAX(D370:F370)-MIN(D370:F370))*100</f>
        <v>0.510204081632654</v>
      </c>
      <c r="H370" s="24" t="n">
        <f aca="false">'2026 Forecast A'!J352</f>
        <v>3.02608556967268</v>
      </c>
      <c r="I370" s="24" t="n">
        <f aca="false">'2026 Forecast B'!J352</f>
        <v>2.87480042420966</v>
      </c>
      <c r="J370" s="24" t="n">
        <f aca="false">'2026 Forecast C'!J352</f>
        <v>3.45317612968717</v>
      </c>
      <c r="K370" s="25" t="n">
        <f aca="false">'2026 Forecast A'!F352</f>
        <v>196</v>
      </c>
      <c r="L370" s="26" t="str">
        <f aca="false">IF(OR(AND(D370&gt;0.5,E370&gt;0.5,F370&gt;0.5),AND(D370&lt;0.5,E370&lt;0.5,F370&lt;0.5)),"Yes","No — toss-up")</f>
        <v>Yes</v>
      </c>
    </row>
    <row r="371" customFormat="false" ht="15" hidden="false" customHeight="false" outlineLevel="0" collapsed="false">
      <c r="A371" s="8" t="str">
        <f aca="false">'2026 Forecast A'!A353</f>
        <v>Northampton</v>
      </c>
      <c r="B371" s="8" t="str">
        <f aca="false">'2026 Forecast A'!B353</f>
        <v>PLAINFIELD</v>
      </c>
      <c r="C371" s="8" t="str">
        <f aca="false">'2026 Forecast A'!C353</f>
        <v>PLAINFIELD TWSP - BELFAST</v>
      </c>
      <c r="D371" s="9" t="n">
        <f aca="false">'2026 Forecast A'!G353</f>
        <v>0.393478260869565</v>
      </c>
      <c r="E371" s="9" t="n">
        <f aca="false">'2026 Forecast B'!G353</f>
        <v>0.393478260869565</v>
      </c>
      <c r="F371" s="9" t="n">
        <f aca="false">'2026 Forecast C'!G353</f>
        <v>0.38804347826087</v>
      </c>
      <c r="G371" s="24" t="n">
        <f aca="false">(MAX(D371:F371)-MIN(D371:F371))*100</f>
        <v>0.543478260869568</v>
      </c>
      <c r="H371" s="24" t="n">
        <f aca="false">'2026 Forecast A'!J353</f>
        <v>1.8085538155628</v>
      </c>
      <c r="I371" s="24" t="n">
        <f aca="false">'2026 Forecast B'!J353</f>
        <v>1.92472098334064</v>
      </c>
      <c r="J371" s="24" t="n">
        <f aca="false">'2026 Forecast C'!J353</f>
        <v>2.05025038892674</v>
      </c>
      <c r="K371" s="25" t="n">
        <f aca="false">'2026 Forecast A'!F353</f>
        <v>920</v>
      </c>
      <c r="L371" s="26" t="str">
        <f aca="false">IF(OR(AND(D371&gt;0.5,E371&gt;0.5,F371&gt;0.5),AND(D371&lt;0.5,E371&lt;0.5,F371&lt;0.5)),"Yes","No — toss-up")</f>
        <v>Yes</v>
      </c>
    </row>
    <row r="372" customFormat="false" ht="15" hidden="false" customHeight="false" outlineLevel="0" collapsed="false">
      <c r="A372" s="8" t="str">
        <f aca="false">'2026 Forecast A'!A354</f>
        <v>Northampton</v>
      </c>
      <c r="B372" s="8" t="str">
        <f aca="false">'2026 Forecast A'!B354</f>
        <v>PLAINFIELD</v>
      </c>
      <c r="C372" s="8" t="str">
        <f aca="false">'2026 Forecast A'!C354</f>
        <v>PLAINFIELD TWSP - DELABOLE</v>
      </c>
      <c r="D372" s="9" t="n">
        <f aca="false">'2026 Forecast A'!G354</f>
        <v>0.400269541778976</v>
      </c>
      <c r="E372" s="9" t="n">
        <f aca="false">'2026 Forecast B'!G354</f>
        <v>0.398921832884097</v>
      </c>
      <c r="F372" s="9" t="n">
        <f aca="false">'2026 Forecast C'!G354</f>
        <v>0.394878706199461</v>
      </c>
      <c r="G372" s="24" t="n">
        <f aca="false">(MAX(D372:F372)-MIN(D372:F372))*100</f>
        <v>0.539083557951481</v>
      </c>
      <c r="H372" s="24" t="n">
        <f aca="false">'2026 Forecast A'!J354</f>
        <v>3.02608556967268</v>
      </c>
      <c r="I372" s="24" t="n">
        <f aca="false">'2026 Forecast B'!J354</f>
        <v>2.87480042420966</v>
      </c>
      <c r="J372" s="24" t="n">
        <f aca="false">'2026 Forecast C'!J354</f>
        <v>3.45317612968717</v>
      </c>
      <c r="K372" s="25" t="n">
        <f aca="false">'2026 Forecast A'!F354</f>
        <v>742</v>
      </c>
      <c r="L372" s="26" t="str">
        <f aca="false">IF(OR(AND(D372&gt;0.5,E372&gt;0.5,F372&gt;0.5),AND(D372&lt;0.5,E372&lt;0.5,F372&lt;0.5)),"Yes","No — toss-up")</f>
        <v>Yes</v>
      </c>
    </row>
    <row r="373" customFormat="false" ht="15" hidden="false" customHeight="false" outlineLevel="0" collapsed="false">
      <c r="A373" s="8" t="str">
        <f aca="false">'2026 Forecast A'!A355</f>
        <v>Northampton</v>
      </c>
      <c r="B373" s="8" t="str">
        <f aca="false">'2026 Forecast A'!B355</f>
        <v>PLAINFIELD</v>
      </c>
      <c r="C373" s="8" t="str">
        <f aca="false">'2026 Forecast A'!C355</f>
        <v>PLAINFIELD TWSP - KESSLERSVILLE</v>
      </c>
      <c r="D373" s="9" t="n">
        <f aca="false">'2026 Forecast A'!G355</f>
        <v>0.382978723404255</v>
      </c>
      <c r="E373" s="9" t="n">
        <f aca="false">'2026 Forecast B'!G355</f>
        <v>0.380141843971631</v>
      </c>
      <c r="F373" s="9" t="n">
        <f aca="false">'2026 Forecast C'!G355</f>
        <v>0.377304964539007</v>
      </c>
      <c r="G373" s="24" t="n">
        <f aca="false">(MAX(D373:F373)-MIN(D373:F373))*100</f>
        <v>0.567375886524824</v>
      </c>
      <c r="H373" s="24" t="n">
        <f aca="false">'2026 Forecast A'!J355</f>
        <v>3.02608556967268</v>
      </c>
      <c r="I373" s="24" t="n">
        <f aca="false">'2026 Forecast B'!J355</f>
        <v>2.87480042420966</v>
      </c>
      <c r="J373" s="24" t="n">
        <f aca="false">'2026 Forecast C'!J355</f>
        <v>3.45317612968717</v>
      </c>
      <c r="K373" s="25" t="n">
        <f aca="false">'2026 Forecast A'!F355</f>
        <v>705</v>
      </c>
      <c r="L373" s="26" t="str">
        <f aca="false">IF(OR(AND(D373&gt;0.5,E373&gt;0.5,F373&gt;0.5),AND(D373&lt;0.5,E373&lt;0.5,F373&lt;0.5)),"Yes","No — toss-up")</f>
        <v>Yes</v>
      </c>
    </row>
    <row r="374" customFormat="false" ht="15" hidden="false" customHeight="false" outlineLevel="0" collapsed="false">
      <c r="A374" s="8" t="str">
        <f aca="false">'2026 Forecast A'!A356</f>
        <v>Northampton</v>
      </c>
      <c r="B374" s="8" t="str">
        <f aca="false">'2026 Forecast A'!B356</f>
        <v>PLAINFIELD</v>
      </c>
      <c r="C374" s="8" t="str">
        <f aca="false">'2026 Forecast A'!C356</f>
        <v>PLAINFIELD TWSP - PLAINFIELD CHURCH</v>
      </c>
      <c r="D374" s="9" t="n">
        <f aca="false">'2026 Forecast A'!G356</f>
        <v>0.381895332390382</v>
      </c>
      <c r="E374" s="9" t="n">
        <f aca="false">'2026 Forecast B'!G356</f>
        <v>0.381895332390382</v>
      </c>
      <c r="F374" s="9" t="n">
        <f aca="false">'2026 Forecast C'!G356</f>
        <v>0.376237623762376</v>
      </c>
      <c r="G374" s="24" t="n">
        <f aca="false">(MAX(D374:F374)-MIN(D374:F374))*100</f>
        <v>0.565770862800563</v>
      </c>
      <c r="H374" s="24" t="n">
        <f aca="false">'2026 Forecast A'!J356</f>
        <v>3.02608556967268</v>
      </c>
      <c r="I374" s="24" t="n">
        <f aca="false">'2026 Forecast B'!J356</f>
        <v>2.87480042420966</v>
      </c>
      <c r="J374" s="24" t="n">
        <f aca="false">'2026 Forecast C'!J356</f>
        <v>3.45317612968717</v>
      </c>
      <c r="K374" s="25" t="n">
        <f aca="false">'2026 Forecast A'!F356</f>
        <v>707</v>
      </c>
      <c r="L374" s="26" t="str">
        <f aca="false">IF(OR(AND(D374&gt;0.5,E374&gt;0.5,F374&gt;0.5),AND(D374&lt;0.5,E374&lt;0.5,F374&lt;0.5)),"Yes","No — toss-up")</f>
        <v>Yes</v>
      </c>
    </row>
    <row r="375" customFormat="false" ht="15" hidden="false" customHeight="false" outlineLevel="0" collapsed="false">
      <c r="A375" s="8" t="str">
        <f aca="false">'2026 Forecast A'!A357</f>
        <v>Northampton</v>
      </c>
      <c r="B375" s="8" t="str">
        <f aca="false">'2026 Forecast A'!B357</f>
        <v>PORTLAND</v>
      </c>
      <c r="C375" s="8" t="str">
        <f aca="false">'2026 Forecast A'!C357</f>
        <v>PORTLAND BORO</v>
      </c>
      <c r="D375" s="9" t="n">
        <f aca="false">'2026 Forecast A'!G357</f>
        <v>0.381443298969072</v>
      </c>
      <c r="E375" s="9" t="n">
        <f aca="false">'2026 Forecast B'!G357</f>
        <v>0.381443298969072</v>
      </c>
      <c r="F375" s="9" t="n">
        <f aca="false">'2026 Forecast C'!G357</f>
        <v>0.376288659793814</v>
      </c>
      <c r="G375" s="24" t="n">
        <f aca="false">(MAX(D375:F375)-MIN(D375:F375))*100</f>
        <v>0.515463917525771</v>
      </c>
      <c r="H375" s="24" t="n">
        <f aca="false">'2026 Forecast A'!J357</f>
        <v>3.02608556967268</v>
      </c>
      <c r="I375" s="24" t="n">
        <f aca="false">'2026 Forecast B'!J357</f>
        <v>2.87480042420966</v>
      </c>
      <c r="J375" s="24" t="n">
        <f aca="false">'2026 Forecast C'!J357</f>
        <v>3.45317612968717</v>
      </c>
      <c r="K375" s="25" t="n">
        <f aca="false">'2026 Forecast A'!F357</f>
        <v>194</v>
      </c>
      <c r="L375" s="26" t="str">
        <f aca="false">IF(OR(AND(D375&gt;0.5,E375&gt;0.5,F375&gt;0.5),AND(D375&lt;0.5,E375&lt;0.5,F375&lt;0.5)),"Yes","No — toss-up")</f>
        <v>Yes</v>
      </c>
    </row>
    <row r="376" customFormat="false" ht="15" hidden="false" customHeight="false" outlineLevel="0" collapsed="false">
      <c r="A376" s="8" t="str">
        <f aca="false">'2026 Forecast A'!A358</f>
        <v>Northampton</v>
      </c>
      <c r="B376" s="8" t="str">
        <f aca="false">'2026 Forecast A'!B358</f>
        <v>ROSETO</v>
      </c>
      <c r="C376" s="8" t="str">
        <f aca="false">'2026 Forecast A'!C358</f>
        <v>ROSETO BORO</v>
      </c>
      <c r="D376" s="9" t="n">
        <f aca="false">'2026 Forecast A'!G358</f>
        <v>0.423076923076923</v>
      </c>
      <c r="E376" s="9" t="n">
        <f aca="false">'2026 Forecast B'!G358</f>
        <v>0.424556213017752</v>
      </c>
      <c r="F376" s="9" t="n">
        <f aca="false">'2026 Forecast C'!G358</f>
        <v>0.418639053254438</v>
      </c>
      <c r="G376" s="24" t="n">
        <f aca="false">(MAX(D376:F376)-MIN(D376:F376))*100</f>
        <v>0.591715976331364</v>
      </c>
      <c r="H376" s="24" t="n">
        <f aca="false">'2026 Forecast A'!J358</f>
        <v>3.02608556967268</v>
      </c>
      <c r="I376" s="24" t="n">
        <f aca="false">'2026 Forecast B'!J358</f>
        <v>2.87480042420966</v>
      </c>
      <c r="J376" s="24" t="n">
        <f aca="false">'2026 Forecast C'!J358</f>
        <v>3.45317612968717</v>
      </c>
      <c r="K376" s="25" t="n">
        <f aca="false">'2026 Forecast A'!F358</f>
        <v>676</v>
      </c>
      <c r="L376" s="26" t="str">
        <f aca="false">IF(OR(AND(D376&gt;0.5,E376&gt;0.5,F376&gt;0.5),AND(D376&lt;0.5,E376&lt;0.5,F376&lt;0.5)),"Yes","No — toss-up")</f>
        <v>Yes</v>
      </c>
    </row>
    <row r="377" customFormat="false" ht="15" hidden="false" customHeight="false" outlineLevel="0" collapsed="false">
      <c r="A377" s="8" t="str">
        <f aca="false">'2026 Forecast A'!A359</f>
        <v>Northampton</v>
      </c>
      <c r="B377" s="8" t="str">
        <f aca="false">'2026 Forecast A'!B359</f>
        <v>STOCKERTOWN</v>
      </c>
      <c r="C377" s="8" t="str">
        <f aca="false">'2026 Forecast A'!C359</f>
        <v>STOCKERTOWN BORO</v>
      </c>
      <c r="D377" s="9" t="n">
        <f aca="false">'2026 Forecast A'!G359</f>
        <v>0.439276485788114</v>
      </c>
      <c r="E377" s="9" t="n">
        <f aca="false">'2026 Forecast B'!G359</f>
        <v>0.44702842377261</v>
      </c>
      <c r="F377" s="9" t="n">
        <f aca="false">'2026 Forecast C'!G359</f>
        <v>0.439276485788114</v>
      </c>
      <c r="G377" s="24" t="n">
        <f aca="false">(MAX(D377:F377)-MIN(D377:F377))*100</f>
        <v>0.775193798449614</v>
      </c>
      <c r="H377" s="24" t="n">
        <f aca="false">'2026 Forecast A'!J359</f>
        <v>3.02608556967268</v>
      </c>
      <c r="I377" s="24" t="n">
        <f aca="false">'2026 Forecast B'!J359</f>
        <v>2.87480042420966</v>
      </c>
      <c r="J377" s="24" t="n">
        <f aca="false">'2026 Forecast C'!J359</f>
        <v>3.45317612968717</v>
      </c>
      <c r="K377" s="25" t="n">
        <f aca="false">'2026 Forecast A'!F359</f>
        <v>387</v>
      </c>
      <c r="L377" s="26" t="str">
        <f aca="false">IF(OR(AND(D377&gt;0.5,E377&gt;0.5,F377&gt;0.5),AND(D377&lt;0.5,E377&lt;0.5,F377&lt;0.5)),"Yes","No — toss-up")</f>
        <v>Yes</v>
      </c>
    </row>
    <row r="378" customFormat="false" ht="15" hidden="false" customHeight="false" outlineLevel="0" collapsed="false">
      <c r="A378" s="8" t="str">
        <f aca="false">'2026 Forecast A'!A360</f>
        <v>Northampton</v>
      </c>
      <c r="B378" s="8" t="str">
        <f aca="false">'2026 Forecast A'!B360</f>
        <v>TATAMY</v>
      </c>
      <c r="C378" s="8" t="str">
        <f aca="false">'2026 Forecast A'!C360</f>
        <v>TATAMY BORO</v>
      </c>
      <c r="D378" s="9" t="n">
        <f aca="false">'2026 Forecast A'!G360</f>
        <v>0.472370766488414</v>
      </c>
      <c r="E378" s="9" t="n">
        <f aca="false">'2026 Forecast B'!G360</f>
        <v>0.470588235294118</v>
      </c>
      <c r="F378" s="9" t="n">
        <f aca="false">'2026 Forecast C'!G360</f>
        <v>0.470588235294118</v>
      </c>
      <c r="G378" s="24" t="n">
        <f aca="false">(MAX(D378:F378)-MIN(D378:F378))*100</f>
        <v>0.178253119429589</v>
      </c>
      <c r="H378" s="24" t="n">
        <f aca="false">'2026 Forecast A'!J360</f>
        <v>3.02608556967268</v>
      </c>
      <c r="I378" s="24" t="n">
        <f aca="false">'2026 Forecast B'!J360</f>
        <v>2.87480042420966</v>
      </c>
      <c r="J378" s="24" t="n">
        <f aca="false">'2026 Forecast C'!J360</f>
        <v>3.45317612968717</v>
      </c>
      <c r="K378" s="25" t="n">
        <f aca="false">'2026 Forecast A'!F360</f>
        <v>561</v>
      </c>
      <c r="L378" s="26" t="str">
        <f aca="false">IF(OR(AND(D378&gt;0.5,E378&gt;0.5,F378&gt;0.5),AND(D378&lt;0.5,E378&lt;0.5,F378&lt;0.5)),"Yes","No — toss-up")</f>
        <v>Yes</v>
      </c>
    </row>
    <row r="379" customFormat="false" ht="15" hidden="false" customHeight="false" outlineLevel="0" collapsed="false">
      <c r="A379" s="8" t="str">
        <f aca="false">'2026 Forecast A'!A361</f>
        <v>Northampton</v>
      </c>
      <c r="B379" s="8" t="str">
        <f aca="false">'2026 Forecast A'!B361</f>
        <v>UPPER MOUNT BETHEL</v>
      </c>
      <c r="C379" s="8" t="str">
        <f aca="false">'2026 Forecast A'!C361</f>
        <v>UPPER MT BETHEL TWSP - CENTERVILLE</v>
      </c>
      <c r="D379" s="9" t="n">
        <f aca="false">'2026 Forecast A'!G361</f>
        <v>0.334137515078408</v>
      </c>
      <c r="E379" s="9" t="n">
        <f aca="false">'2026 Forecast B'!G361</f>
        <v>0.325693606755127</v>
      </c>
      <c r="F379" s="9" t="n">
        <f aca="false">'2026 Forecast C'!G361</f>
        <v>0.325693606755127</v>
      </c>
      <c r="G379" s="24" t="n">
        <f aca="false">(MAX(D379:F379)-MIN(D379:F379))*100</f>
        <v>0.844390832328107</v>
      </c>
      <c r="H379" s="24" t="n">
        <f aca="false">'2026 Forecast A'!J361</f>
        <v>1.8085538155628</v>
      </c>
      <c r="I379" s="24" t="n">
        <f aca="false">'2026 Forecast B'!J361</f>
        <v>1.92472098334064</v>
      </c>
      <c r="J379" s="24" t="n">
        <f aca="false">'2026 Forecast C'!J361</f>
        <v>2.05025038892674</v>
      </c>
      <c r="K379" s="25" t="n">
        <f aca="false">'2026 Forecast A'!F361</f>
        <v>829</v>
      </c>
      <c r="L379" s="26" t="str">
        <f aca="false">IF(OR(AND(D379&gt;0.5,E379&gt;0.5,F379&gt;0.5),AND(D379&lt;0.5,E379&lt;0.5,F379&lt;0.5)),"Yes","No — toss-up")</f>
        <v>Yes</v>
      </c>
    </row>
    <row r="380" customFormat="false" ht="15" hidden="false" customHeight="false" outlineLevel="0" collapsed="false">
      <c r="A380" s="8" t="str">
        <f aca="false">'2026 Forecast A'!A362</f>
        <v>Northampton</v>
      </c>
      <c r="B380" s="8" t="str">
        <f aca="false">'2026 Forecast A'!B362</f>
        <v>UPPER MOUNT BETHEL</v>
      </c>
      <c r="C380" s="8" t="str">
        <f aca="false">'2026 Forecast A'!C362</f>
        <v>UPPER MT BETHEL TWSP - JOHNSONVILLE</v>
      </c>
      <c r="D380" s="9" t="n">
        <f aca="false">'2026 Forecast A'!G362</f>
        <v>0.36734693877551</v>
      </c>
      <c r="E380" s="9" t="n">
        <f aca="false">'2026 Forecast B'!G362</f>
        <v>0.369047619047619</v>
      </c>
      <c r="F380" s="9" t="n">
        <f aca="false">'2026 Forecast C'!G362</f>
        <v>0.358843537414966</v>
      </c>
      <c r="G380" s="24" t="n">
        <f aca="false">(MAX(D380:F380)-MIN(D380:F380))*100</f>
        <v>1.02040816326531</v>
      </c>
      <c r="H380" s="24" t="n">
        <f aca="false">'2026 Forecast A'!J362</f>
        <v>3.02608556967268</v>
      </c>
      <c r="I380" s="24" t="n">
        <f aca="false">'2026 Forecast B'!J362</f>
        <v>2.87480042420966</v>
      </c>
      <c r="J380" s="24" t="n">
        <f aca="false">'2026 Forecast C'!J362</f>
        <v>3.45317612968717</v>
      </c>
      <c r="K380" s="25" t="n">
        <f aca="false">'2026 Forecast A'!F362</f>
        <v>588</v>
      </c>
      <c r="L380" s="26" t="str">
        <f aca="false">IF(OR(AND(D380&gt;0.5,E380&gt;0.5,F380&gt;0.5),AND(D380&lt;0.5,E380&lt;0.5,F380&lt;0.5)),"Yes","No — toss-up")</f>
        <v>Yes</v>
      </c>
    </row>
    <row r="381" customFormat="false" ht="15" hidden="false" customHeight="false" outlineLevel="0" collapsed="false">
      <c r="A381" s="8" t="str">
        <f aca="false">'2026 Forecast A'!A363</f>
        <v>Northampton</v>
      </c>
      <c r="B381" s="8" t="str">
        <f aca="false">'2026 Forecast A'!B363</f>
        <v>UPPER MOUNT BETHEL</v>
      </c>
      <c r="C381" s="8" t="str">
        <f aca="false">'2026 Forecast A'!C363</f>
        <v>UPPER MT BETHEL TWSP - NORTH BANGOR</v>
      </c>
      <c r="D381" s="9" t="n">
        <f aca="false">'2026 Forecast A'!G363</f>
        <v>0.326129666011788</v>
      </c>
      <c r="E381" s="9" t="n">
        <f aca="false">'2026 Forecast B'!G363</f>
        <v>0.333988212180747</v>
      </c>
      <c r="F381" s="9" t="n">
        <f aca="false">'2026 Forecast C'!G363</f>
        <v>0.318271119842829</v>
      </c>
      <c r="G381" s="24" t="n">
        <f aca="false">(MAX(D381:F381)-MIN(D381:F381))*100</f>
        <v>1.57170923379175</v>
      </c>
      <c r="H381" s="24" t="n">
        <f aca="false">'2026 Forecast A'!J363</f>
        <v>3.02608556967268</v>
      </c>
      <c r="I381" s="24" t="n">
        <f aca="false">'2026 Forecast B'!J363</f>
        <v>2.87480042420966</v>
      </c>
      <c r="J381" s="24" t="n">
        <f aca="false">'2026 Forecast C'!J363</f>
        <v>3.45317612968717</v>
      </c>
      <c r="K381" s="25" t="n">
        <f aca="false">'2026 Forecast A'!F363</f>
        <v>509</v>
      </c>
      <c r="L381" s="26" t="str">
        <f aca="false">IF(OR(AND(D381&gt;0.5,E381&gt;0.5,F381&gt;0.5),AND(D381&lt;0.5,E381&lt;0.5,F381&lt;0.5)),"Yes","No — toss-up")</f>
        <v>Yes</v>
      </c>
    </row>
    <row r="382" customFormat="false" ht="15" hidden="false" customHeight="false" outlineLevel="0" collapsed="false">
      <c r="A382" s="8" t="str">
        <f aca="false">'2026 Forecast A'!A364</f>
        <v>Northampton</v>
      </c>
      <c r="B382" s="8" t="str">
        <f aca="false">'2026 Forecast A'!B364</f>
        <v>UPPER MOUNT BETHEL</v>
      </c>
      <c r="C382" s="8" t="str">
        <f aca="false">'2026 Forecast A'!C364</f>
        <v>UPPER MT BETHEL TWSP - SLATEFORD</v>
      </c>
      <c r="D382" s="9" t="n">
        <f aca="false">'2026 Forecast A'!G364</f>
        <v>0.336842105263158</v>
      </c>
      <c r="E382" s="9" t="n">
        <f aca="false">'2026 Forecast B'!G364</f>
        <v>0.332631578947368</v>
      </c>
      <c r="F382" s="9" t="n">
        <f aca="false">'2026 Forecast C'!G364</f>
        <v>0.330526315789474</v>
      </c>
      <c r="G382" s="24" t="n">
        <f aca="false">(MAX(D382:F382)-MIN(D382:F382))*100</f>
        <v>0.631578947368422</v>
      </c>
      <c r="H382" s="24" t="n">
        <f aca="false">'2026 Forecast A'!J364</f>
        <v>3.02608556967268</v>
      </c>
      <c r="I382" s="24" t="n">
        <f aca="false">'2026 Forecast B'!J364</f>
        <v>2.87480042420966</v>
      </c>
      <c r="J382" s="24" t="n">
        <f aca="false">'2026 Forecast C'!J364</f>
        <v>3.45317612968717</v>
      </c>
      <c r="K382" s="25" t="n">
        <f aca="false">'2026 Forecast A'!F364</f>
        <v>475</v>
      </c>
      <c r="L382" s="26" t="str">
        <f aca="false">IF(OR(AND(D382&gt;0.5,E382&gt;0.5,F382&gt;0.5),AND(D382&lt;0.5,E382&lt;0.5,F382&lt;0.5)),"Yes","No — toss-up")</f>
        <v>Yes</v>
      </c>
    </row>
    <row r="383" customFormat="false" ht="15" hidden="false" customHeight="false" outlineLevel="0" collapsed="false">
      <c r="A383" s="8" t="str">
        <f aca="false">'2026 Forecast A'!A365</f>
        <v>Northampton</v>
      </c>
      <c r="B383" s="8" t="str">
        <f aca="false">'2026 Forecast A'!B365</f>
        <v>UPPER MOUNT BETHEL</v>
      </c>
      <c r="C383" s="8" t="str">
        <f aca="false">'2026 Forecast A'!C365</f>
        <v>UPPER MT BETHEL TWSP - WILLIAMSBURG</v>
      </c>
      <c r="D383" s="9" t="n">
        <f aca="false">'2026 Forecast A'!G365</f>
        <v>0.400552486187845</v>
      </c>
      <c r="E383" s="9" t="n">
        <f aca="false">'2026 Forecast B'!G365</f>
        <v>0.397790055248619</v>
      </c>
      <c r="F383" s="9" t="n">
        <f aca="false">'2026 Forecast C'!G365</f>
        <v>0.396408839779006</v>
      </c>
      <c r="G383" s="24" t="n">
        <f aca="false">(MAX(D383:F383)-MIN(D383:F383))*100</f>
        <v>0.414364640883974</v>
      </c>
      <c r="H383" s="24" t="n">
        <f aca="false">'2026 Forecast A'!J365</f>
        <v>3.02608556967268</v>
      </c>
      <c r="I383" s="24" t="n">
        <f aca="false">'2026 Forecast B'!J365</f>
        <v>2.87480042420966</v>
      </c>
      <c r="J383" s="24" t="n">
        <f aca="false">'2026 Forecast C'!J365</f>
        <v>3.45317612968717</v>
      </c>
      <c r="K383" s="25" t="n">
        <f aca="false">'2026 Forecast A'!F365</f>
        <v>724</v>
      </c>
      <c r="L383" s="26" t="str">
        <f aca="false">IF(OR(AND(D383&gt;0.5,E383&gt;0.5,F383&gt;0.5),AND(D383&lt;0.5,E383&lt;0.5,F383&lt;0.5)),"Yes","No — toss-up")</f>
        <v>Yes</v>
      </c>
    </row>
    <row r="384" customFormat="false" ht="15" hidden="false" customHeight="false" outlineLevel="0" collapsed="false">
      <c r="A384" s="8" t="str">
        <f aca="false">'2026 Forecast A'!A366</f>
        <v>Northampton</v>
      </c>
      <c r="B384" s="8" t="str">
        <f aca="false">'2026 Forecast A'!B366</f>
        <v>UPPER NAZARETH</v>
      </c>
      <c r="C384" s="8" t="str">
        <f aca="false">'2026 Forecast A'!C366</f>
        <v>UPPER NAZARETH - EAST 1</v>
      </c>
      <c r="D384" s="9" t="n">
        <f aca="false">'2026 Forecast A'!G366</f>
        <v>0.529735682819383</v>
      </c>
      <c r="E384" s="9" t="n">
        <f aca="false">'2026 Forecast B'!G366</f>
        <v>0.526982378854626</v>
      </c>
      <c r="F384" s="9" t="n">
        <f aca="false">'2026 Forecast C'!G366</f>
        <v>0.531938325991189</v>
      </c>
      <c r="G384" s="24" t="n">
        <f aca="false">(MAX(D384:F384)-MIN(D384:F384))*100</f>
        <v>0.495594713656389</v>
      </c>
      <c r="H384" s="24" t="n">
        <f aca="false">'2026 Forecast A'!J366</f>
        <v>1.24911041755021</v>
      </c>
      <c r="I384" s="24" t="n">
        <f aca="false">'2026 Forecast B'!J366</f>
        <v>1.87117215961084</v>
      </c>
      <c r="J384" s="24" t="n">
        <f aca="false">'2026 Forecast C'!J366</f>
        <v>1.25589305869883</v>
      </c>
      <c r="K384" s="25" t="n">
        <f aca="false">'2026 Forecast A'!F366</f>
        <v>1816</v>
      </c>
      <c r="L384" s="26" t="str">
        <f aca="false">IF(OR(AND(D384&gt;0.5,E384&gt;0.5,F384&gt;0.5),AND(D384&lt;0.5,E384&lt;0.5,F384&lt;0.5)),"Yes","No — toss-up")</f>
        <v>Yes</v>
      </c>
    </row>
    <row r="385" customFormat="false" ht="15" hidden="false" customHeight="false" outlineLevel="0" collapsed="false">
      <c r="A385" s="8" t="str">
        <f aca="false">'2026 Forecast A'!A367</f>
        <v>Northampton</v>
      </c>
      <c r="B385" s="8" t="str">
        <f aca="false">'2026 Forecast A'!B367</f>
        <v>UPPER NAZARETH</v>
      </c>
      <c r="C385" s="8" t="str">
        <f aca="false">'2026 Forecast A'!C367</f>
        <v>UPPER NAZARETH - EAST 2</v>
      </c>
      <c r="D385" s="9" t="n">
        <f aca="false">'2026 Forecast A'!G367</f>
        <v>0.515789473684211</v>
      </c>
      <c r="E385" s="9" t="n">
        <f aca="false">'2026 Forecast B'!G367</f>
        <v>0.52280701754386</v>
      </c>
      <c r="F385" s="9" t="n">
        <f aca="false">'2026 Forecast C'!G367</f>
        <v>0.510526315789474</v>
      </c>
      <c r="G385" s="24" t="n">
        <f aca="false">(MAX(D385:F385)-MIN(D385:F385))*100</f>
        <v>1.22807017543859</v>
      </c>
      <c r="H385" s="24" t="n">
        <f aca="false">'2026 Forecast A'!J367</f>
        <v>3.02608556967268</v>
      </c>
      <c r="I385" s="24" t="n">
        <f aca="false">'2026 Forecast B'!J367</f>
        <v>2.87480042420966</v>
      </c>
      <c r="J385" s="24" t="n">
        <f aca="false">'2026 Forecast C'!J367</f>
        <v>3.45317612968717</v>
      </c>
      <c r="K385" s="25" t="n">
        <f aca="false">'2026 Forecast A'!F367</f>
        <v>570</v>
      </c>
      <c r="L385" s="26" t="str">
        <f aca="false">IF(OR(AND(D385&gt;0.5,E385&gt;0.5,F385&gt;0.5),AND(D385&lt;0.5,E385&lt;0.5,F385&lt;0.5)),"Yes","No — toss-up")</f>
        <v>Yes</v>
      </c>
    </row>
    <row r="386" customFormat="false" ht="15" hidden="false" customHeight="false" outlineLevel="0" collapsed="false">
      <c r="A386" s="8" t="str">
        <f aca="false">'2026 Forecast A'!A368</f>
        <v>Northampton</v>
      </c>
      <c r="B386" s="8" t="str">
        <f aca="false">'2026 Forecast A'!B368</f>
        <v>UPPER NAZARETH</v>
      </c>
      <c r="C386" s="8" t="str">
        <f aca="false">'2026 Forecast A'!C368</f>
        <v>UPPER NAZARETH - WEST 1</v>
      </c>
      <c r="D386" s="9" t="n">
        <f aca="false">'2026 Forecast A'!G368</f>
        <v>0.533778767631774</v>
      </c>
      <c r="E386" s="9" t="n">
        <f aca="false">'2026 Forecast B'!G368</f>
        <v>0.527839643652561</v>
      </c>
      <c r="F386" s="9" t="n">
        <f aca="false">'2026 Forecast C'!G368</f>
        <v>0.533778767631774</v>
      </c>
      <c r="G386" s="24" t="n">
        <f aca="false">(MAX(D386:F386)-MIN(D386:F386))*100</f>
        <v>0.593912397921315</v>
      </c>
      <c r="H386" s="24" t="n">
        <f aca="false">'2026 Forecast A'!J368</f>
        <v>1.24911041755021</v>
      </c>
      <c r="I386" s="24" t="n">
        <f aca="false">'2026 Forecast B'!J368</f>
        <v>1.87117215961084</v>
      </c>
      <c r="J386" s="24" t="n">
        <f aca="false">'2026 Forecast C'!J368</f>
        <v>1.25589305869883</v>
      </c>
      <c r="K386" s="25" t="n">
        <f aca="false">'2026 Forecast A'!F368</f>
        <v>1347</v>
      </c>
      <c r="L386" s="26" t="str">
        <f aca="false">IF(OR(AND(D386&gt;0.5,E386&gt;0.5,F386&gt;0.5),AND(D386&lt;0.5,E386&lt;0.5,F386&lt;0.5)),"Yes","No — toss-up")</f>
        <v>Yes</v>
      </c>
    </row>
    <row r="387" customFormat="false" ht="15" hidden="false" customHeight="false" outlineLevel="0" collapsed="false">
      <c r="A387" s="8" t="str">
        <f aca="false">'2026 Forecast A'!A369</f>
        <v>Northampton</v>
      </c>
      <c r="B387" s="8" t="str">
        <f aca="false">'2026 Forecast A'!B369</f>
        <v>UPPER NAZARETH</v>
      </c>
      <c r="C387" s="8" t="str">
        <f aca="false">'2026 Forecast A'!C369</f>
        <v>UPPER NAZARETH - WEST 2</v>
      </c>
      <c r="D387" s="9" t="n">
        <f aca="false">'2026 Forecast A'!G369</f>
        <v>0.517401392111369</v>
      </c>
      <c r="E387" s="9" t="n">
        <f aca="false">'2026 Forecast B'!G369</f>
        <v>0.522041763341067</v>
      </c>
      <c r="F387" s="9" t="n">
        <f aca="false">'2026 Forecast C'!G369</f>
        <v>0.512761020881671</v>
      </c>
      <c r="G387" s="24" t="n">
        <f aca="false">(MAX(D387:F387)-MIN(D387:F387))*100</f>
        <v>0.928074245939681</v>
      </c>
      <c r="H387" s="24" t="n">
        <f aca="false">'2026 Forecast A'!J369</f>
        <v>3.02608556967268</v>
      </c>
      <c r="I387" s="24" t="n">
        <f aca="false">'2026 Forecast B'!J369</f>
        <v>2.87480042420966</v>
      </c>
      <c r="J387" s="24" t="n">
        <f aca="false">'2026 Forecast C'!J369</f>
        <v>3.45317612968717</v>
      </c>
      <c r="K387" s="25" t="n">
        <f aca="false">'2026 Forecast A'!F369</f>
        <v>431</v>
      </c>
      <c r="L387" s="26" t="str">
        <f aca="false">IF(OR(AND(D387&gt;0.5,E387&gt;0.5,F387&gt;0.5),AND(D387&lt;0.5,E387&lt;0.5,F387&lt;0.5)),"Yes","No — toss-up")</f>
        <v>Yes</v>
      </c>
    </row>
    <row r="388" customFormat="false" ht="15" hidden="false" customHeight="false" outlineLevel="0" collapsed="false">
      <c r="A388" s="8" t="str">
        <f aca="false">'2026 Forecast A'!A370</f>
        <v>Northampton</v>
      </c>
      <c r="B388" s="8" t="str">
        <f aca="false">'2026 Forecast A'!B370</f>
        <v>WALNUTPORT</v>
      </c>
      <c r="C388" s="8" t="str">
        <f aca="false">'2026 Forecast A'!C370</f>
        <v>WALNUTPORT BORO</v>
      </c>
      <c r="D388" s="9" t="n">
        <f aca="false">'2026 Forecast A'!G370</f>
        <v>0.433701657458564</v>
      </c>
      <c r="E388" s="9" t="n">
        <f aca="false">'2026 Forecast B'!G370</f>
        <v>0.43646408839779</v>
      </c>
      <c r="F388" s="9" t="n">
        <f aca="false">'2026 Forecast C'!G370</f>
        <v>0.429558011049724</v>
      </c>
      <c r="G388" s="24" t="n">
        <f aca="false">(MAX(D388:F388)-MIN(D388:F388))*100</f>
        <v>0.690607734806631</v>
      </c>
      <c r="H388" s="24" t="n">
        <f aca="false">'2026 Forecast A'!J370</f>
        <v>3.02608556967268</v>
      </c>
      <c r="I388" s="24" t="n">
        <f aca="false">'2026 Forecast B'!J370</f>
        <v>2.87480042420966</v>
      </c>
      <c r="J388" s="24" t="n">
        <f aca="false">'2026 Forecast C'!J370</f>
        <v>3.45317612968717</v>
      </c>
      <c r="K388" s="25" t="n">
        <f aca="false">'2026 Forecast A'!F370</f>
        <v>724</v>
      </c>
      <c r="L388" s="26" t="str">
        <f aca="false">IF(OR(AND(D388&gt;0.5,E388&gt;0.5,F388&gt;0.5),AND(D388&lt;0.5,E388&lt;0.5,F388&lt;0.5)),"Yes","No — toss-up")</f>
        <v>Yes</v>
      </c>
    </row>
    <row r="389" customFormat="false" ht="15" hidden="false" customHeight="false" outlineLevel="0" collapsed="false">
      <c r="A389" s="8" t="str">
        <f aca="false">'2026 Forecast A'!A371</f>
        <v>Northampton</v>
      </c>
      <c r="B389" s="8" t="str">
        <f aca="false">'2026 Forecast A'!B371</f>
        <v>WASHINGTON</v>
      </c>
      <c r="C389" s="8" t="str">
        <f aca="false">'2026 Forecast A'!C371</f>
        <v>WASHINGTON TWSP - LOWER</v>
      </c>
      <c r="D389" s="9" t="n">
        <f aca="false">'2026 Forecast A'!G371</f>
        <v>0.376529477196885</v>
      </c>
      <c r="E389" s="9" t="n">
        <f aca="false">'2026 Forecast B'!G371</f>
        <v>0.380422691879867</v>
      </c>
      <c r="F389" s="9" t="n">
        <f aca="false">'2026 Forecast C'!G371</f>
        <v>0.369855394883204</v>
      </c>
      <c r="G389" s="24" t="n">
        <f aca="false">(MAX(D389:F389)-MIN(D389:F389))*100</f>
        <v>1.05672969966629</v>
      </c>
      <c r="H389" s="24" t="n">
        <f aca="false">'2026 Forecast A'!J371</f>
        <v>1.24911041755021</v>
      </c>
      <c r="I389" s="24" t="n">
        <f aca="false">'2026 Forecast B'!J371</f>
        <v>1.87117215961084</v>
      </c>
      <c r="J389" s="24" t="n">
        <f aca="false">'2026 Forecast C'!J371</f>
        <v>1.25589305869883</v>
      </c>
      <c r="K389" s="25" t="n">
        <f aca="false">'2026 Forecast A'!F371</f>
        <v>1798</v>
      </c>
      <c r="L389" s="26" t="str">
        <f aca="false">IF(OR(AND(D389&gt;0.5,E389&gt;0.5,F389&gt;0.5),AND(D389&lt;0.5,E389&lt;0.5,F389&lt;0.5)),"Yes","No — toss-up")</f>
        <v>Yes</v>
      </c>
    </row>
    <row r="390" customFormat="false" ht="15" hidden="false" customHeight="false" outlineLevel="0" collapsed="false">
      <c r="A390" s="8" t="str">
        <f aca="false">'2026 Forecast A'!A372</f>
        <v>Northampton</v>
      </c>
      <c r="B390" s="8" t="str">
        <f aca="false">'2026 Forecast A'!B372</f>
        <v>WASHINGTON</v>
      </c>
      <c r="C390" s="8" t="str">
        <f aca="false">'2026 Forecast A'!C372</f>
        <v>WASHINGTON TWSP - UPPER</v>
      </c>
      <c r="D390" s="9" t="n">
        <f aca="false">'2026 Forecast A'!G372</f>
        <v>0.372093023255814</v>
      </c>
      <c r="E390" s="9" t="n">
        <f aca="false">'2026 Forecast B'!G372</f>
        <v>0.371198568872987</v>
      </c>
      <c r="F390" s="9" t="n">
        <f aca="false">'2026 Forecast C'!G372</f>
        <v>0.364937388193202</v>
      </c>
      <c r="G390" s="24" t="n">
        <f aca="false">(MAX(D390:F390)-MIN(D390:F390))*100</f>
        <v>0.71556350626118</v>
      </c>
      <c r="H390" s="24" t="n">
        <f aca="false">'2026 Forecast A'!J372</f>
        <v>1.8085538155628</v>
      </c>
      <c r="I390" s="24" t="n">
        <f aca="false">'2026 Forecast B'!J372</f>
        <v>1.92472098334064</v>
      </c>
      <c r="J390" s="24" t="n">
        <f aca="false">'2026 Forecast C'!J372</f>
        <v>2.05025038892674</v>
      </c>
      <c r="K390" s="25" t="n">
        <f aca="false">'2026 Forecast A'!F372</f>
        <v>1118</v>
      </c>
      <c r="L390" s="26" t="str">
        <f aca="false">IF(OR(AND(D390&gt;0.5,E390&gt;0.5,F390&gt;0.5),AND(D390&lt;0.5,E390&lt;0.5,F390&lt;0.5)),"Yes","No — toss-up")</f>
        <v>Yes</v>
      </c>
    </row>
    <row r="391" customFormat="false" ht="15" hidden="false" customHeight="false" outlineLevel="0" collapsed="false">
      <c r="A391" s="8" t="str">
        <f aca="false">'2026 Forecast A'!A373</f>
        <v>Northampton</v>
      </c>
      <c r="B391" s="8" t="str">
        <f aca="false">'2026 Forecast A'!B373</f>
        <v>WEST EASTON</v>
      </c>
      <c r="C391" s="8" t="str">
        <f aca="false">'2026 Forecast A'!C373</f>
        <v>WEST EASTON</v>
      </c>
      <c r="D391" s="9" t="n">
        <f aca="false">'2026 Forecast A'!G373</f>
        <v>0.526570048309179</v>
      </c>
      <c r="E391" s="9" t="n">
        <f aca="false">'2026 Forecast B'!G373</f>
        <v>0.531400966183575</v>
      </c>
      <c r="F391" s="9" t="n">
        <f aca="false">'2026 Forecast C'!G373</f>
        <v>0.526570048309179</v>
      </c>
      <c r="G391" s="24" t="n">
        <f aca="false">(MAX(D391:F391)-MIN(D391:F391))*100</f>
        <v>0.483091787439616</v>
      </c>
      <c r="H391" s="24" t="n">
        <f aca="false">'2026 Forecast A'!J373</f>
        <v>3.02608556967268</v>
      </c>
      <c r="I391" s="24" t="n">
        <f aca="false">'2026 Forecast B'!J373</f>
        <v>2.87480042420966</v>
      </c>
      <c r="J391" s="24" t="n">
        <f aca="false">'2026 Forecast C'!J373</f>
        <v>3.45317612968717</v>
      </c>
      <c r="K391" s="25" t="n">
        <f aca="false">'2026 Forecast A'!F373</f>
        <v>414</v>
      </c>
      <c r="L391" s="26" t="str">
        <f aca="false">IF(OR(AND(D391&gt;0.5,E391&gt;0.5,F391&gt;0.5),AND(D391&lt;0.5,E391&lt;0.5,F391&lt;0.5)),"Yes","No — toss-up")</f>
        <v>Yes</v>
      </c>
    </row>
    <row r="392" customFormat="false" ht="15" hidden="false" customHeight="false" outlineLevel="0" collapsed="false">
      <c r="A392" s="8" t="str">
        <f aca="false">'2026 Forecast A'!A374</f>
        <v>Northampton</v>
      </c>
      <c r="B392" s="8" t="str">
        <f aca="false">'2026 Forecast A'!B374</f>
        <v>WILLIAMS TOWNSHIP</v>
      </c>
      <c r="C392" s="8" t="str">
        <f aca="false">'2026 Forecast A'!C374</f>
        <v>WILLAMS TWSP - EASTERN</v>
      </c>
      <c r="D392" s="9" t="n">
        <f aca="false">'2026 Forecast A'!G374</f>
        <v>0.474489795918367</v>
      </c>
      <c r="E392" s="9" t="n">
        <f aca="false">'2026 Forecast B'!G374</f>
        <v>0.470408163265306</v>
      </c>
      <c r="F392" s="9" t="n">
        <f aca="false">'2026 Forecast C'!G374</f>
        <v>0.473469387755102</v>
      </c>
      <c r="G392" s="24" t="n">
        <f aca="false">(MAX(D392:F392)-MIN(D392:F392))*100</f>
        <v>0.408163265306127</v>
      </c>
      <c r="H392" s="24" t="n">
        <f aca="false">'2026 Forecast A'!J374</f>
        <v>1.8085538155628</v>
      </c>
      <c r="I392" s="24" t="n">
        <f aca="false">'2026 Forecast B'!J374</f>
        <v>1.92472098334064</v>
      </c>
      <c r="J392" s="24" t="n">
        <f aca="false">'2026 Forecast C'!J374</f>
        <v>2.05025038892674</v>
      </c>
      <c r="K392" s="25" t="n">
        <f aca="false">'2026 Forecast A'!F374</f>
        <v>980</v>
      </c>
      <c r="L392" s="26" t="str">
        <f aca="false">IF(OR(AND(D392&gt;0.5,E392&gt;0.5,F392&gt;0.5),AND(D392&lt;0.5,E392&lt;0.5,F392&lt;0.5)),"Yes","No — toss-up")</f>
        <v>Yes</v>
      </c>
    </row>
    <row r="393" customFormat="false" ht="15" hidden="false" customHeight="false" outlineLevel="0" collapsed="false">
      <c r="A393" s="8" t="str">
        <f aca="false">'2026 Forecast A'!A375</f>
        <v>Northampton</v>
      </c>
      <c r="B393" s="8" t="str">
        <f aca="false">'2026 Forecast A'!B375</f>
        <v>WILLIAMS TOWNSHIP</v>
      </c>
      <c r="C393" s="8" t="str">
        <f aca="false">'2026 Forecast A'!C375</f>
        <v>WILLIAMS TWSP - MIDDLE</v>
      </c>
      <c r="D393" s="9" t="n">
        <f aca="false">'2026 Forecast A'!G375</f>
        <v>0.435502958579882</v>
      </c>
      <c r="E393" s="9" t="n">
        <f aca="false">'2026 Forecast B'!G375</f>
        <v>0.429585798816568</v>
      </c>
      <c r="F393" s="9" t="n">
        <f aca="false">'2026 Forecast C'!G375</f>
        <v>0.433136094674556</v>
      </c>
      <c r="G393" s="24" t="n">
        <f aca="false">(MAX(D393:F393)-MIN(D393:F393))*100</f>
        <v>0.591715976331358</v>
      </c>
      <c r="H393" s="24" t="n">
        <f aca="false">'2026 Forecast A'!J375</f>
        <v>1.8085538155628</v>
      </c>
      <c r="I393" s="24" t="n">
        <f aca="false">'2026 Forecast B'!J375</f>
        <v>1.92472098334064</v>
      </c>
      <c r="J393" s="24" t="n">
        <f aca="false">'2026 Forecast C'!J375</f>
        <v>2.05025038892674</v>
      </c>
      <c r="K393" s="25" t="n">
        <f aca="false">'2026 Forecast A'!F375</f>
        <v>845</v>
      </c>
      <c r="L393" s="26" t="str">
        <f aca="false">IF(OR(AND(D393&gt;0.5,E393&gt;0.5,F393&gt;0.5),AND(D393&lt;0.5,E393&lt;0.5,F393&lt;0.5)),"Yes","No — toss-up")</f>
        <v>Yes</v>
      </c>
    </row>
    <row r="394" customFormat="false" ht="15" hidden="false" customHeight="false" outlineLevel="0" collapsed="false">
      <c r="A394" s="8" t="str">
        <f aca="false">'2026 Forecast A'!A376</f>
        <v>Northampton</v>
      </c>
      <c r="B394" s="8" t="str">
        <f aca="false">'2026 Forecast A'!B376</f>
        <v>WILLIAMS TOWNSHIP</v>
      </c>
      <c r="C394" s="8" t="str">
        <f aca="false">'2026 Forecast A'!C376</f>
        <v>WILLIAMS TWSP - UPPER</v>
      </c>
      <c r="D394" s="9" t="n">
        <f aca="false">'2026 Forecast A'!G376</f>
        <v>0.533479692645445</v>
      </c>
      <c r="E394" s="9" t="n">
        <f aca="false">'2026 Forecast B'!G376</f>
        <v>0.523600439077936</v>
      </c>
      <c r="F394" s="9" t="n">
        <f aca="false">'2026 Forecast C'!G376</f>
        <v>0.534577387486279</v>
      </c>
      <c r="G394" s="24" t="n">
        <f aca="false">(MAX(D394:F394)-MIN(D394:F394))*100</f>
        <v>1.09769484083425</v>
      </c>
      <c r="H394" s="24" t="n">
        <f aca="false">'2026 Forecast A'!J376</f>
        <v>1.8085538155628</v>
      </c>
      <c r="I394" s="24" t="n">
        <f aca="false">'2026 Forecast B'!J376</f>
        <v>1.92472098334064</v>
      </c>
      <c r="J394" s="24" t="n">
        <f aca="false">'2026 Forecast C'!J376</f>
        <v>2.05025038892674</v>
      </c>
      <c r="K394" s="25" t="n">
        <f aca="false">'2026 Forecast A'!F376</f>
        <v>911</v>
      </c>
      <c r="L394" s="26" t="str">
        <f aca="false">IF(OR(AND(D394&gt;0.5,E394&gt;0.5,F394&gt;0.5),AND(D394&lt;0.5,E394&lt;0.5,F394&lt;0.5)),"Yes","No — toss-up")</f>
        <v>Yes</v>
      </c>
    </row>
    <row r="395" customFormat="false" ht="15" hidden="false" customHeight="false" outlineLevel="0" collapsed="false">
      <c r="A395" s="8" t="str">
        <f aca="false">'2026 Forecast A'!A377</f>
        <v>Northampton</v>
      </c>
      <c r="B395" s="8" t="str">
        <f aca="false">'2026 Forecast A'!B377</f>
        <v>WILLIAMS TOWNSHIP</v>
      </c>
      <c r="C395" s="8" t="str">
        <f aca="false">'2026 Forecast A'!C377</f>
        <v>WILLIAMS TWSP - WESTERN</v>
      </c>
      <c r="D395" s="9" t="n">
        <f aca="false">'2026 Forecast A'!G377</f>
        <v>0.462068965517241</v>
      </c>
      <c r="E395" s="9" t="n">
        <f aca="false">'2026 Forecast B'!G377</f>
        <v>0.463793103448276</v>
      </c>
      <c r="F395" s="9" t="n">
        <f aca="false">'2026 Forecast C'!G377</f>
        <v>0.460344827586207</v>
      </c>
      <c r="G395" s="24" t="n">
        <f aca="false">(MAX(D395:F395)-MIN(D395:F395))*100</f>
        <v>0.344827586206897</v>
      </c>
      <c r="H395" s="24" t="n">
        <f aca="false">'2026 Forecast A'!J377</f>
        <v>3.02608556967268</v>
      </c>
      <c r="I395" s="24" t="n">
        <f aca="false">'2026 Forecast B'!J377</f>
        <v>2.87480042420966</v>
      </c>
      <c r="J395" s="24" t="n">
        <f aca="false">'2026 Forecast C'!J377</f>
        <v>3.45317612968717</v>
      </c>
      <c r="K395" s="25" t="n">
        <f aca="false">'2026 Forecast A'!F377</f>
        <v>580</v>
      </c>
      <c r="L395" s="26" t="str">
        <f aca="false">IF(OR(AND(D395&gt;0.5,E395&gt;0.5,F395&gt;0.5),AND(D395&lt;0.5,E395&lt;0.5,F395&lt;0.5)),"Yes","No — toss-up")</f>
        <v>Yes</v>
      </c>
    </row>
    <row r="396" customFormat="false" ht="15" hidden="false" customHeight="false" outlineLevel="0" collapsed="false">
      <c r="A396" s="8" t="str">
        <f aca="false">'2026 Forecast A'!A378</f>
        <v>Northampton</v>
      </c>
      <c r="B396" s="8" t="str">
        <f aca="false">'2026 Forecast A'!B378</f>
        <v>WILSON</v>
      </c>
      <c r="C396" s="8" t="str">
        <f aca="false">'2026 Forecast A'!C378</f>
        <v>WILSON BORO 1ST WARD</v>
      </c>
      <c r="D396" s="9" t="n">
        <f aca="false">'2026 Forecast A'!G378</f>
        <v>0.619111709286676</v>
      </c>
      <c r="E396" s="9" t="n">
        <f aca="false">'2026 Forecast B'!G378</f>
        <v>0.623149394347241</v>
      </c>
      <c r="F396" s="9" t="n">
        <f aca="false">'2026 Forecast C'!G378</f>
        <v>0.621803499327053</v>
      </c>
      <c r="G396" s="24" t="n">
        <f aca="false">(MAX(D396:F396)-MIN(D396:F396))*100</f>
        <v>0.403768506056523</v>
      </c>
      <c r="H396" s="24" t="n">
        <f aca="false">'2026 Forecast A'!J378</f>
        <v>3.02608556967268</v>
      </c>
      <c r="I396" s="24" t="n">
        <f aca="false">'2026 Forecast B'!J378</f>
        <v>2.87480042420966</v>
      </c>
      <c r="J396" s="24" t="n">
        <f aca="false">'2026 Forecast C'!J378</f>
        <v>3.45317612968717</v>
      </c>
      <c r="K396" s="25" t="n">
        <f aca="false">'2026 Forecast A'!F378</f>
        <v>743</v>
      </c>
      <c r="L396" s="26" t="str">
        <f aca="false">IF(OR(AND(D396&gt;0.5,E396&gt;0.5,F396&gt;0.5),AND(D396&lt;0.5,E396&lt;0.5,F396&lt;0.5)),"Yes","No — toss-up")</f>
        <v>Yes</v>
      </c>
    </row>
    <row r="397" customFormat="false" ht="15" hidden="false" customHeight="false" outlineLevel="0" collapsed="false">
      <c r="A397" s="8" t="str">
        <f aca="false">'2026 Forecast A'!A379</f>
        <v>Northampton</v>
      </c>
      <c r="B397" s="8" t="str">
        <f aca="false">'2026 Forecast A'!B379</f>
        <v>WILSON</v>
      </c>
      <c r="C397" s="8" t="str">
        <f aca="false">'2026 Forecast A'!C379</f>
        <v>WILSON BORO 2ND WARD</v>
      </c>
      <c r="D397" s="9" t="n">
        <f aca="false">'2026 Forecast A'!G379</f>
        <v>0.600993377483444</v>
      </c>
      <c r="E397" s="9" t="n">
        <f aca="false">'2026 Forecast B'!G379</f>
        <v>0.602649006622517</v>
      </c>
      <c r="F397" s="9" t="n">
        <f aca="false">'2026 Forecast C'!G379</f>
        <v>0.604304635761589</v>
      </c>
      <c r="G397" s="24" t="n">
        <f aca="false">(MAX(D397:F397)-MIN(D397:F397))*100</f>
        <v>0.331125827814571</v>
      </c>
      <c r="H397" s="24" t="n">
        <f aca="false">'2026 Forecast A'!J379</f>
        <v>3.02608556967268</v>
      </c>
      <c r="I397" s="24" t="n">
        <f aca="false">'2026 Forecast B'!J379</f>
        <v>2.87480042420966</v>
      </c>
      <c r="J397" s="24" t="n">
        <f aca="false">'2026 Forecast C'!J379</f>
        <v>3.45317612968717</v>
      </c>
      <c r="K397" s="25" t="n">
        <f aca="false">'2026 Forecast A'!F379</f>
        <v>604</v>
      </c>
      <c r="L397" s="26" t="str">
        <f aca="false">IF(OR(AND(D397&gt;0.5,E397&gt;0.5,F397&gt;0.5),AND(D397&lt;0.5,E397&lt;0.5,F397&lt;0.5)),"Yes","No — toss-up")</f>
        <v>Yes</v>
      </c>
    </row>
    <row r="398" customFormat="false" ht="15" hidden="false" customHeight="false" outlineLevel="0" collapsed="false">
      <c r="A398" s="8" t="str">
        <f aca="false">'2026 Forecast A'!A380</f>
        <v>Northampton</v>
      </c>
      <c r="B398" s="8" t="str">
        <f aca="false">'2026 Forecast A'!B380</f>
        <v>WILSON</v>
      </c>
      <c r="C398" s="8" t="str">
        <f aca="false">'2026 Forecast A'!C380</f>
        <v>WILSON BORO 3RD WARD</v>
      </c>
      <c r="D398" s="9" t="n">
        <f aca="false">'2026 Forecast A'!G380</f>
        <v>0.579281183932347</v>
      </c>
      <c r="E398" s="9" t="n">
        <f aca="false">'2026 Forecast B'!G380</f>
        <v>0.586680761099366</v>
      </c>
      <c r="F398" s="9" t="n">
        <f aca="false">'2026 Forecast C'!G380</f>
        <v>0.581395348837209</v>
      </c>
      <c r="G398" s="24" t="n">
        <f aca="false">(MAX(D398:F398)-MIN(D398:F398))*100</f>
        <v>0.7399577167019</v>
      </c>
      <c r="H398" s="24" t="n">
        <f aca="false">'2026 Forecast A'!J380</f>
        <v>1.8085538155628</v>
      </c>
      <c r="I398" s="24" t="n">
        <f aca="false">'2026 Forecast B'!J380</f>
        <v>1.92472098334064</v>
      </c>
      <c r="J398" s="24" t="n">
        <f aca="false">'2026 Forecast C'!J380</f>
        <v>2.05025038892674</v>
      </c>
      <c r="K398" s="25" t="n">
        <f aca="false">'2026 Forecast A'!F380</f>
        <v>946</v>
      </c>
      <c r="L398" s="26" t="str">
        <f aca="false">IF(OR(AND(D398&gt;0.5,E398&gt;0.5,F398&gt;0.5),AND(D398&lt;0.5,E398&lt;0.5,F398&lt;0.5)),"Yes","No — toss-up")</f>
        <v>Yes</v>
      </c>
    </row>
    <row r="399" customFormat="false" ht="15" hidden="false" customHeight="false" outlineLevel="0" collapsed="false">
      <c r="A399" s="8" t="str">
        <f aca="false">'2026 Forecast A'!A381</f>
        <v>Northampton</v>
      </c>
      <c r="B399" s="8" t="str">
        <f aca="false">'2026 Forecast A'!B381</f>
        <v>WIND GAP</v>
      </c>
      <c r="C399" s="8" t="str">
        <f aca="false">'2026 Forecast A'!C381</f>
        <v>WIND GAP</v>
      </c>
      <c r="D399" s="9" t="n">
        <f aca="false">'2026 Forecast A'!G381</f>
        <v>0.476712328767123</v>
      </c>
      <c r="E399" s="9" t="n">
        <f aca="false">'2026 Forecast B'!G381</f>
        <v>0.474885844748858</v>
      </c>
      <c r="F399" s="9" t="n">
        <f aca="false">'2026 Forecast C'!G381</f>
        <v>0.475799086757991</v>
      </c>
      <c r="G399" s="24" t="n">
        <f aca="false">(MAX(D399:F399)-MIN(D399:F399))*100</f>
        <v>0.182648401826485</v>
      </c>
      <c r="H399" s="24" t="n">
        <f aca="false">'2026 Forecast A'!J381</f>
        <v>1.8085538155628</v>
      </c>
      <c r="I399" s="24" t="n">
        <f aca="false">'2026 Forecast B'!J381</f>
        <v>1.92472098334064</v>
      </c>
      <c r="J399" s="24" t="n">
        <f aca="false">'2026 Forecast C'!J381</f>
        <v>2.05025038892674</v>
      </c>
      <c r="K399" s="25" t="n">
        <f aca="false">'2026 Forecast A'!F381</f>
        <v>1095</v>
      </c>
      <c r="L399" s="26" t="str">
        <f aca="false">IF(OR(AND(D399&gt;0.5,E399&gt;0.5,F399&gt;0.5),AND(D399&lt;0.5,E399&lt;0.5,F399&lt;0.5)),"Yes","No — toss-up")</f>
        <v>Yes</v>
      </c>
    </row>
  </sheetData>
  <mergeCells count="5">
    <mergeCell ref="A5:I5"/>
    <mergeCell ref="A15:I15"/>
    <mergeCell ref="A21:I21"/>
    <mergeCell ref="A26:I26"/>
    <mergeCell ref="A28:L28"/>
  </mergeCells>
  <conditionalFormatting sqref="F23:F25">
    <cfRule type="colorScale" priority="2">
      <colorScale>
        <cfvo type="min" val="0"/>
        <cfvo type="max" val="0"/>
        <color rgb="FF63BE7B"/>
        <color rgb="FFF8696B"/>
      </colorScale>
    </cfRule>
  </conditionalFormatting>
  <conditionalFormatting sqref="D30:F399">
    <cfRule type="colorScale" priority="3">
      <colorScale>
        <cfvo type="num" val="0.25"/>
        <cfvo type="num" val="0.5"/>
        <cfvo type="num" val="0.75"/>
        <color rgb="FFF4B6B6"/>
        <color rgb="FFFFFFFF"/>
        <color rgb="FFB4C7E7"/>
      </colorScale>
    </cfRule>
  </conditionalFormatting>
  <conditionalFormatting sqref="L30:L399">
    <cfRule type="cellIs" priority="4"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51</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55</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B5-SUMPRODUCT(P12:P381,Q12:Q381)/SUM(Q12:Q381)/100</f>
        <v>0.526567202694874</v>
      </c>
      <c r="E5" s="2" t="s">
        <v>63</v>
      </c>
      <c r="F5" s="31" t="n">
        <v>2.23110140227628</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SUM(D12:D381)</f>
        <v>158256</v>
      </c>
      <c r="E8" s="32" t="n">
        <f aca="false">SUM(E12:E381)</f>
        <v>141367</v>
      </c>
      <c r="F8" s="32" t="n">
        <f aca="false">D8+E8</f>
        <v>299623</v>
      </c>
      <c r="G8" s="33" t="n">
        <f aca="false">IF(F8=0,"",D8/F8)</f>
        <v>0.528183750913648</v>
      </c>
      <c r="H8" s="33" t="n">
        <f aca="false">IF(F8=0,"",E8/F8)</f>
        <v>0.471816249086352</v>
      </c>
      <c r="I8" s="11" t="s">
        <v>77</v>
      </c>
      <c r="J8" s="34" t="n">
        <v>2.23110140227628</v>
      </c>
      <c r="K8" s="33" t="n">
        <f aca="false">G8-J8/100</f>
        <v>0.505872736890885</v>
      </c>
      <c r="L8" s="33" t="n">
        <f aca="false">G8+J8/100</f>
        <v>0.550494764936411</v>
      </c>
      <c r="M8" s="32" t="n">
        <f aca="false">ROUND(F8*0.0291,0)</f>
        <v>8719</v>
      </c>
      <c r="N8" s="32" t="n">
        <f aca="false">ROUND(SQRT((F8*J8/100)^2+(G8*M8)^2),0)</f>
        <v>8118</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88</v>
      </c>
      <c r="D12" s="21" t="n">
        <f aca="false">ROUND(Q12*R12,0)</f>
        <v>171</v>
      </c>
      <c r="E12" s="21" t="n">
        <f aca="false">ROUND(Q12,0)-D12</f>
        <v>215</v>
      </c>
      <c r="F12" s="21" t="n">
        <f aca="false">IF(COUNTA(D12:E12)=0,"",SUM(D12:E12))</f>
        <v>386</v>
      </c>
      <c r="G12" s="39" t="n">
        <f aca="false">IF(OR(F12="",F12=0),"",D12/F12)</f>
        <v>0.44300518134715</v>
      </c>
      <c r="H12" s="39" t="n">
        <f aca="false">IF(OR(F12="",F12=0),"",E12/F12)</f>
        <v>0.55699481865285</v>
      </c>
      <c r="I12" s="38" t="s">
        <v>89</v>
      </c>
      <c r="J12" s="40" t="n">
        <v>3.02608556967268</v>
      </c>
      <c r="K12" s="39" t="n">
        <f aca="false">IF(G12="","",MAX(0,G12-J12/100))</f>
        <v>0.412744325650423</v>
      </c>
      <c r="L12" s="39" t="n">
        <f aca="false">IF(G12="","",MIN(1,G12+J12/100))</f>
        <v>0.473266037043877</v>
      </c>
      <c r="M12" s="21" t="n">
        <f aca="false">ROUND(Q12*S12,0)</f>
        <v>24</v>
      </c>
      <c r="N12" s="21" t="n">
        <f aca="false">ROUND(SQRT((F12*J12/100)^2+(G12*M12)^2),0)</f>
        <v>16</v>
      </c>
      <c r="P12" s="41" t="n">
        <v>-8.31206679094644</v>
      </c>
      <c r="Q12" s="42" t="n">
        <v>386</v>
      </c>
      <c r="R12" s="43" t="n">
        <f aca="false">MAX(0,MIN(1,P12/100+$D$5))</f>
        <v>0.44344653478541</v>
      </c>
      <c r="S12" s="43" t="n">
        <v>0.0610405690258335</v>
      </c>
      <c r="T12" s="44" t="s">
        <v>90</v>
      </c>
    </row>
    <row r="13" customFormat="false" ht="15" hidden="false" customHeight="false" outlineLevel="0" collapsed="false">
      <c r="A13" s="38" t="s">
        <v>87</v>
      </c>
      <c r="B13" s="38" t="s">
        <v>91</v>
      </c>
      <c r="C13" s="38" t="s">
        <v>91</v>
      </c>
      <c r="D13" s="21" t="n">
        <f aca="false">ROUND(Q13*R13,0)</f>
        <v>102</v>
      </c>
      <c r="E13" s="21" t="n">
        <f aca="false">ROUND(Q13,0)-D13</f>
        <v>212</v>
      </c>
      <c r="F13" s="21" t="n">
        <f aca="false">IF(COUNTA(D13:E13)=0,"",SUM(D13:E13))</f>
        <v>314</v>
      </c>
      <c r="G13" s="39" t="n">
        <f aca="false">IF(OR(F13="",F13=0),"",D13/F13)</f>
        <v>0.32484076433121</v>
      </c>
      <c r="H13" s="39" t="n">
        <f aca="false">IF(OR(F13="",F13=0),"",E13/F13)</f>
        <v>0.67515923566879</v>
      </c>
      <c r="I13" s="38" t="s">
        <v>89</v>
      </c>
      <c r="J13" s="40" t="n">
        <v>3.02608556967268</v>
      </c>
      <c r="K13" s="39" t="n">
        <f aca="false">IF(G13="","",MAX(0,G13-J13/100))</f>
        <v>0.294579908634483</v>
      </c>
      <c r="L13" s="39" t="n">
        <f aca="false">IF(G13="","",MIN(1,G13+J13/100))</f>
        <v>0.355101620027937</v>
      </c>
      <c r="M13" s="21" t="n">
        <f aca="false">ROUND(Q13*S13,0)</f>
        <v>19</v>
      </c>
      <c r="N13" s="21" t="n">
        <f aca="false">ROUND(SQRT((F13*J13/100)^2+(G13*M13)^2),0)</f>
        <v>11</v>
      </c>
      <c r="P13" s="41" t="n">
        <v>-20.2253657341129</v>
      </c>
      <c r="Q13" s="42" t="n">
        <v>314</v>
      </c>
      <c r="R13" s="43" t="n">
        <f aca="false">MAX(0,MIN(1,P13/100+$D$5))</f>
        <v>0.324313545353745</v>
      </c>
      <c r="S13" s="43" t="n">
        <v>0.0610405690258335</v>
      </c>
      <c r="T13" s="44" t="s">
        <v>90</v>
      </c>
    </row>
    <row r="14" customFormat="false" ht="15" hidden="false" customHeight="false" outlineLevel="0" collapsed="false">
      <c r="A14" s="38" t="s">
        <v>87</v>
      </c>
      <c r="B14" s="38" t="s">
        <v>92</v>
      </c>
      <c r="C14" s="38" t="s">
        <v>92</v>
      </c>
      <c r="D14" s="21" t="n">
        <f aca="false">ROUND(Q14*R14,0)</f>
        <v>125</v>
      </c>
      <c r="E14" s="21" t="n">
        <f aca="false">ROUND(Q14,0)-D14</f>
        <v>223</v>
      </c>
      <c r="F14" s="21" t="n">
        <f aca="false">IF(COUNTA(D14:E14)=0,"",SUM(D14:E14))</f>
        <v>348</v>
      </c>
      <c r="G14" s="39" t="n">
        <f aca="false">IF(OR(F14="",F14=0),"",D14/F14)</f>
        <v>0.359195402298851</v>
      </c>
      <c r="H14" s="39" t="n">
        <f aca="false">IF(OR(F14="",F14=0),"",E14/F14)</f>
        <v>0.640804597701149</v>
      </c>
      <c r="I14" s="38" t="s">
        <v>89</v>
      </c>
      <c r="J14" s="40" t="n">
        <v>3.02608556967268</v>
      </c>
      <c r="K14" s="39" t="n">
        <f aca="false">IF(G14="","",MAX(0,G14-J14/100))</f>
        <v>0.328934546602124</v>
      </c>
      <c r="L14" s="39" t="n">
        <f aca="false">IF(G14="","",MIN(1,G14+J14/100))</f>
        <v>0.389456257995577</v>
      </c>
      <c r="M14" s="21" t="n">
        <f aca="false">ROUND(Q14*S14,0)</f>
        <v>21</v>
      </c>
      <c r="N14" s="21" t="n">
        <f aca="false">ROUND(SQRT((F14*J14/100)^2+(G14*M14)^2),0)</f>
        <v>13</v>
      </c>
      <c r="P14" s="41" t="n">
        <v>-16.7275130667242</v>
      </c>
      <c r="Q14" s="42" t="n">
        <v>348</v>
      </c>
      <c r="R14" s="43" t="n">
        <f aca="false">MAX(0,MIN(1,P14/100+$D$5))</f>
        <v>0.359292072027632</v>
      </c>
      <c r="S14" s="43" t="n">
        <v>0.0610405690258335</v>
      </c>
      <c r="T14" s="44" t="s">
        <v>90</v>
      </c>
    </row>
    <row r="15" customFormat="false" ht="15" hidden="false" customHeight="false" outlineLevel="0" collapsed="false">
      <c r="A15" s="38" t="s">
        <v>87</v>
      </c>
      <c r="B15" s="38" t="s">
        <v>93</v>
      </c>
      <c r="C15" s="38" t="s">
        <v>94</v>
      </c>
      <c r="D15" s="21" t="n">
        <f aca="false">ROUND(Q15*R15,0)</f>
        <v>203</v>
      </c>
      <c r="E15" s="21" t="n">
        <f aca="false">ROUND(Q15,0)-D15</f>
        <v>495</v>
      </c>
      <c r="F15" s="21" t="n">
        <f aca="false">IF(COUNTA(D15:E15)=0,"",SUM(D15:E15))</f>
        <v>698</v>
      </c>
      <c r="G15" s="39" t="n">
        <f aca="false">IF(OR(F15="",F15=0),"",D15/F15)</f>
        <v>0.290830945558739</v>
      </c>
      <c r="H15" s="39" t="n">
        <f aca="false">IF(OR(F15="",F15=0),"",E15/F15)</f>
        <v>0.709169054441261</v>
      </c>
      <c r="I15" s="38" t="s">
        <v>89</v>
      </c>
      <c r="J15" s="40" t="n">
        <v>3.02608556967268</v>
      </c>
      <c r="K15" s="39" t="n">
        <f aca="false">IF(G15="","",MAX(0,G15-J15/100))</f>
        <v>0.260570089862012</v>
      </c>
      <c r="L15" s="39" t="n">
        <f aca="false">IF(G15="","",MIN(1,G15+J15/100))</f>
        <v>0.321091801255466</v>
      </c>
      <c r="M15" s="21" t="n">
        <f aca="false">ROUND(Q15*S15,0)</f>
        <v>43</v>
      </c>
      <c r="N15" s="21" t="n">
        <f aca="false">ROUND(SQRT((F15*J15/100)^2+(G15*M15)^2),0)</f>
        <v>25</v>
      </c>
      <c r="P15" s="41" t="n">
        <v>-23.5065137339274</v>
      </c>
      <c r="Q15" s="42" t="n">
        <v>698</v>
      </c>
      <c r="R15" s="43" t="n">
        <f aca="false">MAX(0,MIN(1,P15/100+$D$5))</f>
        <v>0.291502065355601</v>
      </c>
      <c r="S15" s="43" t="n">
        <v>0.0610405690258335</v>
      </c>
      <c r="T15" s="44" t="s">
        <v>90</v>
      </c>
    </row>
    <row r="16" customFormat="false" ht="15" hidden="false" customHeight="false" outlineLevel="0" collapsed="false">
      <c r="A16" s="38" t="s">
        <v>87</v>
      </c>
      <c r="B16" s="38" t="s">
        <v>93</v>
      </c>
      <c r="C16" s="38" t="s">
        <v>95</v>
      </c>
      <c r="D16" s="21" t="n">
        <f aca="false">ROUND(Q16*R16,0)</f>
        <v>192</v>
      </c>
      <c r="E16" s="21" t="n">
        <f aca="false">ROUND(Q16,0)-D16</f>
        <v>407</v>
      </c>
      <c r="F16" s="21" t="n">
        <f aca="false">IF(COUNTA(D16:E16)=0,"",SUM(D16:E16))</f>
        <v>599</v>
      </c>
      <c r="G16" s="39" t="n">
        <f aca="false">IF(OR(F16="",F16=0),"",D16/F16)</f>
        <v>0.320534223706177</v>
      </c>
      <c r="H16" s="39" t="n">
        <f aca="false">IF(OR(F16="",F16=0),"",E16/F16)</f>
        <v>0.679465776293823</v>
      </c>
      <c r="I16" s="38" t="s">
        <v>89</v>
      </c>
      <c r="J16" s="40" t="n">
        <v>3.02608556967268</v>
      </c>
      <c r="K16" s="39" t="n">
        <f aca="false">IF(G16="","",MAX(0,G16-J16/100))</f>
        <v>0.29027336800945</v>
      </c>
      <c r="L16" s="39" t="n">
        <f aca="false">IF(G16="","",MIN(1,G16+J16/100))</f>
        <v>0.350795079402904</v>
      </c>
      <c r="M16" s="21" t="n">
        <f aca="false">ROUND(Q16*S16,0)</f>
        <v>37</v>
      </c>
      <c r="N16" s="21" t="n">
        <f aca="false">ROUND(SQRT((F16*J16/100)^2+(G16*M16)^2),0)</f>
        <v>22</v>
      </c>
      <c r="P16" s="41" t="n">
        <v>-20.5282552259351</v>
      </c>
      <c r="Q16" s="42" t="n">
        <v>599</v>
      </c>
      <c r="R16" s="43" t="n">
        <f aca="false">MAX(0,MIN(1,P16/100+$D$5))</f>
        <v>0.321284650435523</v>
      </c>
      <c r="S16" s="43" t="n">
        <v>0.0610405690258335</v>
      </c>
      <c r="T16" s="44" t="s">
        <v>90</v>
      </c>
    </row>
    <row r="17" customFormat="false" ht="15" hidden="false" customHeight="false" outlineLevel="0" collapsed="false">
      <c r="A17" s="38" t="s">
        <v>87</v>
      </c>
      <c r="B17" s="38" t="s">
        <v>96</v>
      </c>
      <c r="C17" s="38" t="s">
        <v>96</v>
      </c>
      <c r="D17" s="21" t="n">
        <f aca="false">ROUND(Q17*R17,0)</f>
        <v>36</v>
      </c>
      <c r="E17" s="21" t="n">
        <f aca="false">ROUND(Q17,0)-D17</f>
        <v>58</v>
      </c>
      <c r="F17" s="21" t="n">
        <f aca="false">IF(COUNTA(D17:E17)=0,"",SUM(D17:E17))</f>
        <v>94</v>
      </c>
      <c r="G17" s="39" t="n">
        <f aca="false">IF(OR(F17="",F17=0),"",D17/F17)</f>
        <v>0.382978723404255</v>
      </c>
      <c r="H17" s="39" t="n">
        <f aca="false">IF(OR(F17="",F17=0),"",E17/F17)</f>
        <v>0.617021276595745</v>
      </c>
      <c r="I17" s="38" t="s">
        <v>89</v>
      </c>
      <c r="J17" s="40" t="n">
        <v>3.02608556967268</v>
      </c>
      <c r="K17" s="39" t="n">
        <f aca="false">IF(G17="","",MAX(0,G17-J17/100))</f>
        <v>0.352717867707529</v>
      </c>
      <c r="L17" s="39" t="n">
        <f aca="false">IF(G17="","",MIN(1,G17+J17/100))</f>
        <v>0.413239579100982</v>
      </c>
      <c r="M17" s="21" t="n">
        <f aca="false">ROUND(Q17*S17,0)</f>
        <v>6</v>
      </c>
      <c r="N17" s="21" t="n">
        <f aca="false">ROUND(SQRT((F17*J17/100)^2+(G17*M17)^2),0)</f>
        <v>4</v>
      </c>
      <c r="P17" s="41" t="n">
        <v>-14.6679409560011</v>
      </c>
      <c r="Q17" s="42" t="n">
        <v>94</v>
      </c>
      <c r="R17" s="43" t="n">
        <f aca="false">MAX(0,MIN(1,P17/100+$D$5))</f>
        <v>0.379887793134864</v>
      </c>
      <c r="S17" s="43" t="n">
        <v>0.0610405690258335</v>
      </c>
      <c r="T17" s="44" t="s">
        <v>90</v>
      </c>
    </row>
    <row r="18" customFormat="false" ht="15" hidden="false" customHeight="false" outlineLevel="0" collapsed="false">
      <c r="A18" s="38" t="s">
        <v>87</v>
      </c>
      <c r="B18" s="38" t="s">
        <v>97</v>
      </c>
      <c r="C18" s="38" t="s">
        <v>98</v>
      </c>
      <c r="D18" s="21" t="n">
        <f aca="false">ROUND(Q18*R18,0)</f>
        <v>271</v>
      </c>
      <c r="E18" s="21" t="n">
        <f aca="false">ROUND(Q18,0)-D18</f>
        <v>568</v>
      </c>
      <c r="F18" s="21" t="n">
        <f aca="false">IF(COUNTA(D18:E18)=0,"",SUM(D18:E18))</f>
        <v>839</v>
      </c>
      <c r="G18" s="39" t="n">
        <f aca="false">IF(OR(F18="",F18=0),"",D18/F18)</f>
        <v>0.32300357568534</v>
      </c>
      <c r="H18" s="39" t="n">
        <f aca="false">IF(OR(F18="",F18=0),"",E18/F18)</f>
        <v>0.67699642431466</v>
      </c>
      <c r="I18" s="38" t="s">
        <v>89</v>
      </c>
      <c r="J18" s="40" t="n">
        <v>1.8085538155628</v>
      </c>
      <c r="K18" s="39" t="n">
        <f aca="false">IF(G18="","",MAX(0,G18-J18/100))</f>
        <v>0.304918037529712</v>
      </c>
      <c r="L18" s="39" t="n">
        <f aca="false">IF(G18="","",MIN(1,G18+J18/100))</f>
        <v>0.341089113840968</v>
      </c>
      <c r="M18" s="21" t="n">
        <f aca="false">ROUND(Q18*S18,0)</f>
        <v>42</v>
      </c>
      <c r="N18" s="21" t="n">
        <f aca="false">ROUND(SQRT((F18*J18/100)^2+(G18*M18)^2),0)</f>
        <v>20</v>
      </c>
      <c r="P18" s="41" t="n">
        <v>-20.3776081058578</v>
      </c>
      <c r="Q18" s="42" t="n">
        <v>839</v>
      </c>
      <c r="R18" s="43" t="n">
        <f aca="false">MAX(0,MIN(1,P18/100+$D$5))</f>
        <v>0.322791121636297</v>
      </c>
      <c r="S18" s="43" t="n">
        <v>0.0500321312575726</v>
      </c>
      <c r="T18" s="44" t="s">
        <v>99</v>
      </c>
    </row>
    <row r="19" customFormat="false" ht="15" hidden="false" customHeight="false" outlineLevel="0" collapsed="false">
      <c r="A19" s="38" t="s">
        <v>87</v>
      </c>
      <c r="B19" s="38" t="s">
        <v>97</v>
      </c>
      <c r="C19" s="38" t="s">
        <v>100</v>
      </c>
      <c r="D19" s="21" t="n">
        <f aca="false">ROUND(Q19*R19,0)</f>
        <v>142</v>
      </c>
      <c r="E19" s="21" t="n">
        <f aca="false">ROUND(Q19,0)-D19</f>
        <v>312</v>
      </c>
      <c r="F19" s="21" t="n">
        <f aca="false">IF(COUNTA(D19:E19)=0,"",SUM(D19:E19))</f>
        <v>454</v>
      </c>
      <c r="G19" s="39" t="n">
        <f aca="false">IF(OR(F19="",F19=0),"",D19/F19)</f>
        <v>0.312775330396476</v>
      </c>
      <c r="H19" s="39" t="n">
        <f aca="false">IF(OR(F19="",F19=0),"",E19/F19)</f>
        <v>0.687224669603524</v>
      </c>
      <c r="I19" s="38" t="s">
        <v>89</v>
      </c>
      <c r="J19" s="40" t="n">
        <v>3.02608556967268</v>
      </c>
      <c r="K19" s="39" t="n">
        <f aca="false">IF(G19="","",MAX(0,G19-J19/100))</f>
        <v>0.282514474699749</v>
      </c>
      <c r="L19" s="39" t="n">
        <f aca="false">IF(G19="","",MIN(1,G19+J19/100))</f>
        <v>0.343036186093203</v>
      </c>
      <c r="M19" s="21" t="n">
        <f aca="false">ROUND(Q19*S19,0)</f>
        <v>28</v>
      </c>
      <c r="N19" s="21" t="n">
        <f aca="false">ROUND(SQRT((F19*J19/100)^2+(G19*M19)^2),0)</f>
        <v>16</v>
      </c>
      <c r="P19" s="41" t="n">
        <v>-21.3209919108534</v>
      </c>
      <c r="Q19" s="42" t="n">
        <v>454</v>
      </c>
      <c r="R19" s="43" t="n">
        <f aca="false">MAX(0,MIN(1,P19/100+$D$5))</f>
        <v>0.31335728358634</v>
      </c>
      <c r="S19" s="43" t="n">
        <v>0.0610405690258335</v>
      </c>
      <c r="T19" s="44" t="s">
        <v>90</v>
      </c>
    </row>
    <row r="20" customFormat="false" ht="15" hidden="false" customHeight="false" outlineLevel="0" collapsed="false">
      <c r="A20" s="38" t="s">
        <v>87</v>
      </c>
      <c r="B20" s="38" t="s">
        <v>97</v>
      </c>
      <c r="C20" s="38" t="s">
        <v>101</v>
      </c>
      <c r="D20" s="21" t="n">
        <f aca="false">ROUND(Q20*R20,0)</f>
        <v>207</v>
      </c>
      <c r="E20" s="21" t="n">
        <f aca="false">ROUND(Q20,0)-D20</f>
        <v>458</v>
      </c>
      <c r="F20" s="21" t="n">
        <f aca="false">IF(COUNTA(D20:E20)=0,"",SUM(D20:E20))</f>
        <v>665</v>
      </c>
      <c r="G20" s="39" t="n">
        <f aca="false">IF(OR(F20="",F20=0),"",D20/F20)</f>
        <v>0.311278195488722</v>
      </c>
      <c r="H20" s="39" t="n">
        <f aca="false">IF(OR(F20="",F20=0),"",E20/F20)</f>
        <v>0.688721804511278</v>
      </c>
      <c r="I20" s="38" t="s">
        <v>89</v>
      </c>
      <c r="J20" s="40" t="n">
        <v>3.02608556967268</v>
      </c>
      <c r="K20" s="39" t="n">
        <f aca="false">IF(G20="","",MAX(0,G20-J20/100))</f>
        <v>0.281017339791995</v>
      </c>
      <c r="L20" s="39" t="n">
        <f aca="false">IF(G20="","",MIN(1,G20+J20/100))</f>
        <v>0.341539051185449</v>
      </c>
      <c r="M20" s="21" t="n">
        <f aca="false">ROUND(Q20*S20,0)</f>
        <v>41</v>
      </c>
      <c r="N20" s="21" t="n">
        <f aca="false">ROUND(SQRT((F20*J20/100)^2+(G20*M20)^2),0)</f>
        <v>24</v>
      </c>
      <c r="P20" s="41" t="n">
        <v>-21.5298779635524</v>
      </c>
      <c r="Q20" s="42" t="n">
        <v>665</v>
      </c>
      <c r="R20" s="43" t="n">
        <f aca="false">MAX(0,MIN(1,P20/100+$D$5))</f>
        <v>0.311268423059351</v>
      </c>
      <c r="S20" s="43" t="n">
        <v>0.0610405690258335</v>
      </c>
      <c r="T20" s="44" t="s">
        <v>90</v>
      </c>
    </row>
    <row r="21" customFormat="false" ht="15" hidden="false" customHeight="false" outlineLevel="0" collapsed="false">
      <c r="A21" s="38" t="s">
        <v>87</v>
      </c>
      <c r="B21" s="38" t="s">
        <v>102</v>
      </c>
      <c r="C21" s="38" t="s">
        <v>103</v>
      </c>
      <c r="D21" s="21" t="n">
        <f aca="false">ROUND(Q21*R21,0)</f>
        <v>216</v>
      </c>
      <c r="E21" s="21" t="n">
        <f aca="false">ROUND(Q21,0)-D21</f>
        <v>224</v>
      </c>
      <c r="F21" s="21" t="n">
        <f aca="false">IF(COUNTA(D21:E21)=0,"",SUM(D21:E21))</f>
        <v>440</v>
      </c>
      <c r="G21" s="39" t="n">
        <f aca="false">IF(OR(F21="",F21=0),"",D21/F21)</f>
        <v>0.490909090909091</v>
      </c>
      <c r="H21" s="39" t="n">
        <f aca="false">IF(OR(F21="",F21=0),"",E21/F21)</f>
        <v>0.509090909090909</v>
      </c>
      <c r="I21" s="38" t="s">
        <v>89</v>
      </c>
      <c r="J21" s="40" t="n">
        <v>3.02608556967268</v>
      </c>
      <c r="K21" s="39" t="n">
        <f aca="false">IF(G21="","",MAX(0,G21-J21/100))</f>
        <v>0.460648235212364</v>
      </c>
      <c r="L21" s="39" t="n">
        <f aca="false">IF(G21="","",MIN(1,G21+J21/100))</f>
        <v>0.521169946605818</v>
      </c>
      <c r="M21" s="21" t="n">
        <f aca="false">ROUND(Q21*S21,0)</f>
        <v>27</v>
      </c>
      <c r="N21" s="21" t="n">
        <f aca="false">ROUND(SQRT((F21*J21/100)^2+(G21*M21)^2),0)</f>
        <v>19</v>
      </c>
      <c r="P21" s="41" t="n">
        <v>-3.61446593826244</v>
      </c>
      <c r="Q21" s="42" t="n">
        <v>440</v>
      </c>
      <c r="R21" s="43" t="n">
        <f aca="false">MAX(0,MIN(1,P21/100+$D$5))</f>
        <v>0.49042254331225</v>
      </c>
      <c r="S21" s="43" t="n">
        <v>0.0610405690258335</v>
      </c>
      <c r="T21" s="44" t="s">
        <v>90</v>
      </c>
    </row>
    <row r="22" customFormat="false" ht="15" hidden="false" customHeight="false" outlineLevel="0" collapsed="false">
      <c r="A22" s="38" t="s">
        <v>87</v>
      </c>
      <c r="B22" s="38" t="s">
        <v>102</v>
      </c>
      <c r="C22" s="38" t="s">
        <v>104</v>
      </c>
      <c r="D22" s="21" t="n">
        <f aca="false">ROUND(Q22*R22,0)</f>
        <v>140</v>
      </c>
      <c r="E22" s="21" t="n">
        <f aca="false">ROUND(Q22,0)-D22</f>
        <v>157</v>
      </c>
      <c r="F22" s="21" t="n">
        <f aca="false">IF(COUNTA(D22:E22)=0,"",SUM(D22:E22))</f>
        <v>297</v>
      </c>
      <c r="G22" s="39" t="n">
        <f aca="false">IF(OR(F22="",F22=0),"",D22/F22)</f>
        <v>0.471380471380471</v>
      </c>
      <c r="H22" s="39" t="n">
        <f aca="false">IF(OR(F22="",F22=0),"",E22/F22)</f>
        <v>0.528619528619529</v>
      </c>
      <c r="I22" s="38" t="s">
        <v>89</v>
      </c>
      <c r="J22" s="40" t="n">
        <v>3.02608556967268</v>
      </c>
      <c r="K22" s="39" t="n">
        <f aca="false">IF(G22="","",MAX(0,G22-J22/100))</f>
        <v>0.441119615683745</v>
      </c>
      <c r="L22" s="39" t="n">
        <f aca="false">IF(G22="","",MIN(1,G22+J22/100))</f>
        <v>0.501641327077198</v>
      </c>
      <c r="M22" s="21" t="n">
        <f aca="false">ROUND(Q22*S22,0)</f>
        <v>18</v>
      </c>
      <c r="N22" s="21" t="n">
        <f aca="false">ROUND(SQRT((F22*J22/100)^2+(G22*M22)^2),0)</f>
        <v>12</v>
      </c>
      <c r="P22" s="41" t="n">
        <v>-5.491425982044</v>
      </c>
      <c r="Q22" s="42" t="n">
        <v>297</v>
      </c>
      <c r="R22" s="43" t="n">
        <f aca="false">MAX(0,MIN(1,P22/100+$D$5))</f>
        <v>0.471652942874434</v>
      </c>
      <c r="S22" s="43" t="n">
        <v>0.0610405690258335</v>
      </c>
      <c r="T22" s="44" t="s">
        <v>90</v>
      </c>
    </row>
    <row r="23" customFormat="false" ht="15" hidden="false" customHeight="false" outlineLevel="0" collapsed="false">
      <c r="A23" s="38" t="s">
        <v>87</v>
      </c>
      <c r="B23" s="38" t="s">
        <v>102</v>
      </c>
      <c r="C23" s="38" t="s">
        <v>105</v>
      </c>
      <c r="D23" s="21" t="n">
        <f aca="false">ROUND(Q23*R23,0)</f>
        <v>267</v>
      </c>
      <c r="E23" s="21" t="n">
        <f aca="false">ROUND(Q23,0)-D23</f>
        <v>358</v>
      </c>
      <c r="F23" s="21" t="n">
        <f aca="false">IF(COUNTA(D23:E23)=0,"",SUM(D23:E23))</f>
        <v>625</v>
      </c>
      <c r="G23" s="39" t="n">
        <f aca="false">IF(OR(F23="",F23=0),"",D23/F23)</f>
        <v>0.4272</v>
      </c>
      <c r="H23" s="39" t="n">
        <f aca="false">IF(OR(F23="",F23=0),"",E23/F23)</f>
        <v>0.5728</v>
      </c>
      <c r="I23" s="38" t="s">
        <v>89</v>
      </c>
      <c r="J23" s="40" t="n">
        <v>3.02608556967268</v>
      </c>
      <c r="K23" s="39" t="n">
        <f aca="false">IF(G23="","",MAX(0,G23-J23/100))</f>
        <v>0.396939144303273</v>
      </c>
      <c r="L23" s="39" t="n">
        <f aca="false">IF(G23="","",MIN(1,G23+J23/100))</f>
        <v>0.457460855696727</v>
      </c>
      <c r="M23" s="21" t="n">
        <f aca="false">ROUND(Q23*S23,0)</f>
        <v>38</v>
      </c>
      <c r="N23" s="21" t="n">
        <f aca="false">ROUND(SQRT((F23*J23/100)^2+(G23*M23)^2),0)</f>
        <v>25</v>
      </c>
      <c r="P23" s="41" t="n">
        <v>-9.9574663523095</v>
      </c>
      <c r="Q23" s="42" t="n">
        <v>625</v>
      </c>
      <c r="R23" s="43" t="n">
        <f aca="false">MAX(0,MIN(1,P23/100+$D$5))</f>
        <v>0.426992539171779</v>
      </c>
      <c r="S23" s="43" t="n">
        <v>0.0610405690258335</v>
      </c>
      <c r="T23" s="44" t="s">
        <v>90</v>
      </c>
    </row>
    <row r="24" customFormat="false" ht="15" hidden="false" customHeight="false" outlineLevel="0" collapsed="false">
      <c r="A24" s="38" t="s">
        <v>87</v>
      </c>
      <c r="B24" s="38" t="s">
        <v>102</v>
      </c>
      <c r="C24" s="38" t="s">
        <v>106</v>
      </c>
      <c r="D24" s="21" t="n">
        <f aca="false">ROUND(Q24*R24,0)</f>
        <v>138</v>
      </c>
      <c r="E24" s="21" t="n">
        <f aca="false">ROUND(Q24,0)-D24</f>
        <v>111</v>
      </c>
      <c r="F24" s="21" t="n">
        <f aca="false">IF(COUNTA(D24:E24)=0,"",SUM(D24:E24))</f>
        <v>249</v>
      </c>
      <c r="G24" s="39" t="n">
        <f aca="false">IF(OR(F24="",F24=0),"",D24/F24)</f>
        <v>0.55421686746988</v>
      </c>
      <c r="H24" s="39" t="n">
        <f aca="false">IF(OR(F24="",F24=0),"",E24/F24)</f>
        <v>0.445783132530121</v>
      </c>
      <c r="I24" s="38" t="s">
        <v>89</v>
      </c>
      <c r="J24" s="40" t="n">
        <v>3.02608556967268</v>
      </c>
      <c r="K24" s="39" t="n">
        <f aca="false">IF(G24="","",MAX(0,G24-J24/100))</f>
        <v>0.523956011773153</v>
      </c>
      <c r="L24" s="39" t="n">
        <f aca="false">IF(G24="","",MIN(1,G24+J24/100))</f>
        <v>0.584477723166606</v>
      </c>
      <c r="M24" s="21" t="n">
        <f aca="false">ROUND(Q24*S24,0)</f>
        <v>15</v>
      </c>
      <c r="N24" s="21" t="n">
        <f aca="false">ROUND(SQRT((F24*J24/100)^2+(G24*M24)^2),0)</f>
        <v>11</v>
      </c>
      <c r="P24" s="41" t="n">
        <v>2.61270539267149</v>
      </c>
      <c r="Q24" s="42" t="n">
        <v>249</v>
      </c>
      <c r="R24" s="43" t="n">
        <f aca="false">MAX(0,MIN(1,P24/100+$D$5))</f>
        <v>0.552694256621589</v>
      </c>
      <c r="S24" s="43" t="n">
        <v>0.0610405690258335</v>
      </c>
      <c r="T24" s="44" t="s">
        <v>90</v>
      </c>
    </row>
    <row r="25" customFormat="false" ht="15" hidden="false" customHeight="false" outlineLevel="0" collapsed="false">
      <c r="A25" s="38" t="s">
        <v>87</v>
      </c>
      <c r="B25" s="38" t="s">
        <v>102</v>
      </c>
      <c r="C25" s="38" t="s">
        <v>107</v>
      </c>
      <c r="D25" s="21" t="n">
        <f aca="false">ROUND(Q25*R25,0)</f>
        <v>260</v>
      </c>
      <c r="E25" s="21" t="n">
        <f aca="false">ROUND(Q25,0)-D25</f>
        <v>265</v>
      </c>
      <c r="F25" s="21" t="n">
        <f aca="false">IF(COUNTA(D25:E25)=0,"",SUM(D25:E25))</f>
        <v>525</v>
      </c>
      <c r="G25" s="39" t="n">
        <f aca="false">IF(OR(F25="",F25=0),"",D25/F25)</f>
        <v>0.495238095238095</v>
      </c>
      <c r="H25" s="39" t="n">
        <f aca="false">IF(OR(F25="",F25=0),"",E25/F25)</f>
        <v>0.504761904761905</v>
      </c>
      <c r="I25" s="38" t="s">
        <v>89</v>
      </c>
      <c r="J25" s="40" t="n">
        <v>3.02608556967268</v>
      </c>
      <c r="K25" s="39" t="n">
        <f aca="false">IF(G25="","",MAX(0,G25-J25/100))</f>
        <v>0.464977239541368</v>
      </c>
      <c r="L25" s="39" t="n">
        <f aca="false">IF(G25="","",MIN(1,G25+J25/100))</f>
        <v>0.525498950934822</v>
      </c>
      <c r="M25" s="21" t="n">
        <f aca="false">ROUND(Q25*S25,0)</f>
        <v>32</v>
      </c>
      <c r="N25" s="21" t="n">
        <f aca="false">ROUND(SQRT((F25*J25/100)^2+(G25*M25)^2),0)</f>
        <v>22</v>
      </c>
      <c r="P25" s="41" t="n">
        <v>-3.08889589374106</v>
      </c>
      <c r="Q25" s="42" t="n">
        <v>525</v>
      </c>
      <c r="R25" s="43" t="n">
        <f aca="false">MAX(0,MIN(1,P25/100+$D$5))</f>
        <v>0.495678243757464</v>
      </c>
      <c r="S25" s="43" t="n">
        <v>0.0610405690258335</v>
      </c>
      <c r="T25" s="44" t="s">
        <v>90</v>
      </c>
    </row>
    <row r="26" customFormat="false" ht="15" hidden="false" customHeight="false" outlineLevel="0" collapsed="false">
      <c r="A26" s="38" t="s">
        <v>87</v>
      </c>
      <c r="B26" s="38" t="s">
        <v>108</v>
      </c>
      <c r="C26" s="38" t="s">
        <v>109</v>
      </c>
      <c r="D26" s="21" t="n">
        <f aca="false">ROUND(Q26*R26,0)</f>
        <v>99</v>
      </c>
      <c r="E26" s="21" t="n">
        <f aca="false">ROUND(Q26,0)-D26</f>
        <v>151</v>
      </c>
      <c r="F26" s="21" t="n">
        <f aca="false">IF(COUNTA(D26:E26)=0,"",SUM(D26:E26))</f>
        <v>250</v>
      </c>
      <c r="G26" s="39" t="n">
        <f aca="false">IF(OR(F26="",F26=0),"",D26/F26)</f>
        <v>0.396</v>
      </c>
      <c r="H26" s="39" t="n">
        <f aca="false">IF(OR(F26="",F26=0),"",E26/F26)</f>
        <v>0.604</v>
      </c>
      <c r="I26" s="38" t="s">
        <v>89</v>
      </c>
      <c r="J26" s="40" t="n">
        <v>3.02608556967268</v>
      </c>
      <c r="K26" s="39" t="n">
        <f aca="false">IF(G26="","",MAX(0,G26-J26/100))</f>
        <v>0.365739144303273</v>
      </c>
      <c r="L26" s="39" t="n">
        <f aca="false">IF(G26="","",MIN(1,G26+J26/100))</f>
        <v>0.426260855696727</v>
      </c>
      <c r="M26" s="21" t="n">
        <f aca="false">ROUND(Q26*S26,0)</f>
        <v>15</v>
      </c>
      <c r="N26" s="21" t="n">
        <f aca="false">ROUND(SQRT((F26*J26/100)^2+(G26*M26)^2),0)</f>
        <v>10</v>
      </c>
      <c r="P26" s="41" t="n">
        <v>-13.0802032645859</v>
      </c>
      <c r="Q26" s="42" t="n">
        <v>250</v>
      </c>
      <c r="R26" s="43" t="n">
        <f aca="false">MAX(0,MIN(1,P26/100+$D$5))</f>
        <v>0.395765170049015</v>
      </c>
      <c r="S26" s="43" t="n">
        <v>0.0610405690258335</v>
      </c>
      <c r="T26" s="44" t="s">
        <v>90</v>
      </c>
    </row>
    <row r="27" customFormat="false" ht="15" hidden="false" customHeight="false" outlineLevel="0" collapsed="false">
      <c r="A27" s="38" t="s">
        <v>87</v>
      </c>
      <c r="B27" s="38" t="s">
        <v>108</v>
      </c>
      <c r="C27" s="38" t="s">
        <v>110</v>
      </c>
      <c r="D27" s="21" t="n">
        <f aca="false">ROUND(Q27*R27,0)</f>
        <v>213</v>
      </c>
      <c r="E27" s="21" t="n">
        <f aca="false">ROUND(Q27,0)-D27</f>
        <v>374</v>
      </c>
      <c r="F27" s="21" t="n">
        <f aca="false">IF(COUNTA(D27:E27)=0,"",SUM(D27:E27))</f>
        <v>587</v>
      </c>
      <c r="G27" s="39" t="n">
        <f aca="false">IF(OR(F27="",F27=0),"",D27/F27)</f>
        <v>0.362862010221465</v>
      </c>
      <c r="H27" s="39" t="n">
        <f aca="false">IF(OR(F27="",F27=0),"",E27/F27)</f>
        <v>0.637137989778535</v>
      </c>
      <c r="I27" s="38" t="s">
        <v>89</v>
      </c>
      <c r="J27" s="40" t="n">
        <v>3.02608556967268</v>
      </c>
      <c r="K27" s="39" t="n">
        <f aca="false">IF(G27="","",MAX(0,G27-J27/100))</f>
        <v>0.332601154524738</v>
      </c>
      <c r="L27" s="39" t="n">
        <f aca="false">IF(G27="","",MIN(1,G27+J27/100))</f>
        <v>0.393122865918192</v>
      </c>
      <c r="M27" s="21" t="n">
        <f aca="false">ROUND(Q27*S27,0)</f>
        <v>36</v>
      </c>
      <c r="N27" s="21" t="n">
        <f aca="false">ROUND(SQRT((F27*J27/100)^2+(G27*M27)^2),0)</f>
        <v>22</v>
      </c>
      <c r="P27" s="41" t="n">
        <v>-16.3681352924679</v>
      </c>
      <c r="Q27" s="42" t="n">
        <v>587</v>
      </c>
      <c r="R27" s="43" t="n">
        <f aca="false">MAX(0,MIN(1,P27/100+$D$5))</f>
        <v>0.362885849770196</v>
      </c>
      <c r="S27" s="43" t="n">
        <v>0.0610405690258335</v>
      </c>
      <c r="T27" s="44" t="s">
        <v>90</v>
      </c>
    </row>
    <row r="28" customFormat="false" ht="15" hidden="false" customHeight="false" outlineLevel="0" collapsed="false">
      <c r="A28" s="38" t="s">
        <v>87</v>
      </c>
      <c r="B28" s="38" t="s">
        <v>111</v>
      </c>
      <c r="C28" s="38" t="s">
        <v>112</v>
      </c>
      <c r="D28" s="21" t="n">
        <f aca="false">ROUND(Q28*R28,0)</f>
        <v>214</v>
      </c>
      <c r="E28" s="21" t="n">
        <f aca="false">ROUND(Q28,0)-D28</f>
        <v>269</v>
      </c>
      <c r="F28" s="21" t="n">
        <f aca="false">IF(COUNTA(D28:E28)=0,"",SUM(D28:E28))</f>
        <v>483</v>
      </c>
      <c r="G28" s="39" t="n">
        <f aca="false">IF(OR(F28="",F28=0),"",D28/F28)</f>
        <v>0.443064182194617</v>
      </c>
      <c r="H28" s="39" t="n">
        <f aca="false">IF(OR(F28="",F28=0),"",E28/F28)</f>
        <v>0.556935817805383</v>
      </c>
      <c r="I28" s="38" t="s">
        <v>89</v>
      </c>
      <c r="J28" s="40" t="n">
        <v>3.02608556967268</v>
      </c>
      <c r="K28" s="39" t="n">
        <f aca="false">IF(G28="","",MAX(0,G28-J28/100))</f>
        <v>0.41280332649789</v>
      </c>
      <c r="L28" s="39" t="n">
        <f aca="false">IF(G28="","",MIN(1,G28+J28/100))</f>
        <v>0.473325037891344</v>
      </c>
      <c r="M28" s="21" t="n">
        <f aca="false">ROUND(Q28*S28,0)</f>
        <v>29</v>
      </c>
      <c r="N28" s="21" t="n">
        <f aca="false">ROUND(SQRT((F28*J28/100)^2+(G28*M28)^2),0)</f>
        <v>19</v>
      </c>
      <c r="P28" s="41" t="n">
        <v>-8.35102535817493</v>
      </c>
      <c r="Q28" s="42" t="n">
        <v>483</v>
      </c>
      <c r="R28" s="43" t="n">
        <f aca="false">MAX(0,MIN(1,P28/100+$D$5))</f>
        <v>0.443056949113125</v>
      </c>
      <c r="S28" s="43" t="n">
        <v>0.0610405690258335</v>
      </c>
      <c r="T28" s="44" t="s">
        <v>90</v>
      </c>
    </row>
    <row r="29" customFormat="false" ht="15" hidden="false" customHeight="false" outlineLevel="0" collapsed="false">
      <c r="A29" s="38" t="s">
        <v>87</v>
      </c>
      <c r="B29" s="38" t="s">
        <v>111</v>
      </c>
      <c r="C29" s="38" t="s">
        <v>113</v>
      </c>
      <c r="D29" s="21" t="n">
        <f aca="false">ROUND(Q29*R29,0)</f>
        <v>126</v>
      </c>
      <c r="E29" s="21" t="n">
        <f aca="false">ROUND(Q29,0)-D29</f>
        <v>161</v>
      </c>
      <c r="F29" s="21" t="n">
        <f aca="false">IF(COUNTA(D29:E29)=0,"",SUM(D29:E29))</f>
        <v>287</v>
      </c>
      <c r="G29" s="39" t="n">
        <f aca="false">IF(OR(F29="",F29=0),"",D29/F29)</f>
        <v>0.439024390243902</v>
      </c>
      <c r="H29" s="39" t="n">
        <f aca="false">IF(OR(F29="",F29=0),"",E29/F29)</f>
        <v>0.560975609756098</v>
      </c>
      <c r="I29" s="38" t="s">
        <v>89</v>
      </c>
      <c r="J29" s="40" t="n">
        <v>3.02608556967268</v>
      </c>
      <c r="K29" s="39" t="n">
        <f aca="false">IF(G29="","",MAX(0,G29-J29/100))</f>
        <v>0.408763534547176</v>
      </c>
      <c r="L29" s="39" t="n">
        <f aca="false">IF(G29="","",MIN(1,G29+J29/100))</f>
        <v>0.469285245940629</v>
      </c>
      <c r="M29" s="21" t="n">
        <f aca="false">ROUND(Q29*S29,0)</f>
        <v>18</v>
      </c>
      <c r="N29" s="21" t="n">
        <f aca="false">ROUND(SQRT((F29*J29/100)^2+(G29*M29)^2),0)</f>
        <v>12</v>
      </c>
      <c r="P29" s="41" t="n">
        <v>-8.83217155013314</v>
      </c>
      <c r="Q29" s="42" t="n">
        <v>287</v>
      </c>
      <c r="R29" s="43" t="n">
        <f aca="false">MAX(0,MIN(1,P29/100+$D$5))</f>
        <v>0.438245487193543</v>
      </c>
      <c r="S29" s="43" t="n">
        <v>0.0610405690258335</v>
      </c>
      <c r="T29" s="44" t="s">
        <v>90</v>
      </c>
    </row>
    <row r="30" customFormat="false" ht="15" hidden="false" customHeight="false" outlineLevel="0" collapsed="false">
      <c r="A30" s="38" t="s">
        <v>87</v>
      </c>
      <c r="B30" s="38" t="s">
        <v>111</v>
      </c>
      <c r="C30" s="38" t="s">
        <v>114</v>
      </c>
      <c r="D30" s="21" t="n">
        <f aca="false">ROUND(Q30*R30,0)</f>
        <v>105</v>
      </c>
      <c r="E30" s="21" t="n">
        <f aca="false">ROUND(Q30,0)-D30</f>
        <v>125</v>
      </c>
      <c r="F30" s="21" t="n">
        <f aca="false">IF(COUNTA(D30:E30)=0,"",SUM(D30:E30))</f>
        <v>230</v>
      </c>
      <c r="G30" s="39" t="n">
        <f aca="false">IF(OR(F30="",F30=0),"",D30/F30)</f>
        <v>0.456521739130435</v>
      </c>
      <c r="H30" s="39" t="n">
        <f aca="false">IF(OR(F30="",F30=0),"",E30/F30)</f>
        <v>0.543478260869565</v>
      </c>
      <c r="I30" s="38" t="s">
        <v>89</v>
      </c>
      <c r="J30" s="40" t="n">
        <v>3.02608556967268</v>
      </c>
      <c r="K30" s="39" t="n">
        <f aca="false">IF(G30="","",MAX(0,G30-J30/100))</f>
        <v>0.426260883433708</v>
      </c>
      <c r="L30" s="39" t="n">
        <f aca="false">IF(G30="","",MIN(1,G30+J30/100))</f>
        <v>0.486782594827162</v>
      </c>
      <c r="M30" s="21" t="n">
        <f aca="false">ROUND(Q30*S30,0)</f>
        <v>14</v>
      </c>
      <c r="N30" s="21" t="n">
        <f aca="false">ROUND(SQRT((F30*J30/100)^2+(G30*M30)^2),0)</f>
        <v>9</v>
      </c>
      <c r="P30" s="41" t="n">
        <v>-6.82503443998296</v>
      </c>
      <c r="Q30" s="42" t="n">
        <v>230</v>
      </c>
      <c r="R30" s="43" t="n">
        <f aca="false">MAX(0,MIN(1,P30/100+$D$5))</f>
        <v>0.458316858295045</v>
      </c>
      <c r="S30" s="43" t="n">
        <v>0.0610405690258335</v>
      </c>
      <c r="T30" s="44" t="s">
        <v>90</v>
      </c>
    </row>
    <row r="31" customFormat="false" ht="15" hidden="false" customHeight="false" outlineLevel="0" collapsed="false">
      <c r="A31" s="38" t="s">
        <v>87</v>
      </c>
      <c r="B31" s="38" t="s">
        <v>115</v>
      </c>
      <c r="C31" s="38" t="s">
        <v>115</v>
      </c>
      <c r="D31" s="21" t="n">
        <f aca="false">ROUND(Q31*R31,0)</f>
        <v>35</v>
      </c>
      <c r="E31" s="21" t="n">
        <f aca="false">ROUND(Q31,0)-D31</f>
        <v>80</v>
      </c>
      <c r="F31" s="21" t="n">
        <f aca="false">IF(COUNTA(D31:E31)=0,"",SUM(D31:E31))</f>
        <v>115</v>
      </c>
      <c r="G31" s="39" t="n">
        <f aca="false">IF(OR(F31="",F31=0),"",D31/F31)</f>
        <v>0.304347826086957</v>
      </c>
      <c r="H31" s="39" t="n">
        <f aca="false">IF(OR(F31="",F31=0),"",E31/F31)</f>
        <v>0.695652173913044</v>
      </c>
      <c r="I31" s="38" t="s">
        <v>89</v>
      </c>
      <c r="J31" s="40" t="n">
        <v>3.02608556967268</v>
      </c>
      <c r="K31" s="39" t="n">
        <f aca="false">IF(G31="","",MAX(0,G31-J31/100))</f>
        <v>0.27408697039023</v>
      </c>
      <c r="L31" s="39" t="n">
        <f aca="false">IF(G31="","",MIN(1,G31+J31/100))</f>
        <v>0.334608681783683</v>
      </c>
      <c r="M31" s="21" t="n">
        <f aca="false">ROUND(Q31*S31,0)</f>
        <v>7</v>
      </c>
      <c r="N31" s="21" t="n">
        <f aca="false">ROUND(SQRT((F31*J31/100)^2+(G31*M31)^2),0)</f>
        <v>4</v>
      </c>
      <c r="P31" s="41" t="n">
        <v>-22.1117189433541</v>
      </c>
      <c r="Q31" s="42" t="n">
        <v>115</v>
      </c>
      <c r="R31" s="43" t="n">
        <f aca="false">MAX(0,MIN(1,P31/100+$D$5))</f>
        <v>0.305450013261334</v>
      </c>
      <c r="S31" s="43" t="n">
        <v>0.0610405690258335</v>
      </c>
      <c r="T31" s="44" t="s">
        <v>90</v>
      </c>
    </row>
    <row r="32" customFormat="false" ht="15" hidden="false" customHeight="false" outlineLevel="0" collapsed="false">
      <c r="A32" s="38" t="s">
        <v>87</v>
      </c>
      <c r="B32" s="38" t="s">
        <v>116</v>
      </c>
      <c r="C32" s="38" t="s">
        <v>116</v>
      </c>
      <c r="D32" s="21" t="n">
        <f aca="false">ROUND(Q32*R32,0)</f>
        <v>60</v>
      </c>
      <c r="E32" s="21" t="n">
        <f aca="false">ROUND(Q32,0)-D32</f>
        <v>181</v>
      </c>
      <c r="F32" s="21" t="n">
        <f aca="false">IF(COUNTA(D32:E32)=0,"",SUM(D32:E32))</f>
        <v>241</v>
      </c>
      <c r="G32" s="39" t="n">
        <f aca="false">IF(OR(F32="",F32=0),"",D32/F32)</f>
        <v>0.24896265560166</v>
      </c>
      <c r="H32" s="39" t="n">
        <f aca="false">IF(OR(F32="",F32=0),"",E32/F32)</f>
        <v>0.75103734439834</v>
      </c>
      <c r="I32" s="38" t="s">
        <v>89</v>
      </c>
      <c r="J32" s="40" t="n">
        <v>3.02608556967268</v>
      </c>
      <c r="K32" s="39" t="n">
        <f aca="false">IF(G32="","",MAX(0,G32-J32/100))</f>
        <v>0.218701799904933</v>
      </c>
      <c r="L32" s="39" t="n">
        <f aca="false">IF(G32="","",MIN(1,G32+J32/100))</f>
        <v>0.279223511298387</v>
      </c>
      <c r="M32" s="21" t="n">
        <f aca="false">ROUND(Q32*S32,0)</f>
        <v>15</v>
      </c>
      <c r="N32" s="21" t="n">
        <f aca="false">ROUND(SQRT((F32*J32/100)^2+(G32*M32)^2),0)</f>
        <v>8</v>
      </c>
      <c r="P32" s="41" t="n">
        <v>-27.6888492733451</v>
      </c>
      <c r="Q32" s="42" t="n">
        <v>241</v>
      </c>
      <c r="R32" s="43" t="n">
        <f aca="false">MAX(0,MIN(1,P32/100+$D$5))</f>
        <v>0.249678709961424</v>
      </c>
      <c r="S32" s="43" t="n">
        <v>0.0610405690258335</v>
      </c>
      <c r="T32" s="44" t="s">
        <v>90</v>
      </c>
    </row>
    <row r="33" customFormat="false" ht="15" hidden="false" customHeight="false" outlineLevel="0" collapsed="false">
      <c r="A33" s="38" t="s">
        <v>87</v>
      </c>
      <c r="B33" s="38" t="s">
        <v>117</v>
      </c>
      <c r="C33" s="38" t="s">
        <v>118</v>
      </c>
      <c r="D33" s="21" t="n">
        <f aca="false">ROUND(Q33*R33,0)</f>
        <v>245</v>
      </c>
      <c r="E33" s="21" t="n">
        <f aca="false">ROUND(Q33,0)-D33</f>
        <v>321</v>
      </c>
      <c r="F33" s="21" t="n">
        <f aca="false">IF(COUNTA(D33:E33)=0,"",SUM(D33:E33))</f>
        <v>566</v>
      </c>
      <c r="G33" s="39" t="n">
        <f aca="false">IF(OR(F33="",F33=0),"",D33/F33)</f>
        <v>0.432862190812721</v>
      </c>
      <c r="H33" s="39" t="n">
        <f aca="false">IF(OR(F33="",F33=0),"",E33/F33)</f>
        <v>0.567137809187279</v>
      </c>
      <c r="I33" s="38" t="s">
        <v>89</v>
      </c>
      <c r="J33" s="40" t="n">
        <v>3.02608556967268</v>
      </c>
      <c r="K33" s="39" t="n">
        <f aca="false">IF(G33="","",MAX(0,G33-J33/100))</f>
        <v>0.402601335115994</v>
      </c>
      <c r="L33" s="39" t="n">
        <f aca="false">IF(G33="","",MIN(1,G33+J33/100))</f>
        <v>0.463123046509448</v>
      </c>
      <c r="M33" s="21" t="n">
        <f aca="false">ROUND(Q33*S33,0)</f>
        <v>35</v>
      </c>
      <c r="N33" s="21" t="n">
        <f aca="false">ROUND(SQRT((F33*J33/100)^2+(G33*M33)^2),0)</f>
        <v>23</v>
      </c>
      <c r="P33" s="41" t="n">
        <v>-9.32054120071847</v>
      </c>
      <c r="Q33" s="42" t="n">
        <v>566</v>
      </c>
      <c r="R33" s="43" t="n">
        <f aca="false">MAX(0,MIN(1,P33/100+$D$5))</f>
        <v>0.43336179068769</v>
      </c>
      <c r="S33" s="43" t="n">
        <v>0.0610405690258335</v>
      </c>
      <c r="T33" s="44" t="s">
        <v>90</v>
      </c>
    </row>
    <row r="34" customFormat="false" ht="15" hidden="false" customHeight="false" outlineLevel="0" collapsed="false">
      <c r="A34" s="38" t="s">
        <v>87</v>
      </c>
      <c r="B34" s="38" t="s">
        <v>117</v>
      </c>
      <c r="C34" s="38" t="s">
        <v>119</v>
      </c>
      <c r="D34" s="21" t="n">
        <f aca="false">ROUND(Q34*R34,0)</f>
        <v>223</v>
      </c>
      <c r="E34" s="21" t="n">
        <f aca="false">ROUND(Q34,0)-D34</f>
        <v>304</v>
      </c>
      <c r="F34" s="21" t="n">
        <f aca="false">IF(COUNTA(D34:E34)=0,"",SUM(D34:E34))</f>
        <v>527</v>
      </c>
      <c r="G34" s="39" t="n">
        <f aca="false">IF(OR(F34="",F34=0),"",D34/F34)</f>
        <v>0.42314990512334</v>
      </c>
      <c r="H34" s="39" t="n">
        <f aca="false">IF(OR(F34="",F34=0),"",E34/F34)</f>
        <v>0.57685009487666</v>
      </c>
      <c r="I34" s="38" t="s">
        <v>89</v>
      </c>
      <c r="J34" s="40" t="n">
        <v>3.02608556967268</v>
      </c>
      <c r="K34" s="39" t="n">
        <f aca="false">IF(G34="","",MAX(0,G34-J34/100))</f>
        <v>0.392889049426613</v>
      </c>
      <c r="L34" s="39" t="n">
        <f aca="false">IF(G34="","",MIN(1,G34+J34/100))</f>
        <v>0.453410760820067</v>
      </c>
      <c r="M34" s="21" t="n">
        <f aca="false">ROUND(Q34*S34,0)</f>
        <v>32</v>
      </c>
      <c r="N34" s="21" t="n">
        <f aca="false">ROUND(SQRT((F34*J34/100)^2+(G34*M34)^2),0)</f>
        <v>21</v>
      </c>
      <c r="P34" s="41" t="n">
        <v>-10.2838958061478</v>
      </c>
      <c r="Q34" s="42" t="n">
        <v>527</v>
      </c>
      <c r="R34" s="43" t="n">
        <f aca="false">MAX(0,MIN(1,P34/100+$D$5))</f>
        <v>0.423728244633396</v>
      </c>
      <c r="S34" s="43" t="n">
        <v>0.0610405690258335</v>
      </c>
      <c r="T34" s="44" t="s">
        <v>90</v>
      </c>
    </row>
    <row r="35" customFormat="false" ht="15" hidden="false" customHeight="false" outlineLevel="0" collapsed="false">
      <c r="A35" s="38" t="s">
        <v>87</v>
      </c>
      <c r="B35" s="38" t="s">
        <v>117</v>
      </c>
      <c r="C35" s="38" t="s">
        <v>120</v>
      </c>
      <c r="D35" s="21" t="n">
        <f aca="false">ROUND(Q35*R35,0)</f>
        <v>243</v>
      </c>
      <c r="E35" s="21" t="n">
        <f aca="false">ROUND(Q35,0)-D35</f>
        <v>331</v>
      </c>
      <c r="F35" s="21" t="n">
        <f aca="false">IF(COUNTA(D35:E35)=0,"",SUM(D35:E35))</f>
        <v>574</v>
      </c>
      <c r="G35" s="39" t="n">
        <f aca="false">IF(OR(F35="",F35=0),"",D35/F35)</f>
        <v>0.423344947735192</v>
      </c>
      <c r="H35" s="39" t="n">
        <f aca="false">IF(OR(F35="",F35=0),"",E35/F35)</f>
        <v>0.576655052264808</v>
      </c>
      <c r="I35" s="38" t="s">
        <v>89</v>
      </c>
      <c r="J35" s="40" t="n">
        <v>3.02608556967268</v>
      </c>
      <c r="K35" s="39" t="n">
        <f aca="false">IF(G35="","",MAX(0,G35-J35/100))</f>
        <v>0.393084092038465</v>
      </c>
      <c r="L35" s="39" t="n">
        <f aca="false">IF(G35="","",MIN(1,G35+J35/100))</f>
        <v>0.453605803431919</v>
      </c>
      <c r="M35" s="21" t="n">
        <f aca="false">ROUND(Q35*S35,0)</f>
        <v>35</v>
      </c>
      <c r="N35" s="21" t="n">
        <f aca="false">ROUND(SQRT((F35*J35/100)^2+(G35*M35)^2),0)</f>
        <v>23</v>
      </c>
      <c r="P35" s="41" t="n">
        <v>-10.2643979198174</v>
      </c>
      <c r="Q35" s="42" t="n">
        <v>574</v>
      </c>
      <c r="R35" s="43" t="n">
        <f aca="false">MAX(0,MIN(1,P35/100+$D$5))</f>
        <v>0.423923223496701</v>
      </c>
      <c r="S35" s="43" t="n">
        <v>0.0610405690258335</v>
      </c>
      <c r="T35" s="44" t="s">
        <v>90</v>
      </c>
    </row>
    <row r="36" customFormat="false" ht="15" hidden="false" customHeight="false" outlineLevel="0" collapsed="false">
      <c r="A36" s="38" t="s">
        <v>87</v>
      </c>
      <c r="B36" s="38" t="s">
        <v>121</v>
      </c>
      <c r="C36" s="38" t="s">
        <v>122</v>
      </c>
      <c r="D36" s="21" t="n">
        <f aca="false">ROUND(Q36*R36,0)</f>
        <v>262</v>
      </c>
      <c r="E36" s="21" t="n">
        <f aca="false">ROUND(Q36,0)-D36</f>
        <v>537</v>
      </c>
      <c r="F36" s="21" t="n">
        <f aca="false">IF(COUNTA(D36:E36)=0,"",SUM(D36:E36))</f>
        <v>799</v>
      </c>
      <c r="G36" s="39" t="n">
        <f aca="false">IF(OR(F36="",F36=0),"",D36/F36)</f>
        <v>0.327909887359199</v>
      </c>
      <c r="H36" s="39" t="n">
        <f aca="false">IF(OR(F36="",F36=0),"",E36/F36)</f>
        <v>0.672090112640801</v>
      </c>
      <c r="I36" s="38" t="s">
        <v>89</v>
      </c>
      <c r="J36" s="40" t="n">
        <v>1.8085538155628</v>
      </c>
      <c r="K36" s="39" t="n">
        <f aca="false">IF(G36="","",MAX(0,G36-J36/100))</f>
        <v>0.309824349203571</v>
      </c>
      <c r="L36" s="39" t="n">
        <f aca="false">IF(G36="","",MIN(1,G36+J36/100))</f>
        <v>0.345995425514827</v>
      </c>
      <c r="M36" s="21" t="n">
        <f aca="false">ROUND(Q36*S36,0)</f>
        <v>40</v>
      </c>
      <c r="N36" s="21" t="n">
        <f aca="false">ROUND(SQRT((F36*J36/100)^2+(G36*M36)^2),0)</f>
        <v>20</v>
      </c>
      <c r="P36" s="41" t="n">
        <v>-19.8668426417543</v>
      </c>
      <c r="Q36" s="42" t="n">
        <v>799</v>
      </c>
      <c r="R36" s="43" t="n">
        <f aca="false">MAX(0,MIN(1,P36/100+$D$5))</f>
        <v>0.327898776277331</v>
      </c>
      <c r="S36" s="43" t="n">
        <v>0.0500321312575726</v>
      </c>
      <c r="T36" s="44" t="s">
        <v>99</v>
      </c>
    </row>
    <row r="37" customFormat="false" ht="15" hidden="false" customHeight="false" outlineLevel="0" collapsed="false">
      <c r="A37" s="38" t="s">
        <v>87</v>
      </c>
      <c r="B37" s="38" t="s">
        <v>121</v>
      </c>
      <c r="C37" s="38" t="s">
        <v>123</v>
      </c>
      <c r="D37" s="21" t="n">
        <f aca="false">ROUND(Q37*R37,0)</f>
        <v>187</v>
      </c>
      <c r="E37" s="21" t="n">
        <f aca="false">ROUND(Q37,0)-D37</f>
        <v>360</v>
      </c>
      <c r="F37" s="21" t="n">
        <f aca="false">IF(COUNTA(D37:E37)=0,"",SUM(D37:E37))</f>
        <v>547</v>
      </c>
      <c r="G37" s="39" t="n">
        <f aca="false">IF(OR(F37="",F37=0),"",D37/F37)</f>
        <v>0.341864716636197</v>
      </c>
      <c r="H37" s="39" t="n">
        <f aca="false">IF(OR(F37="",F37=0),"",E37/F37)</f>
        <v>0.658135283363803</v>
      </c>
      <c r="I37" s="38" t="s">
        <v>89</v>
      </c>
      <c r="J37" s="40" t="n">
        <v>3.02608556967268</v>
      </c>
      <c r="K37" s="39" t="n">
        <f aca="false">IF(G37="","",MAX(0,G37-J37/100))</f>
        <v>0.311603860939471</v>
      </c>
      <c r="L37" s="39" t="n">
        <f aca="false">IF(G37="","",MIN(1,G37+J37/100))</f>
        <v>0.372125572332924</v>
      </c>
      <c r="M37" s="21" t="n">
        <f aca="false">ROUND(Q37*S37,0)</f>
        <v>33</v>
      </c>
      <c r="N37" s="21" t="n">
        <f aca="false">ROUND(SQRT((F37*J37/100)^2+(G37*M37)^2),0)</f>
        <v>20</v>
      </c>
      <c r="P37" s="41" t="n">
        <v>-18.5029029672499</v>
      </c>
      <c r="Q37" s="42" t="n">
        <v>547</v>
      </c>
      <c r="R37" s="43" t="n">
        <f aca="false">MAX(0,MIN(1,P37/100+$D$5))</f>
        <v>0.341538173022375</v>
      </c>
      <c r="S37" s="43" t="n">
        <v>0.0610405690258335</v>
      </c>
      <c r="T37" s="44" t="s">
        <v>90</v>
      </c>
    </row>
    <row r="38" customFormat="false" ht="15" hidden="false" customHeight="false" outlineLevel="0" collapsed="false">
      <c r="A38" s="38" t="s">
        <v>87</v>
      </c>
      <c r="B38" s="38" t="s">
        <v>124</v>
      </c>
      <c r="C38" s="38" t="s">
        <v>125</v>
      </c>
      <c r="D38" s="21" t="n">
        <f aca="false">ROUND(Q38*R38,0)</f>
        <v>113</v>
      </c>
      <c r="E38" s="21" t="n">
        <f aca="false">ROUND(Q38,0)-D38</f>
        <v>276</v>
      </c>
      <c r="F38" s="21" t="n">
        <f aca="false">IF(COUNTA(D38:E38)=0,"",SUM(D38:E38))</f>
        <v>389</v>
      </c>
      <c r="G38" s="39" t="n">
        <f aca="false">IF(OR(F38="",F38=0),"",D38/F38)</f>
        <v>0.290488431876607</v>
      </c>
      <c r="H38" s="39" t="n">
        <f aca="false">IF(OR(F38="",F38=0),"",E38/F38)</f>
        <v>0.709511568123393</v>
      </c>
      <c r="I38" s="38" t="s">
        <v>89</v>
      </c>
      <c r="J38" s="40" t="n">
        <v>3.02608556967268</v>
      </c>
      <c r="K38" s="39" t="n">
        <f aca="false">IF(G38="","",MAX(0,G38-J38/100))</f>
        <v>0.26022757617988</v>
      </c>
      <c r="L38" s="39" t="n">
        <f aca="false">IF(G38="","",MIN(1,G38+J38/100))</f>
        <v>0.320749287573334</v>
      </c>
      <c r="M38" s="21" t="n">
        <f aca="false">ROUND(Q38*S38,0)</f>
        <v>24</v>
      </c>
      <c r="N38" s="21" t="n">
        <f aca="false">ROUND(SQRT((F38*J38/100)^2+(G38*M38)^2),0)</f>
        <v>14</v>
      </c>
      <c r="P38" s="41" t="n">
        <v>-23.6896617065758</v>
      </c>
      <c r="Q38" s="42" t="n">
        <v>389</v>
      </c>
      <c r="R38" s="43" t="n">
        <f aca="false">MAX(0,MIN(1,P38/100+$D$5))</f>
        <v>0.289670585629116</v>
      </c>
      <c r="S38" s="43" t="n">
        <v>0.0610405690258335</v>
      </c>
      <c r="T38" s="44" t="s">
        <v>90</v>
      </c>
    </row>
    <row r="39" customFormat="false" ht="15" hidden="false" customHeight="false" outlineLevel="0" collapsed="false">
      <c r="A39" s="38" t="s">
        <v>87</v>
      </c>
      <c r="B39" s="38" t="s">
        <v>124</v>
      </c>
      <c r="C39" s="38" t="s">
        <v>126</v>
      </c>
      <c r="D39" s="21" t="n">
        <f aca="false">ROUND(Q39*R39,0)</f>
        <v>104</v>
      </c>
      <c r="E39" s="21" t="n">
        <f aca="false">ROUND(Q39,0)-D39</f>
        <v>202</v>
      </c>
      <c r="F39" s="21" t="n">
        <f aca="false">IF(COUNTA(D39:E39)=0,"",SUM(D39:E39))</f>
        <v>306</v>
      </c>
      <c r="G39" s="39" t="n">
        <f aca="false">IF(OR(F39="",F39=0),"",D39/F39)</f>
        <v>0.339869281045752</v>
      </c>
      <c r="H39" s="39" t="n">
        <f aca="false">IF(OR(F39="",F39=0),"",E39/F39)</f>
        <v>0.660130718954248</v>
      </c>
      <c r="I39" s="38" t="s">
        <v>89</v>
      </c>
      <c r="J39" s="40" t="n">
        <v>3.02608556967268</v>
      </c>
      <c r="K39" s="39" t="n">
        <f aca="false">IF(G39="","",MAX(0,G39-J39/100))</f>
        <v>0.309608425349025</v>
      </c>
      <c r="L39" s="39" t="n">
        <f aca="false">IF(G39="","",MIN(1,G39+J39/100))</f>
        <v>0.370130136742478</v>
      </c>
      <c r="M39" s="21" t="n">
        <f aca="false">ROUND(Q39*S39,0)</f>
        <v>19</v>
      </c>
      <c r="N39" s="21" t="n">
        <f aca="false">ROUND(SQRT((F39*J39/100)^2+(G39*M39)^2),0)</f>
        <v>11</v>
      </c>
      <c r="P39" s="41" t="n">
        <v>-18.6714047259748</v>
      </c>
      <c r="Q39" s="42" t="n">
        <v>306</v>
      </c>
      <c r="R39" s="43" t="n">
        <f aca="false">MAX(0,MIN(1,P39/100+$D$5))</f>
        <v>0.339853155435126</v>
      </c>
      <c r="S39" s="43" t="n">
        <v>0.0610405690258335</v>
      </c>
      <c r="T39" s="44" t="s">
        <v>90</v>
      </c>
    </row>
    <row r="40" customFormat="false" ht="15" hidden="false" customHeight="false" outlineLevel="0" collapsed="false">
      <c r="A40" s="38" t="s">
        <v>87</v>
      </c>
      <c r="B40" s="38" t="s">
        <v>124</v>
      </c>
      <c r="C40" s="38" t="s">
        <v>127</v>
      </c>
      <c r="D40" s="21" t="n">
        <f aca="false">ROUND(Q40*R40,0)</f>
        <v>363</v>
      </c>
      <c r="E40" s="21" t="n">
        <f aca="false">ROUND(Q40,0)-D40</f>
        <v>715</v>
      </c>
      <c r="F40" s="21" t="n">
        <f aca="false">IF(COUNTA(D40:E40)=0,"",SUM(D40:E40))</f>
        <v>1078</v>
      </c>
      <c r="G40" s="39" t="n">
        <f aca="false">IF(OR(F40="",F40=0),"",D40/F40)</f>
        <v>0.336734693877551</v>
      </c>
      <c r="H40" s="39" t="n">
        <f aca="false">IF(OR(F40="",F40=0),"",E40/F40)</f>
        <v>0.663265306122449</v>
      </c>
      <c r="I40" s="38" t="s">
        <v>89</v>
      </c>
      <c r="J40" s="40" t="n">
        <v>1.8085538155628</v>
      </c>
      <c r="K40" s="39" t="n">
        <f aca="false">IF(G40="","",MAX(0,G40-J40/100))</f>
        <v>0.318649155721923</v>
      </c>
      <c r="L40" s="39" t="n">
        <f aca="false">IF(G40="","",MIN(1,G40+J40/100))</f>
        <v>0.354820232033179</v>
      </c>
      <c r="M40" s="21" t="n">
        <f aca="false">ROUND(Q40*S40,0)</f>
        <v>54</v>
      </c>
      <c r="N40" s="21" t="n">
        <f aca="false">ROUND(SQRT((F40*J40/100)^2+(G40*M40)^2),0)</f>
        <v>27</v>
      </c>
      <c r="P40" s="41" t="n">
        <v>-18.9792158879148</v>
      </c>
      <c r="Q40" s="42" t="n">
        <v>1078</v>
      </c>
      <c r="R40" s="43" t="n">
        <f aca="false">MAX(0,MIN(1,P40/100+$D$5))</f>
        <v>0.336775043815727</v>
      </c>
      <c r="S40" s="43" t="n">
        <v>0.0500321312575726</v>
      </c>
      <c r="T40" s="44" t="s">
        <v>99</v>
      </c>
    </row>
    <row r="41" customFormat="false" ht="15" hidden="false" customHeight="false" outlineLevel="0" collapsed="false">
      <c r="A41" s="38" t="s">
        <v>87</v>
      </c>
      <c r="B41" s="38" t="s">
        <v>128</v>
      </c>
      <c r="C41" s="38" t="s">
        <v>129</v>
      </c>
      <c r="D41" s="21" t="n">
        <f aca="false">ROUND(Q41*R41,0)</f>
        <v>249</v>
      </c>
      <c r="E41" s="21" t="n">
        <f aca="false">ROUND(Q41,0)-D41</f>
        <v>313</v>
      </c>
      <c r="F41" s="21" t="n">
        <f aca="false">IF(COUNTA(D41:E41)=0,"",SUM(D41:E41))</f>
        <v>562</v>
      </c>
      <c r="G41" s="39" t="n">
        <f aca="false">IF(OR(F41="",F41=0),"",D41/F41)</f>
        <v>0.443060498220641</v>
      </c>
      <c r="H41" s="39" t="n">
        <f aca="false">IF(OR(F41="",F41=0),"",E41/F41)</f>
        <v>0.55693950177936</v>
      </c>
      <c r="I41" s="38" t="s">
        <v>89</v>
      </c>
      <c r="J41" s="40" t="n">
        <v>3.02608556967268</v>
      </c>
      <c r="K41" s="39" t="n">
        <f aca="false">IF(G41="","",MAX(0,G41-J41/100))</f>
        <v>0.412799642523914</v>
      </c>
      <c r="L41" s="39" t="n">
        <f aca="false">IF(G41="","",MIN(1,G41+J41/100))</f>
        <v>0.473321353917367</v>
      </c>
      <c r="M41" s="21" t="n">
        <f aca="false">ROUND(Q41*S41,0)</f>
        <v>34</v>
      </c>
      <c r="N41" s="21" t="n">
        <f aca="false">ROUND(SQRT((F41*J41/100)^2+(G41*M41)^2),0)</f>
        <v>23</v>
      </c>
      <c r="P41" s="41" t="n">
        <v>-8.40915492200033</v>
      </c>
      <c r="Q41" s="42" t="n">
        <v>562</v>
      </c>
      <c r="R41" s="43" t="n">
        <f aca="false">MAX(0,MIN(1,P41/100+$D$5))</f>
        <v>0.442475653474871</v>
      </c>
      <c r="S41" s="43" t="n">
        <v>0.0610405690258335</v>
      </c>
      <c r="T41" s="44" t="s">
        <v>90</v>
      </c>
    </row>
    <row r="42" customFormat="false" ht="15" hidden="false" customHeight="false" outlineLevel="0" collapsed="false">
      <c r="A42" s="38" t="s">
        <v>87</v>
      </c>
      <c r="B42" s="38" t="s">
        <v>128</v>
      </c>
      <c r="C42" s="38" t="s">
        <v>130</v>
      </c>
      <c r="D42" s="21" t="n">
        <f aca="false">ROUND(Q42*R42,0)</f>
        <v>272</v>
      </c>
      <c r="E42" s="21" t="n">
        <f aca="false">ROUND(Q42,0)-D42</f>
        <v>360</v>
      </c>
      <c r="F42" s="21" t="n">
        <f aca="false">IF(COUNTA(D42:E42)=0,"",SUM(D42:E42))</f>
        <v>632</v>
      </c>
      <c r="G42" s="39" t="n">
        <f aca="false">IF(OR(F42="",F42=0),"",D42/F42)</f>
        <v>0.430379746835443</v>
      </c>
      <c r="H42" s="39" t="n">
        <f aca="false">IF(OR(F42="",F42=0),"",E42/F42)</f>
        <v>0.569620253164557</v>
      </c>
      <c r="I42" s="38" t="s">
        <v>89</v>
      </c>
      <c r="J42" s="40" t="n">
        <v>3.02608556967268</v>
      </c>
      <c r="K42" s="39" t="n">
        <f aca="false">IF(G42="","",MAX(0,G42-J42/100))</f>
        <v>0.400118891138716</v>
      </c>
      <c r="L42" s="39" t="n">
        <f aca="false">IF(G42="","",MIN(1,G42+J42/100))</f>
        <v>0.46064060253217</v>
      </c>
      <c r="M42" s="21" t="n">
        <f aca="false">ROUND(Q42*S42,0)</f>
        <v>39</v>
      </c>
      <c r="N42" s="21" t="n">
        <f aca="false">ROUND(SQRT((F42*J42/100)^2+(G42*M42)^2),0)</f>
        <v>25</v>
      </c>
      <c r="P42" s="41" t="n">
        <v>-9.60277732984047</v>
      </c>
      <c r="Q42" s="42" t="n">
        <v>632</v>
      </c>
      <c r="R42" s="43" t="n">
        <f aca="false">MAX(0,MIN(1,P42/100+$D$5))</f>
        <v>0.43053942939647</v>
      </c>
      <c r="S42" s="43" t="n">
        <v>0.0610405690258335</v>
      </c>
      <c r="T42" s="44" t="s">
        <v>90</v>
      </c>
    </row>
    <row r="43" customFormat="false" ht="15" hidden="false" customHeight="false" outlineLevel="0" collapsed="false">
      <c r="A43" s="38" t="s">
        <v>87</v>
      </c>
      <c r="B43" s="38" t="s">
        <v>131</v>
      </c>
      <c r="C43" s="38" t="s">
        <v>131</v>
      </c>
      <c r="D43" s="21" t="n">
        <f aca="false">ROUND(Q43*R43,0)</f>
        <v>129</v>
      </c>
      <c r="E43" s="21" t="n">
        <f aca="false">ROUND(Q43,0)-D43</f>
        <v>411</v>
      </c>
      <c r="F43" s="21" t="n">
        <f aca="false">IF(COUNTA(D43:E43)=0,"",SUM(D43:E43))</f>
        <v>540</v>
      </c>
      <c r="G43" s="39" t="n">
        <f aca="false">IF(OR(F43="",F43=0),"",D43/F43)</f>
        <v>0.238888888888889</v>
      </c>
      <c r="H43" s="39" t="n">
        <f aca="false">IF(OR(F43="",F43=0),"",E43/F43)</f>
        <v>0.761111111111111</v>
      </c>
      <c r="I43" s="38" t="s">
        <v>89</v>
      </c>
      <c r="J43" s="40" t="n">
        <v>3.02608556967268</v>
      </c>
      <c r="K43" s="39" t="n">
        <f aca="false">IF(G43="","",MAX(0,G43-J43/100))</f>
        <v>0.208628033192162</v>
      </c>
      <c r="L43" s="39" t="n">
        <f aca="false">IF(G43="","",MIN(1,G43+J43/100))</f>
        <v>0.269149744585616</v>
      </c>
      <c r="M43" s="21" t="n">
        <f aca="false">ROUND(Q43*S43,0)</f>
        <v>33</v>
      </c>
      <c r="N43" s="21" t="n">
        <f aca="false">ROUND(SQRT((F43*J43/100)^2+(G43*M43)^2),0)</f>
        <v>18</v>
      </c>
      <c r="P43" s="41" t="n">
        <v>-28.7096536199183</v>
      </c>
      <c r="Q43" s="42" t="n">
        <v>540</v>
      </c>
      <c r="R43" s="43" t="n">
        <f aca="false">MAX(0,MIN(1,P43/100+$D$5))</f>
        <v>0.239470666495691</v>
      </c>
      <c r="S43" s="43" t="n">
        <v>0.0610405690258335</v>
      </c>
      <c r="T43" s="44" t="s">
        <v>90</v>
      </c>
    </row>
    <row r="44" customFormat="false" ht="15" hidden="false" customHeight="false" outlineLevel="0" collapsed="false">
      <c r="A44" s="38" t="s">
        <v>87</v>
      </c>
      <c r="B44" s="38" t="s">
        <v>132</v>
      </c>
      <c r="C44" s="38" t="s">
        <v>133</v>
      </c>
      <c r="D44" s="21" t="n">
        <f aca="false">ROUND(Q44*R44,0)</f>
        <v>261</v>
      </c>
      <c r="E44" s="21" t="n">
        <f aca="false">ROUND(Q44,0)-D44</f>
        <v>418</v>
      </c>
      <c r="F44" s="21" t="n">
        <f aca="false">IF(COUNTA(D44:E44)=0,"",SUM(D44:E44))</f>
        <v>679</v>
      </c>
      <c r="G44" s="39" t="n">
        <f aca="false">IF(OR(F44="",F44=0),"",D44/F44)</f>
        <v>0.384388807069219</v>
      </c>
      <c r="H44" s="39" t="n">
        <f aca="false">IF(OR(F44="",F44=0),"",E44/F44)</f>
        <v>0.615611192930781</v>
      </c>
      <c r="I44" s="38" t="s">
        <v>89</v>
      </c>
      <c r="J44" s="40" t="n">
        <v>3.02608556967268</v>
      </c>
      <c r="K44" s="39" t="n">
        <f aca="false">IF(G44="","",MAX(0,G44-J44/100))</f>
        <v>0.354127951372493</v>
      </c>
      <c r="L44" s="39" t="n">
        <f aca="false">IF(G44="","",MIN(1,G44+J44/100))</f>
        <v>0.414649662765946</v>
      </c>
      <c r="M44" s="21" t="n">
        <f aca="false">ROUND(Q44*S44,0)</f>
        <v>41</v>
      </c>
      <c r="N44" s="21" t="n">
        <f aca="false">ROUND(SQRT((F44*J44/100)^2+(G44*M44)^2),0)</f>
        <v>26</v>
      </c>
      <c r="P44" s="41" t="n">
        <v>-14.2543951756853</v>
      </c>
      <c r="Q44" s="42" t="n">
        <v>679</v>
      </c>
      <c r="R44" s="43" t="n">
        <f aca="false">MAX(0,MIN(1,P44/100+$D$5))</f>
        <v>0.384023250938021</v>
      </c>
      <c r="S44" s="43" t="n">
        <v>0.0610405690258335</v>
      </c>
      <c r="T44" s="44" t="s">
        <v>90</v>
      </c>
    </row>
    <row r="45" customFormat="false" ht="15" hidden="false" customHeight="false" outlineLevel="0" collapsed="false">
      <c r="A45" s="38" t="s">
        <v>87</v>
      </c>
      <c r="B45" s="38" t="s">
        <v>132</v>
      </c>
      <c r="C45" s="38" t="s">
        <v>134</v>
      </c>
      <c r="D45" s="21" t="n">
        <f aca="false">ROUND(Q45*R45,0)</f>
        <v>404</v>
      </c>
      <c r="E45" s="21" t="n">
        <f aca="false">ROUND(Q45,0)-D45</f>
        <v>532</v>
      </c>
      <c r="F45" s="21" t="n">
        <f aca="false">IF(COUNTA(D45:E45)=0,"",SUM(D45:E45))</f>
        <v>936</v>
      </c>
      <c r="G45" s="39" t="n">
        <f aca="false">IF(OR(F45="",F45=0),"",D45/F45)</f>
        <v>0.431623931623932</v>
      </c>
      <c r="H45" s="39" t="n">
        <f aca="false">IF(OR(F45="",F45=0),"",E45/F45)</f>
        <v>0.568376068376068</v>
      </c>
      <c r="I45" s="38" t="s">
        <v>89</v>
      </c>
      <c r="J45" s="40" t="n">
        <v>1.8085538155628</v>
      </c>
      <c r="K45" s="39" t="n">
        <f aca="false">IF(G45="","",MAX(0,G45-J45/100))</f>
        <v>0.413538393468304</v>
      </c>
      <c r="L45" s="39" t="n">
        <f aca="false">IF(G45="","",MIN(1,G45+J45/100))</f>
        <v>0.44970946977956</v>
      </c>
      <c r="M45" s="21" t="n">
        <f aca="false">ROUND(Q45*S45,0)</f>
        <v>47</v>
      </c>
      <c r="N45" s="21" t="n">
        <f aca="false">ROUND(SQRT((F45*J45/100)^2+(G45*M45)^2),0)</f>
        <v>26</v>
      </c>
      <c r="P45" s="41" t="n">
        <v>-9.49530565501666</v>
      </c>
      <c r="Q45" s="42" t="n">
        <v>936</v>
      </c>
      <c r="R45" s="43" t="n">
        <f aca="false">MAX(0,MIN(1,P45/100+$D$5))</f>
        <v>0.431614146144708</v>
      </c>
      <c r="S45" s="43" t="n">
        <v>0.0500321312575726</v>
      </c>
      <c r="T45" s="44" t="s">
        <v>99</v>
      </c>
    </row>
    <row r="46" customFormat="false" ht="15" hidden="false" customHeight="false" outlineLevel="0" collapsed="false">
      <c r="A46" s="38" t="s">
        <v>87</v>
      </c>
      <c r="B46" s="38" t="s">
        <v>132</v>
      </c>
      <c r="C46" s="38" t="s">
        <v>135</v>
      </c>
      <c r="D46" s="21" t="n">
        <f aca="false">ROUND(Q46*R46,0)</f>
        <v>117</v>
      </c>
      <c r="E46" s="21" t="n">
        <f aca="false">ROUND(Q46,0)-D46</f>
        <v>177</v>
      </c>
      <c r="F46" s="21" t="n">
        <f aca="false">IF(COUNTA(D46:E46)=0,"",SUM(D46:E46))</f>
        <v>294</v>
      </c>
      <c r="G46" s="39" t="n">
        <f aca="false">IF(OR(F46="",F46=0),"",D46/F46)</f>
        <v>0.397959183673469</v>
      </c>
      <c r="H46" s="39" t="n">
        <f aca="false">IF(OR(F46="",F46=0),"",E46/F46)</f>
        <v>0.602040816326531</v>
      </c>
      <c r="I46" s="38" t="s">
        <v>89</v>
      </c>
      <c r="J46" s="40" t="n">
        <v>3.02608556967268</v>
      </c>
      <c r="K46" s="39" t="n">
        <f aca="false">IF(G46="","",MAX(0,G46-J46/100))</f>
        <v>0.367698327976743</v>
      </c>
      <c r="L46" s="39" t="n">
        <f aca="false">IF(G46="","",MIN(1,G46+J46/100))</f>
        <v>0.428220039370196</v>
      </c>
      <c r="M46" s="21" t="n">
        <f aca="false">ROUND(Q46*S46,0)</f>
        <v>18</v>
      </c>
      <c r="N46" s="21" t="n">
        <f aca="false">ROUND(SQRT((F46*J46/100)^2+(G46*M46)^2),0)</f>
        <v>11</v>
      </c>
      <c r="P46" s="41" t="n">
        <v>-12.8792917103362</v>
      </c>
      <c r="Q46" s="42" t="n">
        <v>294</v>
      </c>
      <c r="R46" s="43" t="n">
        <f aca="false">MAX(0,MIN(1,P46/100+$D$5))</f>
        <v>0.397774285591512</v>
      </c>
      <c r="S46" s="43" t="n">
        <v>0.0610405690258335</v>
      </c>
      <c r="T46" s="44" t="s">
        <v>90</v>
      </c>
    </row>
    <row r="47" customFormat="false" ht="15" hidden="false" customHeight="false" outlineLevel="0" collapsed="false">
      <c r="A47" s="38" t="s">
        <v>87</v>
      </c>
      <c r="B47" s="38" t="s">
        <v>136</v>
      </c>
      <c r="C47" s="38" t="s">
        <v>136</v>
      </c>
      <c r="D47" s="21" t="n">
        <f aca="false">ROUND(Q47*R47,0)</f>
        <v>66</v>
      </c>
      <c r="E47" s="21" t="n">
        <f aca="false">ROUND(Q47,0)-D47</f>
        <v>121</v>
      </c>
      <c r="F47" s="21" t="n">
        <f aca="false">IF(COUNTA(D47:E47)=0,"",SUM(D47:E47))</f>
        <v>187</v>
      </c>
      <c r="G47" s="39" t="n">
        <f aca="false">IF(OR(F47="",F47=0),"",D47/F47)</f>
        <v>0.352941176470588</v>
      </c>
      <c r="H47" s="39" t="n">
        <f aca="false">IF(OR(F47="",F47=0),"",E47/F47)</f>
        <v>0.647058823529412</v>
      </c>
      <c r="I47" s="38" t="s">
        <v>89</v>
      </c>
      <c r="J47" s="40" t="n">
        <v>3.02608556967268</v>
      </c>
      <c r="K47" s="39" t="n">
        <f aca="false">IF(G47="","",MAX(0,G47-J47/100))</f>
        <v>0.322680320773861</v>
      </c>
      <c r="L47" s="39" t="n">
        <f aca="false">IF(G47="","",MIN(1,G47+J47/100))</f>
        <v>0.383202032167315</v>
      </c>
      <c r="M47" s="21" t="n">
        <f aca="false">ROUND(Q47*S47,0)</f>
        <v>11</v>
      </c>
      <c r="N47" s="21" t="n">
        <f aca="false">ROUND(SQRT((F47*J47/100)^2+(G47*M47)^2),0)</f>
        <v>7</v>
      </c>
      <c r="P47" s="41" t="n">
        <v>-17.3132366133168</v>
      </c>
      <c r="Q47" s="42" t="n">
        <v>187</v>
      </c>
      <c r="R47" s="43" t="n">
        <f aca="false">MAX(0,MIN(1,P47/100+$D$5))</f>
        <v>0.353434836561706</v>
      </c>
      <c r="S47" s="43" t="n">
        <v>0.0610405690258335</v>
      </c>
      <c r="T47" s="44" t="s">
        <v>90</v>
      </c>
    </row>
    <row r="48" customFormat="false" ht="15" hidden="false" customHeight="false" outlineLevel="0" collapsed="false">
      <c r="A48" s="38" t="s">
        <v>87</v>
      </c>
      <c r="B48" s="38" t="s">
        <v>137</v>
      </c>
      <c r="C48" s="38" t="s">
        <v>138</v>
      </c>
      <c r="D48" s="21" t="n">
        <f aca="false">ROUND(Q48*R48,0)</f>
        <v>344</v>
      </c>
      <c r="E48" s="21" t="n">
        <f aca="false">ROUND(Q48,0)-D48</f>
        <v>482</v>
      </c>
      <c r="F48" s="21" t="n">
        <f aca="false">IF(COUNTA(D48:E48)=0,"",SUM(D48:E48))</f>
        <v>826</v>
      </c>
      <c r="G48" s="39" t="n">
        <f aca="false">IF(OR(F48="",F48=0),"",D48/F48)</f>
        <v>0.416464891041162</v>
      </c>
      <c r="H48" s="39" t="n">
        <f aca="false">IF(OR(F48="",F48=0),"",E48/F48)</f>
        <v>0.583535108958838</v>
      </c>
      <c r="I48" s="38" t="s">
        <v>89</v>
      </c>
      <c r="J48" s="40" t="n">
        <v>1.8085538155628</v>
      </c>
      <c r="K48" s="39" t="n">
        <f aca="false">IF(G48="","",MAX(0,G48-J48/100))</f>
        <v>0.398379352885534</v>
      </c>
      <c r="L48" s="39" t="n">
        <f aca="false">IF(G48="","",MIN(1,G48+J48/100))</f>
        <v>0.43455042919679</v>
      </c>
      <c r="M48" s="21" t="n">
        <f aca="false">ROUND(Q48*S48,0)</f>
        <v>41</v>
      </c>
      <c r="N48" s="21" t="n">
        <f aca="false">ROUND(SQRT((F48*J48/100)^2+(G48*M48)^2),0)</f>
        <v>23</v>
      </c>
      <c r="P48" s="41" t="n">
        <v>-11.0392202563282</v>
      </c>
      <c r="Q48" s="42" t="n">
        <v>826</v>
      </c>
      <c r="R48" s="43" t="n">
        <f aca="false">MAX(0,MIN(1,P48/100+$D$5))</f>
        <v>0.416175000131592</v>
      </c>
      <c r="S48" s="43" t="n">
        <v>0.0500321312575726</v>
      </c>
      <c r="T48" s="44" t="s">
        <v>99</v>
      </c>
    </row>
    <row r="49" customFormat="false" ht="15" hidden="false" customHeight="false" outlineLevel="0" collapsed="false">
      <c r="A49" s="38" t="s">
        <v>87</v>
      </c>
      <c r="B49" s="38" t="s">
        <v>137</v>
      </c>
      <c r="C49" s="38" t="s">
        <v>139</v>
      </c>
      <c r="D49" s="21" t="n">
        <f aca="false">ROUND(Q49*R49,0)</f>
        <v>253</v>
      </c>
      <c r="E49" s="21" t="n">
        <f aca="false">ROUND(Q49,0)-D49</f>
        <v>365</v>
      </c>
      <c r="F49" s="21" t="n">
        <f aca="false">IF(COUNTA(D49:E49)=0,"",SUM(D49:E49))</f>
        <v>618</v>
      </c>
      <c r="G49" s="39" t="n">
        <f aca="false">IF(OR(F49="",F49=0),"",D49/F49)</f>
        <v>0.409385113268608</v>
      </c>
      <c r="H49" s="39" t="n">
        <f aca="false">IF(OR(F49="",F49=0),"",E49/F49)</f>
        <v>0.590614886731392</v>
      </c>
      <c r="I49" s="38" t="s">
        <v>89</v>
      </c>
      <c r="J49" s="40" t="n">
        <v>3.02608556967268</v>
      </c>
      <c r="K49" s="39" t="n">
        <f aca="false">IF(G49="","",MAX(0,G49-J49/100))</f>
        <v>0.379124257571882</v>
      </c>
      <c r="L49" s="39" t="n">
        <f aca="false">IF(G49="","",MIN(1,G49+J49/100))</f>
        <v>0.439645968965335</v>
      </c>
      <c r="M49" s="21" t="n">
        <f aca="false">ROUND(Q49*S49,0)</f>
        <v>38</v>
      </c>
      <c r="N49" s="21" t="n">
        <f aca="false">ROUND(SQRT((F49*J49/100)^2+(G49*M49)^2),0)</f>
        <v>24</v>
      </c>
      <c r="P49" s="41" t="n">
        <v>-11.7705495826063</v>
      </c>
      <c r="Q49" s="42" t="n">
        <v>618</v>
      </c>
      <c r="R49" s="43" t="n">
        <f aca="false">MAX(0,MIN(1,P49/100+$D$5))</f>
        <v>0.408861706868812</v>
      </c>
      <c r="S49" s="43" t="n">
        <v>0.0610405690258335</v>
      </c>
      <c r="T49" s="44" t="s">
        <v>90</v>
      </c>
    </row>
    <row r="50" customFormat="false" ht="15" hidden="false" customHeight="false" outlineLevel="0" collapsed="false">
      <c r="A50" s="38" t="s">
        <v>87</v>
      </c>
      <c r="B50" s="38" t="s">
        <v>137</v>
      </c>
      <c r="C50" s="38" t="s">
        <v>140</v>
      </c>
      <c r="D50" s="21" t="n">
        <f aca="false">ROUND(Q50*R50,0)</f>
        <v>399</v>
      </c>
      <c r="E50" s="21" t="n">
        <f aca="false">ROUND(Q50,0)-D50</f>
        <v>553</v>
      </c>
      <c r="F50" s="21" t="n">
        <f aca="false">IF(COUNTA(D50:E50)=0,"",SUM(D50:E50))</f>
        <v>952</v>
      </c>
      <c r="G50" s="39" t="n">
        <f aca="false">IF(OR(F50="",F50=0),"",D50/F50)</f>
        <v>0.419117647058824</v>
      </c>
      <c r="H50" s="39" t="n">
        <f aca="false">IF(OR(F50="",F50=0),"",E50/F50)</f>
        <v>0.580882352941177</v>
      </c>
      <c r="I50" s="38" t="s">
        <v>89</v>
      </c>
      <c r="J50" s="40" t="n">
        <v>1.8085538155628</v>
      </c>
      <c r="K50" s="39" t="n">
        <f aca="false">IF(G50="","",MAX(0,G50-J50/100))</f>
        <v>0.401032108903196</v>
      </c>
      <c r="L50" s="39" t="n">
        <f aca="false">IF(G50="","",MIN(1,G50+J50/100))</f>
        <v>0.437203185214452</v>
      </c>
      <c r="M50" s="21" t="n">
        <f aca="false">ROUND(Q50*S50,0)</f>
        <v>48</v>
      </c>
      <c r="N50" s="21" t="n">
        <f aca="false">ROUND(SQRT((F50*J50/100)^2+(G50*M50)^2),0)</f>
        <v>26</v>
      </c>
      <c r="P50" s="41" t="n">
        <v>-10.7843285758858</v>
      </c>
      <c r="Q50" s="42" t="n">
        <v>952</v>
      </c>
      <c r="R50" s="43" t="n">
        <f aca="false">MAX(0,MIN(1,P50/100+$D$5))</f>
        <v>0.418723916936016</v>
      </c>
      <c r="S50" s="43" t="n">
        <v>0.0500321312575726</v>
      </c>
      <c r="T50" s="44" t="s">
        <v>99</v>
      </c>
    </row>
    <row r="51" customFormat="false" ht="15" hidden="false" customHeight="false" outlineLevel="0" collapsed="false">
      <c r="A51" s="38" t="s">
        <v>87</v>
      </c>
      <c r="B51" s="38" t="s">
        <v>137</v>
      </c>
      <c r="C51" s="38" t="s">
        <v>141</v>
      </c>
      <c r="D51" s="21" t="n">
        <f aca="false">ROUND(Q51*R51,0)</f>
        <v>369</v>
      </c>
      <c r="E51" s="21" t="n">
        <f aca="false">ROUND(Q51,0)-D51</f>
        <v>663</v>
      </c>
      <c r="F51" s="21" t="n">
        <f aca="false">IF(COUNTA(D51:E51)=0,"",SUM(D51:E51))</f>
        <v>1032</v>
      </c>
      <c r="G51" s="39" t="n">
        <f aca="false">IF(OR(F51="",F51=0),"",D51/F51)</f>
        <v>0.357558139534884</v>
      </c>
      <c r="H51" s="39" t="n">
        <f aca="false">IF(OR(F51="",F51=0),"",E51/F51)</f>
        <v>0.642441860465116</v>
      </c>
      <c r="I51" s="38" t="s">
        <v>89</v>
      </c>
      <c r="J51" s="40" t="n">
        <v>1.8085538155628</v>
      </c>
      <c r="K51" s="39" t="n">
        <f aca="false">IF(G51="","",MAX(0,G51-J51/100))</f>
        <v>0.339472601379256</v>
      </c>
      <c r="L51" s="39" t="n">
        <f aca="false">IF(G51="","",MIN(1,G51+J51/100))</f>
        <v>0.375643677690512</v>
      </c>
      <c r="M51" s="21" t="n">
        <f aca="false">ROUND(Q51*S51,0)</f>
        <v>52</v>
      </c>
      <c r="N51" s="21" t="n">
        <f aca="false">ROUND(SQRT((F51*J51/100)^2+(G51*M51)^2),0)</f>
        <v>26</v>
      </c>
      <c r="P51" s="41" t="n">
        <v>-16.9417605668503</v>
      </c>
      <c r="Q51" s="42" t="n">
        <v>1032</v>
      </c>
      <c r="R51" s="43" t="n">
        <f aca="false">MAX(0,MIN(1,P51/100+$D$5))</f>
        <v>0.357149597026371</v>
      </c>
      <c r="S51" s="43" t="n">
        <v>0.0500321312575726</v>
      </c>
      <c r="T51" s="44" t="s">
        <v>99</v>
      </c>
    </row>
    <row r="52" customFormat="false" ht="15" hidden="false" customHeight="false" outlineLevel="0" collapsed="false">
      <c r="A52" s="38" t="s">
        <v>87</v>
      </c>
      <c r="B52" s="38" t="s">
        <v>137</v>
      </c>
      <c r="C52" s="38" t="s">
        <v>142</v>
      </c>
      <c r="D52" s="21" t="n">
        <f aca="false">ROUND(Q52*R52,0)</f>
        <v>358</v>
      </c>
      <c r="E52" s="21" t="n">
        <f aca="false">ROUND(Q52,0)-D52</f>
        <v>538</v>
      </c>
      <c r="F52" s="21" t="n">
        <f aca="false">IF(COUNTA(D52:E52)=0,"",SUM(D52:E52))</f>
        <v>896</v>
      </c>
      <c r="G52" s="39" t="n">
        <f aca="false">IF(OR(F52="",F52=0),"",D52/F52)</f>
        <v>0.399553571428571</v>
      </c>
      <c r="H52" s="39" t="n">
        <f aca="false">IF(OR(F52="",F52=0),"",E52/F52)</f>
        <v>0.600446428571429</v>
      </c>
      <c r="I52" s="38" t="s">
        <v>89</v>
      </c>
      <c r="J52" s="40" t="n">
        <v>1.8085538155628</v>
      </c>
      <c r="K52" s="39" t="n">
        <f aca="false">IF(G52="","",MAX(0,G52-J52/100))</f>
        <v>0.381468033272944</v>
      </c>
      <c r="L52" s="39" t="n">
        <f aca="false">IF(G52="","",MIN(1,G52+J52/100))</f>
        <v>0.417639109584199</v>
      </c>
      <c r="M52" s="21" t="n">
        <f aca="false">ROUND(Q52*S52,0)</f>
        <v>45</v>
      </c>
      <c r="N52" s="21" t="n">
        <f aca="false">ROUND(SQRT((F52*J52/100)^2+(G52*M52)^2),0)</f>
        <v>24</v>
      </c>
      <c r="P52" s="41" t="n">
        <v>-12.6704208301279</v>
      </c>
      <c r="Q52" s="42" t="n">
        <v>896</v>
      </c>
      <c r="R52" s="43" t="n">
        <f aca="false">MAX(0,MIN(1,P52/100+$D$5))</f>
        <v>0.399862994393595</v>
      </c>
      <c r="S52" s="43" t="n">
        <v>0.0500321312575726</v>
      </c>
      <c r="T52" s="44" t="s">
        <v>99</v>
      </c>
    </row>
    <row r="53" customFormat="false" ht="15" hidden="false" customHeight="false" outlineLevel="0" collapsed="false">
      <c r="A53" s="38" t="s">
        <v>87</v>
      </c>
      <c r="B53" s="38" t="s">
        <v>143</v>
      </c>
      <c r="C53" s="38" t="s">
        <v>144</v>
      </c>
      <c r="D53" s="21" t="n">
        <f aca="false">ROUND(Q53*R53,0)</f>
        <v>146</v>
      </c>
      <c r="E53" s="21" t="n">
        <f aca="false">ROUND(Q53,0)-D53</f>
        <v>142</v>
      </c>
      <c r="F53" s="21" t="n">
        <f aca="false">IF(COUNTA(D53:E53)=0,"",SUM(D53:E53))</f>
        <v>288</v>
      </c>
      <c r="G53" s="39" t="n">
        <f aca="false">IF(OR(F53="",F53=0),"",D53/F53)</f>
        <v>0.506944444444444</v>
      </c>
      <c r="H53" s="39" t="n">
        <f aca="false">IF(OR(F53="",F53=0),"",E53/F53)</f>
        <v>0.493055555555556</v>
      </c>
      <c r="I53" s="38" t="s">
        <v>89</v>
      </c>
      <c r="J53" s="40" t="n">
        <v>3.02608556967268</v>
      </c>
      <c r="K53" s="39" t="n">
        <f aca="false">IF(G53="","",MAX(0,G53-J53/100))</f>
        <v>0.476683588747718</v>
      </c>
      <c r="L53" s="39" t="n">
        <f aca="false">IF(G53="","",MIN(1,G53+J53/100))</f>
        <v>0.537205300141171</v>
      </c>
      <c r="M53" s="21" t="n">
        <f aca="false">ROUND(Q53*S53,0)</f>
        <v>18</v>
      </c>
      <c r="N53" s="21" t="n">
        <f aca="false">ROUND(SQRT((F53*J53/100)^2+(G53*M53)^2),0)</f>
        <v>13</v>
      </c>
      <c r="P53" s="41" t="n">
        <v>-1.9979122160108</v>
      </c>
      <c r="Q53" s="42" t="n">
        <v>288</v>
      </c>
      <c r="R53" s="43" t="n">
        <f aca="false">MAX(0,MIN(1,P53/100+$D$5))</f>
        <v>0.506588080534766</v>
      </c>
      <c r="S53" s="43" t="n">
        <v>0.0610405690258335</v>
      </c>
      <c r="T53" s="44" t="s">
        <v>90</v>
      </c>
    </row>
    <row r="54" customFormat="false" ht="15" hidden="false" customHeight="false" outlineLevel="0" collapsed="false">
      <c r="A54" s="38" t="s">
        <v>87</v>
      </c>
      <c r="B54" s="38" t="s">
        <v>143</v>
      </c>
      <c r="C54" s="38" t="s">
        <v>145</v>
      </c>
      <c r="D54" s="21" t="n">
        <f aca="false">ROUND(Q54*R54,0)</f>
        <v>161</v>
      </c>
      <c r="E54" s="21" t="n">
        <f aca="false">ROUND(Q54,0)-D54</f>
        <v>151</v>
      </c>
      <c r="F54" s="21" t="n">
        <f aca="false">IF(COUNTA(D54:E54)=0,"",SUM(D54:E54))</f>
        <v>312</v>
      </c>
      <c r="G54" s="39" t="n">
        <f aca="false">IF(OR(F54="",F54=0),"",D54/F54)</f>
        <v>0.516025641025641</v>
      </c>
      <c r="H54" s="39" t="n">
        <f aca="false">IF(OR(F54="",F54=0),"",E54/F54)</f>
        <v>0.483974358974359</v>
      </c>
      <c r="I54" s="38" t="s">
        <v>89</v>
      </c>
      <c r="J54" s="40" t="n">
        <v>3.02608556967268</v>
      </c>
      <c r="K54" s="39" t="n">
        <f aca="false">IF(G54="","",MAX(0,G54-J54/100))</f>
        <v>0.485764785328914</v>
      </c>
      <c r="L54" s="39" t="n">
        <f aca="false">IF(G54="","",MIN(1,G54+J54/100))</f>
        <v>0.546286496722368</v>
      </c>
      <c r="M54" s="21" t="n">
        <f aca="false">ROUND(Q54*S54,0)</f>
        <v>19</v>
      </c>
      <c r="N54" s="21" t="n">
        <f aca="false">ROUND(SQRT((F54*J54/100)^2+(G54*M54)^2),0)</f>
        <v>14</v>
      </c>
      <c r="P54" s="41" t="n">
        <v>-1.14572150577523</v>
      </c>
      <c r="Q54" s="42" t="n">
        <v>312</v>
      </c>
      <c r="R54" s="43" t="n">
        <f aca="false">MAX(0,MIN(1,P54/100+$D$5))</f>
        <v>0.515109987637122</v>
      </c>
      <c r="S54" s="43" t="n">
        <v>0.0610405690258335</v>
      </c>
      <c r="T54" s="44" t="s">
        <v>90</v>
      </c>
    </row>
    <row r="55" customFormat="false" ht="15" hidden="false" customHeight="false" outlineLevel="0" collapsed="false">
      <c r="A55" s="38" t="s">
        <v>87</v>
      </c>
      <c r="B55" s="38" t="s">
        <v>143</v>
      </c>
      <c r="C55" s="38" t="s">
        <v>146</v>
      </c>
      <c r="D55" s="21" t="n">
        <f aca="false">ROUND(Q55*R55,0)</f>
        <v>104</v>
      </c>
      <c r="E55" s="21" t="n">
        <f aca="false">ROUND(Q55,0)-D55</f>
        <v>147</v>
      </c>
      <c r="F55" s="21" t="n">
        <f aca="false">IF(COUNTA(D55:E55)=0,"",SUM(D55:E55))</f>
        <v>251</v>
      </c>
      <c r="G55" s="39" t="n">
        <f aca="false">IF(OR(F55="",F55=0),"",D55/F55)</f>
        <v>0.414342629482072</v>
      </c>
      <c r="H55" s="39" t="n">
        <f aca="false">IF(OR(F55="",F55=0),"",E55/F55)</f>
        <v>0.585657370517928</v>
      </c>
      <c r="I55" s="38" t="s">
        <v>89</v>
      </c>
      <c r="J55" s="40" t="n">
        <v>3.02608556967268</v>
      </c>
      <c r="K55" s="39" t="n">
        <f aca="false">IF(G55="","",MAX(0,G55-J55/100))</f>
        <v>0.384081773785345</v>
      </c>
      <c r="L55" s="39" t="n">
        <f aca="false">IF(G55="","",MIN(1,G55+J55/100))</f>
        <v>0.444603485178799</v>
      </c>
      <c r="M55" s="21" t="n">
        <f aca="false">ROUND(Q55*S55,0)</f>
        <v>15</v>
      </c>
      <c r="N55" s="21" t="n">
        <f aca="false">ROUND(SQRT((F55*J55/100)^2+(G55*M55)^2),0)</f>
        <v>10</v>
      </c>
      <c r="P55" s="41" t="n">
        <v>-11.3351121469191</v>
      </c>
      <c r="Q55" s="42" t="n">
        <v>251</v>
      </c>
      <c r="R55" s="43" t="n">
        <f aca="false">MAX(0,MIN(1,P55/100+$D$5))</f>
        <v>0.413216081225683</v>
      </c>
      <c r="S55" s="43" t="n">
        <v>0.0610405690258335</v>
      </c>
      <c r="T55" s="44" t="s">
        <v>90</v>
      </c>
    </row>
    <row r="56" customFormat="false" ht="15" hidden="false" customHeight="false" outlineLevel="0" collapsed="false">
      <c r="A56" s="38" t="s">
        <v>87</v>
      </c>
      <c r="B56" s="38" t="s">
        <v>143</v>
      </c>
      <c r="C56" s="38" t="s">
        <v>147</v>
      </c>
      <c r="D56" s="21" t="n">
        <f aca="false">ROUND(Q56*R56,0)</f>
        <v>172</v>
      </c>
      <c r="E56" s="21" t="n">
        <f aca="false">ROUND(Q56,0)-D56</f>
        <v>212</v>
      </c>
      <c r="F56" s="21" t="n">
        <f aca="false">IF(COUNTA(D56:E56)=0,"",SUM(D56:E56))</f>
        <v>384</v>
      </c>
      <c r="G56" s="39" t="n">
        <f aca="false">IF(OR(F56="",F56=0),"",D56/F56)</f>
        <v>0.447916666666667</v>
      </c>
      <c r="H56" s="39" t="n">
        <f aca="false">IF(OR(F56="",F56=0),"",E56/F56)</f>
        <v>0.552083333333333</v>
      </c>
      <c r="I56" s="38" t="s">
        <v>89</v>
      </c>
      <c r="J56" s="40" t="n">
        <v>3.02608556967268</v>
      </c>
      <c r="K56" s="39" t="n">
        <f aca="false">IF(G56="","",MAX(0,G56-J56/100))</f>
        <v>0.41765581096994</v>
      </c>
      <c r="L56" s="39" t="n">
        <f aca="false">IF(G56="","",MIN(1,G56+J56/100))</f>
        <v>0.478177522363394</v>
      </c>
      <c r="M56" s="21" t="n">
        <f aca="false">ROUND(Q56*S56,0)</f>
        <v>23</v>
      </c>
      <c r="N56" s="21" t="n">
        <f aca="false">ROUND(SQRT((F56*J56/100)^2+(G56*M56)^2),0)</f>
        <v>16</v>
      </c>
      <c r="P56" s="41" t="n">
        <v>-7.74434886516465</v>
      </c>
      <c r="Q56" s="42" t="n">
        <v>384</v>
      </c>
      <c r="R56" s="43" t="n">
        <f aca="false">MAX(0,MIN(1,P56/100+$D$5))</f>
        <v>0.449123714043228</v>
      </c>
      <c r="S56" s="43" t="n">
        <v>0.0610405690258335</v>
      </c>
      <c r="T56" s="44" t="s">
        <v>90</v>
      </c>
    </row>
    <row r="57" customFormat="false" ht="15" hidden="false" customHeight="false" outlineLevel="0" collapsed="false">
      <c r="A57" s="38" t="s">
        <v>87</v>
      </c>
      <c r="B57" s="38" t="s">
        <v>148</v>
      </c>
      <c r="C57" s="38" t="s">
        <v>149</v>
      </c>
      <c r="D57" s="21" t="n">
        <f aca="false">ROUND(Q57*R57,0)</f>
        <v>244</v>
      </c>
      <c r="E57" s="21" t="n">
        <f aca="false">ROUND(Q57,0)-D57</f>
        <v>463</v>
      </c>
      <c r="F57" s="21" t="n">
        <f aca="false">IF(COUNTA(D57:E57)=0,"",SUM(D57:E57))</f>
        <v>707</v>
      </c>
      <c r="G57" s="39" t="n">
        <f aca="false">IF(OR(F57="",F57=0),"",D57/F57)</f>
        <v>0.345120226308345</v>
      </c>
      <c r="H57" s="39" t="n">
        <f aca="false">IF(OR(F57="",F57=0),"",E57/F57)</f>
        <v>0.654879773691655</v>
      </c>
      <c r="I57" s="38" t="s">
        <v>89</v>
      </c>
      <c r="J57" s="40" t="n">
        <v>3.02608556967268</v>
      </c>
      <c r="K57" s="39" t="n">
        <f aca="false">IF(G57="","",MAX(0,G57-J57/100))</f>
        <v>0.314859370611618</v>
      </c>
      <c r="L57" s="39" t="n">
        <f aca="false">IF(G57="","",MIN(1,G57+J57/100))</f>
        <v>0.375381082005072</v>
      </c>
      <c r="M57" s="21" t="n">
        <f aca="false">ROUND(Q57*S57,0)</f>
        <v>43</v>
      </c>
      <c r="N57" s="21" t="n">
        <f aca="false">ROUND(SQRT((F57*J57/100)^2+(G57*M57)^2),0)</f>
        <v>26</v>
      </c>
      <c r="P57" s="41" t="n">
        <v>-18.1726818415618</v>
      </c>
      <c r="Q57" s="42" t="n">
        <v>707</v>
      </c>
      <c r="R57" s="43" t="n">
        <f aca="false">MAX(0,MIN(1,P57/100+$D$5))</f>
        <v>0.344840384279257</v>
      </c>
      <c r="S57" s="43" t="n">
        <v>0.0610405690258335</v>
      </c>
      <c r="T57" s="44" t="s">
        <v>90</v>
      </c>
    </row>
    <row r="58" customFormat="false" ht="15" hidden="false" customHeight="false" outlineLevel="0" collapsed="false">
      <c r="A58" s="38" t="s">
        <v>87</v>
      </c>
      <c r="B58" s="38" t="s">
        <v>148</v>
      </c>
      <c r="C58" s="38" t="s">
        <v>150</v>
      </c>
      <c r="D58" s="21" t="n">
        <f aca="false">ROUND(Q58*R58,0)</f>
        <v>234</v>
      </c>
      <c r="E58" s="21" t="n">
        <f aca="false">ROUND(Q58,0)-D58</f>
        <v>512</v>
      </c>
      <c r="F58" s="21" t="n">
        <f aca="false">IF(COUNTA(D58:E58)=0,"",SUM(D58:E58))</f>
        <v>746</v>
      </c>
      <c r="G58" s="39" t="n">
        <f aca="false">IF(OR(F58="",F58=0),"",D58/F58)</f>
        <v>0.313672922252011</v>
      </c>
      <c r="H58" s="39" t="n">
        <f aca="false">IF(OR(F58="",F58=0),"",E58/F58)</f>
        <v>0.686327077747989</v>
      </c>
      <c r="I58" s="38" t="s">
        <v>89</v>
      </c>
      <c r="J58" s="40" t="n">
        <v>3.02608556967268</v>
      </c>
      <c r="K58" s="39" t="n">
        <f aca="false">IF(G58="","",MAX(0,G58-J58/100))</f>
        <v>0.283412066555284</v>
      </c>
      <c r="L58" s="39" t="n">
        <f aca="false">IF(G58="","",MIN(1,G58+J58/100))</f>
        <v>0.343933777948738</v>
      </c>
      <c r="M58" s="21" t="n">
        <f aca="false">ROUND(Q58*S58,0)</f>
        <v>46</v>
      </c>
      <c r="N58" s="21" t="n">
        <f aca="false">ROUND(SQRT((F58*J58/100)^2+(G58*M58)^2),0)</f>
        <v>27</v>
      </c>
      <c r="P58" s="41" t="n">
        <v>-21.3515967734136</v>
      </c>
      <c r="Q58" s="42" t="n">
        <v>746</v>
      </c>
      <c r="R58" s="43" t="n">
        <f aca="false">MAX(0,MIN(1,P58/100+$D$5))</f>
        <v>0.313051234960738</v>
      </c>
      <c r="S58" s="43" t="n">
        <v>0.0610405690258335</v>
      </c>
      <c r="T58" s="44" t="s">
        <v>90</v>
      </c>
    </row>
    <row r="59" customFormat="false" ht="15" hidden="false" customHeight="false" outlineLevel="0" collapsed="false">
      <c r="A59" s="38" t="s">
        <v>87</v>
      </c>
      <c r="B59" s="38" t="s">
        <v>148</v>
      </c>
      <c r="C59" s="38" t="s">
        <v>151</v>
      </c>
      <c r="D59" s="21" t="n">
        <f aca="false">ROUND(Q59*R59,0)</f>
        <v>220</v>
      </c>
      <c r="E59" s="21" t="n">
        <f aca="false">ROUND(Q59,0)-D59</f>
        <v>458</v>
      </c>
      <c r="F59" s="21" t="n">
        <f aca="false">IF(COUNTA(D59:E59)=0,"",SUM(D59:E59))</f>
        <v>678</v>
      </c>
      <c r="G59" s="39" t="n">
        <f aca="false">IF(OR(F59="",F59=0),"",D59/F59)</f>
        <v>0.324483775811209</v>
      </c>
      <c r="H59" s="39" t="n">
        <f aca="false">IF(OR(F59="",F59=0),"",E59/F59)</f>
        <v>0.675516224188791</v>
      </c>
      <c r="I59" s="38" t="s">
        <v>89</v>
      </c>
      <c r="J59" s="40" t="n">
        <v>3.02608556967268</v>
      </c>
      <c r="K59" s="39" t="n">
        <f aca="false">IF(G59="","",MAX(0,G59-J59/100))</f>
        <v>0.294222920114483</v>
      </c>
      <c r="L59" s="39" t="n">
        <f aca="false">IF(G59="","",MIN(1,G59+J59/100))</f>
        <v>0.354744631507936</v>
      </c>
      <c r="M59" s="21" t="n">
        <f aca="false">ROUND(Q59*S59,0)</f>
        <v>41</v>
      </c>
      <c r="N59" s="21" t="n">
        <f aca="false">ROUND(SQRT((F59*J59/100)^2+(G59*M59)^2),0)</f>
        <v>24</v>
      </c>
      <c r="P59" s="41" t="n">
        <v>-20.1689399094714</v>
      </c>
      <c r="Q59" s="42" t="n">
        <v>678</v>
      </c>
      <c r="R59" s="43" t="n">
        <f aca="false">MAX(0,MIN(1,P59/100+$D$5))</f>
        <v>0.324877803600161</v>
      </c>
      <c r="S59" s="43" t="n">
        <v>0.0610405690258335</v>
      </c>
      <c r="T59" s="44" t="s">
        <v>90</v>
      </c>
    </row>
    <row r="60" customFormat="false" ht="15" hidden="false" customHeight="false" outlineLevel="0" collapsed="false">
      <c r="A60" s="38" t="s">
        <v>87</v>
      </c>
      <c r="B60" s="38" t="s">
        <v>152</v>
      </c>
      <c r="C60" s="38" t="s">
        <v>153</v>
      </c>
      <c r="D60" s="21" t="n">
        <f aca="false">ROUND(Q60*R60,0)</f>
        <v>201</v>
      </c>
      <c r="E60" s="21" t="n">
        <f aca="false">ROUND(Q60,0)-D60</f>
        <v>401</v>
      </c>
      <c r="F60" s="21" t="n">
        <f aca="false">IF(COUNTA(D60:E60)=0,"",SUM(D60:E60))</f>
        <v>602</v>
      </c>
      <c r="G60" s="39" t="n">
        <f aca="false">IF(OR(F60="",F60=0),"",D60/F60)</f>
        <v>0.333887043189369</v>
      </c>
      <c r="H60" s="39" t="n">
        <f aca="false">IF(OR(F60="",F60=0),"",E60/F60)</f>
        <v>0.666112956810631</v>
      </c>
      <c r="I60" s="38" t="s">
        <v>89</v>
      </c>
      <c r="J60" s="40" t="n">
        <v>3.02608556967268</v>
      </c>
      <c r="K60" s="39" t="n">
        <f aca="false">IF(G60="","",MAX(0,G60-J60/100))</f>
        <v>0.303626187492642</v>
      </c>
      <c r="L60" s="39" t="n">
        <f aca="false">IF(G60="","",MIN(1,G60+J60/100))</f>
        <v>0.364147898886096</v>
      </c>
      <c r="M60" s="21" t="n">
        <f aca="false">ROUND(Q60*S60,0)</f>
        <v>37</v>
      </c>
      <c r="N60" s="21" t="n">
        <f aca="false">ROUND(SQRT((F60*J60/100)^2+(G60*M60)^2),0)</f>
        <v>22</v>
      </c>
      <c r="P60" s="41" t="n">
        <v>-19.2387223061064</v>
      </c>
      <c r="Q60" s="42" t="n">
        <v>602</v>
      </c>
      <c r="R60" s="43" t="n">
        <f aca="false">MAX(0,MIN(1,P60/100+$D$5))</f>
        <v>0.33417997963381</v>
      </c>
      <c r="S60" s="43" t="n">
        <v>0.0610405690258335</v>
      </c>
      <c r="T60" s="44" t="s">
        <v>90</v>
      </c>
    </row>
    <row r="61" customFormat="false" ht="15" hidden="false" customHeight="false" outlineLevel="0" collapsed="false">
      <c r="A61" s="38" t="s">
        <v>87</v>
      </c>
      <c r="B61" s="38" t="s">
        <v>152</v>
      </c>
      <c r="C61" s="38" t="s">
        <v>154</v>
      </c>
      <c r="D61" s="21" t="n">
        <f aca="false">ROUND(Q61*R61,0)</f>
        <v>93</v>
      </c>
      <c r="E61" s="21" t="n">
        <f aca="false">ROUND(Q61,0)-D61</f>
        <v>206</v>
      </c>
      <c r="F61" s="21" t="n">
        <f aca="false">IF(COUNTA(D61:E61)=0,"",SUM(D61:E61))</f>
        <v>299</v>
      </c>
      <c r="G61" s="39" t="n">
        <f aca="false">IF(OR(F61="",F61=0),"",D61/F61)</f>
        <v>0.311036789297659</v>
      </c>
      <c r="H61" s="39" t="n">
        <f aca="false">IF(OR(F61="",F61=0),"",E61/F61)</f>
        <v>0.688963210702341</v>
      </c>
      <c r="I61" s="38" t="s">
        <v>89</v>
      </c>
      <c r="J61" s="40" t="n">
        <v>3.02608556967268</v>
      </c>
      <c r="K61" s="39" t="n">
        <f aca="false">IF(G61="","",MAX(0,G61-J61/100))</f>
        <v>0.280775933600932</v>
      </c>
      <c r="L61" s="39" t="n">
        <f aca="false">IF(G61="","",MIN(1,G61+J61/100))</f>
        <v>0.341297644994386</v>
      </c>
      <c r="M61" s="21" t="n">
        <f aca="false">ROUND(Q61*S61,0)</f>
        <v>18</v>
      </c>
      <c r="N61" s="21" t="n">
        <f aca="false">ROUND(SQRT((F61*J61/100)^2+(G61*M61)^2),0)</f>
        <v>11</v>
      </c>
      <c r="P61" s="41" t="n">
        <v>-21.5484779712849</v>
      </c>
      <c r="Q61" s="42" t="n">
        <v>299</v>
      </c>
      <c r="R61" s="43" t="n">
        <f aca="false">MAX(0,MIN(1,P61/100+$D$5))</f>
        <v>0.311082422982025</v>
      </c>
      <c r="S61" s="43" t="n">
        <v>0.0610405690258335</v>
      </c>
      <c r="T61" s="44" t="s">
        <v>90</v>
      </c>
    </row>
    <row r="62" customFormat="false" ht="15" hidden="false" customHeight="false" outlineLevel="0" collapsed="false">
      <c r="A62" s="38" t="s">
        <v>87</v>
      </c>
      <c r="B62" s="38" t="s">
        <v>155</v>
      </c>
      <c r="C62" s="38" t="s">
        <v>155</v>
      </c>
      <c r="D62" s="21" t="n">
        <f aca="false">ROUND(Q62*R62,0)</f>
        <v>41</v>
      </c>
      <c r="E62" s="21" t="n">
        <f aca="false">ROUND(Q62,0)-D62</f>
        <v>59</v>
      </c>
      <c r="F62" s="21" t="n">
        <f aca="false">IF(COUNTA(D62:E62)=0,"",SUM(D62:E62))</f>
        <v>100</v>
      </c>
      <c r="G62" s="39" t="n">
        <f aca="false">IF(OR(F62="",F62=0),"",D62/F62)</f>
        <v>0.41</v>
      </c>
      <c r="H62" s="39" t="n">
        <f aca="false">IF(OR(F62="",F62=0),"",E62/F62)</f>
        <v>0.59</v>
      </c>
      <c r="I62" s="38" t="s">
        <v>89</v>
      </c>
      <c r="J62" s="40" t="n">
        <v>3.02608556967268</v>
      </c>
      <c r="K62" s="39" t="n">
        <f aca="false">IF(G62="","",MAX(0,G62-J62/100))</f>
        <v>0.379739144303273</v>
      </c>
      <c r="L62" s="39" t="n">
        <f aca="false">IF(G62="","",MIN(1,G62+J62/100))</f>
        <v>0.440260855696727</v>
      </c>
      <c r="M62" s="21" t="n">
        <f aca="false">ROUND(Q62*S62,0)</f>
        <v>6</v>
      </c>
      <c r="N62" s="21" t="n">
        <f aca="false">ROUND(SQRT((F62*J62/100)^2+(G62*M62)^2),0)</f>
        <v>4</v>
      </c>
      <c r="P62" s="41" t="n">
        <v>-11.8838044651803</v>
      </c>
      <c r="Q62" s="42" t="n">
        <v>100</v>
      </c>
      <c r="R62" s="43" t="n">
        <f aca="false">MAX(0,MIN(1,P62/100+$D$5))</f>
        <v>0.407729158043072</v>
      </c>
      <c r="S62" s="43" t="n">
        <v>0.0610405690258335</v>
      </c>
      <c r="T62" s="44" t="s">
        <v>90</v>
      </c>
    </row>
    <row r="63" customFormat="false" ht="15" hidden="false" customHeight="false" outlineLevel="0" collapsed="false">
      <c r="A63" s="38" t="s">
        <v>156</v>
      </c>
      <c r="B63" s="38" t="s">
        <v>157</v>
      </c>
      <c r="C63" s="38" t="s">
        <v>157</v>
      </c>
      <c r="D63" s="21" t="n">
        <f aca="false">ROUND(Q63*R63,0)</f>
        <v>506</v>
      </c>
      <c r="E63" s="21" t="n">
        <f aca="false">ROUND(Q63,0)-D63</f>
        <v>507</v>
      </c>
      <c r="F63" s="21" t="n">
        <f aca="false">IF(COUNTA(D63:E63)=0,"",SUM(D63:E63))</f>
        <v>1013</v>
      </c>
      <c r="G63" s="39" t="n">
        <f aca="false">IF(OR(F63="",F63=0),"",D63/F63)</f>
        <v>0.499506416584403</v>
      </c>
      <c r="H63" s="39" t="n">
        <f aca="false">IF(OR(F63="",F63=0),"",E63/F63)</f>
        <v>0.500493583415597</v>
      </c>
      <c r="I63" s="38" t="s">
        <v>89</v>
      </c>
      <c r="J63" s="40" t="n">
        <v>1.8085538155628</v>
      </c>
      <c r="K63" s="39" t="n">
        <f aca="false">IF(G63="","",MAX(0,G63-J63/100))</f>
        <v>0.481420878428775</v>
      </c>
      <c r="L63" s="39" t="n">
        <f aca="false">IF(G63="","",MIN(1,G63+J63/100))</f>
        <v>0.517591954740031</v>
      </c>
      <c r="M63" s="21" t="n">
        <f aca="false">ROUND(Q63*S63,0)</f>
        <v>51</v>
      </c>
      <c r="N63" s="21" t="n">
        <f aca="false">ROUND(SQRT((F63*J63/100)^2+(G63*M63)^2),0)</f>
        <v>31</v>
      </c>
      <c r="P63" s="41" t="n">
        <v>-2.7276192063959</v>
      </c>
      <c r="Q63" s="42" t="n">
        <v>1013</v>
      </c>
      <c r="R63" s="43" t="n">
        <f aca="false">MAX(0,MIN(1,P63/100+$D$5))</f>
        <v>0.499291010630915</v>
      </c>
      <c r="S63" s="43" t="n">
        <v>0.0500321312575726</v>
      </c>
      <c r="T63" s="44" t="s">
        <v>99</v>
      </c>
    </row>
    <row r="64" customFormat="false" ht="15" hidden="false" customHeight="false" outlineLevel="0" collapsed="false">
      <c r="A64" s="38" t="s">
        <v>156</v>
      </c>
      <c r="B64" s="38" t="s">
        <v>158</v>
      </c>
      <c r="C64" s="38" t="s">
        <v>159</v>
      </c>
      <c r="D64" s="21" t="n">
        <f aca="false">ROUND(Q64*R64,0)</f>
        <v>254</v>
      </c>
      <c r="E64" s="21" t="n">
        <f aca="false">ROUND(Q64,0)-D64</f>
        <v>81</v>
      </c>
      <c r="F64" s="21" t="n">
        <f aca="false">IF(COUNTA(D64:E64)=0,"",SUM(D64:E64))</f>
        <v>335</v>
      </c>
      <c r="G64" s="39" t="n">
        <f aca="false">IF(OR(F64="",F64=0),"",D64/F64)</f>
        <v>0.758208955223881</v>
      </c>
      <c r="H64" s="39" t="n">
        <f aca="false">IF(OR(F64="",F64=0),"",E64/F64)</f>
        <v>0.241791044776119</v>
      </c>
      <c r="I64" s="38" t="s">
        <v>89</v>
      </c>
      <c r="J64" s="40" t="n">
        <v>3.02608556967268</v>
      </c>
      <c r="K64" s="39" t="n">
        <f aca="false">IF(G64="","",MAX(0,G64-J64/100))</f>
        <v>0.727948099527154</v>
      </c>
      <c r="L64" s="39" t="n">
        <f aca="false">IF(G64="","",MIN(1,G64+J64/100))</f>
        <v>0.788469810920607</v>
      </c>
      <c r="M64" s="21" t="n">
        <f aca="false">ROUND(Q64*S64,0)</f>
        <v>20</v>
      </c>
      <c r="N64" s="21" t="n">
        <f aca="false">ROUND(SQRT((F64*J64/100)^2+(G64*M64)^2),0)</f>
        <v>18</v>
      </c>
      <c r="P64" s="41" t="n">
        <v>23.0938013176114</v>
      </c>
      <c r="Q64" s="42" t="n">
        <v>335</v>
      </c>
      <c r="R64" s="43" t="n">
        <f aca="false">MAX(0,MIN(1,P64/100+$D$5))</f>
        <v>0.757505215870989</v>
      </c>
      <c r="S64" s="43" t="n">
        <v>0.0610405690258335</v>
      </c>
      <c r="T64" s="44" t="s">
        <v>90</v>
      </c>
    </row>
    <row r="65" customFormat="false" ht="15" hidden="false" customHeight="false" outlineLevel="0" collapsed="false">
      <c r="A65" s="38" t="s">
        <v>156</v>
      </c>
      <c r="B65" s="38" t="s">
        <v>158</v>
      </c>
      <c r="C65" s="38" t="s">
        <v>160</v>
      </c>
      <c r="D65" s="21" t="n">
        <f aca="false">ROUND(Q65*R65,0)</f>
        <v>147</v>
      </c>
      <c r="E65" s="21" t="n">
        <f aca="false">ROUND(Q65,0)-D65</f>
        <v>62</v>
      </c>
      <c r="F65" s="21" t="n">
        <f aca="false">IF(COUNTA(D65:E65)=0,"",SUM(D65:E65))</f>
        <v>209</v>
      </c>
      <c r="G65" s="39" t="n">
        <f aca="false">IF(OR(F65="",F65=0),"",D65/F65)</f>
        <v>0.703349282296651</v>
      </c>
      <c r="H65" s="39" t="n">
        <f aca="false">IF(OR(F65="",F65=0),"",E65/F65)</f>
        <v>0.296650717703349</v>
      </c>
      <c r="I65" s="38" t="s">
        <v>89</v>
      </c>
      <c r="J65" s="40" t="n">
        <v>3.02608556967268</v>
      </c>
      <c r="K65" s="39" t="n">
        <f aca="false">IF(G65="","",MAX(0,G65-J65/100))</f>
        <v>0.673088426599924</v>
      </c>
      <c r="L65" s="39" t="n">
        <f aca="false">IF(G65="","",MIN(1,G65+J65/100))</f>
        <v>0.733610137993378</v>
      </c>
      <c r="M65" s="21" t="n">
        <f aca="false">ROUND(Q65*S65,0)</f>
        <v>13</v>
      </c>
      <c r="N65" s="21" t="n">
        <f aca="false">ROUND(SQRT((F65*J65/100)^2+(G65*M65)^2),0)</f>
        <v>11</v>
      </c>
      <c r="P65" s="41" t="n">
        <v>17.6036229208544</v>
      </c>
      <c r="Q65" s="42" t="n">
        <v>209</v>
      </c>
      <c r="R65" s="43" t="n">
        <f aca="false">MAX(0,MIN(1,P65/100+$D$5))</f>
        <v>0.702603431903418</v>
      </c>
      <c r="S65" s="43" t="n">
        <v>0.0610405690258335</v>
      </c>
      <c r="T65" s="44" t="s">
        <v>90</v>
      </c>
    </row>
    <row r="66" customFormat="false" ht="15" hidden="false" customHeight="false" outlineLevel="0" collapsed="false">
      <c r="A66" s="38" t="s">
        <v>156</v>
      </c>
      <c r="B66" s="38" t="s">
        <v>158</v>
      </c>
      <c r="C66" s="38" t="s">
        <v>161</v>
      </c>
      <c r="D66" s="21" t="n">
        <f aca="false">ROUND(Q66*R66,0)</f>
        <v>176</v>
      </c>
      <c r="E66" s="21" t="n">
        <f aca="false">ROUND(Q66,0)-D66</f>
        <v>63</v>
      </c>
      <c r="F66" s="21" t="n">
        <f aca="false">IF(COUNTA(D66:E66)=0,"",SUM(D66:E66))</f>
        <v>239</v>
      </c>
      <c r="G66" s="39" t="n">
        <f aca="false">IF(OR(F66="",F66=0),"",D66/F66)</f>
        <v>0.736401673640167</v>
      </c>
      <c r="H66" s="39" t="n">
        <f aca="false">IF(OR(F66="",F66=0),"",E66/F66)</f>
        <v>0.263598326359833</v>
      </c>
      <c r="I66" s="38" t="s">
        <v>89</v>
      </c>
      <c r="J66" s="40" t="n">
        <v>3.02608556967268</v>
      </c>
      <c r="K66" s="39" t="n">
        <f aca="false">IF(G66="","",MAX(0,G66-J66/100))</f>
        <v>0.706140817943441</v>
      </c>
      <c r="L66" s="39" t="n">
        <f aca="false">IF(G66="","",MIN(1,G66+J66/100))</f>
        <v>0.766662529336894</v>
      </c>
      <c r="M66" s="21" t="n">
        <f aca="false">ROUND(Q66*S66,0)</f>
        <v>15</v>
      </c>
      <c r="N66" s="21" t="n">
        <f aca="false">ROUND(SQRT((F66*J66/100)^2+(G66*M66)^2),0)</f>
        <v>13</v>
      </c>
      <c r="P66" s="41" t="n">
        <v>20.8786698262124</v>
      </c>
      <c r="Q66" s="42" t="n">
        <v>239</v>
      </c>
      <c r="R66" s="43" t="n">
        <f aca="false">MAX(0,MIN(1,P66/100+$D$5))</f>
        <v>0.735353900956998</v>
      </c>
      <c r="S66" s="43" t="n">
        <v>0.0610405690258335</v>
      </c>
      <c r="T66" s="44" t="s">
        <v>90</v>
      </c>
    </row>
    <row r="67" customFormat="false" ht="15" hidden="false" customHeight="false" outlineLevel="0" collapsed="false">
      <c r="A67" s="38" t="s">
        <v>156</v>
      </c>
      <c r="B67" s="38" t="s">
        <v>158</v>
      </c>
      <c r="C67" s="38" t="s">
        <v>162</v>
      </c>
      <c r="D67" s="21" t="n">
        <f aca="false">ROUND(Q67*R67,0)</f>
        <v>170</v>
      </c>
      <c r="E67" s="21" t="n">
        <f aca="false">ROUND(Q67,0)-D67</f>
        <v>68</v>
      </c>
      <c r="F67" s="21" t="n">
        <f aca="false">IF(COUNTA(D67:E67)=0,"",SUM(D67:E67))</f>
        <v>238</v>
      </c>
      <c r="G67" s="39" t="n">
        <f aca="false">IF(OR(F67="",F67=0),"",D67/F67)</f>
        <v>0.714285714285714</v>
      </c>
      <c r="H67" s="39" t="n">
        <f aca="false">IF(OR(F67="",F67=0),"",E67/F67)</f>
        <v>0.285714285714286</v>
      </c>
      <c r="I67" s="38" t="s">
        <v>89</v>
      </c>
      <c r="J67" s="40" t="n">
        <v>3.02608556967268</v>
      </c>
      <c r="K67" s="39" t="n">
        <f aca="false">IF(G67="","",MAX(0,G67-J67/100))</f>
        <v>0.684024858588987</v>
      </c>
      <c r="L67" s="39" t="n">
        <f aca="false">IF(G67="","",MIN(1,G67+J67/100))</f>
        <v>0.744546569982441</v>
      </c>
      <c r="M67" s="21" t="n">
        <f aca="false">ROUND(Q67*S67,0)</f>
        <v>15</v>
      </c>
      <c r="N67" s="21" t="n">
        <f aca="false">ROUND(SQRT((F67*J67/100)^2+(G67*M67)^2),0)</f>
        <v>13</v>
      </c>
      <c r="P67" s="41" t="n">
        <v>18.8574450397064</v>
      </c>
      <c r="Q67" s="42" t="n">
        <v>238</v>
      </c>
      <c r="R67" s="43" t="n">
        <f aca="false">MAX(0,MIN(1,P67/100+$D$5))</f>
        <v>0.715141653091938</v>
      </c>
      <c r="S67" s="43" t="n">
        <v>0.0610405690258335</v>
      </c>
      <c r="T67" s="44" t="s">
        <v>90</v>
      </c>
    </row>
    <row r="68" customFormat="false" ht="15" hidden="false" customHeight="false" outlineLevel="0" collapsed="false">
      <c r="A68" s="38" t="s">
        <v>156</v>
      </c>
      <c r="B68" s="38" t="s">
        <v>158</v>
      </c>
      <c r="C68" s="38" t="s">
        <v>163</v>
      </c>
      <c r="D68" s="21" t="n">
        <f aca="false">ROUND(Q68*R68,0)</f>
        <v>180</v>
      </c>
      <c r="E68" s="21" t="n">
        <f aca="false">ROUND(Q68,0)-D68</f>
        <v>52</v>
      </c>
      <c r="F68" s="21" t="n">
        <f aca="false">IF(COUNTA(D68:E68)=0,"",SUM(D68:E68))</f>
        <v>232</v>
      </c>
      <c r="G68" s="39" t="n">
        <f aca="false">IF(OR(F68="",F68=0),"",D68/F68)</f>
        <v>0.775862068965517</v>
      </c>
      <c r="H68" s="39" t="n">
        <f aca="false">IF(OR(F68="",F68=0),"",E68/F68)</f>
        <v>0.224137931034483</v>
      </c>
      <c r="I68" s="38" t="s">
        <v>89</v>
      </c>
      <c r="J68" s="40" t="n">
        <v>3.02608556967268</v>
      </c>
      <c r="K68" s="39" t="n">
        <f aca="false">IF(G68="","",MAX(0,G68-J68/100))</f>
        <v>0.74560121326879</v>
      </c>
      <c r="L68" s="39" t="n">
        <f aca="false">IF(G68="","",MIN(1,G68+J68/100))</f>
        <v>0.806122924662244</v>
      </c>
      <c r="M68" s="21" t="n">
        <f aca="false">ROUND(Q68*S68,0)</f>
        <v>14</v>
      </c>
      <c r="N68" s="21" t="n">
        <f aca="false">ROUND(SQRT((F68*J68/100)^2+(G68*M68)^2),0)</f>
        <v>13</v>
      </c>
      <c r="P68" s="41" t="n">
        <v>24.9376042489871</v>
      </c>
      <c r="Q68" s="42" t="n">
        <v>232</v>
      </c>
      <c r="R68" s="43" t="n">
        <f aca="false">MAX(0,MIN(1,P68/100+$D$5))</f>
        <v>0.775943245184745</v>
      </c>
      <c r="S68" s="43" t="n">
        <v>0.0610405690258335</v>
      </c>
      <c r="T68" s="44" t="s">
        <v>90</v>
      </c>
    </row>
    <row r="69" customFormat="false" ht="15" hidden="false" customHeight="false" outlineLevel="0" collapsed="false">
      <c r="A69" s="38" t="s">
        <v>156</v>
      </c>
      <c r="B69" s="38" t="s">
        <v>158</v>
      </c>
      <c r="C69" s="38" t="s">
        <v>164</v>
      </c>
      <c r="D69" s="21" t="n">
        <f aca="false">ROUND(Q69*R69,0)</f>
        <v>258</v>
      </c>
      <c r="E69" s="21" t="n">
        <f aca="false">ROUND(Q69,0)-D69</f>
        <v>100</v>
      </c>
      <c r="F69" s="21" t="n">
        <f aca="false">IF(COUNTA(D69:E69)=0,"",SUM(D69:E69))</f>
        <v>358</v>
      </c>
      <c r="G69" s="39" t="n">
        <f aca="false">IF(OR(F69="",F69=0),"",D69/F69)</f>
        <v>0.720670391061453</v>
      </c>
      <c r="H69" s="39" t="n">
        <f aca="false">IF(OR(F69="",F69=0),"",E69/F69)</f>
        <v>0.279329608938547</v>
      </c>
      <c r="I69" s="38" t="s">
        <v>89</v>
      </c>
      <c r="J69" s="40" t="n">
        <v>3.02608556967268</v>
      </c>
      <c r="K69" s="39" t="n">
        <f aca="false">IF(G69="","",MAX(0,G69-J69/100))</f>
        <v>0.690409535364726</v>
      </c>
      <c r="L69" s="39" t="n">
        <f aca="false">IF(G69="","",MIN(1,G69+J69/100))</f>
        <v>0.750931246758179</v>
      </c>
      <c r="M69" s="21" t="n">
        <f aca="false">ROUND(Q69*S69,0)</f>
        <v>22</v>
      </c>
      <c r="N69" s="21" t="n">
        <f aca="false">ROUND(SQRT((F69*J69/100)^2+(G69*M69)^2),0)</f>
        <v>19</v>
      </c>
      <c r="P69" s="41" t="n">
        <v>19.4769148011744</v>
      </c>
      <c r="Q69" s="42" t="n">
        <v>358</v>
      </c>
      <c r="R69" s="43" t="n">
        <f aca="false">MAX(0,MIN(1,P69/100+$D$5))</f>
        <v>0.721336350706619</v>
      </c>
      <c r="S69" s="43" t="n">
        <v>0.0610405690258335</v>
      </c>
      <c r="T69" s="44" t="s">
        <v>90</v>
      </c>
    </row>
    <row r="70" customFormat="false" ht="15" hidden="false" customHeight="false" outlineLevel="0" collapsed="false">
      <c r="A70" s="38" t="s">
        <v>156</v>
      </c>
      <c r="B70" s="38" t="s">
        <v>158</v>
      </c>
      <c r="C70" s="38" t="s">
        <v>165</v>
      </c>
      <c r="D70" s="21" t="n">
        <f aca="false">ROUND(Q70*R70,0)</f>
        <v>613</v>
      </c>
      <c r="E70" s="21" t="n">
        <f aca="false">ROUND(Q70,0)-D70</f>
        <v>152</v>
      </c>
      <c r="F70" s="21" t="n">
        <f aca="false">IF(COUNTA(D70:E70)=0,"",SUM(D70:E70))</f>
        <v>765</v>
      </c>
      <c r="G70" s="39" t="n">
        <f aca="false">IF(OR(F70="",F70=0),"",D70/F70)</f>
        <v>0.801307189542484</v>
      </c>
      <c r="H70" s="39" t="n">
        <f aca="false">IF(OR(F70="",F70=0),"",E70/F70)</f>
        <v>0.198692810457516</v>
      </c>
      <c r="I70" s="38" t="s">
        <v>89</v>
      </c>
      <c r="J70" s="40" t="n">
        <v>3.02608556967268</v>
      </c>
      <c r="K70" s="39" t="n">
        <f aca="false">IF(G70="","",MAX(0,G70-J70/100))</f>
        <v>0.771046333845757</v>
      </c>
      <c r="L70" s="39" t="n">
        <f aca="false">IF(G70="","",MIN(1,G70+J70/100))</f>
        <v>0.831568045239211</v>
      </c>
      <c r="M70" s="21" t="n">
        <f aca="false">ROUND(Q70*S70,0)</f>
        <v>47</v>
      </c>
      <c r="N70" s="21" t="n">
        <f aca="false">ROUND(SQRT((F70*J70/100)^2+(G70*M70)^2),0)</f>
        <v>44</v>
      </c>
      <c r="P70" s="41" t="n">
        <v>27.5320852559427</v>
      </c>
      <c r="Q70" s="42" t="n">
        <v>765</v>
      </c>
      <c r="R70" s="43" t="n">
        <f aca="false">MAX(0,MIN(1,P70/100+$D$5))</f>
        <v>0.801888055254302</v>
      </c>
      <c r="S70" s="43" t="n">
        <v>0.0610405690258335</v>
      </c>
      <c r="T70" s="44" t="s">
        <v>90</v>
      </c>
    </row>
    <row r="71" customFormat="false" ht="15" hidden="false" customHeight="false" outlineLevel="0" collapsed="false">
      <c r="A71" s="38" t="s">
        <v>156</v>
      </c>
      <c r="B71" s="38" t="s">
        <v>158</v>
      </c>
      <c r="C71" s="38" t="s">
        <v>166</v>
      </c>
      <c r="D71" s="21" t="n">
        <f aca="false">ROUND(Q71*R71,0)</f>
        <v>276</v>
      </c>
      <c r="E71" s="21" t="n">
        <f aca="false">ROUND(Q71,0)-D71</f>
        <v>123</v>
      </c>
      <c r="F71" s="21" t="n">
        <f aca="false">IF(COUNTA(D71:E71)=0,"",SUM(D71:E71))</f>
        <v>399</v>
      </c>
      <c r="G71" s="39" t="n">
        <f aca="false">IF(OR(F71="",F71=0),"",D71/F71)</f>
        <v>0.691729323308271</v>
      </c>
      <c r="H71" s="39" t="n">
        <f aca="false">IF(OR(F71="",F71=0),"",E71/F71)</f>
        <v>0.308270676691729</v>
      </c>
      <c r="I71" s="38" t="s">
        <v>89</v>
      </c>
      <c r="J71" s="40" t="n">
        <v>3.02608556967268</v>
      </c>
      <c r="K71" s="39" t="n">
        <f aca="false">IF(G71="","",MAX(0,G71-J71/100))</f>
        <v>0.661468467611544</v>
      </c>
      <c r="L71" s="39" t="n">
        <f aca="false">IF(G71="","",MIN(1,G71+J71/100))</f>
        <v>0.721990179004998</v>
      </c>
      <c r="M71" s="21" t="n">
        <f aca="false">ROUND(Q71*S71,0)</f>
        <v>24</v>
      </c>
      <c r="N71" s="21" t="n">
        <f aca="false">ROUND(SQRT((F71*J71/100)^2+(G71*M71)^2),0)</f>
        <v>21</v>
      </c>
      <c r="P71" s="41" t="n">
        <v>16.4710572658394</v>
      </c>
      <c r="Q71" s="42" t="n">
        <v>399</v>
      </c>
      <c r="R71" s="43" t="n">
        <f aca="false">MAX(0,MIN(1,P71/100+$D$5))</f>
        <v>0.691277775353268</v>
      </c>
      <c r="S71" s="43" t="n">
        <v>0.0610405690258335</v>
      </c>
      <c r="T71" s="44" t="s">
        <v>90</v>
      </c>
    </row>
    <row r="72" customFormat="false" ht="15" hidden="false" customHeight="false" outlineLevel="0" collapsed="false">
      <c r="A72" s="38" t="s">
        <v>156</v>
      </c>
      <c r="B72" s="38" t="s">
        <v>158</v>
      </c>
      <c r="C72" s="38" t="s">
        <v>167</v>
      </c>
      <c r="D72" s="21" t="n">
        <f aca="false">ROUND(Q72*R72,0)</f>
        <v>445</v>
      </c>
      <c r="E72" s="21" t="n">
        <f aca="false">ROUND(Q72,0)-D72</f>
        <v>244</v>
      </c>
      <c r="F72" s="21" t="n">
        <f aca="false">IF(COUNTA(D72:E72)=0,"",SUM(D72:E72))</f>
        <v>689</v>
      </c>
      <c r="G72" s="39" t="n">
        <f aca="false">IF(OR(F72="",F72=0),"",D72/F72)</f>
        <v>0.645863570391872</v>
      </c>
      <c r="H72" s="39" t="n">
        <f aca="false">IF(OR(F72="",F72=0),"",E72/F72)</f>
        <v>0.354136429608128</v>
      </c>
      <c r="I72" s="38" t="s">
        <v>89</v>
      </c>
      <c r="J72" s="40" t="n">
        <v>3.02608556967268</v>
      </c>
      <c r="K72" s="39" t="n">
        <f aca="false">IF(G72="","",MAX(0,G72-J72/100))</f>
        <v>0.615602714695145</v>
      </c>
      <c r="L72" s="39" t="n">
        <f aca="false">IF(G72="","",MIN(1,G72+J72/100))</f>
        <v>0.676124426088599</v>
      </c>
      <c r="M72" s="21" t="n">
        <f aca="false">ROUND(Q72*S72,0)</f>
        <v>42</v>
      </c>
      <c r="N72" s="21" t="n">
        <f aca="false">ROUND(SQRT((F72*J72/100)^2+(G72*M72)^2),0)</f>
        <v>34</v>
      </c>
      <c r="P72" s="41" t="n">
        <v>11.9311121801602</v>
      </c>
      <c r="Q72" s="42" t="n">
        <v>689</v>
      </c>
      <c r="R72" s="43" t="n">
        <f aca="false">MAX(0,MIN(1,P72/100+$D$5))</f>
        <v>0.645878324496476</v>
      </c>
      <c r="S72" s="43" t="n">
        <v>0.0610405690258335</v>
      </c>
      <c r="T72" s="44" t="s">
        <v>90</v>
      </c>
    </row>
    <row r="73" customFormat="false" ht="15" hidden="false" customHeight="false" outlineLevel="0" collapsed="false">
      <c r="A73" s="38" t="s">
        <v>156</v>
      </c>
      <c r="B73" s="38" t="s">
        <v>158</v>
      </c>
      <c r="C73" s="38" t="s">
        <v>168</v>
      </c>
      <c r="D73" s="21" t="n">
        <f aca="false">ROUND(Q73*R73,0)</f>
        <v>363</v>
      </c>
      <c r="E73" s="21" t="n">
        <f aca="false">ROUND(Q73,0)-D73</f>
        <v>181</v>
      </c>
      <c r="F73" s="21" t="n">
        <f aca="false">IF(COUNTA(D73:E73)=0,"",SUM(D73:E73))</f>
        <v>544</v>
      </c>
      <c r="G73" s="39" t="n">
        <f aca="false">IF(OR(F73="",F73=0),"",D73/F73)</f>
        <v>0.667279411764706</v>
      </c>
      <c r="H73" s="39" t="n">
        <f aca="false">IF(OR(F73="",F73=0),"",E73/F73)</f>
        <v>0.332720588235294</v>
      </c>
      <c r="I73" s="38" t="s">
        <v>89</v>
      </c>
      <c r="J73" s="40" t="n">
        <v>3.02608556967268</v>
      </c>
      <c r="K73" s="39" t="n">
        <f aca="false">IF(G73="","",MAX(0,G73-J73/100))</f>
        <v>0.637018556067979</v>
      </c>
      <c r="L73" s="39" t="n">
        <f aca="false">IF(G73="","",MIN(1,G73+J73/100))</f>
        <v>0.697540267461433</v>
      </c>
      <c r="M73" s="21" t="n">
        <f aca="false">ROUND(Q73*S73,0)</f>
        <v>33</v>
      </c>
      <c r="N73" s="21" t="n">
        <f aca="false">ROUND(SQRT((F73*J73/100)^2+(G73*M73)^2),0)</f>
        <v>27</v>
      </c>
      <c r="P73" s="41" t="n">
        <v>14.0140353381849</v>
      </c>
      <c r="Q73" s="42" t="n">
        <v>544</v>
      </c>
      <c r="R73" s="43" t="n">
        <f aca="false">MAX(0,MIN(1,P73/100+$D$5))</f>
        <v>0.666707556076723</v>
      </c>
      <c r="S73" s="43" t="n">
        <v>0.0610405690258335</v>
      </c>
      <c r="T73" s="44" t="s">
        <v>90</v>
      </c>
    </row>
    <row r="74" customFormat="false" ht="15" hidden="false" customHeight="false" outlineLevel="0" collapsed="false">
      <c r="A74" s="38" t="s">
        <v>156</v>
      </c>
      <c r="B74" s="38" t="s">
        <v>158</v>
      </c>
      <c r="C74" s="38" t="s">
        <v>169</v>
      </c>
      <c r="D74" s="21" t="n">
        <f aca="false">ROUND(Q74*R74,0)</f>
        <v>275</v>
      </c>
      <c r="E74" s="21" t="n">
        <f aca="false">ROUND(Q74,0)-D74</f>
        <v>109</v>
      </c>
      <c r="F74" s="21" t="n">
        <f aca="false">IF(COUNTA(D74:E74)=0,"",SUM(D74:E74))</f>
        <v>384</v>
      </c>
      <c r="G74" s="39" t="n">
        <f aca="false">IF(OR(F74="",F74=0),"",D74/F74)</f>
        <v>0.716145833333333</v>
      </c>
      <c r="H74" s="39" t="n">
        <f aca="false">IF(OR(F74="",F74=0),"",E74/F74)</f>
        <v>0.283854166666667</v>
      </c>
      <c r="I74" s="38" t="s">
        <v>89</v>
      </c>
      <c r="J74" s="40" t="n">
        <v>3.02608556967268</v>
      </c>
      <c r="K74" s="39" t="n">
        <f aca="false">IF(G74="","",MAX(0,G74-J74/100))</f>
        <v>0.685884977636607</v>
      </c>
      <c r="L74" s="39" t="n">
        <f aca="false">IF(G74="","",MIN(1,G74+J74/100))</f>
        <v>0.74640668903006</v>
      </c>
      <c r="M74" s="21" t="n">
        <f aca="false">ROUND(Q74*S74,0)</f>
        <v>23</v>
      </c>
      <c r="N74" s="21" t="n">
        <f aca="false">ROUND(SQRT((F74*J74/100)^2+(G74*M74)^2),0)</f>
        <v>20</v>
      </c>
      <c r="P74" s="41" t="n">
        <v>19.0826162903993</v>
      </c>
      <c r="Q74" s="42" t="n">
        <v>384</v>
      </c>
      <c r="R74" s="43" t="n">
        <f aca="false">MAX(0,MIN(1,P74/100+$D$5))</f>
        <v>0.717393365598868</v>
      </c>
      <c r="S74" s="43" t="n">
        <v>0.0610405690258335</v>
      </c>
      <c r="T74" s="44" t="s">
        <v>90</v>
      </c>
    </row>
    <row r="75" customFormat="false" ht="15" hidden="false" customHeight="false" outlineLevel="0" collapsed="false">
      <c r="A75" s="38" t="s">
        <v>156</v>
      </c>
      <c r="B75" s="38" t="s">
        <v>158</v>
      </c>
      <c r="C75" s="38" t="s">
        <v>170</v>
      </c>
      <c r="D75" s="21" t="n">
        <f aca="false">ROUND(Q75*R75,0)</f>
        <v>325</v>
      </c>
      <c r="E75" s="21" t="n">
        <f aca="false">ROUND(Q75,0)-D75</f>
        <v>161</v>
      </c>
      <c r="F75" s="21" t="n">
        <f aca="false">IF(COUNTA(D75:E75)=0,"",SUM(D75:E75))</f>
        <v>486</v>
      </c>
      <c r="G75" s="39" t="n">
        <f aca="false">IF(OR(F75="",F75=0),"",D75/F75)</f>
        <v>0.668724279835391</v>
      </c>
      <c r="H75" s="39" t="n">
        <f aca="false">IF(OR(F75="",F75=0),"",E75/F75)</f>
        <v>0.331275720164609</v>
      </c>
      <c r="I75" s="38" t="s">
        <v>89</v>
      </c>
      <c r="J75" s="40" t="n">
        <v>3.02608556967268</v>
      </c>
      <c r="K75" s="39" t="n">
        <f aca="false">IF(G75="","",MAX(0,G75-J75/100))</f>
        <v>0.638463424138664</v>
      </c>
      <c r="L75" s="39" t="n">
        <f aca="false">IF(G75="","",MIN(1,G75+J75/100))</f>
        <v>0.698985135532118</v>
      </c>
      <c r="M75" s="21" t="n">
        <f aca="false">ROUND(Q75*S75,0)</f>
        <v>30</v>
      </c>
      <c r="N75" s="21" t="n">
        <f aca="false">ROUND(SQRT((F75*J75/100)^2+(G75*M75)^2),0)</f>
        <v>25</v>
      </c>
      <c r="P75" s="41" t="n">
        <v>14.1914885749348</v>
      </c>
      <c r="Q75" s="42" t="n">
        <v>486</v>
      </c>
      <c r="R75" s="43" t="n">
        <f aca="false">MAX(0,MIN(1,P75/100+$D$5))</f>
        <v>0.668482088444222</v>
      </c>
      <c r="S75" s="43" t="n">
        <v>0.0610405690258335</v>
      </c>
      <c r="T75" s="44" t="s">
        <v>90</v>
      </c>
    </row>
    <row r="76" customFormat="false" ht="15" hidden="false" customHeight="false" outlineLevel="0" collapsed="false">
      <c r="A76" s="38" t="s">
        <v>156</v>
      </c>
      <c r="B76" s="38" t="s">
        <v>158</v>
      </c>
      <c r="C76" s="38" t="s">
        <v>171</v>
      </c>
      <c r="D76" s="21" t="n">
        <f aca="false">ROUND(Q76*R76,0)</f>
        <v>329</v>
      </c>
      <c r="E76" s="21" t="n">
        <f aca="false">ROUND(Q76,0)-D76</f>
        <v>167</v>
      </c>
      <c r="F76" s="21" t="n">
        <f aca="false">IF(COUNTA(D76:E76)=0,"",SUM(D76:E76))</f>
        <v>496</v>
      </c>
      <c r="G76" s="39" t="n">
        <f aca="false">IF(OR(F76="",F76=0),"",D76/F76)</f>
        <v>0.663306451612903</v>
      </c>
      <c r="H76" s="39" t="n">
        <f aca="false">IF(OR(F76="",F76=0),"",E76/F76)</f>
        <v>0.336693548387097</v>
      </c>
      <c r="I76" s="38" t="s">
        <v>89</v>
      </c>
      <c r="J76" s="40" t="n">
        <v>3.02608556967268</v>
      </c>
      <c r="K76" s="39" t="n">
        <f aca="false">IF(G76="","",MAX(0,G76-J76/100))</f>
        <v>0.633045595916176</v>
      </c>
      <c r="L76" s="39" t="n">
        <f aca="false">IF(G76="","",MIN(1,G76+J76/100))</f>
        <v>0.69356730730963</v>
      </c>
      <c r="M76" s="21" t="n">
        <f aca="false">ROUND(Q76*S76,0)</f>
        <v>30</v>
      </c>
      <c r="N76" s="21" t="n">
        <f aca="false">ROUND(SQRT((F76*J76/100)^2+(G76*M76)^2),0)</f>
        <v>25</v>
      </c>
      <c r="P76" s="41" t="n">
        <v>13.57697250652</v>
      </c>
      <c r="Q76" s="42" t="n">
        <v>496</v>
      </c>
      <c r="R76" s="43" t="n">
        <f aca="false">MAX(0,MIN(1,P76/100+$D$5))</f>
        <v>0.662336927760074</v>
      </c>
      <c r="S76" s="43" t="n">
        <v>0.0610405690258335</v>
      </c>
      <c r="T76" s="44" t="s">
        <v>90</v>
      </c>
    </row>
    <row r="77" customFormat="false" ht="15" hidden="false" customHeight="false" outlineLevel="0" collapsed="false">
      <c r="A77" s="38" t="s">
        <v>156</v>
      </c>
      <c r="B77" s="38" t="s">
        <v>158</v>
      </c>
      <c r="C77" s="38" t="s">
        <v>172</v>
      </c>
      <c r="D77" s="21" t="n">
        <f aca="false">ROUND(Q77*R77,0)</f>
        <v>345</v>
      </c>
      <c r="E77" s="21" t="n">
        <f aca="false">ROUND(Q77,0)-D77</f>
        <v>221</v>
      </c>
      <c r="F77" s="21" t="n">
        <f aca="false">IF(COUNTA(D77:E77)=0,"",SUM(D77:E77))</f>
        <v>566</v>
      </c>
      <c r="G77" s="39" t="n">
        <f aca="false">IF(OR(F77="",F77=0),"",D77/F77)</f>
        <v>0.609540636042403</v>
      </c>
      <c r="H77" s="39" t="n">
        <f aca="false">IF(OR(F77="",F77=0),"",E77/F77)</f>
        <v>0.390459363957597</v>
      </c>
      <c r="I77" s="38" t="s">
        <v>89</v>
      </c>
      <c r="J77" s="40" t="n">
        <v>3.02608556967268</v>
      </c>
      <c r="K77" s="39" t="n">
        <f aca="false">IF(G77="","",MAX(0,G77-J77/100))</f>
        <v>0.579279780345676</v>
      </c>
      <c r="L77" s="39" t="n">
        <f aca="false">IF(G77="","",MIN(1,G77+J77/100))</f>
        <v>0.63980149173913</v>
      </c>
      <c r="M77" s="21" t="n">
        <f aca="false">ROUND(Q77*S77,0)</f>
        <v>35</v>
      </c>
      <c r="N77" s="21" t="n">
        <f aca="false">ROUND(SQRT((F77*J77/100)^2+(G77*M77)^2),0)</f>
        <v>27</v>
      </c>
      <c r="P77" s="41" t="n">
        <v>8.22612273631532</v>
      </c>
      <c r="Q77" s="42" t="n">
        <v>566</v>
      </c>
      <c r="R77" s="43" t="n">
        <f aca="false">MAX(0,MIN(1,P77/100+$D$5))</f>
        <v>0.608828430058027</v>
      </c>
      <c r="S77" s="43" t="n">
        <v>0.0610405690258335</v>
      </c>
      <c r="T77" s="44" t="s">
        <v>90</v>
      </c>
    </row>
    <row r="78" customFormat="false" ht="15" hidden="false" customHeight="false" outlineLevel="0" collapsed="false">
      <c r="A78" s="38" t="s">
        <v>156</v>
      </c>
      <c r="B78" s="38" t="s">
        <v>158</v>
      </c>
      <c r="C78" s="38" t="s">
        <v>173</v>
      </c>
      <c r="D78" s="21" t="n">
        <f aca="false">ROUND(Q78*R78,0)</f>
        <v>264</v>
      </c>
      <c r="E78" s="21" t="n">
        <f aca="false">ROUND(Q78,0)-D78</f>
        <v>146</v>
      </c>
      <c r="F78" s="21" t="n">
        <f aca="false">IF(COUNTA(D78:E78)=0,"",SUM(D78:E78))</f>
        <v>410</v>
      </c>
      <c r="G78" s="39" t="n">
        <f aca="false">IF(OR(F78="",F78=0),"",D78/F78)</f>
        <v>0.64390243902439</v>
      </c>
      <c r="H78" s="39" t="n">
        <f aca="false">IF(OR(F78="",F78=0),"",E78/F78)</f>
        <v>0.35609756097561</v>
      </c>
      <c r="I78" s="38" t="s">
        <v>89</v>
      </c>
      <c r="J78" s="40" t="n">
        <v>3.02608556967268</v>
      </c>
      <c r="K78" s="39" t="n">
        <f aca="false">IF(G78="","",MAX(0,G78-J78/100))</f>
        <v>0.613641583327663</v>
      </c>
      <c r="L78" s="39" t="n">
        <f aca="false">IF(G78="","",MIN(1,G78+J78/100))</f>
        <v>0.674163294721117</v>
      </c>
      <c r="M78" s="21" t="n">
        <f aca="false">ROUND(Q78*S78,0)</f>
        <v>25</v>
      </c>
      <c r="N78" s="21" t="n">
        <f aca="false">ROUND(SQRT((F78*J78/100)^2+(G78*M78)^2),0)</f>
        <v>20</v>
      </c>
      <c r="P78" s="41" t="n">
        <v>11.6832135162946</v>
      </c>
      <c r="Q78" s="42" t="n">
        <v>410</v>
      </c>
      <c r="R78" s="43" t="n">
        <f aca="false">MAX(0,MIN(1,P78/100+$D$5))</f>
        <v>0.64339933785782</v>
      </c>
      <c r="S78" s="43" t="n">
        <v>0.0610405690258335</v>
      </c>
      <c r="T78" s="44" t="s">
        <v>90</v>
      </c>
    </row>
    <row r="79" customFormat="false" ht="15" hidden="false" customHeight="false" outlineLevel="0" collapsed="false">
      <c r="A79" s="38" t="s">
        <v>156</v>
      </c>
      <c r="B79" s="38" t="s">
        <v>158</v>
      </c>
      <c r="C79" s="38" t="s">
        <v>174</v>
      </c>
      <c r="D79" s="21" t="n">
        <f aca="false">ROUND(Q79*R79,0)</f>
        <v>253</v>
      </c>
      <c r="E79" s="21" t="n">
        <f aca="false">ROUND(Q79,0)-D79</f>
        <v>95</v>
      </c>
      <c r="F79" s="21" t="n">
        <f aca="false">IF(COUNTA(D79:E79)=0,"",SUM(D79:E79))</f>
        <v>348</v>
      </c>
      <c r="G79" s="39" t="n">
        <f aca="false">IF(OR(F79="",F79=0),"",D79/F79)</f>
        <v>0.727011494252874</v>
      </c>
      <c r="H79" s="39" t="n">
        <f aca="false">IF(OR(F79="",F79=0),"",E79/F79)</f>
        <v>0.272988505747126</v>
      </c>
      <c r="I79" s="38" t="s">
        <v>89</v>
      </c>
      <c r="J79" s="40" t="n">
        <v>3.02608556967268</v>
      </c>
      <c r="K79" s="39" t="n">
        <f aca="false">IF(G79="","",MAX(0,G79-J79/100))</f>
        <v>0.696750638556147</v>
      </c>
      <c r="L79" s="39" t="n">
        <f aca="false">IF(G79="","",MIN(1,G79+J79/100))</f>
        <v>0.757272349949601</v>
      </c>
      <c r="M79" s="21" t="n">
        <f aca="false">ROUND(Q79*S79,0)</f>
        <v>21</v>
      </c>
      <c r="N79" s="21" t="n">
        <f aca="false">ROUND(SQRT((F79*J79/100)^2+(G79*M79)^2),0)</f>
        <v>19</v>
      </c>
      <c r="P79" s="41" t="n">
        <v>19.9719535824459</v>
      </c>
      <c r="Q79" s="42" t="n">
        <v>348</v>
      </c>
      <c r="R79" s="43" t="n">
        <f aca="false">MAX(0,MIN(1,P79/100+$D$5))</f>
        <v>0.726286738519333</v>
      </c>
      <c r="S79" s="43" t="n">
        <v>0.0610405690258335</v>
      </c>
      <c r="T79" s="44" t="s">
        <v>90</v>
      </c>
    </row>
    <row r="80" customFormat="false" ht="15" hidden="false" customHeight="false" outlineLevel="0" collapsed="false">
      <c r="A80" s="38" t="s">
        <v>156</v>
      </c>
      <c r="B80" s="38" t="s">
        <v>158</v>
      </c>
      <c r="C80" s="38" t="s">
        <v>175</v>
      </c>
      <c r="D80" s="21" t="n">
        <f aca="false">ROUND(Q80*R80,0)</f>
        <v>200</v>
      </c>
      <c r="E80" s="21" t="n">
        <f aca="false">ROUND(Q80,0)-D80</f>
        <v>94</v>
      </c>
      <c r="F80" s="21" t="n">
        <f aca="false">IF(COUNTA(D80:E80)=0,"",SUM(D80:E80))</f>
        <v>294</v>
      </c>
      <c r="G80" s="39" t="n">
        <f aca="false">IF(OR(F80="",F80=0),"",D80/F80)</f>
        <v>0.680272108843537</v>
      </c>
      <c r="H80" s="39" t="n">
        <f aca="false">IF(OR(F80="",F80=0),"",E80/F80)</f>
        <v>0.319727891156463</v>
      </c>
      <c r="I80" s="38" t="s">
        <v>89</v>
      </c>
      <c r="J80" s="40" t="n">
        <v>3.02608556967268</v>
      </c>
      <c r="K80" s="39" t="n">
        <f aca="false">IF(G80="","",MAX(0,G80-J80/100))</f>
        <v>0.650011253146811</v>
      </c>
      <c r="L80" s="39" t="n">
        <f aca="false">IF(G80="","",MIN(1,G80+J80/100))</f>
        <v>0.710532964540264</v>
      </c>
      <c r="M80" s="21" t="n">
        <f aca="false">ROUND(Q80*S80,0)</f>
        <v>18</v>
      </c>
      <c r="N80" s="21" t="n">
        <f aca="false">ROUND(SQRT((F80*J80/100)^2+(G80*M80)^2),0)</f>
        <v>15</v>
      </c>
      <c r="P80" s="41" t="n">
        <v>15.383471462799</v>
      </c>
      <c r="Q80" s="42" t="n">
        <v>294</v>
      </c>
      <c r="R80" s="43" t="n">
        <f aca="false">MAX(0,MIN(1,P80/100+$D$5))</f>
        <v>0.680401917322864</v>
      </c>
      <c r="S80" s="43" t="n">
        <v>0.0610405690258335</v>
      </c>
      <c r="T80" s="44" t="s">
        <v>90</v>
      </c>
    </row>
    <row r="81" customFormat="false" ht="15" hidden="false" customHeight="false" outlineLevel="0" collapsed="false">
      <c r="A81" s="38" t="s">
        <v>156</v>
      </c>
      <c r="B81" s="38" t="s">
        <v>158</v>
      </c>
      <c r="C81" s="38" t="s">
        <v>176</v>
      </c>
      <c r="D81" s="21" t="n">
        <f aca="false">ROUND(Q81*R81,0)</f>
        <v>259</v>
      </c>
      <c r="E81" s="21" t="n">
        <f aca="false">ROUND(Q81,0)-D81</f>
        <v>120</v>
      </c>
      <c r="F81" s="21" t="n">
        <f aca="false">IF(COUNTA(D81:E81)=0,"",SUM(D81:E81))</f>
        <v>379</v>
      </c>
      <c r="G81" s="39" t="n">
        <f aca="false">IF(OR(F81="",F81=0),"",D81/F81)</f>
        <v>0.683377308707124</v>
      </c>
      <c r="H81" s="39" t="n">
        <f aca="false">IF(OR(F81="",F81=0),"",E81/F81)</f>
        <v>0.316622691292876</v>
      </c>
      <c r="I81" s="38" t="s">
        <v>89</v>
      </c>
      <c r="J81" s="40" t="n">
        <v>3.02608556967268</v>
      </c>
      <c r="K81" s="39" t="n">
        <f aca="false">IF(G81="","",MAX(0,G81-J81/100))</f>
        <v>0.653116453010397</v>
      </c>
      <c r="L81" s="39" t="n">
        <f aca="false">IF(G81="","",MIN(1,G81+J81/100))</f>
        <v>0.713638164403851</v>
      </c>
      <c r="M81" s="21" t="n">
        <f aca="false">ROUND(Q81*S81,0)</f>
        <v>23</v>
      </c>
      <c r="N81" s="21" t="n">
        <f aca="false">ROUND(SQRT((F81*J81/100)^2+(G81*M81)^2),0)</f>
        <v>19</v>
      </c>
      <c r="P81" s="41" t="n">
        <v>15.6686560397516</v>
      </c>
      <c r="Q81" s="42" t="n">
        <v>379</v>
      </c>
      <c r="R81" s="43" t="n">
        <f aca="false">MAX(0,MIN(1,P81/100+$D$5))</f>
        <v>0.68325376309239</v>
      </c>
      <c r="S81" s="43" t="n">
        <v>0.0610405690258335</v>
      </c>
      <c r="T81" s="44" t="s">
        <v>90</v>
      </c>
    </row>
    <row r="82" customFormat="false" ht="15" hidden="false" customHeight="false" outlineLevel="0" collapsed="false">
      <c r="A82" s="38" t="s">
        <v>156</v>
      </c>
      <c r="B82" s="38" t="s">
        <v>158</v>
      </c>
      <c r="C82" s="38" t="s">
        <v>177</v>
      </c>
      <c r="D82" s="21" t="n">
        <f aca="false">ROUND(Q82*R82,0)</f>
        <v>207</v>
      </c>
      <c r="E82" s="21" t="n">
        <f aca="false">ROUND(Q82,0)-D82</f>
        <v>84</v>
      </c>
      <c r="F82" s="21" t="n">
        <f aca="false">IF(COUNTA(D82:E82)=0,"",SUM(D82:E82))</f>
        <v>291</v>
      </c>
      <c r="G82" s="39" t="n">
        <f aca="false">IF(OR(F82="",F82=0),"",D82/F82)</f>
        <v>0.711340206185567</v>
      </c>
      <c r="H82" s="39" t="n">
        <f aca="false">IF(OR(F82="",F82=0),"",E82/F82)</f>
        <v>0.288659793814433</v>
      </c>
      <c r="I82" s="38" t="s">
        <v>89</v>
      </c>
      <c r="J82" s="40" t="n">
        <v>3.02608556967268</v>
      </c>
      <c r="K82" s="39" t="n">
        <f aca="false">IF(G82="","",MAX(0,G82-J82/100))</f>
        <v>0.68107935048884</v>
      </c>
      <c r="L82" s="39" t="n">
        <f aca="false">IF(G82="","",MIN(1,G82+J82/100))</f>
        <v>0.741601061882294</v>
      </c>
      <c r="M82" s="21" t="n">
        <f aca="false">ROUND(Q82*S82,0)</f>
        <v>18</v>
      </c>
      <c r="N82" s="21" t="n">
        <f aca="false">ROUND(SQRT((F82*J82/100)^2+(G82*M82)^2),0)</f>
        <v>16</v>
      </c>
      <c r="P82" s="41" t="n">
        <v>18.4390294237407</v>
      </c>
      <c r="Q82" s="42" t="n">
        <v>291</v>
      </c>
      <c r="R82" s="43" t="n">
        <f aca="false">MAX(0,MIN(1,P82/100+$D$5))</f>
        <v>0.710957496932281</v>
      </c>
      <c r="S82" s="43" t="n">
        <v>0.0610405690258335</v>
      </c>
      <c r="T82" s="44" t="s">
        <v>90</v>
      </c>
    </row>
    <row r="83" customFormat="false" ht="15" hidden="false" customHeight="false" outlineLevel="0" collapsed="false">
      <c r="A83" s="38" t="s">
        <v>156</v>
      </c>
      <c r="B83" s="38" t="s">
        <v>158</v>
      </c>
      <c r="C83" s="38" t="s">
        <v>178</v>
      </c>
      <c r="D83" s="21" t="n">
        <f aca="false">ROUND(Q83*R83,0)</f>
        <v>385</v>
      </c>
      <c r="E83" s="21" t="n">
        <f aca="false">ROUND(Q83,0)-D83</f>
        <v>189</v>
      </c>
      <c r="F83" s="21" t="n">
        <f aca="false">IF(COUNTA(D83:E83)=0,"",SUM(D83:E83))</f>
        <v>574</v>
      </c>
      <c r="G83" s="39" t="n">
        <f aca="false">IF(OR(F83="",F83=0),"",D83/F83)</f>
        <v>0.670731707317073</v>
      </c>
      <c r="H83" s="39" t="n">
        <f aca="false">IF(OR(F83="",F83=0),"",E83/F83)</f>
        <v>0.329268292682927</v>
      </c>
      <c r="I83" s="38" t="s">
        <v>89</v>
      </c>
      <c r="J83" s="40" t="n">
        <v>3.02608556967268</v>
      </c>
      <c r="K83" s="39" t="n">
        <f aca="false">IF(G83="","",MAX(0,G83-J83/100))</f>
        <v>0.640470851620346</v>
      </c>
      <c r="L83" s="39" t="n">
        <f aca="false">IF(G83="","",MIN(1,G83+J83/100))</f>
        <v>0.7009925630138</v>
      </c>
      <c r="M83" s="21" t="n">
        <f aca="false">ROUND(Q83*S83,0)</f>
        <v>35</v>
      </c>
      <c r="N83" s="21" t="n">
        <f aca="false">ROUND(SQRT((F83*J83/100)^2+(G83*M83)^2),0)</f>
        <v>29</v>
      </c>
      <c r="P83" s="41" t="n">
        <v>14.4284746670645</v>
      </c>
      <c r="Q83" s="42" t="n">
        <v>574</v>
      </c>
      <c r="R83" s="43" t="n">
        <f aca="false">MAX(0,MIN(1,P83/100+$D$5))</f>
        <v>0.670851949365519</v>
      </c>
      <c r="S83" s="43" t="n">
        <v>0.0610405690258335</v>
      </c>
      <c r="T83" s="44" t="s">
        <v>90</v>
      </c>
    </row>
    <row r="84" customFormat="false" ht="15" hidden="false" customHeight="false" outlineLevel="0" collapsed="false">
      <c r="A84" s="38" t="s">
        <v>156</v>
      </c>
      <c r="B84" s="38" t="s">
        <v>158</v>
      </c>
      <c r="C84" s="38" t="s">
        <v>179</v>
      </c>
      <c r="D84" s="21" t="n">
        <f aca="false">ROUND(Q84*R84,0)</f>
        <v>372</v>
      </c>
      <c r="E84" s="21" t="n">
        <f aca="false">ROUND(Q84,0)-D84</f>
        <v>181</v>
      </c>
      <c r="F84" s="21" t="n">
        <f aca="false">IF(COUNTA(D84:E84)=0,"",SUM(D84:E84))</f>
        <v>553</v>
      </c>
      <c r="G84" s="39" t="n">
        <f aca="false">IF(OR(F84="",F84=0),"",D84/F84)</f>
        <v>0.672694394213382</v>
      </c>
      <c r="H84" s="39" t="n">
        <f aca="false">IF(OR(F84="",F84=0),"",E84/F84)</f>
        <v>0.327305605786618</v>
      </c>
      <c r="I84" s="38" t="s">
        <v>89</v>
      </c>
      <c r="J84" s="40" t="n">
        <v>3.02608556967268</v>
      </c>
      <c r="K84" s="39" t="n">
        <f aca="false">IF(G84="","",MAX(0,G84-J84/100))</f>
        <v>0.642433538516655</v>
      </c>
      <c r="L84" s="39" t="n">
        <f aca="false">IF(G84="","",MIN(1,G84+J84/100))</f>
        <v>0.702955249910108</v>
      </c>
      <c r="M84" s="21" t="n">
        <f aca="false">ROUND(Q84*S84,0)</f>
        <v>34</v>
      </c>
      <c r="N84" s="21" t="n">
        <f aca="false">ROUND(SQRT((F84*J84/100)^2+(G84*M84)^2),0)</f>
        <v>28</v>
      </c>
      <c r="P84" s="41" t="n">
        <v>14.6357036912489</v>
      </c>
      <c r="Q84" s="42" t="n">
        <v>553</v>
      </c>
      <c r="R84" s="43" t="n">
        <f aca="false">MAX(0,MIN(1,P84/100+$D$5))</f>
        <v>0.672924239607363</v>
      </c>
      <c r="S84" s="43" t="n">
        <v>0.0610405690258335</v>
      </c>
      <c r="T84" s="44" t="s">
        <v>90</v>
      </c>
    </row>
    <row r="85" customFormat="false" ht="15" hidden="false" customHeight="false" outlineLevel="0" collapsed="false">
      <c r="A85" s="38" t="s">
        <v>156</v>
      </c>
      <c r="B85" s="38" t="s">
        <v>158</v>
      </c>
      <c r="C85" s="38" t="s">
        <v>180</v>
      </c>
      <c r="D85" s="21" t="n">
        <f aca="false">ROUND(Q85*R85,0)</f>
        <v>316</v>
      </c>
      <c r="E85" s="21" t="n">
        <f aca="false">ROUND(Q85,0)-D85</f>
        <v>207</v>
      </c>
      <c r="F85" s="21" t="n">
        <f aca="false">IF(COUNTA(D85:E85)=0,"",SUM(D85:E85))</f>
        <v>523</v>
      </c>
      <c r="G85" s="39" t="n">
        <f aca="false">IF(OR(F85="",F85=0),"",D85/F85)</f>
        <v>0.604206500956023</v>
      </c>
      <c r="H85" s="39" t="n">
        <f aca="false">IF(OR(F85="",F85=0),"",E85/F85)</f>
        <v>0.395793499043977</v>
      </c>
      <c r="I85" s="38" t="s">
        <v>89</v>
      </c>
      <c r="J85" s="40" t="n">
        <v>3.02608556967268</v>
      </c>
      <c r="K85" s="39" t="n">
        <f aca="false">IF(G85="","",MAX(0,G85-J85/100))</f>
        <v>0.573945645259296</v>
      </c>
      <c r="L85" s="39" t="n">
        <f aca="false">IF(G85="","",MIN(1,G85+J85/100))</f>
        <v>0.63446735665275</v>
      </c>
      <c r="M85" s="21" t="n">
        <f aca="false">ROUND(Q85*S85,0)</f>
        <v>32</v>
      </c>
      <c r="N85" s="21" t="n">
        <f aca="false">ROUND(SQRT((F85*J85/100)^2+(G85*M85)^2),0)</f>
        <v>25</v>
      </c>
      <c r="P85" s="41" t="n">
        <v>7.66978398102632</v>
      </c>
      <c r="Q85" s="42" t="n">
        <v>523</v>
      </c>
      <c r="R85" s="43" t="n">
        <f aca="false">MAX(0,MIN(1,P85/100+$D$5))</f>
        <v>0.603265042505137</v>
      </c>
      <c r="S85" s="43" t="n">
        <v>0.0610405690258335</v>
      </c>
      <c r="T85" s="44" t="s">
        <v>90</v>
      </c>
    </row>
    <row r="86" customFormat="false" ht="15" hidden="false" customHeight="false" outlineLevel="0" collapsed="false">
      <c r="A86" s="38" t="s">
        <v>156</v>
      </c>
      <c r="B86" s="38" t="s">
        <v>158</v>
      </c>
      <c r="C86" s="38" t="s">
        <v>181</v>
      </c>
      <c r="D86" s="21" t="n">
        <f aca="false">ROUND(Q86*R86,0)</f>
        <v>390</v>
      </c>
      <c r="E86" s="21" t="n">
        <f aca="false">ROUND(Q86,0)-D86</f>
        <v>210</v>
      </c>
      <c r="F86" s="21" t="n">
        <f aca="false">IF(COUNTA(D86:E86)=0,"",SUM(D86:E86))</f>
        <v>600</v>
      </c>
      <c r="G86" s="39" t="n">
        <f aca="false">IF(OR(F86="",F86=0),"",D86/F86)</f>
        <v>0.65</v>
      </c>
      <c r="H86" s="39" t="n">
        <f aca="false">IF(OR(F86="",F86=0),"",E86/F86)</f>
        <v>0.35</v>
      </c>
      <c r="I86" s="38" t="s">
        <v>89</v>
      </c>
      <c r="J86" s="40" t="n">
        <v>3.02608556967268</v>
      </c>
      <c r="K86" s="39" t="n">
        <f aca="false">IF(G86="","",MAX(0,G86-J86/100))</f>
        <v>0.619739144303273</v>
      </c>
      <c r="L86" s="39" t="n">
        <f aca="false">IF(G86="","",MIN(1,G86+J86/100))</f>
        <v>0.680260855696727</v>
      </c>
      <c r="M86" s="21" t="n">
        <f aca="false">ROUND(Q86*S86,0)</f>
        <v>37</v>
      </c>
      <c r="N86" s="21" t="n">
        <f aca="false">ROUND(SQRT((F86*J86/100)^2+(G86*M86)^2),0)</f>
        <v>30</v>
      </c>
      <c r="P86" s="41" t="n">
        <v>12.3117564879413</v>
      </c>
      <c r="Q86" s="42" t="n">
        <v>600</v>
      </c>
      <c r="R86" s="43" t="n">
        <f aca="false">MAX(0,MIN(1,P86/100+$D$5))</f>
        <v>0.649684767574287</v>
      </c>
      <c r="S86" s="43" t="n">
        <v>0.0610405690258335</v>
      </c>
      <c r="T86" s="44" t="s">
        <v>90</v>
      </c>
    </row>
    <row r="87" customFormat="false" ht="15" hidden="false" customHeight="false" outlineLevel="0" collapsed="false">
      <c r="A87" s="38" t="s">
        <v>156</v>
      </c>
      <c r="B87" s="38" t="s">
        <v>158</v>
      </c>
      <c r="C87" s="38" t="s">
        <v>182</v>
      </c>
      <c r="D87" s="21" t="n">
        <f aca="false">ROUND(Q87*R87,0)</f>
        <v>437</v>
      </c>
      <c r="E87" s="21" t="n">
        <f aca="false">ROUND(Q87,0)-D87</f>
        <v>232</v>
      </c>
      <c r="F87" s="21" t="n">
        <f aca="false">IF(COUNTA(D87:E87)=0,"",SUM(D87:E87))</f>
        <v>669</v>
      </c>
      <c r="G87" s="39" t="n">
        <f aca="false">IF(OR(F87="",F87=0),"",D87/F87)</f>
        <v>0.65321375186846</v>
      </c>
      <c r="H87" s="39" t="n">
        <f aca="false">IF(OR(F87="",F87=0),"",E87/F87)</f>
        <v>0.34678624813154</v>
      </c>
      <c r="I87" s="38" t="s">
        <v>89</v>
      </c>
      <c r="J87" s="40" t="n">
        <v>3.02608556967268</v>
      </c>
      <c r="K87" s="39" t="n">
        <f aca="false">IF(G87="","",MAX(0,G87-J87/100))</f>
        <v>0.622952896171734</v>
      </c>
      <c r="L87" s="39" t="n">
        <f aca="false">IF(G87="","",MIN(1,G87+J87/100))</f>
        <v>0.683474607565187</v>
      </c>
      <c r="M87" s="21" t="n">
        <f aca="false">ROUND(Q87*S87,0)</f>
        <v>41</v>
      </c>
      <c r="N87" s="21" t="n">
        <f aca="false">ROUND(SQRT((F87*J87/100)^2+(G87*M87)^2),0)</f>
        <v>34</v>
      </c>
      <c r="P87" s="41" t="n">
        <v>12.6487400375202</v>
      </c>
      <c r="Q87" s="42" t="n">
        <v>669</v>
      </c>
      <c r="R87" s="43" t="n">
        <f aca="false">MAX(0,MIN(1,P87/100+$D$5))</f>
        <v>0.653054603070076</v>
      </c>
      <c r="S87" s="43" t="n">
        <v>0.0610405690258335</v>
      </c>
      <c r="T87" s="44" t="s">
        <v>90</v>
      </c>
    </row>
    <row r="88" customFormat="false" ht="15" hidden="false" customHeight="false" outlineLevel="0" collapsed="false">
      <c r="A88" s="38" t="s">
        <v>156</v>
      </c>
      <c r="B88" s="38" t="s">
        <v>158</v>
      </c>
      <c r="C88" s="38" t="s">
        <v>183</v>
      </c>
      <c r="D88" s="21" t="n">
        <f aca="false">ROUND(Q88*R88,0)</f>
        <v>284</v>
      </c>
      <c r="E88" s="21" t="n">
        <f aca="false">ROUND(Q88,0)-D88</f>
        <v>180</v>
      </c>
      <c r="F88" s="21" t="n">
        <f aca="false">IF(COUNTA(D88:E88)=0,"",SUM(D88:E88))</f>
        <v>464</v>
      </c>
      <c r="G88" s="39" t="n">
        <f aca="false">IF(OR(F88="",F88=0),"",D88/F88)</f>
        <v>0.612068965517241</v>
      </c>
      <c r="H88" s="39" t="n">
        <f aca="false">IF(OR(F88="",F88=0),"",E88/F88)</f>
        <v>0.387931034482759</v>
      </c>
      <c r="I88" s="38" t="s">
        <v>89</v>
      </c>
      <c r="J88" s="40" t="n">
        <v>3.02608556967268</v>
      </c>
      <c r="K88" s="39" t="n">
        <f aca="false">IF(G88="","",MAX(0,G88-J88/100))</f>
        <v>0.581808109820515</v>
      </c>
      <c r="L88" s="39" t="n">
        <f aca="false">IF(G88="","",MIN(1,G88+J88/100))</f>
        <v>0.642329821213968</v>
      </c>
      <c r="M88" s="21" t="n">
        <f aca="false">ROUND(Q88*S88,0)</f>
        <v>28</v>
      </c>
      <c r="N88" s="21" t="n">
        <f aca="false">ROUND(SQRT((F88*J88/100)^2+(G88*M88)^2),0)</f>
        <v>22</v>
      </c>
      <c r="P88" s="41" t="n">
        <v>8.64847436096802</v>
      </c>
      <c r="Q88" s="42" t="n">
        <v>464</v>
      </c>
      <c r="R88" s="43" t="n">
        <f aca="false">MAX(0,MIN(1,P88/100+$D$5))</f>
        <v>0.613051946304555</v>
      </c>
      <c r="S88" s="43" t="n">
        <v>0.0610405690258335</v>
      </c>
      <c r="T88" s="44" t="s">
        <v>90</v>
      </c>
    </row>
    <row r="89" customFormat="false" ht="15" hidden="false" customHeight="false" outlineLevel="0" collapsed="false">
      <c r="A89" s="38" t="s">
        <v>156</v>
      </c>
      <c r="B89" s="38" t="s">
        <v>158</v>
      </c>
      <c r="C89" s="38" t="s">
        <v>184</v>
      </c>
      <c r="D89" s="21" t="n">
        <f aca="false">ROUND(Q89*R89,0)</f>
        <v>288</v>
      </c>
      <c r="E89" s="21" t="n">
        <f aca="false">ROUND(Q89,0)-D89</f>
        <v>153</v>
      </c>
      <c r="F89" s="21" t="n">
        <f aca="false">IF(COUNTA(D89:E89)=0,"",SUM(D89:E89))</f>
        <v>441</v>
      </c>
      <c r="G89" s="39" t="n">
        <f aca="false">IF(OR(F89="",F89=0),"",D89/F89)</f>
        <v>0.653061224489796</v>
      </c>
      <c r="H89" s="39" t="n">
        <f aca="false">IF(OR(F89="",F89=0),"",E89/F89)</f>
        <v>0.346938775510204</v>
      </c>
      <c r="I89" s="38" t="s">
        <v>89</v>
      </c>
      <c r="J89" s="40" t="n">
        <v>3.02608556967268</v>
      </c>
      <c r="K89" s="39" t="n">
        <f aca="false">IF(G89="","",MAX(0,G89-J89/100))</f>
        <v>0.622800368793069</v>
      </c>
      <c r="L89" s="39" t="n">
        <f aca="false">IF(G89="","",MIN(1,G89+J89/100))</f>
        <v>0.683322080186523</v>
      </c>
      <c r="M89" s="21" t="n">
        <f aca="false">ROUND(Q89*S89,0)</f>
        <v>27</v>
      </c>
      <c r="N89" s="21" t="n">
        <f aca="false">ROUND(SQRT((F89*J89/100)^2+(G89*M89)^2),0)</f>
        <v>22</v>
      </c>
      <c r="P89" s="41" t="n">
        <v>12.6069085686268</v>
      </c>
      <c r="Q89" s="42" t="n">
        <v>441</v>
      </c>
      <c r="R89" s="43" t="n">
        <f aca="false">MAX(0,MIN(1,P89/100+$D$5))</f>
        <v>0.652636288381142</v>
      </c>
      <c r="S89" s="43" t="n">
        <v>0.0610405690258335</v>
      </c>
      <c r="T89" s="44" t="s">
        <v>90</v>
      </c>
    </row>
    <row r="90" customFormat="false" ht="15" hidden="false" customHeight="false" outlineLevel="0" collapsed="false">
      <c r="A90" s="38" t="s">
        <v>156</v>
      </c>
      <c r="B90" s="38" t="s">
        <v>158</v>
      </c>
      <c r="C90" s="38" t="s">
        <v>185</v>
      </c>
      <c r="D90" s="21" t="n">
        <f aca="false">ROUND(Q90*R90,0)</f>
        <v>483</v>
      </c>
      <c r="E90" s="21" t="n">
        <f aca="false">ROUND(Q90,0)-D90</f>
        <v>291</v>
      </c>
      <c r="F90" s="21" t="n">
        <f aca="false">IF(COUNTA(D90:E90)=0,"",SUM(D90:E90))</f>
        <v>774</v>
      </c>
      <c r="G90" s="39" t="n">
        <f aca="false">IF(OR(F90="",F90=0),"",D90/F90)</f>
        <v>0.624031007751938</v>
      </c>
      <c r="H90" s="39" t="n">
        <f aca="false">IF(OR(F90="",F90=0),"",E90/F90)</f>
        <v>0.375968992248062</v>
      </c>
      <c r="I90" s="38" t="s">
        <v>89</v>
      </c>
      <c r="J90" s="40" t="n">
        <v>3.02608556967268</v>
      </c>
      <c r="K90" s="39" t="n">
        <f aca="false">IF(G90="","",MAX(0,G90-J90/100))</f>
        <v>0.593770152055211</v>
      </c>
      <c r="L90" s="39" t="n">
        <f aca="false">IF(G90="","",MIN(1,G90+J90/100))</f>
        <v>0.654291863448665</v>
      </c>
      <c r="M90" s="21" t="n">
        <f aca="false">ROUND(Q90*S90,0)</f>
        <v>47</v>
      </c>
      <c r="N90" s="21" t="n">
        <f aca="false">ROUND(SQRT((F90*J90/100)^2+(G90*M90)^2),0)</f>
        <v>38</v>
      </c>
      <c r="P90" s="41" t="n">
        <v>9.77890996823066</v>
      </c>
      <c r="Q90" s="42" t="n">
        <v>774</v>
      </c>
      <c r="R90" s="43" t="n">
        <f aca="false">MAX(0,MIN(1,P90/100+$D$5))</f>
        <v>0.624356302377181</v>
      </c>
      <c r="S90" s="43" t="n">
        <v>0.0610405690258335</v>
      </c>
      <c r="T90" s="44" t="s">
        <v>90</v>
      </c>
    </row>
    <row r="91" customFormat="false" ht="15" hidden="false" customHeight="false" outlineLevel="0" collapsed="false">
      <c r="A91" s="38" t="s">
        <v>156</v>
      </c>
      <c r="B91" s="38" t="s">
        <v>158</v>
      </c>
      <c r="C91" s="38" t="s">
        <v>186</v>
      </c>
      <c r="D91" s="21" t="n">
        <f aca="false">ROUND(Q91*R91,0)</f>
        <v>350</v>
      </c>
      <c r="E91" s="21" t="n">
        <f aca="false">ROUND(Q91,0)-D91</f>
        <v>142</v>
      </c>
      <c r="F91" s="21" t="n">
        <f aca="false">IF(COUNTA(D91:E91)=0,"",SUM(D91:E91))</f>
        <v>492</v>
      </c>
      <c r="G91" s="39" t="n">
        <f aca="false">IF(OR(F91="",F91=0),"",D91/F91)</f>
        <v>0.711382113821138</v>
      </c>
      <c r="H91" s="39" t="n">
        <f aca="false">IF(OR(F91="",F91=0),"",E91/F91)</f>
        <v>0.288617886178862</v>
      </c>
      <c r="I91" s="38" t="s">
        <v>89</v>
      </c>
      <c r="J91" s="40" t="n">
        <v>3.02608556967268</v>
      </c>
      <c r="K91" s="39" t="n">
        <f aca="false">IF(G91="","",MAX(0,G91-J91/100))</f>
        <v>0.681121258124411</v>
      </c>
      <c r="L91" s="39" t="n">
        <f aca="false">IF(G91="","",MIN(1,G91+J91/100))</f>
        <v>0.741642969517865</v>
      </c>
      <c r="M91" s="21" t="n">
        <f aca="false">ROUND(Q91*S91,0)</f>
        <v>30</v>
      </c>
      <c r="N91" s="21" t="n">
        <f aca="false">ROUND(SQRT((F91*J91/100)^2+(G91*M91)^2),0)</f>
        <v>26</v>
      </c>
      <c r="P91" s="41" t="n">
        <v>18.4055333884513</v>
      </c>
      <c r="Q91" s="42" t="n">
        <v>492</v>
      </c>
      <c r="R91" s="43" t="n">
        <f aca="false">MAX(0,MIN(1,P91/100+$D$5))</f>
        <v>0.710622536579387</v>
      </c>
      <c r="S91" s="43" t="n">
        <v>0.0610405690258335</v>
      </c>
      <c r="T91" s="44" t="s">
        <v>90</v>
      </c>
    </row>
    <row r="92" customFormat="false" ht="15" hidden="false" customHeight="false" outlineLevel="0" collapsed="false">
      <c r="A92" s="38" t="s">
        <v>156</v>
      </c>
      <c r="B92" s="38" t="s">
        <v>158</v>
      </c>
      <c r="C92" s="38" t="s">
        <v>187</v>
      </c>
      <c r="D92" s="21" t="n">
        <f aca="false">ROUND(Q92*R92,0)</f>
        <v>422</v>
      </c>
      <c r="E92" s="21" t="n">
        <f aca="false">ROUND(Q92,0)-D92</f>
        <v>200</v>
      </c>
      <c r="F92" s="21" t="n">
        <f aca="false">IF(COUNTA(D92:E92)=0,"",SUM(D92:E92))</f>
        <v>622</v>
      </c>
      <c r="G92" s="39" t="n">
        <f aca="false">IF(OR(F92="",F92=0),"",D92/F92)</f>
        <v>0.678456591639871</v>
      </c>
      <c r="H92" s="39" t="n">
        <f aca="false">IF(OR(F92="",F92=0),"",E92/F92)</f>
        <v>0.321543408360129</v>
      </c>
      <c r="I92" s="38" t="s">
        <v>89</v>
      </c>
      <c r="J92" s="40" t="n">
        <v>3.02608556967268</v>
      </c>
      <c r="K92" s="39" t="n">
        <f aca="false">IF(G92="","",MAX(0,G92-J92/100))</f>
        <v>0.648195735943145</v>
      </c>
      <c r="L92" s="39" t="n">
        <f aca="false">IF(G92="","",MIN(1,G92+J92/100))</f>
        <v>0.708717447336598</v>
      </c>
      <c r="M92" s="21" t="n">
        <f aca="false">ROUND(Q92*S92,0)</f>
        <v>38</v>
      </c>
      <c r="N92" s="21" t="n">
        <f aca="false">ROUND(SQRT((F92*J92/100)^2+(G92*M92)^2),0)</f>
        <v>32</v>
      </c>
      <c r="P92" s="41" t="n">
        <v>15.1530636738745</v>
      </c>
      <c r="Q92" s="42" t="n">
        <v>622</v>
      </c>
      <c r="R92" s="43" t="n">
        <f aca="false">MAX(0,MIN(1,P92/100+$D$5))</f>
        <v>0.678097839433619</v>
      </c>
      <c r="S92" s="43" t="n">
        <v>0.0610405690258335</v>
      </c>
      <c r="T92" s="44" t="s">
        <v>90</v>
      </c>
    </row>
    <row r="93" customFormat="false" ht="15" hidden="false" customHeight="false" outlineLevel="0" collapsed="false">
      <c r="A93" s="38" t="s">
        <v>156</v>
      </c>
      <c r="B93" s="38" t="s">
        <v>158</v>
      </c>
      <c r="C93" s="38" t="s">
        <v>188</v>
      </c>
      <c r="D93" s="21" t="n">
        <f aca="false">ROUND(Q93*R93,0)</f>
        <v>458</v>
      </c>
      <c r="E93" s="21" t="n">
        <f aca="false">ROUND(Q93,0)-D93</f>
        <v>227</v>
      </c>
      <c r="F93" s="21" t="n">
        <f aca="false">IF(COUNTA(D93:E93)=0,"",SUM(D93:E93))</f>
        <v>685</v>
      </c>
      <c r="G93" s="39" t="n">
        <f aca="false">IF(OR(F93="",F93=0),"",D93/F93)</f>
        <v>0.668613138686131</v>
      </c>
      <c r="H93" s="39" t="n">
        <f aca="false">IF(OR(F93="",F93=0),"",E93/F93)</f>
        <v>0.331386861313869</v>
      </c>
      <c r="I93" s="38" t="s">
        <v>89</v>
      </c>
      <c r="J93" s="40" t="n">
        <v>3.02608556967268</v>
      </c>
      <c r="K93" s="39" t="n">
        <f aca="false">IF(G93="","",MAX(0,G93-J93/100))</f>
        <v>0.638352282989405</v>
      </c>
      <c r="L93" s="39" t="n">
        <f aca="false">IF(G93="","",MIN(1,G93+J93/100))</f>
        <v>0.698873994382858</v>
      </c>
      <c r="M93" s="21" t="n">
        <f aca="false">ROUND(Q93*S93,0)</f>
        <v>42</v>
      </c>
      <c r="N93" s="21" t="n">
        <f aca="false">ROUND(SQRT((F93*J93/100)^2+(G93*M93)^2),0)</f>
        <v>35</v>
      </c>
      <c r="P93" s="41" t="n">
        <v>14.271832775442</v>
      </c>
      <c r="Q93" s="42" t="n">
        <v>685</v>
      </c>
      <c r="R93" s="43" t="n">
        <f aca="false">MAX(0,MIN(1,P93/100+$D$5))</f>
        <v>0.669285530449294</v>
      </c>
      <c r="S93" s="43" t="n">
        <v>0.0610405690258335</v>
      </c>
      <c r="T93" s="44" t="s">
        <v>90</v>
      </c>
    </row>
    <row r="94" customFormat="false" ht="15" hidden="false" customHeight="false" outlineLevel="0" collapsed="false">
      <c r="A94" s="38" t="s">
        <v>156</v>
      </c>
      <c r="B94" s="38" t="s">
        <v>158</v>
      </c>
      <c r="C94" s="38" t="s">
        <v>189</v>
      </c>
      <c r="D94" s="21" t="n">
        <f aca="false">ROUND(Q94*R94,0)</f>
        <v>317</v>
      </c>
      <c r="E94" s="21" t="n">
        <f aca="false">ROUND(Q94,0)-D94</f>
        <v>219</v>
      </c>
      <c r="F94" s="21" t="n">
        <f aca="false">IF(COUNTA(D94:E94)=0,"",SUM(D94:E94))</f>
        <v>536</v>
      </c>
      <c r="G94" s="39" t="n">
        <f aca="false">IF(OR(F94="",F94=0),"",D94/F94)</f>
        <v>0.591417910447761</v>
      </c>
      <c r="H94" s="39" t="n">
        <f aca="false">IF(OR(F94="",F94=0),"",E94/F94)</f>
        <v>0.408582089552239</v>
      </c>
      <c r="I94" s="38" t="s">
        <v>190</v>
      </c>
      <c r="J94" s="40" t="n">
        <v>3.02608556967268</v>
      </c>
      <c r="K94" s="39" t="n">
        <f aca="false">IF(G94="","",MAX(0,G94-J94/100))</f>
        <v>0.561157054751034</v>
      </c>
      <c r="L94" s="39" t="n">
        <f aca="false">IF(G94="","",MIN(1,G94+J94/100))</f>
        <v>0.621678766144488</v>
      </c>
      <c r="M94" s="21" t="n">
        <f aca="false">ROUND(Q94*S94,0)</f>
        <v>33</v>
      </c>
      <c r="N94" s="21" t="n">
        <f aca="false">ROUND(SQRT((F94*J94/100)^2+(G94*M94)^2),0)</f>
        <v>25</v>
      </c>
      <c r="P94" s="41" t="n">
        <v>6.45362682756992</v>
      </c>
      <c r="Q94" s="42" t="n">
        <v>536.140392485119</v>
      </c>
      <c r="R94" s="43" t="n">
        <f aca="false">MAX(0,MIN(1,P94/100+$D$5))</f>
        <v>0.591103470970574</v>
      </c>
      <c r="S94" s="43" t="n">
        <v>0.0610405690258335</v>
      </c>
      <c r="T94" s="44" t="s">
        <v>90</v>
      </c>
    </row>
    <row r="95" customFormat="false" ht="15" hidden="false" customHeight="false" outlineLevel="0" collapsed="false">
      <c r="A95" s="38" t="s">
        <v>156</v>
      </c>
      <c r="B95" s="38" t="s">
        <v>158</v>
      </c>
      <c r="C95" s="38" t="s">
        <v>191</v>
      </c>
      <c r="D95" s="21" t="n">
        <f aca="false">ROUND(Q95*R95,0)</f>
        <v>744</v>
      </c>
      <c r="E95" s="21" t="n">
        <f aca="false">ROUND(Q95,0)-D95</f>
        <v>514</v>
      </c>
      <c r="F95" s="21" t="n">
        <f aca="false">IF(COUNTA(D95:E95)=0,"",SUM(D95:E95))</f>
        <v>1258</v>
      </c>
      <c r="G95" s="39" t="n">
        <f aca="false">IF(OR(F95="",F95=0),"",D95/F95)</f>
        <v>0.591414944356121</v>
      </c>
      <c r="H95" s="39" t="n">
        <f aca="false">IF(OR(F95="",F95=0),"",E95/F95)</f>
        <v>0.408585055643879</v>
      </c>
      <c r="I95" s="38" t="s">
        <v>190</v>
      </c>
      <c r="J95" s="40" t="n">
        <v>1.24911041755021</v>
      </c>
      <c r="K95" s="39" t="n">
        <f aca="false">IF(G95="","",MAX(0,G95-J95/100))</f>
        <v>0.578923840180619</v>
      </c>
      <c r="L95" s="39" t="n">
        <f aca="false">IF(G95="","",MIN(1,G95+J95/100))</f>
        <v>0.603906048531623</v>
      </c>
      <c r="M95" s="21" t="n">
        <f aca="false">ROUND(Q95*S95,0)</f>
        <v>164</v>
      </c>
      <c r="N95" s="21" t="n">
        <f aca="false">ROUND(SQRT((F95*J95/100)^2+(G95*M95)^2),0)</f>
        <v>98</v>
      </c>
      <c r="P95" s="41" t="n">
        <v>6.47323588885477</v>
      </c>
      <c r="Q95" s="42" t="n">
        <v>1257.55608258929</v>
      </c>
      <c r="R95" s="43" t="n">
        <f aca="false">MAX(0,MIN(1,P95/100+$D$5))</f>
        <v>0.591299561583422</v>
      </c>
      <c r="S95" s="43" t="n">
        <v>0.130204099606216</v>
      </c>
      <c r="T95" s="44" t="s">
        <v>192</v>
      </c>
    </row>
    <row r="96" customFormat="false" ht="15" hidden="false" customHeight="false" outlineLevel="0" collapsed="false">
      <c r="A96" s="38" t="s">
        <v>156</v>
      </c>
      <c r="B96" s="38" t="s">
        <v>158</v>
      </c>
      <c r="C96" s="38" t="s">
        <v>193</v>
      </c>
      <c r="D96" s="21" t="n">
        <f aca="false">ROUND(Q96*R96,0)</f>
        <v>408</v>
      </c>
      <c r="E96" s="21" t="n">
        <f aca="false">ROUND(Q96,0)-D96</f>
        <v>167</v>
      </c>
      <c r="F96" s="21" t="n">
        <f aca="false">IF(COUNTA(D96:E96)=0,"",SUM(D96:E96))</f>
        <v>575</v>
      </c>
      <c r="G96" s="39" t="n">
        <f aca="false">IF(OR(F96="",F96=0),"",D96/F96)</f>
        <v>0.709565217391304</v>
      </c>
      <c r="H96" s="39" t="n">
        <f aca="false">IF(OR(F96="",F96=0),"",E96/F96)</f>
        <v>0.290434782608696</v>
      </c>
      <c r="I96" s="38" t="s">
        <v>89</v>
      </c>
      <c r="J96" s="40" t="n">
        <v>3.02608556967268</v>
      </c>
      <c r="K96" s="39" t="n">
        <f aca="false">IF(G96="","",MAX(0,G96-J96/100))</f>
        <v>0.679304361694577</v>
      </c>
      <c r="L96" s="39" t="n">
        <f aca="false">IF(G96="","",MIN(1,G96+J96/100))</f>
        <v>0.739826073088031</v>
      </c>
      <c r="M96" s="21" t="n">
        <f aca="false">ROUND(Q96*S96,0)</f>
        <v>35</v>
      </c>
      <c r="N96" s="21" t="n">
        <f aca="false">ROUND(SQRT((F96*J96/100)^2+(G96*M96)^2),0)</f>
        <v>30</v>
      </c>
      <c r="P96" s="41" t="n">
        <v>18.3725504748626</v>
      </c>
      <c r="Q96" s="42" t="n">
        <v>575</v>
      </c>
      <c r="R96" s="43" t="n">
        <f aca="false">MAX(0,MIN(1,P96/100+$D$5))</f>
        <v>0.7102927074435</v>
      </c>
      <c r="S96" s="43" t="n">
        <v>0.0610405690258335</v>
      </c>
      <c r="T96" s="44" t="s">
        <v>90</v>
      </c>
    </row>
    <row r="97" customFormat="false" ht="15" hidden="false" customHeight="false" outlineLevel="0" collapsed="false">
      <c r="A97" s="38" t="s">
        <v>156</v>
      </c>
      <c r="B97" s="38" t="s">
        <v>158</v>
      </c>
      <c r="C97" s="38" t="s">
        <v>194</v>
      </c>
      <c r="D97" s="21" t="n">
        <f aca="false">ROUND(Q97*R97,0)</f>
        <v>498</v>
      </c>
      <c r="E97" s="21" t="n">
        <f aca="false">ROUND(Q97,0)-D97</f>
        <v>263</v>
      </c>
      <c r="F97" s="21" t="n">
        <f aca="false">IF(COUNTA(D97:E97)=0,"",SUM(D97:E97))</f>
        <v>761</v>
      </c>
      <c r="G97" s="39" t="n">
        <f aca="false">IF(OR(F97="",F97=0),"",D97/F97)</f>
        <v>0.654402102496715</v>
      </c>
      <c r="H97" s="39" t="n">
        <f aca="false">IF(OR(F97="",F97=0),"",E97/F97)</f>
        <v>0.345597897503285</v>
      </c>
      <c r="I97" s="38" t="s">
        <v>89</v>
      </c>
      <c r="J97" s="40" t="n">
        <v>3.02608556967268</v>
      </c>
      <c r="K97" s="39" t="n">
        <f aca="false">IF(G97="","",MAX(0,G97-J97/100))</f>
        <v>0.624141246799988</v>
      </c>
      <c r="L97" s="39" t="n">
        <f aca="false">IF(G97="","",MIN(1,G97+J97/100))</f>
        <v>0.684662958193442</v>
      </c>
      <c r="M97" s="21" t="n">
        <f aca="false">ROUND(Q97*S97,0)</f>
        <v>46</v>
      </c>
      <c r="N97" s="21" t="n">
        <f aca="false">ROUND(SQRT((F97*J97/100)^2+(G97*M97)^2),0)</f>
        <v>38</v>
      </c>
      <c r="P97" s="41" t="n">
        <v>12.8224507422024</v>
      </c>
      <c r="Q97" s="42" t="n">
        <v>761</v>
      </c>
      <c r="R97" s="43" t="n">
        <f aca="false">MAX(0,MIN(1,P97/100+$D$5))</f>
        <v>0.654791710116899</v>
      </c>
      <c r="S97" s="43" t="n">
        <v>0.0610405690258335</v>
      </c>
      <c r="T97" s="44" t="s">
        <v>90</v>
      </c>
    </row>
    <row r="98" customFormat="false" ht="15" hidden="false" customHeight="false" outlineLevel="0" collapsed="false">
      <c r="A98" s="38" t="s">
        <v>156</v>
      </c>
      <c r="B98" s="38" t="s">
        <v>158</v>
      </c>
      <c r="C98" s="38" t="s">
        <v>195</v>
      </c>
      <c r="D98" s="21" t="n">
        <f aca="false">ROUND(Q98*R98,0)</f>
        <v>12</v>
      </c>
      <c r="E98" s="21" t="n">
        <f aca="false">ROUND(Q98,0)-D98</f>
        <v>10</v>
      </c>
      <c r="F98" s="21" t="n">
        <f aca="false">IF(COUNTA(D98:E98)=0,"",SUM(D98:E98))</f>
        <v>22</v>
      </c>
      <c r="G98" s="39" t="n">
        <f aca="false">IF(OR(F98="",F98=0),"",D98/F98)</f>
        <v>0.545454545454545</v>
      </c>
      <c r="H98" s="39" t="n">
        <f aca="false">IF(OR(F98="",F98=0),"",E98/F98)</f>
        <v>0.454545454545455</v>
      </c>
      <c r="I98" s="38" t="s">
        <v>190</v>
      </c>
      <c r="J98" s="40" t="n">
        <v>3.02608556967268</v>
      </c>
      <c r="K98" s="39" t="n">
        <f aca="false">IF(G98="","",MAX(0,G98-J98/100))</f>
        <v>0.515193689757819</v>
      </c>
      <c r="L98" s="39" t="n">
        <f aca="false">IF(G98="","",MIN(1,G98+J98/100))</f>
        <v>0.575715401151272</v>
      </c>
      <c r="M98" s="21" t="n">
        <f aca="false">ROUND(Q98*S98,0)</f>
        <v>1</v>
      </c>
      <c r="N98" s="21" t="n">
        <f aca="false">ROUND(SQRT((F98*J98/100)^2+(G98*M98)^2),0)</f>
        <v>1</v>
      </c>
      <c r="P98" s="41" t="n">
        <v>3.36434653124624</v>
      </c>
      <c r="Q98" s="42" t="n">
        <v>22.0014415922619</v>
      </c>
      <c r="R98" s="43" t="n">
        <f aca="false">MAX(0,MIN(1,P98/100+$D$5))</f>
        <v>0.560210668007337</v>
      </c>
      <c r="S98" s="43" t="n">
        <v>0.0610405690258335</v>
      </c>
      <c r="T98" s="44" t="s">
        <v>90</v>
      </c>
    </row>
    <row r="99" customFormat="false" ht="15" hidden="false" customHeight="false" outlineLevel="0" collapsed="false">
      <c r="A99" s="38" t="s">
        <v>156</v>
      </c>
      <c r="B99" s="38" t="s">
        <v>158</v>
      </c>
      <c r="C99" s="38" t="s">
        <v>196</v>
      </c>
      <c r="D99" s="21" t="n">
        <f aca="false">ROUND(Q99*R99,0)</f>
        <v>222</v>
      </c>
      <c r="E99" s="21" t="n">
        <f aca="false">ROUND(Q99,0)-D99</f>
        <v>145</v>
      </c>
      <c r="F99" s="21" t="n">
        <f aca="false">IF(COUNTA(D99:E99)=0,"",SUM(D99:E99))</f>
        <v>367</v>
      </c>
      <c r="G99" s="39" t="n">
        <f aca="false">IF(OR(F99="",F99=0),"",D99/F99)</f>
        <v>0.604904632152589</v>
      </c>
      <c r="H99" s="39" t="n">
        <f aca="false">IF(OR(F99="",F99=0),"",E99/F99)</f>
        <v>0.395095367847411</v>
      </c>
      <c r="I99" s="38" t="s">
        <v>89</v>
      </c>
      <c r="J99" s="40" t="n">
        <v>3.02608556967268</v>
      </c>
      <c r="K99" s="39" t="n">
        <f aca="false">IF(G99="","",MAX(0,G99-J99/100))</f>
        <v>0.574643776455862</v>
      </c>
      <c r="L99" s="39" t="n">
        <f aca="false">IF(G99="","",MIN(1,G99+J99/100))</f>
        <v>0.635165487849316</v>
      </c>
      <c r="M99" s="21" t="n">
        <f aca="false">ROUND(Q99*S99,0)</f>
        <v>22</v>
      </c>
      <c r="N99" s="21" t="n">
        <f aca="false">ROUND(SQRT((F99*J99/100)^2+(G99*M99)^2),0)</f>
        <v>17</v>
      </c>
      <c r="P99" s="41" t="n">
        <v>7.82631422499354</v>
      </c>
      <c r="Q99" s="42" t="n">
        <v>367</v>
      </c>
      <c r="R99" s="43" t="n">
        <f aca="false">MAX(0,MIN(1,P99/100+$D$5))</f>
        <v>0.60483034494481</v>
      </c>
      <c r="S99" s="43" t="n">
        <v>0.0610405690258335</v>
      </c>
      <c r="T99" s="44" t="s">
        <v>90</v>
      </c>
    </row>
    <row r="100" customFormat="false" ht="15" hidden="false" customHeight="false" outlineLevel="0" collapsed="false">
      <c r="A100" s="38" t="s">
        <v>156</v>
      </c>
      <c r="B100" s="38" t="s">
        <v>158</v>
      </c>
      <c r="C100" s="38" t="s">
        <v>197</v>
      </c>
      <c r="D100" s="21" t="n">
        <f aca="false">ROUND(Q100*R100,0)</f>
        <v>371</v>
      </c>
      <c r="E100" s="21" t="n">
        <f aca="false">ROUND(Q100,0)-D100</f>
        <v>179</v>
      </c>
      <c r="F100" s="21" t="n">
        <f aca="false">IF(COUNTA(D100:E100)=0,"",SUM(D100:E100))</f>
        <v>550</v>
      </c>
      <c r="G100" s="39" t="n">
        <f aca="false">IF(OR(F100="",F100=0),"",D100/F100)</f>
        <v>0.674545454545455</v>
      </c>
      <c r="H100" s="39" t="n">
        <f aca="false">IF(OR(F100="",F100=0),"",E100/F100)</f>
        <v>0.325454545454545</v>
      </c>
      <c r="I100" s="38" t="s">
        <v>89</v>
      </c>
      <c r="J100" s="40" t="n">
        <v>3.02608556967268</v>
      </c>
      <c r="K100" s="39" t="n">
        <f aca="false">IF(G100="","",MAX(0,G100-J100/100))</f>
        <v>0.644284598848728</v>
      </c>
      <c r="L100" s="39" t="n">
        <f aca="false">IF(G100="","",MIN(1,G100+J100/100))</f>
        <v>0.704806310242181</v>
      </c>
      <c r="M100" s="21" t="n">
        <f aca="false">ROUND(Q100*S100,0)</f>
        <v>34</v>
      </c>
      <c r="N100" s="21" t="n">
        <f aca="false">ROUND(SQRT((F100*J100/100)^2+(G100*M100)^2),0)</f>
        <v>28</v>
      </c>
      <c r="P100" s="41" t="n">
        <v>14.8585200458216</v>
      </c>
      <c r="Q100" s="42" t="n">
        <v>550</v>
      </c>
      <c r="R100" s="43" t="n">
        <f aca="false">MAX(0,MIN(1,P100/100+$D$5))</f>
        <v>0.67515240315309</v>
      </c>
      <c r="S100" s="43" t="n">
        <v>0.0610405690258335</v>
      </c>
      <c r="T100" s="44" t="s">
        <v>90</v>
      </c>
    </row>
    <row r="101" customFormat="false" ht="15" hidden="false" customHeight="false" outlineLevel="0" collapsed="false">
      <c r="A101" s="38" t="s">
        <v>156</v>
      </c>
      <c r="B101" s="38" t="s">
        <v>158</v>
      </c>
      <c r="C101" s="38" t="s">
        <v>198</v>
      </c>
      <c r="D101" s="21" t="n">
        <f aca="false">ROUND(Q101*R101,0)</f>
        <v>266</v>
      </c>
      <c r="E101" s="21" t="n">
        <f aca="false">ROUND(Q101,0)-D101</f>
        <v>155</v>
      </c>
      <c r="F101" s="21" t="n">
        <f aca="false">IF(COUNTA(D101:E101)=0,"",SUM(D101:E101))</f>
        <v>421</v>
      </c>
      <c r="G101" s="39" t="n">
        <f aca="false">IF(OR(F101="",F101=0),"",D101/F101)</f>
        <v>0.631828978622328</v>
      </c>
      <c r="H101" s="39" t="n">
        <f aca="false">IF(OR(F101="",F101=0),"",E101/F101)</f>
        <v>0.368171021377672</v>
      </c>
      <c r="I101" s="38" t="s">
        <v>89</v>
      </c>
      <c r="J101" s="40" t="n">
        <v>3.02608556967268</v>
      </c>
      <c r="K101" s="39" t="n">
        <f aca="false">IF(G101="","",MAX(0,G101-J101/100))</f>
        <v>0.601568122925601</v>
      </c>
      <c r="L101" s="39" t="n">
        <f aca="false">IF(G101="","",MIN(1,G101+J101/100))</f>
        <v>0.662089834319055</v>
      </c>
      <c r="M101" s="21" t="n">
        <f aca="false">ROUND(Q101*S101,0)</f>
        <v>26</v>
      </c>
      <c r="N101" s="21" t="n">
        <f aca="false">ROUND(SQRT((F101*J101/100)^2+(G101*M101)^2),0)</f>
        <v>21</v>
      </c>
      <c r="P101" s="41" t="n">
        <v>10.6001332006283</v>
      </c>
      <c r="Q101" s="42" t="n">
        <v>421</v>
      </c>
      <c r="R101" s="43" t="n">
        <f aca="false">MAX(0,MIN(1,P101/100+$D$5))</f>
        <v>0.632568534701157</v>
      </c>
      <c r="S101" s="43" t="n">
        <v>0.0610405690258335</v>
      </c>
      <c r="T101" s="44" t="s">
        <v>90</v>
      </c>
    </row>
    <row r="102" customFormat="false" ht="15" hidden="false" customHeight="false" outlineLevel="0" collapsed="false">
      <c r="A102" s="38" t="s">
        <v>156</v>
      </c>
      <c r="B102" s="38" t="s">
        <v>158</v>
      </c>
      <c r="C102" s="38" t="s">
        <v>199</v>
      </c>
      <c r="D102" s="21" t="n">
        <f aca="false">ROUND(Q102*R102,0)</f>
        <v>258</v>
      </c>
      <c r="E102" s="21" t="n">
        <f aca="false">ROUND(Q102,0)-D102</f>
        <v>128</v>
      </c>
      <c r="F102" s="21" t="n">
        <f aca="false">IF(COUNTA(D102:E102)=0,"",SUM(D102:E102))</f>
        <v>386</v>
      </c>
      <c r="G102" s="39" t="n">
        <f aca="false">IF(OR(F102="",F102=0),"",D102/F102)</f>
        <v>0.66839378238342</v>
      </c>
      <c r="H102" s="39" t="n">
        <f aca="false">IF(OR(F102="",F102=0),"",E102/F102)</f>
        <v>0.33160621761658</v>
      </c>
      <c r="I102" s="38" t="s">
        <v>89</v>
      </c>
      <c r="J102" s="40" t="n">
        <v>3.02608556967268</v>
      </c>
      <c r="K102" s="39" t="n">
        <f aca="false">IF(G102="","",MAX(0,G102-J102/100))</f>
        <v>0.638132926686693</v>
      </c>
      <c r="L102" s="39" t="n">
        <f aca="false">IF(G102="","",MIN(1,G102+J102/100))</f>
        <v>0.698654638080147</v>
      </c>
      <c r="M102" s="21" t="n">
        <f aca="false">ROUND(Q102*S102,0)</f>
        <v>24</v>
      </c>
      <c r="N102" s="21" t="n">
        <f aca="false">ROUND(SQRT((F102*J102/100)^2+(G102*M102)^2),0)</f>
        <v>20</v>
      </c>
      <c r="P102" s="41" t="n">
        <v>14.0944750986042</v>
      </c>
      <c r="Q102" s="42" t="n">
        <v>386</v>
      </c>
      <c r="R102" s="43" t="n">
        <f aca="false">MAX(0,MIN(1,P102/100+$D$5))</f>
        <v>0.667511953680917</v>
      </c>
      <c r="S102" s="43" t="n">
        <v>0.0610405690258335</v>
      </c>
      <c r="T102" s="44" t="s">
        <v>90</v>
      </c>
    </row>
    <row r="103" customFormat="false" ht="15" hidden="false" customHeight="false" outlineLevel="0" collapsed="false">
      <c r="A103" s="38" t="s">
        <v>156</v>
      </c>
      <c r="B103" s="38" t="s">
        <v>158</v>
      </c>
      <c r="C103" s="38" t="s">
        <v>200</v>
      </c>
      <c r="D103" s="21" t="n">
        <f aca="false">ROUND(Q103*R103,0)</f>
        <v>386</v>
      </c>
      <c r="E103" s="21" t="n">
        <f aca="false">ROUND(Q103,0)-D103</f>
        <v>218</v>
      </c>
      <c r="F103" s="21" t="n">
        <f aca="false">IF(COUNTA(D103:E103)=0,"",SUM(D103:E103))</f>
        <v>604</v>
      </c>
      <c r="G103" s="39" t="n">
        <f aca="false">IF(OR(F103="",F103=0),"",D103/F103)</f>
        <v>0.639072847682119</v>
      </c>
      <c r="H103" s="39" t="n">
        <f aca="false">IF(OR(F103="",F103=0),"",E103/F103)</f>
        <v>0.360927152317881</v>
      </c>
      <c r="I103" s="38" t="s">
        <v>89</v>
      </c>
      <c r="J103" s="40" t="n">
        <v>3.02608556967268</v>
      </c>
      <c r="K103" s="39" t="n">
        <f aca="false">IF(G103="","",MAX(0,G103-J103/100))</f>
        <v>0.608811991985392</v>
      </c>
      <c r="L103" s="39" t="n">
        <f aca="false">IF(G103="","",MIN(1,G103+J103/100))</f>
        <v>0.669333703378846</v>
      </c>
      <c r="M103" s="21" t="n">
        <f aca="false">ROUND(Q103*S103,0)</f>
        <v>37</v>
      </c>
      <c r="N103" s="21" t="n">
        <f aca="false">ROUND(SQRT((F103*J103/100)^2+(G103*M103)^2),0)</f>
        <v>30</v>
      </c>
      <c r="P103" s="41" t="n">
        <v>11.2220836134468</v>
      </c>
      <c r="Q103" s="42" t="n">
        <v>604</v>
      </c>
      <c r="R103" s="43" t="n">
        <f aca="false">MAX(0,MIN(1,P103/100+$D$5))</f>
        <v>0.638788038829343</v>
      </c>
      <c r="S103" s="43" t="n">
        <v>0.0610405690258335</v>
      </c>
      <c r="T103" s="44" t="s">
        <v>90</v>
      </c>
    </row>
    <row r="104" customFormat="false" ht="15" hidden="false" customHeight="false" outlineLevel="0" collapsed="false">
      <c r="A104" s="38" t="s">
        <v>156</v>
      </c>
      <c r="B104" s="38" t="s">
        <v>158</v>
      </c>
      <c r="C104" s="38" t="s">
        <v>201</v>
      </c>
      <c r="D104" s="21" t="n">
        <f aca="false">ROUND(Q104*R104,0)</f>
        <v>1</v>
      </c>
      <c r="E104" s="21" t="n">
        <f aca="false">ROUND(Q104,0)-D104</f>
        <v>1</v>
      </c>
      <c r="F104" s="21" t="n">
        <f aca="false">IF(COUNTA(D104:E104)=0,"",SUM(D104:E104))</f>
        <v>2</v>
      </c>
      <c r="G104" s="39" t="n">
        <f aca="false">IF(OR(F104="",F104=0),"",D104/F104)</f>
        <v>0.5</v>
      </c>
      <c r="H104" s="39" t="n">
        <f aca="false">IF(OR(F104="",F104=0),"",E104/F104)</f>
        <v>0.5</v>
      </c>
      <c r="I104" s="38" t="s">
        <v>190</v>
      </c>
      <c r="J104" s="40" t="n">
        <v>3.02608556967268</v>
      </c>
      <c r="K104" s="39" t="n">
        <f aca="false">IF(G104="","",MAX(0,G104-J104/100))</f>
        <v>0.469739144303273</v>
      </c>
      <c r="L104" s="39" t="n">
        <f aca="false">IF(G104="","",MIN(1,G104+J104/100))</f>
        <v>0.530260855696727</v>
      </c>
      <c r="M104" s="21" t="n">
        <f aca="false">ROUND(Q104*S104,0)</f>
        <v>0</v>
      </c>
      <c r="N104" s="21" t="n">
        <f aca="false">ROUND(SQRT((F104*J104/100)^2+(G104*M104)^2),0)</f>
        <v>0</v>
      </c>
      <c r="P104" s="41" t="n">
        <v>-0.678609104184326</v>
      </c>
      <c r="Q104" s="42" t="n">
        <v>2.3159412202381</v>
      </c>
      <c r="R104" s="43" t="n">
        <f aca="false">MAX(0,MIN(1,P104/100+$D$5))</f>
        <v>0.519781111653031</v>
      </c>
      <c r="S104" s="43" t="n">
        <v>0.0610405690258335</v>
      </c>
      <c r="T104" s="44" t="s">
        <v>90</v>
      </c>
    </row>
    <row r="105" customFormat="false" ht="15" hidden="false" customHeight="false" outlineLevel="0" collapsed="false">
      <c r="A105" s="38" t="s">
        <v>156</v>
      </c>
      <c r="B105" s="38" t="s">
        <v>158</v>
      </c>
      <c r="C105" s="38" t="s">
        <v>202</v>
      </c>
      <c r="D105" s="21" t="n">
        <f aca="false">ROUND(Q105*R105,0)</f>
        <v>503</v>
      </c>
      <c r="E105" s="21" t="n">
        <f aca="false">ROUND(Q105,0)-D105</f>
        <v>267</v>
      </c>
      <c r="F105" s="21" t="n">
        <f aca="false">IF(COUNTA(D105:E105)=0,"",SUM(D105:E105))</f>
        <v>770</v>
      </c>
      <c r="G105" s="39" t="n">
        <f aca="false">IF(OR(F105="",F105=0),"",D105/F105)</f>
        <v>0.653246753246753</v>
      </c>
      <c r="H105" s="39" t="n">
        <f aca="false">IF(OR(F105="",F105=0),"",E105/F105)</f>
        <v>0.346753246753247</v>
      </c>
      <c r="I105" s="38" t="s">
        <v>89</v>
      </c>
      <c r="J105" s="40" t="n">
        <v>3.02608556967268</v>
      </c>
      <c r="K105" s="39" t="n">
        <f aca="false">IF(G105="","",MAX(0,G105-J105/100))</f>
        <v>0.622985897550026</v>
      </c>
      <c r="L105" s="39" t="n">
        <f aca="false">IF(G105="","",MIN(1,G105+J105/100))</f>
        <v>0.68350760894348</v>
      </c>
      <c r="M105" s="21" t="n">
        <f aca="false">ROUND(Q105*S105,0)</f>
        <v>47</v>
      </c>
      <c r="N105" s="21" t="n">
        <f aca="false">ROUND(SQRT((F105*J105/100)^2+(G105*M105)^2),0)</f>
        <v>39</v>
      </c>
      <c r="P105" s="41" t="n">
        <v>12.7320617549059</v>
      </c>
      <c r="Q105" s="42" t="n">
        <v>770</v>
      </c>
      <c r="R105" s="43" t="n">
        <f aca="false">MAX(0,MIN(1,P105/100+$D$5))</f>
        <v>0.653887820243934</v>
      </c>
      <c r="S105" s="43" t="n">
        <v>0.0610405690258335</v>
      </c>
      <c r="T105" s="44" t="s">
        <v>90</v>
      </c>
    </row>
    <row r="106" customFormat="false" ht="15" hidden="false" customHeight="false" outlineLevel="0" collapsed="false">
      <c r="A106" s="38" t="s">
        <v>156</v>
      </c>
      <c r="B106" s="38" t="s">
        <v>158</v>
      </c>
      <c r="C106" s="38" t="s">
        <v>203</v>
      </c>
      <c r="D106" s="21" t="n">
        <f aca="false">ROUND(Q106*R106,0)</f>
        <v>232</v>
      </c>
      <c r="E106" s="21" t="n">
        <f aca="false">ROUND(Q106,0)-D106</f>
        <v>71</v>
      </c>
      <c r="F106" s="21" t="n">
        <f aca="false">IF(COUNTA(D106:E106)=0,"",SUM(D106:E106))</f>
        <v>303</v>
      </c>
      <c r="G106" s="39" t="n">
        <f aca="false">IF(OR(F106="",F106=0),"",D106/F106)</f>
        <v>0.765676567656766</v>
      </c>
      <c r="H106" s="39" t="n">
        <f aca="false">IF(OR(F106="",F106=0),"",E106/F106)</f>
        <v>0.234323432343234</v>
      </c>
      <c r="I106" s="38" t="s">
        <v>89</v>
      </c>
      <c r="J106" s="40" t="n">
        <v>3.02608556967268</v>
      </c>
      <c r="K106" s="39" t="n">
        <f aca="false">IF(G106="","",MAX(0,G106-J106/100))</f>
        <v>0.735415711960039</v>
      </c>
      <c r="L106" s="39" t="n">
        <f aca="false">IF(G106="","",MIN(1,G106+J106/100))</f>
        <v>0.795937423353493</v>
      </c>
      <c r="M106" s="21" t="n">
        <f aca="false">ROUND(Q106*S106,0)</f>
        <v>18</v>
      </c>
      <c r="N106" s="21" t="n">
        <f aca="false">ROUND(SQRT((F106*J106/100)^2+(G106*M106)^2),0)</f>
        <v>17</v>
      </c>
      <c r="P106" s="41" t="n">
        <v>23.7484071919803</v>
      </c>
      <c r="Q106" s="42" t="n">
        <v>303</v>
      </c>
      <c r="R106" s="43" t="n">
        <f aca="false">MAX(0,MIN(1,P106/100+$D$5))</f>
        <v>0.764051274614677</v>
      </c>
      <c r="S106" s="43" t="n">
        <v>0.0610405690258335</v>
      </c>
      <c r="T106" s="44" t="s">
        <v>90</v>
      </c>
    </row>
    <row r="107" customFormat="false" ht="15" hidden="false" customHeight="false" outlineLevel="0" collapsed="false">
      <c r="A107" s="38" t="s">
        <v>156</v>
      </c>
      <c r="B107" s="38" t="s">
        <v>158</v>
      </c>
      <c r="C107" s="38" t="s">
        <v>204</v>
      </c>
      <c r="D107" s="21" t="n">
        <f aca="false">ROUND(Q107*R107,0)</f>
        <v>223</v>
      </c>
      <c r="E107" s="21" t="n">
        <f aca="false">ROUND(Q107,0)-D107</f>
        <v>81</v>
      </c>
      <c r="F107" s="21" t="n">
        <f aca="false">IF(COUNTA(D107:E107)=0,"",SUM(D107:E107))</f>
        <v>304</v>
      </c>
      <c r="G107" s="39" t="n">
        <f aca="false">IF(OR(F107="",F107=0),"",D107/F107)</f>
        <v>0.733552631578947</v>
      </c>
      <c r="H107" s="39" t="n">
        <f aca="false">IF(OR(F107="",F107=0),"",E107/F107)</f>
        <v>0.266447368421053</v>
      </c>
      <c r="I107" s="38" t="s">
        <v>89</v>
      </c>
      <c r="J107" s="40" t="n">
        <v>3.02608556967268</v>
      </c>
      <c r="K107" s="39" t="n">
        <f aca="false">IF(G107="","",MAX(0,G107-J107/100))</f>
        <v>0.703291775882221</v>
      </c>
      <c r="L107" s="39" t="n">
        <f aca="false">IF(G107="","",MIN(1,G107+J107/100))</f>
        <v>0.763813487275674</v>
      </c>
      <c r="M107" s="21" t="n">
        <f aca="false">ROUND(Q107*S107,0)</f>
        <v>19</v>
      </c>
      <c r="N107" s="21" t="n">
        <f aca="false">ROUND(SQRT((F107*J107/100)^2+(G107*M107)^2),0)</f>
        <v>17</v>
      </c>
      <c r="P107" s="41" t="n">
        <v>20.5873177389921</v>
      </c>
      <c r="Q107" s="42" t="n">
        <v>304</v>
      </c>
      <c r="R107" s="43" t="n">
        <f aca="false">MAX(0,MIN(1,P107/100+$D$5))</f>
        <v>0.732440380084795</v>
      </c>
      <c r="S107" s="43" t="n">
        <v>0.0610405690258335</v>
      </c>
      <c r="T107" s="44" t="s">
        <v>90</v>
      </c>
    </row>
    <row r="108" customFormat="false" ht="15" hidden="false" customHeight="false" outlineLevel="0" collapsed="false">
      <c r="A108" s="38" t="s">
        <v>156</v>
      </c>
      <c r="B108" s="38" t="s">
        <v>158</v>
      </c>
      <c r="C108" s="38" t="s">
        <v>205</v>
      </c>
      <c r="D108" s="21" t="n">
        <f aca="false">ROUND(Q108*R108,0)</f>
        <v>330</v>
      </c>
      <c r="E108" s="21" t="n">
        <f aca="false">ROUND(Q108,0)-D108</f>
        <v>107</v>
      </c>
      <c r="F108" s="21" t="n">
        <f aca="false">IF(COUNTA(D108:E108)=0,"",SUM(D108:E108))</f>
        <v>437</v>
      </c>
      <c r="G108" s="39" t="n">
        <f aca="false">IF(OR(F108="",F108=0),"",D108/F108)</f>
        <v>0.755148741418764</v>
      </c>
      <c r="H108" s="39" t="n">
        <f aca="false">IF(OR(F108="",F108=0),"",E108/F108)</f>
        <v>0.244851258581236</v>
      </c>
      <c r="I108" s="38" t="s">
        <v>89</v>
      </c>
      <c r="J108" s="40" t="n">
        <v>3.02608556967268</v>
      </c>
      <c r="K108" s="39" t="n">
        <f aca="false">IF(G108="","",MAX(0,G108-J108/100))</f>
        <v>0.724887885722037</v>
      </c>
      <c r="L108" s="39" t="n">
        <f aca="false">IF(G108="","",MIN(1,G108+J108/100))</f>
        <v>0.785409597115491</v>
      </c>
      <c r="M108" s="21" t="n">
        <f aca="false">ROUND(Q108*S108,0)</f>
        <v>27</v>
      </c>
      <c r="N108" s="21" t="n">
        <f aca="false">ROUND(SQRT((F108*J108/100)^2+(G108*M108)^2),0)</f>
        <v>24</v>
      </c>
      <c r="P108" s="41" t="n">
        <v>22.9126609424909</v>
      </c>
      <c r="Q108" s="42" t="n">
        <v>437</v>
      </c>
      <c r="R108" s="43" t="n">
        <f aca="false">MAX(0,MIN(1,P108/100+$D$5))</f>
        <v>0.755693812119783</v>
      </c>
      <c r="S108" s="43" t="n">
        <v>0.0610405690258335</v>
      </c>
      <c r="T108" s="44" t="s">
        <v>90</v>
      </c>
    </row>
    <row r="109" customFormat="false" ht="15" hidden="false" customHeight="false" outlineLevel="0" collapsed="false">
      <c r="A109" s="38" t="s">
        <v>156</v>
      </c>
      <c r="B109" s="38" t="s">
        <v>158</v>
      </c>
      <c r="C109" s="38" t="s">
        <v>206</v>
      </c>
      <c r="D109" s="21" t="n">
        <f aca="false">ROUND(Q109*R109,0)</f>
        <v>168</v>
      </c>
      <c r="E109" s="21" t="n">
        <f aca="false">ROUND(Q109,0)-D109</f>
        <v>64</v>
      </c>
      <c r="F109" s="21" t="n">
        <f aca="false">IF(COUNTA(D109:E109)=0,"",SUM(D109:E109))</f>
        <v>232</v>
      </c>
      <c r="G109" s="39" t="n">
        <f aca="false">IF(OR(F109="",F109=0),"",D109/F109)</f>
        <v>0.724137931034483</v>
      </c>
      <c r="H109" s="39" t="n">
        <f aca="false">IF(OR(F109="",F109=0),"",E109/F109)</f>
        <v>0.275862068965517</v>
      </c>
      <c r="I109" s="38" t="s">
        <v>89</v>
      </c>
      <c r="J109" s="40" t="n">
        <v>3.02608556967268</v>
      </c>
      <c r="K109" s="39" t="n">
        <f aca="false">IF(G109="","",MAX(0,G109-J109/100))</f>
        <v>0.693877075337756</v>
      </c>
      <c r="L109" s="39" t="n">
        <f aca="false">IF(G109="","",MIN(1,G109+J109/100))</f>
        <v>0.75439878673121</v>
      </c>
      <c r="M109" s="21" t="n">
        <f aca="false">ROUND(Q109*S109,0)</f>
        <v>14</v>
      </c>
      <c r="N109" s="21" t="n">
        <f aca="false">ROUND(SQRT((F109*J109/100)^2+(G109*M109)^2),0)</f>
        <v>12</v>
      </c>
      <c r="P109" s="41" t="n">
        <v>19.5998062271024</v>
      </c>
      <c r="Q109" s="42" t="n">
        <v>232</v>
      </c>
      <c r="R109" s="43" t="n">
        <f aca="false">MAX(0,MIN(1,P109/100+$D$5))</f>
        <v>0.722565264965899</v>
      </c>
      <c r="S109" s="43" t="n">
        <v>0.0610405690258335</v>
      </c>
      <c r="T109" s="44" t="s">
        <v>90</v>
      </c>
    </row>
    <row r="110" customFormat="false" ht="15" hidden="false" customHeight="false" outlineLevel="0" collapsed="false">
      <c r="A110" s="38" t="s">
        <v>156</v>
      </c>
      <c r="B110" s="38" t="s">
        <v>158</v>
      </c>
      <c r="C110" s="38" t="s">
        <v>207</v>
      </c>
      <c r="D110" s="21" t="n">
        <f aca="false">ROUND(Q110*R110,0)</f>
        <v>220</v>
      </c>
      <c r="E110" s="21" t="n">
        <f aca="false">ROUND(Q110,0)-D110</f>
        <v>61</v>
      </c>
      <c r="F110" s="21" t="n">
        <f aca="false">IF(COUNTA(D110:E110)=0,"",SUM(D110:E110))</f>
        <v>281</v>
      </c>
      <c r="G110" s="39" t="n">
        <f aca="false">IF(OR(F110="",F110=0),"",D110/F110)</f>
        <v>0.782918149466192</v>
      </c>
      <c r="H110" s="39" t="n">
        <f aca="false">IF(OR(F110="",F110=0),"",E110/F110)</f>
        <v>0.217081850533808</v>
      </c>
      <c r="I110" s="38" t="s">
        <v>89</v>
      </c>
      <c r="J110" s="40" t="n">
        <v>3.02608556967268</v>
      </c>
      <c r="K110" s="39" t="n">
        <f aca="false">IF(G110="","",MAX(0,G110-J110/100))</f>
        <v>0.752657293769465</v>
      </c>
      <c r="L110" s="39" t="n">
        <f aca="false">IF(G110="","",MIN(1,G110+J110/100))</f>
        <v>0.813179005162919</v>
      </c>
      <c r="M110" s="21" t="n">
        <f aca="false">ROUND(Q110*S110,0)</f>
        <v>17</v>
      </c>
      <c r="N110" s="21" t="n">
        <f aca="false">ROUND(SQRT((F110*J110/100)^2+(G110*M110)^2),0)</f>
        <v>16</v>
      </c>
      <c r="P110" s="41" t="n">
        <v>25.6208097991297</v>
      </c>
      <c r="Q110" s="42" t="n">
        <v>281</v>
      </c>
      <c r="R110" s="43" t="n">
        <f aca="false">MAX(0,MIN(1,P110/100+$D$5))</f>
        <v>0.782775300686171</v>
      </c>
      <c r="S110" s="43" t="n">
        <v>0.0610405690258335</v>
      </c>
      <c r="T110" s="44" t="s">
        <v>90</v>
      </c>
    </row>
    <row r="111" customFormat="false" ht="15" hidden="false" customHeight="false" outlineLevel="0" collapsed="false">
      <c r="A111" s="38" t="s">
        <v>156</v>
      </c>
      <c r="B111" s="38" t="s">
        <v>158</v>
      </c>
      <c r="C111" s="38" t="s">
        <v>208</v>
      </c>
      <c r="D111" s="21" t="n">
        <f aca="false">ROUND(Q111*R111,0)</f>
        <v>84</v>
      </c>
      <c r="E111" s="21" t="n">
        <f aca="false">ROUND(Q111,0)-D111</f>
        <v>39</v>
      </c>
      <c r="F111" s="21" t="n">
        <f aca="false">IF(COUNTA(D111:E111)=0,"",SUM(D111:E111))</f>
        <v>123</v>
      </c>
      <c r="G111" s="39" t="n">
        <f aca="false">IF(OR(F111="",F111=0),"",D111/F111)</f>
        <v>0.682926829268293</v>
      </c>
      <c r="H111" s="39" t="n">
        <f aca="false">IF(OR(F111="",F111=0),"",E111/F111)</f>
        <v>0.317073170731707</v>
      </c>
      <c r="I111" s="38" t="s">
        <v>89</v>
      </c>
      <c r="J111" s="40" t="n">
        <v>3.02608556967268</v>
      </c>
      <c r="K111" s="39" t="n">
        <f aca="false">IF(G111="","",MAX(0,G111-J111/100))</f>
        <v>0.652665973571566</v>
      </c>
      <c r="L111" s="39" t="n">
        <f aca="false">IF(G111="","",MIN(1,G111+J111/100))</f>
        <v>0.71318768496502</v>
      </c>
      <c r="M111" s="21" t="n">
        <f aca="false">ROUND(Q111*S111,0)</f>
        <v>8</v>
      </c>
      <c r="N111" s="21" t="n">
        <f aca="false">ROUND(SQRT((F111*J111/100)^2+(G111*M111)^2),0)</f>
        <v>7</v>
      </c>
      <c r="P111" s="41" t="n">
        <v>15.3334924353977</v>
      </c>
      <c r="Q111" s="42" t="n">
        <v>123</v>
      </c>
      <c r="R111" s="43" t="n">
        <f aca="false">MAX(0,MIN(1,P111/100+$D$5))</f>
        <v>0.679902127048851</v>
      </c>
      <c r="S111" s="43" t="n">
        <v>0.0610405690258335</v>
      </c>
      <c r="T111" s="44" t="s">
        <v>90</v>
      </c>
    </row>
    <row r="112" customFormat="false" ht="15" hidden="false" customHeight="false" outlineLevel="0" collapsed="false">
      <c r="A112" s="38" t="s">
        <v>156</v>
      </c>
      <c r="B112" s="38" t="s">
        <v>158</v>
      </c>
      <c r="C112" s="38" t="s">
        <v>209</v>
      </c>
      <c r="D112" s="21" t="n">
        <f aca="false">ROUND(Q112*R112,0)</f>
        <v>193</v>
      </c>
      <c r="E112" s="21" t="n">
        <f aca="false">ROUND(Q112,0)-D112</f>
        <v>97</v>
      </c>
      <c r="F112" s="21" t="n">
        <f aca="false">IF(COUNTA(D112:E112)=0,"",SUM(D112:E112))</f>
        <v>290</v>
      </c>
      <c r="G112" s="39" t="n">
        <f aca="false">IF(OR(F112="",F112=0),"",D112/F112)</f>
        <v>0.66551724137931</v>
      </c>
      <c r="H112" s="39" t="n">
        <f aca="false">IF(OR(F112="",F112=0),"",E112/F112)</f>
        <v>0.33448275862069</v>
      </c>
      <c r="I112" s="38" t="s">
        <v>89</v>
      </c>
      <c r="J112" s="40" t="n">
        <v>3.02608556967268</v>
      </c>
      <c r="K112" s="39" t="n">
        <f aca="false">IF(G112="","",MAX(0,G112-J112/100))</f>
        <v>0.635256385682584</v>
      </c>
      <c r="L112" s="39" t="n">
        <f aca="false">IF(G112="","",MIN(1,G112+J112/100))</f>
        <v>0.695778097076037</v>
      </c>
      <c r="M112" s="21" t="n">
        <f aca="false">ROUND(Q112*S112,0)</f>
        <v>18</v>
      </c>
      <c r="N112" s="21" t="n">
        <f aca="false">ROUND(SQRT((F112*J112/100)^2+(G112*M112)^2),0)</f>
        <v>15</v>
      </c>
      <c r="P112" s="41" t="n">
        <v>13.8501441976774</v>
      </c>
      <c r="Q112" s="42" t="n">
        <v>290</v>
      </c>
      <c r="R112" s="43" t="n">
        <f aca="false">MAX(0,MIN(1,P112/100+$D$5))</f>
        <v>0.665068644671649</v>
      </c>
      <c r="S112" s="43" t="n">
        <v>0.0610405690258335</v>
      </c>
      <c r="T112" s="44" t="s">
        <v>90</v>
      </c>
    </row>
    <row r="113" customFormat="false" ht="15" hidden="false" customHeight="false" outlineLevel="0" collapsed="false">
      <c r="A113" s="38" t="s">
        <v>156</v>
      </c>
      <c r="B113" s="38" t="s">
        <v>158</v>
      </c>
      <c r="C113" s="38" t="s">
        <v>210</v>
      </c>
      <c r="D113" s="21" t="n">
        <f aca="false">ROUND(Q113*R113,0)</f>
        <v>305</v>
      </c>
      <c r="E113" s="21" t="n">
        <f aca="false">ROUND(Q113,0)-D113</f>
        <v>94</v>
      </c>
      <c r="F113" s="21" t="n">
        <f aca="false">IF(COUNTA(D113:E113)=0,"",SUM(D113:E113))</f>
        <v>399</v>
      </c>
      <c r="G113" s="39" t="n">
        <f aca="false">IF(OR(F113="",F113=0),"",D113/F113)</f>
        <v>0.764411027568922</v>
      </c>
      <c r="H113" s="39" t="n">
        <f aca="false">IF(OR(F113="",F113=0),"",E113/F113)</f>
        <v>0.235588972431078</v>
      </c>
      <c r="I113" s="38" t="s">
        <v>89</v>
      </c>
      <c r="J113" s="40" t="n">
        <v>3.02608556967268</v>
      </c>
      <c r="K113" s="39" t="n">
        <f aca="false">IF(G113="","",MAX(0,G113-J113/100))</f>
        <v>0.734150171872195</v>
      </c>
      <c r="L113" s="39" t="n">
        <f aca="false">IF(G113="","",MIN(1,G113+J113/100))</f>
        <v>0.794671883265649</v>
      </c>
      <c r="M113" s="21" t="n">
        <f aca="false">ROUND(Q113*S113,0)</f>
        <v>24</v>
      </c>
      <c r="N113" s="21" t="n">
        <f aca="false">ROUND(SQRT((F113*J113/100)^2+(G113*M113)^2),0)</f>
        <v>22</v>
      </c>
      <c r="P113" s="41" t="n">
        <v>23.7011730792</v>
      </c>
      <c r="Q113" s="42" t="n">
        <v>399</v>
      </c>
      <c r="R113" s="43" t="n">
        <f aca="false">MAX(0,MIN(1,P113/100+$D$5))</f>
        <v>0.763578933486874</v>
      </c>
      <c r="S113" s="43" t="n">
        <v>0.0610405690258335</v>
      </c>
      <c r="T113" s="44" t="s">
        <v>90</v>
      </c>
    </row>
    <row r="114" customFormat="false" ht="15" hidden="false" customHeight="false" outlineLevel="0" collapsed="false">
      <c r="A114" s="38" t="s">
        <v>156</v>
      </c>
      <c r="B114" s="38" t="s">
        <v>158</v>
      </c>
      <c r="C114" s="38" t="s">
        <v>211</v>
      </c>
      <c r="D114" s="21" t="n">
        <f aca="false">ROUND(Q114*R114,0)</f>
        <v>108</v>
      </c>
      <c r="E114" s="21" t="n">
        <f aca="false">ROUND(Q114,0)-D114</f>
        <v>33</v>
      </c>
      <c r="F114" s="21" t="n">
        <f aca="false">IF(COUNTA(D114:E114)=0,"",SUM(D114:E114))</f>
        <v>141</v>
      </c>
      <c r="G114" s="39" t="n">
        <f aca="false">IF(OR(F114="",F114=0),"",D114/F114)</f>
        <v>0.765957446808511</v>
      </c>
      <c r="H114" s="39" t="n">
        <f aca="false">IF(OR(F114="",F114=0),"",E114/F114)</f>
        <v>0.234042553191489</v>
      </c>
      <c r="I114" s="38" t="s">
        <v>89</v>
      </c>
      <c r="J114" s="40" t="n">
        <v>3.02608556967268</v>
      </c>
      <c r="K114" s="39" t="n">
        <f aca="false">IF(G114="","",MAX(0,G114-J114/100))</f>
        <v>0.735696591111784</v>
      </c>
      <c r="L114" s="39" t="n">
        <f aca="false">IF(G114="","",MIN(1,G114+J114/100))</f>
        <v>0.796218302505238</v>
      </c>
      <c r="M114" s="21" t="n">
        <f aca="false">ROUND(Q114*S114,0)</f>
        <v>9</v>
      </c>
      <c r="N114" s="21" t="n">
        <f aca="false">ROUND(SQRT((F114*J114/100)^2+(G114*M114)^2),0)</f>
        <v>8</v>
      </c>
      <c r="P114" s="41" t="n">
        <v>24.1276838163281</v>
      </c>
      <c r="Q114" s="42" t="n">
        <v>141</v>
      </c>
      <c r="R114" s="43" t="n">
        <f aca="false">MAX(0,MIN(1,P114/100+$D$5))</f>
        <v>0.767844040858155</v>
      </c>
      <c r="S114" s="43" t="n">
        <v>0.0610405690258335</v>
      </c>
      <c r="T114" s="44" t="s">
        <v>90</v>
      </c>
    </row>
    <row r="115" customFormat="false" ht="15" hidden="false" customHeight="false" outlineLevel="0" collapsed="false">
      <c r="A115" s="38" t="s">
        <v>156</v>
      </c>
      <c r="B115" s="38" t="s">
        <v>158</v>
      </c>
      <c r="C115" s="38" t="s">
        <v>212</v>
      </c>
      <c r="D115" s="21" t="n">
        <f aca="false">ROUND(Q115*R115,0)</f>
        <v>131</v>
      </c>
      <c r="E115" s="21" t="n">
        <f aca="false">ROUND(Q115,0)-D115</f>
        <v>42</v>
      </c>
      <c r="F115" s="21" t="n">
        <f aca="false">IF(COUNTA(D115:E115)=0,"",SUM(D115:E115))</f>
        <v>173</v>
      </c>
      <c r="G115" s="39" t="n">
        <f aca="false">IF(OR(F115="",F115=0),"",D115/F115)</f>
        <v>0.757225433526012</v>
      </c>
      <c r="H115" s="39" t="n">
        <f aca="false">IF(OR(F115="",F115=0),"",E115/F115)</f>
        <v>0.242774566473988</v>
      </c>
      <c r="I115" s="38" t="s">
        <v>89</v>
      </c>
      <c r="J115" s="40" t="n">
        <v>3.02608556967268</v>
      </c>
      <c r="K115" s="39" t="n">
        <f aca="false">IF(G115="","",MAX(0,G115-J115/100))</f>
        <v>0.726964577829285</v>
      </c>
      <c r="L115" s="39" t="n">
        <f aca="false">IF(G115="","",MIN(1,G115+J115/100))</f>
        <v>0.787486289222738</v>
      </c>
      <c r="M115" s="21" t="n">
        <f aca="false">ROUND(Q115*S115,0)</f>
        <v>11</v>
      </c>
      <c r="N115" s="21" t="n">
        <f aca="false">ROUND(SQRT((F115*J115/100)^2+(G115*M115)^2),0)</f>
        <v>10</v>
      </c>
      <c r="P115" s="41" t="n">
        <v>23.2813834948956</v>
      </c>
      <c r="Q115" s="42" t="n">
        <v>173</v>
      </c>
      <c r="R115" s="43" t="n">
        <f aca="false">MAX(0,MIN(1,P115/100+$D$5))</f>
        <v>0.75938103764383</v>
      </c>
      <c r="S115" s="43" t="n">
        <v>0.0610405690258335</v>
      </c>
      <c r="T115" s="44" t="s">
        <v>90</v>
      </c>
    </row>
    <row r="116" customFormat="false" ht="15" hidden="false" customHeight="false" outlineLevel="0" collapsed="false">
      <c r="A116" s="38" t="s">
        <v>156</v>
      </c>
      <c r="B116" s="38" t="s">
        <v>158</v>
      </c>
      <c r="C116" s="38" t="s">
        <v>213</v>
      </c>
      <c r="D116" s="21" t="n">
        <f aca="false">ROUND(Q116*R116,0)</f>
        <v>210</v>
      </c>
      <c r="E116" s="21" t="n">
        <f aca="false">ROUND(Q116,0)-D116</f>
        <v>65</v>
      </c>
      <c r="F116" s="21" t="n">
        <f aca="false">IF(COUNTA(D116:E116)=0,"",SUM(D116:E116))</f>
        <v>275</v>
      </c>
      <c r="G116" s="39" t="n">
        <f aca="false">IF(OR(F116="",F116=0),"",D116/F116)</f>
        <v>0.763636363636364</v>
      </c>
      <c r="H116" s="39" t="n">
        <f aca="false">IF(OR(F116="",F116=0),"",E116/F116)</f>
        <v>0.236363636363636</v>
      </c>
      <c r="I116" s="38" t="s">
        <v>89</v>
      </c>
      <c r="J116" s="40" t="n">
        <v>3.02608556967268</v>
      </c>
      <c r="K116" s="39" t="n">
        <f aca="false">IF(G116="","",MAX(0,G116-J116/100))</f>
        <v>0.733375507939637</v>
      </c>
      <c r="L116" s="39" t="n">
        <f aca="false">IF(G116="","",MIN(1,G116+J116/100))</f>
        <v>0.793897219333091</v>
      </c>
      <c r="M116" s="21" t="n">
        <f aca="false">ROUND(Q116*S116,0)</f>
        <v>17</v>
      </c>
      <c r="N116" s="21" t="n">
        <f aca="false">ROUND(SQRT((F116*J116/100)^2+(G116*M116)^2),0)</f>
        <v>15</v>
      </c>
      <c r="P116" s="41" t="n">
        <v>23.6089067590787</v>
      </c>
      <c r="Q116" s="42" t="n">
        <v>275</v>
      </c>
      <c r="R116" s="43" t="n">
        <f aca="false">MAX(0,MIN(1,P116/100+$D$5))</f>
        <v>0.762656270285661</v>
      </c>
      <c r="S116" s="43" t="n">
        <v>0.0610405690258335</v>
      </c>
      <c r="T116" s="44" t="s">
        <v>90</v>
      </c>
    </row>
    <row r="117" customFormat="false" ht="15" hidden="false" customHeight="false" outlineLevel="0" collapsed="false">
      <c r="A117" s="38" t="s">
        <v>156</v>
      </c>
      <c r="B117" s="38" t="s">
        <v>158</v>
      </c>
      <c r="C117" s="38" t="s">
        <v>214</v>
      </c>
      <c r="D117" s="21" t="n">
        <f aca="false">ROUND(Q117*R117,0)</f>
        <v>346</v>
      </c>
      <c r="E117" s="21" t="n">
        <f aca="false">ROUND(Q117,0)-D117</f>
        <v>151</v>
      </c>
      <c r="F117" s="21" t="n">
        <f aca="false">IF(COUNTA(D117:E117)=0,"",SUM(D117:E117))</f>
        <v>497</v>
      </c>
      <c r="G117" s="39" t="n">
        <f aca="false">IF(OR(F117="",F117=0),"",D117/F117)</f>
        <v>0.696177062374246</v>
      </c>
      <c r="H117" s="39" t="n">
        <f aca="false">IF(OR(F117="",F117=0),"",E117/F117)</f>
        <v>0.303822937625755</v>
      </c>
      <c r="I117" s="38" t="s">
        <v>89</v>
      </c>
      <c r="J117" s="40" t="n">
        <v>3.02608556967268</v>
      </c>
      <c r="K117" s="39" t="n">
        <f aca="false">IF(G117="","",MAX(0,G117-J117/100))</f>
        <v>0.665916206677519</v>
      </c>
      <c r="L117" s="39" t="n">
        <f aca="false">IF(G117="","",MIN(1,G117+J117/100))</f>
        <v>0.726437918070972</v>
      </c>
      <c r="M117" s="21" t="n">
        <f aca="false">ROUND(Q117*S117,0)</f>
        <v>30</v>
      </c>
      <c r="N117" s="21" t="n">
        <f aca="false">ROUND(SQRT((F117*J117/100)^2+(G117*M117)^2),0)</f>
        <v>26</v>
      </c>
      <c r="P117" s="41" t="n">
        <v>16.9831563543597</v>
      </c>
      <c r="Q117" s="42" t="n">
        <v>497</v>
      </c>
      <c r="R117" s="43" t="n">
        <f aca="false">MAX(0,MIN(1,P117/100+$D$5))</f>
        <v>0.696398766238472</v>
      </c>
      <c r="S117" s="43" t="n">
        <v>0.0610405690258335</v>
      </c>
      <c r="T117" s="44" t="s">
        <v>90</v>
      </c>
    </row>
    <row r="118" customFormat="false" ht="15" hidden="false" customHeight="false" outlineLevel="0" collapsed="false">
      <c r="A118" s="38" t="s">
        <v>156</v>
      </c>
      <c r="B118" s="38" t="s">
        <v>158</v>
      </c>
      <c r="C118" s="38" t="s">
        <v>215</v>
      </c>
      <c r="D118" s="21" t="n">
        <f aca="false">ROUND(Q118*R118,0)</f>
        <v>155</v>
      </c>
      <c r="E118" s="21" t="n">
        <f aca="false">ROUND(Q118,0)-D118</f>
        <v>63</v>
      </c>
      <c r="F118" s="21" t="n">
        <f aca="false">IF(COUNTA(D118:E118)=0,"",SUM(D118:E118))</f>
        <v>218</v>
      </c>
      <c r="G118" s="39" t="n">
        <f aca="false">IF(OR(F118="",F118=0),"",D118/F118)</f>
        <v>0.711009174311927</v>
      </c>
      <c r="H118" s="39" t="n">
        <f aca="false">IF(OR(F118="",F118=0),"",E118/F118)</f>
        <v>0.288990825688073</v>
      </c>
      <c r="I118" s="38" t="s">
        <v>89</v>
      </c>
      <c r="J118" s="40" t="n">
        <v>3.02608556967268</v>
      </c>
      <c r="K118" s="39" t="n">
        <f aca="false">IF(G118="","",MAX(0,G118-J118/100))</f>
        <v>0.6807483186152</v>
      </c>
      <c r="L118" s="39" t="n">
        <f aca="false">IF(G118="","",MIN(1,G118+J118/100))</f>
        <v>0.741270030008653</v>
      </c>
      <c r="M118" s="21" t="n">
        <f aca="false">ROUND(Q118*S118,0)</f>
        <v>13</v>
      </c>
      <c r="N118" s="21" t="n">
        <f aca="false">ROUND(SQRT((F118*J118/100)^2+(G118*M118)^2),0)</f>
        <v>11</v>
      </c>
      <c r="P118" s="41" t="n">
        <v>18.5550979488938</v>
      </c>
      <c r="Q118" s="42" t="n">
        <v>218</v>
      </c>
      <c r="R118" s="43" t="n">
        <f aca="false">MAX(0,MIN(1,P118/100+$D$5))</f>
        <v>0.712118182183813</v>
      </c>
      <c r="S118" s="43" t="n">
        <v>0.0610405690258335</v>
      </c>
      <c r="T118" s="44" t="s">
        <v>90</v>
      </c>
    </row>
    <row r="119" customFormat="false" ht="15" hidden="false" customHeight="false" outlineLevel="0" collapsed="false">
      <c r="A119" s="38" t="s">
        <v>156</v>
      </c>
      <c r="B119" s="38" t="s">
        <v>158</v>
      </c>
      <c r="C119" s="38" t="s">
        <v>216</v>
      </c>
      <c r="D119" s="21" t="n">
        <f aca="false">ROUND(Q119*R119,0)</f>
        <v>172</v>
      </c>
      <c r="E119" s="21" t="n">
        <f aca="false">ROUND(Q119,0)-D119</f>
        <v>66</v>
      </c>
      <c r="F119" s="21" t="n">
        <f aca="false">IF(COUNTA(D119:E119)=0,"",SUM(D119:E119))</f>
        <v>238</v>
      </c>
      <c r="G119" s="39" t="n">
        <f aca="false">IF(OR(F119="",F119=0),"",D119/F119)</f>
        <v>0.722689075630252</v>
      </c>
      <c r="H119" s="39" t="n">
        <f aca="false">IF(OR(F119="",F119=0),"",E119/F119)</f>
        <v>0.277310924369748</v>
      </c>
      <c r="I119" s="38" t="s">
        <v>89</v>
      </c>
      <c r="J119" s="40" t="n">
        <v>3.02608556967268</v>
      </c>
      <c r="K119" s="39" t="n">
        <f aca="false">IF(G119="","",MAX(0,G119-J119/100))</f>
        <v>0.692428219933525</v>
      </c>
      <c r="L119" s="39" t="n">
        <f aca="false">IF(G119="","",MIN(1,G119+J119/100))</f>
        <v>0.752949931326979</v>
      </c>
      <c r="M119" s="21" t="n">
        <f aca="false">ROUND(Q119*S119,0)</f>
        <v>15</v>
      </c>
      <c r="N119" s="21" t="n">
        <f aca="false">ROUND(SQRT((F119*J119/100)^2+(G119*M119)^2),0)</f>
        <v>13</v>
      </c>
      <c r="P119" s="41" t="n">
        <v>19.4292233087307</v>
      </c>
      <c r="Q119" s="42" t="n">
        <v>238</v>
      </c>
      <c r="R119" s="43" t="n">
        <f aca="false">MAX(0,MIN(1,P119/100+$D$5))</f>
        <v>0.720859435782181</v>
      </c>
      <c r="S119" s="43" t="n">
        <v>0.0610405690258335</v>
      </c>
      <c r="T119" s="44" t="s">
        <v>90</v>
      </c>
    </row>
    <row r="120" customFormat="false" ht="15" hidden="false" customHeight="false" outlineLevel="0" collapsed="false">
      <c r="A120" s="38" t="s">
        <v>156</v>
      </c>
      <c r="B120" s="38" t="s">
        <v>158</v>
      </c>
      <c r="C120" s="38" t="s">
        <v>217</v>
      </c>
      <c r="D120" s="21" t="n">
        <f aca="false">ROUND(Q120*R120,0)</f>
        <v>278</v>
      </c>
      <c r="E120" s="21" t="n">
        <f aca="false">ROUND(Q120,0)-D120</f>
        <v>144</v>
      </c>
      <c r="F120" s="21" t="n">
        <f aca="false">IF(COUNTA(D120:E120)=0,"",SUM(D120:E120))</f>
        <v>422</v>
      </c>
      <c r="G120" s="39" t="n">
        <f aca="false">IF(OR(F120="",F120=0),"",D120/F120)</f>
        <v>0.658767772511848</v>
      </c>
      <c r="H120" s="39" t="n">
        <f aca="false">IF(OR(F120="",F120=0),"",E120/F120)</f>
        <v>0.341232227488152</v>
      </c>
      <c r="I120" s="38" t="s">
        <v>89</v>
      </c>
      <c r="J120" s="40" t="n">
        <v>3.02608556967268</v>
      </c>
      <c r="K120" s="39" t="n">
        <f aca="false">IF(G120="","",MAX(0,G120-J120/100))</f>
        <v>0.628506916815122</v>
      </c>
      <c r="L120" s="39" t="n">
        <f aca="false">IF(G120="","",MIN(1,G120+J120/100))</f>
        <v>0.689028628208575</v>
      </c>
      <c r="M120" s="21" t="n">
        <f aca="false">ROUND(Q120*S120,0)</f>
        <v>26</v>
      </c>
      <c r="N120" s="21" t="n">
        <f aca="false">ROUND(SQRT((F120*J120/100)^2+(G120*M120)^2),0)</f>
        <v>21</v>
      </c>
      <c r="P120" s="41" t="n">
        <v>13.1110919091713</v>
      </c>
      <c r="Q120" s="42" t="n">
        <v>422</v>
      </c>
      <c r="R120" s="43" t="n">
        <f aca="false">MAX(0,MIN(1,P120/100+$D$5))</f>
        <v>0.657678121786587</v>
      </c>
      <c r="S120" s="43" t="n">
        <v>0.0610405690258335</v>
      </c>
      <c r="T120" s="44" t="s">
        <v>90</v>
      </c>
    </row>
    <row r="121" customFormat="false" ht="15" hidden="false" customHeight="false" outlineLevel="0" collapsed="false">
      <c r="A121" s="38" t="s">
        <v>156</v>
      </c>
      <c r="B121" s="38" t="s">
        <v>158</v>
      </c>
      <c r="C121" s="38" t="s">
        <v>218</v>
      </c>
      <c r="D121" s="21" t="n">
        <f aca="false">ROUND(Q121*R121,0)</f>
        <v>222</v>
      </c>
      <c r="E121" s="21" t="n">
        <f aca="false">ROUND(Q121,0)-D121</f>
        <v>79</v>
      </c>
      <c r="F121" s="21" t="n">
        <f aca="false">IF(COUNTA(D121:E121)=0,"",SUM(D121:E121))</f>
        <v>301</v>
      </c>
      <c r="G121" s="39" t="n">
        <f aca="false">IF(OR(F121="",F121=0),"",D121/F121)</f>
        <v>0.737541528239203</v>
      </c>
      <c r="H121" s="39" t="n">
        <f aca="false">IF(OR(F121="",F121=0),"",E121/F121)</f>
        <v>0.262458471760797</v>
      </c>
      <c r="I121" s="38" t="s">
        <v>89</v>
      </c>
      <c r="J121" s="40" t="n">
        <v>3.02608556967268</v>
      </c>
      <c r="K121" s="39" t="n">
        <f aca="false">IF(G121="","",MAX(0,G121-J121/100))</f>
        <v>0.707280672542476</v>
      </c>
      <c r="L121" s="39" t="n">
        <f aca="false">IF(G121="","",MIN(1,G121+J121/100))</f>
        <v>0.76780238393593</v>
      </c>
      <c r="M121" s="21" t="n">
        <f aca="false">ROUND(Q121*S121,0)</f>
        <v>18</v>
      </c>
      <c r="N121" s="21" t="n">
        <f aca="false">ROUND(SQRT((F121*J121/100)^2+(G121*M121)^2),0)</f>
        <v>16</v>
      </c>
      <c r="P121" s="41" t="n">
        <v>21.0989024280885</v>
      </c>
      <c r="Q121" s="42" t="n">
        <v>301</v>
      </c>
      <c r="R121" s="43" t="n">
        <f aca="false">MAX(0,MIN(1,P121/100+$D$5))</f>
        <v>0.73755622697576</v>
      </c>
      <c r="S121" s="43" t="n">
        <v>0.0610405690258335</v>
      </c>
      <c r="T121" s="44" t="s">
        <v>90</v>
      </c>
    </row>
    <row r="122" customFormat="false" ht="15" hidden="false" customHeight="false" outlineLevel="0" collapsed="false">
      <c r="A122" s="38" t="s">
        <v>156</v>
      </c>
      <c r="B122" s="38" t="s">
        <v>219</v>
      </c>
      <c r="C122" s="38" t="s">
        <v>220</v>
      </c>
      <c r="D122" s="21" t="n">
        <f aca="false">ROUND(Q122*R122,0)</f>
        <v>466</v>
      </c>
      <c r="E122" s="21" t="n">
        <f aca="false">ROUND(Q122,0)-D122</f>
        <v>166</v>
      </c>
      <c r="F122" s="21" t="n">
        <f aca="false">IF(COUNTA(D122:E122)=0,"",SUM(D122:E122))</f>
        <v>632</v>
      </c>
      <c r="G122" s="39" t="n">
        <f aca="false">IF(OR(F122="",F122=0),"",D122/F122)</f>
        <v>0.737341772151899</v>
      </c>
      <c r="H122" s="39" t="n">
        <f aca="false">IF(OR(F122="",F122=0),"",E122/F122)</f>
        <v>0.262658227848101</v>
      </c>
      <c r="I122" s="38" t="s">
        <v>89</v>
      </c>
      <c r="J122" s="40" t="n">
        <v>3.02608556967268</v>
      </c>
      <c r="K122" s="39" t="n">
        <f aca="false">IF(G122="","",MAX(0,G122-J122/100))</f>
        <v>0.707080916455172</v>
      </c>
      <c r="L122" s="39" t="n">
        <f aca="false">IF(G122="","",MIN(1,G122+J122/100))</f>
        <v>0.767602627848626</v>
      </c>
      <c r="M122" s="21" t="n">
        <f aca="false">ROUND(Q122*S122,0)</f>
        <v>39</v>
      </c>
      <c r="N122" s="21" t="n">
        <f aca="false">ROUND(SQRT((F122*J122/100)^2+(G122*M122)^2),0)</f>
        <v>35</v>
      </c>
      <c r="P122" s="41" t="n">
        <v>21.0310354389487</v>
      </c>
      <c r="Q122" s="42" t="n">
        <v>632</v>
      </c>
      <c r="R122" s="43" t="n">
        <f aca="false">MAX(0,MIN(1,P122/100+$D$5))</f>
        <v>0.736877557084362</v>
      </c>
      <c r="S122" s="43" t="n">
        <v>0.0610405690258335</v>
      </c>
      <c r="T122" s="44" t="s">
        <v>90</v>
      </c>
    </row>
    <row r="123" customFormat="false" ht="15" hidden="false" customHeight="false" outlineLevel="0" collapsed="false">
      <c r="A123" s="38" t="s">
        <v>156</v>
      </c>
      <c r="B123" s="38" t="s">
        <v>219</v>
      </c>
      <c r="C123" s="38" t="s">
        <v>221</v>
      </c>
      <c r="D123" s="21" t="n">
        <f aca="false">ROUND(Q123*R123,0)</f>
        <v>327</v>
      </c>
      <c r="E123" s="21" t="n">
        <f aca="false">ROUND(Q123,0)-D123</f>
        <v>135</v>
      </c>
      <c r="F123" s="21" t="n">
        <f aca="false">IF(COUNTA(D123:E123)=0,"",SUM(D123:E123))</f>
        <v>462</v>
      </c>
      <c r="G123" s="39" t="n">
        <f aca="false">IF(OR(F123="",F123=0),"",D123/F123)</f>
        <v>0.707792207792208</v>
      </c>
      <c r="H123" s="39" t="n">
        <f aca="false">IF(OR(F123="",F123=0),"",E123/F123)</f>
        <v>0.292207792207792</v>
      </c>
      <c r="I123" s="38" t="s">
        <v>89</v>
      </c>
      <c r="J123" s="40" t="n">
        <v>3.02608556967268</v>
      </c>
      <c r="K123" s="39" t="n">
        <f aca="false">IF(G123="","",MAX(0,G123-J123/100))</f>
        <v>0.677531352095481</v>
      </c>
      <c r="L123" s="39" t="n">
        <f aca="false">IF(G123="","",MIN(1,G123+J123/100))</f>
        <v>0.738053063488935</v>
      </c>
      <c r="M123" s="21" t="n">
        <f aca="false">ROUND(Q123*S123,0)</f>
        <v>28</v>
      </c>
      <c r="N123" s="21" t="n">
        <f aca="false">ROUND(SQRT((F123*J123/100)^2+(G123*M123)^2),0)</f>
        <v>24</v>
      </c>
      <c r="P123" s="41" t="n">
        <v>18.1656530463897</v>
      </c>
      <c r="Q123" s="42" t="n">
        <v>462</v>
      </c>
      <c r="R123" s="43" t="n">
        <f aca="false">MAX(0,MIN(1,P123/100+$D$5))</f>
        <v>0.708223733158771</v>
      </c>
      <c r="S123" s="43" t="n">
        <v>0.0610405690258335</v>
      </c>
      <c r="T123" s="44" t="s">
        <v>90</v>
      </c>
    </row>
    <row r="124" customFormat="false" ht="15" hidden="false" customHeight="false" outlineLevel="0" collapsed="false">
      <c r="A124" s="38" t="s">
        <v>156</v>
      </c>
      <c r="B124" s="38" t="s">
        <v>219</v>
      </c>
      <c r="C124" s="38" t="s">
        <v>222</v>
      </c>
      <c r="D124" s="21" t="n">
        <f aca="false">ROUND(Q124*R124,0)</f>
        <v>364</v>
      </c>
      <c r="E124" s="21" t="n">
        <f aca="false">ROUND(Q124,0)-D124</f>
        <v>126</v>
      </c>
      <c r="F124" s="21" t="n">
        <f aca="false">IF(COUNTA(D124:E124)=0,"",SUM(D124:E124))</f>
        <v>490</v>
      </c>
      <c r="G124" s="39" t="n">
        <f aca="false">IF(OR(F124="",F124=0),"",D124/F124)</f>
        <v>0.742857142857143</v>
      </c>
      <c r="H124" s="39" t="n">
        <f aca="false">IF(OR(F124="",F124=0),"",E124/F124)</f>
        <v>0.257142857142857</v>
      </c>
      <c r="I124" s="38" t="s">
        <v>89</v>
      </c>
      <c r="J124" s="40" t="n">
        <v>3.02608556967268</v>
      </c>
      <c r="K124" s="39" t="n">
        <f aca="false">IF(G124="","",MAX(0,G124-J124/100))</f>
        <v>0.712596287160416</v>
      </c>
      <c r="L124" s="39" t="n">
        <f aca="false">IF(G124="","",MIN(1,G124+J124/100))</f>
        <v>0.77311799855387</v>
      </c>
      <c r="M124" s="21" t="n">
        <f aca="false">ROUND(Q124*S124,0)</f>
        <v>30</v>
      </c>
      <c r="N124" s="21" t="n">
        <f aca="false">ROUND(SQRT((F124*J124/100)^2+(G124*M124)^2),0)</f>
        <v>27</v>
      </c>
      <c r="P124" s="41" t="n">
        <v>21.6452874921316</v>
      </c>
      <c r="Q124" s="42" t="n">
        <v>490</v>
      </c>
      <c r="R124" s="43" t="n">
        <f aca="false">MAX(0,MIN(1,P124/100+$D$5))</f>
        <v>0.74302007761619</v>
      </c>
      <c r="S124" s="43" t="n">
        <v>0.0610405690258335</v>
      </c>
      <c r="T124" s="44" t="s">
        <v>90</v>
      </c>
    </row>
    <row r="125" customFormat="false" ht="15" hidden="false" customHeight="false" outlineLevel="0" collapsed="false">
      <c r="A125" s="38" t="s">
        <v>156</v>
      </c>
      <c r="B125" s="38" t="s">
        <v>219</v>
      </c>
      <c r="C125" s="38" t="s">
        <v>223</v>
      </c>
      <c r="D125" s="21" t="n">
        <f aca="false">ROUND(Q125*R125,0)</f>
        <v>420</v>
      </c>
      <c r="E125" s="21" t="n">
        <f aca="false">ROUND(Q125,0)-D125</f>
        <v>161</v>
      </c>
      <c r="F125" s="21" t="n">
        <f aca="false">IF(COUNTA(D125:E125)=0,"",SUM(D125:E125))</f>
        <v>581</v>
      </c>
      <c r="G125" s="39" t="n">
        <f aca="false">IF(OR(F125="",F125=0),"",D125/F125)</f>
        <v>0.72289156626506</v>
      </c>
      <c r="H125" s="39" t="n">
        <f aca="false">IF(OR(F125="",F125=0),"",E125/F125)</f>
        <v>0.27710843373494</v>
      </c>
      <c r="I125" s="38" t="s">
        <v>89</v>
      </c>
      <c r="J125" s="40" t="n">
        <v>3.02608556967268</v>
      </c>
      <c r="K125" s="39" t="n">
        <f aca="false">IF(G125="","",MAX(0,G125-J125/100))</f>
        <v>0.692630710568333</v>
      </c>
      <c r="L125" s="39" t="n">
        <f aca="false">IF(G125="","",MIN(1,G125+J125/100))</f>
        <v>0.753152421961787</v>
      </c>
      <c r="M125" s="21" t="n">
        <f aca="false">ROUND(Q125*S125,0)</f>
        <v>35</v>
      </c>
      <c r="N125" s="21" t="n">
        <f aca="false">ROUND(SQRT((F125*J125/100)^2+(G125*M125)^2),0)</f>
        <v>31</v>
      </c>
      <c r="P125" s="41" t="n">
        <v>19.5581497993791</v>
      </c>
      <c r="Q125" s="42" t="n">
        <v>581</v>
      </c>
      <c r="R125" s="43" t="n">
        <f aca="false">MAX(0,MIN(1,P125/100+$D$5))</f>
        <v>0.722148700688665</v>
      </c>
      <c r="S125" s="43" t="n">
        <v>0.0610405690258335</v>
      </c>
      <c r="T125" s="44" t="s">
        <v>90</v>
      </c>
    </row>
    <row r="126" customFormat="false" ht="15" hidden="false" customHeight="false" outlineLevel="0" collapsed="false">
      <c r="A126" s="38" t="s">
        <v>156</v>
      </c>
      <c r="B126" s="38" t="s">
        <v>219</v>
      </c>
      <c r="C126" s="38" t="s">
        <v>224</v>
      </c>
      <c r="D126" s="21" t="n">
        <f aca="false">ROUND(Q126*R126,0)</f>
        <v>591</v>
      </c>
      <c r="E126" s="21" t="n">
        <f aca="false">ROUND(Q126,0)-D126</f>
        <v>273</v>
      </c>
      <c r="F126" s="21" t="n">
        <f aca="false">IF(COUNTA(D126:E126)=0,"",SUM(D126:E126))</f>
        <v>864</v>
      </c>
      <c r="G126" s="39" t="n">
        <f aca="false">IF(OR(F126="",F126=0),"",D126/F126)</f>
        <v>0.684027777777778</v>
      </c>
      <c r="H126" s="39" t="n">
        <f aca="false">IF(OR(F126="",F126=0),"",E126/F126)</f>
        <v>0.315972222222222</v>
      </c>
      <c r="I126" s="38" t="s">
        <v>89</v>
      </c>
      <c r="J126" s="40" t="n">
        <v>1.8085538155628</v>
      </c>
      <c r="K126" s="39" t="n">
        <f aca="false">IF(G126="","",MAX(0,G126-J126/100))</f>
        <v>0.66594223962215</v>
      </c>
      <c r="L126" s="39" t="n">
        <f aca="false">IF(G126="","",MIN(1,G126+J126/100))</f>
        <v>0.702113315933406</v>
      </c>
      <c r="M126" s="21" t="n">
        <f aca="false">ROUND(Q126*S126,0)</f>
        <v>43</v>
      </c>
      <c r="N126" s="21" t="n">
        <f aca="false">ROUND(SQRT((F126*J126/100)^2+(G126*M126)^2),0)</f>
        <v>33</v>
      </c>
      <c r="P126" s="41" t="n">
        <v>15.7526621065666</v>
      </c>
      <c r="Q126" s="42" t="n">
        <v>864</v>
      </c>
      <c r="R126" s="43" t="n">
        <f aca="false">MAX(0,MIN(1,P126/100+$D$5))</f>
        <v>0.68409382376054</v>
      </c>
      <c r="S126" s="43" t="n">
        <v>0.0500321312575726</v>
      </c>
      <c r="T126" s="44" t="s">
        <v>99</v>
      </c>
    </row>
    <row r="127" customFormat="false" ht="15" hidden="false" customHeight="false" outlineLevel="0" collapsed="false">
      <c r="A127" s="38" t="s">
        <v>156</v>
      </c>
      <c r="B127" s="38" t="s">
        <v>219</v>
      </c>
      <c r="C127" s="38" t="s">
        <v>225</v>
      </c>
      <c r="D127" s="21" t="n">
        <f aca="false">ROUND(Q127*R127,0)</f>
        <v>407</v>
      </c>
      <c r="E127" s="21" t="n">
        <f aca="false">ROUND(Q127,0)-D127</f>
        <v>213</v>
      </c>
      <c r="F127" s="21" t="n">
        <f aca="false">IF(COUNTA(D127:E127)=0,"",SUM(D127:E127))</f>
        <v>620</v>
      </c>
      <c r="G127" s="39" t="n">
        <f aca="false">IF(OR(F127="",F127=0),"",D127/F127)</f>
        <v>0.656451612903226</v>
      </c>
      <c r="H127" s="39" t="n">
        <f aca="false">IF(OR(F127="",F127=0),"",E127/F127)</f>
        <v>0.343548387096774</v>
      </c>
      <c r="I127" s="38" t="s">
        <v>89</v>
      </c>
      <c r="J127" s="40" t="n">
        <v>3.02608556967268</v>
      </c>
      <c r="K127" s="39" t="n">
        <f aca="false">IF(G127="","",MAX(0,G127-J127/100))</f>
        <v>0.626190757206499</v>
      </c>
      <c r="L127" s="39" t="n">
        <f aca="false">IF(G127="","",MIN(1,G127+J127/100))</f>
        <v>0.686712468599953</v>
      </c>
      <c r="M127" s="21" t="n">
        <f aca="false">ROUND(Q127*S127,0)</f>
        <v>38</v>
      </c>
      <c r="N127" s="21" t="n">
        <f aca="false">ROUND(SQRT((F127*J127/100)^2+(G127*M127)^2),0)</f>
        <v>31</v>
      </c>
      <c r="P127" s="41" t="n">
        <v>13.0300246273148</v>
      </c>
      <c r="Q127" s="42" t="n">
        <v>620</v>
      </c>
      <c r="R127" s="43" t="n">
        <f aca="false">MAX(0,MIN(1,P127/100+$D$5))</f>
        <v>0.656867448968022</v>
      </c>
      <c r="S127" s="43" t="n">
        <v>0.0610405690258335</v>
      </c>
      <c r="T127" s="44" t="s">
        <v>90</v>
      </c>
    </row>
    <row r="128" customFormat="false" ht="15" hidden="false" customHeight="false" outlineLevel="0" collapsed="false">
      <c r="A128" s="38" t="s">
        <v>156</v>
      </c>
      <c r="B128" s="38" t="s">
        <v>219</v>
      </c>
      <c r="C128" s="38" t="s">
        <v>226</v>
      </c>
      <c r="D128" s="21" t="n">
        <f aca="false">ROUND(Q128*R128,0)</f>
        <v>477</v>
      </c>
      <c r="E128" s="21" t="n">
        <f aca="false">ROUND(Q128,0)-D128</f>
        <v>271</v>
      </c>
      <c r="F128" s="21" t="n">
        <f aca="false">IF(COUNTA(D128:E128)=0,"",SUM(D128:E128))</f>
        <v>748</v>
      </c>
      <c r="G128" s="39" t="n">
        <f aca="false">IF(OR(F128="",F128=0),"",D128/F128)</f>
        <v>0.637700534759358</v>
      </c>
      <c r="H128" s="39" t="n">
        <f aca="false">IF(OR(F128="",F128=0),"",E128/F128)</f>
        <v>0.362299465240642</v>
      </c>
      <c r="I128" s="38" t="s">
        <v>89</v>
      </c>
      <c r="J128" s="40" t="n">
        <v>3.02608556967268</v>
      </c>
      <c r="K128" s="39" t="n">
        <f aca="false">IF(G128="","",MAX(0,G128-J128/100))</f>
        <v>0.607439679062631</v>
      </c>
      <c r="L128" s="39" t="n">
        <f aca="false">IF(G128="","",MIN(1,G128+J128/100))</f>
        <v>0.667961390456085</v>
      </c>
      <c r="M128" s="21" t="n">
        <f aca="false">ROUND(Q128*S128,0)</f>
        <v>46</v>
      </c>
      <c r="N128" s="21" t="n">
        <f aca="false">ROUND(SQRT((F128*J128/100)^2+(G128*M128)^2),0)</f>
        <v>37</v>
      </c>
      <c r="P128" s="41" t="n">
        <v>11.0988819329054</v>
      </c>
      <c r="Q128" s="42" t="n">
        <v>748</v>
      </c>
      <c r="R128" s="43" t="n">
        <f aca="false">MAX(0,MIN(1,P128/100+$D$5))</f>
        <v>0.637556022023928</v>
      </c>
      <c r="S128" s="43" t="n">
        <v>0.0610405690258335</v>
      </c>
      <c r="T128" s="44" t="s">
        <v>90</v>
      </c>
    </row>
    <row r="129" customFormat="false" ht="15" hidden="false" customHeight="false" outlineLevel="0" collapsed="false">
      <c r="A129" s="38" t="s">
        <v>156</v>
      </c>
      <c r="B129" s="38" t="s">
        <v>219</v>
      </c>
      <c r="C129" s="38" t="s">
        <v>227</v>
      </c>
      <c r="D129" s="21" t="n">
        <f aca="false">ROUND(Q129*R129,0)</f>
        <v>594</v>
      </c>
      <c r="E129" s="21" t="n">
        <f aca="false">ROUND(Q129,0)-D129</f>
        <v>324</v>
      </c>
      <c r="F129" s="21" t="n">
        <f aca="false">IF(COUNTA(D129:E129)=0,"",SUM(D129:E129))</f>
        <v>918</v>
      </c>
      <c r="G129" s="39" t="n">
        <f aca="false">IF(OR(F129="",F129=0),"",D129/F129)</f>
        <v>0.647058823529412</v>
      </c>
      <c r="H129" s="39" t="n">
        <f aca="false">IF(OR(F129="",F129=0),"",E129/F129)</f>
        <v>0.352941176470588</v>
      </c>
      <c r="I129" s="38" t="s">
        <v>89</v>
      </c>
      <c r="J129" s="40" t="n">
        <v>1.8085538155628</v>
      </c>
      <c r="K129" s="39" t="n">
        <f aca="false">IF(G129="","",MAX(0,G129-J129/100))</f>
        <v>0.628973285373784</v>
      </c>
      <c r="L129" s="39" t="n">
        <f aca="false">IF(G129="","",MIN(1,G129+J129/100))</f>
        <v>0.66514436168504</v>
      </c>
      <c r="M129" s="21" t="n">
        <f aca="false">ROUND(Q129*S129,0)</f>
        <v>46</v>
      </c>
      <c r="N129" s="21" t="n">
        <f aca="false">ROUND(SQRT((F129*J129/100)^2+(G129*M129)^2),0)</f>
        <v>34</v>
      </c>
      <c r="P129" s="41" t="n">
        <v>12.0426491514316</v>
      </c>
      <c r="Q129" s="42" t="n">
        <v>918</v>
      </c>
      <c r="R129" s="43" t="n">
        <f aca="false">MAX(0,MIN(1,P129/100+$D$5))</f>
        <v>0.64699369420919</v>
      </c>
      <c r="S129" s="43" t="n">
        <v>0.0500321312575726</v>
      </c>
      <c r="T129" s="44" t="s">
        <v>99</v>
      </c>
    </row>
    <row r="130" customFormat="false" ht="15" hidden="false" customHeight="false" outlineLevel="0" collapsed="false">
      <c r="A130" s="38" t="s">
        <v>156</v>
      </c>
      <c r="B130" s="38" t="s">
        <v>219</v>
      </c>
      <c r="C130" s="38" t="s">
        <v>228</v>
      </c>
      <c r="D130" s="21" t="n">
        <f aca="false">ROUND(Q130*R130,0)</f>
        <v>425</v>
      </c>
      <c r="E130" s="21" t="n">
        <f aca="false">ROUND(Q130,0)-D130</f>
        <v>228</v>
      </c>
      <c r="F130" s="21" t="n">
        <f aca="false">IF(COUNTA(D130:E130)=0,"",SUM(D130:E130))</f>
        <v>653</v>
      </c>
      <c r="G130" s="39" t="n">
        <f aca="false">IF(OR(F130="",F130=0),"",D130/F130)</f>
        <v>0.650842266462481</v>
      </c>
      <c r="H130" s="39" t="n">
        <f aca="false">IF(OR(F130="",F130=0),"",E130/F130)</f>
        <v>0.349157733537519</v>
      </c>
      <c r="I130" s="38" t="s">
        <v>89</v>
      </c>
      <c r="J130" s="40" t="n">
        <v>3.02608556967268</v>
      </c>
      <c r="K130" s="39" t="n">
        <f aca="false">IF(G130="","",MAX(0,G130-J130/100))</f>
        <v>0.620581410765754</v>
      </c>
      <c r="L130" s="39" t="n">
        <f aca="false">IF(G130="","",MIN(1,G130+J130/100))</f>
        <v>0.681103122159208</v>
      </c>
      <c r="M130" s="21" t="n">
        <f aca="false">ROUND(Q130*S130,0)</f>
        <v>40</v>
      </c>
      <c r="N130" s="21" t="n">
        <f aca="false">ROUND(SQRT((F130*J130/100)^2+(G130*M130)^2),0)</f>
        <v>33</v>
      </c>
      <c r="P130" s="41" t="n">
        <v>12.4279209392786</v>
      </c>
      <c r="Q130" s="42" t="n">
        <v>653</v>
      </c>
      <c r="R130" s="43" t="n">
        <f aca="false">MAX(0,MIN(1,P130/100+$D$5))</f>
        <v>0.65084641208766</v>
      </c>
      <c r="S130" s="43" t="n">
        <v>0.0610405690258335</v>
      </c>
      <c r="T130" s="44" t="s">
        <v>90</v>
      </c>
    </row>
    <row r="131" customFormat="false" ht="15" hidden="false" customHeight="false" outlineLevel="0" collapsed="false">
      <c r="A131" s="38" t="s">
        <v>156</v>
      </c>
      <c r="B131" s="38" t="s">
        <v>219</v>
      </c>
      <c r="C131" s="38" t="s">
        <v>229</v>
      </c>
      <c r="D131" s="21" t="n">
        <f aca="false">ROUND(Q131*R131,0)</f>
        <v>356</v>
      </c>
      <c r="E131" s="21" t="n">
        <f aca="false">ROUND(Q131,0)-D131</f>
        <v>231</v>
      </c>
      <c r="F131" s="21" t="n">
        <f aca="false">IF(COUNTA(D131:E131)=0,"",SUM(D131:E131))</f>
        <v>587</v>
      </c>
      <c r="G131" s="39" t="n">
        <f aca="false">IF(OR(F131="",F131=0),"",D131/F131)</f>
        <v>0.606473594548552</v>
      </c>
      <c r="H131" s="39" t="n">
        <f aca="false">IF(OR(F131="",F131=0),"",E131/F131)</f>
        <v>0.393526405451448</v>
      </c>
      <c r="I131" s="38" t="s">
        <v>89</v>
      </c>
      <c r="J131" s="40" t="n">
        <v>3.02608556967268</v>
      </c>
      <c r="K131" s="39" t="n">
        <f aca="false">IF(G131="","",MAX(0,G131-J131/100))</f>
        <v>0.576212738851825</v>
      </c>
      <c r="L131" s="39" t="n">
        <f aca="false">IF(G131="","",MIN(1,G131+J131/100))</f>
        <v>0.636734450245279</v>
      </c>
      <c r="M131" s="21" t="n">
        <f aca="false">ROUND(Q131*S131,0)</f>
        <v>36</v>
      </c>
      <c r="N131" s="21" t="n">
        <f aca="false">ROUND(SQRT((F131*J131/100)^2+(G131*M131)^2),0)</f>
        <v>28</v>
      </c>
      <c r="P131" s="41" t="n">
        <v>8.0244849661281</v>
      </c>
      <c r="Q131" s="42" t="n">
        <v>587</v>
      </c>
      <c r="R131" s="43" t="n">
        <f aca="false">MAX(0,MIN(1,P131/100+$D$5))</f>
        <v>0.606812052356155</v>
      </c>
      <c r="S131" s="43" t="n">
        <v>0.0610405690258335</v>
      </c>
      <c r="T131" s="44" t="s">
        <v>90</v>
      </c>
    </row>
    <row r="132" customFormat="false" ht="15" hidden="false" customHeight="false" outlineLevel="0" collapsed="false">
      <c r="A132" s="38" t="s">
        <v>156</v>
      </c>
      <c r="B132" s="38" t="s">
        <v>219</v>
      </c>
      <c r="C132" s="38" t="s">
        <v>230</v>
      </c>
      <c r="D132" s="21" t="n">
        <f aca="false">ROUND(Q132*R132,0)</f>
        <v>426</v>
      </c>
      <c r="E132" s="21" t="n">
        <f aca="false">ROUND(Q132,0)-D132</f>
        <v>214</v>
      </c>
      <c r="F132" s="21" t="n">
        <f aca="false">IF(COUNTA(D132:E132)=0,"",SUM(D132:E132))</f>
        <v>640</v>
      </c>
      <c r="G132" s="39" t="n">
        <f aca="false">IF(OR(F132="",F132=0),"",D132/F132)</f>
        <v>0.665625</v>
      </c>
      <c r="H132" s="39" t="n">
        <f aca="false">IF(OR(F132="",F132=0),"",E132/F132)</f>
        <v>0.334375</v>
      </c>
      <c r="I132" s="38" t="s">
        <v>89</v>
      </c>
      <c r="J132" s="40" t="n">
        <v>3.02608556967268</v>
      </c>
      <c r="K132" s="39" t="n">
        <f aca="false">IF(G132="","",MAX(0,G132-J132/100))</f>
        <v>0.635364144303273</v>
      </c>
      <c r="L132" s="39" t="n">
        <f aca="false">IF(G132="","",MIN(1,G132+J132/100))</f>
        <v>0.695885855696727</v>
      </c>
      <c r="M132" s="21" t="n">
        <f aca="false">ROUND(Q132*S132,0)</f>
        <v>39</v>
      </c>
      <c r="N132" s="21" t="n">
        <f aca="false">ROUND(SQRT((F132*J132/100)^2+(G132*M132)^2),0)</f>
        <v>32</v>
      </c>
      <c r="P132" s="41" t="n">
        <v>13.8350314366907</v>
      </c>
      <c r="Q132" s="42" t="n">
        <v>640</v>
      </c>
      <c r="R132" s="43" t="n">
        <f aca="false">MAX(0,MIN(1,P132/100+$D$5))</f>
        <v>0.664917517061782</v>
      </c>
      <c r="S132" s="43" t="n">
        <v>0.0610405690258335</v>
      </c>
      <c r="T132" s="44" t="s">
        <v>90</v>
      </c>
    </row>
    <row r="133" customFormat="false" ht="15" hidden="false" customHeight="false" outlineLevel="0" collapsed="false">
      <c r="A133" s="38" t="s">
        <v>156</v>
      </c>
      <c r="B133" s="38" t="s">
        <v>219</v>
      </c>
      <c r="C133" s="38" t="s">
        <v>231</v>
      </c>
      <c r="D133" s="21" t="n">
        <f aca="false">ROUND(Q133*R133,0)</f>
        <v>448</v>
      </c>
      <c r="E133" s="21" t="n">
        <f aca="false">ROUND(Q133,0)-D133</f>
        <v>248</v>
      </c>
      <c r="F133" s="21" t="n">
        <f aca="false">IF(COUNTA(D133:E133)=0,"",SUM(D133:E133))</f>
        <v>696</v>
      </c>
      <c r="G133" s="39" t="n">
        <f aca="false">IF(OR(F133="",F133=0),"",D133/F133)</f>
        <v>0.64367816091954</v>
      </c>
      <c r="H133" s="39" t="n">
        <f aca="false">IF(OR(F133="",F133=0),"",E133/F133)</f>
        <v>0.35632183908046</v>
      </c>
      <c r="I133" s="38" t="s">
        <v>89</v>
      </c>
      <c r="J133" s="40" t="n">
        <v>3.02608556967268</v>
      </c>
      <c r="K133" s="39" t="n">
        <f aca="false">IF(G133="","",MAX(0,G133-J133/100))</f>
        <v>0.613417305222813</v>
      </c>
      <c r="L133" s="39" t="n">
        <f aca="false">IF(G133="","",MIN(1,G133+J133/100))</f>
        <v>0.673939016616267</v>
      </c>
      <c r="M133" s="21" t="n">
        <f aca="false">ROUND(Q133*S133,0)</f>
        <v>42</v>
      </c>
      <c r="N133" s="21" t="n">
        <f aca="false">ROUND(SQRT((F133*J133/100)^2+(G133*M133)^2),0)</f>
        <v>34</v>
      </c>
      <c r="P133" s="41" t="n">
        <v>11.6803141709003</v>
      </c>
      <c r="Q133" s="42" t="n">
        <v>696</v>
      </c>
      <c r="R133" s="43" t="n">
        <f aca="false">MAX(0,MIN(1,P133/100+$D$5))</f>
        <v>0.643370344403877</v>
      </c>
      <c r="S133" s="43" t="n">
        <v>0.0610405690258335</v>
      </c>
      <c r="T133" s="44" t="s">
        <v>90</v>
      </c>
    </row>
    <row r="134" customFormat="false" ht="15" hidden="false" customHeight="false" outlineLevel="0" collapsed="false">
      <c r="A134" s="38" t="s">
        <v>156</v>
      </c>
      <c r="B134" s="38" t="s">
        <v>232</v>
      </c>
      <c r="C134" s="38" t="s">
        <v>233</v>
      </c>
      <c r="D134" s="21" t="n">
        <f aca="false">ROUND(Q134*R134,0)</f>
        <v>400</v>
      </c>
      <c r="E134" s="21" t="n">
        <f aca="false">ROUND(Q134,0)-D134</f>
        <v>273</v>
      </c>
      <c r="F134" s="21" t="n">
        <f aca="false">IF(COUNTA(D134:E134)=0,"",SUM(D134:E134))</f>
        <v>673</v>
      </c>
      <c r="G134" s="39" t="n">
        <f aca="false">IF(OR(F134="",F134=0),"",D134/F134)</f>
        <v>0.594353640416048</v>
      </c>
      <c r="H134" s="39" t="n">
        <f aca="false">IF(OR(F134="",F134=0),"",E134/F134)</f>
        <v>0.405646359583952</v>
      </c>
      <c r="I134" s="38" t="s">
        <v>89</v>
      </c>
      <c r="J134" s="40" t="n">
        <v>3.02608556967268</v>
      </c>
      <c r="K134" s="39" t="n">
        <f aca="false">IF(G134="","",MAX(0,G134-J134/100))</f>
        <v>0.564092784719321</v>
      </c>
      <c r="L134" s="39" t="n">
        <f aca="false">IF(G134="","",MIN(1,G134+J134/100))</f>
        <v>0.624614496112774</v>
      </c>
      <c r="M134" s="21" t="n">
        <f aca="false">ROUND(Q134*S134,0)</f>
        <v>41</v>
      </c>
      <c r="N134" s="21" t="n">
        <f aca="false">ROUND(SQRT((F134*J134/100)^2+(G134*M134)^2),0)</f>
        <v>32</v>
      </c>
      <c r="P134" s="41" t="n">
        <v>6.82348308691418</v>
      </c>
      <c r="Q134" s="42" t="n">
        <v>673</v>
      </c>
      <c r="R134" s="43" t="n">
        <f aca="false">MAX(0,MIN(1,P134/100+$D$5))</f>
        <v>0.594802033564016</v>
      </c>
      <c r="S134" s="43" t="n">
        <v>0.0610405690258335</v>
      </c>
      <c r="T134" s="44" t="s">
        <v>90</v>
      </c>
    </row>
    <row r="135" customFormat="false" ht="15" hidden="false" customHeight="false" outlineLevel="0" collapsed="false">
      <c r="A135" s="38" t="s">
        <v>156</v>
      </c>
      <c r="B135" s="38" t="s">
        <v>232</v>
      </c>
      <c r="C135" s="38" t="s">
        <v>234</v>
      </c>
      <c r="D135" s="21" t="n">
        <f aca="false">ROUND(Q135*R135,0)</f>
        <v>356</v>
      </c>
      <c r="E135" s="21" t="n">
        <f aca="false">ROUND(Q135,0)-D135</f>
        <v>311</v>
      </c>
      <c r="F135" s="21" t="n">
        <f aca="false">IF(COUNTA(D135:E135)=0,"",SUM(D135:E135))</f>
        <v>667</v>
      </c>
      <c r="G135" s="39" t="n">
        <f aca="false">IF(OR(F135="",F135=0),"",D135/F135)</f>
        <v>0.533733133433283</v>
      </c>
      <c r="H135" s="39" t="n">
        <f aca="false">IF(OR(F135="",F135=0),"",E135/F135)</f>
        <v>0.466266866566717</v>
      </c>
      <c r="I135" s="38" t="s">
        <v>89</v>
      </c>
      <c r="J135" s="40" t="n">
        <v>3.02608556967268</v>
      </c>
      <c r="K135" s="39" t="n">
        <f aca="false">IF(G135="","",MAX(0,G135-J135/100))</f>
        <v>0.503472277736557</v>
      </c>
      <c r="L135" s="39" t="n">
        <f aca="false">IF(G135="","",MIN(1,G135+J135/100))</f>
        <v>0.56399398913001</v>
      </c>
      <c r="M135" s="21" t="n">
        <f aca="false">ROUND(Q135*S135,0)</f>
        <v>41</v>
      </c>
      <c r="N135" s="21" t="n">
        <f aca="false">ROUND(SQRT((F135*J135/100)^2+(G135*M135)^2),0)</f>
        <v>30</v>
      </c>
      <c r="P135" s="41" t="n">
        <v>0.714197133268868</v>
      </c>
      <c r="Q135" s="42" t="n">
        <v>667</v>
      </c>
      <c r="R135" s="43" t="n">
        <f aca="false">MAX(0,MIN(1,P135/100+$D$5))</f>
        <v>0.533709174027563</v>
      </c>
      <c r="S135" s="43" t="n">
        <v>0.0610405690258335</v>
      </c>
      <c r="T135" s="44" t="s">
        <v>90</v>
      </c>
    </row>
    <row r="136" customFormat="false" ht="15" hidden="false" customHeight="false" outlineLevel="0" collapsed="false">
      <c r="A136" s="38" t="s">
        <v>156</v>
      </c>
      <c r="B136" s="38" t="s">
        <v>232</v>
      </c>
      <c r="C136" s="38" t="s">
        <v>235</v>
      </c>
      <c r="D136" s="21" t="n">
        <f aca="false">ROUND(Q136*R136,0)</f>
        <v>420</v>
      </c>
      <c r="E136" s="21" t="n">
        <f aca="false">ROUND(Q136,0)-D136</f>
        <v>350</v>
      </c>
      <c r="F136" s="21" t="n">
        <f aca="false">IF(COUNTA(D136:E136)=0,"",SUM(D136:E136))</f>
        <v>770</v>
      </c>
      <c r="G136" s="39" t="n">
        <f aca="false">IF(OR(F136="",F136=0),"",D136/F136)</f>
        <v>0.545454545454545</v>
      </c>
      <c r="H136" s="39" t="n">
        <f aca="false">IF(OR(F136="",F136=0),"",E136/F136)</f>
        <v>0.454545454545455</v>
      </c>
      <c r="I136" s="38" t="s">
        <v>89</v>
      </c>
      <c r="J136" s="40" t="n">
        <v>3.02608556967268</v>
      </c>
      <c r="K136" s="39" t="n">
        <f aca="false">IF(G136="","",MAX(0,G136-J136/100))</f>
        <v>0.515193689757819</v>
      </c>
      <c r="L136" s="39" t="n">
        <f aca="false">IF(G136="","",MIN(1,G136+J136/100))</f>
        <v>0.575715401151272</v>
      </c>
      <c r="M136" s="21" t="n">
        <f aca="false">ROUND(Q136*S136,0)</f>
        <v>47</v>
      </c>
      <c r="N136" s="21" t="n">
        <f aca="false">ROUND(SQRT((F136*J136/100)^2+(G136*M136)^2),0)</f>
        <v>35</v>
      </c>
      <c r="P136" s="41" t="n">
        <v>1.89035824873031</v>
      </c>
      <c r="Q136" s="42" t="n">
        <v>770</v>
      </c>
      <c r="R136" s="43" t="n">
        <f aca="false">MAX(0,MIN(1,P136/100+$D$5))</f>
        <v>0.545470785182177</v>
      </c>
      <c r="S136" s="43" t="n">
        <v>0.0610405690258335</v>
      </c>
      <c r="T136" s="44" t="s">
        <v>90</v>
      </c>
    </row>
    <row r="137" customFormat="false" ht="15" hidden="false" customHeight="false" outlineLevel="0" collapsed="false">
      <c r="A137" s="38" t="s">
        <v>156</v>
      </c>
      <c r="B137" s="38" t="s">
        <v>236</v>
      </c>
      <c r="C137" s="38" t="s">
        <v>236</v>
      </c>
      <c r="D137" s="21" t="n">
        <f aca="false">ROUND(Q137*R137,0)</f>
        <v>651</v>
      </c>
      <c r="E137" s="21" t="n">
        <f aca="false">ROUND(Q137,0)-D137</f>
        <v>568</v>
      </c>
      <c r="F137" s="21" t="n">
        <f aca="false">IF(COUNTA(D137:E137)=0,"",SUM(D137:E137))</f>
        <v>1219</v>
      </c>
      <c r="G137" s="39" t="n">
        <f aca="false">IF(OR(F137="",F137=0),"",D137/F137)</f>
        <v>0.534044298605414</v>
      </c>
      <c r="H137" s="39" t="n">
        <f aca="false">IF(OR(F137="",F137=0),"",E137/F137)</f>
        <v>0.465955701394586</v>
      </c>
      <c r="I137" s="38" t="s">
        <v>89</v>
      </c>
      <c r="J137" s="40" t="n">
        <v>1.24911041755021</v>
      </c>
      <c r="K137" s="39" t="n">
        <f aca="false">IF(G137="","",MAX(0,G137-J137/100))</f>
        <v>0.521553194429912</v>
      </c>
      <c r="L137" s="39" t="n">
        <f aca="false">IF(G137="","",MIN(1,G137+J137/100))</f>
        <v>0.546535402780916</v>
      </c>
      <c r="M137" s="21" t="n">
        <f aca="false">ROUND(Q137*S137,0)</f>
        <v>159</v>
      </c>
      <c r="N137" s="21" t="n">
        <f aca="false">ROUND(SQRT((F137*J137/100)^2+(G137*M137)^2),0)</f>
        <v>86</v>
      </c>
      <c r="P137" s="41" t="n">
        <v>0.745743058133144</v>
      </c>
      <c r="Q137" s="42" t="n">
        <v>1219</v>
      </c>
      <c r="R137" s="43" t="n">
        <f aca="false">MAX(0,MIN(1,P137/100+$D$5))</f>
        <v>0.534024633276206</v>
      </c>
      <c r="S137" s="43" t="n">
        <v>0.130204099606216</v>
      </c>
      <c r="T137" s="44" t="s">
        <v>192</v>
      </c>
    </row>
    <row r="138" customFormat="false" ht="15" hidden="false" customHeight="false" outlineLevel="0" collapsed="false">
      <c r="A138" s="38" t="s">
        <v>156</v>
      </c>
      <c r="B138" s="38" t="s">
        <v>237</v>
      </c>
      <c r="C138" s="38" t="s">
        <v>238</v>
      </c>
      <c r="D138" s="21" t="n">
        <f aca="false">ROUND(Q138*R138,0)</f>
        <v>300</v>
      </c>
      <c r="E138" s="21" t="n">
        <f aca="false">ROUND(Q138,0)-D138</f>
        <v>250</v>
      </c>
      <c r="F138" s="21" t="n">
        <f aca="false">IF(COUNTA(D138:E138)=0,"",SUM(D138:E138))</f>
        <v>550</v>
      </c>
      <c r="G138" s="39" t="n">
        <f aca="false">IF(OR(F138="",F138=0),"",D138/F138)</f>
        <v>0.545454545454545</v>
      </c>
      <c r="H138" s="39" t="n">
        <f aca="false">IF(OR(F138="",F138=0),"",E138/F138)</f>
        <v>0.454545454545455</v>
      </c>
      <c r="I138" s="38" t="s">
        <v>89</v>
      </c>
      <c r="J138" s="40" t="n">
        <v>3.02608556967268</v>
      </c>
      <c r="K138" s="39" t="n">
        <f aca="false">IF(G138="","",MAX(0,G138-J138/100))</f>
        <v>0.515193689757819</v>
      </c>
      <c r="L138" s="39" t="n">
        <f aca="false">IF(G138="","",MIN(1,G138+J138/100))</f>
        <v>0.575715401151272</v>
      </c>
      <c r="M138" s="21" t="n">
        <f aca="false">ROUND(Q138*S138,0)</f>
        <v>34</v>
      </c>
      <c r="N138" s="21" t="n">
        <f aca="false">ROUND(SQRT((F138*J138/100)^2+(G138*M138)^2),0)</f>
        <v>25</v>
      </c>
      <c r="P138" s="41" t="n">
        <v>1.97508686983157</v>
      </c>
      <c r="Q138" s="42" t="n">
        <v>550</v>
      </c>
      <c r="R138" s="43" t="n">
        <f aca="false">MAX(0,MIN(1,P138/100+$D$5))</f>
        <v>0.54631807139319</v>
      </c>
      <c r="S138" s="43" t="n">
        <v>0.0610405690258335</v>
      </c>
      <c r="T138" s="44" t="s">
        <v>90</v>
      </c>
    </row>
    <row r="139" customFormat="false" ht="15" hidden="false" customHeight="false" outlineLevel="0" collapsed="false">
      <c r="A139" s="38" t="s">
        <v>156</v>
      </c>
      <c r="B139" s="38" t="s">
        <v>237</v>
      </c>
      <c r="C139" s="38" t="s">
        <v>239</v>
      </c>
      <c r="D139" s="21" t="n">
        <f aca="false">ROUND(Q139*R139,0)</f>
        <v>415</v>
      </c>
      <c r="E139" s="21" t="n">
        <f aca="false">ROUND(Q139,0)-D139</f>
        <v>332</v>
      </c>
      <c r="F139" s="21" t="n">
        <f aca="false">IF(COUNTA(D139:E139)=0,"",SUM(D139:E139))</f>
        <v>747</v>
      </c>
      <c r="G139" s="39" t="n">
        <f aca="false">IF(OR(F139="",F139=0),"",D139/F139)</f>
        <v>0.555555555555556</v>
      </c>
      <c r="H139" s="39" t="n">
        <f aca="false">IF(OR(F139="",F139=0),"",E139/F139)</f>
        <v>0.444444444444444</v>
      </c>
      <c r="I139" s="38" t="s">
        <v>89</v>
      </c>
      <c r="J139" s="40" t="n">
        <v>3.02608556967268</v>
      </c>
      <c r="K139" s="39" t="n">
        <f aca="false">IF(G139="","",MAX(0,G139-J139/100))</f>
        <v>0.525294699858829</v>
      </c>
      <c r="L139" s="39" t="n">
        <f aca="false">IF(G139="","",MIN(1,G139+J139/100))</f>
        <v>0.585816411252283</v>
      </c>
      <c r="M139" s="21" t="n">
        <f aca="false">ROUND(Q139*S139,0)</f>
        <v>46</v>
      </c>
      <c r="N139" s="21" t="n">
        <f aca="false">ROUND(SQRT((F139*J139/100)^2+(G139*M139)^2),0)</f>
        <v>34</v>
      </c>
      <c r="P139" s="41" t="n">
        <v>2.87046471983077</v>
      </c>
      <c r="Q139" s="42" t="n">
        <v>747</v>
      </c>
      <c r="R139" s="43" t="n">
        <f aca="false">MAX(0,MIN(1,P139/100+$D$5))</f>
        <v>0.555271849893182</v>
      </c>
      <c r="S139" s="43" t="n">
        <v>0.0610405690258335</v>
      </c>
      <c r="T139" s="44" t="s">
        <v>90</v>
      </c>
    </row>
    <row r="140" customFormat="false" ht="15" hidden="false" customHeight="false" outlineLevel="0" collapsed="false">
      <c r="A140" s="38" t="s">
        <v>156</v>
      </c>
      <c r="B140" s="38" t="s">
        <v>240</v>
      </c>
      <c r="C140" s="38" t="s">
        <v>241</v>
      </c>
      <c r="D140" s="21" t="n">
        <f aca="false">ROUND(Q140*R140,0)</f>
        <v>468</v>
      </c>
      <c r="E140" s="21" t="n">
        <f aca="false">ROUND(Q140,0)-D140</f>
        <v>350</v>
      </c>
      <c r="F140" s="21" t="n">
        <f aca="false">IF(COUNTA(D140:E140)=0,"",SUM(D140:E140))</f>
        <v>818</v>
      </c>
      <c r="G140" s="39" t="n">
        <f aca="false">IF(OR(F140="",F140=0),"",D140/F140)</f>
        <v>0.572127139364303</v>
      </c>
      <c r="H140" s="39" t="n">
        <f aca="false">IF(OR(F140="",F140=0),"",E140/F140)</f>
        <v>0.427872860635697</v>
      </c>
      <c r="I140" s="38" t="s">
        <v>89</v>
      </c>
      <c r="J140" s="40" t="n">
        <v>1.8085538155628</v>
      </c>
      <c r="K140" s="39" t="n">
        <f aca="false">IF(G140="","",MAX(0,G140-J140/100))</f>
        <v>0.554041601208675</v>
      </c>
      <c r="L140" s="39" t="n">
        <f aca="false">IF(G140="","",MIN(1,G140+J140/100))</f>
        <v>0.590212677519931</v>
      </c>
      <c r="M140" s="21" t="n">
        <f aca="false">ROUND(Q140*S140,0)</f>
        <v>41</v>
      </c>
      <c r="N140" s="21" t="n">
        <f aca="false">ROUND(SQRT((F140*J140/100)^2+(G140*M140)^2),0)</f>
        <v>28</v>
      </c>
      <c r="P140" s="41" t="n">
        <v>4.50503891332157</v>
      </c>
      <c r="Q140" s="42" t="n">
        <v>818</v>
      </c>
      <c r="R140" s="43" t="n">
        <f aca="false">MAX(0,MIN(1,P140/100+$D$5))</f>
        <v>0.57161759182809</v>
      </c>
      <c r="S140" s="43" t="n">
        <v>0.0500321312575726</v>
      </c>
      <c r="T140" s="44" t="s">
        <v>99</v>
      </c>
    </row>
    <row r="141" customFormat="false" ht="15" hidden="false" customHeight="false" outlineLevel="0" collapsed="false">
      <c r="A141" s="38" t="s">
        <v>156</v>
      </c>
      <c r="B141" s="38" t="s">
        <v>240</v>
      </c>
      <c r="C141" s="38" t="s">
        <v>242</v>
      </c>
      <c r="D141" s="21" t="n">
        <f aca="false">ROUND(Q141*R141,0)</f>
        <v>454</v>
      </c>
      <c r="E141" s="21" t="n">
        <f aca="false">ROUND(Q141,0)-D141</f>
        <v>351</v>
      </c>
      <c r="F141" s="21" t="n">
        <f aca="false">IF(COUNTA(D141:E141)=0,"",SUM(D141:E141))</f>
        <v>805</v>
      </c>
      <c r="G141" s="39" t="n">
        <f aca="false">IF(OR(F141="",F141=0),"",D141/F141)</f>
        <v>0.563975155279503</v>
      </c>
      <c r="H141" s="39" t="n">
        <f aca="false">IF(OR(F141="",F141=0),"",E141/F141)</f>
        <v>0.436024844720497</v>
      </c>
      <c r="I141" s="38" t="s">
        <v>89</v>
      </c>
      <c r="J141" s="40" t="n">
        <v>1.8085538155628</v>
      </c>
      <c r="K141" s="39" t="n">
        <f aca="false">IF(G141="","",MAX(0,G141-J141/100))</f>
        <v>0.545889617123875</v>
      </c>
      <c r="L141" s="39" t="n">
        <f aca="false">IF(G141="","",MIN(1,G141+J141/100))</f>
        <v>0.582060693435131</v>
      </c>
      <c r="M141" s="21" t="n">
        <f aca="false">ROUND(Q141*S141,0)</f>
        <v>40</v>
      </c>
      <c r="N141" s="21" t="n">
        <f aca="false">ROUND(SQRT((F141*J141/100)^2+(G141*M141)^2),0)</f>
        <v>27</v>
      </c>
      <c r="P141" s="41" t="n">
        <v>3.72258452273163</v>
      </c>
      <c r="Q141" s="42" t="n">
        <v>805</v>
      </c>
      <c r="R141" s="43" t="n">
        <f aca="false">MAX(0,MIN(1,P141/100+$D$5))</f>
        <v>0.563793047922191</v>
      </c>
      <c r="S141" s="43" t="n">
        <v>0.0500321312575726</v>
      </c>
      <c r="T141" s="44" t="s">
        <v>99</v>
      </c>
    </row>
    <row r="142" customFormat="false" ht="15" hidden="false" customHeight="false" outlineLevel="0" collapsed="false">
      <c r="A142" s="38" t="s">
        <v>156</v>
      </c>
      <c r="B142" s="38" t="s">
        <v>240</v>
      </c>
      <c r="C142" s="38" t="s">
        <v>243</v>
      </c>
      <c r="D142" s="21" t="n">
        <f aca="false">ROUND(Q142*R142,0)</f>
        <v>560</v>
      </c>
      <c r="E142" s="21" t="n">
        <f aca="false">ROUND(Q142,0)-D142</f>
        <v>462</v>
      </c>
      <c r="F142" s="21" t="n">
        <f aca="false">IF(COUNTA(D142:E142)=0,"",SUM(D142:E142))</f>
        <v>1022</v>
      </c>
      <c r="G142" s="39" t="n">
        <f aca="false">IF(OR(F142="",F142=0),"",D142/F142)</f>
        <v>0.547945205479452</v>
      </c>
      <c r="H142" s="39" t="n">
        <f aca="false">IF(OR(F142="",F142=0),"",E142/F142)</f>
        <v>0.452054794520548</v>
      </c>
      <c r="I142" s="38" t="s">
        <v>89</v>
      </c>
      <c r="J142" s="40" t="n">
        <v>1.8085538155628</v>
      </c>
      <c r="K142" s="39" t="n">
        <f aca="false">IF(G142="","",MAX(0,G142-J142/100))</f>
        <v>0.529859667323824</v>
      </c>
      <c r="L142" s="39" t="n">
        <f aca="false">IF(G142="","",MIN(1,G142+J142/100))</f>
        <v>0.56603074363508</v>
      </c>
      <c r="M142" s="21" t="n">
        <f aca="false">ROUND(Q142*S142,0)</f>
        <v>51</v>
      </c>
      <c r="N142" s="21" t="n">
        <f aca="false">ROUND(SQRT((F142*J142/100)^2+(G142*M142)^2),0)</f>
        <v>34</v>
      </c>
      <c r="P142" s="41" t="n">
        <v>2.15459510062226</v>
      </c>
      <c r="Q142" s="42" t="n">
        <v>1022</v>
      </c>
      <c r="R142" s="43" t="n">
        <f aca="false">MAX(0,MIN(1,P142/100+$D$5))</f>
        <v>0.548113153701097</v>
      </c>
      <c r="S142" s="43" t="n">
        <v>0.0500321312575726</v>
      </c>
      <c r="T142" s="44" t="s">
        <v>99</v>
      </c>
    </row>
    <row r="143" customFormat="false" ht="15" hidden="false" customHeight="false" outlineLevel="0" collapsed="false">
      <c r="A143" s="38" t="s">
        <v>156</v>
      </c>
      <c r="B143" s="38" t="s">
        <v>240</v>
      </c>
      <c r="C143" s="38" t="s">
        <v>244</v>
      </c>
      <c r="D143" s="21" t="n">
        <f aca="false">ROUND(Q143*R143,0)</f>
        <v>516</v>
      </c>
      <c r="E143" s="21" t="n">
        <f aca="false">ROUND(Q143,0)-D143</f>
        <v>363</v>
      </c>
      <c r="F143" s="21" t="n">
        <f aca="false">IF(COUNTA(D143:E143)=0,"",SUM(D143:E143))</f>
        <v>879</v>
      </c>
      <c r="G143" s="39" t="n">
        <f aca="false">IF(OR(F143="",F143=0),"",D143/F143)</f>
        <v>0.58703071672355</v>
      </c>
      <c r="H143" s="39" t="n">
        <f aca="false">IF(OR(F143="",F143=0),"",E143/F143)</f>
        <v>0.412969283276451</v>
      </c>
      <c r="I143" s="38" t="s">
        <v>89</v>
      </c>
      <c r="J143" s="40" t="n">
        <v>1.8085538155628</v>
      </c>
      <c r="K143" s="39" t="n">
        <f aca="false">IF(G143="","",MAX(0,G143-J143/100))</f>
        <v>0.568945178567922</v>
      </c>
      <c r="L143" s="39" t="n">
        <f aca="false">IF(G143="","",MIN(1,G143+J143/100))</f>
        <v>0.605116254879177</v>
      </c>
      <c r="M143" s="21" t="n">
        <f aca="false">ROUND(Q143*S143,0)</f>
        <v>44</v>
      </c>
      <c r="N143" s="21" t="n">
        <f aca="false">ROUND(SQRT((F143*J143/100)^2+(G143*M143)^2),0)</f>
        <v>30</v>
      </c>
      <c r="P143" s="41" t="n">
        <v>6.04697842205972</v>
      </c>
      <c r="Q143" s="42" t="n">
        <v>879</v>
      </c>
      <c r="R143" s="43" t="n">
        <f aca="false">MAX(0,MIN(1,P143/100+$D$5))</f>
        <v>0.587036986915471</v>
      </c>
      <c r="S143" s="43" t="n">
        <v>0.0500321312575726</v>
      </c>
      <c r="T143" s="44" t="s">
        <v>99</v>
      </c>
    </row>
    <row r="144" customFormat="false" ht="15" hidden="false" customHeight="false" outlineLevel="0" collapsed="false">
      <c r="A144" s="38" t="s">
        <v>156</v>
      </c>
      <c r="B144" s="38" t="s">
        <v>240</v>
      </c>
      <c r="C144" s="38" t="s">
        <v>245</v>
      </c>
      <c r="D144" s="21" t="n">
        <f aca="false">ROUND(Q144*R144,0)</f>
        <v>301</v>
      </c>
      <c r="E144" s="21" t="n">
        <f aca="false">ROUND(Q144,0)-D144</f>
        <v>253</v>
      </c>
      <c r="F144" s="21" t="n">
        <f aca="false">IF(COUNTA(D144:E144)=0,"",SUM(D144:E144))</f>
        <v>554</v>
      </c>
      <c r="G144" s="39" t="n">
        <f aca="false">IF(OR(F144="",F144=0),"",D144/F144)</f>
        <v>0.543321299638989</v>
      </c>
      <c r="H144" s="39" t="n">
        <f aca="false">IF(OR(F144="",F144=0),"",E144/F144)</f>
        <v>0.456678700361011</v>
      </c>
      <c r="I144" s="38" t="s">
        <v>89</v>
      </c>
      <c r="J144" s="40" t="n">
        <v>3.02608556967268</v>
      </c>
      <c r="K144" s="39" t="n">
        <f aca="false">IF(G144="","",MAX(0,G144-J144/100))</f>
        <v>0.513060443942262</v>
      </c>
      <c r="L144" s="39" t="n">
        <f aca="false">IF(G144="","",MIN(1,G144+J144/100))</f>
        <v>0.573582155335716</v>
      </c>
      <c r="M144" s="21" t="n">
        <f aca="false">ROUND(Q144*S144,0)</f>
        <v>34</v>
      </c>
      <c r="N144" s="21" t="n">
        <f aca="false">ROUND(SQRT((F144*J144/100)^2+(G144*M144)^2),0)</f>
        <v>25</v>
      </c>
      <c r="P144" s="41" t="n">
        <v>1.61221420292062</v>
      </c>
      <c r="Q144" s="42" t="n">
        <v>554</v>
      </c>
      <c r="R144" s="43" t="n">
        <f aca="false">MAX(0,MIN(1,P144/100+$D$5))</f>
        <v>0.54268934472408</v>
      </c>
      <c r="S144" s="43" t="n">
        <v>0.0610405690258335</v>
      </c>
      <c r="T144" s="44" t="s">
        <v>90</v>
      </c>
    </row>
    <row r="145" customFormat="false" ht="15" hidden="false" customHeight="false" outlineLevel="0" collapsed="false">
      <c r="A145" s="38" t="s">
        <v>156</v>
      </c>
      <c r="B145" s="38" t="s">
        <v>240</v>
      </c>
      <c r="C145" s="38" t="s">
        <v>246</v>
      </c>
      <c r="D145" s="21" t="n">
        <f aca="false">ROUND(Q145*R145,0)</f>
        <v>611</v>
      </c>
      <c r="E145" s="21" t="n">
        <f aca="false">ROUND(Q145,0)-D145</f>
        <v>395</v>
      </c>
      <c r="F145" s="21" t="n">
        <f aca="false">IF(COUNTA(D145:E145)=0,"",SUM(D145:E145))</f>
        <v>1006</v>
      </c>
      <c r="G145" s="39" t="n">
        <f aca="false">IF(OR(F145="",F145=0),"",D145/F145)</f>
        <v>0.607355864811133</v>
      </c>
      <c r="H145" s="39" t="n">
        <f aca="false">IF(OR(F145="",F145=0),"",E145/F145)</f>
        <v>0.392644135188867</v>
      </c>
      <c r="I145" s="38" t="s">
        <v>89</v>
      </c>
      <c r="J145" s="40" t="n">
        <v>1.8085538155628</v>
      </c>
      <c r="K145" s="39" t="n">
        <f aca="false">IF(G145="","",MAX(0,G145-J145/100))</f>
        <v>0.589270326655505</v>
      </c>
      <c r="L145" s="39" t="n">
        <f aca="false">IF(G145="","",MIN(1,G145+J145/100))</f>
        <v>0.625441402966761</v>
      </c>
      <c r="M145" s="21" t="n">
        <f aca="false">ROUND(Q145*S145,0)</f>
        <v>50</v>
      </c>
      <c r="N145" s="21" t="n">
        <f aca="false">ROUND(SQRT((F145*J145/100)^2+(G145*M145)^2),0)</f>
        <v>35</v>
      </c>
      <c r="P145" s="41" t="n">
        <v>8.06180834384392</v>
      </c>
      <c r="Q145" s="42" t="n">
        <v>1006</v>
      </c>
      <c r="R145" s="43" t="n">
        <f aca="false">MAX(0,MIN(1,P145/100+$D$5))</f>
        <v>0.607185286133314</v>
      </c>
      <c r="S145" s="43" t="n">
        <v>0.0500321312575726</v>
      </c>
      <c r="T145" s="44" t="s">
        <v>99</v>
      </c>
    </row>
    <row r="146" customFormat="false" ht="15" hidden="false" customHeight="false" outlineLevel="0" collapsed="false">
      <c r="A146" s="38" t="s">
        <v>156</v>
      </c>
      <c r="B146" s="38" t="s">
        <v>247</v>
      </c>
      <c r="C146" s="38" t="s">
        <v>248</v>
      </c>
      <c r="D146" s="21" t="n">
        <f aca="false">ROUND(Q146*R146,0)</f>
        <v>402</v>
      </c>
      <c r="E146" s="21" t="n">
        <f aca="false">ROUND(Q146,0)-D146</f>
        <v>169</v>
      </c>
      <c r="F146" s="21" t="n">
        <f aca="false">IF(COUNTA(D146:E146)=0,"",SUM(D146:E146))</f>
        <v>571</v>
      </c>
      <c r="G146" s="39" t="n">
        <f aca="false">IF(OR(F146="",F146=0),"",D146/F146)</f>
        <v>0.704028021015762</v>
      </c>
      <c r="H146" s="39" t="n">
        <f aca="false">IF(OR(F146="",F146=0),"",E146/F146)</f>
        <v>0.295971978984238</v>
      </c>
      <c r="I146" s="38" t="s">
        <v>89</v>
      </c>
      <c r="J146" s="40" t="n">
        <v>3.02608556967268</v>
      </c>
      <c r="K146" s="39" t="n">
        <f aca="false">IF(G146="","",MAX(0,G146-J146/100))</f>
        <v>0.673767165319035</v>
      </c>
      <c r="L146" s="39" t="n">
        <f aca="false">IF(G146="","",MIN(1,G146+J146/100))</f>
        <v>0.734288876712489</v>
      </c>
      <c r="M146" s="21" t="n">
        <f aca="false">ROUND(Q146*S146,0)</f>
        <v>35</v>
      </c>
      <c r="N146" s="21" t="n">
        <f aca="false">ROUND(SQRT((F146*J146/100)^2+(G146*M146)^2),0)</f>
        <v>30</v>
      </c>
      <c r="P146" s="41" t="n">
        <v>17.8137685883165</v>
      </c>
      <c r="Q146" s="42" t="n">
        <v>571</v>
      </c>
      <c r="R146" s="43" t="n">
        <f aca="false">MAX(0,MIN(1,P146/100+$D$5))</f>
        <v>0.704704888578039</v>
      </c>
      <c r="S146" s="43" t="n">
        <v>0.0610405690258335</v>
      </c>
      <c r="T146" s="44" t="s">
        <v>90</v>
      </c>
    </row>
    <row r="147" customFormat="false" ht="15" hidden="false" customHeight="false" outlineLevel="0" collapsed="false">
      <c r="A147" s="38" t="s">
        <v>156</v>
      </c>
      <c r="B147" s="38" t="s">
        <v>247</v>
      </c>
      <c r="C147" s="38" t="s">
        <v>249</v>
      </c>
      <c r="D147" s="21" t="n">
        <f aca="false">ROUND(Q147*R147,0)</f>
        <v>319</v>
      </c>
      <c r="E147" s="21" t="n">
        <f aca="false">ROUND(Q147,0)-D147</f>
        <v>153</v>
      </c>
      <c r="F147" s="21" t="n">
        <f aca="false">IF(COUNTA(D147:E147)=0,"",SUM(D147:E147))</f>
        <v>472</v>
      </c>
      <c r="G147" s="39" t="n">
        <f aca="false">IF(OR(F147="",F147=0),"",D147/F147)</f>
        <v>0.675847457627119</v>
      </c>
      <c r="H147" s="39" t="n">
        <f aca="false">IF(OR(F147="",F147=0),"",E147/F147)</f>
        <v>0.324152542372881</v>
      </c>
      <c r="I147" s="38" t="s">
        <v>89</v>
      </c>
      <c r="J147" s="40" t="n">
        <v>3.02608556967268</v>
      </c>
      <c r="K147" s="39" t="n">
        <f aca="false">IF(G147="","",MAX(0,G147-J147/100))</f>
        <v>0.645586601930392</v>
      </c>
      <c r="L147" s="39" t="n">
        <f aca="false">IF(G147="","",MIN(1,G147+J147/100))</f>
        <v>0.706108313323846</v>
      </c>
      <c r="M147" s="21" t="n">
        <f aca="false">ROUND(Q147*S147,0)</f>
        <v>29</v>
      </c>
      <c r="N147" s="21" t="n">
        <f aca="false">ROUND(SQRT((F147*J147/100)^2+(G147*M147)^2),0)</f>
        <v>24</v>
      </c>
      <c r="P147" s="41" t="n">
        <v>14.8652237694206</v>
      </c>
      <c r="Q147" s="42" t="n">
        <v>472</v>
      </c>
      <c r="R147" s="43" t="n">
        <f aca="false">MAX(0,MIN(1,P147/100+$D$5))</f>
        <v>0.67521944038908</v>
      </c>
      <c r="S147" s="43" t="n">
        <v>0.0610405690258335</v>
      </c>
      <c r="T147" s="44" t="s">
        <v>90</v>
      </c>
    </row>
    <row r="148" customFormat="false" ht="15" hidden="false" customHeight="false" outlineLevel="0" collapsed="false">
      <c r="A148" s="38" t="s">
        <v>156</v>
      </c>
      <c r="B148" s="38" t="s">
        <v>247</v>
      </c>
      <c r="C148" s="38" t="s">
        <v>250</v>
      </c>
      <c r="D148" s="21" t="n">
        <f aca="false">ROUND(Q148*R148,0)</f>
        <v>350</v>
      </c>
      <c r="E148" s="21" t="n">
        <f aca="false">ROUND(Q148,0)-D148</f>
        <v>156</v>
      </c>
      <c r="F148" s="21" t="n">
        <f aca="false">IF(COUNTA(D148:E148)=0,"",SUM(D148:E148))</f>
        <v>506</v>
      </c>
      <c r="G148" s="39" t="n">
        <f aca="false">IF(OR(F148="",F148=0),"",D148/F148)</f>
        <v>0.691699604743083</v>
      </c>
      <c r="H148" s="39" t="n">
        <f aca="false">IF(OR(F148="",F148=0),"",E148/F148)</f>
        <v>0.308300395256917</v>
      </c>
      <c r="I148" s="38" t="s">
        <v>89</v>
      </c>
      <c r="J148" s="40" t="n">
        <v>3.02608556967268</v>
      </c>
      <c r="K148" s="39" t="n">
        <f aca="false">IF(G148="","",MAX(0,G148-J148/100))</f>
        <v>0.661438749046356</v>
      </c>
      <c r="L148" s="39" t="n">
        <f aca="false">IF(G148="","",MIN(1,G148+J148/100))</f>
        <v>0.72196046043981</v>
      </c>
      <c r="M148" s="21" t="n">
        <f aca="false">ROUND(Q148*S148,0)</f>
        <v>31</v>
      </c>
      <c r="N148" s="21" t="n">
        <f aca="false">ROUND(SQRT((F148*J148/100)^2+(G148*M148)^2),0)</f>
        <v>26</v>
      </c>
      <c r="P148" s="41" t="n">
        <v>16.5111844218502</v>
      </c>
      <c r="Q148" s="42" t="n">
        <v>506</v>
      </c>
      <c r="R148" s="43" t="n">
        <f aca="false">MAX(0,MIN(1,P148/100+$D$5))</f>
        <v>0.691679046913376</v>
      </c>
      <c r="S148" s="43" t="n">
        <v>0.0610405690258335</v>
      </c>
      <c r="T148" s="44" t="s">
        <v>90</v>
      </c>
    </row>
    <row r="149" customFormat="false" ht="15" hidden="false" customHeight="false" outlineLevel="0" collapsed="false">
      <c r="A149" s="38" t="s">
        <v>156</v>
      </c>
      <c r="B149" s="38" t="s">
        <v>251</v>
      </c>
      <c r="C149" s="38" t="s">
        <v>251</v>
      </c>
      <c r="D149" s="21" t="n">
        <f aca="false">ROUND(Q149*R149,0)</f>
        <v>272</v>
      </c>
      <c r="E149" s="21" t="n">
        <f aca="false">ROUND(Q149,0)-D149</f>
        <v>195</v>
      </c>
      <c r="F149" s="21" t="n">
        <f aca="false">IF(COUNTA(D149:E149)=0,"",SUM(D149:E149))</f>
        <v>467</v>
      </c>
      <c r="G149" s="39" t="n">
        <f aca="false">IF(OR(F149="",F149=0),"",D149/F149)</f>
        <v>0.582441113490364</v>
      </c>
      <c r="H149" s="39" t="n">
        <f aca="false">IF(OR(F149="",F149=0),"",E149/F149)</f>
        <v>0.417558886509636</v>
      </c>
      <c r="I149" s="38" t="s">
        <v>89</v>
      </c>
      <c r="J149" s="40" t="n">
        <v>3.02608556967268</v>
      </c>
      <c r="K149" s="39" t="n">
        <f aca="false">IF(G149="","",MAX(0,G149-J149/100))</f>
        <v>0.552180257793637</v>
      </c>
      <c r="L149" s="39" t="n">
        <f aca="false">IF(G149="","",MIN(1,G149+J149/100))</f>
        <v>0.612701969187091</v>
      </c>
      <c r="M149" s="21" t="n">
        <f aca="false">ROUND(Q149*S149,0)</f>
        <v>29</v>
      </c>
      <c r="N149" s="21" t="n">
        <f aca="false">ROUND(SQRT((F149*J149/100)^2+(G149*M149)^2),0)</f>
        <v>22</v>
      </c>
      <c r="P149" s="41" t="n">
        <v>5.59151791107694</v>
      </c>
      <c r="Q149" s="42" t="n">
        <v>467</v>
      </c>
      <c r="R149" s="43" t="n">
        <f aca="false">MAX(0,MIN(1,P149/100+$D$5))</f>
        <v>0.582482381805644</v>
      </c>
      <c r="S149" s="43" t="n">
        <v>0.0610405690258335</v>
      </c>
      <c r="T149" s="44" t="s">
        <v>90</v>
      </c>
    </row>
    <row r="150" customFormat="false" ht="15" hidden="false" customHeight="false" outlineLevel="0" collapsed="false">
      <c r="A150" s="38" t="s">
        <v>156</v>
      </c>
      <c r="B150" s="38" t="s">
        <v>252</v>
      </c>
      <c r="C150" s="38" t="s">
        <v>252</v>
      </c>
      <c r="D150" s="21" t="n">
        <f aca="false">ROUND(Q150*R150,0)</f>
        <v>561</v>
      </c>
      <c r="E150" s="21" t="n">
        <f aca="false">ROUND(Q150,0)-D150</f>
        <v>1039</v>
      </c>
      <c r="F150" s="21" t="n">
        <f aca="false">IF(COUNTA(D150:E150)=0,"",SUM(D150:E150))</f>
        <v>1600</v>
      </c>
      <c r="G150" s="39" t="n">
        <f aca="false">IF(OR(F150="",F150=0),"",D150/F150)</f>
        <v>0.350625</v>
      </c>
      <c r="H150" s="39" t="n">
        <f aca="false">IF(OR(F150="",F150=0),"",E150/F150)</f>
        <v>0.649375</v>
      </c>
      <c r="I150" s="38" t="s">
        <v>89</v>
      </c>
      <c r="J150" s="40" t="n">
        <v>1.24911041755021</v>
      </c>
      <c r="K150" s="39" t="n">
        <f aca="false">IF(G150="","",MAX(0,G150-J150/100))</f>
        <v>0.338133895824498</v>
      </c>
      <c r="L150" s="39" t="n">
        <f aca="false">IF(G150="","",MIN(1,G150+J150/100))</f>
        <v>0.363116104175502</v>
      </c>
      <c r="M150" s="21" t="n">
        <f aca="false">ROUND(Q150*S150,0)</f>
        <v>208</v>
      </c>
      <c r="N150" s="21" t="n">
        <f aca="false">ROUND(SQRT((F150*J150/100)^2+(G150*M150)^2),0)</f>
        <v>76</v>
      </c>
      <c r="P150" s="41" t="n">
        <v>-17.5966482639039</v>
      </c>
      <c r="Q150" s="42" t="n">
        <v>1600</v>
      </c>
      <c r="R150" s="43" t="n">
        <f aca="false">MAX(0,MIN(1,P150/100+$D$5))</f>
        <v>0.350600720055836</v>
      </c>
      <c r="S150" s="43" t="n">
        <v>0.130204099606216</v>
      </c>
      <c r="T150" s="44" t="s">
        <v>192</v>
      </c>
    </row>
    <row r="151" customFormat="false" ht="15" hidden="false" customHeight="false" outlineLevel="0" collapsed="false">
      <c r="A151" s="38" t="s">
        <v>156</v>
      </c>
      <c r="B151" s="38" t="s">
        <v>253</v>
      </c>
      <c r="C151" s="38" t="s">
        <v>254</v>
      </c>
      <c r="D151" s="21" t="n">
        <f aca="false">ROUND(Q151*R151,0)</f>
        <v>813</v>
      </c>
      <c r="E151" s="21" t="n">
        <f aca="false">ROUND(Q151,0)-D151</f>
        <v>696</v>
      </c>
      <c r="F151" s="21" t="n">
        <f aca="false">IF(COUNTA(D151:E151)=0,"",SUM(D151:E151))</f>
        <v>1509</v>
      </c>
      <c r="G151" s="39" t="n">
        <f aca="false">IF(OR(F151="",F151=0),"",D151/F151)</f>
        <v>0.538767395626243</v>
      </c>
      <c r="H151" s="39" t="n">
        <f aca="false">IF(OR(F151="",F151=0),"",E151/F151)</f>
        <v>0.461232604373757</v>
      </c>
      <c r="I151" s="38" t="s">
        <v>89</v>
      </c>
      <c r="J151" s="40" t="n">
        <v>1.24911041755021</v>
      </c>
      <c r="K151" s="39" t="n">
        <f aca="false">IF(G151="","",MAX(0,G151-J151/100))</f>
        <v>0.52627629145074</v>
      </c>
      <c r="L151" s="39" t="n">
        <f aca="false">IF(G151="","",MIN(1,G151+J151/100))</f>
        <v>0.551258499801745</v>
      </c>
      <c r="M151" s="21" t="n">
        <f aca="false">ROUND(Q151*S151,0)</f>
        <v>196</v>
      </c>
      <c r="N151" s="21" t="n">
        <f aca="false">ROUND(SQRT((F151*J151/100)^2+(G151*M151)^2),0)</f>
        <v>107</v>
      </c>
      <c r="P151" s="41" t="n">
        <v>1.19660834986304</v>
      </c>
      <c r="Q151" s="42" t="n">
        <v>1509</v>
      </c>
      <c r="R151" s="43" t="n">
        <f aca="false">MAX(0,MIN(1,P151/100+$D$5))</f>
        <v>0.538533286193505</v>
      </c>
      <c r="S151" s="43" t="n">
        <v>0.130204099606216</v>
      </c>
      <c r="T151" s="44" t="s">
        <v>192</v>
      </c>
    </row>
    <row r="152" customFormat="false" ht="15" hidden="false" customHeight="false" outlineLevel="0" collapsed="false">
      <c r="A152" s="38" t="s">
        <v>156</v>
      </c>
      <c r="B152" s="38" t="s">
        <v>253</v>
      </c>
      <c r="C152" s="38" t="s">
        <v>255</v>
      </c>
      <c r="D152" s="21" t="n">
        <f aca="false">ROUND(Q152*R152,0)</f>
        <v>918</v>
      </c>
      <c r="E152" s="21" t="n">
        <f aca="false">ROUND(Q152,0)-D152</f>
        <v>770</v>
      </c>
      <c r="F152" s="21" t="n">
        <f aca="false">IF(COUNTA(D152:E152)=0,"",SUM(D152:E152))</f>
        <v>1688</v>
      </c>
      <c r="G152" s="39" t="n">
        <f aca="false">IF(OR(F152="",F152=0),"",D152/F152)</f>
        <v>0.543838862559242</v>
      </c>
      <c r="H152" s="39" t="n">
        <f aca="false">IF(OR(F152="",F152=0),"",E152/F152)</f>
        <v>0.456161137440758</v>
      </c>
      <c r="I152" s="38" t="s">
        <v>89</v>
      </c>
      <c r="J152" s="40" t="n">
        <v>1.24911041755021</v>
      </c>
      <c r="K152" s="39" t="n">
        <f aca="false">IF(G152="","",MAX(0,G152-J152/100))</f>
        <v>0.53134775838374</v>
      </c>
      <c r="L152" s="39" t="n">
        <f aca="false">IF(G152="","",MIN(1,G152+J152/100))</f>
        <v>0.556329966734744</v>
      </c>
      <c r="M152" s="21" t="n">
        <f aca="false">ROUND(Q152*S152,0)</f>
        <v>220</v>
      </c>
      <c r="N152" s="21" t="n">
        <f aca="false">ROUND(SQRT((F152*J152/100)^2+(G152*M152)^2),0)</f>
        <v>121</v>
      </c>
      <c r="P152" s="41" t="n">
        <v>1.72726321822735</v>
      </c>
      <c r="Q152" s="42" t="n">
        <v>1688</v>
      </c>
      <c r="R152" s="43" t="n">
        <f aca="false">MAX(0,MIN(1,P152/100+$D$5))</f>
        <v>0.543839834877148</v>
      </c>
      <c r="S152" s="43" t="n">
        <v>0.130204099606216</v>
      </c>
      <c r="T152" s="44" t="s">
        <v>192</v>
      </c>
    </row>
    <row r="153" customFormat="false" ht="15" hidden="false" customHeight="false" outlineLevel="0" collapsed="false">
      <c r="A153" s="38" t="s">
        <v>156</v>
      </c>
      <c r="B153" s="38" t="s">
        <v>253</v>
      </c>
      <c r="C153" s="38" t="s">
        <v>256</v>
      </c>
      <c r="D153" s="21" t="n">
        <f aca="false">ROUND(Q153*R153,0)</f>
        <v>1599</v>
      </c>
      <c r="E153" s="21" t="n">
        <f aca="false">ROUND(Q153,0)-D153</f>
        <v>1349</v>
      </c>
      <c r="F153" s="21" t="n">
        <f aca="false">IF(COUNTA(D153:E153)=0,"",SUM(D153:E153))</f>
        <v>2948</v>
      </c>
      <c r="G153" s="39" t="n">
        <f aca="false">IF(OR(F153="",F153=0),"",D153/F153)</f>
        <v>0.542401628222524</v>
      </c>
      <c r="H153" s="39" t="n">
        <f aca="false">IF(OR(F153="",F153=0),"",E153/F153)</f>
        <v>0.457598371777476</v>
      </c>
      <c r="I153" s="38" t="s">
        <v>89</v>
      </c>
      <c r="J153" s="40" t="n">
        <v>1.24911041755021</v>
      </c>
      <c r="K153" s="39" t="n">
        <f aca="false">IF(G153="","",MAX(0,G153-J153/100))</f>
        <v>0.529910524047022</v>
      </c>
      <c r="L153" s="39" t="n">
        <f aca="false">IF(G153="","",MIN(1,G153+J153/100))</f>
        <v>0.554892732398026</v>
      </c>
      <c r="M153" s="21" t="n">
        <f aca="false">ROUND(Q153*S153,0)</f>
        <v>384</v>
      </c>
      <c r="N153" s="21" t="n">
        <f aca="false">ROUND(SQRT((F153*J153/100)^2+(G153*M153)^2),0)</f>
        <v>212</v>
      </c>
      <c r="P153" s="41" t="n">
        <v>1.57051100864372</v>
      </c>
      <c r="Q153" s="42" t="n">
        <v>2948</v>
      </c>
      <c r="R153" s="43" t="n">
        <f aca="false">MAX(0,MIN(1,P153/100+$D$5))</f>
        <v>0.542272312781311</v>
      </c>
      <c r="S153" s="43" t="n">
        <v>0.130204099606216</v>
      </c>
      <c r="T153" s="44" t="s">
        <v>192</v>
      </c>
    </row>
    <row r="154" customFormat="false" ht="15" hidden="false" customHeight="false" outlineLevel="0" collapsed="false">
      <c r="A154" s="38" t="s">
        <v>156</v>
      </c>
      <c r="B154" s="38" t="s">
        <v>253</v>
      </c>
      <c r="C154" s="38" t="s">
        <v>257</v>
      </c>
      <c r="D154" s="21" t="n">
        <f aca="false">ROUND(Q154*R154,0)</f>
        <v>801</v>
      </c>
      <c r="E154" s="21" t="n">
        <f aca="false">ROUND(Q154,0)-D154</f>
        <v>691</v>
      </c>
      <c r="F154" s="21" t="n">
        <f aca="false">IF(COUNTA(D154:E154)=0,"",SUM(D154:E154))</f>
        <v>1492</v>
      </c>
      <c r="G154" s="39" t="n">
        <f aca="false">IF(OR(F154="",F154=0),"",D154/F154)</f>
        <v>0.53686327077748</v>
      </c>
      <c r="H154" s="39" t="n">
        <f aca="false">IF(OR(F154="",F154=0),"",E154/F154)</f>
        <v>0.46313672922252</v>
      </c>
      <c r="I154" s="38" t="s">
        <v>89</v>
      </c>
      <c r="J154" s="40" t="n">
        <v>1.24911041755021</v>
      </c>
      <c r="K154" s="39" t="n">
        <f aca="false">IF(G154="","",MAX(0,G154-J154/100))</f>
        <v>0.524372166601978</v>
      </c>
      <c r="L154" s="39" t="n">
        <f aca="false">IF(G154="","",MIN(1,G154+J154/100))</f>
        <v>0.549354374952982</v>
      </c>
      <c r="M154" s="21" t="n">
        <f aca="false">ROUND(Q154*S154,0)</f>
        <v>194</v>
      </c>
      <c r="N154" s="21" t="n">
        <f aca="false">ROUND(SQRT((F154*J154/100)^2+(G154*M154)^2),0)</f>
        <v>106</v>
      </c>
      <c r="P154" s="41" t="n">
        <v>1.04597683214837</v>
      </c>
      <c r="Q154" s="42" t="n">
        <v>1492</v>
      </c>
      <c r="R154" s="43" t="n">
        <f aca="false">MAX(0,MIN(1,P154/100+$D$5))</f>
        <v>0.537026971016358</v>
      </c>
      <c r="S154" s="43" t="n">
        <v>0.130204099606216</v>
      </c>
      <c r="T154" s="44" t="s">
        <v>192</v>
      </c>
    </row>
    <row r="155" customFormat="false" ht="15" hidden="false" customHeight="false" outlineLevel="0" collapsed="false">
      <c r="A155" s="38" t="s">
        <v>156</v>
      </c>
      <c r="B155" s="38" t="s">
        <v>253</v>
      </c>
      <c r="C155" s="38" t="s">
        <v>258</v>
      </c>
      <c r="D155" s="21" t="n">
        <f aca="false">ROUND(Q155*R155,0)</f>
        <v>727</v>
      </c>
      <c r="E155" s="21" t="n">
        <f aca="false">ROUND(Q155,0)-D155</f>
        <v>628</v>
      </c>
      <c r="F155" s="21" t="n">
        <f aca="false">IF(COUNTA(D155:E155)=0,"",SUM(D155:E155))</f>
        <v>1355</v>
      </c>
      <c r="G155" s="39" t="n">
        <f aca="false">IF(OR(F155="",F155=0),"",D155/F155)</f>
        <v>0.536531365313653</v>
      </c>
      <c r="H155" s="39" t="n">
        <f aca="false">IF(OR(F155="",F155=0),"",E155/F155)</f>
        <v>0.463468634686347</v>
      </c>
      <c r="I155" s="38" t="s">
        <v>89</v>
      </c>
      <c r="J155" s="40" t="n">
        <v>1.24911041755021</v>
      </c>
      <c r="K155" s="39" t="n">
        <f aca="false">IF(G155="","",MAX(0,G155-J155/100))</f>
        <v>0.524040261138151</v>
      </c>
      <c r="L155" s="39" t="n">
        <f aca="false">IF(G155="","",MIN(1,G155+J155/100))</f>
        <v>0.549022469489155</v>
      </c>
      <c r="M155" s="21" t="n">
        <f aca="false">ROUND(Q155*S155,0)</f>
        <v>176</v>
      </c>
      <c r="N155" s="21" t="n">
        <f aca="false">ROUND(SQRT((F155*J155/100)^2+(G155*M155)^2),0)</f>
        <v>96</v>
      </c>
      <c r="P155" s="41" t="n">
        <v>0.985204888405447</v>
      </c>
      <c r="Q155" s="42" t="n">
        <v>1355</v>
      </c>
      <c r="R155" s="43" t="n">
        <f aca="false">MAX(0,MIN(1,P155/100+$D$5))</f>
        <v>0.536419251578929</v>
      </c>
      <c r="S155" s="43" t="n">
        <v>0.130204099606216</v>
      </c>
      <c r="T155" s="44" t="s">
        <v>192</v>
      </c>
    </row>
    <row r="156" customFormat="false" ht="15" hidden="false" customHeight="false" outlineLevel="0" collapsed="false">
      <c r="A156" s="38" t="s">
        <v>156</v>
      </c>
      <c r="B156" s="38" t="s">
        <v>253</v>
      </c>
      <c r="C156" s="38" t="s">
        <v>259</v>
      </c>
      <c r="D156" s="21" t="n">
        <f aca="false">ROUND(Q156*R156,0)</f>
        <v>667</v>
      </c>
      <c r="E156" s="21" t="n">
        <f aca="false">ROUND(Q156,0)-D156</f>
        <v>539</v>
      </c>
      <c r="F156" s="21" t="n">
        <f aca="false">IF(COUNTA(D156:E156)=0,"",SUM(D156:E156))</f>
        <v>1206</v>
      </c>
      <c r="G156" s="39" t="n">
        <f aca="false">IF(OR(F156="",F156=0),"",D156/F156)</f>
        <v>0.553067993366501</v>
      </c>
      <c r="H156" s="39" t="n">
        <f aca="false">IF(OR(F156="",F156=0),"",E156/F156)</f>
        <v>0.446932006633499</v>
      </c>
      <c r="I156" s="38" t="s">
        <v>89</v>
      </c>
      <c r="J156" s="40" t="n">
        <v>1.24911041755021</v>
      </c>
      <c r="K156" s="39" t="n">
        <f aca="false">IF(G156="","",MAX(0,G156-J156/100))</f>
        <v>0.540576889190999</v>
      </c>
      <c r="L156" s="39" t="n">
        <f aca="false">IF(G156="","",MIN(1,G156+J156/100))</f>
        <v>0.565559097542003</v>
      </c>
      <c r="M156" s="21" t="n">
        <f aca="false">ROUND(Q156*S156,0)</f>
        <v>157</v>
      </c>
      <c r="N156" s="21" t="n">
        <f aca="false">ROUND(SQRT((F156*J156/100)^2+(G156*M156)^2),0)</f>
        <v>88</v>
      </c>
      <c r="P156" s="41" t="n">
        <v>2.61626738506843</v>
      </c>
      <c r="Q156" s="42" t="n">
        <v>1206</v>
      </c>
      <c r="R156" s="43" t="n">
        <f aca="false">MAX(0,MIN(1,P156/100+$D$5))</f>
        <v>0.552729876545559</v>
      </c>
      <c r="S156" s="43" t="n">
        <v>0.130204099606216</v>
      </c>
      <c r="T156" s="44" t="s">
        <v>192</v>
      </c>
    </row>
    <row r="157" customFormat="false" ht="15" hidden="false" customHeight="false" outlineLevel="0" collapsed="false">
      <c r="A157" s="38" t="s">
        <v>156</v>
      </c>
      <c r="B157" s="38" t="s">
        <v>253</v>
      </c>
      <c r="C157" s="38" t="s">
        <v>260</v>
      </c>
      <c r="D157" s="21" t="n">
        <f aca="false">ROUND(Q157*R157,0)</f>
        <v>1187</v>
      </c>
      <c r="E157" s="21" t="n">
        <f aca="false">ROUND(Q157,0)-D157</f>
        <v>1025</v>
      </c>
      <c r="F157" s="21" t="n">
        <f aca="false">IF(COUNTA(D157:E157)=0,"",SUM(D157:E157))</f>
        <v>2212</v>
      </c>
      <c r="G157" s="39" t="n">
        <f aca="false">IF(OR(F157="",F157=0),"",D157/F157)</f>
        <v>0.536618444846293</v>
      </c>
      <c r="H157" s="39" t="n">
        <f aca="false">IF(OR(F157="",F157=0),"",E157/F157)</f>
        <v>0.463381555153707</v>
      </c>
      <c r="I157" s="38" t="s">
        <v>89</v>
      </c>
      <c r="J157" s="40" t="n">
        <v>1.24911041755021</v>
      </c>
      <c r="K157" s="39" t="n">
        <f aca="false">IF(G157="","",MAX(0,G157-J157/100))</f>
        <v>0.524127340670791</v>
      </c>
      <c r="L157" s="39" t="n">
        <f aca="false">IF(G157="","",MIN(1,G157+J157/100))</f>
        <v>0.549109549021795</v>
      </c>
      <c r="M157" s="21" t="n">
        <f aca="false">ROUND(Q157*S157,0)</f>
        <v>288</v>
      </c>
      <c r="N157" s="21" t="n">
        <f aca="false">ROUND(SQRT((F157*J157/100)^2+(G157*M157)^2),0)</f>
        <v>157</v>
      </c>
      <c r="P157" s="41" t="n">
        <v>1.01284801382193</v>
      </c>
      <c r="Q157" s="42" t="n">
        <v>2212</v>
      </c>
      <c r="R157" s="43" t="n">
        <f aca="false">MAX(0,MIN(1,P157/100+$D$5))</f>
        <v>0.536695682833094</v>
      </c>
      <c r="S157" s="43" t="n">
        <v>0.130204099606216</v>
      </c>
      <c r="T157" s="44" t="s">
        <v>192</v>
      </c>
    </row>
    <row r="158" customFormat="false" ht="15" hidden="false" customHeight="false" outlineLevel="0" collapsed="false">
      <c r="A158" s="38" t="s">
        <v>156</v>
      </c>
      <c r="B158" s="38" t="s">
        <v>253</v>
      </c>
      <c r="C158" s="38" t="s">
        <v>261</v>
      </c>
      <c r="D158" s="21" t="n">
        <f aca="false">ROUND(Q158*R158,0)</f>
        <v>746</v>
      </c>
      <c r="E158" s="21" t="n">
        <f aca="false">ROUND(Q158,0)-D158</f>
        <v>570</v>
      </c>
      <c r="F158" s="21" t="n">
        <f aca="false">IF(COUNTA(D158:E158)=0,"",SUM(D158:E158))</f>
        <v>1316</v>
      </c>
      <c r="G158" s="39" t="n">
        <f aca="false">IF(OR(F158="",F158=0),"",D158/F158)</f>
        <v>0.566869300911854</v>
      </c>
      <c r="H158" s="39" t="n">
        <f aca="false">IF(OR(F158="",F158=0),"",E158/F158)</f>
        <v>0.433130699088146</v>
      </c>
      <c r="I158" s="38" t="s">
        <v>89</v>
      </c>
      <c r="J158" s="40" t="n">
        <v>1.24911041755021</v>
      </c>
      <c r="K158" s="39" t="n">
        <f aca="false">IF(G158="","",MAX(0,G158-J158/100))</f>
        <v>0.554378196736352</v>
      </c>
      <c r="L158" s="39" t="n">
        <f aca="false">IF(G158="","",MIN(1,G158+J158/100))</f>
        <v>0.579360405087356</v>
      </c>
      <c r="M158" s="21" t="n">
        <f aca="false">ROUND(Q158*S158,0)</f>
        <v>171</v>
      </c>
      <c r="N158" s="21" t="n">
        <f aca="false">ROUND(SQRT((F158*J158/100)^2+(G158*M158)^2),0)</f>
        <v>98</v>
      </c>
      <c r="P158" s="41" t="n">
        <v>4.02002630724659</v>
      </c>
      <c r="Q158" s="42" t="n">
        <v>1316</v>
      </c>
      <c r="R158" s="43" t="n">
        <f aca="false">MAX(0,MIN(1,P158/100+$D$5))</f>
        <v>0.56676746576734</v>
      </c>
      <c r="S158" s="43" t="n">
        <v>0.130204099606216</v>
      </c>
      <c r="T158" s="44" t="s">
        <v>192</v>
      </c>
    </row>
    <row r="159" customFormat="false" ht="15" hidden="false" customHeight="false" outlineLevel="0" collapsed="false">
      <c r="A159" s="38" t="s">
        <v>156</v>
      </c>
      <c r="B159" s="38" t="s">
        <v>253</v>
      </c>
      <c r="C159" s="38" t="s">
        <v>262</v>
      </c>
      <c r="D159" s="21" t="n">
        <f aca="false">ROUND(Q159*R159,0)</f>
        <v>731</v>
      </c>
      <c r="E159" s="21" t="n">
        <f aca="false">ROUND(Q159,0)-D159</f>
        <v>602</v>
      </c>
      <c r="F159" s="21" t="n">
        <f aca="false">IF(COUNTA(D159:E159)=0,"",SUM(D159:E159))</f>
        <v>1333</v>
      </c>
      <c r="G159" s="39" t="n">
        <f aca="false">IF(OR(F159="",F159=0),"",D159/F159)</f>
        <v>0.548387096774194</v>
      </c>
      <c r="H159" s="39" t="n">
        <f aca="false">IF(OR(F159="",F159=0),"",E159/F159)</f>
        <v>0.451612903225806</v>
      </c>
      <c r="I159" s="38" t="s">
        <v>89</v>
      </c>
      <c r="J159" s="40" t="n">
        <v>1.24911041755021</v>
      </c>
      <c r="K159" s="39" t="n">
        <f aca="false">IF(G159="","",MAX(0,G159-J159/100))</f>
        <v>0.535895992598691</v>
      </c>
      <c r="L159" s="39" t="n">
        <f aca="false">IF(G159="","",MIN(1,G159+J159/100))</f>
        <v>0.560878200949696</v>
      </c>
      <c r="M159" s="21" t="n">
        <f aca="false">ROUND(Q159*S159,0)</f>
        <v>174</v>
      </c>
      <c r="N159" s="21" t="n">
        <f aca="false">ROUND(SQRT((F159*J159/100)^2+(G159*M159)^2),0)</f>
        <v>97</v>
      </c>
      <c r="P159" s="41" t="n">
        <v>2.150438138226</v>
      </c>
      <c r="Q159" s="42" t="n">
        <v>1333</v>
      </c>
      <c r="R159" s="43" t="n">
        <f aca="false">MAX(0,MIN(1,P159/100+$D$5))</f>
        <v>0.548071584077134</v>
      </c>
      <c r="S159" s="43" t="n">
        <v>0.130204099606216</v>
      </c>
      <c r="T159" s="44" t="s">
        <v>192</v>
      </c>
    </row>
    <row r="160" customFormat="false" ht="15" hidden="false" customHeight="false" outlineLevel="0" collapsed="false">
      <c r="A160" s="38" t="s">
        <v>156</v>
      </c>
      <c r="B160" s="38" t="s">
        <v>253</v>
      </c>
      <c r="C160" s="38" t="s">
        <v>263</v>
      </c>
      <c r="D160" s="21" t="n">
        <f aca="false">ROUND(Q160*R160,0)</f>
        <v>489</v>
      </c>
      <c r="E160" s="21" t="n">
        <f aca="false">ROUND(Q160,0)-D160</f>
        <v>405</v>
      </c>
      <c r="F160" s="21" t="n">
        <f aca="false">IF(COUNTA(D160:E160)=0,"",SUM(D160:E160))</f>
        <v>894</v>
      </c>
      <c r="G160" s="39" t="n">
        <f aca="false">IF(OR(F160="",F160=0),"",D160/F160)</f>
        <v>0.546979865771812</v>
      </c>
      <c r="H160" s="39" t="n">
        <f aca="false">IF(OR(F160="",F160=0),"",E160/F160)</f>
        <v>0.453020134228188</v>
      </c>
      <c r="I160" s="38" t="s">
        <v>89</v>
      </c>
      <c r="J160" s="40" t="n">
        <v>1.8085538155628</v>
      </c>
      <c r="K160" s="39" t="n">
        <f aca="false">IF(G160="","",MAX(0,G160-J160/100))</f>
        <v>0.528894327616184</v>
      </c>
      <c r="L160" s="39" t="n">
        <f aca="false">IF(G160="","",MIN(1,G160+J160/100))</f>
        <v>0.56506540392744</v>
      </c>
      <c r="M160" s="21" t="n">
        <f aca="false">ROUND(Q160*S160,0)</f>
        <v>45</v>
      </c>
      <c r="N160" s="21" t="n">
        <f aca="false">ROUND(SQRT((F160*J160/100)^2+(G160*M160)^2),0)</f>
        <v>29</v>
      </c>
      <c r="P160" s="41" t="n">
        <v>2.09243484509528</v>
      </c>
      <c r="Q160" s="42" t="n">
        <v>894</v>
      </c>
      <c r="R160" s="43" t="n">
        <f aca="false">MAX(0,MIN(1,P160/100+$D$5))</f>
        <v>0.547491551145827</v>
      </c>
      <c r="S160" s="43" t="n">
        <v>0.0500321312575726</v>
      </c>
      <c r="T160" s="44" t="s">
        <v>99</v>
      </c>
    </row>
    <row r="161" customFormat="false" ht="15" hidden="false" customHeight="false" outlineLevel="0" collapsed="false">
      <c r="A161" s="38" t="s">
        <v>156</v>
      </c>
      <c r="B161" s="38" t="s">
        <v>264</v>
      </c>
      <c r="C161" s="38" t="s">
        <v>264</v>
      </c>
      <c r="D161" s="21" t="n">
        <f aca="false">ROUND(Q161*R161,0)</f>
        <v>903</v>
      </c>
      <c r="E161" s="21" t="n">
        <f aca="false">ROUND(Q161,0)-D161</f>
        <v>1258</v>
      </c>
      <c r="F161" s="21" t="n">
        <f aca="false">IF(COUNTA(D161:E161)=0,"",SUM(D161:E161))</f>
        <v>2161</v>
      </c>
      <c r="G161" s="39" t="n">
        <f aca="false">IF(OR(F161="",F161=0),"",D161/F161)</f>
        <v>0.417862100879223</v>
      </c>
      <c r="H161" s="39" t="n">
        <f aca="false">IF(OR(F161="",F161=0),"",E161/F161)</f>
        <v>0.582137899120777</v>
      </c>
      <c r="I161" s="38" t="s">
        <v>89</v>
      </c>
      <c r="J161" s="40" t="n">
        <v>1.24911041755021</v>
      </c>
      <c r="K161" s="39" t="n">
        <f aca="false">IF(G161="","",MAX(0,G161-J161/100))</f>
        <v>0.40537099670372</v>
      </c>
      <c r="L161" s="39" t="n">
        <f aca="false">IF(G161="","",MIN(1,G161+J161/100))</f>
        <v>0.430353205054725</v>
      </c>
      <c r="M161" s="21" t="n">
        <f aca="false">ROUND(Q161*S161,0)</f>
        <v>281</v>
      </c>
      <c r="N161" s="21" t="n">
        <f aca="false">ROUND(SQRT((F161*J161/100)^2+(G161*M161)^2),0)</f>
        <v>120</v>
      </c>
      <c r="P161" s="41" t="n">
        <v>-10.8870384586808</v>
      </c>
      <c r="Q161" s="42" t="n">
        <v>2161</v>
      </c>
      <c r="R161" s="43" t="n">
        <f aca="false">MAX(0,MIN(1,P161/100+$D$5))</f>
        <v>0.417696818108066</v>
      </c>
      <c r="S161" s="43" t="n">
        <v>0.130204099606216</v>
      </c>
      <c r="T161" s="44" t="s">
        <v>192</v>
      </c>
    </row>
    <row r="162" customFormat="false" ht="15" hidden="false" customHeight="false" outlineLevel="0" collapsed="false">
      <c r="A162" s="38" t="s">
        <v>156</v>
      </c>
      <c r="B162" s="38" t="s">
        <v>265</v>
      </c>
      <c r="C162" s="38" t="s">
        <v>265</v>
      </c>
      <c r="D162" s="21" t="n">
        <f aca="false">ROUND(Q162*R162,0)</f>
        <v>486</v>
      </c>
      <c r="E162" s="21" t="n">
        <f aca="false">ROUND(Q162,0)-D162</f>
        <v>731</v>
      </c>
      <c r="F162" s="21" t="n">
        <f aca="false">IF(COUNTA(D162:E162)=0,"",SUM(D162:E162))</f>
        <v>1217</v>
      </c>
      <c r="G162" s="39" t="n">
        <f aca="false">IF(OR(F162="",F162=0),"",D162/F162)</f>
        <v>0.399342645850452</v>
      </c>
      <c r="H162" s="39" t="n">
        <f aca="false">IF(OR(F162="",F162=0),"",E162/F162)</f>
        <v>0.600657354149548</v>
      </c>
      <c r="I162" s="38" t="s">
        <v>89</v>
      </c>
      <c r="J162" s="40" t="n">
        <v>1.24911041755021</v>
      </c>
      <c r="K162" s="39" t="n">
        <f aca="false">IF(G162="","",MAX(0,G162-J162/100))</f>
        <v>0.38685154167495</v>
      </c>
      <c r="L162" s="39" t="n">
        <f aca="false">IF(G162="","",MIN(1,G162+J162/100))</f>
        <v>0.411833750025954</v>
      </c>
      <c r="M162" s="21" t="n">
        <f aca="false">ROUND(Q162*S162,0)</f>
        <v>158</v>
      </c>
      <c r="N162" s="21" t="n">
        <f aca="false">ROUND(SQRT((F162*J162/100)^2+(G162*M162)^2),0)</f>
        <v>65</v>
      </c>
      <c r="P162" s="41" t="n">
        <v>-12.7010558871415</v>
      </c>
      <c r="Q162" s="42" t="n">
        <v>1217</v>
      </c>
      <c r="R162" s="43" t="n">
        <f aca="false">MAX(0,MIN(1,P162/100+$D$5))</f>
        <v>0.399556643823459</v>
      </c>
      <c r="S162" s="43" t="n">
        <v>0.130204099606216</v>
      </c>
      <c r="T162" s="44" t="s">
        <v>192</v>
      </c>
    </row>
    <row r="163" customFormat="false" ht="15" hidden="false" customHeight="false" outlineLevel="0" collapsed="false">
      <c r="A163" s="38" t="s">
        <v>156</v>
      </c>
      <c r="B163" s="38" t="s">
        <v>266</v>
      </c>
      <c r="C163" s="38" t="s">
        <v>267</v>
      </c>
      <c r="D163" s="21" t="n">
        <f aca="false">ROUND(Q163*R163,0)</f>
        <v>170</v>
      </c>
      <c r="E163" s="21" t="n">
        <f aca="false">ROUND(Q163,0)-D163</f>
        <v>370</v>
      </c>
      <c r="F163" s="21" t="n">
        <f aca="false">IF(COUNTA(D163:E163)=0,"",SUM(D163:E163))</f>
        <v>540</v>
      </c>
      <c r="G163" s="39" t="n">
        <f aca="false">IF(OR(F163="",F163=0),"",D163/F163)</f>
        <v>0.314814814814815</v>
      </c>
      <c r="H163" s="39" t="n">
        <f aca="false">IF(OR(F163="",F163=0),"",E163/F163)</f>
        <v>0.685185185185185</v>
      </c>
      <c r="I163" s="38" t="s">
        <v>89</v>
      </c>
      <c r="J163" s="40" t="n">
        <v>3.02608556967268</v>
      </c>
      <c r="K163" s="39" t="n">
        <f aca="false">IF(G163="","",MAX(0,G163-J163/100))</f>
        <v>0.284553959118088</v>
      </c>
      <c r="L163" s="39" t="n">
        <f aca="false">IF(G163="","",MIN(1,G163+J163/100))</f>
        <v>0.345075670511542</v>
      </c>
      <c r="M163" s="21" t="n">
        <f aca="false">ROUND(Q163*S163,0)</f>
        <v>33</v>
      </c>
      <c r="N163" s="21" t="n">
        <f aca="false">ROUND(SQRT((F163*J163/100)^2+(G163*M163)^2),0)</f>
        <v>19</v>
      </c>
      <c r="P163" s="41" t="n">
        <v>-21.1422918424845</v>
      </c>
      <c r="Q163" s="42" t="n">
        <v>540</v>
      </c>
      <c r="R163" s="43" t="n">
        <f aca="false">MAX(0,MIN(1,P163/100+$D$5))</f>
        <v>0.315144284270029</v>
      </c>
      <c r="S163" s="43" t="n">
        <v>0.0610405690258335</v>
      </c>
      <c r="T163" s="44" t="s">
        <v>90</v>
      </c>
    </row>
    <row r="164" customFormat="false" ht="15" hidden="false" customHeight="false" outlineLevel="0" collapsed="false">
      <c r="A164" s="38" t="s">
        <v>156</v>
      </c>
      <c r="B164" s="38" t="s">
        <v>266</v>
      </c>
      <c r="C164" s="38" t="s">
        <v>268</v>
      </c>
      <c r="D164" s="21" t="n">
        <f aca="false">ROUND(Q164*R164,0)</f>
        <v>129</v>
      </c>
      <c r="E164" s="21" t="n">
        <f aca="false">ROUND(Q164,0)-D164</f>
        <v>231</v>
      </c>
      <c r="F164" s="21" t="n">
        <f aca="false">IF(COUNTA(D164:E164)=0,"",SUM(D164:E164))</f>
        <v>360</v>
      </c>
      <c r="G164" s="39" t="n">
        <f aca="false">IF(OR(F164="",F164=0),"",D164/F164)</f>
        <v>0.358333333333333</v>
      </c>
      <c r="H164" s="39" t="n">
        <f aca="false">IF(OR(F164="",F164=0),"",E164/F164)</f>
        <v>0.641666666666667</v>
      </c>
      <c r="I164" s="38" t="s">
        <v>89</v>
      </c>
      <c r="J164" s="40" t="n">
        <v>3.02608556967268</v>
      </c>
      <c r="K164" s="39" t="n">
        <f aca="false">IF(G164="","",MAX(0,G164-J164/100))</f>
        <v>0.328072477636607</v>
      </c>
      <c r="L164" s="39" t="n">
        <f aca="false">IF(G164="","",MIN(1,G164+J164/100))</f>
        <v>0.38859418903006</v>
      </c>
      <c r="M164" s="21" t="n">
        <f aca="false">ROUND(Q164*S164,0)</f>
        <v>22</v>
      </c>
      <c r="N164" s="21" t="n">
        <f aca="false">ROUND(SQRT((F164*J164/100)^2+(G164*M164)^2),0)</f>
        <v>13</v>
      </c>
      <c r="P164" s="41" t="n">
        <v>-16.8849599004067</v>
      </c>
      <c r="Q164" s="42" t="n">
        <v>360</v>
      </c>
      <c r="R164" s="43" t="n">
        <f aca="false">MAX(0,MIN(1,P164/100+$D$5))</f>
        <v>0.357717603690807</v>
      </c>
      <c r="S164" s="43" t="n">
        <v>0.0610405690258335</v>
      </c>
      <c r="T164" s="44" t="s">
        <v>90</v>
      </c>
    </row>
    <row r="165" customFormat="false" ht="15" hidden="false" customHeight="false" outlineLevel="0" collapsed="false">
      <c r="A165" s="38" t="s">
        <v>156</v>
      </c>
      <c r="B165" s="38" t="s">
        <v>266</v>
      </c>
      <c r="C165" s="38" t="s">
        <v>269</v>
      </c>
      <c r="D165" s="21" t="n">
        <f aca="false">ROUND(Q165*R165,0)</f>
        <v>467</v>
      </c>
      <c r="E165" s="21" t="n">
        <f aca="false">ROUND(Q165,0)-D165</f>
        <v>786</v>
      </c>
      <c r="F165" s="21" t="n">
        <f aca="false">IF(COUNTA(D165:E165)=0,"",SUM(D165:E165))</f>
        <v>1253</v>
      </c>
      <c r="G165" s="39" t="n">
        <f aca="false">IF(OR(F165="",F165=0),"",D165/F165)</f>
        <v>0.372705506783719</v>
      </c>
      <c r="H165" s="39" t="n">
        <f aca="false">IF(OR(F165="",F165=0),"",E165/F165)</f>
        <v>0.627294493216281</v>
      </c>
      <c r="I165" s="38" t="s">
        <v>89</v>
      </c>
      <c r="J165" s="40" t="n">
        <v>1.24911041755021</v>
      </c>
      <c r="K165" s="39" t="n">
        <f aca="false">IF(G165="","",MAX(0,G165-J165/100))</f>
        <v>0.360214402608217</v>
      </c>
      <c r="L165" s="39" t="n">
        <f aca="false">IF(G165="","",MIN(1,G165+J165/100))</f>
        <v>0.385196610959221</v>
      </c>
      <c r="M165" s="21" t="n">
        <f aca="false">ROUND(Q165*S165,0)</f>
        <v>163</v>
      </c>
      <c r="N165" s="21" t="n">
        <f aca="false">ROUND(SQRT((F165*J165/100)^2+(G165*M165)^2),0)</f>
        <v>63</v>
      </c>
      <c r="P165" s="41" t="n">
        <v>-15.3804159808402</v>
      </c>
      <c r="Q165" s="42" t="n">
        <v>1253</v>
      </c>
      <c r="R165" s="43" t="n">
        <f aca="false">MAX(0,MIN(1,P165/100+$D$5))</f>
        <v>0.372763042886472</v>
      </c>
      <c r="S165" s="43" t="n">
        <v>0.130204099606216</v>
      </c>
      <c r="T165" s="44" t="s">
        <v>192</v>
      </c>
    </row>
    <row r="166" customFormat="false" ht="15" hidden="false" customHeight="false" outlineLevel="0" collapsed="false">
      <c r="A166" s="38" t="s">
        <v>156</v>
      </c>
      <c r="B166" s="38" t="s">
        <v>270</v>
      </c>
      <c r="C166" s="38" t="s">
        <v>270</v>
      </c>
      <c r="D166" s="21" t="n">
        <f aca="false">ROUND(Q166*R166,0)</f>
        <v>795</v>
      </c>
      <c r="E166" s="21" t="n">
        <f aca="false">ROUND(Q166,0)-D166</f>
        <v>621</v>
      </c>
      <c r="F166" s="21" t="n">
        <f aca="false">IF(COUNTA(D166:E166)=0,"",SUM(D166:E166))</f>
        <v>1416</v>
      </c>
      <c r="G166" s="39" t="n">
        <f aca="false">IF(OR(F166="",F166=0),"",D166/F166)</f>
        <v>0.561440677966102</v>
      </c>
      <c r="H166" s="39" t="n">
        <f aca="false">IF(OR(F166="",F166=0),"",E166/F166)</f>
        <v>0.438559322033898</v>
      </c>
      <c r="I166" s="38" t="s">
        <v>89</v>
      </c>
      <c r="J166" s="40" t="n">
        <v>1.24911041755021</v>
      </c>
      <c r="K166" s="39" t="n">
        <f aca="false">IF(G166="","",MAX(0,G166-J166/100))</f>
        <v>0.5489495737906</v>
      </c>
      <c r="L166" s="39" t="n">
        <f aca="false">IF(G166="","",MIN(1,G166+J166/100))</f>
        <v>0.573931782141604</v>
      </c>
      <c r="M166" s="21" t="n">
        <f aca="false">ROUND(Q166*S166,0)</f>
        <v>184</v>
      </c>
      <c r="N166" s="21" t="n">
        <f aca="false">ROUND(SQRT((F166*J166/100)^2+(G166*M166)^2),0)</f>
        <v>105</v>
      </c>
      <c r="P166" s="41" t="n">
        <v>3.50931506985428</v>
      </c>
      <c r="Q166" s="42" t="n">
        <v>1416</v>
      </c>
      <c r="R166" s="43" t="n">
        <f aca="false">MAX(0,MIN(1,P166/100+$D$5))</f>
        <v>0.561660353393417</v>
      </c>
      <c r="S166" s="43" t="n">
        <v>0.130204099606216</v>
      </c>
      <c r="T166" s="44" t="s">
        <v>192</v>
      </c>
    </row>
    <row r="167" customFormat="false" ht="15" hidden="false" customHeight="false" outlineLevel="0" collapsed="false">
      <c r="A167" s="38" t="s">
        <v>156</v>
      </c>
      <c r="B167" s="38" t="s">
        <v>271</v>
      </c>
      <c r="C167" s="38" t="s">
        <v>272</v>
      </c>
      <c r="D167" s="21" t="n">
        <f aca="false">ROUND(Q167*R167,0)</f>
        <v>883</v>
      </c>
      <c r="E167" s="21" t="n">
        <f aca="false">ROUND(Q167,0)-D167</f>
        <v>990</v>
      </c>
      <c r="F167" s="21" t="n">
        <f aca="false">IF(COUNTA(D167:E167)=0,"",SUM(D167:E167))</f>
        <v>1873</v>
      </c>
      <c r="G167" s="39" t="n">
        <f aca="false">IF(OR(F167="",F167=0),"",D167/F167)</f>
        <v>0.471436198611853</v>
      </c>
      <c r="H167" s="39" t="n">
        <f aca="false">IF(OR(F167="",F167=0),"",E167/F167)</f>
        <v>0.528563801388147</v>
      </c>
      <c r="I167" s="38" t="s">
        <v>89</v>
      </c>
      <c r="J167" s="40" t="n">
        <v>1.24911041755021</v>
      </c>
      <c r="K167" s="39" t="n">
        <f aca="false">IF(G167="","",MAX(0,G167-J167/100))</f>
        <v>0.458945094436351</v>
      </c>
      <c r="L167" s="39" t="n">
        <f aca="false">IF(G167="","",MIN(1,G167+J167/100))</f>
        <v>0.483927302787355</v>
      </c>
      <c r="M167" s="21" t="n">
        <f aca="false">ROUND(Q167*S167,0)</f>
        <v>244</v>
      </c>
      <c r="N167" s="21" t="n">
        <f aca="false">ROUND(SQRT((F167*J167/100)^2+(G167*M167)^2),0)</f>
        <v>117</v>
      </c>
      <c r="P167" s="41" t="n">
        <v>-5.50066957276453</v>
      </c>
      <c r="Q167" s="42" t="n">
        <v>1873</v>
      </c>
      <c r="R167" s="43" t="n">
        <f aca="false">MAX(0,MIN(1,P167/100+$D$5))</f>
        <v>0.471560506967229</v>
      </c>
      <c r="S167" s="43" t="n">
        <v>0.130204099606216</v>
      </c>
      <c r="T167" s="44" t="s">
        <v>192</v>
      </c>
    </row>
    <row r="168" customFormat="false" ht="15" hidden="false" customHeight="false" outlineLevel="0" collapsed="false">
      <c r="A168" s="38" t="s">
        <v>156</v>
      </c>
      <c r="B168" s="38" t="s">
        <v>271</v>
      </c>
      <c r="C168" s="38" t="s">
        <v>273</v>
      </c>
      <c r="D168" s="21" t="n">
        <f aca="false">ROUND(Q168*R168,0)</f>
        <v>726</v>
      </c>
      <c r="E168" s="21" t="n">
        <f aca="false">ROUND(Q168,0)-D168</f>
        <v>941</v>
      </c>
      <c r="F168" s="21" t="n">
        <f aca="false">IF(COUNTA(D168:E168)=0,"",SUM(D168:E168))</f>
        <v>1667</v>
      </c>
      <c r="G168" s="39" t="n">
        <f aca="false">IF(OR(F168="",F168=0),"",D168/F168)</f>
        <v>0.435512897420516</v>
      </c>
      <c r="H168" s="39" t="n">
        <f aca="false">IF(OR(F168="",F168=0),"",E168/F168)</f>
        <v>0.564487102579484</v>
      </c>
      <c r="I168" s="38" t="s">
        <v>89</v>
      </c>
      <c r="J168" s="40" t="n">
        <v>1.24911041755021</v>
      </c>
      <c r="K168" s="39" t="n">
        <f aca="false">IF(G168="","",MAX(0,G168-J168/100))</f>
        <v>0.423021793245014</v>
      </c>
      <c r="L168" s="39" t="n">
        <f aca="false">IF(G168="","",MIN(1,G168+J168/100))</f>
        <v>0.448004001596018</v>
      </c>
      <c r="M168" s="21" t="n">
        <f aca="false">ROUND(Q168*S168,0)</f>
        <v>217</v>
      </c>
      <c r="N168" s="21" t="n">
        <f aca="false">ROUND(SQRT((F168*J168/100)^2+(G168*M168)^2),0)</f>
        <v>97</v>
      </c>
      <c r="P168" s="41" t="n">
        <v>-9.12143270447581</v>
      </c>
      <c r="Q168" s="42" t="n">
        <v>1667</v>
      </c>
      <c r="R168" s="43" t="n">
        <f aca="false">MAX(0,MIN(1,P168/100+$D$5))</f>
        <v>0.435352875650116</v>
      </c>
      <c r="S168" s="43" t="n">
        <v>0.130204099606216</v>
      </c>
      <c r="T168" s="44" t="s">
        <v>192</v>
      </c>
    </row>
    <row r="169" customFormat="false" ht="15" hidden="false" customHeight="false" outlineLevel="0" collapsed="false">
      <c r="A169" s="38" t="s">
        <v>156</v>
      </c>
      <c r="B169" s="38" t="s">
        <v>271</v>
      </c>
      <c r="C169" s="38" t="s">
        <v>274</v>
      </c>
      <c r="D169" s="21" t="n">
        <f aca="false">ROUND(Q169*R169,0)</f>
        <v>385</v>
      </c>
      <c r="E169" s="21" t="n">
        <f aca="false">ROUND(Q169,0)-D169</f>
        <v>504</v>
      </c>
      <c r="F169" s="21" t="n">
        <f aca="false">IF(COUNTA(D169:E169)=0,"",SUM(D169:E169))</f>
        <v>889</v>
      </c>
      <c r="G169" s="39" t="n">
        <f aca="false">IF(OR(F169="",F169=0),"",D169/F169)</f>
        <v>0.433070866141732</v>
      </c>
      <c r="H169" s="39" t="n">
        <f aca="false">IF(OR(F169="",F169=0),"",E169/F169)</f>
        <v>0.566929133858268</v>
      </c>
      <c r="I169" s="38" t="s">
        <v>89</v>
      </c>
      <c r="J169" s="40" t="n">
        <v>1.8085538155628</v>
      </c>
      <c r="K169" s="39" t="n">
        <f aca="false">IF(G169="","",MAX(0,G169-J169/100))</f>
        <v>0.414985327986104</v>
      </c>
      <c r="L169" s="39" t="n">
        <f aca="false">IF(G169="","",MIN(1,G169+J169/100))</f>
        <v>0.45115640429736</v>
      </c>
      <c r="M169" s="21" t="n">
        <f aca="false">ROUND(Q169*S169,0)</f>
        <v>44</v>
      </c>
      <c r="N169" s="21" t="n">
        <f aca="false">ROUND(SQRT((F169*J169/100)^2+(G169*M169)^2),0)</f>
        <v>25</v>
      </c>
      <c r="P169" s="41" t="n">
        <v>-9.34197326930811</v>
      </c>
      <c r="Q169" s="42" t="n">
        <v>889</v>
      </c>
      <c r="R169" s="43" t="n">
        <f aca="false">MAX(0,MIN(1,P169/100+$D$5))</f>
        <v>0.433147470001793</v>
      </c>
      <c r="S169" s="43" t="n">
        <v>0.0500321312575726</v>
      </c>
      <c r="T169" s="44" t="s">
        <v>99</v>
      </c>
    </row>
    <row r="170" customFormat="false" ht="15" hidden="false" customHeight="false" outlineLevel="0" collapsed="false">
      <c r="A170" s="38" t="s">
        <v>156</v>
      </c>
      <c r="B170" s="38" t="s">
        <v>271</v>
      </c>
      <c r="C170" s="38" t="s">
        <v>275</v>
      </c>
      <c r="D170" s="21" t="n">
        <f aca="false">ROUND(Q170*R170,0)</f>
        <v>568</v>
      </c>
      <c r="E170" s="21" t="n">
        <f aca="false">ROUND(Q170,0)-D170</f>
        <v>711</v>
      </c>
      <c r="F170" s="21" t="n">
        <f aca="false">IF(COUNTA(D170:E170)=0,"",SUM(D170:E170))</f>
        <v>1279</v>
      </c>
      <c r="G170" s="39" t="n">
        <f aca="false">IF(OR(F170="",F170=0),"",D170/F170)</f>
        <v>0.444096950742768</v>
      </c>
      <c r="H170" s="39" t="n">
        <f aca="false">IF(OR(F170="",F170=0),"",E170/F170)</f>
        <v>0.555903049257232</v>
      </c>
      <c r="I170" s="38" t="s">
        <v>89</v>
      </c>
      <c r="J170" s="40" t="n">
        <v>1.24911041755021</v>
      </c>
      <c r="K170" s="39" t="n">
        <f aca="false">IF(G170="","",MAX(0,G170-J170/100))</f>
        <v>0.431605846567266</v>
      </c>
      <c r="L170" s="39" t="n">
        <f aca="false">IF(G170="","",MIN(1,G170+J170/100))</f>
        <v>0.45658805491827</v>
      </c>
      <c r="M170" s="21" t="n">
        <f aca="false">ROUND(Q170*S170,0)</f>
        <v>167</v>
      </c>
      <c r="N170" s="21" t="n">
        <f aca="false">ROUND(SQRT((F170*J170/100)^2+(G170*M170)^2),0)</f>
        <v>76</v>
      </c>
      <c r="P170" s="41" t="n">
        <v>-8.21412048713044</v>
      </c>
      <c r="Q170" s="42" t="n">
        <v>1279</v>
      </c>
      <c r="R170" s="43" t="n">
        <f aca="false">MAX(0,MIN(1,P170/100+$D$5))</f>
        <v>0.44442599782357</v>
      </c>
      <c r="S170" s="43" t="n">
        <v>0.130204099606216</v>
      </c>
      <c r="T170" s="44" t="s">
        <v>192</v>
      </c>
    </row>
    <row r="171" customFormat="false" ht="15" hidden="false" customHeight="false" outlineLevel="0" collapsed="false">
      <c r="A171" s="38" t="s">
        <v>156</v>
      </c>
      <c r="B171" s="38" t="s">
        <v>271</v>
      </c>
      <c r="C171" s="38" t="s">
        <v>276</v>
      </c>
      <c r="D171" s="21" t="n">
        <f aca="false">ROUND(Q171*R171,0)</f>
        <v>499</v>
      </c>
      <c r="E171" s="21" t="n">
        <f aca="false">ROUND(Q171,0)-D171</f>
        <v>679</v>
      </c>
      <c r="F171" s="21" t="n">
        <f aca="false">IF(COUNTA(D171:E171)=0,"",SUM(D171:E171))</f>
        <v>1178</v>
      </c>
      <c r="G171" s="39" t="n">
        <f aca="false">IF(OR(F171="",F171=0),"",D171/F171)</f>
        <v>0.423599320882852</v>
      </c>
      <c r="H171" s="39" t="n">
        <f aca="false">IF(OR(F171="",F171=0),"",E171/F171)</f>
        <v>0.576400679117148</v>
      </c>
      <c r="I171" s="38" t="s">
        <v>89</v>
      </c>
      <c r="J171" s="40" t="n">
        <v>1.8085538155628</v>
      </c>
      <c r="K171" s="39" t="n">
        <f aca="false">IF(G171="","",MAX(0,G171-J171/100))</f>
        <v>0.405513782727224</v>
      </c>
      <c r="L171" s="39" t="n">
        <f aca="false">IF(G171="","",MIN(1,G171+J171/100))</f>
        <v>0.44168485903848</v>
      </c>
      <c r="M171" s="21" t="n">
        <f aca="false">ROUND(Q171*S171,0)</f>
        <v>59</v>
      </c>
      <c r="N171" s="21" t="n">
        <f aca="false">ROUND(SQRT((F171*J171/100)^2+(G171*M171)^2),0)</f>
        <v>33</v>
      </c>
      <c r="P171" s="41" t="n">
        <v>-10.2799964948579</v>
      </c>
      <c r="Q171" s="42" t="n">
        <v>1178</v>
      </c>
      <c r="R171" s="43" t="n">
        <f aca="false">MAX(0,MIN(1,P171/100+$D$5))</f>
        <v>0.423767237746295</v>
      </c>
      <c r="S171" s="43" t="n">
        <v>0.0500321312575726</v>
      </c>
      <c r="T171" s="44" t="s">
        <v>99</v>
      </c>
    </row>
    <row r="172" customFormat="false" ht="15" hidden="false" customHeight="false" outlineLevel="0" collapsed="false">
      <c r="A172" s="38" t="s">
        <v>156</v>
      </c>
      <c r="B172" s="38" t="s">
        <v>271</v>
      </c>
      <c r="C172" s="38" t="s">
        <v>277</v>
      </c>
      <c r="D172" s="21" t="n">
        <f aca="false">ROUND(Q172*R172,0)</f>
        <v>393</v>
      </c>
      <c r="E172" s="21" t="n">
        <f aca="false">ROUND(Q172,0)-D172</f>
        <v>438</v>
      </c>
      <c r="F172" s="21" t="n">
        <f aca="false">IF(COUNTA(D172:E172)=0,"",SUM(D172:E172))</f>
        <v>831</v>
      </c>
      <c r="G172" s="39" t="n">
        <f aca="false">IF(OR(F172="",F172=0),"",D172/F172)</f>
        <v>0.472924187725632</v>
      </c>
      <c r="H172" s="39" t="n">
        <f aca="false">IF(OR(F172="",F172=0),"",E172/F172)</f>
        <v>0.527075812274368</v>
      </c>
      <c r="I172" s="38" t="s">
        <v>89</v>
      </c>
      <c r="J172" s="40" t="n">
        <v>1.8085538155628</v>
      </c>
      <c r="K172" s="39" t="n">
        <f aca="false">IF(G172="","",MAX(0,G172-J172/100))</f>
        <v>0.454838649570004</v>
      </c>
      <c r="L172" s="39" t="n">
        <f aca="false">IF(G172="","",MIN(1,G172+J172/100))</f>
        <v>0.49100972588126</v>
      </c>
      <c r="M172" s="21" t="n">
        <f aca="false">ROUND(Q172*S172,0)</f>
        <v>42</v>
      </c>
      <c r="N172" s="21" t="n">
        <f aca="false">ROUND(SQRT((F172*J172/100)^2+(G172*M172)^2),0)</f>
        <v>25</v>
      </c>
      <c r="P172" s="41" t="n">
        <v>-5.40114480019744</v>
      </c>
      <c r="Q172" s="42" t="n">
        <v>831</v>
      </c>
      <c r="R172" s="43" t="n">
        <f aca="false">MAX(0,MIN(1,P172/100+$D$5))</f>
        <v>0.4725557546929</v>
      </c>
      <c r="S172" s="43" t="n">
        <v>0.0500321312575726</v>
      </c>
      <c r="T172" s="44" t="s">
        <v>99</v>
      </c>
    </row>
    <row r="173" customFormat="false" ht="15" hidden="false" customHeight="false" outlineLevel="0" collapsed="false">
      <c r="A173" s="38" t="s">
        <v>156</v>
      </c>
      <c r="B173" s="38" t="s">
        <v>278</v>
      </c>
      <c r="C173" s="38" t="s">
        <v>279</v>
      </c>
      <c r="D173" s="21" t="n">
        <f aca="false">ROUND(Q173*R173,0)</f>
        <v>544</v>
      </c>
      <c r="E173" s="21" t="n">
        <f aca="false">ROUND(Q173,0)-D173</f>
        <v>461</v>
      </c>
      <c r="F173" s="21" t="n">
        <f aca="false">IF(COUNTA(D173:E173)=0,"",SUM(D173:E173))</f>
        <v>1005</v>
      </c>
      <c r="G173" s="39" t="n">
        <f aca="false">IF(OR(F173="",F173=0),"",D173/F173)</f>
        <v>0.541293532338309</v>
      </c>
      <c r="H173" s="39" t="n">
        <f aca="false">IF(OR(F173="",F173=0),"",E173/F173)</f>
        <v>0.458706467661692</v>
      </c>
      <c r="I173" s="38" t="s">
        <v>89</v>
      </c>
      <c r="J173" s="40" t="n">
        <v>1.8085538155628</v>
      </c>
      <c r="K173" s="39" t="n">
        <f aca="false">IF(G173="","",MAX(0,G173-J173/100))</f>
        <v>0.523207994182681</v>
      </c>
      <c r="L173" s="39" t="n">
        <f aca="false">IF(G173="","",MIN(1,G173+J173/100))</f>
        <v>0.559379070493936</v>
      </c>
      <c r="M173" s="21" t="n">
        <f aca="false">ROUND(Q173*S173,0)</f>
        <v>50</v>
      </c>
      <c r="N173" s="21" t="n">
        <f aca="false">ROUND(SQRT((F173*J173/100)^2+(G173*M173)^2),0)</f>
        <v>33</v>
      </c>
      <c r="P173" s="41" t="n">
        <v>1.42398484347167</v>
      </c>
      <c r="Q173" s="42" t="n">
        <v>1005</v>
      </c>
      <c r="R173" s="43" t="n">
        <f aca="false">MAX(0,MIN(1,P173/100+$D$5))</f>
        <v>0.540807051129591</v>
      </c>
      <c r="S173" s="43" t="n">
        <v>0.0500321312575726</v>
      </c>
      <c r="T173" s="44" t="s">
        <v>99</v>
      </c>
    </row>
    <row r="174" customFormat="false" ht="15" hidden="false" customHeight="false" outlineLevel="0" collapsed="false">
      <c r="A174" s="38" t="s">
        <v>156</v>
      </c>
      <c r="B174" s="38" t="s">
        <v>278</v>
      </c>
      <c r="C174" s="38" t="s">
        <v>280</v>
      </c>
      <c r="D174" s="21" t="n">
        <f aca="false">ROUND(Q174*R174,0)</f>
        <v>647</v>
      </c>
      <c r="E174" s="21" t="n">
        <f aca="false">ROUND(Q174,0)-D174</f>
        <v>532</v>
      </c>
      <c r="F174" s="21" t="n">
        <f aca="false">IF(COUNTA(D174:E174)=0,"",SUM(D174:E174))</f>
        <v>1179</v>
      </c>
      <c r="G174" s="39" t="n">
        <f aca="false">IF(OR(F174="",F174=0),"",D174/F174)</f>
        <v>0.548770144189992</v>
      </c>
      <c r="H174" s="39" t="n">
        <f aca="false">IF(OR(F174="",F174=0),"",E174/F174)</f>
        <v>0.451229855810008</v>
      </c>
      <c r="I174" s="38" t="s">
        <v>89</v>
      </c>
      <c r="J174" s="40" t="n">
        <v>1.8085538155628</v>
      </c>
      <c r="K174" s="39" t="n">
        <f aca="false">IF(G174="","",MAX(0,G174-J174/100))</f>
        <v>0.530684606034364</v>
      </c>
      <c r="L174" s="39" t="n">
        <f aca="false">IF(G174="","",MIN(1,G174+J174/100))</f>
        <v>0.566855682345619</v>
      </c>
      <c r="M174" s="21" t="n">
        <f aca="false">ROUND(Q174*S174,0)</f>
        <v>59</v>
      </c>
      <c r="N174" s="21" t="n">
        <f aca="false">ROUND(SQRT((F174*J174/100)^2+(G174*M174)^2),0)</f>
        <v>39</v>
      </c>
      <c r="P174" s="41" t="n">
        <v>2.19947870005743</v>
      </c>
      <c r="Q174" s="42" t="n">
        <v>1179</v>
      </c>
      <c r="R174" s="43" t="n">
        <f aca="false">MAX(0,MIN(1,P174/100+$D$5))</f>
        <v>0.548561989695449</v>
      </c>
      <c r="S174" s="43" t="n">
        <v>0.0500321312575726</v>
      </c>
      <c r="T174" s="44" t="s">
        <v>99</v>
      </c>
    </row>
    <row r="175" customFormat="false" ht="15" hidden="false" customHeight="false" outlineLevel="0" collapsed="false">
      <c r="A175" s="38" t="s">
        <v>156</v>
      </c>
      <c r="B175" s="38" t="s">
        <v>278</v>
      </c>
      <c r="C175" s="38" t="s">
        <v>281</v>
      </c>
      <c r="D175" s="21" t="n">
        <f aca="false">ROUND(Q175*R175,0)</f>
        <v>302</v>
      </c>
      <c r="E175" s="21" t="n">
        <f aca="false">ROUND(Q175,0)-D175</f>
        <v>258</v>
      </c>
      <c r="F175" s="21" t="n">
        <f aca="false">IF(COUNTA(D175:E175)=0,"",SUM(D175:E175))</f>
        <v>560</v>
      </c>
      <c r="G175" s="39" t="n">
        <f aca="false">IF(OR(F175="",F175=0),"",D175/F175)</f>
        <v>0.539285714285714</v>
      </c>
      <c r="H175" s="39" t="n">
        <f aca="false">IF(OR(F175="",F175=0),"",E175/F175)</f>
        <v>0.460714285714286</v>
      </c>
      <c r="I175" s="38" t="s">
        <v>89</v>
      </c>
      <c r="J175" s="40" t="n">
        <v>3.02608556967268</v>
      </c>
      <c r="K175" s="39" t="n">
        <f aca="false">IF(G175="","",MAX(0,G175-J175/100))</f>
        <v>0.509024858588987</v>
      </c>
      <c r="L175" s="39" t="n">
        <f aca="false">IF(G175="","",MIN(1,G175+J175/100))</f>
        <v>0.569546569982441</v>
      </c>
      <c r="M175" s="21" t="n">
        <f aca="false">ROUND(Q175*S175,0)</f>
        <v>34</v>
      </c>
      <c r="N175" s="21" t="n">
        <f aca="false">ROUND(SQRT((F175*J175/100)^2+(G175*M175)^2),0)</f>
        <v>25</v>
      </c>
      <c r="P175" s="41" t="n">
        <v>1.32553950834013</v>
      </c>
      <c r="Q175" s="42" t="n">
        <v>560</v>
      </c>
      <c r="R175" s="43" t="n">
        <f aca="false">MAX(0,MIN(1,P175/100+$D$5))</f>
        <v>0.539822597778276</v>
      </c>
      <c r="S175" s="43" t="n">
        <v>0.0610405690258335</v>
      </c>
      <c r="T175" s="44" t="s">
        <v>90</v>
      </c>
    </row>
    <row r="176" customFormat="false" ht="15" hidden="false" customHeight="false" outlineLevel="0" collapsed="false">
      <c r="A176" s="38" t="s">
        <v>156</v>
      </c>
      <c r="B176" s="38" t="s">
        <v>278</v>
      </c>
      <c r="C176" s="38" t="s">
        <v>282</v>
      </c>
      <c r="D176" s="21" t="n">
        <f aca="false">ROUND(Q176*R176,0)</f>
        <v>344</v>
      </c>
      <c r="E176" s="21" t="n">
        <f aca="false">ROUND(Q176,0)-D176</f>
        <v>284</v>
      </c>
      <c r="F176" s="21" t="n">
        <f aca="false">IF(COUNTA(D176:E176)=0,"",SUM(D176:E176))</f>
        <v>628</v>
      </c>
      <c r="G176" s="39" t="n">
        <f aca="false">IF(OR(F176="",F176=0),"",D176/F176)</f>
        <v>0.547770700636943</v>
      </c>
      <c r="H176" s="39" t="n">
        <f aca="false">IF(OR(F176="",F176=0),"",E176/F176)</f>
        <v>0.452229299363057</v>
      </c>
      <c r="I176" s="38" t="s">
        <v>89</v>
      </c>
      <c r="J176" s="40" t="n">
        <v>3.02608556967268</v>
      </c>
      <c r="K176" s="39" t="n">
        <f aca="false">IF(G176="","",MAX(0,G176-J176/100))</f>
        <v>0.517509844940216</v>
      </c>
      <c r="L176" s="39" t="n">
        <f aca="false">IF(G176="","",MIN(1,G176+J176/100))</f>
        <v>0.57803155633367</v>
      </c>
      <c r="M176" s="21" t="n">
        <f aca="false">ROUND(Q176*S176,0)</f>
        <v>38</v>
      </c>
      <c r="N176" s="21" t="n">
        <f aca="false">ROUND(SQRT((F176*J176/100)^2+(G176*M176)^2),0)</f>
        <v>28</v>
      </c>
      <c r="P176" s="41" t="n">
        <v>2.16914676293149</v>
      </c>
      <c r="Q176" s="42" t="n">
        <v>628</v>
      </c>
      <c r="R176" s="43" t="n">
        <f aca="false">MAX(0,MIN(1,P176/100+$D$5))</f>
        <v>0.548258670324189</v>
      </c>
      <c r="S176" s="43" t="n">
        <v>0.0610405690258335</v>
      </c>
      <c r="T176" s="44" t="s">
        <v>90</v>
      </c>
    </row>
    <row r="177" customFormat="false" ht="15" hidden="false" customHeight="false" outlineLevel="0" collapsed="false">
      <c r="A177" s="38" t="s">
        <v>156</v>
      </c>
      <c r="B177" s="38" t="s">
        <v>278</v>
      </c>
      <c r="C177" s="38" t="s">
        <v>283</v>
      </c>
      <c r="D177" s="21" t="n">
        <f aca="false">ROUND(Q177*R177,0)</f>
        <v>459</v>
      </c>
      <c r="E177" s="21" t="n">
        <f aca="false">ROUND(Q177,0)-D177</f>
        <v>404</v>
      </c>
      <c r="F177" s="21" t="n">
        <f aca="false">IF(COUNTA(D177:E177)=0,"",SUM(D177:E177))</f>
        <v>863</v>
      </c>
      <c r="G177" s="39" t="n">
        <f aca="false">IF(OR(F177="",F177=0),"",D177/F177)</f>
        <v>0.531865585168019</v>
      </c>
      <c r="H177" s="39" t="n">
        <f aca="false">IF(OR(F177="",F177=0),"",E177/F177)</f>
        <v>0.468134414831982</v>
      </c>
      <c r="I177" s="38" t="s">
        <v>89</v>
      </c>
      <c r="J177" s="40" t="n">
        <v>1.8085538155628</v>
      </c>
      <c r="K177" s="39" t="n">
        <f aca="false">IF(G177="","",MAX(0,G177-J177/100))</f>
        <v>0.513780047012391</v>
      </c>
      <c r="L177" s="39" t="n">
        <f aca="false">IF(G177="","",MIN(1,G177+J177/100))</f>
        <v>0.549951123323647</v>
      </c>
      <c r="M177" s="21" t="n">
        <f aca="false">ROUND(Q177*S177,0)</f>
        <v>43</v>
      </c>
      <c r="N177" s="21" t="n">
        <f aca="false">ROUND(SQRT((F177*J177/100)^2+(G177*M177)^2),0)</f>
        <v>28</v>
      </c>
      <c r="P177" s="41" t="n">
        <v>0.473681497027077</v>
      </c>
      <c r="Q177" s="42" t="n">
        <v>863</v>
      </c>
      <c r="R177" s="43" t="n">
        <f aca="false">MAX(0,MIN(1,P177/100+$D$5))</f>
        <v>0.531304017665145</v>
      </c>
      <c r="S177" s="43" t="n">
        <v>0.0500321312575726</v>
      </c>
      <c r="T177" s="44" t="s">
        <v>99</v>
      </c>
    </row>
    <row r="178" customFormat="false" ht="15" hidden="false" customHeight="false" outlineLevel="0" collapsed="false">
      <c r="A178" s="38" t="s">
        <v>156</v>
      </c>
      <c r="B178" s="38" t="s">
        <v>278</v>
      </c>
      <c r="C178" s="38" t="s">
        <v>284</v>
      </c>
      <c r="D178" s="21" t="n">
        <f aca="false">ROUND(Q178*R178,0)</f>
        <v>293</v>
      </c>
      <c r="E178" s="21" t="n">
        <f aca="false">ROUND(Q178,0)-D178</f>
        <v>266</v>
      </c>
      <c r="F178" s="21" t="n">
        <f aca="false">IF(COUNTA(D178:E178)=0,"",SUM(D178:E178))</f>
        <v>559</v>
      </c>
      <c r="G178" s="39" t="n">
        <f aca="false">IF(OR(F178="",F178=0),"",D178/F178)</f>
        <v>0.524150268336315</v>
      </c>
      <c r="H178" s="39" t="n">
        <f aca="false">IF(OR(F178="",F178=0),"",E178/F178)</f>
        <v>0.475849731663685</v>
      </c>
      <c r="I178" s="38" t="s">
        <v>89</v>
      </c>
      <c r="J178" s="40" t="n">
        <v>3.02608556967268</v>
      </c>
      <c r="K178" s="39" t="n">
        <f aca="false">IF(G178="","",MAX(0,G178-J178/100))</f>
        <v>0.493889412639588</v>
      </c>
      <c r="L178" s="39" t="n">
        <f aca="false">IF(G178="","",MIN(1,G178+J178/100))</f>
        <v>0.554411124033042</v>
      </c>
      <c r="M178" s="21" t="n">
        <f aca="false">ROUND(Q178*S178,0)</f>
        <v>34</v>
      </c>
      <c r="N178" s="21" t="n">
        <f aca="false">ROUND(SQRT((F178*J178/100)^2+(G178*M178)^2),0)</f>
        <v>25</v>
      </c>
      <c r="P178" s="41" t="n">
        <v>-0.264012358444175</v>
      </c>
      <c r="Q178" s="42" t="n">
        <v>559</v>
      </c>
      <c r="R178" s="43" t="n">
        <f aca="false">MAX(0,MIN(1,P178/100+$D$5))</f>
        <v>0.523927079110433</v>
      </c>
      <c r="S178" s="43" t="n">
        <v>0.0610405690258335</v>
      </c>
      <c r="T178" s="44" t="s">
        <v>90</v>
      </c>
    </row>
    <row r="179" customFormat="false" ht="15" hidden="false" customHeight="false" outlineLevel="0" collapsed="false">
      <c r="A179" s="38" t="s">
        <v>156</v>
      </c>
      <c r="B179" s="38" t="s">
        <v>278</v>
      </c>
      <c r="C179" s="38" t="s">
        <v>285</v>
      </c>
      <c r="D179" s="21" t="n">
        <f aca="false">ROUND(Q179*R179,0)</f>
        <v>364</v>
      </c>
      <c r="E179" s="21" t="n">
        <f aca="false">ROUND(Q179,0)-D179</f>
        <v>283</v>
      </c>
      <c r="F179" s="21" t="n">
        <f aca="false">IF(COUNTA(D179:E179)=0,"",SUM(D179:E179))</f>
        <v>647</v>
      </c>
      <c r="G179" s="39" t="n">
        <f aca="false">IF(OR(F179="",F179=0),"",D179/F179)</f>
        <v>0.562596599690881</v>
      </c>
      <c r="H179" s="39" t="n">
        <f aca="false">IF(OR(F179="",F179=0),"",E179/F179)</f>
        <v>0.437403400309119</v>
      </c>
      <c r="I179" s="38" t="s">
        <v>89</v>
      </c>
      <c r="J179" s="40" t="n">
        <v>3.02608556967268</v>
      </c>
      <c r="K179" s="39" t="n">
        <f aca="false">IF(G179="","",MAX(0,G179-J179/100))</f>
        <v>0.532335743994154</v>
      </c>
      <c r="L179" s="39" t="n">
        <f aca="false">IF(G179="","",MIN(1,G179+J179/100))</f>
        <v>0.592857455387608</v>
      </c>
      <c r="M179" s="21" t="n">
        <f aca="false">ROUND(Q179*S179,0)</f>
        <v>39</v>
      </c>
      <c r="N179" s="21" t="n">
        <f aca="false">ROUND(SQRT((F179*J179/100)^2+(G179*M179)^2),0)</f>
        <v>29</v>
      </c>
      <c r="P179" s="41" t="n">
        <v>3.65020076385128</v>
      </c>
      <c r="Q179" s="42" t="n">
        <v>647</v>
      </c>
      <c r="R179" s="43" t="n">
        <f aca="false">MAX(0,MIN(1,P179/100+$D$5))</f>
        <v>0.563069210333387</v>
      </c>
      <c r="S179" s="43" t="n">
        <v>0.0610405690258335</v>
      </c>
      <c r="T179" s="44" t="s">
        <v>90</v>
      </c>
    </row>
    <row r="180" customFormat="false" ht="15" hidden="false" customHeight="false" outlineLevel="0" collapsed="false">
      <c r="A180" s="38" t="s">
        <v>156</v>
      </c>
      <c r="B180" s="38" t="s">
        <v>278</v>
      </c>
      <c r="C180" s="38" t="s">
        <v>286</v>
      </c>
      <c r="D180" s="21" t="n">
        <f aca="false">ROUND(Q180*R180,0)</f>
        <v>502</v>
      </c>
      <c r="E180" s="21" t="n">
        <f aca="false">ROUND(Q180,0)-D180</f>
        <v>425</v>
      </c>
      <c r="F180" s="21" t="n">
        <f aca="false">IF(COUNTA(D180:E180)=0,"",SUM(D180:E180))</f>
        <v>927</v>
      </c>
      <c r="G180" s="39" t="n">
        <f aca="false">IF(OR(F180="",F180=0),"",D180/F180)</f>
        <v>0.541531823085221</v>
      </c>
      <c r="H180" s="39" t="n">
        <f aca="false">IF(OR(F180="",F180=0),"",E180/F180)</f>
        <v>0.458468176914779</v>
      </c>
      <c r="I180" s="38" t="s">
        <v>89</v>
      </c>
      <c r="J180" s="40" t="n">
        <v>1.8085538155628</v>
      </c>
      <c r="K180" s="39" t="n">
        <f aca="false">IF(G180="","",MAX(0,G180-J180/100))</f>
        <v>0.523446284929593</v>
      </c>
      <c r="L180" s="39" t="n">
        <f aca="false">IF(G180="","",MIN(1,G180+J180/100))</f>
        <v>0.559617361240849</v>
      </c>
      <c r="M180" s="21" t="n">
        <f aca="false">ROUND(Q180*S180,0)</f>
        <v>46</v>
      </c>
      <c r="N180" s="21" t="n">
        <f aca="false">ROUND(SQRT((F180*J180/100)^2+(G180*M180)^2),0)</f>
        <v>30</v>
      </c>
      <c r="P180" s="41" t="n">
        <v>1.44424865622487</v>
      </c>
      <c r="Q180" s="42" t="n">
        <v>927</v>
      </c>
      <c r="R180" s="43" t="n">
        <f aca="false">MAX(0,MIN(1,P180/100+$D$5))</f>
        <v>0.541009689257123</v>
      </c>
      <c r="S180" s="43" t="n">
        <v>0.0500321312575726</v>
      </c>
      <c r="T180" s="44" t="s">
        <v>99</v>
      </c>
    </row>
    <row r="181" customFormat="false" ht="15" hidden="false" customHeight="false" outlineLevel="0" collapsed="false">
      <c r="A181" s="38" t="s">
        <v>156</v>
      </c>
      <c r="B181" s="38" t="s">
        <v>287</v>
      </c>
      <c r="C181" s="38" t="s">
        <v>288</v>
      </c>
      <c r="D181" s="21" t="n">
        <f aca="false">ROUND(Q181*R181,0)</f>
        <v>187</v>
      </c>
      <c r="E181" s="21" t="n">
        <f aca="false">ROUND(Q181,0)-D181</f>
        <v>200</v>
      </c>
      <c r="F181" s="21" t="n">
        <f aca="false">IF(COUNTA(D181:E181)=0,"",SUM(D181:E181))</f>
        <v>387</v>
      </c>
      <c r="G181" s="39" t="n">
        <f aca="false">IF(OR(F181="",F181=0),"",D181/F181)</f>
        <v>0.483204134366925</v>
      </c>
      <c r="H181" s="39" t="n">
        <f aca="false">IF(OR(F181="",F181=0),"",E181/F181)</f>
        <v>0.516795865633075</v>
      </c>
      <c r="I181" s="38" t="s">
        <v>89</v>
      </c>
      <c r="J181" s="40" t="n">
        <v>3.02608556967268</v>
      </c>
      <c r="K181" s="39" t="n">
        <f aca="false">IF(G181="","",MAX(0,G181-J181/100))</f>
        <v>0.452943278670198</v>
      </c>
      <c r="L181" s="39" t="n">
        <f aca="false">IF(G181="","",MIN(1,G181+J181/100))</f>
        <v>0.513464990063652</v>
      </c>
      <c r="M181" s="21" t="n">
        <f aca="false">ROUND(Q181*S181,0)</f>
        <v>24</v>
      </c>
      <c r="N181" s="21" t="n">
        <f aca="false">ROUND(SQRT((F181*J181/100)^2+(G181*M181)^2),0)</f>
        <v>16</v>
      </c>
      <c r="P181" s="41" t="n">
        <v>-4.28406196565193</v>
      </c>
      <c r="Q181" s="42" t="n">
        <v>387</v>
      </c>
      <c r="R181" s="43" t="n">
        <f aca="false">MAX(0,MIN(1,P181/100+$D$5))</f>
        <v>0.483726583038355</v>
      </c>
      <c r="S181" s="43" t="n">
        <v>0.0610405690258335</v>
      </c>
      <c r="T181" s="44" t="s">
        <v>90</v>
      </c>
    </row>
    <row r="182" customFormat="false" ht="15" hidden="false" customHeight="false" outlineLevel="0" collapsed="false">
      <c r="A182" s="38" t="s">
        <v>156</v>
      </c>
      <c r="B182" s="38" t="s">
        <v>287</v>
      </c>
      <c r="C182" s="38" t="s">
        <v>289</v>
      </c>
      <c r="D182" s="21" t="n">
        <f aca="false">ROUND(Q182*R182,0)</f>
        <v>134</v>
      </c>
      <c r="E182" s="21" t="n">
        <f aca="false">ROUND(Q182,0)-D182</f>
        <v>168</v>
      </c>
      <c r="F182" s="21" t="n">
        <f aca="false">IF(COUNTA(D182:E182)=0,"",SUM(D182:E182))</f>
        <v>302</v>
      </c>
      <c r="G182" s="39" t="n">
        <f aca="false">IF(OR(F182="",F182=0),"",D182/F182)</f>
        <v>0.443708609271523</v>
      </c>
      <c r="H182" s="39" t="n">
        <f aca="false">IF(OR(F182="",F182=0),"",E182/F182)</f>
        <v>0.556291390728477</v>
      </c>
      <c r="I182" s="38" t="s">
        <v>89</v>
      </c>
      <c r="J182" s="40" t="n">
        <v>3.02608556967268</v>
      </c>
      <c r="K182" s="39" t="n">
        <f aca="false">IF(G182="","",MAX(0,G182-J182/100))</f>
        <v>0.413447753574796</v>
      </c>
      <c r="L182" s="39" t="n">
        <f aca="false">IF(G182="","",MIN(1,G182+J182/100))</f>
        <v>0.47396946496825</v>
      </c>
      <c r="M182" s="21" t="n">
        <f aca="false">ROUND(Q182*S182,0)</f>
        <v>18</v>
      </c>
      <c r="N182" s="21" t="n">
        <f aca="false">ROUND(SQRT((F182*J182/100)^2+(G182*M182)^2),0)</f>
        <v>12</v>
      </c>
      <c r="P182" s="41" t="n">
        <v>-8.19538467355068</v>
      </c>
      <c r="Q182" s="42" t="n">
        <v>302</v>
      </c>
      <c r="R182" s="43" t="n">
        <f aca="false">MAX(0,MIN(1,P182/100+$D$5))</f>
        <v>0.444613355959367</v>
      </c>
      <c r="S182" s="43" t="n">
        <v>0.0610405690258335</v>
      </c>
      <c r="T182" s="44" t="s">
        <v>90</v>
      </c>
    </row>
    <row r="183" customFormat="false" ht="15" hidden="false" customHeight="false" outlineLevel="0" collapsed="false">
      <c r="A183" s="38" t="s">
        <v>156</v>
      </c>
      <c r="B183" s="38" t="s">
        <v>287</v>
      </c>
      <c r="C183" s="38" t="s">
        <v>290</v>
      </c>
      <c r="D183" s="21" t="n">
        <f aca="false">ROUND(Q183*R183,0)</f>
        <v>309</v>
      </c>
      <c r="E183" s="21" t="n">
        <f aca="false">ROUND(Q183,0)-D183</f>
        <v>353</v>
      </c>
      <c r="F183" s="21" t="n">
        <f aca="false">IF(COUNTA(D183:E183)=0,"",SUM(D183:E183))</f>
        <v>662</v>
      </c>
      <c r="G183" s="39" t="n">
        <f aca="false">IF(OR(F183="",F183=0),"",D183/F183)</f>
        <v>0.466767371601208</v>
      </c>
      <c r="H183" s="39" t="n">
        <f aca="false">IF(OR(F183="",F183=0),"",E183/F183)</f>
        <v>0.533232628398792</v>
      </c>
      <c r="I183" s="38" t="s">
        <v>89</v>
      </c>
      <c r="J183" s="40" t="n">
        <v>3.02608556967268</v>
      </c>
      <c r="K183" s="39" t="n">
        <f aca="false">IF(G183="","",MAX(0,G183-J183/100))</f>
        <v>0.436506515904482</v>
      </c>
      <c r="L183" s="39" t="n">
        <f aca="false">IF(G183="","",MIN(1,G183+J183/100))</f>
        <v>0.497028227297935</v>
      </c>
      <c r="M183" s="21" t="n">
        <f aca="false">ROUND(Q183*S183,0)</f>
        <v>40</v>
      </c>
      <c r="N183" s="21" t="n">
        <f aca="false">ROUND(SQRT((F183*J183/100)^2+(G183*M183)^2),0)</f>
        <v>27</v>
      </c>
      <c r="P183" s="41" t="n">
        <v>-5.9682900688197</v>
      </c>
      <c r="Q183" s="42" t="n">
        <v>662</v>
      </c>
      <c r="R183" s="43" t="n">
        <f aca="false">MAX(0,MIN(1,P183/100+$D$5))</f>
        <v>0.466884302006677</v>
      </c>
      <c r="S183" s="43" t="n">
        <v>0.0610405690258335</v>
      </c>
      <c r="T183" s="44" t="s">
        <v>90</v>
      </c>
    </row>
    <row r="184" customFormat="false" ht="15" hidden="false" customHeight="false" outlineLevel="0" collapsed="false">
      <c r="A184" s="38" t="s">
        <v>156</v>
      </c>
      <c r="B184" s="38" t="s">
        <v>291</v>
      </c>
      <c r="C184" s="38" t="s">
        <v>292</v>
      </c>
      <c r="D184" s="21" t="n">
        <f aca="false">ROUND(Q184*R184,0)</f>
        <v>769</v>
      </c>
      <c r="E184" s="21" t="n">
        <f aca="false">ROUND(Q184,0)-D184</f>
        <v>651</v>
      </c>
      <c r="F184" s="21" t="n">
        <f aca="false">IF(COUNTA(D184:E184)=0,"",SUM(D184:E184))</f>
        <v>1420</v>
      </c>
      <c r="G184" s="39" t="n">
        <f aca="false">IF(OR(F184="",F184=0),"",D184/F184)</f>
        <v>0.541549295774648</v>
      </c>
      <c r="H184" s="39" t="n">
        <f aca="false">IF(OR(F184="",F184=0),"",E184/F184)</f>
        <v>0.458450704225352</v>
      </c>
      <c r="I184" s="38" t="s">
        <v>89</v>
      </c>
      <c r="J184" s="40" t="n">
        <v>1.24911041755021</v>
      </c>
      <c r="K184" s="39" t="n">
        <f aca="false">IF(G184="","",MAX(0,G184-J184/100))</f>
        <v>0.529058191599146</v>
      </c>
      <c r="L184" s="39" t="n">
        <f aca="false">IF(G184="","",MIN(1,G184+J184/100))</f>
        <v>0.55404039995015</v>
      </c>
      <c r="M184" s="21" t="n">
        <f aca="false">ROUND(Q184*S184,0)</f>
        <v>185</v>
      </c>
      <c r="N184" s="21" t="n">
        <f aca="false">ROUND(SQRT((F184*J184/100)^2+(G184*M184)^2),0)</f>
        <v>102</v>
      </c>
      <c r="P184" s="41" t="n">
        <v>1.52359608802185</v>
      </c>
      <c r="Q184" s="42" t="n">
        <v>1420</v>
      </c>
      <c r="R184" s="43" t="n">
        <f aca="false">MAX(0,MIN(1,P184/100+$D$5))</f>
        <v>0.541803163575093</v>
      </c>
      <c r="S184" s="43" t="n">
        <v>0.130204099606216</v>
      </c>
      <c r="T184" s="44" t="s">
        <v>192</v>
      </c>
    </row>
    <row r="185" customFormat="false" ht="15" hidden="false" customHeight="false" outlineLevel="0" collapsed="false">
      <c r="A185" s="38" t="s">
        <v>156</v>
      </c>
      <c r="B185" s="38" t="s">
        <v>291</v>
      </c>
      <c r="C185" s="38" t="s">
        <v>293</v>
      </c>
      <c r="D185" s="21" t="n">
        <f aca="false">ROUND(Q185*R185,0)</f>
        <v>353</v>
      </c>
      <c r="E185" s="21" t="n">
        <f aca="false">ROUND(Q185,0)-D185</f>
        <v>296</v>
      </c>
      <c r="F185" s="21" t="n">
        <f aca="false">IF(COUNTA(D185:E185)=0,"",SUM(D185:E185))</f>
        <v>649</v>
      </c>
      <c r="G185" s="39" t="n">
        <f aca="false">IF(OR(F185="",F185=0),"",D185/F185)</f>
        <v>0.543913713405239</v>
      </c>
      <c r="H185" s="39" t="n">
        <f aca="false">IF(OR(F185="",F185=0),"",E185/F185)</f>
        <v>0.456086286594761</v>
      </c>
      <c r="I185" s="38" t="s">
        <v>89</v>
      </c>
      <c r="J185" s="40" t="n">
        <v>3.02608556967268</v>
      </c>
      <c r="K185" s="39" t="n">
        <f aca="false">IF(G185="","",MAX(0,G185-J185/100))</f>
        <v>0.513652857708512</v>
      </c>
      <c r="L185" s="39" t="n">
        <f aca="false">IF(G185="","",MIN(1,G185+J185/100))</f>
        <v>0.574174569101966</v>
      </c>
      <c r="M185" s="21" t="n">
        <f aca="false">ROUND(Q185*S185,0)</f>
        <v>40</v>
      </c>
      <c r="N185" s="21" t="n">
        <f aca="false">ROUND(SQRT((F185*J185/100)^2+(G185*M185)^2),0)</f>
        <v>29</v>
      </c>
      <c r="P185" s="41" t="n">
        <v>1.68011709837542</v>
      </c>
      <c r="Q185" s="42" t="n">
        <v>649</v>
      </c>
      <c r="R185" s="43" t="n">
        <f aca="false">MAX(0,MIN(1,P185/100+$D$5))</f>
        <v>0.543368373678628</v>
      </c>
      <c r="S185" s="43" t="n">
        <v>0.0610405690258335</v>
      </c>
      <c r="T185" s="44" t="s">
        <v>90</v>
      </c>
    </row>
    <row r="186" customFormat="false" ht="15" hidden="false" customHeight="false" outlineLevel="0" collapsed="false">
      <c r="A186" s="38" t="s">
        <v>156</v>
      </c>
      <c r="B186" s="38" t="s">
        <v>291</v>
      </c>
      <c r="C186" s="38" t="s">
        <v>294</v>
      </c>
      <c r="D186" s="21" t="n">
        <f aca="false">ROUND(Q186*R186,0)</f>
        <v>935</v>
      </c>
      <c r="E186" s="21" t="n">
        <f aca="false">ROUND(Q186,0)-D186</f>
        <v>631</v>
      </c>
      <c r="F186" s="21" t="n">
        <f aca="false">IF(COUNTA(D186:E186)=0,"",SUM(D186:E186))</f>
        <v>1566</v>
      </c>
      <c r="G186" s="39" t="n">
        <f aca="false">IF(OR(F186="",F186=0),"",D186/F186)</f>
        <v>0.597062579821201</v>
      </c>
      <c r="H186" s="39" t="n">
        <f aca="false">IF(OR(F186="",F186=0),"",E186/F186)</f>
        <v>0.402937420178799</v>
      </c>
      <c r="I186" s="38" t="s">
        <v>89</v>
      </c>
      <c r="J186" s="40" t="n">
        <v>1.24911041755021</v>
      </c>
      <c r="K186" s="39" t="n">
        <f aca="false">IF(G186="","",MAX(0,G186-J186/100))</f>
        <v>0.584571475645698</v>
      </c>
      <c r="L186" s="39" t="n">
        <f aca="false">IF(G186="","",MIN(1,G186+J186/100))</f>
        <v>0.609553683996703</v>
      </c>
      <c r="M186" s="21" t="n">
        <f aca="false">ROUND(Q186*S186,0)</f>
        <v>204</v>
      </c>
      <c r="N186" s="21" t="n">
        <f aca="false">ROUND(SQRT((F186*J186/100)^2+(G186*M186)^2),0)</f>
        <v>123</v>
      </c>
      <c r="P186" s="41" t="n">
        <v>7.07922918069591</v>
      </c>
      <c r="Q186" s="42" t="n">
        <v>1566</v>
      </c>
      <c r="R186" s="43" t="n">
        <f aca="false">MAX(0,MIN(1,P186/100+$D$5))</f>
        <v>0.597359494501833</v>
      </c>
      <c r="S186" s="43" t="n">
        <v>0.130204099606216</v>
      </c>
      <c r="T186" s="44" t="s">
        <v>192</v>
      </c>
    </row>
    <row r="187" customFormat="false" ht="15" hidden="false" customHeight="false" outlineLevel="0" collapsed="false">
      <c r="A187" s="38" t="s">
        <v>156</v>
      </c>
      <c r="B187" s="38" t="s">
        <v>291</v>
      </c>
      <c r="C187" s="38" t="s">
        <v>295</v>
      </c>
      <c r="D187" s="21" t="n">
        <f aca="false">ROUND(Q187*R187,0)</f>
        <v>462</v>
      </c>
      <c r="E187" s="21" t="n">
        <f aca="false">ROUND(Q187,0)-D187</f>
        <v>399</v>
      </c>
      <c r="F187" s="21" t="n">
        <f aca="false">IF(COUNTA(D187:E187)=0,"",SUM(D187:E187))</f>
        <v>861</v>
      </c>
      <c r="G187" s="39" t="n">
        <f aca="false">IF(OR(F187="",F187=0),"",D187/F187)</f>
        <v>0.536585365853659</v>
      </c>
      <c r="H187" s="39" t="n">
        <f aca="false">IF(OR(F187="",F187=0),"",E187/F187)</f>
        <v>0.463414634146342</v>
      </c>
      <c r="I187" s="38" t="s">
        <v>89</v>
      </c>
      <c r="J187" s="40" t="n">
        <v>1.8085538155628</v>
      </c>
      <c r="K187" s="39" t="n">
        <f aca="false">IF(G187="","",MAX(0,G187-J187/100))</f>
        <v>0.518499827698031</v>
      </c>
      <c r="L187" s="39" t="n">
        <f aca="false">IF(G187="","",MIN(1,G187+J187/100))</f>
        <v>0.554670904009287</v>
      </c>
      <c r="M187" s="21" t="n">
        <f aca="false">ROUND(Q187*S187,0)</f>
        <v>43</v>
      </c>
      <c r="N187" s="21" t="n">
        <f aca="false">ROUND(SQRT((F187*J187/100)^2+(G187*M187)^2),0)</f>
        <v>28</v>
      </c>
      <c r="P187" s="41" t="n">
        <v>1.04103067660627</v>
      </c>
      <c r="Q187" s="42" t="n">
        <v>861</v>
      </c>
      <c r="R187" s="43" t="n">
        <f aca="false">MAX(0,MIN(1,P187/100+$D$5))</f>
        <v>0.536977509460937</v>
      </c>
      <c r="S187" s="43" t="n">
        <v>0.0500321312575726</v>
      </c>
      <c r="T187" s="44" t="s">
        <v>99</v>
      </c>
    </row>
    <row r="188" customFormat="false" ht="15" hidden="false" customHeight="false" outlineLevel="0" collapsed="false">
      <c r="A188" s="38" t="s">
        <v>156</v>
      </c>
      <c r="B188" s="38" t="s">
        <v>291</v>
      </c>
      <c r="C188" s="38" t="s">
        <v>296</v>
      </c>
      <c r="D188" s="21" t="n">
        <f aca="false">ROUND(Q188*R188,0)</f>
        <v>888</v>
      </c>
      <c r="E188" s="21" t="n">
        <f aca="false">ROUND(Q188,0)-D188</f>
        <v>528</v>
      </c>
      <c r="F188" s="21" t="n">
        <f aca="false">IF(COUNTA(D188:E188)=0,"",SUM(D188:E188))</f>
        <v>1416</v>
      </c>
      <c r="G188" s="39" t="n">
        <f aca="false">IF(OR(F188="",F188=0),"",D188/F188)</f>
        <v>0.627118644067797</v>
      </c>
      <c r="H188" s="39" t="n">
        <f aca="false">IF(OR(F188="",F188=0),"",E188/F188)</f>
        <v>0.372881355932203</v>
      </c>
      <c r="I188" s="38" t="s">
        <v>89</v>
      </c>
      <c r="J188" s="40" t="n">
        <v>1.24911041755021</v>
      </c>
      <c r="K188" s="39" t="n">
        <f aca="false">IF(G188="","",MAX(0,G188-J188/100))</f>
        <v>0.614627539892295</v>
      </c>
      <c r="L188" s="39" t="n">
        <f aca="false">IF(G188="","",MIN(1,G188+J188/100))</f>
        <v>0.639609748243299</v>
      </c>
      <c r="M188" s="21" t="n">
        <f aca="false">ROUND(Q188*S188,0)</f>
        <v>184</v>
      </c>
      <c r="N188" s="21" t="n">
        <f aca="false">ROUND(SQRT((F188*J188/100)^2+(G188*M188)^2),0)</f>
        <v>117</v>
      </c>
      <c r="P188" s="41" t="n">
        <v>10.0633463301077</v>
      </c>
      <c r="Q188" s="42" t="n">
        <v>1416</v>
      </c>
      <c r="R188" s="43" t="n">
        <f aca="false">MAX(0,MIN(1,P188/100+$D$5))</f>
        <v>0.627200665995951</v>
      </c>
      <c r="S188" s="43" t="n">
        <v>0.130204099606216</v>
      </c>
      <c r="T188" s="44" t="s">
        <v>192</v>
      </c>
    </row>
    <row r="189" customFormat="false" ht="15" hidden="false" customHeight="false" outlineLevel="0" collapsed="false">
      <c r="A189" s="38" t="s">
        <v>156</v>
      </c>
      <c r="B189" s="38" t="s">
        <v>291</v>
      </c>
      <c r="C189" s="38" t="s">
        <v>297</v>
      </c>
      <c r="D189" s="21" t="n">
        <f aca="false">ROUND(Q189*R189,0)</f>
        <v>885</v>
      </c>
      <c r="E189" s="21" t="n">
        <f aca="false">ROUND(Q189,0)-D189</f>
        <v>531</v>
      </c>
      <c r="F189" s="21" t="n">
        <f aca="false">IF(COUNTA(D189:E189)=0,"",SUM(D189:E189))</f>
        <v>1416</v>
      </c>
      <c r="G189" s="39" t="n">
        <f aca="false">IF(OR(F189="",F189=0),"",D189/F189)</f>
        <v>0.625</v>
      </c>
      <c r="H189" s="39" t="n">
        <f aca="false">IF(OR(F189="",F189=0),"",E189/F189)</f>
        <v>0.375</v>
      </c>
      <c r="I189" s="38" t="s">
        <v>89</v>
      </c>
      <c r="J189" s="40" t="n">
        <v>1.24911041755021</v>
      </c>
      <c r="K189" s="39" t="n">
        <f aca="false">IF(G189="","",MAX(0,G189-J189/100))</f>
        <v>0.612508895824498</v>
      </c>
      <c r="L189" s="39" t="n">
        <f aca="false">IF(G189="","",MIN(1,G189+J189/100))</f>
        <v>0.637491104175502</v>
      </c>
      <c r="M189" s="21" t="n">
        <f aca="false">ROUND(Q189*S189,0)</f>
        <v>184</v>
      </c>
      <c r="N189" s="21" t="n">
        <f aca="false">ROUND(SQRT((F189*J189/100)^2+(G189*M189)^2),0)</f>
        <v>116</v>
      </c>
      <c r="P189" s="41" t="n">
        <v>9.80934203289211</v>
      </c>
      <c r="Q189" s="42" t="n">
        <v>1416</v>
      </c>
      <c r="R189" s="43" t="n">
        <f aca="false">MAX(0,MIN(1,P189/100+$D$5))</f>
        <v>0.624660623023795</v>
      </c>
      <c r="S189" s="43" t="n">
        <v>0.130204099606216</v>
      </c>
      <c r="T189" s="44" t="s">
        <v>192</v>
      </c>
    </row>
    <row r="190" customFormat="false" ht="15" hidden="false" customHeight="false" outlineLevel="0" collapsed="false">
      <c r="A190" s="38" t="s">
        <v>156</v>
      </c>
      <c r="B190" s="38" t="s">
        <v>291</v>
      </c>
      <c r="C190" s="38" t="s">
        <v>298</v>
      </c>
      <c r="D190" s="21" t="n">
        <f aca="false">ROUND(Q190*R190,0)</f>
        <v>420</v>
      </c>
      <c r="E190" s="21" t="n">
        <f aca="false">ROUND(Q190,0)-D190</f>
        <v>338</v>
      </c>
      <c r="F190" s="21" t="n">
        <f aca="false">IF(COUNTA(D190:E190)=0,"",SUM(D190:E190))</f>
        <v>758</v>
      </c>
      <c r="G190" s="39" t="n">
        <f aca="false">IF(OR(F190="",F190=0),"",D190/F190)</f>
        <v>0.554089709762533</v>
      </c>
      <c r="H190" s="39" t="n">
        <f aca="false">IF(OR(F190="",F190=0),"",E190/F190)</f>
        <v>0.445910290237467</v>
      </c>
      <c r="I190" s="38" t="s">
        <v>89</v>
      </c>
      <c r="J190" s="40" t="n">
        <v>3.02608556967268</v>
      </c>
      <c r="K190" s="39" t="n">
        <f aca="false">IF(G190="","",MAX(0,G190-J190/100))</f>
        <v>0.523828854065806</v>
      </c>
      <c r="L190" s="39" t="n">
        <f aca="false">IF(G190="","",MIN(1,G190+J190/100))</f>
        <v>0.58435056545926</v>
      </c>
      <c r="M190" s="21" t="n">
        <f aca="false">ROUND(Q190*S190,0)</f>
        <v>46</v>
      </c>
      <c r="N190" s="21" t="n">
        <f aca="false">ROUND(SQRT((F190*J190/100)^2+(G190*M190)^2),0)</f>
        <v>34</v>
      </c>
      <c r="P190" s="41" t="n">
        <v>2.76839450186603</v>
      </c>
      <c r="Q190" s="42" t="n">
        <v>758</v>
      </c>
      <c r="R190" s="43" t="n">
        <f aca="false">MAX(0,MIN(1,P190/100+$D$5))</f>
        <v>0.554251147713535</v>
      </c>
      <c r="S190" s="43" t="n">
        <v>0.0610405690258335</v>
      </c>
      <c r="T190" s="44" t="s">
        <v>90</v>
      </c>
    </row>
    <row r="191" customFormat="false" ht="15" hidden="false" customHeight="false" outlineLevel="0" collapsed="false">
      <c r="A191" s="38" t="s">
        <v>156</v>
      </c>
      <c r="B191" s="38" t="s">
        <v>291</v>
      </c>
      <c r="C191" s="38" t="s">
        <v>299</v>
      </c>
      <c r="D191" s="21" t="n">
        <f aca="false">ROUND(Q191*R191,0)</f>
        <v>1102</v>
      </c>
      <c r="E191" s="21" t="n">
        <f aca="false">ROUND(Q191,0)-D191</f>
        <v>931</v>
      </c>
      <c r="F191" s="21" t="n">
        <f aca="false">IF(COUNTA(D191:E191)=0,"",SUM(D191:E191))</f>
        <v>2033</v>
      </c>
      <c r="G191" s="39" t="n">
        <f aca="false">IF(OR(F191="",F191=0),"",D191/F191)</f>
        <v>0.542056074766355</v>
      </c>
      <c r="H191" s="39" t="n">
        <f aca="false">IF(OR(F191="",F191=0),"",E191/F191)</f>
        <v>0.457943925233645</v>
      </c>
      <c r="I191" s="38" t="s">
        <v>89</v>
      </c>
      <c r="J191" s="40" t="n">
        <v>1.24911041755021</v>
      </c>
      <c r="K191" s="39" t="n">
        <f aca="false">IF(G191="","",MAX(0,G191-J191/100))</f>
        <v>0.529564970590853</v>
      </c>
      <c r="L191" s="39" t="n">
        <f aca="false">IF(G191="","",MIN(1,G191+J191/100))</f>
        <v>0.554547178941857</v>
      </c>
      <c r="M191" s="21" t="n">
        <f aca="false">ROUND(Q191*S191,0)</f>
        <v>265</v>
      </c>
      <c r="N191" s="21" t="n">
        <f aca="false">ROUND(SQRT((F191*J191/100)^2+(G191*M191)^2),0)</f>
        <v>146</v>
      </c>
      <c r="P191" s="41" t="n">
        <v>1.54878686677566</v>
      </c>
      <c r="Q191" s="42" t="n">
        <v>2033</v>
      </c>
      <c r="R191" s="43" t="n">
        <f aca="false">MAX(0,MIN(1,P191/100+$D$5))</f>
        <v>0.542055071362631</v>
      </c>
      <c r="S191" s="43" t="n">
        <v>0.130204099606216</v>
      </c>
      <c r="T191" s="44" t="s">
        <v>192</v>
      </c>
    </row>
    <row r="192" customFormat="false" ht="15" hidden="false" customHeight="false" outlineLevel="0" collapsed="false">
      <c r="A192" s="38" t="s">
        <v>156</v>
      </c>
      <c r="B192" s="38" t="s">
        <v>300</v>
      </c>
      <c r="C192" s="38" t="s">
        <v>301</v>
      </c>
      <c r="D192" s="21" t="n">
        <f aca="false">ROUND(Q192*R192,0)</f>
        <v>824</v>
      </c>
      <c r="E192" s="21" t="n">
        <f aca="false">ROUND(Q192,0)-D192</f>
        <v>691</v>
      </c>
      <c r="F192" s="21" t="n">
        <f aca="false">IF(COUNTA(D192:E192)=0,"",SUM(D192:E192))</f>
        <v>1515</v>
      </c>
      <c r="G192" s="39" t="n">
        <f aca="false">IF(OR(F192="",F192=0),"",D192/F192)</f>
        <v>0.543894389438944</v>
      </c>
      <c r="H192" s="39" t="n">
        <f aca="false">IF(OR(F192="",F192=0),"",E192/F192)</f>
        <v>0.456105610561056</v>
      </c>
      <c r="I192" s="38" t="s">
        <v>89</v>
      </c>
      <c r="J192" s="40" t="n">
        <v>1.24911041755021</v>
      </c>
      <c r="K192" s="39" t="n">
        <f aca="false">IF(G192="","",MAX(0,G192-J192/100))</f>
        <v>0.531403285263442</v>
      </c>
      <c r="L192" s="39" t="n">
        <f aca="false">IF(G192="","",MIN(1,G192+J192/100))</f>
        <v>0.556385493614446</v>
      </c>
      <c r="M192" s="21" t="n">
        <f aca="false">ROUND(Q192*S192,0)</f>
        <v>197</v>
      </c>
      <c r="N192" s="21" t="n">
        <f aca="false">ROUND(SQRT((F192*J192/100)^2+(G192*M192)^2),0)</f>
        <v>109</v>
      </c>
      <c r="P192" s="41" t="n">
        <v>1.74399224362672</v>
      </c>
      <c r="Q192" s="42" t="n">
        <v>1515</v>
      </c>
      <c r="R192" s="43" t="n">
        <f aca="false">MAX(0,MIN(1,P192/100+$D$5))</f>
        <v>0.544007125131142</v>
      </c>
      <c r="S192" s="43" t="n">
        <v>0.130204099606216</v>
      </c>
      <c r="T192" s="44" t="s">
        <v>192</v>
      </c>
    </row>
    <row r="193" customFormat="false" ht="15" hidden="false" customHeight="false" outlineLevel="0" collapsed="false">
      <c r="A193" s="38" t="s">
        <v>156</v>
      </c>
      <c r="B193" s="38" t="s">
        <v>300</v>
      </c>
      <c r="C193" s="38" t="s">
        <v>302</v>
      </c>
      <c r="D193" s="21" t="n">
        <f aca="false">ROUND(Q193*R193,0)</f>
        <v>1142</v>
      </c>
      <c r="E193" s="21" t="n">
        <f aca="false">ROUND(Q193,0)-D193</f>
        <v>950</v>
      </c>
      <c r="F193" s="21" t="n">
        <f aca="false">IF(COUNTA(D193:E193)=0,"",SUM(D193:E193))</f>
        <v>2092</v>
      </c>
      <c r="G193" s="39" t="n">
        <f aca="false">IF(OR(F193="",F193=0),"",D193/F193)</f>
        <v>0.545889101338432</v>
      </c>
      <c r="H193" s="39" t="n">
        <f aca="false">IF(OR(F193="",F193=0),"",E193/F193)</f>
        <v>0.454110898661568</v>
      </c>
      <c r="I193" s="38" t="s">
        <v>89</v>
      </c>
      <c r="J193" s="40" t="n">
        <v>1.24911041755021</v>
      </c>
      <c r="K193" s="39" t="n">
        <f aca="false">IF(G193="","",MAX(0,G193-J193/100))</f>
        <v>0.53339799716293</v>
      </c>
      <c r="L193" s="39" t="n">
        <f aca="false">IF(G193="","",MIN(1,G193+J193/100))</f>
        <v>0.558380205513934</v>
      </c>
      <c r="M193" s="21" t="n">
        <f aca="false">ROUND(Q193*S193,0)</f>
        <v>272</v>
      </c>
      <c r="N193" s="21" t="n">
        <f aca="false">ROUND(SQRT((F193*J193/100)^2+(G193*M193)^2),0)</f>
        <v>151</v>
      </c>
      <c r="P193" s="41" t="n">
        <v>1.92022410051651</v>
      </c>
      <c r="Q193" s="42" t="n">
        <v>2092</v>
      </c>
      <c r="R193" s="43" t="n">
        <f aca="false">MAX(0,MIN(1,P193/100+$D$5))</f>
        <v>0.545769443700039</v>
      </c>
      <c r="S193" s="43" t="n">
        <v>0.130204099606216</v>
      </c>
      <c r="T193" s="44" t="s">
        <v>192</v>
      </c>
    </row>
    <row r="194" customFormat="false" ht="15" hidden="false" customHeight="false" outlineLevel="0" collapsed="false">
      <c r="A194" s="38" t="s">
        <v>156</v>
      </c>
      <c r="B194" s="38" t="s">
        <v>300</v>
      </c>
      <c r="C194" s="38" t="s">
        <v>303</v>
      </c>
      <c r="D194" s="21" t="n">
        <f aca="false">ROUND(Q194*R194,0)</f>
        <v>700</v>
      </c>
      <c r="E194" s="21" t="n">
        <f aca="false">ROUND(Q194,0)-D194</f>
        <v>663</v>
      </c>
      <c r="F194" s="21" t="n">
        <f aca="false">IF(COUNTA(D194:E194)=0,"",SUM(D194:E194))</f>
        <v>1363</v>
      </c>
      <c r="G194" s="39" t="n">
        <f aca="false">IF(OR(F194="",F194=0),"",D194/F194)</f>
        <v>0.513573000733676</v>
      </c>
      <c r="H194" s="39" t="n">
        <f aca="false">IF(OR(F194="",F194=0),"",E194/F194)</f>
        <v>0.486426999266324</v>
      </c>
      <c r="I194" s="38" t="s">
        <v>89</v>
      </c>
      <c r="J194" s="40" t="n">
        <v>1.24911041755021</v>
      </c>
      <c r="K194" s="39" t="n">
        <f aca="false">IF(G194="","",MAX(0,G194-J194/100))</f>
        <v>0.501081896558174</v>
      </c>
      <c r="L194" s="39" t="n">
        <f aca="false">IF(G194="","",MIN(1,G194+J194/100))</f>
        <v>0.526064104909178</v>
      </c>
      <c r="M194" s="21" t="n">
        <f aca="false">ROUND(Q194*S194,0)</f>
        <v>177</v>
      </c>
      <c r="N194" s="21" t="n">
        <f aca="false">ROUND(SQRT((F194*J194/100)^2+(G194*M194)^2),0)</f>
        <v>92</v>
      </c>
      <c r="P194" s="41" t="n">
        <v>-1.27302067269646</v>
      </c>
      <c r="Q194" s="42" t="n">
        <v>1363</v>
      </c>
      <c r="R194" s="43" t="n">
        <f aca="false">MAX(0,MIN(1,P194/100+$D$5))</f>
        <v>0.51383699596791</v>
      </c>
      <c r="S194" s="43" t="n">
        <v>0.130204099606216</v>
      </c>
      <c r="T194" s="44" t="s">
        <v>192</v>
      </c>
    </row>
    <row r="195" customFormat="false" ht="15" hidden="false" customHeight="false" outlineLevel="0" collapsed="false">
      <c r="A195" s="38" t="s">
        <v>156</v>
      </c>
      <c r="B195" s="38" t="s">
        <v>300</v>
      </c>
      <c r="C195" s="38" t="s">
        <v>304</v>
      </c>
      <c r="D195" s="21" t="n">
        <f aca="false">ROUND(Q195*R195,0)</f>
        <v>524</v>
      </c>
      <c r="E195" s="21" t="n">
        <f aca="false">ROUND(Q195,0)-D195</f>
        <v>392</v>
      </c>
      <c r="F195" s="21" t="n">
        <f aca="false">IF(COUNTA(D195:E195)=0,"",SUM(D195:E195))</f>
        <v>916</v>
      </c>
      <c r="G195" s="39" t="n">
        <f aca="false">IF(OR(F195="",F195=0),"",D195/F195)</f>
        <v>0.572052401746725</v>
      </c>
      <c r="H195" s="39" t="n">
        <f aca="false">IF(OR(F195="",F195=0),"",E195/F195)</f>
        <v>0.427947598253275</v>
      </c>
      <c r="I195" s="38" t="s">
        <v>89</v>
      </c>
      <c r="J195" s="40" t="n">
        <v>1.8085538155628</v>
      </c>
      <c r="K195" s="39" t="n">
        <f aca="false">IF(G195="","",MAX(0,G195-J195/100))</f>
        <v>0.553966863591097</v>
      </c>
      <c r="L195" s="39" t="n">
        <f aca="false">IF(G195="","",MIN(1,G195+J195/100))</f>
        <v>0.590137939902353</v>
      </c>
      <c r="M195" s="21" t="n">
        <f aca="false">ROUND(Q195*S195,0)</f>
        <v>46</v>
      </c>
      <c r="N195" s="21" t="n">
        <f aca="false">ROUND(SQRT((F195*J195/100)^2+(G195*M195)^2),0)</f>
        <v>31</v>
      </c>
      <c r="P195" s="41" t="n">
        <v>4.49680242862728</v>
      </c>
      <c r="Q195" s="42" t="n">
        <v>916</v>
      </c>
      <c r="R195" s="43" t="n">
        <f aca="false">MAX(0,MIN(1,P195/100+$D$5))</f>
        <v>0.571535226981147</v>
      </c>
      <c r="S195" s="43" t="n">
        <v>0.0500321312575726</v>
      </c>
      <c r="T195" s="44" t="s">
        <v>99</v>
      </c>
    </row>
    <row r="196" customFormat="false" ht="15" hidden="false" customHeight="false" outlineLevel="0" collapsed="false">
      <c r="A196" s="38" t="s">
        <v>156</v>
      </c>
      <c r="B196" s="38" t="s">
        <v>300</v>
      </c>
      <c r="C196" s="38" t="s">
        <v>305</v>
      </c>
      <c r="D196" s="21" t="n">
        <f aca="false">ROUND(Q196*R196,0)</f>
        <v>1462</v>
      </c>
      <c r="E196" s="21" t="n">
        <f aca="false">ROUND(Q196,0)-D196</f>
        <v>1089</v>
      </c>
      <c r="F196" s="21" t="n">
        <f aca="false">IF(COUNTA(D196:E196)=0,"",SUM(D196:E196))</f>
        <v>2551</v>
      </c>
      <c r="G196" s="39" t="n">
        <f aca="false">IF(OR(F196="",F196=0),"",D196/F196)</f>
        <v>0.573108584868679</v>
      </c>
      <c r="H196" s="39" t="n">
        <f aca="false">IF(OR(F196="",F196=0),"",E196/F196)</f>
        <v>0.426891415131321</v>
      </c>
      <c r="I196" s="38" t="s">
        <v>89</v>
      </c>
      <c r="J196" s="40" t="n">
        <v>1.24911041755021</v>
      </c>
      <c r="K196" s="39" t="n">
        <f aca="false">IF(G196="","",MAX(0,G196-J196/100))</f>
        <v>0.560617480693177</v>
      </c>
      <c r="L196" s="39" t="n">
        <f aca="false">IF(G196="","",MIN(1,G196+J196/100))</f>
        <v>0.585599689044181</v>
      </c>
      <c r="M196" s="21" t="n">
        <f aca="false">ROUND(Q196*S196,0)</f>
        <v>332</v>
      </c>
      <c r="N196" s="21" t="n">
        <f aca="false">ROUND(SQRT((F196*J196/100)^2+(G196*M196)^2),0)</f>
        <v>193</v>
      </c>
      <c r="P196" s="41" t="n">
        <v>4.65181097637616</v>
      </c>
      <c r="Q196" s="42" t="n">
        <v>2551</v>
      </c>
      <c r="R196" s="43" t="n">
        <f aca="false">MAX(0,MIN(1,P196/100+$D$5))</f>
        <v>0.573085312458636</v>
      </c>
      <c r="S196" s="43" t="n">
        <v>0.130204099606216</v>
      </c>
      <c r="T196" s="44" t="s">
        <v>192</v>
      </c>
    </row>
    <row r="197" customFormat="false" ht="15" hidden="false" customHeight="false" outlineLevel="0" collapsed="false">
      <c r="A197" s="38" t="s">
        <v>156</v>
      </c>
      <c r="B197" s="38" t="s">
        <v>300</v>
      </c>
      <c r="C197" s="38" t="s">
        <v>306</v>
      </c>
      <c r="D197" s="21" t="n">
        <f aca="false">ROUND(Q197*R197,0)</f>
        <v>520</v>
      </c>
      <c r="E197" s="21" t="n">
        <f aca="false">ROUND(Q197,0)-D197</f>
        <v>422</v>
      </c>
      <c r="F197" s="21" t="n">
        <f aca="false">IF(COUNTA(D197:E197)=0,"",SUM(D197:E197))</f>
        <v>942</v>
      </c>
      <c r="G197" s="39" t="n">
        <f aca="false">IF(OR(F197="",F197=0),"",D197/F197)</f>
        <v>0.552016985138004</v>
      </c>
      <c r="H197" s="39" t="n">
        <f aca="false">IF(OR(F197="",F197=0),"",E197/F197)</f>
        <v>0.447983014861996</v>
      </c>
      <c r="I197" s="38" t="s">
        <v>89</v>
      </c>
      <c r="J197" s="40" t="n">
        <v>1.8085538155628</v>
      </c>
      <c r="K197" s="39" t="n">
        <f aca="false">IF(G197="","",MAX(0,G197-J197/100))</f>
        <v>0.533931446982376</v>
      </c>
      <c r="L197" s="39" t="n">
        <f aca="false">IF(G197="","",MIN(1,G197+J197/100))</f>
        <v>0.570102523293632</v>
      </c>
      <c r="M197" s="21" t="n">
        <f aca="false">ROUND(Q197*S197,0)</f>
        <v>47</v>
      </c>
      <c r="N197" s="21" t="n">
        <f aca="false">ROUND(SQRT((F197*J197/100)^2+(G197*M197)^2),0)</f>
        <v>31</v>
      </c>
      <c r="P197" s="41" t="n">
        <v>2.59503056157181</v>
      </c>
      <c r="Q197" s="42" t="n">
        <v>942</v>
      </c>
      <c r="R197" s="43" t="n">
        <f aca="false">MAX(0,MIN(1,P197/100+$D$5))</f>
        <v>0.552517508310592</v>
      </c>
      <c r="S197" s="43" t="n">
        <v>0.0500321312575726</v>
      </c>
      <c r="T197" s="44" t="s">
        <v>99</v>
      </c>
    </row>
    <row r="198" customFormat="false" ht="15" hidden="false" customHeight="false" outlineLevel="0" collapsed="false">
      <c r="A198" s="38" t="s">
        <v>156</v>
      </c>
      <c r="B198" s="38" t="s">
        <v>300</v>
      </c>
      <c r="C198" s="38" t="s">
        <v>307</v>
      </c>
      <c r="D198" s="21" t="n">
        <f aca="false">ROUND(Q198*R198,0)</f>
        <v>528</v>
      </c>
      <c r="E198" s="21" t="n">
        <f aca="false">ROUND(Q198,0)-D198</f>
        <v>370</v>
      </c>
      <c r="F198" s="21" t="n">
        <f aca="false">IF(COUNTA(D198:E198)=0,"",SUM(D198:E198))</f>
        <v>898</v>
      </c>
      <c r="G198" s="39" t="n">
        <f aca="false">IF(OR(F198="",F198=0),"",D198/F198)</f>
        <v>0.587973273942094</v>
      </c>
      <c r="H198" s="39" t="n">
        <f aca="false">IF(OR(F198="",F198=0),"",E198/F198)</f>
        <v>0.412026726057906</v>
      </c>
      <c r="I198" s="38" t="s">
        <v>89</v>
      </c>
      <c r="J198" s="40" t="n">
        <v>1.8085538155628</v>
      </c>
      <c r="K198" s="39" t="n">
        <f aca="false">IF(G198="","",MAX(0,G198-J198/100))</f>
        <v>0.569887735786466</v>
      </c>
      <c r="L198" s="39" t="n">
        <f aca="false">IF(G198="","",MIN(1,G198+J198/100))</f>
        <v>0.606058812097722</v>
      </c>
      <c r="M198" s="21" t="n">
        <f aca="false">ROUND(Q198*S198,0)</f>
        <v>45</v>
      </c>
      <c r="N198" s="21" t="n">
        <f aca="false">ROUND(SQRT((F198*J198/100)^2+(G198*M198)^2),0)</f>
        <v>31</v>
      </c>
      <c r="P198" s="41" t="n">
        <v>6.13889435038151</v>
      </c>
      <c r="Q198" s="42" t="n">
        <v>898</v>
      </c>
      <c r="R198" s="43" t="n">
        <f aca="false">MAX(0,MIN(1,P198/100+$D$5))</f>
        <v>0.587956146198689</v>
      </c>
      <c r="S198" s="43" t="n">
        <v>0.0500321312575726</v>
      </c>
      <c r="T198" s="44" t="s">
        <v>99</v>
      </c>
    </row>
    <row r="199" customFormat="false" ht="15" hidden="false" customHeight="false" outlineLevel="0" collapsed="false">
      <c r="A199" s="38" t="s">
        <v>156</v>
      </c>
      <c r="B199" s="38" t="s">
        <v>300</v>
      </c>
      <c r="C199" s="38" t="s">
        <v>308</v>
      </c>
      <c r="D199" s="21" t="n">
        <f aca="false">ROUND(Q199*R199,0)</f>
        <v>544</v>
      </c>
      <c r="E199" s="21" t="n">
        <f aca="false">ROUND(Q199,0)-D199</f>
        <v>445</v>
      </c>
      <c r="F199" s="21" t="n">
        <f aca="false">IF(COUNTA(D199:E199)=0,"",SUM(D199:E199))</f>
        <v>989</v>
      </c>
      <c r="G199" s="39" t="n">
        <f aca="false">IF(OR(F199="",F199=0),"",D199/F199)</f>
        <v>0.55005055611729</v>
      </c>
      <c r="H199" s="39" t="n">
        <f aca="false">IF(OR(F199="",F199=0),"",E199/F199)</f>
        <v>0.44994944388271</v>
      </c>
      <c r="I199" s="38" t="s">
        <v>89</v>
      </c>
      <c r="J199" s="40" t="n">
        <v>1.8085538155628</v>
      </c>
      <c r="K199" s="39" t="n">
        <f aca="false">IF(G199="","",MAX(0,G199-J199/100))</f>
        <v>0.531965017961662</v>
      </c>
      <c r="L199" s="39" t="n">
        <f aca="false">IF(G199="","",MIN(1,G199+J199/100))</f>
        <v>0.568136094272918</v>
      </c>
      <c r="M199" s="21" t="n">
        <f aca="false">ROUND(Q199*S199,0)</f>
        <v>49</v>
      </c>
      <c r="N199" s="21" t="n">
        <f aca="false">ROUND(SQRT((F199*J199/100)^2+(G199*M199)^2),0)</f>
        <v>32</v>
      </c>
      <c r="P199" s="41" t="n">
        <v>2.30625611447692</v>
      </c>
      <c r="Q199" s="42" t="n">
        <v>989</v>
      </c>
      <c r="R199" s="43" t="n">
        <f aca="false">MAX(0,MIN(1,P199/100+$D$5))</f>
        <v>0.549629763839644</v>
      </c>
      <c r="S199" s="43" t="n">
        <v>0.0500321312575726</v>
      </c>
      <c r="T199" s="44" t="s">
        <v>99</v>
      </c>
    </row>
    <row r="200" customFormat="false" ht="15" hidden="false" customHeight="false" outlineLevel="0" collapsed="false">
      <c r="A200" s="38" t="s">
        <v>156</v>
      </c>
      <c r="B200" s="38" t="s">
        <v>309</v>
      </c>
      <c r="C200" s="38" t="s">
        <v>310</v>
      </c>
      <c r="D200" s="21" t="n">
        <f aca="false">ROUND(Q200*R200,0)</f>
        <v>1272</v>
      </c>
      <c r="E200" s="21" t="n">
        <f aca="false">ROUND(Q200,0)-D200</f>
        <v>1222</v>
      </c>
      <c r="F200" s="21" t="n">
        <f aca="false">IF(COUNTA(D200:E200)=0,"",SUM(D200:E200))</f>
        <v>2494</v>
      </c>
      <c r="G200" s="39" t="n">
        <f aca="false">IF(OR(F200="",F200=0),"",D200/F200)</f>
        <v>0.510024057738573</v>
      </c>
      <c r="H200" s="39" t="n">
        <f aca="false">IF(OR(F200="",F200=0),"",E200/F200)</f>
        <v>0.489975942261427</v>
      </c>
      <c r="I200" s="38" t="s">
        <v>89</v>
      </c>
      <c r="J200" s="40" t="n">
        <v>1.24911041755021</v>
      </c>
      <c r="K200" s="39" t="n">
        <f aca="false">IF(G200="","",MAX(0,G200-J200/100))</f>
        <v>0.497532953563071</v>
      </c>
      <c r="L200" s="39" t="n">
        <f aca="false">IF(G200="","",MIN(1,G200+J200/100))</f>
        <v>0.522515161914075</v>
      </c>
      <c r="M200" s="21" t="n">
        <f aca="false">ROUND(Q200*S200,0)</f>
        <v>325</v>
      </c>
      <c r="N200" s="21" t="n">
        <f aca="false">ROUND(SQRT((F200*J200/100)^2+(G200*M200)^2),0)</f>
        <v>169</v>
      </c>
      <c r="P200" s="41" t="n">
        <v>-1.67232460027558</v>
      </c>
      <c r="Q200" s="42" t="n">
        <v>2494</v>
      </c>
      <c r="R200" s="43" t="n">
        <f aca="false">MAX(0,MIN(1,P200/100+$D$5))</f>
        <v>0.509843956692119</v>
      </c>
      <c r="S200" s="43" t="n">
        <v>0.130204099606216</v>
      </c>
      <c r="T200" s="44" t="s">
        <v>192</v>
      </c>
    </row>
    <row r="201" customFormat="false" ht="15" hidden="false" customHeight="false" outlineLevel="0" collapsed="false">
      <c r="A201" s="38" t="s">
        <v>156</v>
      </c>
      <c r="B201" s="38" t="s">
        <v>309</v>
      </c>
      <c r="C201" s="38" t="s">
        <v>311</v>
      </c>
      <c r="D201" s="21" t="n">
        <f aca="false">ROUND(Q201*R201,0)</f>
        <v>851</v>
      </c>
      <c r="E201" s="21" t="n">
        <f aca="false">ROUND(Q201,0)-D201</f>
        <v>1137</v>
      </c>
      <c r="F201" s="21" t="n">
        <f aca="false">IF(COUNTA(D201:E201)=0,"",SUM(D201:E201))</f>
        <v>1988</v>
      </c>
      <c r="G201" s="39" t="n">
        <f aca="false">IF(OR(F201="",F201=0),"",D201/F201)</f>
        <v>0.428068410462777</v>
      </c>
      <c r="H201" s="39" t="n">
        <f aca="false">IF(OR(F201="",F201=0),"",E201/F201)</f>
        <v>0.571931589537223</v>
      </c>
      <c r="I201" s="38" t="s">
        <v>89</v>
      </c>
      <c r="J201" s="40" t="n">
        <v>1.24911041755021</v>
      </c>
      <c r="K201" s="39" t="n">
        <f aca="false">IF(G201="","",MAX(0,G201-J201/100))</f>
        <v>0.415577306287275</v>
      </c>
      <c r="L201" s="39" t="n">
        <f aca="false">IF(G201="","",MIN(1,G201+J201/100))</f>
        <v>0.440559514638279</v>
      </c>
      <c r="M201" s="21" t="n">
        <f aca="false">ROUND(Q201*S201,0)</f>
        <v>259</v>
      </c>
      <c r="N201" s="21" t="n">
        <f aca="false">ROUND(SQRT((F201*J201/100)^2+(G201*M201)^2),0)</f>
        <v>114</v>
      </c>
      <c r="P201" s="41" t="n">
        <v>-9.85451733315865</v>
      </c>
      <c r="Q201" s="42" t="n">
        <v>1988</v>
      </c>
      <c r="R201" s="43" t="n">
        <f aca="false">MAX(0,MIN(1,P201/100+$D$5))</f>
        <v>0.428022029363288</v>
      </c>
      <c r="S201" s="43" t="n">
        <v>0.130204099606216</v>
      </c>
      <c r="T201" s="44" t="s">
        <v>192</v>
      </c>
    </row>
    <row r="202" customFormat="false" ht="15" hidden="false" customHeight="false" outlineLevel="0" collapsed="false">
      <c r="A202" s="38" t="s">
        <v>156</v>
      </c>
      <c r="B202" s="38" t="s">
        <v>312</v>
      </c>
      <c r="C202" s="38" t="s">
        <v>313</v>
      </c>
      <c r="D202" s="21" t="n">
        <f aca="false">ROUND(Q202*R202,0)</f>
        <v>942</v>
      </c>
      <c r="E202" s="21" t="n">
        <f aca="false">ROUND(Q202,0)-D202</f>
        <v>805</v>
      </c>
      <c r="F202" s="21" t="n">
        <f aca="false">IF(COUNTA(D202:E202)=0,"",SUM(D202:E202))</f>
        <v>1747</v>
      </c>
      <c r="G202" s="39" t="n">
        <f aca="false">IF(OR(F202="",F202=0),"",D202/F202)</f>
        <v>0.53921007441328</v>
      </c>
      <c r="H202" s="39" t="n">
        <f aca="false">IF(OR(F202="",F202=0),"",E202/F202)</f>
        <v>0.46078992558672</v>
      </c>
      <c r="I202" s="38" t="s">
        <v>89</v>
      </c>
      <c r="J202" s="40" t="n">
        <v>1.24911041755021</v>
      </c>
      <c r="K202" s="39" t="n">
        <f aca="false">IF(G202="","",MAX(0,G202-J202/100))</f>
        <v>0.526718970237778</v>
      </c>
      <c r="L202" s="39" t="n">
        <f aca="false">IF(G202="","",MIN(1,G202+J202/100))</f>
        <v>0.551701178588782</v>
      </c>
      <c r="M202" s="21" t="n">
        <f aca="false">ROUND(Q202*S202,0)</f>
        <v>227</v>
      </c>
      <c r="N202" s="21" t="n">
        <f aca="false">ROUND(SQRT((F202*J202/100)^2+(G202*M202)^2),0)</f>
        <v>124</v>
      </c>
      <c r="P202" s="41" t="n">
        <v>1.27790589704544</v>
      </c>
      <c r="Q202" s="42" t="n">
        <v>1747</v>
      </c>
      <c r="R202" s="43" t="n">
        <f aca="false">MAX(0,MIN(1,P202/100+$D$5))</f>
        <v>0.539346261665329</v>
      </c>
      <c r="S202" s="43" t="n">
        <v>0.130204099606216</v>
      </c>
      <c r="T202" s="44" t="s">
        <v>192</v>
      </c>
    </row>
    <row r="203" customFormat="false" ht="15" hidden="false" customHeight="false" outlineLevel="0" collapsed="false">
      <c r="A203" s="38" t="s">
        <v>156</v>
      </c>
      <c r="B203" s="38" t="s">
        <v>312</v>
      </c>
      <c r="C203" s="38" t="s">
        <v>314</v>
      </c>
      <c r="D203" s="21" t="n">
        <f aca="false">ROUND(Q203*R203,0)</f>
        <v>647</v>
      </c>
      <c r="E203" s="21" t="n">
        <f aca="false">ROUND(Q203,0)-D203</f>
        <v>589</v>
      </c>
      <c r="F203" s="21" t="n">
        <f aca="false">IF(COUNTA(D203:E203)=0,"",SUM(D203:E203))</f>
        <v>1236</v>
      </c>
      <c r="G203" s="39" t="n">
        <f aca="false">IF(OR(F203="",F203=0),"",D203/F203)</f>
        <v>0.523462783171521</v>
      </c>
      <c r="H203" s="39" t="n">
        <f aca="false">IF(OR(F203="",F203=0),"",E203/F203)</f>
        <v>0.476537216828479</v>
      </c>
      <c r="I203" s="38" t="s">
        <v>89</v>
      </c>
      <c r="J203" s="40" t="n">
        <v>1.24911041755021</v>
      </c>
      <c r="K203" s="39" t="n">
        <f aca="false">IF(G203="","",MAX(0,G203-J203/100))</f>
        <v>0.510971678996019</v>
      </c>
      <c r="L203" s="39" t="n">
        <f aca="false">IF(G203="","",MIN(1,G203+J203/100))</f>
        <v>0.535953887347023</v>
      </c>
      <c r="M203" s="21" t="n">
        <f aca="false">ROUND(Q203*S203,0)</f>
        <v>161</v>
      </c>
      <c r="N203" s="21" t="n">
        <f aca="false">ROUND(SQRT((F203*J203/100)^2+(G203*M203)^2),0)</f>
        <v>86</v>
      </c>
      <c r="P203" s="41" t="n">
        <v>-0.309283471237164</v>
      </c>
      <c r="Q203" s="42" t="n">
        <v>1236</v>
      </c>
      <c r="R203" s="43" t="n">
        <f aca="false">MAX(0,MIN(1,P203/100+$D$5))</f>
        <v>0.523474367982503</v>
      </c>
      <c r="S203" s="43" t="n">
        <v>0.130204099606216</v>
      </c>
      <c r="T203" s="44" t="s">
        <v>192</v>
      </c>
    </row>
    <row r="204" customFormat="false" ht="15" hidden="false" customHeight="false" outlineLevel="0" collapsed="false">
      <c r="A204" s="38" t="s">
        <v>156</v>
      </c>
      <c r="B204" s="38" t="s">
        <v>312</v>
      </c>
      <c r="C204" s="38" t="s">
        <v>315</v>
      </c>
      <c r="D204" s="21" t="n">
        <f aca="false">ROUND(Q204*R204,0)</f>
        <v>530</v>
      </c>
      <c r="E204" s="21" t="n">
        <f aca="false">ROUND(Q204,0)-D204</f>
        <v>474</v>
      </c>
      <c r="F204" s="21" t="n">
        <f aca="false">IF(COUNTA(D204:E204)=0,"",SUM(D204:E204))</f>
        <v>1004</v>
      </c>
      <c r="G204" s="39" t="n">
        <f aca="false">IF(OR(F204="",F204=0),"",D204/F204)</f>
        <v>0.527888446215139</v>
      </c>
      <c r="H204" s="39" t="n">
        <f aca="false">IF(OR(F204="",F204=0),"",E204/F204)</f>
        <v>0.472111553784861</v>
      </c>
      <c r="I204" s="38" t="s">
        <v>89</v>
      </c>
      <c r="J204" s="40" t="n">
        <v>1.8085538155628</v>
      </c>
      <c r="K204" s="39" t="n">
        <f aca="false">IF(G204="","",MAX(0,G204-J204/100))</f>
        <v>0.509802908059512</v>
      </c>
      <c r="L204" s="39" t="n">
        <f aca="false">IF(G204="","",MIN(1,G204+J204/100))</f>
        <v>0.545973984370767</v>
      </c>
      <c r="M204" s="21" t="n">
        <f aca="false">ROUND(Q204*S204,0)</f>
        <v>50</v>
      </c>
      <c r="N204" s="21" t="n">
        <f aca="false">ROUND(SQRT((F204*J204/100)^2+(G204*M204)^2),0)</f>
        <v>32</v>
      </c>
      <c r="P204" s="41" t="n">
        <v>0.178712641782957</v>
      </c>
      <c r="Q204" s="42" t="n">
        <v>1004</v>
      </c>
      <c r="R204" s="43" t="n">
        <f aca="false">MAX(0,MIN(1,P204/100+$D$5))</f>
        <v>0.528354329112704</v>
      </c>
      <c r="S204" s="43" t="n">
        <v>0.0500321312575726</v>
      </c>
      <c r="T204" s="44" t="s">
        <v>99</v>
      </c>
    </row>
    <row r="205" customFormat="false" ht="15" hidden="false" customHeight="false" outlineLevel="0" collapsed="false">
      <c r="A205" s="38" t="s">
        <v>156</v>
      </c>
      <c r="B205" s="38" t="s">
        <v>312</v>
      </c>
      <c r="C205" s="38" t="s">
        <v>316</v>
      </c>
      <c r="D205" s="21" t="n">
        <f aca="false">ROUND(Q205*R205,0)</f>
        <v>1392</v>
      </c>
      <c r="E205" s="21" t="n">
        <f aca="false">ROUND(Q205,0)-D205</f>
        <v>1248</v>
      </c>
      <c r="F205" s="21" t="n">
        <f aca="false">IF(COUNTA(D205:E205)=0,"",SUM(D205:E205))</f>
        <v>2640</v>
      </c>
      <c r="G205" s="39" t="n">
        <f aca="false">IF(OR(F205="",F205=0),"",D205/F205)</f>
        <v>0.527272727272727</v>
      </c>
      <c r="H205" s="39" t="n">
        <f aca="false">IF(OR(F205="",F205=0),"",E205/F205)</f>
        <v>0.472727272727273</v>
      </c>
      <c r="I205" s="38" t="s">
        <v>89</v>
      </c>
      <c r="J205" s="40" t="n">
        <v>1.24911041755021</v>
      </c>
      <c r="K205" s="39" t="n">
        <f aca="false">IF(G205="","",MAX(0,G205-J205/100))</f>
        <v>0.514781623097225</v>
      </c>
      <c r="L205" s="39" t="n">
        <f aca="false">IF(G205="","",MIN(1,G205+J205/100))</f>
        <v>0.539763831448229</v>
      </c>
      <c r="M205" s="21" t="n">
        <f aca="false">ROUND(Q205*S205,0)</f>
        <v>344</v>
      </c>
      <c r="N205" s="21" t="n">
        <f aca="false">ROUND(SQRT((F205*J205/100)^2+(G205*M205)^2),0)</f>
        <v>184</v>
      </c>
      <c r="P205" s="41" t="n">
        <v>0.0669946105215263</v>
      </c>
      <c r="Q205" s="42" t="n">
        <v>2640</v>
      </c>
      <c r="R205" s="43" t="n">
        <f aca="false">MAX(0,MIN(1,P205/100+$D$5))</f>
        <v>0.52723714880009</v>
      </c>
      <c r="S205" s="43" t="n">
        <v>0.130204099606216</v>
      </c>
      <c r="T205" s="44" t="s">
        <v>192</v>
      </c>
    </row>
    <row r="206" customFormat="false" ht="15" hidden="false" customHeight="false" outlineLevel="0" collapsed="false">
      <c r="A206" s="38" t="s">
        <v>156</v>
      </c>
      <c r="B206" s="38" t="s">
        <v>312</v>
      </c>
      <c r="C206" s="38" t="s">
        <v>317</v>
      </c>
      <c r="D206" s="21" t="n">
        <f aca="false">ROUND(Q206*R206,0)</f>
        <v>587</v>
      </c>
      <c r="E206" s="21" t="n">
        <f aca="false">ROUND(Q206,0)-D206</f>
        <v>492</v>
      </c>
      <c r="F206" s="21" t="n">
        <f aca="false">IF(COUNTA(D206:E206)=0,"",SUM(D206:E206))</f>
        <v>1079</v>
      </c>
      <c r="G206" s="39" t="n">
        <f aca="false">IF(OR(F206="",F206=0),"",D206/F206)</f>
        <v>0.544022242817424</v>
      </c>
      <c r="H206" s="39" t="n">
        <f aca="false">IF(OR(F206="",F206=0),"",E206/F206)</f>
        <v>0.455977757182576</v>
      </c>
      <c r="I206" s="38" t="s">
        <v>89</v>
      </c>
      <c r="J206" s="40" t="n">
        <v>1.8085538155628</v>
      </c>
      <c r="K206" s="39" t="n">
        <f aca="false">IF(G206="","",MAX(0,G206-J206/100))</f>
        <v>0.525936704661796</v>
      </c>
      <c r="L206" s="39" t="n">
        <f aca="false">IF(G206="","",MIN(1,G206+J206/100))</f>
        <v>0.562107780973052</v>
      </c>
      <c r="M206" s="21" t="n">
        <f aca="false">ROUND(Q206*S206,0)</f>
        <v>54</v>
      </c>
      <c r="N206" s="21" t="n">
        <f aca="false">ROUND(SQRT((F206*J206/100)^2+(G206*M206)^2),0)</f>
        <v>35</v>
      </c>
      <c r="P206" s="41" t="n">
        <v>1.74546446766982</v>
      </c>
      <c r="Q206" s="42" t="n">
        <v>1079</v>
      </c>
      <c r="R206" s="43" t="n">
        <f aca="false">MAX(0,MIN(1,P206/100+$D$5))</f>
        <v>0.544021847371572</v>
      </c>
      <c r="S206" s="43" t="n">
        <v>0.0500321312575726</v>
      </c>
      <c r="T206" s="44" t="s">
        <v>99</v>
      </c>
    </row>
    <row r="207" customFormat="false" ht="15" hidden="false" customHeight="false" outlineLevel="0" collapsed="false">
      <c r="A207" s="38" t="s">
        <v>156</v>
      </c>
      <c r="B207" s="38" t="s">
        <v>312</v>
      </c>
      <c r="C207" s="38" t="s">
        <v>318</v>
      </c>
      <c r="D207" s="21" t="n">
        <f aca="false">ROUND(Q207*R207,0)</f>
        <v>598</v>
      </c>
      <c r="E207" s="21" t="n">
        <f aca="false">ROUND(Q207,0)-D207</f>
        <v>471</v>
      </c>
      <c r="F207" s="21" t="n">
        <f aca="false">IF(COUNTA(D207:E207)=0,"",SUM(D207:E207))</f>
        <v>1069</v>
      </c>
      <c r="G207" s="39" t="n">
        <f aca="false">IF(OR(F207="",F207=0),"",D207/F207)</f>
        <v>0.559401309635173</v>
      </c>
      <c r="H207" s="39" t="n">
        <f aca="false">IF(OR(F207="",F207=0),"",E207/F207)</f>
        <v>0.440598690364827</v>
      </c>
      <c r="I207" s="38" t="s">
        <v>89</v>
      </c>
      <c r="J207" s="40" t="n">
        <v>1.8085538155628</v>
      </c>
      <c r="K207" s="39" t="n">
        <f aca="false">IF(G207="","",MAX(0,G207-J207/100))</f>
        <v>0.541315771479545</v>
      </c>
      <c r="L207" s="39" t="n">
        <f aca="false">IF(G207="","",MIN(1,G207+J207/100))</f>
        <v>0.577486847790801</v>
      </c>
      <c r="M207" s="21" t="n">
        <f aca="false">ROUND(Q207*S207,0)</f>
        <v>53</v>
      </c>
      <c r="N207" s="21" t="n">
        <f aca="false">ROUND(SQRT((F207*J207/100)^2+(G207*M207)^2),0)</f>
        <v>35</v>
      </c>
      <c r="P207" s="41" t="n">
        <v>3.26223128631303</v>
      </c>
      <c r="Q207" s="42" t="n">
        <v>1069</v>
      </c>
      <c r="R207" s="43" t="n">
        <f aca="false">MAX(0,MIN(1,P207/100+$D$5))</f>
        <v>0.559189515558004</v>
      </c>
      <c r="S207" s="43" t="n">
        <v>0.0500321312575726</v>
      </c>
      <c r="T207" s="44" t="s">
        <v>99</v>
      </c>
    </row>
    <row r="208" customFormat="false" ht="15" hidden="false" customHeight="false" outlineLevel="0" collapsed="false">
      <c r="A208" s="38" t="s">
        <v>156</v>
      </c>
      <c r="B208" s="38" t="s">
        <v>319</v>
      </c>
      <c r="C208" s="38" t="s">
        <v>320</v>
      </c>
      <c r="D208" s="21" t="n">
        <f aca="false">ROUND(Q208*R208,0)</f>
        <v>208</v>
      </c>
      <c r="E208" s="21" t="n">
        <f aca="false">ROUND(Q208,0)-D208</f>
        <v>375</v>
      </c>
      <c r="F208" s="21" t="n">
        <f aca="false">IF(COUNTA(D208:E208)=0,"",SUM(D208:E208))</f>
        <v>583</v>
      </c>
      <c r="G208" s="39" t="n">
        <f aca="false">IF(OR(F208="",F208=0),"",D208/F208)</f>
        <v>0.356775300171527</v>
      </c>
      <c r="H208" s="39" t="n">
        <f aca="false">IF(OR(F208="",F208=0),"",E208/F208)</f>
        <v>0.643224699828473</v>
      </c>
      <c r="I208" s="38" t="s">
        <v>89</v>
      </c>
      <c r="J208" s="40" t="n">
        <v>3.02608556967268</v>
      </c>
      <c r="K208" s="39" t="n">
        <f aca="false">IF(G208="","",MAX(0,G208-J208/100))</f>
        <v>0.3265144444748</v>
      </c>
      <c r="L208" s="39" t="n">
        <f aca="false">IF(G208="","",MIN(1,G208+J208/100))</f>
        <v>0.387036155868253</v>
      </c>
      <c r="M208" s="21" t="n">
        <f aca="false">ROUND(Q208*S208,0)</f>
        <v>36</v>
      </c>
      <c r="N208" s="21" t="n">
        <f aca="false">ROUND(SQRT((F208*J208/100)^2+(G208*M208)^2),0)</f>
        <v>22</v>
      </c>
      <c r="P208" s="41" t="n">
        <v>-17.01345416685</v>
      </c>
      <c r="Q208" s="42" t="n">
        <v>583</v>
      </c>
      <c r="R208" s="43" t="n">
        <f aca="false">MAX(0,MIN(1,P208/100+$D$5))</f>
        <v>0.356432661026374</v>
      </c>
      <c r="S208" s="43" t="n">
        <v>0.0610405690258335</v>
      </c>
      <c r="T208" s="44" t="s">
        <v>90</v>
      </c>
    </row>
    <row r="209" customFormat="false" ht="15" hidden="false" customHeight="false" outlineLevel="0" collapsed="false">
      <c r="A209" s="38" t="s">
        <v>156</v>
      </c>
      <c r="B209" s="38" t="s">
        <v>319</v>
      </c>
      <c r="C209" s="38" t="s">
        <v>321</v>
      </c>
      <c r="D209" s="21" t="n">
        <f aca="false">ROUND(Q209*R209,0)</f>
        <v>728</v>
      </c>
      <c r="E209" s="21" t="n">
        <f aca="false">ROUND(Q209,0)-D209</f>
        <v>1185</v>
      </c>
      <c r="F209" s="21" t="n">
        <f aca="false">IF(COUNTA(D209:E209)=0,"",SUM(D209:E209))</f>
        <v>1913</v>
      </c>
      <c r="G209" s="39" t="n">
        <f aca="false">IF(OR(F209="",F209=0),"",D209/F209)</f>
        <v>0.380554103502352</v>
      </c>
      <c r="H209" s="39" t="n">
        <f aca="false">IF(OR(F209="",F209=0),"",E209/F209)</f>
        <v>0.619445896497648</v>
      </c>
      <c r="I209" s="38" t="s">
        <v>89</v>
      </c>
      <c r="J209" s="40" t="n">
        <v>1.24911041755021</v>
      </c>
      <c r="K209" s="39" t="n">
        <f aca="false">IF(G209="","",MAX(0,G209-J209/100))</f>
        <v>0.36806299932685</v>
      </c>
      <c r="L209" s="39" t="n">
        <f aca="false">IF(G209="","",MIN(1,G209+J209/100))</f>
        <v>0.393045207677854</v>
      </c>
      <c r="M209" s="21" t="n">
        <f aca="false">ROUND(Q209*S209,0)</f>
        <v>249</v>
      </c>
      <c r="N209" s="21" t="n">
        <f aca="false">ROUND(SQRT((F209*J209/100)^2+(G209*M209)^2),0)</f>
        <v>98</v>
      </c>
      <c r="P209" s="41" t="n">
        <v>-14.6162295782494</v>
      </c>
      <c r="Q209" s="42" t="n">
        <v>1913</v>
      </c>
      <c r="R209" s="43" t="n">
        <f aca="false">MAX(0,MIN(1,P209/100+$D$5))</f>
        <v>0.38040490691238</v>
      </c>
      <c r="S209" s="43" t="n">
        <v>0.130204099606216</v>
      </c>
      <c r="T209" s="44" t="s">
        <v>192</v>
      </c>
    </row>
    <row r="210" customFormat="false" ht="15" hidden="false" customHeight="false" outlineLevel="0" collapsed="false">
      <c r="A210" s="38" t="s">
        <v>156</v>
      </c>
      <c r="B210" s="38" t="s">
        <v>319</v>
      </c>
      <c r="C210" s="38" t="s">
        <v>322</v>
      </c>
      <c r="D210" s="21" t="n">
        <f aca="false">ROUND(Q210*R210,0)</f>
        <v>167</v>
      </c>
      <c r="E210" s="21" t="n">
        <f aca="false">ROUND(Q210,0)-D210</f>
        <v>343</v>
      </c>
      <c r="F210" s="21" t="n">
        <f aca="false">IF(COUNTA(D210:E210)=0,"",SUM(D210:E210))</f>
        <v>510</v>
      </c>
      <c r="G210" s="39" t="n">
        <f aca="false">IF(OR(F210="",F210=0),"",D210/F210)</f>
        <v>0.327450980392157</v>
      </c>
      <c r="H210" s="39" t="n">
        <f aca="false">IF(OR(F210="",F210=0),"",E210/F210)</f>
        <v>0.672549019607843</v>
      </c>
      <c r="I210" s="38" t="s">
        <v>89</v>
      </c>
      <c r="J210" s="40" t="n">
        <v>3.02608556967268</v>
      </c>
      <c r="K210" s="39" t="n">
        <f aca="false">IF(G210="","",MAX(0,G210-J210/100))</f>
        <v>0.29719012469543</v>
      </c>
      <c r="L210" s="39" t="n">
        <f aca="false">IF(G210="","",MIN(1,G210+J210/100))</f>
        <v>0.357711836088884</v>
      </c>
      <c r="M210" s="21" t="n">
        <f aca="false">ROUND(Q210*S210,0)</f>
        <v>31</v>
      </c>
      <c r="N210" s="21" t="n">
        <f aca="false">ROUND(SQRT((F210*J210/100)^2+(G210*M210)^2),0)</f>
        <v>18</v>
      </c>
      <c r="P210" s="41" t="n">
        <v>-19.9030136825154</v>
      </c>
      <c r="Q210" s="42" t="n">
        <v>510</v>
      </c>
      <c r="R210" s="43" t="n">
        <f aca="false">MAX(0,MIN(1,P210/100+$D$5))</f>
        <v>0.32753706586972</v>
      </c>
      <c r="S210" s="43" t="n">
        <v>0.0610405690258335</v>
      </c>
      <c r="T210" s="44" t="s">
        <v>90</v>
      </c>
    </row>
    <row r="211" customFormat="false" ht="15" hidden="false" customHeight="false" outlineLevel="0" collapsed="false">
      <c r="A211" s="38" t="s">
        <v>156</v>
      </c>
      <c r="B211" s="38" t="s">
        <v>323</v>
      </c>
      <c r="C211" s="38" t="s">
        <v>323</v>
      </c>
      <c r="D211" s="21" t="n">
        <f aca="false">ROUND(Q211*R211,0)</f>
        <v>1059</v>
      </c>
      <c r="E211" s="21" t="n">
        <f aca="false">ROUND(Q211,0)-D211</f>
        <v>1633</v>
      </c>
      <c r="F211" s="21" t="n">
        <f aca="false">IF(COUNTA(D211:E211)=0,"",SUM(D211:E211))</f>
        <v>2692</v>
      </c>
      <c r="G211" s="39" t="n">
        <f aca="false">IF(OR(F211="",F211=0),"",D211/F211)</f>
        <v>0.393387815750371</v>
      </c>
      <c r="H211" s="39" t="n">
        <f aca="false">IF(OR(F211="",F211=0),"",E211/F211)</f>
        <v>0.606612184249629</v>
      </c>
      <c r="I211" s="38" t="s">
        <v>89</v>
      </c>
      <c r="J211" s="40" t="n">
        <v>1.24911041755021</v>
      </c>
      <c r="K211" s="39" t="n">
        <f aca="false">IF(G211="","",MAX(0,G211-J211/100))</f>
        <v>0.380896711574869</v>
      </c>
      <c r="L211" s="39" t="n">
        <f aca="false">IF(G211="","",MIN(1,G211+J211/100))</f>
        <v>0.405878919925874</v>
      </c>
      <c r="M211" s="21" t="n">
        <f aca="false">ROUND(Q211*S211,0)</f>
        <v>351</v>
      </c>
      <c r="N211" s="21" t="n">
        <f aca="false">ROUND(SQRT((F211*J211/100)^2+(G211*M211)^2),0)</f>
        <v>142</v>
      </c>
      <c r="P211" s="41" t="n">
        <v>-13.3025039192031</v>
      </c>
      <c r="Q211" s="42" t="n">
        <v>2692</v>
      </c>
      <c r="R211" s="43" t="n">
        <f aca="false">MAX(0,MIN(1,P211/100+$D$5))</f>
        <v>0.393542163502843</v>
      </c>
      <c r="S211" s="43" t="n">
        <v>0.130204099606216</v>
      </c>
      <c r="T211" s="44" t="s">
        <v>192</v>
      </c>
    </row>
    <row r="212" customFormat="false" ht="15" hidden="false" customHeight="false" outlineLevel="0" collapsed="false">
      <c r="A212" s="38" t="s">
        <v>156</v>
      </c>
      <c r="B212" s="38" t="s">
        <v>324</v>
      </c>
      <c r="C212" s="38" t="s">
        <v>325</v>
      </c>
      <c r="D212" s="21" t="n">
        <f aca="false">ROUND(Q212*R212,0)</f>
        <v>681</v>
      </c>
      <c r="E212" s="21" t="n">
        <f aca="false">ROUND(Q212,0)-D212</f>
        <v>620</v>
      </c>
      <c r="F212" s="21" t="n">
        <f aca="false">IF(COUNTA(D212:E212)=0,"",SUM(D212:E212))</f>
        <v>1301</v>
      </c>
      <c r="G212" s="39" t="n">
        <f aca="false">IF(OR(F212="",F212=0),"",D212/F212)</f>
        <v>0.523443504996157</v>
      </c>
      <c r="H212" s="39" t="n">
        <f aca="false">IF(OR(F212="",F212=0),"",E212/F212)</f>
        <v>0.476556495003843</v>
      </c>
      <c r="I212" s="38" t="s">
        <v>89</v>
      </c>
      <c r="J212" s="40" t="n">
        <v>1.24911041755021</v>
      </c>
      <c r="K212" s="39" t="n">
        <f aca="false">IF(G212="","",MAX(0,G212-J212/100))</f>
        <v>0.510952400820655</v>
      </c>
      <c r="L212" s="39" t="n">
        <f aca="false">IF(G212="","",MIN(1,G212+J212/100))</f>
        <v>0.535934609171659</v>
      </c>
      <c r="M212" s="21" t="n">
        <f aca="false">ROUND(Q212*S212,0)</f>
        <v>169</v>
      </c>
      <c r="N212" s="21" t="n">
        <f aca="false">ROUND(SQRT((F212*J212/100)^2+(G212*M212)^2),0)</f>
        <v>90</v>
      </c>
      <c r="P212" s="41" t="n">
        <v>-0.34224875066981</v>
      </c>
      <c r="Q212" s="42" t="n">
        <v>1301</v>
      </c>
      <c r="R212" s="43" t="n">
        <f aca="false">MAX(0,MIN(1,P212/100+$D$5))</f>
        <v>0.523144715188176</v>
      </c>
      <c r="S212" s="43" t="n">
        <v>0.130204099606216</v>
      </c>
      <c r="T212" s="44" t="s">
        <v>192</v>
      </c>
    </row>
    <row r="213" customFormat="false" ht="15" hidden="false" customHeight="false" outlineLevel="0" collapsed="false">
      <c r="A213" s="38" t="s">
        <v>156</v>
      </c>
      <c r="B213" s="38" t="s">
        <v>324</v>
      </c>
      <c r="C213" s="38" t="s">
        <v>326</v>
      </c>
      <c r="D213" s="21" t="n">
        <f aca="false">ROUND(Q213*R213,0)</f>
        <v>504</v>
      </c>
      <c r="E213" s="21" t="n">
        <f aca="false">ROUND(Q213,0)-D213</f>
        <v>459</v>
      </c>
      <c r="F213" s="21" t="n">
        <f aca="false">IF(COUNTA(D213:E213)=0,"",SUM(D213:E213))</f>
        <v>963</v>
      </c>
      <c r="G213" s="39" t="n">
        <f aca="false">IF(OR(F213="",F213=0),"",D213/F213)</f>
        <v>0.523364485981308</v>
      </c>
      <c r="H213" s="39" t="n">
        <f aca="false">IF(OR(F213="",F213=0),"",E213/F213)</f>
        <v>0.476635514018692</v>
      </c>
      <c r="I213" s="38" t="s">
        <v>89</v>
      </c>
      <c r="J213" s="40" t="n">
        <v>1.8085538155628</v>
      </c>
      <c r="K213" s="39" t="n">
        <f aca="false">IF(G213="","",MAX(0,G213-J213/100))</f>
        <v>0.50527894782568</v>
      </c>
      <c r="L213" s="39" t="n">
        <f aca="false">IF(G213="","",MIN(1,G213+J213/100))</f>
        <v>0.541450024136936</v>
      </c>
      <c r="M213" s="21" t="n">
        <f aca="false">ROUND(Q213*S213,0)</f>
        <v>48</v>
      </c>
      <c r="N213" s="21" t="n">
        <f aca="false">ROUND(SQRT((F213*J213/100)^2+(G213*M213)^2),0)</f>
        <v>31</v>
      </c>
      <c r="P213" s="41" t="n">
        <v>-0.336549114968295</v>
      </c>
      <c r="Q213" s="42" t="n">
        <v>963</v>
      </c>
      <c r="R213" s="43" t="n">
        <f aca="false">MAX(0,MIN(1,P213/100+$D$5))</f>
        <v>0.523201711545191</v>
      </c>
      <c r="S213" s="43" t="n">
        <v>0.0500321312575726</v>
      </c>
      <c r="T213" s="44" t="s">
        <v>99</v>
      </c>
    </row>
    <row r="214" customFormat="false" ht="15" hidden="false" customHeight="false" outlineLevel="0" collapsed="false">
      <c r="A214" s="38" t="s">
        <v>156</v>
      </c>
      <c r="B214" s="38" t="s">
        <v>324</v>
      </c>
      <c r="C214" s="38" t="s">
        <v>327</v>
      </c>
      <c r="D214" s="21" t="n">
        <f aca="false">ROUND(Q214*R214,0)</f>
        <v>535</v>
      </c>
      <c r="E214" s="21" t="n">
        <f aca="false">ROUND(Q214,0)-D214</f>
        <v>365</v>
      </c>
      <c r="F214" s="21" t="n">
        <f aca="false">IF(COUNTA(D214:E214)=0,"",SUM(D214:E214))</f>
        <v>900</v>
      </c>
      <c r="G214" s="39" t="n">
        <f aca="false">IF(OR(F214="",F214=0),"",D214/F214)</f>
        <v>0.594444444444444</v>
      </c>
      <c r="H214" s="39" t="n">
        <f aca="false">IF(OR(F214="",F214=0),"",E214/F214)</f>
        <v>0.405555555555556</v>
      </c>
      <c r="I214" s="38" t="s">
        <v>89</v>
      </c>
      <c r="J214" s="40" t="n">
        <v>1.8085538155628</v>
      </c>
      <c r="K214" s="39" t="n">
        <f aca="false">IF(G214="","",MAX(0,G214-J214/100))</f>
        <v>0.576358906288817</v>
      </c>
      <c r="L214" s="39" t="n">
        <f aca="false">IF(G214="","",MIN(1,G214+J214/100))</f>
        <v>0.612529982600072</v>
      </c>
      <c r="M214" s="21" t="n">
        <f aca="false">ROUND(Q214*S214,0)</f>
        <v>45</v>
      </c>
      <c r="N214" s="21" t="n">
        <f aca="false">ROUND(SQRT((F214*J214/100)^2+(G214*M214)^2),0)</f>
        <v>31</v>
      </c>
      <c r="P214" s="41" t="n">
        <v>6.76962000293171</v>
      </c>
      <c r="Q214" s="42" t="n">
        <v>900</v>
      </c>
      <c r="R214" s="43" t="n">
        <f aca="false">MAX(0,MIN(1,P214/100+$D$5))</f>
        <v>0.594263402724191</v>
      </c>
      <c r="S214" s="43" t="n">
        <v>0.0500321312575726</v>
      </c>
      <c r="T214" s="44" t="s">
        <v>99</v>
      </c>
    </row>
    <row r="215" customFormat="false" ht="15" hidden="false" customHeight="false" outlineLevel="0" collapsed="false">
      <c r="A215" s="38" t="s">
        <v>156</v>
      </c>
      <c r="B215" s="38" t="s">
        <v>324</v>
      </c>
      <c r="C215" s="38" t="s">
        <v>328</v>
      </c>
      <c r="D215" s="21" t="n">
        <f aca="false">ROUND(Q215*R215,0)</f>
        <v>614</v>
      </c>
      <c r="E215" s="21" t="n">
        <f aca="false">ROUND(Q215,0)-D215</f>
        <v>380</v>
      </c>
      <c r="F215" s="21" t="n">
        <f aca="false">IF(COUNTA(D215:E215)=0,"",SUM(D215:E215))</f>
        <v>994</v>
      </c>
      <c r="G215" s="39" t="n">
        <f aca="false">IF(OR(F215="",F215=0),"",D215/F215)</f>
        <v>0.617706237424547</v>
      </c>
      <c r="H215" s="39" t="n">
        <f aca="false">IF(OR(F215="",F215=0),"",E215/F215)</f>
        <v>0.382293762575453</v>
      </c>
      <c r="I215" s="38" t="s">
        <v>89</v>
      </c>
      <c r="J215" s="40" t="n">
        <v>1.8085538155628</v>
      </c>
      <c r="K215" s="39" t="n">
        <f aca="false">IF(G215="","",MAX(0,G215-J215/100))</f>
        <v>0.599620699268919</v>
      </c>
      <c r="L215" s="39" t="n">
        <f aca="false">IF(G215="","",MIN(1,G215+J215/100))</f>
        <v>0.635791775580175</v>
      </c>
      <c r="M215" s="21" t="n">
        <f aca="false">ROUND(Q215*S215,0)</f>
        <v>50</v>
      </c>
      <c r="N215" s="21" t="n">
        <f aca="false">ROUND(SQRT((F215*J215/100)^2+(G215*M215)^2),0)</f>
        <v>36</v>
      </c>
      <c r="P215" s="41" t="n">
        <v>9.15746890041884</v>
      </c>
      <c r="Q215" s="42" t="n">
        <v>994</v>
      </c>
      <c r="R215" s="43" t="n">
        <f aca="false">MAX(0,MIN(1,P215/100+$D$5))</f>
        <v>0.618141891699063</v>
      </c>
      <c r="S215" s="43" t="n">
        <v>0.0500321312575726</v>
      </c>
      <c r="T215" s="44" t="s">
        <v>99</v>
      </c>
    </row>
    <row r="216" customFormat="false" ht="15" hidden="false" customHeight="false" outlineLevel="0" collapsed="false">
      <c r="A216" s="38" t="s">
        <v>156</v>
      </c>
      <c r="B216" s="38" t="s">
        <v>324</v>
      </c>
      <c r="C216" s="38" t="s">
        <v>329</v>
      </c>
      <c r="D216" s="21" t="n">
        <f aca="false">ROUND(Q216*R216,0)</f>
        <v>225</v>
      </c>
      <c r="E216" s="21" t="n">
        <f aca="false">ROUND(Q216,0)-D216</f>
        <v>158</v>
      </c>
      <c r="F216" s="21" t="n">
        <f aca="false">IF(COUNTA(D216:E216)=0,"",SUM(D216:E216))</f>
        <v>383</v>
      </c>
      <c r="G216" s="39" t="n">
        <f aca="false">IF(OR(F216="",F216=0),"",D216/F216)</f>
        <v>0.587467362924282</v>
      </c>
      <c r="H216" s="39" t="n">
        <f aca="false">IF(OR(F216="",F216=0),"",E216/F216)</f>
        <v>0.412532637075718</v>
      </c>
      <c r="I216" s="38" t="s">
        <v>89</v>
      </c>
      <c r="J216" s="40" t="n">
        <v>3.02608556967268</v>
      </c>
      <c r="K216" s="39" t="n">
        <f aca="false">IF(G216="","",MAX(0,G216-J216/100))</f>
        <v>0.557206507227555</v>
      </c>
      <c r="L216" s="39" t="n">
        <f aca="false">IF(G216="","",MIN(1,G216+J216/100))</f>
        <v>0.617728218621009</v>
      </c>
      <c r="M216" s="21" t="n">
        <f aca="false">ROUND(Q216*S216,0)</f>
        <v>23</v>
      </c>
      <c r="N216" s="21" t="n">
        <f aca="false">ROUND(SQRT((F216*J216/100)^2+(G216*M216)^2),0)</f>
        <v>18</v>
      </c>
      <c r="P216" s="41" t="n">
        <v>6.19488312589435</v>
      </c>
      <c r="Q216" s="42" t="n">
        <v>383</v>
      </c>
      <c r="R216" s="43" t="n">
        <f aca="false">MAX(0,MIN(1,P216/100+$D$5))</f>
        <v>0.588516033953818</v>
      </c>
      <c r="S216" s="43" t="n">
        <v>0.0610405690258335</v>
      </c>
      <c r="T216" s="44" t="s">
        <v>90</v>
      </c>
    </row>
    <row r="217" customFormat="false" ht="15" hidden="false" customHeight="false" outlineLevel="0" collapsed="false">
      <c r="A217" s="38" t="s">
        <v>156</v>
      </c>
      <c r="B217" s="38" t="s">
        <v>324</v>
      </c>
      <c r="C217" s="38" t="s">
        <v>330</v>
      </c>
      <c r="D217" s="21" t="n">
        <f aca="false">ROUND(Q217*R217,0)</f>
        <v>332</v>
      </c>
      <c r="E217" s="21" t="n">
        <f aca="false">ROUND(Q217,0)-D217</f>
        <v>193</v>
      </c>
      <c r="F217" s="21" t="n">
        <f aca="false">IF(COUNTA(D217:E217)=0,"",SUM(D217:E217))</f>
        <v>525</v>
      </c>
      <c r="G217" s="39" t="n">
        <f aca="false">IF(OR(F217="",F217=0),"",D217/F217)</f>
        <v>0.632380952380952</v>
      </c>
      <c r="H217" s="39" t="n">
        <f aca="false">IF(OR(F217="",F217=0),"",E217/F217)</f>
        <v>0.367619047619048</v>
      </c>
      <c r="I217" s="38" t="s">
        <v>89</v>
      </c>
      <c r="J217" s="40" t="n">
        <v>3.02608556967268</v>
      </c>
      <c r="K217" s="39" t="n">
        <f aca="false">IF(G217="","",MAX(0,G217-J217/100))</f>
        <v>0.602120096684226</v>
      </c>
      <c r="L217" s="39" t="n">
        <f aca="false">IF(G217="","",MIN(1,G217+J217/100))</f>
        <v>0.662641808077679</v>
      </c>
      <c r="M217" s="21" t="n">
        <f aca="false">ROUND(Q217*S217,0)</f>
        <v>32</v>
      </c>
      <c r="N217" s="21" t="n">
        <f aca="false">ROUND(SQRT((F217*J217/100)^2+(G217*M217)^2),0)</f>
        <v>26</v>
      </c>
      <c r="P217" s="41" t="n">
        <v>10.5881993508468</v>
      </c>
      <c r="Q217" s="42" t="n">
        <v>525</v>
      </c>
      <c r="R217" s="43" t="n">
        <f aca="false">MAX(0,MIN(1,P217/100+$D$5))</f>
        <v>0.632449196203342</v>
      </c>
      <c r="S217" s="43" t="n">
        <v>0.0610405690258335</v>
      </c>
      <c r="T217" s="44" t="s">
        <v>90</v>
      </c>
    </row>
    <row r="218" customFormat="false" ht="15" hidden="false" customHeight="false" outlineLevel="0" collapsed="false">
      <c r="A218" s="38" t="s">
        <v>156</v>
      </c>
      <c r="B218" s="38" t="s">
        <v>324</v>
      </c>
      <c r="C218" s="38" t="s">
        <v>331</v>
      </c>
      <c r="D218" s="21" t="n">
        <f aca="false">ROUND(Q218*R218,0)</f>
        <v>408</v>
      </c>
      <c r="E218" s="21" t="n">
        <f aca="false">ROUND(Q218,0)-D218</f>
        <v>280</v>
      </c>
      <c r="F218" s="21" t="n">
        <f aca="false">IF(COUNTA(D218:E218)=0,"",SUM(D218:E218))</f>
        <v>688</v>
      </c>
      <c r="G218" s="39" t="n">
        <f aca="false">IF(OR(F218="",F218=0),"",D218/F218)</f>
        <v>0.593023255813954</v>
      </c>
      <c r="H218" s="39" t="n">
        <f aca="false">IF(OR(F218="",F218=0),"",E218/F218)</f>
        <v>0.406976744186047</v>
      </c>
      <c r="I218" s="38" t="s">
        <v>89</v>
      </c>
      <c r="J218" s="40" t="n">
        <v>3.02608556967268</v>
      </c>
      <c r="K218" s="39" t="n">
        <f aca="false">IF(G218="","",MAX(0,G218-J218/100))</f>
        <v>0.562762400117227</v>
      </c>
      <c r="L218" s="39" t="n">
        <f aca="false">IF(G218="","",MIN(1,G218+J218/100))</f>
        <v>0.62328411151068</v>
      </c>
      <c r="M218" s="21" t="n">
        <f aca="false">ROUND(Q218*S218,0)</f>
        <v>42</v>
      </c>
      <c r="N218" s="21" t="n">
        <f aca="false">ROUND(SQRT((F218*J218/100)^2+(G218*M218)^2),0)</f>
        <v>32</v>
      </c>
      <c r="P218" s="41" t="n">
        <v>6.65824283126126</v>
      </c>
      <c r="Q218" s="42" t="n">
        <v>688</v>
      </c>
      <c r="R218" s="43" t="n">
        <f aca="false">MAX(0,MIN(1,P218/100+$D$5))</f>
        <v>0.593149631007487</v>
      </c>
      <c r="S218" s="43" t="n">
        <v>0.0610405690258335</v>
      </c>
      <c r="T218" s="44" t="s">
        <v>90</v>
      </c>
    </row>
    <row r="219" customFormat="false" ht="15" hidden="false" customHeight="false" outlineLevel="0" collapsed="false">
      <c r="A219" s="38" t="s">
        <v>156</v>
      </c>
      <c r="B219" s="38" t="s">
        <v>324</v>
      </c>
      <c r="C219" s="38" t="s">
        <v>332</v>
      </c>
      <c r="D219" s="21" t="n">
        <f aca="false">ROUND(Q219*R219,0)</f>
        <v>224</v>
      </c>
      <c r="E219" s="21" t="n">
        <f aca="false">ROUND(Q219,0)-D219</f>
        <v>205</v>
      </c>
      <c r="F219" s="21" t="n">
        <f aca="false">IF(COUNTA(D219:E219)=0,"",SUM(D219:E219))</f>
        <v>429</v>
      </c>
      <c r="G219" s="39" t="n">
        <f aca="false">IF(OR(F219="",F219=0),"",D219/F219)</f>
        <v>0.522144522144522</v>
      </c>
      <c r="H219" s="39" t="n">
        <f aca="false">IF(OR(F219="",F219=0),"",E219/F219)</f>
        <v>0.477855477855478</v>
      </c>
      <c r="I219" s="38" t="s">
        <v>89</v>
      </c>
      <c r="J219" s="40" t="n">
        <v>3.02608556967268</v>
      </c>
      <c r="K219" s="39" t="n">
        <f aca="false">IF(G219="","",MAX(0,G219-J219/100))</f>
        <v>0.491883666447795</v>
      </c>
      <c r="L219" s="39" t="n">
        <f aca="false">IF(G219="","",MIN(1,G219+J219/100))</f>
        <v>0.552405377841249</v>
      </c>
      <c r="M219" s="21" t="n">
        <f aca="false">ROUND(Q219*S219,0)</f>
        <v>26</v>
      </c>
      <c r="N219" s="21" t="n">
        <f aca="false">ROUND(SQRT((F219*J219/100)^2+(G219*M219)^2),0)</f>
        <v>19</v>
      </c>
      <c r="P219" s="41" t="n">
        <v>-0.326421066940425</v>
      </c>
      <c r="Q219" s="42" t="n">
        <v>429</v>
      </c>
      <c r="R219" s="43" t="n">
        <f aca="false">MAX(0,MIN(1,P219/100+$D$5))</f>
        <v>0.52330299202547</v>
      </c>
      <c r="S219" s="43" t="n">
        <v>0.0610405690258335</v>
      </c>
      <c r="T219" s="44" t="s">
        <v>90</v>
      </c>
    </row>
    <row r="220" customFormat="false" ht="15" hidden="false" customHeight="false" outlineLevel="0" collapsed="false">
      <c r="A220" s="38" t="s">
        <v>156</v>
      </c>
      <c r="B220" s="38" t="s">
        <v>324</v>
      </c>
      <c r="C220" s="38" t="s">
        <v>333</v>
      </c>
      <c r="D220" s="21" t="n">
        <f aca="false">ROUND(Q220*R220,0)</f>
        <v>407</v>
      </c>
      <c r="E220" s="21" t="n">
        <f aca="false">ROUND(Q220,0)-D220</f>
        <v>321</v>
      </c>
      <c r="F220" s="21" t="n">
        <f aca="false">IF(COUNTA(D220:E220)=0,"",SUM(D220:E220))</f>
        <v>728</v>
      </c>
      <c r="G220" s="39" t="n">
        <f aca="false">IF(OR(F220="",F220=0),"",D220/F220)</f>
        <v>0.559065934065934</v>
      </c>
      <c r="H220" s="39" t="n">
        <f aca="false">IF(OR(F220="",F220=0),"",E220/F220)</f>
        <v>0.440934065934066</v>
      </c>
      <c r="I220" s="38" t="s">
        <v>89</v>
      </c>
      <c r="J220" s="40" t="n">
        <v>3.02608556967268</v>
      </c>
      <c r="K220" s="39" t="n">
        <f aca="false">IF(G220="","",MAX(0,G220-J220/100))</f>
        <v>0.528805078369207</v>
      </c>
      <c r="L220" s="39" t="n">
        <f aca="false">IF(G220="","",MIN(1,G220+J220/100))</f>
        <v>0.589326789762661</v>
      </c>
      <c r="M220" s="21" t="n">
        <f aca="false">ROUND(Q220*S220,0)</f>
        <v>44</v>
      </c>
      <c r="N220" s="21" t="n">
        <f aca="false">ROUND(SQRT((F220*J220/100)^2+(G220*M220)^2),0)</f>
        <v>33</v>
      </c>
      <c r="P220" s="41" t="n">
        <v>3.21604193483198</v>
      </c>
      <c r="Q220" s="42" t="n">
        <v>728</v>
      </c>
      <c r="R220" s="43" t="n">
        <f aca="false">MAX(0,MIN(1,P220/100+$D$5))</f>
        <v>0.558727622043194</v>
      </c>
      <c r="S220" s="43" t="n">
        <v>0.0610405690258335</v>
      </c>
      <c r="T220" s="44" t="s">
        <v>90</v>
      </c>
    </row>
    <row r="221" customFormat="false" ht="15" hidden="false" customHeight="false" outlineLevel="0" collapsed="false">
      <c r="A221" s="38" t="s">
        <v>156</v>
      </c>
      <c r="B221" s="38" t="s">
        <v>324</v>
      </c>
      <c r="C221" s="38" t="s">
        <v>334</v>
      </c>
      <c r="D221" s="21" t="n">
        <f aca="false">ROUND(Q221*R221,0)</f>
        <v>712</v>
      </c>
      <c r="E221" s="21" t="n">
        <f aca="false">ROUND(Q221,0)-D221</f>
        <v>661</v>
      </c>
      <c r="F221" s="21" t="n">
        <f aca="false">IF(COUNTA(D221:E221)=0,"",SUM(D221:E221))</f>
        <v>1373</v>
      </c>
      <c r="G221" s="39" t="n">
        <f aca="false">IF(OR(F221="",F221=0),"",D221/F221)</f>
        <v>0.518572469045885</v>
      </c>
      <c r="H221" s="39" t="n">
        <f aca="false">IF(OR(F221="",F221=0),"",E221/F221)</f>
        <v>0.481427530954115</v>
      </c>
      <c r="I221" s="38" t="s">
        <v>89</v>
      </c>
      <c r="J221" s="40" t="n">
        <v>1.24911041755021</v>
      </c>
      <c r="K221" s="39" t="n">
        <f aca="false">IF(G221="","",MAX(0,G221-J221/100))</f>
        <v>0.506081364870383</v>
      </c>
      <c r="L221" s="39" t="n">
        <f aca="false">IF(G221="","",MIN(1,G221+J221/100))</f>
        <v>0.531063573221387</v>
      </c>
      <c r="M221" s="21" t="n">
        <f aca="false">ROUND(Q221*S221,0)</f>
        <v>179</v>
      </c>
      <c r="N221" s="21" t="n">
        <f aca="false">ROUND(SQRT((F221*J221/100)^2+(G221*M221)^2),0)</f>
        <v>94</v>
      </c>
      <c r="P221" s="41" t="n">
        <v>-0.81956152970615</v>
      </c>
      <c r="Q221" s="42" t="n">
        <v>1373</v>
      </c>
      <c r="R221" s="43" t="n">
        <f aca="false">MAX(0,MIN(1,P221/100+$D$5))</f>
        <v>0.518371587397813</v>
      </c>
      <c r="S221" s="43" t="n">
        <v>0.130204099606216</v>
      </c>
      <c r="T221" s="44" t="s">
        <v>192</v>
      </c>
    </row>
    <row r="222" customFormat="false" ht="15" hidden="false" customHeight="false" outlineLevel="0" collapsed="false">
      <c r="A222" s="38" t="s">
        <v>156</v>
      </c>
      <c r="B222" s="38" t="s">
        <v>324</v>
      </c>
      <c r="C222" s="38" t="s">
        <v>335</v>
      </c>
      <c r="D222" s="21" t="n">
        <f aca="false">ROUND(Q222*R222,0)</f>
        <v>617</v>
      </c>
      <c r="E222" s="21" t="n">
        <f aca="false">ROUND(Q222,0)-D222</f>
        <v>527</v>
      </c>
      <c r="F222" s="21" t="n">
        <f aca="false">IF(COUNTA(D222:E222)=0,"",SUM(D222:E222))</f>
        <v>1144</v>
      </c>
      <c r="G222" s="39" t="n">
        <f aca="false">IF(OR(F222="",F222=0),"",D222/F222)</f>
        <v>0.539335664335664</v>
      </c>
      <c r="H222" s="39" t="n">
        <f aca="false">IF(OR(F222="",F222=0),"",E222/F222)</f>
        <v>0.460664335664336</v>
      </c>
      <c r="I222" s="38" t="s">
        <v>89</v>
      </c>
      <c r="J222" s="40" t="n">
        <v>1.8085538155628</v>
      </c>
      <c r="K222" s="39" t="n">
        <f aca="false">IF(G222="","",MAX(0,G222-J222/100))</f>
        <v>0.521250126180036</v>
      </c>
      <c r="L222" s="39" t="n">
        <f aca="false">IF(G222="","",MIN(1,G222+J222/100))</f>
        <v>0.557421202491292</v>
      </c>
      <c r="M222" s="21" t="n">
        <f aca="false">ROUND(Q222*S222,0)</f>
        <v>57</v>
      </c>
      <c r="N222" s="21" t="n">
        <f aca="false">ROUND(SQRT((F222*J222/100)^2+(G222*M222)^2),0)</f>
        <v>37</v>
      </c>
      <c r="P222" s="41" t="n">
        <v>1.25252556898848</v>
      </c>
      <c r="Q222" s="42" t="n">
        <v>1144</v>
      </c>
      <c r="R222" s="43" t="n">
        <f aca="false">MAX(0,MIN(1,P222/100+$D$5))</f>
        <v>0.539092458384759</v>
      </c>
      <c r="S222" s="43" t="n">
        <v>0.0500321312575726</v>
      </c>
      <c r="T222" s="44" t="s">
        <v>99</v>
      </c>
    </row>
    <row r="223" customFormat="false" ht="15" hidden="false" customHeight="false" outlineLevel="0" collapsed="false">
      <c r="A223" s="38" t="s">
        <v>156</v>
      </c>
      <c r="B223" s="38" t="s">
        <v>324</v>
      </c>
      <c r="C223" s="38" t="s">
        <v>336</v>
      </c>
      <c r="D223" s="21" t="n">
        <f aca="false">ROUND(Q223*R223,0)</f>
        <v>479</v>
      </c>
      <c r="E223" s="21" t="n">
        <f aca="false">ROUND(Q223,0)-D223</f>
        <v>385</v>
      </c>
      <c r="F223" s="21" t="n">
        <f aca="false">IF(COUNTA(D223:E223)=0,"",SUM(D223:E223))</f>
        <v>864</v>
      </c>
      <c r="G223" s="39" t="n">
        <f aca="false">IF(OR(F223="",F223=0),"",D223/F223)</f>
        <v>0.554398148148148</v>
      </c>
      <c r="H223" s="39" t="n">
        <f aca="false">IF(OR(F223="",F223=0),"",E223/F223)</f>
        <v>0.445601851851852</v>
      </c>
      <c r="I223" s="38" t="s">
        <v>89</v>
      </c>
      <c r="J223" s="40" t="n">
        <v>1.8085538155628</v>
      </c>
      <c r="K223" s="39" t="n">
        <f aca="false">IF(G223="","",MAX(0,G223-J223/100))</f>
        <v>0.53631260999252</v>
      </c>
      <c r="L223" s="39" t="n">
        <f aca="false">IF(G223="","",MIN(1,G223+J223/100))</f>
        <v>0.572483686303776</v>
      </c>
      <c r="M223" s="21" t="n">
        <f aca="false">ROUND(Q223*S223,0)</f>
        <v>43</v>
      </c>
      <c r="N223" s="21" t="n">
        <f aca="false">ROUND(SQRT((F223*J223/100)^2+(G223*M223)^2),0)</f>
        <v>29</v>
      </c>
      <c r="P223" s="41" t="n">
        <v>2.79039536634468</v>
      </c>
      <c r="Q223" s="42" t="n">
        <v>864</v>
      </c>
      <c r="R223" s="43" t="n">
        <f aca="false">MAX(0,MIN(1,P223/100+$D$5))</f>
        <v>0.554471156358321</v>
      </c>
      <c r="S223" s="43" t="n">
        <v>0.0500321312575726</v>
      </c>
      <c r="T223" s="44" t="s">
        <v>99</v>
      </c>
    </row>
    <row r="224" customFormat="false" ht="15" hidden="false" customHeight="false" outlineLevel="0" collapsed="false">
      <c r="A224" s="38" t="s">
        <v>337</v>
      </c>
      <c r="B224" s="38" t="s">
        <v>338</v>
      </c>
      <c r="C224" s="38" t="s">
        <v>339</v>
      </c>
      <c r="D224" s="21" t="n">
        <f aca="false">ROUND(Q224*R224,0)</f>
        <v>410</v>
      </c>
      <c r="E224" s="21" t="n">
        <f aca="false">ROUND(Q224,0)-D224</f>
        <v>775</v>
      </c>
      <c r="F224" s="21" t="n">
        <f aca="false">IF(COUNTA(D224:E224)=0,"",SUM(D224:E224))</f>
        <v>1185</v>
      </c>
      <c r="G224" s="39" t="n">
        <f aca="false">IF(OR(F224="",F224=0),"",D224/F224)</f>
        <v>0.345991561181435</v>
      </c>
      <c r="H224" s="39" t="n">
        <f aca="false">IF(OR(F224="",F224=0),"",E224/F224)</f>
        <v>0.654008438818565</v>
      </c>
      <c r="I224" s="38" t="s">
        <v>89</v>
      </c>
      <c r="J224" s="40" t="n">
        <v>1.8085538155628</v>
      </c>
      <c r="K224" s="39" t="n">
        <f aca="false">IF(G224="","",MAX(0,G224-J224/100))</f>
        <v>0.327906023025807</v>
      </c>
      <c r="L224" s="39" t="n">
        <f aca="false">IF(G224="","",MIN(1,G224+J224/100))</f>
        <v>0.364077099337063</v>
      </c>
      <c r="M224" s="21" t="n">
        <f aca="false">ROUND(Q224*S224,0)</f>
        <v>59</v>
      </c>
      <c r="N224" s="21" t="n">
        <f aca="false">ROUND(SQRT((F224*J224/100)^2+(G224*M224)^2),0)</f>
        <v>30</v>
      </c>
      <c r="P224" s="41" t="n">
        <v>-18.0698859341141</v>
      </c>
      <c r="Q224" s="42" t="n">
        <v>1185</v>
      </c>
      <c r="R224" s="43" t="n">
        <f aca="false">MAX(0,MIN(1,P224/100+$D$5))</f>
        <v>0.345868343353733</v>
      </c>
      <c r="S224" s="43" t="n">
        <v>0.0500321312575726</v>
      </c>
      <c r="T224" s="44" t="s">
        <v>99</v>
      </c>
    </row>
    <row r="225" customFormat="false" ht="15" hidden="false" customHeight="false" outlineLevel="0" collapsed="false">
      <c r="A225" s="38" t="s">
        <v>337</v>
      </c>
      <c r="B225" s="38" t="s">
        <v>340</v>
      </c>
      <c r="C225" s="38" t="s">
        <v>341</v>
      </c>
      <c r="D225" s="21" t="n">
        <f aca="false">ROUND(Q225*R225,0)</f>
        <v>1116</v>
      </c>
      <c r="E225" s="21" t="n">
        <f aca="false">ROUND(Q225,0)-D225</f>
        <v>1889</v>
      </c>
      <c r="F225" s="21" t="n">
        <f aca="false">IF(COUNTA(D225:E225)=0,"",SUM(D225:E225))</f>
        <v>3005</v>
      </c>
      <c r="G225" s="39" t="n">
        <f aca="false">IF(OR(F225="",F225=0),"",D225/F225)</f>
        <v>0.371381031613977</v>
      </c>
      <c r="H225" s="39" t="n">
        <f aca="false">IF(OR(F225="",F225=0),"",E225/F225)</f>
        <v>0.628618968386023</v>
      </c>
      <c r="I225" s="38" t="s">
        <v>89</v>
      </c>
      <c r="J225" s="40" t="n">
        <v>1.24911041755021</v>
      </c>
      <c r="K225" s="39" t="n">
        <f aca="false">IF(G225="","",MAX(0,G225-J225/100))</f>
        <v>0.358889927438475</v>
      </c>
      <c r="L225" s="39" t="n">
        <f aca="false">IF(G225="","",MIN(1,G225+J225/100))</f>
        <v>0.383872135789479</v>
      </c>
      <c r="M225" s="21" t="n">
        <f aca="false">ROUND(Q225*S225,0)</f>
        <v>391</v>
      </c>
      <c r="N225" s="21" t="n">
        <f aca="false">ROUND(SQRT((F225*J225/100)^2+(G225*M225)^2),0)</f>
        <v>150</v>
      </c>
      <c r="P225" s="41" t="n">
        <v>-15.5146665610565</v>
      </c>
      <c r="Q225" s="42" t="n">
        <v>3005</v>
      </c>
      <c r="R225" s="43" t="n">
        <f aca="false">MAX(0,MIN(1,P225/100+$D$5))</f>
        <v>0.371420537084309</v>
      </c>
      <c r="S225" s="43" t="n">
        <v>0.130204099606216</v>
      </c>
      <c r="T225" s="44" t="s">
        <v>192</v>
      </c>
    </row>
    <row r="226" customFormat="false" ht="15" hidden="false" customHeight="false" outlineLevel="0" collapsed="false">
      <c r="A226" s="38" t="s">
        <v>337</v>
      </c>
      <c r="B226" s="38" t="s">
        <v>342</v>
      </c>
      <c r="C226" s="38" t="s">
        <v>343</v>
      </c>
      <c r="D226" s="21" t="n">
        <f aca="false">ROUND(Q226*R226,0)</f>
        <v>431</v>
      </c>
      <c r="E226" s="21" t="n">
        <f aca="false">ROUND(Q226,0)-D226</f>
        <v>681</v>
      </c>
      <c r="F226" s="21" t="n">
        <f aca="false">IF(COUNTA(D226:E226)=0,"",SUM(D226:E226))</f>
        <v>1112</v>
      </c>
      <c r="G226" s="39" t="n">
        <f aca="false">IF(OR(F226="",F226=0),"",D226/F226)</f>
        <v>0.387589928057554</v>
      </c>
      <c r="H226" s="39" t="n">
        <f aca="false">IF(OR(F226="",F226=0),"",E226/F226)</f>
        <v>0.612410071942446</v>
      </c>
      <c r="I226" s="38" t="s">
        <v>89</v>
      </c>
      <c r="J226" s="40" t="n">
        <v>1.8085538155628</v>
      </c>
      <c r="K226" s="39" t="n">
        <f aca="false">IF(G226="","",MAX(0,G226-J226/100))</f>
        <v>0.369504389901926</v>
      </c>
      <c r="L226" s="39" t="n">
        <f aca="false">IF(G226="","",MIN(1,G226+J226/100))</f>
        <v>0.405675466213182</v>
      </c>
      <c r="M226" s="21" t="n">
        <f aca="false">ROUND(Q226*S226,0)</f>
        <v>56</v>
      </c>
      <c r="N226" s="21" t="n">
        <f aca="false">ROUND(SQRT((F226*J226/100)^2+(G226*M226)^2),0)</f>
        <v>30</v>
      </c>
      <c r="P226" s="41" t="n">
        <v>-13.9328478534989</v>
      </c>
      <c r="Q226" s="42" t="n">
        <v>1112</v>
      </c>
      <c r="R226" s="43" t="n">
        <f aca="false">MAX(0,MIN(1,P226/100+$D$5))</f>
        <v>0.387238724159885</v>
      </c>
      <c r="S226" s="43" t="n">
        <v>0.0500321312575726</v>
      </c>
      <c r="T226" s="44" t="s">
        <v>99</v>
      </c>
    </row>
    <row r="227" customFormat="false" ht="15" hidden="false" customHeight="false" outlineLevel="0" collapsed="false">
      <c r="A227" s="38" t="s">
        <v>344</v>
      </c>
      <c r="B227" s="38" t="s">
        <v>345</v>
      </c>
      <c r="C227" s="38" t="s">
        <v>346</v>
      </c>
      <c r="D227" s="21" t="n">
        <f aca="false">ROUND(Q227*R227,0)</f>
        <v>582</v>
      </c>
      <c r="E227" s="21" t="n">
        <f aca="false">ROUND(Q227,0)-D227</f>
        <v>691</v>
      </c>
      <c r="F227" s="21" t="n">
        <f aca="false">IF(COUNTA(D227:E227)=0,"",SUM(D227:E227))</f>
        <v>1273</v>
      </c>
      <c r="G227" s="39" t="n">
        <f aca="false">IF(OR(F227="",F227=0),"",D227/F227)</f>
        <v>0.457187745483111</v>
      </c>
      <c r="H227" s="39" t="n">
        <f aca="false">IF(OR(F227="",F227=0),"",E227/F227)</f>
        <v>0.542812254516889</v>
      </c>
      <c r="I227" s="38" t="s">
        <v>89</v>
      </c>
      <c r="J227" s="40" t="n">
        <v>1.24911041755021</v>
      </c>
      <c r="K227" s="39" t="n">
        <f aca="false">IF(G227="","",MAX(0,G227-J227/100))</f>
        <v>0.444696641307609</v>
      </c>
      <c r="L227" s="39" t="n">
        <f aca="false">IF(G227="","",MIN(1,G227+J227/100))</f>
        <v>0.469678849658613</v>
      </c>
      <c r="M227" s="21" t="n">
        <f aca="false">ROUND(Q227*S227,0)</f>
        <v>166</v>
      </c>
      <c r="N227" s="21" t="n">
        <f aca="false">ROUND(SQRT((F227*J227/100)^2+(G227*M227)^2),0)</f>
        <v>78</v>
      </c>
      <c r="P227" s="41" t="n">
        <v>-6.95445682326358</v>
      </c>
      <c r="Q227" s="42" t="n">
        <v>1273</v>
      </c>
      <c r="R227" s="43" t="n">
        <f aca="false">MAX(0,MIN(1,P227/100+$D$5))</f>
        <v>0.457022634462238</v>
      </c>
      <c r="S227" s="43" t="n">
        <v>0.130204099606216</v>
      </c>
      <c r="T227" s="44" t="s">
        <v>192</v>
      </c>
    </row>
    <row r="228" customFormat="false" ht="15" hidden="false" customHeight="false" outlineLevel="0" collapsed="false">
      <c r="A228" s="38" t="s">
        <v>344</v>
      </c>
      <c r="B228" s="38" t="s">
        <v>345</v>
      </c>
      <c r="C228" s="38" t="s">
        <v>347</v>
      </c>
      <c r="D228" s="21" t="n">
        <f aca="false">ROUND(Q228*R228,0)</f>
        <v>681</v>
      </c>
      <c r="E228" s="21" t="n">
        <f aca="false">ROUND(Q228,0)-D228</f>
        <v>646</v>
      </c>
      <c r="F228" s="21" t="n">
        <f aca="false">IF(COUNTA(D228:E228)=0,"",SUM(D228:E228))</f>
        <v>1327</v>
      </c>
      <c r="G228" s="39" t="n">
        <f aca="false">IF(OR(F228="",F228=0),"",D228/F228)</f>
        <v>0.513187641296157</v>
      </c>
      <c r="H228" s="39" t="n">
        <f aca="false">IF(OR(F228="",F228=0),"",E228/F228)</f>
        <v>0.486812358703843</v>
      </c>
      <c r="I228" s="38" t="s">
        <v>89</v>
      </c>
      <c r="J228" s="40" t="n">
        <v>1.24911041755021</v>
      </c>
      <c r="K228" s="39" t="n">
        <f aca="false">IF(G228="","",MAX(0,G228-J228/100))</f>
        <v>0.500696537120655</v>
      </c>
      <c r="L228" s="39" t="n">
        <f aca="false">IF(G228="","",MIN(1,G228+J228/100))</f>
        <v>0.525678745471659</v>
      </c>
      <c r="M228" s="21" t="n">
        <f aca="false">ROUND(Q228*S228,0)</f>
        <v>173</v>
      </c>
      <c r="N228" s="21" t="n">
        <f aca="false">ROUND(SQRT((F228*J228/100)^2+(G228*M228)^2),0)</f>
        <v>90</v>
      </c>
      <c r="P228" s="41" t="n">
        <v>-1.37517362545272</v>
      </c>
      <c r="Q228" s="42" t="n">
        <v>1327</v>
      </c>
      <c r="R228" s="43" t="n">
        <f aca="false">MAX(0,MIN(1,P228/100+$D$5))</f>
        <v>0.512815466440347</v>
      </c>
      <c r="S228" s="43" t="n">
        <v>0.130204099606216</v>
      </c>
      <c r="T228" s="44" t="s">
        <v>192</v>
      </c>
    </row>
    <row r="229" customFormat="false" ht="15" hidden="false" customHeight="false" outlineLevel="0" collapsed="false">
      <c r="A229" s="38" t="s">
        <v>344</v>
      </c>
      <c r="B229" s="38" t="s">
        <v>348</v>
      </c>
      <c r="C229" s="38" t="s">
        <v>349</v>
      </c>
      <c r="D229" s="21" t="n">
        <f aca="false">ROUND(Q229*R229,0)</f>
        <v>348</v>
      </c>
      <c r="E229" s="21" t="n">
        <f aca="false">ROUND(Q229,0)-D229</f>
        <v>448</v>
      </c>
      <c r="F229" s="21" t="n">
        <f aca="false">IF(COUNTA(D229:E229)=0,"",SUM(D229:E229))</f>
        <v>796</v>
      </c>
      <c r="G229" s="39" t="n">
        <f aca="false">IF(OR(F229="",F229=0),"",D229/F229)</f>
        <v>0.437185929648241</v>
      </c>
      <c r="H229" s="39" t="n">
        <f aca="false">IF(OR(F229="",F229=0),"",E229/F229)</f>
        <v>0.562814070351759</v>
      </c>
      <c r="I229" s="38" t="s">
        <v>190</v>
      </c>
      <c r="J229" s="40" t="n">
        <v>1.8085538155628</v>
      </c>
      <c r="K229" s="39" t="n">
        <f aca="false">IF(G229="","",MAX(0,G229-J229/100))</f>
        <v>0.419100391492613</v>
      </c>
      <c r="L229" s="39" t="n">
        <f aca="false">IF(G229="","",MIN(1,G229+J229/100))</f>
        <v>0.455271467803869</v>
      </c>
      <c r="M229" s="21" t="n">
        <f aca="false">ROUND(Q229*S229,0)</f>
        <v>40</v>
      </c>
      <c r="N229" s="21" t="n">
        <f aca="false">ROUND(SQRT((F229*J229/100)^2+(G229*M229)^2),0)</f>
        <v>23</v>
      </c>
      <c r="P229" s="41" t="n">
        <v>-9.00930988170942</v>
      </c>
      <c r="Q229" s="42" t="n">
        <v>796.162853297443</v>
      </c>
      <c r="R229" s="43" t="n">
        <f aca="false">MAX(0,MIN(1,P229/100+$D$5))</f>
        <v>0.43647410387778</v>
      </c>
      <c r="S229" s="43" t="n">
        <v>0.0500321312575726</v>
      </c>
      <c r="T229" s="44" t="s">
        <v>99</v>
      </c>
    </row>
    <row r="230" customFormat="false" ht="15" hidden="false" customHeight="false" outlineLevel="0" collapsed="false">
      <c r="A230" s="38" t="s">
        <v>344</v>
      </c>
      <c r="B230" s="38" t="s">
        <v>348</v>
      </c>
      <c r="C230" s="38" t="s">
        <v>350</v>
      </c>
      <c r="D230" s="21" t="n">
        <f aca="false">ROUND(Q230*R230,0)</f>
        <v>389</v>
      </c>
      <c r="E230" s="21" t="n">
        <f aca="false">ROUND(Q230,0)-D230</f>
        <v>472</v>
      </c>
      <c r="F230" s="21" t="n">
        <f aca="false">IF(COUNTA(D230:E230)=0,"",SUM(D230:E230))</f>
        <v>861</v>
      </c>
      <c r="G230" s="39" t="n">
        <f aca="false">IF(OR(F230="",F230=0),"",D230/F230)</f>
        <v>0.451800232288037</v>
      </c>
      <c r="H230" s="39" t="n">
        <f aca="false">IF(OR(F230="",F230=0),"",E230/F230)</f>
        <v>0.548199767711963</v>
      </c>
      <c r="I230" s="38" t="s">
        <v>190</v>
      </c>
      <c r="J230" s="40" t="n">
        <v>1.8085538155628</v>
      </c>
      <c r="K230" s="39" t="n">
        <f aca="false">IF(G230="","",MAX(0,G230-J230/100))</f>
        <v>0.433714694132409</v>
      </c>
      <c r="L230" s="39" t="n">
        <f aca="false">IF(G230="","",MIN(1,G230+J230/100))</f>
        <v>0.469885770443665</v>
      </c>
      <c r="M230" s="21" t="n">
        <f aca="false">ROUND(Q230*S230,0)</f>
        <v>43</v>
      </c>
      <c r="N230" s="21" t="n">
        <f aca="false">ROUND(SQRT((F230*J230/100)^2+(G230*M230)^2),0)</f>
        <v>25</v>
      </c>
      <c r="P230" s="41" t="n">
        <v>-7.46862298665743</v>
      </c>
      <c r="Q230" s="42" t="n">
        <v>860.837146702557</v>
      </c>
      <c r="R230" s="43" t="n">
        <f aca="false">MAX(0,MIN(1,P230/100+$D$5))</f>
        <v>0.4518809728283</v>
      </c>
      <c r="S230" s="43" t="n">
        <v>0.0500321312575726</v>
      </c>
      <c r="T230" s="44" t="s">
        <v>99</v>
      </c>
    </row>
    <row r="231" customFormat="false" ht="15" hidden="false" customHeight="false" outlineLevel="0" collapsed="false">
      <c r="A231" s="38" t="s">
        <v>344</v>
      </c>
      <c r="B231" s="38" t="s">
        <v>351</v>
      </c>
      <c r="C231" s="38" t="s">
        <v>352</v>
      </c>
      <c r="D231" s="21" t="n">
        <f aca="false">ROUND(Q231*R231,0)</f>
        <v>489</v>
      </c>
      <c r="E231" s="21" t="n">
        <f aca="false">ROUND(Q231,0)-D231</f>
        <v>465</v>
      </c>
      <c r="F231" s="21" t="n">
        <f aca="false">IF(COUNTA(D231:E231)=0,"",SUM(D231:E231))</f>
        <v>954</v>
      </c>
      <c r="G231" s="39" t="n">
        <f aca="false">IF(OR(F231="",F231=0),"",D231/F231)</f>
        <v>0.512578616352201</v>
      </c>
      <c r="H231" s="39" t="n">
        <f aca="false">IF(OR(F231="",F231=0),"",E231/F231)</f>
        <v>0.487421383647799</v>
      </c>
      <c r="I231" s="38" t="s">
        <v>89</v>
      </c>
      <c r="J231" s="40" t="n">
        <v>1.8085538155628</v>
      </c>
      <c r="K231" s="39" t="n">
        <f aca="false">IF(G231="","",MAX(0,G231-J231/100))</f>
        <v>0.494493078196573</v>
      </c>
      <c r="L231" s="39" t="n">
        <f aca="false">IF(G231="","",MIN(1,G231+J231/100))</f>
        <v>0.530664154507829</v>
      </c>
      <c r="M231" s="21" t="n">
        <f aca="false">ROUND(Q231*S231,0)</f>
        <v>48</v>
      </c>
      <c r="N231" s="21" t="n">
        <f aca="false">ROUND(SQRT((F231*J231/100)^2+(G231*M231)^2),0)</f>
        <v>30</v>
      </c>
      <c r="P231" s="41" t="n">
        <v>-1.35911581998771</v>
      </c>
      <c r="Q231" s="42" t="n">
        <v>954</v>
      </c>
      <c r="R231" s="43" t="n">
        <f aca="false">MAX(0,MIN(1,P231/100+$D$5))</f>
        <v>0.512976044494997</v>
      </c>
      <c r="S231" s="43" t="n">
        <v>0.0500321312575726</v>
      </c>
      <c r="T231" s="44" t="s">
        <v>99</v>
      </c>
    </row>
    <row r="232" customFormat="false" ht="15" hidden="false" customHeight="false" outlineLevel="0" collapsed="false">
      <c r="A232" s="38" t="s">
        <v>344</v>
      </c>
      <c r="B232" s="38" t="s">
        <v>219</v>
      </c>
      <c r="C232" s="38" t="s">
        <v>353</v>
      </c>
      <c r="D232" s="21" t="n">
        <f aca="false">ROUND(Q232*R232,0)</f>
        <v>640</v>
      </c>
      <c r="E232" s="21" t="n">
        <f aca="false">ROUND(Q232,0)-D232</f>
        <v>318</v>
      </c>
      <c r="F232" s="21" t="n">
        <f aca="false">IF(COUNTA(D232:E232)=0,"",SUM(D232:E232))</f>
        <v>958</v>
      </c>
      <c r="G232" s="39" t="n">
        <f aca="false">IF(OR(F232="",F232=0),"",D232/F232)</f>
        <v>0.668058455114823</v>
      </c>
      <c r="H232" s="39" t="n">
        <f aca="false">IF(OR(F232="",F232=0),"",E232/F232)</f>
        <v>0.331941544885177</v>
      </c>
      <c r="I232" s="38" t="s">
        <v>89</v>
      </c>
      <c r="J232" s="40" t="n">
        <v>1.8085538155628</v>
      </c>
      <c r="K232" s="39" t="n">
        <f aca="false">IF(G232="","",MAX(0,G232-J232/100))</f>
        <v>0.649972916959195</v>
      </c>
      <c r="L232" s="39" t="n">
        <f aca="false">IF(G232="","",MIN(1,G232+J232/100))</f>
        <v>0.686143993270451</v>
      </c>
      <c r="M232" s="21" t="n">
        <f aca="false">ROUND(Q232*S232,0)</f>
        <v>48</v>
      </c>
      <c r="N232" s="21" t="n">
        <f aca="false">ROUND(SQRT((F232*J232/100)^2+(G232*M232)^2),0)</f>
        <v>36</v>
      </c>
      <c r="P232" s="41" t="n">
        <v>14.1256818074489</v>
      </c>
      <c r="Q232" s="42" t="n">
        <v>958</v>
      </c>
      <c r="R232" s="43" t="n">
        <f aca="false">MAX(0,MIN(1,P232/100+$D$5))</f>
        <v>0.667824020769363</v>
      </c>
      <c r="S232" s="43" t="n">
        <v>0.0500321312575726</v>
      </c>
      <c r="T232" s="44" t="s">
        <v>99</v>
      </c>
    </row>
    <row r="233" customFormat="false" ht="15" hidden="false" customHeight="false" outlineLevel="0" collapsed="false">
      <c r="A233" s="38" t="s">
        <v>344</v>
      </c>
      <c r="B233" s="38" t="s">
        <v>219</v>
      </c>
      <c r="C233" s="38" t="s">
        <v>354</v>
      </c>
      <c r="D233" s="21" t="n">
        <f aca="false">ROUND(Q233*R233,0)</f>
        <v>874</v>
      </c>
      <c r="E233" s="21" t="n">
        <f aca="false">ROUND(Q233,0)-D233</f>
        <v>514</v>
      </c>
      <c r="F233" s="21" t="n">
        <f aca="false">IF(COUNTA(D233:E233)=0,"",SUM(D233:E233))</f>
        <v>1388</v>
      </c>
      <c r="G233" s="39" t="n">
        <f aca="false">IF(OR(F233="",F233=0),"",D233/F233)</f>
        <v>0.629682997118156</v>
      </c>
      <c r="H233" s="39" t="n">
        <f aca="false">IF(OR(F233="",F233=0),"",E233/F233)</f>
        <v>0.370317002881844</v>
      </c>
      <c r="I233" s="38" t="s">
        <v>89</v>
      </c>
      <c r="J233" s="40" t="n">
        <v>1.24911041755021</v>
      </c>
      <c r="K233" s="39" t="n">
        <f aca="false">IF(G233="","",MAX(0,G233-J233/100))</f>
        <v>0.617191892942654</v>
      </c>
      <c r="L233" s="39" t="n">
        <f aca="false">IF(G233="","",MIN(1,G233+J233/100))</f>
        <v>0.642174101293658</v>
      </c>
      <c r="M233" s="21" t="n">
        <f aca="false">ROUND(Q233*S233,0)</f>
        <v>181</v>
      </c>
      <c r="N233" s="21" t="n">
        <f aca="false">ROUND(SQRT((F233*J233/100)^2+(G233*M233)^2),0)</f>
        <v>115</v>
      </c>
      <c r="P233" s="41" t="n">
        <v>10.2869788322026</v>
      </c>
      <c r="Q233" s="42" t="n">
        <v>1388</v>
      </c>
      <c r="R233" s="43" t="n">
        <f aca="false">MAX(0,MIN(1,P233/100+$D$5))</f>
        <v>0.6294369910169</v>
      </c>
      <c r="S233" s="43" t="n">
        <v>0.130204099606216</v>
      </c>
      <c r="T233" s="44" t="s">
        <v>192</v>
      </c>
    </row>
    <row r="234" customFormat="false" ht="15" hidden="false" customHeight="false" outlineLevel="0" collapsed="false">
      <c r="A234" s="38" t="s">
        <v>344</v>
      </c>
      <c r="B234" s="38" t="s">
        <v>219</v>
      </c>
      <c r="C234" s="38" t="s">
        <v>355</v>
      </c>
      <c r="D234" s="21" t="n">
        <f aca="false">ROUND(Q234*R234,0)</f>
        <v>636</v>
      </c>
      <c r="E234" s="21" t="n">
        <f aca="false">ROUND(Q234,0)-D234</f>
        <v>295</v>
      </c>
      <c r="F234" s="21" t="n">
        <f aca="false">IF(COUNTA(D234:E234)=0,"",SUM(D234:E234))</f>
        <v>931</v>
      </c>
      <c r="G234" s="39" t="n">
        <f aca="false">IF(OR(F234="",F234=0),"",D234/F234)</f>
        <v>0.683136412459721</v>
      </c>
      <c r="H234" s="39" t="n">
        <f aca="false">IF(OR(F234="",F234=0),"",E234/F234)</f>
        <v>0.316863587540279</v>
      </c>
      <c r="I234" s="38" t="s">
        <v>89</v>
      </c>
      <c r="J234" s="40" t="n">
        <v>1.8085538155628</v>
      </c>
      <c r="K234" s="39" t="n">
        <f aca="false">IF(G234="","",MAX(0,G234-J234/100))</f>
        <v>0.665050874304093</v>
      </c>
      <c r="L234" s="39" t="n">
        <f aca="false">IF(G234="","",MIN(1,G234+J234/100))</f>
        <v>0.701221950615349</v>
      </c>
      <c r="M234" s="21" t="n">
        <f aca="false">ROUND(Q234*S234,0)</f>
        <v>47</v>
      </c>
      <c r="N234" s="21" t="n">
        <f aca="false">ROUND(SQRT((F234*J234/100)^2+(G234*M234)^2),0)</f>
        <v>36</v>
      </c>
      <c r="P234" s="41" t="n">
        <v>15.6677048728957</v>
      </c>
      <c r="Q234" s="42" t="n">
        <v>931</v>
      </c>
      <c r="R234" s="43" t="n">
        <f aca="false">MAX(0,MIN(1,P234/100+$D$5))</f>
        <v>0.683244251423831</v>
      </c>
      <c r="S234" s="43" t="n">
        <v>0.0500321312575726</v>
      </c>
      <c r="T234" s="44" t="s">
        <v>99</v>
      </c>
    </row>
    <row r="235" customFormat="false" ht="15" hidden="false" customHeight="false" outlineLevel="0" collapsed="false">
      <c r="A235" s="38" t="s">
        <v>344</v>
      </c>
      <c r="B235" s="38" t="s">
        <v>219</v>
      </c>
      <c r="C235" s="38" t="s">
        <v>356</v>
      </c>
      <c r="D235" s="21" t="n">
        <f aca="false">ROUND(Q235*R235,0)</f>
        <v>472</v>
      </c>
      <c r="E235" s="21" t="n">
        <f aca="false">ROUND(Q235,0)-D235</f>
        <v>229</v>
      </c>
      <c r="F235" s="21" t="n">
        <f aca="false">IF(COUNTA(D235:E235)=0,"",SUM(D235:E235))</f>
        <v>701</v>
      </c>
      <c r="G235" s="39" t="n">
        <f aca="false">IF(OR(F235="",F235=0),"",D235/F235)</f>
        <v>0.673323823109843</v>
      </c>
      <c r="H235" s="39" t="n">
        <f aca="false">IF(OR(F235="",F235=0),"",E235/F235)</f>
        <v>0.326676176890157</v>
      </c>
      <c r="I235" s="38" t="s">
        <v>89</v>
      </c>
      <c r="J235" s="40" t="n">
        <v>3.02608556967268</v>
      </c>
      <c r="K235" s="39" t="n">
        <f aca="false">IF(G235="","",MAX(0,G235-J235/100))</f>
        <v>0.643062967413116</v>
      </c>
      <c r="L235" s="39" t="n">
        <f aca="false">IF(G235="","",MIN(1,G235+J235/100))</f>
        <v>0.70358467880657</v>
      </c>
      <c r="M235" s="21" t="n">
        <f aca="false">ROUND(Q235*S235,0)</f>
        <v>43</v>
      </c>
      <c r="N235" s="21" t="n">
        <f aca="false">ROUND(SQRT((F235*J235/100)^2+(G235*M235)^2),0)</f>
        <v>36</v>
      </c>
      <c r="P235" s="41" t="n">
        <v>14.638072720413</v>
      </c>
      <c r="Q235" s="42" t="n">
        <v>701</v>
      </c>
      <c r="R235" s="43" t="n">
        <f aca="false">MAX(0,MIN(1,P235/100+$D$5))</f>
        <v>0.672947929899004</v>
      </c>
      <c r="S235" s="43" t="n">
        <v>0.0610405690258335</v>
      </c>
      <c r="T235" s="44" t="s">
        <v>90</v>
      </c>
    </row>
    <row r="236" customFormat="false" ht="15" hidden="false" customHeight="false" outlineLevel="0" collapsed="false">
      <c r="A236" s="38" t="s">
        <v>344</v>
      </c>
      <c r="B236" s="38" t="s">
        <v>219</v>
      </c>
      <c r="C236" s="38" t="s">
        <v>357</v>
      </c>
      <c r="D236" s="21" t="n">
        <f aca="false">ROUND(Q236*R236,0)</f>
        <v>626</v>
      </c>
      <c r="E236" s="21" t="n">
        <f aca="false">ROUND(Q236,0)-D236</f>
        <v>351</v>
      </c>
      <c r="F236" s="21" t="n">
        <f aca="false">IF(COUNTA(D236:E236)=0,"",SUM(D236:E236))</f>
        <v>977</v>
      </c>
      <c r="G236" s="39" t="n">
        <f aca="false">IF(OR(F236="",F236=0),"",D236/F236)</f>
        <v>0.640736949846469</v>
      </c>
      <c r="H236" s="39" t="n">
        <f aca="false">IF(OR(F236="",F236=0),"",E236/F236)</f>
        <v>0.359263050153531</v>
      </c>
      <c r="I236" s="38" t="s">
        <v>89</v>
      </c>
      <c r="J236" s="40" t="n">
        <v>1.8085538155628</v>
      </c>
      <c r="K236" s="39" t="n">
        <f aca="false">IF(G236="","",MAX(0,G236-J236/100))</f>
        <v>0.622651411690841</v>
      </c>
      <c r="L236" s="39" t="n">
        <f aca="false">IF(G236="","",MIN(1,G236+J236/100))</f>
        <v>0.658822488002097</v>
      </c>
      <c r="M236" s="21" t="n">
        <f aca="false">ROUND(Q236*S236,0)</f>
        <v>49</v>
      </c>
      <c r="N236" s="21" t="n">
        <f aca="false">ROUND(SQRT((F236*J236/100)^2+(G236*M236)^2),0)</f>
        <v>36</v>
      </c>
      <c r="P236" s="41" t="n">
        <v>11.4580603465498</v>
      </c>
      <c r="Q236" s="42" t="n">
        <v>977</v>
      </c>
      <c r="R236" s="43" t="n">
        <f aca="false">MAX(0,MIN(1,P236/100+$D$5))</f>
        <v>0.641147806160372</v>
      </c>
      <c r="S236" s="43" t="n">
        <v>0.0500321312575726</v>
      </c>
      <c r="T236" s="44" t="s">
        <v>99</v>
      </c>
    </row>
    <row r="237" customFormat="false" ht="15" hidden="false" customHeight="false" outlineLevel="0" collapsed="false">
      <c r="A237" s="38" t="s">
        <v>344</v>
      </c>
      <c r="B237" s="38" t="s">
        <v>219</v>
      </c>
      <c r="C237" s="38" t="s">
        <v>358</v>
      </c>
      <c r="D237" s="21" t="n">
        <f aca="false">ROUND(Q237*R237,0)</f>
        <v>795</v>
      </c>
      <c r="E237" s="21" t="n">
        <f aca="false">ROUND(Q237,0)-D237</f>
        <v>404</v>
      </c>
      <c r="F237" s="21" t="n">
        <f aca="false">IF(COUNTA(D237:E237)=0,"",SUM(D237:E237))</f>
        <v>1199</v>
      </c>
      <c r="G237" s="39" t="n">
        <f aca="false">IF(OR(F237="",F237=0),"",D237/F237)</f>
        <v>0.663052543786489</v>
      </c>
      <c r="H237" s="39" t="n">
        <f aca="false">IF(OR(F237="",F237=0),"",E237/F237)</f>
        <v>0.336947456213511</v>
      </c>
      <c r="I237" s="38" t="s">
        <v>89</v>
      </c>
      <c r="J237" s="40" t="n">
        <v>1.24911041755021</v>
      </c>
      <c r="K237" s="39" t="n">
        <f aca="false">IF(G237="","",MAX(0,G237-J237/100))</f>
        <v>0.650561439610987</v>
      </c>
      <c r="L237" s="39" t="n">
        <f aca="false">IF(G237="","",MIN(1,G237+J237/100))</f>
        <v>0.675543647961991</v>
      </c>
      <c r="M237" s="21" t="n">
        <f aca="false">ROUND(Q237*S237,0)</f>
        <v>156</v>
      </c>
      <c r="N237" s="21" t="n">
        <f aca="false">ROUND(SQRT((F237*J237/100)^2+(G237*M237)^2),0)</f>
        <v>105</v>
      </c>
      <c r="P237" s="41" t="n">
        <v>13.6353682509482</v>
      </c>
      <c r="Q237" s="42" t="n">
        <v>1199</v>
      </c>
      <c r="R237" s="43" t="n">
        <f aca="false">MAX(0,MIN(1,P237/100+$D$5))</f>
        <v>0.662920885204356</v>
      </c>
      <c r="S237" s="43" t="n">
        <v>0.130204099606216</v>
      </c>
      <c r="T237" s="44" t="s">
        <v>192</v>
      </c>
    </row>
    <row r="238" customFormat="false" ht="15" hidden="false" customHeight="false" outlineLevel="0" collapsed="false">
      <c r="A238" s="38" t="s">
        <v>344</v>
      </c>
      <c r="B238" s="38" t="s">
        <v>219</v>
      </c>
      <c r="C238" s="38" t="s">
        <v>359</v>
      </c>
      <c r="D238" s="21" t="n">
        <f aca="false">ROUND(Q238*R238,0)</f>
        <v>632</v>
      </c>
      <c r="E238" s="21" t="n">
        <f aca="false">ROUND(Q238,0)-D238</f>
        <v>391</v>
      </c>
      <c r="F238" s="21" t="n">
        <f aca="false">IF(COUNTA(D238:E238)=0,"",SUM(D238:E238))</f>
        <v>1023</v>
      </c>
      <c r="G238" s="39" t="n">
        <f aca="false">IF(OR(F238="",F238=0),"",D238/F238)</f>
        <v>0.617790811339198</v>
      </c>
      <c r="H238" s="39" t="n">
        <f aca="false">IF(OR(F238="",F238=0),"",E238/F238)</f>
        <v>0.382209188660802</v>
      </c>
      <c r="I238" s="38" t="s">
        <v>89</v>
      </c>
      <c r="J238" s="40" t="n">
        <v>1.8085538155628</v>
      </c>
      <c r="K238" s="39" t="n">
        <f aca="false">IF(G238="","",MAX(0,G238-J238/100))</f>
        <v>0.599705273183571</v>
      </c>
      <c r="L238" s="39" t="n">
        <f aca="false">IF(G238="","",MIN(1,G238+J238/100))</f>
        <v>0.635876349494826</v>
      </c>
      <c r="M238" s="21" t="n">
        <f aca="false">ROUND(Q238*S238,0)</f>
        <v>51</v>
      </c>
      <c r="N238" s="21" t="n">
        <f aca="false">ROUND(SQRT((F238*J238/100)^2+(G238*M238)^2),0)</f>
        <v>37</v>
      </c>
      <c r="P238" s="41" t="n">
        <v>9.13805851593888</v>
      </c>
      <c r="Q238" s="42" t="n">
        <v>1023</v>
      </c>
      <c r="R238" s="43" t="n">
        <f aca="false">MAX(0,MIN(1,P238/100+$D$5))</f>
        <v>0.617947787854263</v>
      </c>
      <c r="S238" s="43" t="n">
        <v>0.0500321312575726</v>
      </c>
      <c r="T238" s="44" t="s">
        <v>99</v>
      </c>
    </row>
    <row r="239" customFormat="false" ht="15" hidden="false" customHeight="false" outlineLevel="0" collapsed="false">
      <c r="A239" s="38" t="s">
        <v>344</v>
      </c>
      <c r="B239" s="38" t="s">
        <v>219</v>
      </c>
      <c r="C239" s="38" t="s">
        <v>360</v>
      </c>
      <c r="D239" s="21" t="n">
        <f aca="false">ROUND(Q239*R239,0)</f>
        <v>473</v>
      </c>
      <c r="E239" s="21" t="n">
        <f aca="false">ROUND(Q239,0)-D239</f>
        <v>226</v>
      </c>
      <c r="F239" s="21" t="n">
        <f aca="false">IF(COUNTA(D239:E239)=0,"",SUM(D239:E239))</f>
        <v>699</v>
      </c>
      <c r="G239" s="39" t="n">
        <f aca="false">IF(OR(F239="",F239=0),"",D239/F239)</f>
        <v>0.676680972818312</v>
      </c>
      <c r="H239" s="39" t="n">
        <f aca="false">IF(OR(F239="",F239=0),"",E239/F239)</f>
        <v>0.323319027181688</v>
      </c>
      <c r="I239" s="38" t="s">
        <v>89</v>
      </c>
      <c r="J239" s="40" t="n">
        <v>3.02608556967268</v>
      </c>
      <c r="K239" s="39" t="n">
        <f aca="false">IF(G239="","",MAX(0,G239-J239/100))</f>
        <v>0.646420117121585</v>
      </c>
      <c r="L239" s="39" t="n">
        <f aca="false">IF(G239="","",MIN(1,G239+J239/100))</f>
        <v>0.706941828515039</v>
      </c>
      <c r="M239" s="21" t="n">
        <f aca="false">ROUND(Q239*S239,0)</f>
        <v>43</v>
      </c>
      <c r="N239" s="21" t="n">
        <f aca="false">ROUND(SQRT((F239*J239/100)^2+(G239*M239)^2),0)</f>
        <v>36</v>
      </c>
      <c r="P239" s="41" t="n">
        <v>14.9440833832832</v>
      </c>
      <c r="Q239" s="42" t="n">
        <v>699</v>
      </c>
      <c r="R239" s="43" t="n">
        <f aca="false">MAX(0,MIN(1,P239/100+$D$5))</f>
        <v>0.676008036527707</v>
      </c>
      <c r="S239" s="43" t="n">
        <v>0.0610405690258335</v>
      </c>
      <c r="T239" s="44" t="s">
        <v>90</v>
      </c>
    </row>
    <row r="240" customFormat="false" ht="15" hidden="false" customHeight="false" outlineLevel="0" collapsed="false">
      <c r="A240" s="38" t="s">
        <v>344</v>
      </c>
      <c r="B240" s="38" t="s">
        <v>219</v>
      </c>
      <c r="C240" s="38" t="s">
        <v>361</v>
      </c>
      <c r="D240" s="21" t="n">
        <f aca="false">ROUND(Q240*R240,0)</f>
        <v>553</v>
      </c>
      <c r="E240" s="21" t="n">
        <f aca="false">ROUND(Q240,0)-D240</f>
        <v>234</v>
      </c>
      <c r="F240" s="21" t="n">
        <f aca="false">IF(COUNTA(D240:E240)=0,"",SUM(D240:E240))</f>
        <v>787</v>
      </c>
      <c r="G240" s="39" t="n">
        <f aca="false">IF(OR(F240="",F240=0),"",D240/F240)</f>
        <v>0.702668360864041</v>
      </c>
      <c r="H240" s="39" t="n">
        <f aca="false">IF(OR(F240="",F240=0),"",E240/F240)</f>
        <v>0.297331639135959</v>
      </c>
      <c r="I240" s="38" t="s">
        <v>89</v>
      </c>
      <c r="J240" s="40" t="n">
        <v>1.8085538155628</v>
      </c>
      <c r="K240" s="39" t="n">
        <f aca="false">IF(G240="","",MAX(0,G240-J240/100))</f>
        <v>0.684582822708413</v>
      </c>
      <c r="L240" s="39" t="n">
        <f aca="false">IF(G240="","",MIN(1,G240+J240/100))</f>
        <v>0.720753899019669</v>
      </c>
      <c r="M240" s="21" t="n">
        <f aca="false">ROUND(Q240*S240,0)</f>
        <v>39</v>
      </c>
      <c r="N240" s="21" t="n">
        <f aca="false">ROUND(SQRT((F240*J240/100)^2+(G240*M240)^2),0)</f>
        <v>31</v>
      </c>
      <c r="P240" s="41" t="n">
        <v>17.5622985820938</v>
      </c>
      <c r="Q240" s="42" t="n">
        <v>787</v>
      </c>
      <c r="R240" s="43" t="n">
        <f aca="false">MAX(0,MIN(1,P240/100+$D$5))</f>
        <v>0.702190188515812</v>
      </c>
      <c r="S240" s="43" t="n">
        <v>0.0500321312575726</v>
      </c>
      <c r="T240" s="44" t="s">
        <v>99</v>
      </c>
    </row>
    <row r="241" customFormat="false" ht="15" hidden="false" customHeight="false" outlineLevel="0" collapsed="false">
      <c r="A241" s="38" t="s">
        <v>344</v>
      </c>
      <c r="B241" s="38" t="s">
        <v>219</v>
      </c>
      <c r="C241" s="38" t="s">
        <v>362</v>
      </c>
      <c r="D241" s="21" t="n">
        <f aca="false">ROUND(Q241*R241,0)</f>
        <v>723</v>
      </c>
      <c r="E241" s="21" t="n">
        <f aca="false">ROUND(Q241,0)-D241</f>
        <v>390</v>
      </c>
      <c r="F241" s="21" t="n">
        <f aca="false">IF(COUNTA(D241:E241)=0,"",SUM(D241:E241))</f>
        <v>1113</v>
      </c>
      <c r="G241" s="39" t="n">
        <f aca="false">IF(OR(F241="",F241=0),"",D241/F241)</f>
        <v>0.649595687331536</v>
      </c>
      <c r="H241" s="39" t="n">
        <f aca="false">IF(OR(F241="",F241=0),"",E241/F241)</f>
        <v>0.350404312668464</v>
      </c>
      <c r="I241" s="38" t="s">
        <v>89</v>
      </c>
      <c r="J241" s="40" t="n">
        <v>1.8085538155628</v>
      </c>
      <c r="K241" s="39" t="n">
        <f aca="false">IF(G241="","",MAX(0,G241-J241/100))</f>
        <v>0.631510149175908</v>
      </c>
      <c r="L241" s="39" t="n">
        <f aca="false">IF(G241="","",MIN(1,G241+J241/100))</f>
        <v>0.667681225487164</v>
      </c>
      <c r="M241" s="21" t="n">
        <f aca="false">ROUND(Q241*S241,0)</f>
        <v>56</v>
      </c>
      <c r="N241" s="21" t="n">
        <f aca="false">ROUND(SQRT((F241*J241/100)^2+(G241*M241)^2),0)</f>
        <v>42</v>
      </c>
      <c r="P241" s="41" t="n">
        <v>12.2807489714413</v>
      </c>
      <c r="Q241" s="42" t="n">
        <v>1113</v>
      </c>
      <c r="R241" s="43" t="n">
        <f aca="false">MAX(0,MIN(1,P241/100+$D$5))</f>
        <v>0.649374692409287</v>
      </c>
      <c r="S241" s="43" t="n">
        <v>0.0500321312575726</v>
      </c>
      <c r="T241" s="44" t="s">
        <v>99</v>
      </c>
    </row>
    <row r="242" customFormat="false" ht="15" hidden="false" customHeight="false" outlineLevel="0" collapsed="false">
      <c r="A242" s="38" t="s">
        <v>344</v>
      </c>
      <c r="B242" s="38" t="s">
        <v>219</v>
      </c>
      <c r="C242" s="38" t="s">
        <v>363</v>
      </c>
      <c r="D242" s="21" t="n">
        <f aca="false">ROUND(Q242*R242,0)</f>
        <v>525</v>
      </c>
      <c r="E242" s="21" t="n">
        <f aca="false">ROUND(Q242,0)-D242</f>
        <v>212</v>
      </c>
      <c r="F242" s="21" t="n">
        <f aca="false">IF(COUNTA(D242:E242)=0,"",SUM(D242:E242))</f>
        <v>737</v>
      </c>
      <c r="G242" s="39" t="n">
        <f aca="false">IF(OR(F242="",F242=0),"",D242/F242)</f>
        <v>0.712347354138399</v>
      </c>
      <c r="H242" s="39" t="n">
        <f aca="false">IF(OR(F242="",F242=0),"",E242/F242)</f>
        <v>0.287652645861601</v>
      </c>
      <c r="I242" s="38" t="s">
        <v>89</v>
      </c>
      <c r="J242" s="40" t="n">
        <v>3.02608556967268</v>
      </c>
      <c r="K242" s="39" t="n">
        <f aca="false">IF(G242="","",MAX(0,G242-J242/100))</f>
        <v>0.682086498441672</v>
      </c>
      <c r="L242" s="39" t="n">
        <f aca="false">IF(G242="","",MIN(1,G242+J242/100))</f>
        <v>0.742608209835126</v>
      </c>
      <c r="M242" s="21" t="n">
        <f aca="false">ROUND(Q242*S242,0)</f>
        <v>45</v>
      </c>
      <c r="N242" s="21" t="n">
        <f aca="false">ROUND(SQRT((F242*J242/100)^2+(G242*M242)^2),0)</f>
        <v>39</v>
      </c>
      <c r="P242" s="41" t="n">
        <v>18.5925024264046</v>
      </c>
      <c r="Q242" s="42" t="n">
        <v>737</v>
      </c>
      <c r="R242" s="43" t="n">
        <f aca="false">MAX(0,MIN(1,P242/100+$D$5))</f>
        <v>0.712492226958921</v>
      </c>
      <c r="S242" s="43" t="n">
        <v>0.0610405690258335</v>
      </c>
      <c r="T242" s="44" t="s">
        <v>90</v>
      </c>
    </row>
    <row r="243" customFormat="false" ht="15" hidden="false" customHeight="false" outlineLevel="0" collapsed="false">
      <c r="A243" s="38" t="s">
        <v>344</v>
      </c>
      <c r="B243" s="38" t="s">
        <v>219</v>
      </c>
      <c r="C243" s="38" t="s">
        <v>364</v>
      </c>
      <c r="D243" s="21" t="n">
        <f aca="false">ROUND(Q243*R243,0)</f>
        <v>555</v>
      </c>
      <c r="E243" s="21" t="n">
        <f aca="false">ROUND(Q243,0)-D243</f>
        <v>292</v>
      </c>
      <c r="F243" s="21" t="n">
        <f aca="false">IF(COUNTA(D243:E243)=0,"",SUM(D243:E243))</f>
        <v>847</v>
      </c>
      <c r="G243" s="39" t="n">
        <f aca="false">IF(OR(F243="",F243=0),"",D243/F243)</f>
        <v>0.655253837072019</v>
      </c>
      <c r="H243" s="39" t="n">
        <f aca="false">IF(OR(F243="",F243=0),"",E243/F243)</f>
        <v>0.344746162927981</v>
      </c>
      <c r="I243" s="38" t="s">
        <v>89</v>
      </c>
      <c r="J243" s="40" t="n">
        <v>1.8085538155628</v>
      </c>
      <c r="K243" s="39" t="n">
        <f aca="false">IF(G243="","",MAX(0,G243-J243/100))</f>
        <v>0.637168298916391</v>
      </c>
      <c r="L243" s="39" t="n">
        <f aca="false">IF(G243="","",MIN(1,G243+J243/100))</f>
        <v>0.673339375227647</v>
      </c>
      <c r="M243" s="21" t="n">
        <f aca="false">ROUND(Q243*S243,0)</f>
        <v>42</v>
      </c>
      <c r="N243" s="21" t="n">
        <f aca="false">ROUND(SQRT((F243*J243/100)^2+(G243*M243)^2),0)</f>
        <v>31</v>
      </c>
      <c r="P243" s="41" t="n">
        <v>12.8347939613347</v>
      </c>
      <c r="Q243" s="42" t="n">
        <v>847</v>
      </c>
      <c r="R243" s="43" t="n">
        <f aca="false">MAX(0,MIN(1,P243/100+$D$5))</f>
        <v>0.654915142308221</v>
      </c>
      <c r="S243" s="43" t="n">
        <v>0.0500321312575726</v>
      </c>
      <c r="T243" s="44" t="s">
        <v>99</v>
      </c>
    </row>
    <row r="244" customFormat="false" ht="15" hidden="false" customHeight="false" outlineLevel="0" collapsed="false">
      <c r="A244" s="38" t="s">
        <v>344</v>
      </c>
      <c r="B244" s="38" t="s">
        <v>219</v>
      </c>
      <c r="C244" s="38" t="s">
        <v>365</v>
      </c>
      <c r="D244" s="21" t="n">
        <f aca="false">ROUND(Q244*R244,0)</f>
        <v>153</v>
      </c>
      <c r="E244" s="21" t="n">
        <f aca="false">ROUND(Q244,0)-D244</f>
        <v>57</v>
      </c>
      <c r="F244" s="21" t="n">
        <f aca="false">IF(COUNTA(D244:E244)=0,"",SUM(D244:E244))</f>
        <v>210</v>
      </c>
      <c r="G244" s="39" t="n">
        <f aca="false">IF(OR(F244="",F244=0),"",D244/F244)</f>
        <v>0.728571428571429</v>
      </c>
      <c r="H244" s="39" t="n">
        <f aca="false">IF(OR(F244="",F244=0),"",E244/F244)</f>
        <v>0.271428571428571</v>
      </c>
      <c r="I244" s="38" t="s">
        <v>89</v>
      </c>
      <c r="J244" s="40" t="n">
        <v>3.02608556967268</v>
      </c>
      <c r="K244" s="39" t="n">
        <f aca="false">IF(G244="","",MAX(0,G244-J244/100))</f>
        <v>0.698310572874702</v>
      </c>
      <c r="L244" s="39" t="n">
        <f aca="false">IF(G244="","",MIN(1,G244+J244/100))</f>
        <v>0.758832284268155</v>
      </c>
      <c r="M244" s="21" t="n">
        <f aca="false">ROUND(Q244*S244,0)</f>
        <v>13</v>
      </c>
      <c r="N244" s="21" t="n">
        <f aca="false">ROUND(SQRT((F244*J244/100)^2+(G244*M244)^2),0)</f>
        <v>11</v>
      </c>
      <c r="P244" s="41" t="n">
        <v>20.4172484554863</v>
      </c>
      <c r="Q244" s="42" t="n">
        <v>210</v>
      </c>
      <c r="R244" s="43" t="n">
        <f aca="false">MAX(0,MIN(1,P244/100+$D$5))</f>
        <v>0.730739687249738</v>
      </c>
      <c r="S244" s="43" t="n">
        <v>0.0610405690258335</v>
      </c>
      <c r="T244" s="44" t="s">
        <v>90</v>
      </c>
    </row>
    <row r="245" customFormat="false" ht="15" hidden="false" customHeight="false" outlineLevel="0" collapsed="false">
      <c r="A245" s="38" t="s">
        <v>344</v>
      </c>
      <c r="B245" s="38" t="s">
        <v>219</v>
      </c>
      <c r="C245" s="38" t="s">
        <v>366</v>
      </c>
      <c r="D245" s="21" t="n">
        <f aca="false">ROUND(Q245*R245,0)</f>
        <v>334</v>
      </c>
      <c r="E245" s="21" t="n">
        <f aca="false">ROUND(Q245,0)-D245</f>
        <v>111</v>
      </c>
      <c r="F245" s="21" t="n">
        <f aca="false">IF(COUNTA(D245:E245)=0,"",SUM(D245:E245))</f>
        <v>445</v>
      </c>
      <c r="G245" s="39" t="n">
        <f aca="false">IF(OR(F245="",F245=0),"",D245/F245)</f>
        <v>0.750561797752809</v>
      </c>
      <c r="H245" s="39" t="n">
        <f aca="false">IF(OR(F245="",F245=0),"",E245/F245)</f>
        <v>0.249438202247191</v>
      </c>
      <c r="I245" s="38" t="s">
        <v>89</v>
      </c>
      <c r="J245" s="40" t="n">
        <v>3.02608556967268</v>
      </c>
      <c r="K245" s="39" t="n">
        <f aca="false">IF(G245="","",MAX(0,G245-J245/100))</f>
        <v>0.720300942056082</v>
      </c>
      <c r="L245" s="39" t="n">
        <f aca="false">IF(G245="","",MIN(1,G245+J245/100))</f>
        <v>0.780822653449536</v>
      </c>
      <c r="M245" s="21" t="n">
        <f aca="false">ROUND(Q245*S245,0)</f>
        <v>27</v>
      </c>
      <c r="N245" s="21" t="n">
        <f aca="false">ROUND(SQRT((F245*J245/100)^2+(G245*M245)^2),0)</f>
        <v>24</v>
      </c>
      <c r="P245" s="41" t="n">
        <v>22.4345517876573</v>
      </c>
      <c r="Q245" s="42" t="n">
        <v>445</v>
      </c>
      <c r="R245" s="43" t="n">
        <f aca="false">MAX(0,MIN(1,P245/100+$D$5))</f>
        <v>0.750912720571448</v>
      </c>
      <c r="S245" s="43" t="n">
        <v>0.0610405690258335</v>
      </c>
      <c r="T245" s="44" t="s">
        <v>90</v>
      </c>
    </row>
    <row r="246" customFormat="false" ht="15" hidden="false" customHeight="false" outlineLevel="0" collapsed="false">
      <c r="A246" s="38" t="s">
        <v>344</v>
      </c>
      <c r="B246" s="38" t="s">
        <v>219</v>
      </c>
      <c r="C246" s="38" t="s">
        <v>367</v>
      </c>
      <c r="D246" s="21" t="n">
        <f aca="false">ROUND(Q246*R246,0)</f>
        <v>264</v>
      </c>
      <c r="E246" s="21" t="n">
        <f aca="false">ROUND(Q246,0)-D246</f>
        <v>90</v>
      </c>
      <c r="F246" s="21" t="n">
        <f aca="false">IF(COUNTA(D246:E246)=0,"",SUM(D246:E246))</f>
        <v>354</v>
      </c>
      <c r="G246" s="39" t="n">
        <f aca="false">IF(OR(F246="",F246=0),"",D246/F246)</f>
        <v>0.745762711864407</v>
      </c>
      <c r="H246" s="39" t="n">
        <f aca="false">IF(OR(F246="",F246=0),"",E246/F246)</f>
        <v>0.254237288135593</v>
      </c>
      <c r="I246" s="38" t="s">
        <v>89</v>
      </c>
      <c r="J246" s="40" t="n">
        <v>3.02608556967268</v>
      </c>
      <c r="K246" s="39" t="n">
        <f aca="false">IF(G246="","",MAX(0,G246-J246/100))</f>
        <v>0.71550185616768</v>
      </c>
      <c r="L246" s="39" t="n">
        <f aca="false">IF(G246="","",MIN(1,G246+J246/100))</f>
        <v>0.776023567561134</v>
      </c>
      <c r="M246" s="21" t="n">
        <f aca="false">ROUND(Q246*S246,0)</f>
        <v>22</v>
      </c>
      <c r="N246" s="21" t="n">
        <f aca="false">ROUND(SQRT((F246*J246/100)^2+(G246*M246)^2),0)</f>
        <v>20</v>
      </c>
      <c r="P246" s="41" t="n">
        <v>21.8985264553716</v>
      </c>
      <c r="Q246" s="42" t="n">
        <v>354</v>
      </c>
      <c r="R246" s="43" t="n">
        <f aca="false">MAX(0,MIN(1,P246/100+$D$5))</f>
        <v>0.74555246724859</v>
      </c>
      <c r="S246" s="43" t="n">
        <v>0.0610405690258335</v>
      </c>
      <c r="T246" s="44" t="s">
        <v>90</v>
      </c>
    </row>
    <row r="247" customFormat="false" ht="15" hidden="false" customHeight="false" outlineLevel="0" collapsed="false">
      <c r="A247" s="38" t="s">
        <v>344</v>
      </c>
      <c r="B247" s="38" t="s">
        <v>219</v>
      </c>
      <c r="C247" s="38" t="s">
        <v>368</v>
      </c>
      <c r="D247" s="21" t="n">
        <f aca="false">ROUND(Q247*R247,0)</f>
        <v>347</v>
      </c>
      <c r="E247" s="21" t="n">
        <f aca="false">ROUND(Q247,0)-D247</f>
        <v>94</v>
      </c>
      <c r="F247" s="21" t="n">
        <f aca="false">IF(COUNTA(D247:E247)=0,"",SUM(D247:E247))</f>
        <v>441</v>
      </c>
      <c r="G247" s="39" t="n">
        <f aca="false">IF(OR(F247="",F247=0),"",D247/F247)</f>
        <v>0.786848072562358</v>
      </c>
      <c r="H247" s="39" t="n">
        <f aca="false">IF(OR(F247="",F247=0),"",E247/F247)</f>
        <v>0.213151927437642</v>
      </c>
      <c r="I247" s="38" t="s">
        <v>89</v>
      </c>
      <c r="J247" s="40" t="n">
        <v>3.02608556967268</v>
      </c>
      <c r="K247" s="39" t="n">
        <f aca="false">IF(G247="","",MAX(0,G247-J247/100))</f>
        <v>0.756587216865631</v>
      </c>
      <c r="L247" s="39" t="n">
        <f aca="false">IF(G247="","",MIN(1,G247+J247/100))</f>
        <v>0.817108928259085</v>
      </c>
      <c r="M247" s="21" t="n">
        <f aca="false">ROUND(Q247*S247,0)</f>
        <v>27</v>
      </c>
      <c r="N247" s="21" t="n">
        <f aca="false">ROUND(SQRT((F247*J247/100)^2+(G247*M247)^2),0)</f>
        <v>25</v>
      </c>
      <c r="P247" s="41" t="n">
        <v>25.969926690412</v>
      </c>
      <c r="Q247" s="42" t="n">
        <v>441</v>
      </c>
      <c r="R247" s="43" t="n">
        <f aca="false">MAX(0,MIN(1,P247/100+$D$5))</f>
        <v>0.786266469598994</v>
      </c>
      <c r="S247" s="43" t="n">
        <v>0.0610405690258335</v>
      </c>
      <c r="T247" s="44" t="s">
        <v>90</v>
      </c>
    </row>
    <row r="248" customFormat="false" ht="15" hidden="false" customHeight="false" outlineLevel="0" collapsed="false">
      <c r="A248" s="38" t="s">
        <v>344</v>
      </c>
      <c r="B248" s="38" t="s">
        <v>219</v>
      </c>
      <c r="C248" s="38" t="s">
        <v>369</v>
      </c>
      <c r="D248" s="21" t="n">
        <f aca="false">ROUND(Q248*R248,0)</f>
        <v>650</v>
      </c>
      <c r="E248" s="21" t="n">
        <f aca="false">ROUND(Q248,0)-D248</f>
        <v>139</v>
      </c>
      <c r="F248" s="21" t="n">
        <f aca="false">IF(COUNTA(D248:E248)=0,"",SUM(D248:E248))</f>
        <v>789</v>
      </c>
      <c r="G248" s="39" t="n">
        <f aca="false">IF(OR(F248="",F248=0),"",D248/F248)</f>
        <v>0.82382762991128</v>
      </c>
      <c r="H248" s="39" t="n">
        <f aca="false">IF(OR(F248="",F248=0),"",E248/F248)</f>
        <v>0.17617237008872</v>
      </c>
      <c r="I248" s="38" t="s">
        <v>89</v>
      </c>
      <c r="J248" s="40" t="n">
        <v>1.8085538155628</v>
      </c>
      <c r="K248" s="39" t="n">
        <f aca="false">IF(G248="","",MAX(0,G248-J248/100))</f>
        <v>0.805742091755652</v>
      </c>
      <c r="L248" s="39" t="n">
        <f aca="false">IF(G248="","",MIN(1,G248+J248/100))</f>
        <v>0.841913168066908</v>
      </c>
      <c r="M248" s="21" t="n">
        <f aca="false">ROUND(Q248*S248,0)</f>
        <v>39</v>
      </c>
      <c r="N248" s="21" t="n">
        <f aca="false">ROUND(SQRT((F248*J248/100)^2+(G248*M248)^2),0)</f>
        <v>35</v>
      </c>
      <c r="P248" s="41" t="n">
        <v>29.6937631776944</v>
      </c>
      <c r="Q248" s="42" t="n">
        <v>789</v>
      </c>
      <c r="R248" s="43" t="n">
        <f aca="false">MAX(0,MIN(1,P248/100+$D$5))</f>
        <v>0.823504834471819</v>
      </c>
      <c r="S248" s="43" t="n">
        <v>0.0500321312575726</v>
      </c>
      <c r="T248" s="44" t="s">
        <v>99</v>
      </c>
    </row>
    <row r="249" customFormat="false" ht="15" hidden="false" customHeight="false" outlineLevel="0" collapsed="false">
      <c r="A249" s="38" t="s">
        <v>344</v>
      </c>
      <c r="B249" s="38" t="s">
        <v>219</v>
      </c>
      <c r="C249" s="38" t="s">
        <v>370</v>
      </c>
      <c r="D249" s="21" t="n">
        <f aca="false">ROUND(Q249*R249,0)</f>
        <v>354</v>
      </c>
      <c r="E249" s="21" t="n">
        <f aca="false">ROUND(Q249,0)-D249</f>
        <v>112</v>
      </c>
      <c r="F249" s="21" t="n">
        <f aca="false">IF(COUNTA(D249:E249)=0,"",SUM(D249:E249))</f>
        <v>466</v>
      </c>
      <c r="G249" s="39" t="n">
        <f aca="false">IF(OR(F249="",F249=0),"",D249/F249)</f>
        <v>0.759656652360515</v>
      </c>
      <c r="H249" s="39" t="n">
        <f aca="false">IF(OR(F249="",F249=0),"",E249/F249)</f>
        <v>0.240343347639485</v>
      </c>
      <c r="I249" s="38" t="s">
        <v>89</v>
      </c>
      <c r="J249" s="40" t="n">
        <v>3.02608556967268</v>
      </c>
      <c r="K249" s="39" t="n">
        <f aca="false">IF(G249="","",MAX(0,G249-J249/100))</f>
        <v>0.729395796663788</v>
      </c>
      <c r="L249" s="39" t="n">
        <f aca="false">IF(G249="","",MIN(1,G249+J249/100))</f>
        <v>0.789917508057242</v>
      </c>
      <c r="M249" s="21" t="n">
        <f aca="false">ROUND(Q249*S249,0)</f>
        <v>28</v>
      </c>
      <c r="N249" s="21" t="n">
        <f aca="false">ROUND(SQRT((F249*J249/100)^2+(G249*M249)^2),0)</f>
        <v>26</v>
      </c>
      <c r="P249" s="41" t="n">
        <v>23.35224746272</v>
      </c>
      <c r="Q249" s="42" t="n">
        <v>466</v>
      </c>
      <c r="R249" s="43" t="n">
        <f aca="false">MAX(0,MIN(1,P249/100+$D$5))</f>
        <v>0.760089677322074</v>
      </c>
      <c r="S249" s="43" t="n">
        <v>0.0610405690258335</v>
      </c>
      <c r="T249" s="44" t="s">
        <v>90</v>
      </c>
    </row>
    <row r="250" customFormat="false" ht="15" hidden="false" customHeight="false" outlineLevel="0" collapsed="false">
      <c r="A250" s="38" t="s">
        <v>344</v>
      </c>
      <c r="B250" s="38" t="s">
        <v>219</v>
      </c>
      <c r="C250" s="38" t="s">
        <v>371</v>
      </c>
      <c r="D250" s="21" t="n">
        <f aca="false">ROUND(Q250*R250,0)</f>
        <v>368</v>
      </c>
      <c r="E250" s="21" t="n">
        <f aca="false">ROUND(Q250,0)-D250</f>
        <v>129</v>
      </c>
      <c r="F250" s="21" t="n">
        <f aca="false">IF(COUNTA(D250:E250)=0,"",SUM(D250:E250))</f>
        <v>497</v>
      </c>
      <c r="G250" s="39" t="n">
        <f aca="false">IF(OR(F250="",F250=0),"",D250/F250)</f>
        <v>0.740442655935614</v>
      </c>
      <c r="H250" s="39" t="n">
        <f aca="false">IF(OR(F250="",F250=0),"",E250/F250)</f>
        <v>0.259557344064386</v>
      </c>
      <c r="I250" s="38" t="s">
        <v>89</v>
      </c>
      <c r="J250" s="40" t="n">
        <v>3.02608556967268</v>
      </c>
      <c r="K250" s="39" t="n">
        <f aca="false">IF(G250="","",MAX(0,G250-J250/100))</f>
        <v>0.710181800238887</v>
      </c>
      <c r="L250" s="39" t="n">
        <f aca="false">IF(G250="","",MIN(1,G250+J250/100))</f>
        <v>0.770703511632341</v>
      </c>
      <c r="M250" s="21" t="n">
        <f aca="false">ROUND(Q250*S250,0)</f>
        <v>30</v>
      </c>
      <c r="N250" s="21" t="n">
        <f aca="false">ROUND(SQRT((F250*J250/100)^2+(G250*M250)^2),0)</f>
        <v>27</v>
      </c>
      <c r="P250" s="41" t="n">
        <v>21.4284978424207</v>
      </c>
      <c r="Q250" s="42" t="n">
        <v>497</v>
      </c>
      <c r="R250" s="43" t="n">
        <f aca="false">MAX(0,MIN(1,P250/100+$D$5))</f>
        <v>0.740852181119081</v>
      </c>
      <c r="S250" s="43" t="n">
        <v>0.0610405690258335</v>
      </c>
      <c r="T250" s="44" t="s">
        <v>90</v>
      </c>
    </row>
    <row r="251" customFormat="false" ht="15" hidden="false" customHeight="false" outlineLevel="0" collapsed="false">
      <c r="A251" s="38" t="s">
        <v>344</v>
      </c>
      <c r="B251" s="38" t="s">
        <v>219</v>
      </c>
      <c r="C251" s="38" t="s">
        <v>372</v>
      </c>
      <c r="D251" s="21" t="n">
        <f aca="false">ROUND(Q251*R251,0)</f>
        <v>425</v>
      </c>
      <c r="E251" s="21" t="n">
        <f aca="false">ROUND(Q251,0)-D251</f>
        <v>139</v>
      </c>
      <c r="F251" s="21" t="n">
        <f aca="false">IF(COUNTA(D251:E251)=0,"",SUM(D251:E251))</f>
        <v>564</v>
      </c>
      <c r="G251" s="39" t="n">
        <f aca="false">IF(OR(F251="",F251=0),"",D251/F251)</f>
        <v>0.75354609929078</v>
      </c>
      <c r="H251" s="39" t="n">
        <f aca="false">IF(OR(F251="",F251=0),"",E251/F251)</f>
        <v>0.24645390070922</v>
      </c>
      <c r="I251" s="38" t="s">
        <v>89</v>
      </c>
      <c r="J251" s="40" t="n">
        <v>3.02608556967268</v>
      </c>
      <c r="K251" s="39" t="n">
        <f aca="false">IF(G251="","",MAX(0,G251-J251/100))</f>
        <v>0.723285243594053</v>
      </c>
      <c r="L251" s="39" t="n">
        <f aca="false">IF(G251="","",MIN(1,G251+J251/100))</f>
        <v>0.783806954987507</v>
      </c>
      <c r="M251" s="21" t="n">
        <f aca="false">ROUND(Q251*S251,0)</f>
        <v>34</v>
      </c>
      <c r="N251" s="21" t="n">
        <f aca="false">ROUND(SQRT((F251*J251/100)^2+(G251*M251)^2),0)</f>
        <v>31</v>
      </c>
      <c r="P251" s="41" t="n">
        <v>22.616308637386</v>
      </c>
      <c r="Q251" s="42" t="n">
        <v>564</v>
      </c>
      <c r="R251" s="43" t="n">
        <f aca="false">MAX(0,MIN(1,P251/100+$D$5))</f>
        <v>0.752730289068734</v>
      </c>
      <c r="S251" s="43" t="n">
        <v>0.0610405690258335</v>
      </c>
      <c r="T251" s="44" t="s">
        <v>90</v>
      </c>
    </row>
    <row r="252" customFormat="false" ht="15" hidden="false" customHeight="false" outlineLevel="0" collapsed="false">
      <c r="A252" s="38" t="s">
        <v>344</v>
      </c>
      <c r="B252" s="38" t="s">
        <v>219</v>
      </c>
      <c r="C252" s="38" t="s">
        <v>373</v>
      </c>
      <c r="D252" s="21" t="n">
        <f aca="false">ROUND(Q252*R252,0)</f>
        <v>540</v>
      </c>
      <c r="E252" s="21" t="n">
        <f aca="false">ROUND(Q252,0)-D252</f>
        <v>196</v>
      </c>
      <c r="F252" s="21" t="n">
        <f aca="false">IF(COUNTA(D252:E252)=0,"",SUM(D252:E252))</f>
        <v>736</v>
      </c>
      <c r="G252" s="39" t="n">
        <f aca="false">IF(OR(F252="",F252=0),"",D252/F252)</f>
        <v>0.733695652173913</v>
      </c>
      <c r="H252" s="39" t="n">
        <f aca="false">IF(OR(F252="",F252=0),"",E252/F252)</f>
        <v>0.266304347826087</v>
      </c>
      <c r="I252" s="38" t="s">
        <v>89</v>
      </c>
      <c r="J252" s="40" t="n">
        <v>3.02608556967268</v>
      </c>
      <c r="K252" s="39" t="n">
        <f aca="false">IF(G252="","",MAX(0,G252-J252/100))</f>
        <v>0.703434796477186</v>
      </c>
      <c r="L252" s="39" t="n">
        <f aca="false">IF(G252="","",MIN(1,G252+J252/100))</f>
        <v>0.76395650787064</v>
      </c>
      <c r="M252" s="21" t="n">
        <f aca="false">ROUND(Q252*S252,0)</f>
        <v>45</v>
      </c>
      <c r="N252" s="21" t="n">
        <f aca="false">ROUND(SQRT((F252*J252/100)^2+(G252*M252)^2),0)</f>
        <v>40</v>
      </c>
      <c r="P252" s="41" t="n">
        <v>20.768412941915</v>
      </c>
      <c r="Q252" s="42" t="n">
        <v>736</v>
      </c>
      <c r="R252" s="43" t="n">
        <f aca="false">MAX(0,MIN(1,P252/100+$D$5))</f>
        <v>0.734251332114024</v>
      </c>
      <c r="S252" s="43" t="n">
        <v>0.0610405690258335</v>
      </c>
      <c r="T252" s="44" t="s">
        <v>90</v>
      </c>
    </row>
    <row r="253" customFormat="false" ht="15" hidden="false" customHeight="false" outlineLevel="0" collapsed="false">
      <c r="A253" s="38" t="s">
        <v>344</v>
      </c>
      <c r="B253" s="38" t="s">
        <v>219</v>
      </c>
      <c r="C253" s="38" t="s">
        <v>374</v>
      </c>
      <c r="D253" s="21" t="n">
        <f aca="false">ROUND(Q253*R253,0)</f>
        <v>484</v>
      </c>
      <c r="E253" s="21" t="n">
        <f aca="false">ROUND(Q253,0)-D253</f>
        <v>191</v>
      </c>
      <c r="F253" s="21" t="n">
        <f aca="false">IF(COUNTA(D253:E253)=0,"",SUM(D253:E253))</f>
        <v>675</v>
      </c>
      <c r="G253" s="39" t="n">
        <f aca="false">IF(OR(F253="",F253=0),"",D253/F253)</f>
        <v>0.717037037037037</v>
      </c>
      <c r="H253" s="39" t="n">
        <f aca="false">IF(OR(F253="",F253=0),"",E253/F253)</f>
        <v>0.282962962962963</v>
      </c>
      <c r="I253" s="38" t="s">
        <v>89</v>
      </c>
      <c r="J253" s="40" t="n">
        <v>3.02608556967268</v>
      </c>
      <c r="K253" s="39" t="n">
        <f aca="false">IF(G253="","",MAX(0,G253-J253/100))</f>
        <v>0.68677618134031</v>
      </c>
      <c r="L253" s="39" t="n">
        <f aca="false">IF(G253="","",MIN(1,G253+J253/100))</f>
        <v>0.747297892733764</v>
      </c>
      <c r="M253" s="21" t="n">
        <f aca="false">ROUND(Q253*S253,0)</f>
        <v>41</v>
      </c>
      <c r="N253" s="21" t="n">
        <f aca="false">ROUND(SQRT((F253*J253/100)^2+(G253*M253)^2),0)</f>
        <v>36</v>
      </c>
      <c r="P253" s="41" t="n">
        <v>19.0830065300839</v>
      </c>
      <c r="Q253" s="42" t="n">
        <v>675</v>
      </c>
      <c r="R253" s="43" t="n">
        <f aca="false">MAX(0,MIN(1,P253/100+$D$5))</f>
        <v>0.717397267995713</v>
      </c>
      <c r="S253" s="43" t="n">
        <v>0.0610405690258335</v>
      </c>
      <c r="T253" s="44" t="s">
        <v>90</v>
      </c>
    </row>
    <row r="254" customFormat="false" ht="15" hidden="false" customHeight="false" outlineLevel="0" collapsed="false">
      <c r="A254" s="38" t="s">
        <v>344</v>
      </c>
      <c r="B254" s="38" t="s">
        <v>219</v>
      </c>
      <c r="C254" s="38" t="s">
        <v>375</v>
      </c>
      <c r="D254" s="21" t="n">
        <f aca="false">ROUND(Q254*R254,0)</f>
        <v>570</v>
      </c>
      <c r="E254" s="21" t="n">
        <f aca="false">ROUND(Q254,0)-D254</f>
        <v>224</v>
      </c>
      <c r="F254" s="21" t="n">
        <f aca="false">IF(COUNTA(D254:E254)=0,"",SUM(D254:E254))</f>
        <v>794</v>
      </c>
      <c r="G254" s="39" t="n">
        <f aca="false">IF(OR(F254="",F254=0),"",D254/F254)</f>
        <v>0.717884130982368</v>
      </c>
      <c r="H254" s="39" t="n">
        <f aca="false">IF(OR(F254="",F254=0),"",E254/F254)</f>
        <v>0.282115869017632</v>
      </c>
      <c r="I254" s="38" t="s">
        <v>89</v>
      </c>
      <c r="J254" s="40" t="n">
        <v>1.8085538155628</v>
      </c>
      <c r="K254" s="39" t="n">
        <f aca="false">IF(G254="","",MAX(0,G254-J254/100))</f>
        <v>0.69979859282674</v>
      </c>
      <c r="L254" s="39" t="n">
        <f aca="false">IF(G254="","",MIN(1,G254+J254/100))</f>
        <v>0.735969669137996</v>
      </c>
      <c r="M254" s="21" t="n">
        <f aca="false">ROUND(Q254*S254,0)</f>
        <v>40</v>
      </c>
      <c r="N254" s="21" t="n">
        <f aca="false">ROUND(SQRT((F254*J254/100)^2+(G254*M254)^2),0)</f>
        <v>32</v>
      </c>
      <c r="P254" s="41" t="n">
        <v>19.0864788373122</v>
      </c>
      <c r="Q254" s="42" t="n">
        <v>794</v>
      </c>
      <c r="R254" s="43" t="n">
        <f aca="false">MAX(0,MIN(1,P254/100+$D$5))</f>
        <v>0.717431991067996</v>
      </c>
      <c r="S254" s="43" t="n">
        <v>0.0500321312575726</v>
      </c>
      <c r="T254" s="44" t="s">
        <v>99</v>
      </c>
    </row>
    <row r="255" customFormat="false" ht="15" hidden="false" customHeight="false" outlineLevel="0" collapsed="false">
      <c r="A255" s="38" t="s">
        <v>344</v>
      </c>
      <c r="B255" s="38" t="s">
        <v>219</v>
      </c>
      <c r="C255" s="38" t="s">
        <v>376</v>
      </c>
      <c r="D255" s="21" t="n">
        <f aca="false">ROUND(Q255*R255,0)</f>
        <v>444</v>
      </c>
      <c r="E255" s="21" t="n">
        <f aca="false">ROUND(Q255,0)-D255</f>
        <v>227</v>
      </c>
      <c r="F255" s="21" t="n">
        <f aca="false">IF(COUNTA(D255:E255)=0,"",SUM(D255:E255))</f>
        <v>671</v>
      </c>
      <c r="G255" s="39" t="n">
        <f aca="false">IF(OR(F255="",F255=0),"",D255/F255)</f>
        <v>0.661698956780924</v>
      </c>
      <c r="H255" s="39" t="n">
        <f aca="false">IF(OR(F255="",F255=0),"",E255/F255)</f>
        <v>0.338301043219076</v>
      </c>
      <c r="I255" s="38" t="s">
        <v>190</v>
      </c>
      <c r="J255" s="40" t="n">
        <v>3.02608556967268</v>
      </c>
      <c r="K255" s="39" t="n">
        <f aca="false">IF(G255="","",MAX(0,G255-J255/100))</f>
        <v>0.631438101084197</v>
      </c>
      <c r="L255" s="39" t="n">
        <f aca="false">IF(G255="","",MIN(1,G255+J255/100))</f>
        <v>0.691959812477651</v>
      </c>
      <c r="M255" s="21" t="n">
        <f aca="false">ROUND(Q255*S255,0)</f>
        <v>41</v>
      </c>
      <c r="N255" s="21" t="n">
        <f aca="false">ROUND(SQRT((F255*J255/100)^2+(G255*M255)^2),0)</f>
        <v>34</v>
      </c>
      <c r="P255" s="41" t="n">
        <v>13.540564995807</v>
      </c>
      <c r="Q255" s="42" t="n">
        <v>670.789561000511</v>
      </c>
      <c r="R255" s="43" t="n">
        <f aca="false">MAX(0,MIN(1,P255/100+$D$5))</f>
        <v>0.661972852652944</v>
      </c>
      <c r="S255" s="43" t="n">
        <v>0.0610405690258335</v>
      </c>
      <c r="T255" s="44" t="s">
        <v>90</v>
      </c>
    </row>
    <row r="256" customFormat="false" ht="15" hidden="false" customHeight="false" outlineLevel="0" collapsed="false">
      <c r="A256" s="38" t="s">
        <v>344</v>
      </c>
      <c r="B256" s="38" t="s">
        <v>377</v>
      </c>
      <c r="C256" s="38" t="s">
        <v>378</v>
      </c>
      <c r="D256" s="21" t="n">
        <f aca="false">ROUND(Q256*R256,0)</f>
        <v>407</v>
      </c>
      <c r="E256" s="21" t="n">
        <f aca="false">ROUND(Q256,0)-D256</f>
        <v>305</v>
      </c>
      <c r="F256" s="21" t="n">
        <f aca="false">IF(COUNTA(D256:E256)=0,"",SUM(D256:E256))</f>
        <v>712</v>
      </c>
      <c r="G256" s="39" t="n">
        <f aca="false">IF(OR(F256="",F256=0),"",D256/F256)</f>
        <v>0.571629213483146</v>
      </c>
      <c r="H256" s="39" t="n">
        <f aca="false">IF(OR(F256="",F256=0),"",E256/F256)</f>
        <v>0.428370786516854</v>
      </c>
      <c r="I256" s="38" t="s">
        <v>89</v>
      </c>
      <c r="J256" s="40" t="n">
        <v>3.02608556967268</v>
      </c>
      <c r="K256" s="39" t="n">
        <f aca="false">IF(G256="","",MAX(0,G256-J256/100))</f>
        <v>0.541368357786419</v>
      </c>
      <c r="L256" s="39" t="n">
        <f aca="false">IF(G256="","",MIN(1,G256+J256/100))</f>
        <v>0.601890069179873</v>
      </c>
      <c r="M256" s="21" t="n">
        <f aca="false">ROUND(Q256*S256,0)</f>
        <v>43</v>
      </c>
      <c r="N256" s="21" t="n">
        <f aca="false">ROUND(SQRT((F256*J256/100)^2+(G256*M256)^2),0)</f>
        <v>33</v>
      </c>
      <c r="P256" s="41" t="n">
        <v>4.43754924557247</v>
      </c>
      <c r="Q256" s="42" t="n">
        <v>712</v>
      </c>
      <c r="R256" s="43" t="n">
        <f aca="false">MAX(0,MIN(1,P256/100+$D$5))</f>
        <v>0.570942695150599</v>
      </c>
      <c r="S256" s="43" t="n">
        <v>0.0610405690258335</v>
      </c>
      <c r="T256" s="44" t="s">
        <v>90</v>
      </c>
    </row>
    <row r="257" customFormat="false" ht="15" hidden="false" customHeight="false" outlineLevel="0" collapsed="false">
      <c r="A257" s="38" t="s">
        <v>344</v>
      </c>
      <c r="B257" s="38" t="s">
        <v>377</v>
      </c>
      <c r="C257" s="38" t="s">
        <v>379</v>
      </c>
      <c r="D257" s="21" t="n">
        <f aca="false">ROUND(Q257*R257,0)</f>
        <v>505</v>
      </c>
      <c r="E257" s="21" t="n">
        <f aca="false">ROUND(Q257,0)-D257</f>
        <v>401</v>
      </c>
      <c r="F257" s="21" t="n">
        <f aca="false">IF(COUNTA(D257:E257)=0,"",SUM(D257:E257))</f>
        <v>906</v>
      </c>
      <c r="G257" s="39" t="n">
        <f aca="false">IF(OR(F257="",F257=0),"",D257/F257)</f>
        <v>0.557395143487859</v>
      </c>
      <c r="H257" s="39" t="n">
        <f aca="false">IF(OR(F257="",F257=0),"",E257/F257)</f>
        <v>0.442604856512141</v>
      </c>
      <c r="I257" s="38" t="s">
        <v>89</v>
      </c>
      <c r="J257" s="40" t="n">
        <v>1.8085538155628</v>
      </c>
      <c r="K257" s="39" t="n">
        <f aca="false">IF(G257="","",MAX(0,G257-J257/100))</f>
        <v>0.539309605332231</v>
      </c>
      <c r="L257" s="39" t="n">
        <f aca="false">IF(G257="","",MIN(1,G257+J257/100))</f>
        <v>0.575480681643487</v>
      </c>
      <c r="M257" s="21" t="n">
        <f aca="false">ROUND(Q257*S257,0)</f>
        <v>45</v>
      </c>
      <c r="N257" s="21" t="n">
        <f aca="false">ROUND(SQRT((F257*J257/100)^2+(G257*M257)^2),0)</f>
        <v>30</v>
      </c>
      <c r="P257" s="41" t="n">
        <v>3.12281221108838</v>
      </c>
      <c r="Q257" s="42" t="n">
        <v>906</v>
      </c>
      <c r="R257" s="43" t="n">
        <f aca="false">MAX(0,MIN(1,P257/100+$D$5))</f>
        <v>0.557795324805758</v>
      </c>
      <c r="S257" s="43" t="n">
        <v>0.0500321312575726</v>
      </c>
      <c r="T257" s="44" t="s">
        <v>99</v>
      </c>
    </row>
    <row r="258" customFormat="false" ht="15" hidden="false" customHeight="false" outlineLevel="0" collapsed="false">
      <c r="A258" s="38" t="s">
        <v>344</v>
      </c>
      <c r="B258" s="38" t="s">
        <v>377</v>
      </c>
      <c r="C258" s="38" t="s">
        <v>380</v>
      </c>
      <c r="D258" s="21" t="n">
        <f aca="false">ROUND(Q258*R258,0)</f>
        <v>539</v>
      </c>
      <c r="E258" s="21" t="n">
        <f aca="false">ROUND(Q258,0)-D258</f>
        <v>373</v>
      </c>
      <c r="F258" s="21" t="n">
        <f aca="false">IF(COUNTA(D258:E258)=0,"",SUM(D258:E258))</f>
        <v>912</v>
      </c>
      <c r="G258" s="39" t="n">
        <f aca="false">IF(OR(F258="",F258=0),"",D258/F258)</f>
        <v>0.591008771929825</v>
      </c>
      <c r="H258" s="39" t="n">
        <f aca="false">IF(OR(F258="",F258=0),"",E258/F258)</f>
        <v>0.408991228070175</v>
      </c>
      <c r="I258" s="38" t="s">
        <v>89</v>
      </c>
      <c r="J258" s="40" t="n">
        <v>1.8085538155628</v>
      </c>
      <c r="K258" s="39" t="n">
        <f aca="false">IF(G258="","",MAX(0,G258-J258/100))</f>
        <v>0.572923233774197</v>
      </c>
      <c r="L258" s="39" t="n">
        <f aca="false">IF(G258="","",MIN(1,G258+J258/100))</f>
        <v>0.609094310085453</v>
      </c>
      <c r="M258" s="21" t="n">
        <f aca="false">ROUND(Q258*S258,0)</f>
        <v>46</v>
      </c>
      <c r="N258" s="21" t="n">
        <f aca="false">ROUND(SQRT((F258*J258/100)^2+(G258*M258)^2),0)</f>
        <v>32</v>
      </c>
      <c r="P258" s="41" t="n">
        <v>6.40828115450761</v>
      </c>
      <c r="Q258" s="42" t="n">
        <v>912</v>
      </c>
      <c r="R258" s="43" t="n">
        <f aca="false">MAX(0,MIN(1,P258/100+$D$5))</f>
        <v>0.59065001423995</v>
      </c>
      <c r="S258" s="43" t="n">
        <v>0.0500321312575726</v>
      </c>
      <c r="T258" s="44" t="s">
        <v>99</v>
      </c>
    </row>
    <row r="259" customFormat="false" ht="15" hidden="false" customHeight="false" outlineLevel="0" collapsed="false">
      <c r="A259" s="38" t="s">
        <v>344</v>
      </c>
      <c r="B259" s="38" t="s">
        <v>377</v>
      </c>
      <c r="C259" s="38" t="s">
        <v>381</v>
      </c>
      <c r="D259" s="21" t="n">
        <f aca="false">ROUND(Q259*R259,0)</f>
        <v>261</v>
      </c>
      <c r="E259" s="21" t="n">
        <f aca="false">ROUND(Q259,0)-D259</f>
        <v>221</v>
      </c>
      <c r="F259" s="21" t="n">
        <f aca="false">IF(COUNTA(D259:E259)=0,"",SUM(D259:E259))</f>
        <v>482</v>
      </c>
      <c r="G259" s="39" t="n">
        <f aca="false">IF(OR(F259="",F259=0),"",D259/F259)</f>
        <v>0.54149377593361</v>
      </c>
      <c r="H259" s="39" t="n">
        <f aca="false">IF(OR(F259="",F259=0),"",E259/F259)</f>
        <v>0.45850622406639</v>
      </c>
      <c r="I259" s="38" t="s">
        <v>89</v>
      </c>
      <c r="J259" s="40" t="n">
        <v>3.02608556967268</v>
      </c>
      <c r="K259" s="39" t="n">
        <f aca="false">IF(G259="","",MAX(0,G259-J259/100))</f>
        <v>0.511232920236883</v>
      </c>
      <c r="L259" s="39" t="n">
        <f aca="false">IF(G259="","",MIN(1,G259+J259/100))</f>
        <v>0.571754631630337</v>
      </c>
      <c r="M259" s="21" t="n">
        <f aca="false">ROUND(Q259*S259,0)</f>
        <v>29</v>
      </c>
      <c r="N259" s="21" t="n">
        <f aca="false">ROUND(SQRT((F259*J259/100)^2+(G259*M259)^2),0)</f>
        <v>21</v>
      </c>
      <c r="P259" s="41" t="n">
        <v>1.55032028644927</v>
      </c>
      <c r="Q259" s="42" t="n">
        <v>482</v>
      </c>
      <c r="R259" s="43" t="n">
        <f aca="false">MAX(0,MIN(1,P259/100+$D$5))</f>
        <v>0.542070405559367</v>
      </c>
      <c r="S259" s="43" t="n">
        <v>0.0610405690258335</v>
      </c>
      <c r="T259" s="44" t="s">
        <v>90</v>
      </c>
    </row>
    <row r="260" customFormat="false" ht="15" hidden="false" customHeight="false" outlineLevel="0" collapsed="false">
      <c r="A260" s="38" t="s">
        <v>344</v>
      </c>
      <c r="B260" s="38" t="s">
        <v>377</v>
      </c>
      <c r="C260" s="38" t="s">
        <v>382</v>
      </c>
      <c r="D260" s="21" t="n">
        <f aca="false">ROUND(Q260*R260,0)</f>
        <v>447</v>
      </c>
      <c r="E260" s="21" t="n">
        <f aca="false">ROUND(Q260,0)-D260</f>
        <v>305</v>
      </c>
      <c r="F260" s="21" t="n">
        <f aca="false">IF(COUNTA(D260:E260)=0,"",SUM(D260:E260))</f>
        <v>752</v>
      </c>
      <c r="G260" s="39" t="n">
        <f aca="false">IF(OR(F260="",F260=0),"",D260/F260)</f>
        <v>0.594414893617021</v>
      </c>
      <c r="H260" s="39" t="n">
        <f aca="false">IF(OR(F260="",F260=0),"",E260/F260)</f>
        <v>0.405585106382979</v>
      </c>
      <c r="I260" s="38" t="s">
        <v>89</v>
      </c>
      <c r="J260" s="40" t="n">
        <v>3.02608556967268</v>
      </c>
      <c r="K260" s="39" t="n">
        <f aca="false">IF(G260="","",MAX(0,G260-J260/100))</f>
        <v>0.564154037920294</v>
      </c>
      <c r="L260" s="39" t="n">
        <f aca="false">IF(G260="","",MIN(1,G260+J260/100))</f>
        <v>0.624675749313748</v>
      </c>
      <c r="M260" s="21" t="n">
        <f aca="false">ROUND(Q260*S260,0)</f>
        <v>46</v>
      </c>
      <c r="N260" s="21" t="n">
        <f aca="false">ROUND(SQRT((F260*J260/100)^2+(G260*M260)^2),0)</f>
        <v>36</v>
      </c>
      <c r="P260" s="41" t="n">
        <v>6.84066443213262</v>
      </c>
      <c r="Q260" s="42" t="n">
        <v>752</v>
      </c>
      <c r="R260" s="43" t="n">
        <f aca="false">MAX(0,MIN(1,P260/100+$D$5))</f>
        <v>0.594973847016201</v>
      </c>
      <c r="S260" s="43" t="n">
        <v>0.0610405690258335</v>
      </c>
      <c r="T260" s="44" t="s">
        <v>90</v>
      </c>
    </row>
    <row r="261" customFormat="false" ht="15" hidden="false" customHeight="false" outlineLevel="0" collapsed="false">
      <c r="A261" s="38" t="s">
        <v>344</v>
      </c>
      <c r="B261" s="38" t="s">
        <v>377</v>
      </c>
      <c r="C261" s="38" t="s">
        <v>383</v>
      </c>
      <c r="D261" s="21" t="n">
        <f aca="false">ROUND(Q261*R261,0)</f>
        <v>448</v>
      </c>
      <c r="E261" s="21" t="n">
        <f aca="false">ROUND(Q261,0)-D261</f>
        <v>353</v>
      </c>
      <c r="F261" s="21" t="n">
        <f aca="false">IF(COUNTA(D261:E261)=0,"",SUM(D261:E261))</f>
        <v>801</v>
      </c>
      <c r="G261" s="39" t="n">
        <f aca="false">IF(OR(F261="",F261=0),"",D261/F261)</f>
        <v>0.559300873907616</v>
      </c>
      <c r="H261" s="39" t="n">
        <f aca="false">IF(OR(F261="",F261=0),"",E261/F261)</f>
        <v>0.440699126092385</v>
      </c>
      <c r="I261" s="38" t="s">
        <v>89</v>
      </c>
      <c r="J261" s="40" t="n">
        <v>1.8085538155628</v>
      </c>
      <c r="K261" s="39" t="n">
        <f aca="false">IF(G261="","",MAX(0,G261-J261/100))</f>
        <v>0.541215335751988</v>
      </c>
      <c r="L261" s="39" t="n">
        <f aca="false">IF(G261="","",MIN(1,G261+J261/100))</f>
        <v>0.577386412063244</v>
      </c>
      <c r="M261" s="21" t="n">
        <f aca="false">ROUND(Q261*S261,0)</f>
        <v>40</v>
      </c>
      <c r="N261" s="21" t="n">
        <f aca="false">ROUND(SQRT((F261*J261/100)^2+(G261*M261)^2),0)</f>
        <v>27</v>
      </c>
      <c r="P261" s="41" t="n">
        <v>3.21945602259975</v>
      </c>
      <c r="Q261" s="42" t="n">
        <v>801</v>
      </c>
      <c r="R261" s="43" t="n">
        <f aca="false">MAX(0,MIN(1,P261/100+$D$5))</f>
        <v>0.558761762920872</v>
      </c>
      <c r="S261" s="43" t="n">
        <v>0.0500321312575726</v>
      </c>
      <c r="T261" s="44" t="s">
        <v>99</v>
      </c>
    </row>
    <row r="262" customFormat="false" ht="15" hidden="false" customHeight="false" outlineLevel="0" collapsed="false">
      <c r="A262" s="38" t="s">
        <v>344</v>
      </c>
      <c r="B262" s="38" t="s">
        <v>377</v>
      </c>
      <c r="C262" s="38" t="s">
        <v>384</v>
      </c>
      <c r="D262" s="21" t="n">
        <f aca="false">ROUND(Q262*R262,0)</f>
        <v>289</v>
      </c>
      <c r="E262" s="21" t="n">
        <f aca="false">ROUND(Q262,0)-D262</f>
        <v>204</v>
      </c>
      <c r="F262" s="21" t="n">
        <f aca="false">IF(COUNTA(D262:E262)=0,"",SUM(D262:E262))</f>
        <v>493</v>
      </c>
      <c r="G262" s="39" t="n">
        <f aca="false">IF(OR(F262="",F262=0),"",D262/F262)</f>
        <v>0.586206896551724</v>
      </c>
      <c r="H262" s="39" t="n">
        <f aca="false">IF(OR(F262="",F262=0),"",E262/F262)</f>
        <v>0.413793103448276</v>
      </c>
      <c r="I262" s="38" t="s">
        <v>89</v>
      </c>
      <c r="J262" s="40" t="n">
        <v>3.02608556967268</v>
      </c>
      <c r="K262" s="39" t="n">
        <f aca="false">IF(G262="","",MAX(0,G262-J262/100))</f>
        <v>0.555946040854997</v>
      </c>
      <c r="L262" s="39" t="n">
        <f aca="false">IF(G262="","",MIN(1,G262+J262/100))</f>
        <v>0.616467752248451</v>
      </c>
      <c r="M262" s="21" t="n">
        <f aca="false">ROUND(Q262*S262,0)</f>
        <v>30</v>
      </c>
      <c r="N262" s="21" t="n">
        <f aca="false">ROUND(SQRT((F262*J262/100)^2+(G262*M262)^2),0)</f>
        <v>23</v>
      </c>
      <c r="P262" s="41" t="n">
        <v>5.98915501114373</v>
      </c>
      <c r="Q262" s="42" t="n">
        <v>493</v>
      </c>
      <c r="R262" s="43" t="n">
        <f aca="false">MAX(0,MIN(1,P262/100+$D$5))</f>
        <v>0.586458752806312</v>
      </c>
      <c r="S262" s="43" t="n">
        <v>0.0610405690258335</v>
      </c>
      <c r="T262" s="44" t="s">
        <v>90</v>
      </c>
    </row>
    <row r="263" customFormat="false" ht="15" hidden="false" customHeight="false" outlineLevel="0" collapsed="false">
      <c r="A263" s="38" t="s">
        <v>344</v>
      </c>
      <c r="B263" s="38" t="s">
        <v>377</v>
      </c>
      <c r="C263" s="38" t="s">
        <v>385</v>
      </c>
      <c r="D263" s="21" t="n">
        <f aca="false">ROUND(Q263*R263,0)</f>
        <v>381</v>
      </c>
      <c r="E263" s="21" t="n">
        <f aca="false">ROUND(Q263,0)-D263</f>
        <v>244</v>
      </c>
      <c r="F263" s="21" t="n">
        <f aca="false">IF(COUNTA(D263:E263)=0,"",SUM(D263:E263))</f>
        <v>625</v>
      </c>
      <c r="G263" s="39" t="n">
        <f aca="false">IF(OR(F263="",F263=0),"",D263/F263)</f>
        <v>0.6096</v>
      </c>
      <c r="H263" s="39" t="n">
        <f aca="false">IF(OR(F263="",F263=0),"",E263/F263)</f>
        <v>0.3904</v>
      </c>
      <c r="I263" s="38" t="s">
        <v>89</v>
      </c>
      <c r="J263" s="40" t="n">
        <v>3.02608556967268</v>
      </c>
      <c r="K263" s="39" t="n">
        <f aca="false">IF(G263="","",MAX(0,G263-J263/100))</f>
        <v>0.579339144303273</v>
      </c>
      <c r="L263" s="39" t="n">
        <f aca="false">IF(G263="","",MIN(1,G263+J263/100))</f>
        <v>0.639860855696727</v>
      </c>
      <c r="M263" s="21" t="n">
        <f aca="false">ROUND(Q263*S263,0)</f>
        <v>38</v>
      </c>
      <c r="N263" s="21" t="n">
        <f aca="false">ROUND(SQRT((F263*J263/100)^2+(G263*M263)^2),0)</f>
        <v>30</v>
      </c>
      <c r="P263" s="41" t="n">
        <v>8.25351308289757</v>
      </c>
      <c r="Q263" s="42" t="n">
        <v>625</v>
      </c>
      <c r="R263" s="43" t="n">
        <f aca="false">MAX(0,MIN(1,P263/100+$D$5))</f>
        <v>0.60910233352385</v>
      </c>
      <c r="S263" s="43" t="n">
        <v>0.0610405690258335</v>
      </c>
      <c r="T263" s="44" t="s">
        <v>90</v>
      </c>
    </row>
    <row r="264" customFormat="false" ht="15" hidden="false" customHeight="false" outlineLevel="0" collapsed="false">
      <c r="A264" s="38" t="s">
        <v>344</v>
      </c>
      <c r="B264" s="38" t="s">
        <v>377</v>
      </c>
      <c r="C264" s="38" t="s">
        <v>386</v>
      </c>
      <c r="D264" s="21" t="n">
        <f aca="false">ROUND(Q264*R264,0)</f>
        <v>254</v>
      </c>
      <c r="E264" s="21" t="n">
        <f aca="false">ROUND(Q264,0)-D264</f>
        <v>151</v>
      </c>
      <c r="F264" s="21" t="n">
        <f aca="false">IF(COUNTA(D264:E264)=0,"",SUM(D264:E264))</f>
        <v>405</v>
      </c>
      <c r="G264" s="39" t="n">
        <f aca="false">IF(OR(F264="",F264=0),"",D264/F264)</f>
        <v>0.627160493827161</v>
      </c>
      <c r="H264" s="39" t="n">
        <f aca="false">IF(OR(F264="",F264=0),"",E264/F264)</f>
        <v>0.37283950617284</v>
      </c>
      <c r="I264" s="38" t="s">
        <v>89</v>
      </c>
      <c r="J264" s="40" t="n">
        <v>3.02608556967268</v>
      </c>
      <c r="K264" s="39" t="n">
        <f aca="false">IF(G264="","",MAX(0,G264-J264/100))</f>
        <v>0.596899638130434</v>
      </c>
      <c r="L264" s="39" t="n">
        <f aca="false">IF(G264="","",MIN(1,G264+J264/100))</f>
        <v>0.657421349523887</v>
      </c>
      <c r="M264" s="21" t="n">
        <f aca="false">ROUND(Q264*S264,0)</f>
        <v>25</v>
      </c>
      <c r="N264" s="21" t="n">
        <f aca="false">ROUND(SQRT((F264*J264/100)^2+(G264*M264)^2),0)</f>
        <v>20</v>
      </c>
      <c r="P264" s="41" t="n">
        <v>10.1549694742443</v>
      </c>
      <c r="Q264" s="42" t="n">
        <v>405</v>
      </c>
      <c r="R264" s="43" t="n">
        <f aca="false">MAX(0,MIN(1,P264/100+$D$5))</f>
        <v>0.628116897437317</v>
      </c>
      <c r="S264" s="43" t="n">
        <v>0.0610405690258335</v>
      </c>
      <c r="T264" s="44" t="s">
        <v>90</v>
      </c>
    </row>
    <row r="265" customFormat="false" ht="15" hidden="false" customHeight="false" outlineLevel="0" collapsed="false">
      <c r="A265" s="38" t="s">
        <v>344</v>
      </c>
      <c r="B265" s="38" t="s">
        <v>377</v>
      </c>
      <c r="C265" s="38" t="s">
        <v>387</v>
      </c>
      <c r="D265" s="21" t="n">
        <f aca="false">ROUND(Q265*R265,0)</f>
        <v>302</v>
      </c>
      <c r="E265" s="21" t="n">
        <f aca="false">ROUND(Q265,0)-D265</f>
        <v>250</v>
      </c>
      <c r="F265" s="21" t="n">
        <f aca="false">IF(COUNTA(D265:E265)=0,"",SUM(D265:E265))</f>
        <v>552</v>
      </c>
      <c r="G265" s="39" t="n">
        <f aca="false">IF(OR(F265="",F265=0),"",D265/F265)</f>
        <v>0.547101449275362</v>
      </c>
      <c r="H265" s="39" t="n">
        <f aca="false">IF(OR(F265="",F265=0),"",E265/F265)</f>
        <v>0.452898550724638</v>
      </c>
      <c r="I265" s="38" t="s">
        <v>89</v>
      </c>
      <c r="J265" s="40" t="n">
        <v>3.02608556967268</v>
      </c>
      <c r="K265" s="39" t="n">
        <f aca="false">IF(G265="","",MAX(0,G265-J265/100))</f>
        <v>0.516840593578635</v>
      </c>
      <c r="L265" s="39" t="n">
        <f aca="false">IF(G265="","",MIN(1,G265+J265/100))</f>
        <v>0.577362304972089</v>
      </c>
      <c r="M265" s="21" t="n">
        <f aca="false">ROUND(Q265*S265,0)</f>
        <v>34</v>
      </c>
      <c r="N265" s="21" t="n">
        <f aca="false">ROUND(SQRT((F265*J265/100)^2+(G265*M265)^2),0)</f>
        <v>25</v>
      </c>
      <c r="P265" s="41" t="n">
        <v>1.97101264772608</v>
      </c>
      <c r="Q265" s="42" t="n">
        <v>552</v>
      </c>
      <c r="R265" s="43" t="n">
        <f aca="false">MAX(0,MIN(1,P265/100+$D$5))</f>
        <v>0.546277329172135</v>
      </c>
      <c r="S265" s="43" t="n">
        <v>0.0610405690258335</v>
      </c>
      <c r="T265" s="44" t="s">
        <v>90</v>
      </c>
    </row>
    <row r="266" customFormat="false" ht="15" hidden="false" customHeight="false" outlineLevel="0" collapsed="false">
      <c r="A266" s="38" t="s">
        <v>344</v>
      </c>
      <c r="B266" s="38" t="s">
        <v>377</v>
      </c>
      <c r="C266" s="38" t="s">
        <v>388</v>
      </c>
      <c r="D266" s="21" t="n">
        <f aca="false">ROUND(Q266*R266,0)</f>
        <v>366</v>
      </c>
      <c r="E266" s="21" t="n">
        <f aca="false">ROUND(Q266,0)-D266</f>
        <v>280</v>
      </c>
      <c r="F266" s="21" t="n">
        <f aca="false">IF(COUNTA(D266:E266)=0,"",SUM(D266:E266))</f>
        <v>646</v>
      </c>
      <c r="G266" s="39" t="n">
        <f aca="false">IF(OR(F266="",F266=0),"",D266/F266)</f>
        <v>0.56656346749226</v>
      </c>
      <c r="H266" s="39" t="n">
        <f aca="false">IF(OR(F266="",F266=0),"",E266/F266)</f>
        <v>0.43343653250774</v>
      </c>
      <c r="I266" s="38" t="s">
        <v>89</v>
      </c>
      <c r="J266" s="40" t="n">
        <v>3.02608556967268</v>
      </c>
      <c r="K266" s="39" t="n">
        <f aca="false">IF(G266="","",MAX(0,G266-J266/100))</f>
        <v>0.536302611795533</v>
      </c>
      <c r="L266" s="39" t="n">
        <f aca="false">IF(G266="","",MIN(1,G266+J266/100))</f>
        <v>0.596824323188987</v>
      </c>
      <c r="M266" s="21" t="n">
        <f aca="false">ROUND(Q266*S266,0)</f>
        <v>39</v>
      </c>
      <c r="N266" s="21" t="n">
        <f aca="false">ROUND(SQRT((F266*J266/100)^2+(G266*M266)^2),0)</f>
        <v>30</v>
      </c>
      <c r="P266" s="41" t="n">
        <v>4.06161480412369</v>
      </c>
      <c r="Q266" s="42" t="n">
        <v>646</v>
      </c>
      <c r="R266" s="43" t="n">
        <f aca="false">MAX(0,MIN(1,P266/100+$D$5))</f>
        <v>0.567183350736111</v>
      </c>
      <c r="S266" s="43" t="n">
        <v>0.0610405690258335</v>
      </c>
      <c r="T266" s="44" t="s">
        <v>90</v>
      </c>
    </row>
    <row r="267" customFormat="false" ht="15" hidden="false" customHeight="false" outlineLevel="0" collapsed="false">
      <c r="A267" s="38" t="s">
        <v>344</v>
      </c>
      <c r="B267" s="38" t="s">
        <v>377</v>
      </c>
      <c r="C267" s="38" t="s">
        <v>389</v>
      </c>
      <c r="D267" s="21" t="n">
        <f aca="false">ROUND(Q267*R267,0)</f>
        <v>423</v>
      </c>
      <c r="E267" s="21" t="n">
        <f aca="false">ROUND(Q267,0)-D267</f>
        <v>280</v>
      </c>
      <c r="F267" s="21" t="n">
        <f aca="false">IF(COUNTA(D267:E267)=0,"",SUM(D267:E267))</f>
        <v>703</v>
      </c>
      <c r="G267" s="39" t="n">
        <f aca="false">IF(OR(F267="",F267=0),"",D267/F267)</f>
        <v>0.601706970128023</v>
      </c>
      <c r="H267" s="39" t="n">
        <f aca="false">IF(OR(F267="",F267=0),"",E267/F267)</f>
        <v>0.398293029871977</v>
      </c>
      <c r="I267" s="38" t="s">
        <v>89</v>
      </c>
      <c r="J267" s="40" t="n">
        <v>3.02608556967268</v>
      </c>
      <c r="K267" s="39" t="n">
        <f aca="false">IF(G267="","",MAX(0,G267-J267/100))</f>
        <v>0.571446114431296</v>
      </c>
      <c r="L267" s="39" t="n">
        <f aca="false">IF(G267="","",MIN(1,G267+J267/100))</f>
        <v>0.63196782582475</v>
      </c>
      <c r="M267" s="21" t="n">
        <f aca="false">ROUND(Q267*S267,0)</f>
        <v>43</v>
      </c>
      <c r="N267" s="21" t="n">
        <f aca="false">ROUND(SQRT((F267*J267/100)^2+(G267*M267)^2),0)</f>
        <v>33</v>
      </c>
      <c r="P267" s="41" t="n">
        <v>7.5265823758892</v>
      </c>
      <c r="Q267" s="42" t="n">
        <v>703</v>
      </c>
      <c r="R267" s="43" t="n">
        <f aca="false">MAX(0,MIN(1,P267/100+$D$5))</f>
        <v>0.601833026453766</v>
      </c>
      <c r="S267" s="43" t="n">
        <v>0.0610405690258335</v>
      </c>
      <c r="T267" s="44" t="s">
        <v>90</v>
      </c>
    </row>
    <row r="268" customFormat="false" ht="15" hidden="false" customHeight="false" outlineLevel="0" collapsed="false">
      <c r="A268" s="38" t="s">
        <v>344</v>
      </c>
      <c r="B268" s="38" t="s">
        <v>377</v>
      </c>
      <c r="C268" s="38" t="s">
        <v>390</v>
      </c>
      <c r="D268" s="21" t="n">
        <f aca="false">ROUND(Q268*R268,0)</f>
        <v>373</v>
      </c>
      <c r="E268" s="21" t="n">
        <f aca="false">ROUND(Q268,0)-D268</f>
        <v>313</v>
      </c>
      <c r="F268" s="21" t="n">
        <f aca="false">IF(COUNTA(D268:E268)=0,"",SUM(D268:E268))</f>
        <v>686</v>
      </c>
      <c r="G268" s="39" t="n">
        <f aca="false">IF(OR(F268="",F268=0),"",D268/F268)</f>
        <v>0.543731778425656</v>
      </c>
      <c r="H268" s="39" t="n">
        <f aca="false">IF(OR(F268="",F268=0),"",E268/F268)</f>
        <v>0.456268221574344</v>
      </c>
      <c r="I268" s="38" t="s">
        <v>89</v>
      </c>
      <c r="J268" s="40" t="n">
        <v>3.02608556967268</v>
      </c>
      <c r="K268" s="39" t="n">
        <f aca="false">IF(G268="","",MAX(0,G268-J268/100))</f>
        <v>0.513470922728929</v>
      </c>
      <c r="L268" s="39" t="n">
        <f aca="false">IF(G268="","",MIN(1,G268+J268/100))</f>
        <v>0.573992634122383</v>
      </c>
      <c r="M268" s="21" t="n">
        <f aca="false">ROUND(Q268*S268,0)</f>
        <v>42</v>
      </c>
      <c r="N268" s="21" t="n">
        <f aca="false">ROUND(SQRT((F268*J268/100)^2+(G268*M268)^2),0)</f>
        <v>31</v>
      </c>
      <c r="P268" s="41" t="n">
        <v>1.70974423900368</v>
      </c>
      <c r="Q268" s="42" t="n">
        <v>686</v>
      </c>
      <c r="R268" s="43" t="n">
        <f aca="false">MAX(0,MIN(1,P268/100+$D$5))</f>
        <v>0.543664645084911</v>
      </c>
      <c r="S268" s="43" t="n">
        <v>0.0610405690258335</v>
      </c>
      <c r="T268" s="44" t="s">
        <v>90</v>
      </c>
    </row>
    <row r="269" customFormat="false" ht="15" hidden="false" customHeight="false" outlineLevel="0" collapsed="false">
      <c r="A269" s="38" t="s">
        <v>344</v>
      </c>
      <c r="B269" s="38" t="s">
        <v>377</v>
      </c>
      <c r="C269" s="38" t="s">
        <v>391</v>
      </c>
      <c r="D269" s="21" t="n">
        <f aca="false">ROUND(Q269*R269,0)</f>
        <v>753</v>
      </c>
      <c r="E269" s="21" t="n">
        <f aca="false">ROUND(Q269,0)-D269</f>
        <v>504</v>
      </c>
      <c r="F269" s="21" t="n">
        <f aca="false">IF(COUNTA(D269:E269)=0,"",SUM(D269:E269))</f>
        <v>1257</v>
      </c>
      <c r="G269" s="39" t="n">
        <f aca="false">IF(OR(F269="",F269=0),"",D269/F269)</f>
        <v>0.599045346062053</v>
      </c>
      <c r="H269" s="39" t="n">
        <f aca="false">IF(OR(F269="",F269=0),"",E269/F269)</f>
        <v>0.400954653937948</v>
      </c>
      <c r="I269" s="38" t="s">
        <v>89</v>
      </c>
      <c r="J269" s="40" t="n">
        <v>1.24911041755021</v>
      </c>
      <c r="K269" s="39" t="n">
        <f aca="false">IF(G269="","",MAX(0,G269-J269/100))</f>
        <v>0.58655424188655</v>
      </c>
      <c r="L269" s="39" t="n">
        <f aca="false">IF(G269="","",MIN(1,G269+J269/100))</f>
        <v>0.611536450237555</v>
      </c>
      <c r="M269" s="21" t="n">
        <f aca="false">ROUND(Q269*S269,0)</f>
        <v>164</v>
      </c>
      <c r="N269" s="21" t="n">
        <f aca="false">ROUND(SQRT((F269*J269/100)^2+(G269*M269)^2),0)</f>
        <v>99</v>
      </c>
      <c r="P269" s="41" t="n">
        <v>7.21178363098588</v>
      </c>
      <c r="Q269" s="42" t="n">
        <v>1257</v>
      </c>
      <c r="R269" s="43" t="n">
        <f aca="false">MAX(0,MIN(1,P269/100+$D$5))</f>
        <v>0.598685039004733</v>
      </c>
      <c r="S269" s="43" t="n">
        <v>0.130204099606216</v>
      </c>
      <c r="T269" s="44" t="s">
        <v>192</v>
      </c>
    </row>
    <row r="270" customFormat="false" ht="15" hidden="false" customHeight="false" outlineLevel="0" collapsed="false">
      <c r="A270" s="38" t="s">
        <v>344</v>
      </c>
      <c r="B270" s="38" t="s">
        <v>377</v>
      </c>
      <c r="C270" s="38" t="s">
        <v>392</v>
      </c>
      <c r="D270" s="21" t="n">
        <f aca="false">ROUND(Q270*R270,0)</f>
        <v>422</v>
      </c>
      <c r="E270" s="21" t="n">
        <f aca="false">ROUND(Q270,0)-D270</f>
        <v>353</v>
      </c>
      <c r="F270" s="21" t="n">
        <f aca="false">IF(COUNTA(D270:E270)=0,"",SUM(D270:E270))</f>
        <v>775</v>
      </c>
      <c r="G270" s="39" t="n">
        <f aca="false">IF(OR(F270="",F270=0),"",D270/F270)</f>
        <v>0.544516129032258</v>
      </c>
      <c r="H270" s="39" t="n">
        <f aca="false">IF(OR(F270="",F270=0),"",E270/F270)</f>
        <v>0.455483870967742</v>
      </c>
      <c r="I270" s="38" t="s">
        <v>89</v>
      </c>
      <c r="J270" s="40" t="n">
        <v>3.02608556967268</v>
      </c>
      <c r="K270" s="39" t="n">
        <f aca="false">IF(G270="","",MAX(0,G270-J270/100))</f>
        <v>0.514255273335531</v>
      </c>
      <c r="L270" s="39" t="n">
        <f aca="false">IF(G270="","",MIN(1,G270+J270/100))</f>
        <v>0.574776984728985</v>
      </c>
      <c r="M270" s="21" t="n">
        <f aca="false">ROUND(Q270*S270,0)</f>
        <v>47</v>
      </c>
      <c r="N270" s="21" t="n">
        <f aca="false">ROUND(SQRT((F270*J270/100)^2+(G270*M270)^2),0)</f>
        <v>35</v>
      </c>
      <c r="P270" s="41" t="n">
        <v>1.81957892842875</v>
      </c>
      <c r="Q270" s="42" t="n">
        <v>775</v>
      </c>
      <c r="R270" s="43" t="n">
        <f aca="false">MAX(0,MIN(1,P270/100+$D$5))</f>
        <v>0.544762991979162</v>
      </c>
      <c r="S270" s="43" t="n">
        <v>0.0610405690258335</v>
      </c>
      <c r="T270" s="44" t="s">
        <v>90</v>
      </c>
    </row>
    <row r="271" customFormat="false" ht="15" hidden="false" customHeight="false" outlineLevel="0" collapsed="false">
      <c r="A271" s="38" t="s">
        <v>344</v>
      </c>
      <c r="B271" s="38" t="s">
        <v>377</v>
      </c>
      <c r="C271" s="38" t="s">
        <v>393</v>
      </c>
      <c r="D271" s="21" t="n">
        <f aca="false">ROUND(Q271*R271,0)</f>
        <v>435</v>
      </c>
      <c r="E271" s="21" t="n">
        <f aca="false">ROUND(Q271,0)-D271</f>
        <v>347</v>
      </c>
      <c r="F271" s="21" t="n">
        <f aca="false">IF(COUNTA(D271:E271)=0,"",SUM(D271:E271))</f>
        <v>782</v>
      </c>
      <c r="G271" s="39" t="n">
        <f aca="false">IF(OR(F271="",F271=0),"",D271/F271)</f>
        <v>0.556265984654731</v>
      </c>
      <c r="H271" s="39" t="n">
        <f aca="false">IF(OR(F271="",F271=0),"",E271/F271)</f>
        <v>0.443734015345269</v>
      </c>
      <c r="I271" s="38" t="s">
        <v>89</v>
      </c>
      <c r="J271" s="40" t="n">
        <v>1.8085538155628</v>
      </c>
      <c r="K271" s="39" t="n">
        <f aca="false">IF(G271="","",MAX(0,G271-J271/100))</f>
        <v>0.538180446499104</v>
      </c>
      <c r="L271" s="39" t="n">
        <f aca="false">IF(G271="","",MIN(1,G271+J271/100))</f>
        <v>0.574351522810359</v>
      </c>
      <c r="M271" s="21" t="n">
        <f aca="false">ROUND(Q271*S271,0)</f>
        <v>39</v>
      </c>
      <c r="N271" s="21" t="n">
        <f aca="false">ROUND(SQRT((F271*J271/100)^2+(G271*M271)^2),0)</f>
        <v>26</v>
      </c>
      <c r="P271" s="41" t="n">
        <v>2.96016211770957</v>
      </c>
      <c r="Q271" s="42" t="n">
        <v>782</v>
      </c>
      <c r="R271" s="43" t="n">
        <f aca="false">MAX(0,MIN(1,P271/100+$D$5))</f>
        <v>0.55616882387197</v>
      </c>
      <c r="S271" s="43" t="n">
        <v>0.0500321312575726</v>
      </c>
      <c r="T271" s="44" t="s">
        <v>99</v>
      </c>
    </row>
    <row r="272" customFormat="false" ht="15" hidden="false" customHeight="false" outlineLevel="0" collapsed="false">
      <c r="A272" s="38" t="s">
        <v>344</v>
      </c>
      <c r="B272" s="38" t="s">
        <v>377</v>
      </c>
      <c r="C272" s="38" t="s">
        <v>394</v>
      </c>
      <c r="D272" s="21" t="n">
        <f aca="false">ROUND(Q272*R272,0)</f>
        <v>417</v>
      </c>
      <c r="E272" s="21" t="n">
        <f aca="false">ROUND(Q272,0)-D272</f>
        <v>337</v>
      </c>
      <c r="F272" s="21" t="n">
        <f aca="false">IF(COUNTA(D272:E272)=0,"",SUM(D272:E272))</f>
        <v>754</v>
      </c>
      <c r="G272" s="39" t="n">
        <f aca="false">IF(OR(F272="",F272=0),"",D272/F272)</f>
        <v>0.553050397877984</v>
      </c>
      <c r="H272" s="39" t="n">
        <f aca="false">IF(OR(F272="",F272=0),"",E272/F272)</f>
        <v>0.446949602122016</v>
      </c>
      <c r="I272" s="38" t="s">
        <v>89</v>
      </c>
      <c r="J272" s="40" t="n">
        <v>3.02608556967268</v>
      </c>
      <c r="K272" s="39" t="n">
        <f aca="false">IF(G272="","",MAX(0,G272-J272/100))</f>
        <v>0.522789542181257</v>
      </c>
      <c r="L272" s="39" t="n">
        <f aca="false">IF(G272="","",MIN(1,G272+J272/100))</f>
        <v>0.583311253574711</v>
      </c>
      <c r="M272" s="21" t="n">
        <f aca="false">ROUND(Q272*S272,0)</f>
        <v>46</v>
      </c>
      <c r="N272" s="21" t="n">
        <f aca="false">ROUND(SQRT((F272*J272/100)^2+(G272*M272)^2),0)</f>
        <v>34</v>
      </c>
      <c r="P272" s="41" t="n">
        <v>2.68815162860823</v>
      </c>
      <c r="Q272" s="42" t="n">
        <v>754</v>
      </c>
      <c r="R272" s="43" t="n">
        <f aca="false">MAX(0,MIN(1,P272/100+$D$5))</f>
        <v>0.553448718980957</v>
      </c>
      <c r="S272" s="43" t="n">
        <v>0.0610405690258335</v>
      </c>
      <c r="T272" s="44" t="s">
        <v>90</v>
      </c>
    </row>
    <row r="273" customFormat="false" ht="15" hidden="false" customHeight="false" outlineLevel="0" collapsed="false">
      <c r="A273" s="38" t="s">
        <v>344</v>
      </c>
      <c r="B273" s="38" t="s">
        <v>395</v>
      </c>
      <c r="C273" s="38" t="s">
        <v>396</v>
      </c>
      <c r="D273" s="21" t="n">
        <f aca="false">ROUND(Q273*R273,0)</f>
        <v>797</v>
      </c>
      <c r="E273" s="21" t="n">
        <f aca="false">ROUND(Q273,0)-D273</f>
        <v>1078</v>
      </c>
      <c r="F273" s="21" t="n">
        <f aca="false">IF(COUNTA(D273:E273)=0,"",SUM(D273:E273))</f>
        <v>1875</v>
      </c>
      <c r="G273" s="39" t="n">
        <f aca="false">IF(OR(F273="",F273=0),"",D273/F273)</f>
        <v>0.425066666666667</v>
      </c>
      <c r="H273" s="39" t="n">
        <f aca="false">IF(OR(F273="",F273=0),"",E273/F273)</f>
        <v>0.574933333333333</v>
      </c>
      <c r="I273" s="38" t="s">
        <v>89</v>
      </c>
      <c r="J273" s="40" t="n">
        <v>1.24911041755021</v>
      </c>
      <c r="K273" s="39" t="n">
        <f aca="false">IF(G273="","",MAX(0,G273-J273/100))</f>
        <v>0.412575562491165</v>
      </c>
      <c r="L273" s="39" t="n">
        <f aca="false">IF(G273="","",MIN(1,G273+J273/100))</f>
        <v>0.437557770842169</v>
      </c>
      <c r="M273" s="21" t="n">
        <f aca="false">ROUND(Q273*S273,0)</f>
        <v>244</v>
      </c>
      <c r="N273" s="21" t="n">
        <f aca="false">ROUND(SQRT((F273*J273/100)^2+(G273*M273)^2),0)</f>
        <v>106</v>
      </c>
      <c r="P273" s="41" t="n">
        <v>-10.1411080357169</v>
      </c>
      <c r="Q273" s="42" t="n">
        <v>1875</v>
      </c>
      <c r="R273" s="43" t="n">
        <f aca="false">MAX(0,MIN(1,P273/100+$D$5))</f>
        <v>0.425156122337706</v>
      </c>
      <c r="S273" s="43" t="n">
        <v>0.130204099606216</v>
      </c>
      <c r="T273" s="44" t="s">
        <v>192</v>
      </c>
    </row>
    <row r="274" customFormat="false" ht="15" hidden="false" customHeight="false" outlineLevel="0" collapsed="false">
      <c r="A274" s="38" t="s">
        <v>344</v>
      </c>
      <c r="B274" s="38" t="s">
        <v>395</v>
      </c>
      <c r="C274" s="38" t="s">
        <v>397</v>
      </c>
      <c r="D274" s="21" t="n">
        <f aca="false">ROUND(Q274*R274,0)</f>
        <v>717</v>
      </c>
      <c r="E274" s="21" t="n">
        <f aca="false">ROUND(Q274,0)-D274</f>
        <v>884</v>
      </c>
      <c r="F274" s="21" t="n">
        <f aca="false">IF(COUNTA(D274:E274)=0,"",SUM(D274:E274))</f>
        <v>1601</v>
      </c>
      <c r="G274" s="39" t="n">
        <f aca="false">IF(OR(F274="",F274=0),"",D274/F274)</f>
        <v>0.447845096814491</v>
      </c>
      <c r="H274" s="39" t="n">
        <f aca="false">IF(OR(F274="",F274=0),"",E274/F274)</f>
        <v>0.552154903185509</v>
      </c>
      <c r="I274" s="38" t="s">
        <v>89</v>
      </c>
      <c r="J274" s="40" t="n">
        <v>1.24911041755021</v>
      </c>
      <c r="K274" s="39" t="n">
        <f aca="false">IF(G274="","",MAX(0,G274-J274/100))</f>
        <v>0.435353992638989</v>
      </c>
      <c r="L274" s="39" t="n">
        <f aca="false">IF(G274="","",MIN(1,G274+J274/100))</f>
        <v>0.460336200989993</v>
      </c>
      <c r="M274" s="21" t="n">
        <f aca="false">ROUND(Q274*S274,0)</f>
        <v>208</v>
      </c>
      <c r="N274" s="21" t="n">
        <f aca="false">ROUND(SQRT((F274*J274/100)^2+(G274*M274)^2),0)</f>
        <v>95</v>
      </c>
      <c r="P274" s="41" t="n">
        <v>-7.88377856588435</v>
      </c>
      <c r="Q274" s="42" t="n">
        <v>1601</v>
      </c>
      <c r="R274" s="43" t="n">
        <f aca="false">MAX(0,MIN(1,P274/100+$D$5))</f>
        <v>0.447729417036031</v>
      </c>
      <c r="S274" s="43" t="n">
        <v>0.130204099606216</v>
      </c>
      <c r="T274" s="44" t="s">
        <v>192</v>
      </c>
    </row>
    <row r="275" customFormat="false" ht="15" hidden="false" customHeight="false" outlineLevel="0" collapsed="false">
      <c r="A275" s="38" t="s">
        <v>344</v>
      </c>
      <c r="B275" s="38" t="s">
        <v>395</v>
      </c>
      <c r="C275" s="38" t="s">
        <v>398</v>
      </c>
      <c r="D275" s="21" t="n">
        <f aca="false">ROUND(Q275*R275,0)</f>
        <v>359</v>
      </c>
      <c r="E275" s="21" t="n">
        <f aca="false">ROUND(Q275,0)-D275</f>
        <v>564</v>
      </c>
      <c r="F275" s="21" t="n">
        <f aca="false">IF(COUNTA(D275:E275)=0,"",SUM(D275:E275))</f>
        <v>923</v>
      </c>
      <c r="G275" s="39" t="n">
        <f aca="false">IF(OR(F275="",F275=0),"",D275/F275)</f>
        <v>0.388949079089924</v>
      </c>
      <c r="H275" s="39" t="n">
        <f aca="false">IF(OR(F275="",F275=0),"",E275/F275)</f>
        <v>0.611050920910076</v>
      </c>
      <c r="I275" s="38" t="s">
        <v>89</v>
      </c>
      <c r="J275" s="40" t="n">
        <v>1.8085538155628</v>
      </c>
      <c r="K275" s="39" t="n">
        <f aca="false">IF(G275="","",MAX(0,G275-J275/100))</f>
        <v>0.370863540934296</v>
      </c>
      <c r="L275" s="39" t="n">
        <f aca="false">IF(G275="","",MIN(1,G275+J275/100))</f>
        <v>0.407034617245552</v>
      </c>
      <c r="M275" s="21" t="n">
        <f aca="false">ROUND(Q275*S275,0)</f>
        <v>46</v>
      </c>
      <c r="N275" s="21" t="n">
        <f aca="false">ROUND(SQRT((F275*J275/100)^2+(G275*M275)^2),0)</f>
        <v>24</v>
      </c>
      <c r="P275" s="41" t="n">
        <v>-13.7337857415099</v>
      </c>
      <c r="Q275" s="42" t="n">
        <v>923</v>
      </c>
      <c r="R275" s="43" t="n">
        <f aca="false">MAX(0,MIN(1,P275/100+$D$5))</f>
        <v>0.389229345279776</v>
      </c>
      <c r="S275" s="43" t="n">
        <v>0.0500321312575726</v>
      </c>
      <c r="T275" s="44" t="s">
        <v>99</v>
      </c>
    </row>
    <row r="276" customFormat="false" ht="15" hidden="false" customHeight="false" outlineLevel="0" collapsed="false">
      <c r="A276" s="38" t="s">
        <v>344</v>
      </c>
      <c r="B276" s="38" t="s">
        <v>399</v>
      </c>
      <c r="C276" s="38" t="s">
        <v>399</v>
      </c>
      <c r="D276" s="21" t="n">
        <f aca="false">ROUND(Q276*R276,0)</f>
        <v>33</v>
      </c>
      <c r="E276" s="21" t="n">
        <f aca="false">ROUND(Q276,0)-D276</f>
        <v>53</v>
      </c>
      <c r="F276" s="21" t="n">
        <f aca="false">IF(COUNTA(D276:E276)=0,"",SUM(D276:E276))</f>
        <v>86</v>
      </c>
      <c r="G276" s="39" t="n">
        <f aca="false">IF(OR(F276="",F276=0),"",D276/F276)</f>
        <v>0.383720930232558</v>
      </c>
      <c r="H276" s="39" t="n">
        <f aca="false">IF(OR(F276="",F276=0),"",E276/F276)</f>
        <v>0.616279069767442</v>
      </c>
      <c r="I276" s="38" t="s">
        <v>89</v>
      </c>
      <c r="J276" s="40" t="n">
        <v>3.02608556967268</v>
      </c>
      <c r="K276" s="39" t="n">
        <f aca="false">IF(G276="","",MAX(0,G276-J276/100))</f>
        <v>0.353460074535831</v>
      </c>
      <c r="L276" s="39" t="n">
        <f aca="false">IF(G276="","",MIN(1,G276+J276/100))</f>
        <v>0.413981785929285</v>
      </c>
      <c r="M276" s="21" t="n">
        <f aca="false">ROUND(Q276*S276,0)</f>
        <v>5</v>
      </c>
      <c r="N276" s="21" t="n">
        <f aca="false">ROUND(SQRT((F276*J276/100)^2+(G276*M276)^2),0)</f>
        <v>3</v>
      </c>
      <c r="P276" s="41" t="n">
        <v>-13.7974899306088</v>
      </c>
      <c r="Q276" s="42" t="n">
        <v>86</v>
      </c>
      <c r="R276" s="43" t="n">
        <f aca="false">MAX(0,MIN(1,P276/100+$D$5))</f>
        <v>0.388592303388787</v>
      </c>
      <c r="S276" s="43" t="n">
        <v>0.0610405690258335</v>
      </c>
      <c r="T276" s="44" t="s">
        <v>90</v>
      </c>
    </row>
    <row r="277" customFormat="false" ht="15" hidden="false" customHeight="false" outlineLevel="0" collapsed="false">
      <c r="A277" s="38" t="s">
        <v>344</v>
      </c>
      <c r="B277" s="38" t="s">
        <v>400</v>
      </c>
      <c r="C277" s="38" t="s">
        <v>401</v>
      </c>
      <c r="D277" s="21" t="n">
        <f aca="false">ROUND(Q277*R277,0)</f>
        <v>602</v>
      </c>
      <c r="E277" s="21" t="n">
        <f aca="false">ROUND(Q277,0)-D277</f>
        <v>689</v>
      </c>
      <c r="F277" s="21" t="n">
        <f aca="false">IF(COUNTA(D277:E277)=0,"",SUM(D277:E277))</f>
        <v>1291</v>
      </c>
      <c r="G277" s="39" t="n">
        <f aca="false">IF(OR(F277="",F277=0),"",D277/F277)</f>
        <v>0.466305189775368</v>
      </c>
      <c r="H277" s="39" t="n">
        <f aca="false">IF(OR(F277="",F277=0),"",E277/F277)</f>
        <v>0.533694810224632</v>
      </c>
      <c r="I277" s="38" t="s">
        <v>89</v>
      </c>
      <c r="J277" s="40" t="n">
        <v>1.24911041755021</v>
      </c>
      <c r="K277" s="39" t="n">
        <f aca="false">IF(G277="","",MAX(0,G277-J277/100))</f>
        <v>0.453814085599866</v>
      </c>
      <c r="L277" s="39" t="n">
        <f aca="false">IF(G277="","",MIN(1,G277+J277/100))</f>
        <v>0.47879629395087</v>
      </c>
      <c r="M277" s="21" t="n">
        <f aca="false">ROUND(Q277*S277,0)</f>
        <v>168</v>
      </c>
      <c r="N277" s="21" t="n">
        <f aca="false">ROUND(SQRT((F277*J277/100)^2+(G277*M277)^2),0)</f>
        <v>80</v>
      </c>
      <c r="P277" s="41" t="n">
        <v>-6.05118397269875</v>
      </c>
      <c r="Q277" s="42" t="n">
        <v>1291</v>
      </c>
      <c r="R277" s="43" t="n">
        <f aca="false">MAX(0,MIN(1,P277/100+$D$5))</f>
        <v>0.466055362967887</v>
      </c>
      <c r="S277" s="43" t="n">
        <v>0.130204099606216</v>
      </c>
      <c r="T277" s="44" t="s">
        <v>192</v>
      </c>
    </row>
    <row r="278" customFormat="false" ht="15" hidden="false" customHeight="false" outlineLevel="0" collapsed="false">
      <c r="A278" s="38" t="s">
        <v>344</v>
      </c>
      <c r="B278" s="38" t="s">
        <v>400</v>
      </c>
      <c r="C278" s="38" t="s">
        <v>402</v>
      </c>
      <c r="D278" s="21" t="n">
        <f aca="false">ROUND(Q278*R278,0)</f>
        <v>602</v>
      </c>
      <c r="E278" s="21" t="n">
        <f aca="false">ROUND(Q278,0)-D278</f>
        <v>624</v>
      </c>
      <c r="F278" s="21" t="n">
        <f aca="false">IF(COUNTA(D278:E278)=0,"",SUM(D278:E278))</f>
        <v>1226</v>
      </c>
      <c r="G278" s="39" t="n">
        <f aca="false">IF(OR(F278="",F278=0),"",D278/F278)</f>
        <v>0.491027732463295</v>
      </c>
      <c r="H278" s="39" t="n">
        <f aca="false">IF(OR(F278="",F278=0),"",E278/F278)</f>
        <v>0.508972267536705</v>
      </c>
      <c r="I278" s="38" t="s">
        <v>89</v>
      </c>
      <c r="J278" s="40" t="n">
        <v>1.24911041755021</v>
      </c>
      <c r="K278" s="39" t="n">
        <f aca="false">IF(G278="","",MAX(0,G278-J278/100))</f>
        <v>0.478536628287793</v>
      </c>
      <c r="L278" s="39" t="n">
        <f aca="false">IF(G278="","",MIN(1,G278+J278/100))</f>
        <v>0.503518836638797</v>
      </c>
      <c r="M278" s="21" t="n">
        <f aca="false">ROUND(Q278*S278,0)</f>
        <v>160</v>
      </c>
      <c r="N278" s="21" t="n">
        <f aca="false">ROUND(SQRT((F278*J278/100)^2+(G278*M278)^2),0)</f>
        <v>80</v>
      </c>
      <c r="P278" s="41" t="n">
        <v>-3.56080336949576</v>
      </c>
      <c r="Q278" s="42" t="n">
        <v>1226</v>
      </c>
      <c r="R278" s="43" t="n">
        <f aca="false">MAX(0,MIN(1,P278/100+$D$5))</f>
        <v>0.490959168999917</v>
      </c>
      <c r="S278" s="43" t="n">
        <v>0.130204099606216</v>
      </c>
      <c r="T278" s="44" t="s">
        <v>192</v>
      </c>
    </row>
    <row r="279" customFormat="false" ht="15" hidden="false" customHeight="false" outlineLevel="0" collapsed="false">
      <c r="A279" s="38" t="s">
        <v>344</v>
      </c>
      <c r="B279" s="38" t="s">
        <v>403</v>
      </c>
      <c r="C279" s="38" t="s">
        <v>403</v>
      </c>
      <c r="D279" s="21" t="n">
        <f aca="false">ROUND(Q279*R279,0)</f>
        <v>154</v>
      </c>
      <c r="E279" s="21" t="n">
        <f aca="false">ROUND(Q279,0)-D279</f>
        <v>197</v>
      </c>
      <c r="F279" s="21" t="n">
        <f aca="false">IF(COUNTA(D279:E279)=0,"",SUM(D279:E279))</f>
        <v>351</v>
      </c>
      <c r="G279" s="39" t="n">
        <f aca="false">IF(OR(F279="",F279=0),"",D279/F279)</f>
        <v>0.438746438746439</v>
      </c>
      <c r="H279" s="39" t="n">
        <f aca="false">IF(OR(F279="",F279=0),"",E279/F279)</f>
        <v>0.561253561253561</v>
      </c>
      <c r="I279" s="38" t="s">
        <v>89</v>
      </c>
      <c r="J279" s="40" t="n">
        <v>3.02608556967268</v>
      </c>
      <c r="K279" s="39" t="n">
        <f aca="false">IF(G279="","",MAX(0,G279-J279/100))</f>
        <v>0.408485583049712</v>
      </c>
      <c r="L279" s="39" t="n">
        <f aca="false">IF(G279="","",MIN(1,G279+J279/100))</f>
        <v>0.469007294443166</v>
      </c>
      <c r="M279" s="21" t="n">
        <f aca="false">ROUND(Q279*S279,0)</f>
        <v>21</v>
      </c>
      <c r="N279" s="21" t="n">
        <f aca="false">ROUND(SQRT((F279*J279/100)^2+(G279*M279)^2),0)</f>
        <v>14</v>
      </c>
      <c r="P279" s="41" t="n">
        <v>-8.86866285482925</v>
      </c>
      <c r="Q279" s="42" t="n">
        <v>351</v>
      </c>
      <c r="R279" s="43" t="n">
        <f aca="false">MAX(0,MIN(1,P279/100+$D$5))</f>
        <v>0.437880574146582</v>
      </c>
      <c r="S279" s="43" t="n">
        <v>0.0610405690258335</v>
      </c>
      <c r="T279" s="44" t="s">
        <v>90</v>
      </c>
    </row>
    <row r="280" customFormat="false" ht="15" hidden="false" customHeight="false" outlineLevel="0" collapsed="false">
      <c r="A280" s="38" t="s">
        <v>344</v>
      </c>
      <c r="B280" s="38" t="s">
        <v>404</v>
      </c>
      <c r="C280" s="38" t="s">
        <v>405</v>
      </c>
      <c r="D280" s="21" t="n">
        <f aca="false">ROUND(Q280*R280,0)</f>
        <v>465</v>
      </c>
      <c r="E280" s="21" t="n">
        <f aca="false">ROUND(Q280,0)-D280</f>
        <v>264</v>
      </c>
      <c r="F280" s="21" t="n">
        <f aca="false">IF(COUNTA(D280:E280)=0,"",SUM(D280:E280))</f>
        <v>729</v>
      </c>
      <c r="G280" s="39" t="n">
        <f aca="false">IF(OR(F280="",F280=0),"",D280/F280)</f>
        <v>0.637860082304527</v>
      </c>
      <c r="H280" s="39" t="n">
        <f aca="false">IF(OR(F280="",F280=0),"",E280/F280)</f>
        <v>0.362139917695473</v>
      </c>
      <c r="I280" s="38" t="s">
        <v>190</v>
      </c>
      <c r="J280" s="40" t="n">
        <v>3.02608556967268</v>
      </c>
      <c r="K280" s="39" t="n">
        <f aca="false">IF(G280="","",MAX(0,G280-J280/100))</f>
        <v>0.6075992266078</v>
      </c>
      <c r="L280" s="39" t="n">
        <f aca="false">IF(G280="","",MIN(1,G280+J280/100))</f>
        <v>0.668120938001254</v>
      </c>
      <c r="M280" s="21" t="n">
        <f aca="false">ROUND(Q280*S280,0)</f>
        <v>44</v>
      </c>
      <c r="N280" s="21" t="n">
        <f aca="false">ROUND(SQRT((F280*J280/100)^2+(G280*M280)^2),0)</f>
        <v>36</v>
      </c>
      <c r="P280" s="41" t="n">
        <v>11.1807139150851</v>
      </c>
      <c r="Q280" s="42" t="n">
        <v>728.725186006016</v>
      </c>
      <c r="R280" s="43" t="n">
        <f aca="false">MAX(0,MIN(1,P280/100+$D$5))</f>
        <v>0.638374341845725</v>
      </c>
      <c r="S280" s="43" t="n">
        <v>0.0610405690258335</v>
      </c>
      <c r="T280" s="44" t="s">
        <v>90</v>
      </c>
    </row>
    <row r="281" customFormat="false" ht="15" hidden="false" customHeight="false" outlineLevel="0" collapsed="false">
      <c r="A281" s="38" t="s">
        <v>344</v>
      </c>
      <c r="B281" s="38" t="s">
        <v>404</v>
      </c>
      <c r="C281" s="38" t="s">
        <v>406</v>
      </c>
      <c r="D281" s="21" t="n">
        <f aca="false">ROUND(Q281*R281,0)</f>
        <v>302</v>
      </c>
      <c r="E281" s="21" t="n">
        <f aca="false">ROUND(Q281,0)-D281</f>
        <v>154</v>
      </c>
      <c r="F281" s="21" t="n">
        <f aca="false">IF(COUNTA(D281:E281)=0,"",SUM(D281:E281))</f>
        <v>456</v>
      </c>
      <c r="G281" s="39" t="n">
        <f aca="false">IF(OR(F281="",F281=0),"",D281/F281)</f>
        <v>0.662280701754386</v>
      </c>
      <c r="H281" s="39" t="n">
        <f aca="false">IF(OR(F281="",F281=0),"",E281/F281)</f>
        <v>0.337719298245614</v>
      </c>
      <c r="I281" s="38" t="s">
        <v>89</v>
      </c>
      <c r="J281" s="40" t="n">
        <v>3.02608556967268</v>
      </c>
      <c r="K281" s="39" t="n">
        <f aca="false">IF(G281="","",MAX(0,G281-J281/100))</f>
        <v>0.632019846057659</v>
      </c>
      <c r="L281" s="39" t="n">
        <f aca="false">IF(G281="","",MIN(1,G281+J281/100))</f>
        <v>0.692541557451113</v>
      </c>
      <c r="M281" s="21" t="n">
        <f aca="false">ROUND(Q281*S281,0)</f>
        <v>28</v>
      </c>
      <c r="N281" s="21" t="n">
        <f aca="false">ROUND(SQRT((F281*J281/100)^2+(G281*M281)^2),0)</f>
        <v>23</v>
      </c>
      <c r="P281" s="41" t="n">
        <v>13.6710613313982</v>
      </c>
      <c r="Q281" s="42" t="n">
        <v>456</v>
      </c>
      <c r="R281" s="43" t="n">
        <f aca="false">MAX(0,MIN(1,P281/100+$D$5))</f>
        <v>0.663277816008856</v>
      </c>
      <c r="S281" s="43" t="n">
        <v>0.0610405690258335</v>
      </c>
      <c r="T281" s="44" t="s">
        <v>90</v>
      </c>
    </row>
    <row r="282" customFormat="false" ht="15" hidden="false" customHeight="false" outlineLevel="0" collapsed="false">
      <c r="A282" s="38" t="s">
        <v>344</v>
      </c>
      <c r="B282" s="38" t="s">
        <v>404</v>
      </c>
      <c r="C282" s="38" t="s">
        <v>407</v>
      </c>
      <c r="D282" s="21" t="n">
        <f aca="false">ROUND(Q282*R282,0)</f>
        <v>360</v>
      </c>
      <c r="E282" s="21" t="n">
        <f aca="false">ROUND(Q282,0)-D282</f>
        <v>130</v>
      </c>
      <c r="F282" s="21" t="n">
        <f aca="false">IF(COUNTA(D282:E282)=0,"",SUM(D282:E282))</f>
        <v>490</v>
      </c>
      <c r="G282" s="39" t="n">
        <f aca="false">IF(OR(F282="",F282=0),"",D282/F282)</f>
        <v>0.73469387755102</v>
      </c>
      <c r="H282" s="39" t="n">
        <f aca="false">IF(OR(F282="",F282=0),"",E282/F282)</f>
        <v>0.26530612244898</v>
      </c>
      <c r="I282" s="38" t="s">
        <v>89</v>
      </c>
      <c r="J282" s="40" t="n">
        <v>3.02608556967268</v>
      </c>
      <c r="K282" s="39" t="n">
        <f aca="false">IF(G282="","",MAX(0,G282-J282/100))</f>
        <v>0.704433021854294</v>
      </c>
      <c r="L282" s="39" t="n">
        <f aca="false">IF(G282="","",MIN(1,G282+J282/100))</f>
        <v>0.764954733247747</v>
      </c>
      <c r="M282" s="21" t="n">
        <f aca="false">ROUND(Q282*S282,0)</f>
        <v>30</v>
      </c>
      <c r="N282" s="21" t="n">
        <f aca="false">ROUND(SQRT((F282*J282/100)^2+(G282*M282)^2),0)</f>
        <v>27</v>
      </c>
      <c r="P282" s="41" t="n">
        <v>20.8372313944924</v>
      </c>
      <c r="Q282" s="42" t="n">
        <v>490</v>
      </c>
      <c r="R282" s="43" t="n">
        <f aca="false">MAX(0,MIN(1,P282/100+$D$5))</f>
        <v>0.734939516639799</v>
      </c>
      <c r="S282" s="43" t="n">
        <v>0.0610405690258335</v>
      </c>
      <c r="T282" s="44" t="s">
        <v>90</v>
      </c>
    </row>
    <row r="283" customFormat="false" ht="15" hidden="false" customHeight="false" outlineLevel="0" collapsed="false">
      <c r="A283" s="38" t="s">
        <v>344</v>
      </c>
      <c r="B283" s="38" t="s">
        <v>404</v>
      </c>
      <c r="C283" s="38" t="s">
        <v>408</v>
      </c>
      <c r="D283" s="21" t="n">
        <f aca="false">ROUND(Q283*R283,0)</f>
        <v>655</v>
      </c>
      <c r="E283" s="21" t="n">
        <f aca="false">ROUND(Q283,0)-D283</f>
        <v>211</v>
      </c>
      <c r="F283" s="21" t="n">
        <f aca="false">IF(COUNTA(D283:E283)=0,"",SUM(D283:E283))</f>
        <v>866</v>
      </c>
      <c r="G283" s="39" t="n">
        <f aca="false">IF(OR(F283="",F283=0),"",D283/F283)</f>
        <v>0.75635103926097</v>
      </c>
      <c r="H283" s="39" t="n">
        <f aca="false">IF(OR(F283="",F283=0),"",E283/F283)</f>
        <v>0.24364896073903</v>
      </c>
      <c r="I283" s="38" t="s">
        <v>89</v>
      </c>
      <c r="J283" s="40" t="n">
        <v>1.8085538155628</v>
      </c>
      <c r="K283" s="39" t="n">
        <f aca="false">IF(G283="","",MAX(0,G283-J283/100))</f>
        <v>0.738265501105342</v>
      </c>
      <c r="L283" s="39" t="n">
        <f aca="false">IF(G283="","",MIN(1,G283+J283/100))</f>
        <v>0.774436577416598</v>
      </c>
      <c r="M283" s="21" t="n">
        <f aca="false">ROUND(Q283*S283,0)</f>
        <v>43</v>
      </c>
      <c r="N283" s="21" t="n">
        <f aca="false">ROUND(SQRT((F283*J283/100)^2+(G283*M283)^2),0)</f>
        <v>36</v>
      </c>
      <c r="P283" s="41" t="n">
        <v>22.9215739993858</v>
      </c>
      <c r="Q283" s="42" t="n">
        <v>866</v>
      </c>
      <c r="R283" s="43" t="n">
        <f aca="false">MAX(0,MIN(1,P283/100+$D$5))</f>
        <v>0.755782942688732</v>
      </c>
      <c r="S283" s="43" t="n">
        <v>0.0500321312575726</v>
      </c>
      <c r="T283" s="44" t="s">
        <v>99</v>
      </c>
    </row>
    <row r="284" customFormat="false" ht="15" hidden="false" customHeight="false" outlineLevel="0" collapsed="false">
      <c r="A284" s="38" t="s">
        <v>344</v>
      </c>
      <c r="B284" s="38" t="s">
        <v>404</v>
      </c>
      <c r="C284" s="38" t="s">
        <v>409</v>
      </c>
      <c r="D284" s="21" t="n">
        <f aca="false">ROUND(Q284*R284,0)</f>
        <v>430</v>
      </c>
      <c r="E284" s="21" t="n">
        <f aca="false">ROUND(Q284,0)-D284</f>
        <v>106</v>
      </c>
      <c r="F284" s="21" t="n">
        <f aca="false">IF(COUNTA(D284:E284)=0,"",SUM(D284:E284))</f>
        <v>536</v>
      </c>
      <c r="G284" s="39" t="n">
        <f aca="false">IF(OR(F284="",F284=0),"",D284/F284)</f>
        <v>0.802238805970149</v>
      </c>
      <c r="H284" s="39" t="n">
        <f aca="false">IF(OR(F284="",F284=0),"",E284/F284)</f>
        <v>0.197761194029851</v>
      </c>
      <c r="I284" s="38" t="s">
        <v>89</v>
      </c>
      <c r="J284" s="40" t="n">
        <v>3.02608556967268</v>
      </c>
      <c r="K284" s="39" t="n">
        <f aca="false">IF(G284="","",MAX(0,G284-J284/100))</f>
        <v>0.771977950273422</v>
      </c>
      <c r="L284" s="39" t="n">
        <f aca="false">IF(G284="","",MIN(1,G284+J284/100))</f>
        <v>0.832499661666876</v>
      </c>
      <c r="M284" s="21" t="n">
        <f aca="false">ROUND(Q284*S284,0)</f>
        <v>33</v>
      </c>
      <c r="N284" s="21" t="n">
        <f aca="false">ROUND(SQRT((F284*J284/100)^2+(G284*M284)^2),0)</f>
        <v>31</v>
      </c>
      <c r="P284" s="41" t="n">
        <v>27.6524117226454</v>
      </c>
      <c r="Q284" s="42" t="n">
        <v>536</v>
      </c>
      <c r="R284" s="43" t="n">
        <f aca="false">MAX(0,MIN(1,P284/100+$D$5))</f>
        <v>0.803091319921329</v>
      </c>
      <c r="S284" s="43" t="n">
        <v>0.0610405690258335</v>
      </c>
      <c r="T284" s="44" t="s">
        <v>90</v>
      </c>
    </row>
    <row r="285" customFormat="false" ht="15" hidden="false" customHeight="false" outlineLevel="0" collapsed="false">
      <c r="A285" s="38" t="s">
        <v>344</v>
      </c>
      <c r="B285" s="38" t="s">
        <v>404</v>
      </c>
      <c r="C285" s="38" t="s">
        <v>410</v>
      </c>
      <c r="D285" s="21" t="n">
        <f aca="false">ROUND(Q285*R285,0)</f>
        <v>486</v>
      </c>
      <c r="E285" s="21" t="n">
        <f aca="false">ROUND(Q285,0)-D285</f>
        <v>193</v>
      </c>
      <c r="F285" s="21" t="n">
        <f aca="false">IF(COUNTA(D285:E285)=0,"",SUM(D285:E285))</f>
        <v>679</v>
      </c>
      <c r="G285" s="39" t="n">
        <f aca="false">IF(OR(F285="",F285=0),"",D285/F285)</f>
        <v>0.715758468335788</v>
      </c>
      <c r="H285" s="39" t="n">
        <f aca="false">IF(OR(F285="",F285=0),"",E285/F285)</f>
        <v>0.284241531664212</v>
      </c>
      <c r="I285" s="38" t="s">
        <v>89</v>
      </c>
      <c r="J285" s="40" t="n">
        <v>3.02608556967268</v>
      </c>
      <c r="K285" s="39" t="n">
        <f aca="false">IF(G285="","",MAX(0,G285-J285/100))</f>
        <v>0.685497612639061</v>
      </c>
      <c r="L285" s="39" t="n">
        <f aca="false">IF(G285="","",MIN(1,G285+J285/100))</f>
        <v>0.746019324032515</v>
      </c>
      <c r="M285" s="21" t="n">
        <f aca="false">ROUND(Q285*S285,0)</f>
        <v>41</v>
      </c>
      <c r="N285" s="21" t="n">
        <f aca="false">ROUND(SQRT((F285*J285/100)^2+(G285*M285)^2),0)</f>
        <v>36</v>
      </c>
      <c r="P285" s="41" t="n">
        <v>18.8860372325862</v>
      </c>
      <c r="Q285" s="42" t="n">
        <v>679</v>
      </c>
      <c r="R285" s="43" t="n">
        <f aca="false">MAX(0,MIN(1,P285/100+$D$5))</f>
        <v>0.715427575020736</v>
      </c>
      <c r="S285" s="43" t="n">
        <v>0.0610405690258335</v>
      </c>
      <c r="T285" s="44" t="s">
        <v>90</v>
      </c>
    </row>
    <row r="286" customFormat="false" ht="15" hidden="false" customHeight="false" outlineLevel="0" collapsed="false">
      <c r="A286" s="38" t="s">
        <v>344</v>
      </c>
      <c r="B286" s="38" t="s">
        <v>404</v>
      </c>
      <c r="C286" s="38" t="s">
        <v>411</v>
      </c>
      <c r="D286" s="21" t="n">
        <f aca="false">ROUND(Q286*R286,0)</f>
        <v>361</v>
      </c>
      <c r="E286" s="21" t="n">
        <f aca="false">ROUND(Q286,0)-D286</f>
        <v>158</v>
      </c>
      <c r="F286" s="21" t="n">
        <f aca="false">IF(COUNTA(D286:E286)=0,"",SUM(D286:E286))</f>
        <v>519</v>
      </c>
      <c r="G286" s="39" t="n">
        <f aca="false">IF(OR(F286="",F286=0),"",D286/F286)</f>
        <v>0.695568400770713</v>
      </c>
      <c r="H286" s="39" t="n">
        <f aca="false">IF(OR(F286="",F286=0),"",E286/F286)</f>
        <v>0.304431599229287</v>
      </c>
      <c r="I286" s="38" t="s">
        <v>89</v>
      </c>
      <c r="J286" s="40" t="n">
        <v>3.02608556967268</v>
      </c>
      <c r="K286" s="39" t="n">
        <f aca="false">IF(G286="","",MAX(0,G286-J286/100))</f>
        <v>0.665307545073986</v>
      </c>
      <c r="L286" s="39" t="n">
        <f aca="false">IF(G286="","",MIN(1,G286+J286/100))</f>
        <v>0.72582925646744</v>
      </c>
      <c r="M286" s="21" t="n">
        <f aca="false">ROUND(Q286*S286,0)</f>
        <v>32</v>
      </c>
      <c r="N286" s="21" t="n">
        <f aca="false">ROUND(SQRT((F286*J286/100)^2+(G286*M286)^2),0)</f>
        <v>27</v>
      </c>
      <c r="P286" s="41" t="n">
        <v>16.9924650852719</v>
      </c>
      <c r="Q286" s="42" t="n">
        <v>519</v>
      </c>
      <c r="R286" s="43" t="n">
        <f aca="false">MAX(0,MIN(1,P286/100+$D$5))</f>
        <v>0.696491853547593</v>
      </c>
      <c r="S286" s="43" t="n">
        <v>0.0610405690258335</v>
      </c>
      <c r="T286" s="44" t="s">
        <v>90</v>
      </c>
    </row>
    <row r="287" customFormat="false" ht="15" hidden="false" customHeight="false" outlineLevel="0" collapsed="false">
      <c r="A287" s="38" t="s">
        <v>344</v>
      </c>
      <c r="B287" s="38" t="s">
        <v>404</v>
      </c>
      <c r="C287" s="38" t="s">
        <v>412</v>
      </c>
      <c r="D287" s="21" t="n">
        <f aca="false">ROUND(Q287*R287,0)</f>
        <v>157</v>
      </c>
      <c r="E287" s="21" t="n">
        <f aca="false">ROUND(Q287,0)-D287</f>
        <v>55</v>
      </c>
      <c r="F287" s="21" t="n">
        <f aca="false">IF(COUNTA(D287:E287)=0,"",SUM(D287:E287))</f>
        <v>212</v>
      </c>
      <c r="G287" s="39" t="n">
        <f aca="false">IF(OR(F287="",F287=0),"",D287/F287)</f>
        <v>0.740566037735849</v>
      </c>
      <c r="H287" s="39" t="n">
        <f aca="false">IF(OR(F287="",F287=0),"",E287/F287)</f>
        <v>0.259433962264151</v>
      </c>
      <c r="I287" s="38" t="s">
        <v>89</v>
      </c>
      <c r="J287" s="40" t="n">
        <v>3.02608556967268</v>
      </c>
      <c r="K287" s="39" t="n">
        <f aca="false">IF(G287="","",MAX(0,G287-J287/100))</f>
        <v>0.710305182039122</v>
      </c>
      <c r="L287" s="39" t="n">
        <f aca="false">IF(G287="","",MIN(1,G287+J287/100))</f>
        <v>0.770826893432576</v>
      </c>
      <c r="M287" s="21" t="n">
        <f aca="false">ROUND(Q287*S287,0)</f>
        <v>13</v>
      </c>
      <c r="N287" s="21" t="n">
        <f aca="false">ROUND(SQRT((F287*J287/100)^2+(G287*M287)^2),0)</f>
        <v>12</v>
      </c>
      <c r="P287" s="41" t="n">
        <v>21.5818822986461</v>
      </c>
      <c r="Q287" s="42" t="n">
        <v>212</v>
      </c>
      <c r="R287" s="43" t="n">
        <f aca="false">MAX(0,MIN(1,P287/100+$D$5))</f>
        <v>0.742386025681335</v>
      </c>
      <c r="S287" s="43" t="n">
        <v>0.0610405690258335</v>
      </c>
      <c r="T287" s="44" t="s">
        <v>90</v>
      </c>
    </row>
    <row r="288" customFormat="false" ht="15" hidden="false" customHeight="false" outlineLevel="0" collapsed="false">
      <c r="A288" s="38" t="s">
        <v>344</v>
      </c>
      <c r="B288" s="38" t="s">
        <v>404</v>
      </c>
      <c r="C288" s="38" t="s">
        <v>413</v>
      </c>
      <c r="D288" s="21" t="n">
        <f aca="false">ROUND(Q288*R288,0)</f>
        <v>239</v>
      </c>
      <c r="E288" s="21" t="n">
        <f aca="false">ROUND(Q288,0)-D288</f>
        <v>85</v>
      </c>
      <c r="F288" s="21" t="n">
        <f aca="false">IF(COUNTA(D288:E288)=0,"",SUM(D288:E288))</f>
        <v>324</v>
      </c>
      <c r="G288" s="39" t="n">
        <f aca="false">IF(OR(F288="",F288=0),"",D288/F288)</f>
        <v>0.737654320987654</v>
      </c>
      <c r="H288" s="39" t="n">
        <f aca="false">IF(OR(F288="",F288=0),"",E288/F288)</f>
        <v>0.262345679012346</v>
      </c>
      <c r="I288" s="38" t="s">
        <v>89</v>
      </c>
      <c r="J288" s="40" t="n">
        <v>3.02608556967268</v>
      </c>
      <c r="K288" s="39" t="n">
        <f aca="false">IF(G288="","",MAX(0,G288-J288/100))</f>
        <v>0.707393465290927</v>
      </c>
      <c r="L288" s="39" t="n">
        <f aca="false">IF(G288="","",MIN(1,G288+J288/100))</f>
        <v>0.767915176684381</v>
      </c>
      <c r="M288" s="21" t="n">
        <f aca="false">ROUND(Q288*S288,0)</f>
        <v>20</v>
      </c>
      <c r="N288" s="21" t="n">
        <f aca="false">ROUND(SQRT((F288*J288/100)^2+(G288*M288)^2),0)</f>
        <v>18</v>
      </c>
      <c r="P288" s="41" t="n">
        <v>21.2525477273179</v>
      </c>
      <c r="Q288" s="42" t="n">
        <v>324</v>
      </c>
      <c r="R288" s="43" t="n">
        <f aca="false">MAX(0,MIN(1,P288/100+$D$5))</f>
        <v>0.739092679968053</v>
      </c>
      <c r="S288" s="43" t="n">
        <v>0.0610405690258335</v>
      </c>
      <c r="T288" s="44" t="s">
        <v>90</v>
      </c>
    </row>
    <row r="289" customFormat="false" ht="15" hidden="false" customHeight="false" outlineLevel="0" collapsed="false">
      <c r="A289" s="38" t="s">
        <v>344</v>
      </c>
      <c r="B289" s="38" t="s">
        <v>404</v>
      </c>
      <c r="C289" s="38" t="s">
        <v>414</v>
      </c>
      <c r="D289" s="21" t="n">
        <f aca="false">ROUND(Q289*R289,0)</f>
        <v>244</v>
      </c>
      <c r="E289" s="21" t="n">
        <f aca="false">ROUND(Q289,0)-D289</f>
        <v>100</v>
      </c>
      <c r="F289" s="21" t="n">
        <f aca="false">IF(COUNTA(D289:E289)=0,"",SUM(D289:E289))</f>
        <v>344</v>
      </c>
      <c r="G289" s="39" t="n">
        <f aca="false">IF(OR(F289="",F289=0),"",D289/F289)</f>
        <v>0.709302325581395</v>
      </c>
      <c r="H289" s="39" t="n">
        <f aca="false">IF(OR(F289="",F289=0),"",E289/F289)</f>
        <v>0.290697674418605</v>
      </c>
      <c r="I289" s="38" t="s">
        <v>89</v>
      </c>
      <c r="J289" s="40" t="n">
        <v>3.02608556967268</v>
      </c>
      <c r="K289" s="39" t="n">
        <f aca="false">IF(G289="","",MAX(0,G289-J289/100))</f>
        <v>0.679041469884669</v>
      </c>
      <c r="L289" s="39" t="n">
        <f aca="false">IF(G289="","",MIN(1,G289+J289/100))</f>
        <v>0.739563181278122</v>
      </c>
      <c r="M289" s="21" t="n">
        <f aca="false">ROUND(Q289*S289,0)</f>
        <v>21</v>
      </c>
      <c r="N289" s="21" t="n">
        <f aca="false">ROUND(SQRT((F289*J289/100)^2+(G289*M289)^2),0)</f>
        <v>18</v>
      </c>
      <c r="P289" s="41" t="n">
        <v>18.323419555419</v>
      </c>
      <c r="Q289" s="42" t="n">
        <v>344</v>
      </c>
      <c r="R289" s="43" t="n">
        <f aca="false">MAX(0,MIN(1,P289/100+$D$5))</f>
        <v>0.709801398249064</v>
      </c>
      <c r="S289" s="43" t="n">
        <v>0.0610405690258335</v>
      </c>
      <c r="T289" s="44" t="s">
        <v>90</v>
      </c>
    </row>
    <row r="290" customFormat="false" ht="15" hidden="false" customHeight="false" outlineLevel="0" collapsed="false">
      <c r="A290" s="38" t="s">
        <v>344</v>
      </c>
      <c r="B290" s="38" t="s">
        <v>404</v>
      </c>
      <c r="C290" s="38" t="s">
        <v>415</v>
      </c>
      <c r="D290" s="21" t="n">
        <f aca="false">ROUND(Q290*R290,0)</f>
        <v>480</v>
      </c>
      <c r="E290" s="21" t="n">
        <f aca="false">ROUND(Q290,0)-D290</f>
        <v>252</v>
      </c>
      <c r="F290" s="21" t="n">
        <f aca="false">IF(COUNTA(D290:E290)=0,"",SUM(D290:E290))</f>
        <v>732</v>
      </c>
      <c r="G290" s="39" t="n">
        <f aca="false">IF(OR(F290="",F290=0),"",D290/F290)</f>
        <v>0.655737704918033</v>
      </c>
      <c r="H290" s="39" t="n">
        <f aca="false">IF(OR(F290="",F290=0),"",E290/F290)</f>
        <v>0.344262295081967</v>
      </c>
      <c r="I290" s="38" t="s">
        <v>190</v>
      </c>
      <c r="J290" s="40" t="n">
        <v>3.02608556967268</v>
      </c>
      <c r="K290" s="39" t="n">
        <f aca="false">IF(G290="","",MAX(0,G290-J290/100))</f>
        <v>0.625476849221306</v>
      </c>
      <c r="L290" s="39" t="n">
        <f aca="false">IF(G290="","",MIN(1,G290+J290/100))</f>
        <v>0.68599856061476</v>
      </c>
      <c r="M290" s="21" t="n">
        <f aca="false">ROUND(Q290*S290,0)</f>
        <v>45</v>
      </c>
      <c r="N290" s="21" t="n">
        <f aca="false">ROUND(SQRT((F290*J290/100)^2+(G290*M290)^2),0)</f>
        <v>37</v>
      </c>
      <c r="P290" s="41" t="n">
        <v>12.8884897726167</v>
      </c>
      <c r="Q290" s="42" t="n">
        <v>732.093715371221</v>
      </c>
      <c r="R290" s="43" t="n">
        <f aca="false">MAX(0,MIN(1,P290/100+$D$5))</f>
        <v>0.655452100421041</v>
      </c>
      <c r="S290" s="43" t="n">
        <v>0.0610405690258335</v>
      </c>
      <c r="T290" s="44" t="s">
        <v>90</v>
      </c>
    </row>
    <row r="291" customFormat="false" ht="15" hidden="false" customHeight="false" outlineLevel="0" collapsed="false">
      <c r="A291" s="38" t="s">
        <v>344</v>
      </c>
      <c r="B291" s="38" t="s">
        <v>404</v>
      </c>
      <c r="C291" s="38" t="s">
        <v>416</v>
      </c>
      <c r="D291" s="21" t="n">
        <f aca="false">ROUND(Q291*R291,0)</f>
        <v>643</v>
      </c>
      <c r="E291" s="21" t="n">
        <f aca="false">ROUND(Q291,0)-D291</f>
        <v>261</v>
      </c>
      <c r="F291" s="21" t="n">
        <f aca="false">IF(COUNTA(D291:E291)=0,"",SUM(D291:E291))</f>
        <v>904</v>
      </c>
      <c r="G291" s="39" t="n">
        <f aca="false">IF(OR(F291="",F291=0),"",D291/F291)</f>
        <v>0.711283185840708</v>
      </c>
      <c r="H291" s="39" t="n">
        <f aca="false">IF(OR(F291="",F291=0),"",E291/F291)</f>
        <v>0.288716814159292</v>
      </c>
      <c r="I291" s="38" t="s">
        <v>89</v>
      </c>
      <c r="J291" s="40" t="n">
        <v>1.8085538155628</v>
      </c>
      <c r="K291" s="39" t="n">
        <f aca="false">IF(G291="","",MAX(0,G291-J291/100))</f>
        <v>0.69319764768508</v>
      </c>
      <c r="L291" s="39" t="n">
        <f aca="false">IF(G291="","",MIN(1,G291+J291/100))</f>
        <v>0.729368723996336</v>
      </c>
      <c r="M291" s="21" t="n">
        <f aca="false">ROUND(Q291*S291,0)</f>
        <v>45</v>
      </c>
      <c r="N291" s="21" t="n">
        <f aca="false">ROUND(SQRT((F291*J291/100)^2+(G291*M291)^2),0)</f>
        <v>36</v>
      </c>
      <c r="P291" s="41" t="n">
        <v>18.4604803523881</v>
      </c>
      <c r="Q291" s="42" t="n">
        <v>904</v>
      </c>
      <c r="R291" s="43" t="n">
        <f aca="false">MAX(0,MIN(1,P291/100+$D$5))</f>
        <v>0.711172006218756</v>
      </c>
      <c r="S291" s="43" t="n">
        <v>0.0500321312575726</v>
      </c>
      <c r="T291" s="44" t="s">
        <v>99</v>
      </c>
    </row>
    <row r="292" customFormat="false" ht="15" hidden="false" customHeight="false" outlineLevel="0" collapsed="false">
      <c r="A292" s="38" t="s">
        <v>344</v>
      </c>
      <c r="B292" s="38" t="s">
        <v>417</v>
      </c>
      <c r="C292" s="38" t="s">
        <v>418</v>
      </c>
      <c r="D292" s="21" t="n">
        <f aca="false">ROUND(Q292*R292,0)</f>
        <v>1152</v>
      </c>
      <c r="E292" s="21" t="n">
        <f aca="false">ROUND(Q292,0)-D292</f>
        <v>1005</v>
      </c>
      <c r="F292" s="21" t="n">
        <f aca="false">IF(COUNTA(D292:E292)=0,"",SUM(D292:E292))</f>
        <v>2157</v>
      </c>
      <c r="G292" s="39" t="n">
        <f aca="false">IF(OR(F292="",F292=0),"",D292/F292)</f>
        <v>0.534075104311544</v>
      </c>
      <c r="H292" s="39" t="n">
        <f aca="false">IF(OR(F292="",F292=0),"",E292/F292)</f>
        <v>0.465924895688456</v>
      </c>
      <c r="I292" s="38" t="s">
        <v>89</v>
      </c>
      <c r="J292" s="40" t="n">
        <v>1.24911041755021</v>
      </c>
      <c r="K292" s="39" t="n">
        <f aca="false">IF(G292="","",MAX(0,G292-J292/100))</f>
        <v>0.521584000136042</v>
      </c>
      <c r="L292" s="39" t="n">
        <f aca="false">IF(G292="","",MIN(1,G292+J292/100))</f>
        <v>0.546566208487046</v>
      </c>
      <c r="M292" s="21" t="n">
        <f aca="false">ROUND(Q292*S292,0)</f>
        <v>281</v>
      </c>
      <c r="N292" s="21" t="n">
        <f aca="false">ROUND(SQRT((F292*J292/100)^2+(G292*M292)^2),0)</f>
        <v>152</v>
      </c>
      <c r="P292" s="41" t="n">
        <v>0.759351899358322</v>
      </c>
      <c r="Q292" s="42" t="n">
        <v>2157</v>
      </c>
      <c r="R292" s="43" t="n">
        <f aca="false">MAX(0,MIN(1,P292/100+$D$5))</f>
        <v>0.534160721688457</v>
      </c>
      <c r="S292" s="43" t="n">
        <v>0.130204099606216</v>
      </c>
      <c r="T292" s="44" t="s">
        <v>192</v>
      </c>
    </row>
    <row r="293" customFormat="false" ht="15" hidden="false" customHeight="false" outlineLevel="0" collapsed="false">
      <c r="A293" s="38" t="s">
        <v>344</v>
      </c>
      <c r="B293" s="38" t="s">
        <v>417</v>
      </c>
      <c r="C293" s="38" t="s">
        <v>419</v>
      </c>
      <c r="D293" s="21" t="n">
        <f aca="false">ROUND(Q293*R293,0)</f>
        <v>558</v>
      </c>
      <c r="E293" s="21" t="n">
        <f aca="false">ROUND(Q293,0)-D293</f>
        <v>509</v>
      </c>
      <c r="F293" s="21" t="n">
        <f aca="false">IF(COUNTA(D293:E293)=0,"",SUM(D293:E293))</f>
        <v>1067</v>
      </c>
      <c r="G293" s="39" t="n">
        <f aca="false">IF(OR(F293="",F293=0),"",D293/F293)</f>
        <v>0.522961574507966</v>
      </c>
      <c r="H293" s="39" t="n">
        <f aca="false">IF(OR(F293="",F293=0),"",E293/F293)</f>
        <v>0.477038425492034</v>
      </c>
      <c r="I293" s="38" t="s">
        <v>190</v>
      </c>
      <c r="J293" s="40" t="n">
        <v>1.8085538155628</v>
      </c>
      <c r="K293" s="39" t="n">
        <f aca="false">IF(G293="","",MAX(0,G293-J293/100))</f>
        <v>0.504876036352338</v>
      </c>
      <c r="L293" s="39" t="n">
        <f aca="false">IF(G293="","",MIN(1,G293+J293/100))</f>
        <v>0.541047112663594</v>
      </c>
      <c r="M293" s="21" t="n">
        <f aca="false">ROUND(Q293*S293,0)</f>
        <v>53</v>
      </c>
      <c r="N293" s="21" t="n">
        <f aca="false">ROUND(SQRT((F293*J293/100)^2+(G293*M293)^2),0)</f>
        <v>34</v>
      </c>
      <c r="P293" s="41" t="n">
        <v>-0.334380160085098</v>
      </c>
      <c r="Q293" s="42" t="n">
        <v>1066.7283111232</v>
      </c>
      <c r="R293" s="43" t="n">
        <f aca="false">MAX(0,MIN(1,P293/100+$D$5))</f>
        <v>0.523223401094023</v>
      </c>
      <c r="S293" s="43" t="n">
        <v>0.0500321312575726</v>
      </c>
      <c r="T293" s="44" t="s">
        <v>99</v>
      </c>
    </row>
    <row r="294" customFormat="false" ht="15" hidden="false" customHeight="false" outlineLevel="0" collapsed="false">
      <c r="A294" s="38" t="s">
        <v>344</v>
      </c>
      <c r="B294" s="38" t="s">
        <v>417</v>
      </c>
      <c r="C294" s="38" t="s">
        <v>420</v>
      </c>
      <c r="D294" s="21" t="n">
        <f aca="false">ROUND(Q294*R294,0)</f>
        <v>621</v>
      </c>
      <c r="E294" s="21" t="n">
        <f aca="false">ROUND(Q294,0)-D294</f>
        <v>457</v>
      </c>
      <c r="F294" s="21" t="n">
        <f aca="false">IF(COUNTA(D294:E294)=0,"",SUM(D294:E294))</f>
        <v>1078</v>
      </c>
      <c r="G294" s="39" t="n">
        <f aca="false">IF(OR(F294="",F294=0),"",D294/F294)</f>
        <v>0.576066790352505</v>
      </c>
      <c r="H294" s="39" t="n">
        <f aca="false">IF(OR(F294="",F294=0),"",E294/F294)</f>
        <v>0.423933209647495</v>
      </c>
      <c r="I294" s="38" t="s">
        <v>190</v>
      </c>
      <c r="J294" s="40" t="n">
        <v>1.8085538155628</v>
      </c>
      <c r="K294" s="39" t="n">
        <f aca="false">IF(G294="","",MAX(0,G294-J294/100))</f>
        <v>0.557981252196877</v>
      </c>
      <c r="L294" s="39" t="n">
        <f aca="false">IF(G294="","",MIN(1,G294+J294/100))</f>
        <v>0.594152328508133</v>
      </c>
      <c r="M294" s="21" t="n">
        <f aca="false">ROUND(Q294*S294,0)</f>
        <v>54</v>
      </c>
      <c r="N294" s="21" t="n">
        <f aca="false">ROUND(SQRT((F294*J294/100)^2+(G294*M294)^2),0)</f>
        <v>37</v>
      </c>
      <c r="P294" s="41" t="n">
        <v>4.96298897774945</v>
      </c>
      <c r="Q294" s="42" t="n">
        <v>1077.52515637748</v>
      </c>
      <c r="R294" s="43" t="n">
        <f aca="false">MAX(0,MIN(1,P294/100+$D$5))</f>
        <v>0.576197092472369</v>
      </c>
      <c r="S294" s="43" t="n">
        <v>0.0500321312575726</v>
      </c>
      <c r="T294" s="44" t="s">
        <v>99</v>
      </c>
    </row>
    <row r="295" customFormat="false" ht="15" hidden="false" customHeight="false" outlineLevel="0" collapsed="false">
      <c r="A295" s="38" t="s">
        <v>344</v>
      </c>
      <c r="B295" s="38" t="s">
        <v>417</v>
      </c>
      <c r="C295" s="38" t="s">
        <v>421</v>
      </c>
      <c r="D295" s="21" t="n">
        <f aca="false">ROUND(Q295*R295,0)</f>
        <v>588</v>
      </c>
      <c r="E295" s="21" t="n">
        <f aca="false">ROUND(Q295,0)-D295</f>
        <v>512</v>
      </c>
      <c r="F295" s="21" t="n">
        <f aca="false">IF(COUNTA(D295:E295)=0,"",SUM(D295:E295))</f>
        <v>1100</v>
      </c>
      <c r="G295" s="39" t="n">
        <f aca="false">IF(OR(F295="",F295=0),"",D295/F295)</f>
        <v>0.534545454545455</v>
      </c>
      <c r="H295" s="39" t="n">
        <f aca="false">IF(OR(F295="",F295=0),"",E295/F295)</f>
        <v>0.465454545454545</v>
      </c>
      <c r="I295" s="38" t="s">
        <v>190</v>
      </c>
      <c r="J295" s="40" t="n">
        <v>1.8085538155628</v>
      </c>
      <c r="K295" s="39" t="n">
        <f aca="false">IF(G295="","",MAX(0,G295-J295/100))</f>
        <v>0.516459916389827</v>
      </c>
      <c r="L295" s="39" t="n">
        <f aca="false">IF(G295="","",MIN(1,G295+J295/100))</f>
        <v>0.552630992701083</v>
      </c>
      <c r="M295" s="21" t="n">
        <f aca="false">ROUND(Q295*S295,0)</f>
        <v>55</v>
      </c>
      <c r="N295" s="21" t="n">
        <f aca="false">ROUND(SQRT((F295*J295/100)^2+(G295*M295)^2),0)</f>
        <v>35</v>
      </c>
      <c r="P295" s="41" t="n">
        <v>0.778522100846115</v>
      </c>
      <c r="Q295" s="42" t="n">
        <v>1100.19853141148</v>
      </c>
      <c r="R295" s="43" t="n">
        <f aca="false">MAX(0,MIN(1,P295/100+$D$5))</f>
        <v>0.534352423703335</v>
      </c>
      <c r="S295" s="43" t="n">
        <v>0.0500321312575726</v>
      </c>
      <c r="T295" s="44" t="s">
        <v>99</v>
      </c>
    </row>
    <row r="296" customFormat="false" ht="15" hidden="false" customHeight="false" outlineLevel="0" collapsed="false">
      <c r="A296" s="38" t="s">
        <v>344</v>
      </c>
      <c r="B296" s="38" t="s">
        <v>417</v>
      </c>
      <c r="C296" s="38" t="s">
        <v>422</v>
      </c>
      <c r="D296" s="21" t="n">
        <f aca="false">ROUND(Q296*R296,0)</f>
        <v>809</v>
      </c>
      <c r="E296" s="21" t="n">
        <f aca="false">ROUND(Q296,0)-D296</f>
        <v>665</v>
      </c>
      <c r="F296" s="21" t="n">
        <f aca="false">IF(COUNTA(D296:E296)=0,"",SUM(D296:E296))</f>
        <v>1474</v>
      </c>
      <c r="G296" s="39" t="n">
        <f aca="false">IF(OR(F296="",F296=0),"",D296/F296)</f>
        <v>0.548846675712347</v>
      </c>
      <c r="H296" s="39" t="n">
        <f aca="false">IF(OR(F296="",F296=0),"",E296/F296)</f>
        <v>0.451153324287653</v>
      </c>
      <c r="I296" s="38" t="s">
        <v>89</v>
      </c>
      <c r="J296" s="40" t="n">
        <v>1.24911041755021</v>
      </c>
      <c r="K296" s="39" t="n">
        <f aca="false">IF(G296="","",MAX(0,G296-J296/100))</f>
        <v>0.536355571536845</v>
      </c>
      <c r="L296" s="39" t="n">
        <f aca="false">IF(G296="","",MIN(1,G296+J296/100))</f>
        <v>0.56133777988785</v>
      </c>
      <c r="M296" s="21" t="n">
        <f aca="false">ROUND(Q296*S296,0)</f>
        <v>192</v>
      </c>
      <c r="N296" s="21" t="n">
        <f aca="false">ROUND(SQRT((F296*J296/100)^2+(G296*M296)^2),0)</f>
        <v>107</v>
      </c>
      <c r="P296" s="41" t="n">
        <v>2.24494922977536</v>
      </c>
      <c r="Q296" s="42" t="n">
        <v>1474</v>
      </c>
      <c r="R296" s="43" t="n">
        <f aca="false">MAX(0,MIN(1,P296/100+$D$5))</f>
        <v>0.549016694992628</v>
      </c>
      <c r="S296" s="43" t="n">
        <v>0.130204099606216</v>
      </c>
      <c r="T296" s="44" t="s">
        <v>192</v>
      </c>
    </row>
    <row r="297" customFormat="false" ht="15" hidden="false" customHeight="false" outlineLevel="0" collapsed="false">
      <c r="A297" s="38" t="s">
        <v>344</v>
      </c>
      <c r="B297" s="38" t="s">
        <v>417</v>
      </c>
      <c r="C297" s="38" t="s">
        <v>423</v>
      </c>
      <c r="D297" s="21" t="n">
        <f aca="false">ROUND(Q297*R297,0)</f>
        <v>630</v>
      </c>
      <c r="E297" s="21" t="n">
        <f aca="false">ROUND(Q297,0)-D297</f>
        <v>571</v>
      </c>
      <c r="F297" s="21" t="n">
        <f aca="false">IF(COUNTA(D297:E297)=0,"",SUM(D297:E297))</f>
        <v>1201</v>
      </c>
      <c r="G297" s="39" t="n">
        <f aca="false">IF(OR(F297="",F297=0),"",D297/F297)</f>
        <v>0.524562864279767</v>
      </c>
      <c r="H297" s="39" t="n">
        <f aca="false">IF(OR(F297="",F297=0),"",E297/F297)</f>
        <v>0.475437135720233</v>
      </c>
      <c r="I297" s="38" t="s">
        <v>190</v>
      </c>
      <c r="J297" s="40" t="n">
        <v>1.24911041755021</v>
      </c>
      <c r="K297" s="39" t="n">
        <f aca="false">IF(G297="","",MAX(0,G297-J297/100))</f>
        <v>0.512071760104265</v>
      </c>
      <c r="L297" s="39" t="n">
        <f aca="false">IF(G297="","",MIN(1,G297+J297/100))</f>
        <v>0.537053968455269</v>
      </c>
      <c r="M297" s="21" t="n">
        <f aca="false">ROUND(Q297*S297,0)</f>
        <v>156</v>
      </c>
      <c r="N297" s="21" t="n">
        <f aca="false">ROUND(SQRT((F297*J297/100)^2+(G297*M297)^2),0)</f>
        <v>83</v>
      </c>
      <c r="P297" s="41" t="n">
        <v>-0.197390137479652</v>
      </c>
      <c r="Q297" s="42" t="n">
        <v>1200.60919227631</v>
      </c>
      <c r="R297" s="43" t="n">
        <f aca="false">MAX(0,MIN(1,P297/100+$D$5))</f>
        <v>0.524593301320078</v>
      </c>
      <c r="S297" s="43" t="n">
        <v>0.130204099606216</v>
      </c>
      <c r="T297" s="44" t="s">
        <v>192</v>
      </c>
    </row>
    <row r="298" customFormat="false" ht="15" hidden="false" customHeight="false" outlineLevel="0" collapsed="false">
      <c r="A298" s="38" t="s">
        <v>344</v>
      </c>
      <c r="B298" s="38" t="s">
        <v>417</v>
      </c>
      <c r="C298" s="38" t="s">
        <v>424</v>
      </c>
      <c r="D298" s="21" t="n">
        <f aca="false">ROUND(Q298*R298,0)</f>
        <v>543</v>
      </c>
      <c r="E298" s="21" t="n">
        <f aca="false">ROUND(Q298,0)-D298</f>
        <v>581</v>
      </c>
      <c r="F298" s="21" t="n">
        <f aca="false">IF(COUNTA(D298:E298)=0,"",SUM(D298:E298))</f>
        <v>1124</v>
      </c>
      <c r="G298" s="39" t="n">
        <f aca="false">IF(OR(F298="",F298=0),"",D298/F298)</f>
        <v>0.483096085409253</v>
      </c>
      <c r="H298" s="39" t="n">
        <f aca="false">IF(OR(F298="",F298=0),"",E298/F298)</f>
        <v>0.516903914590747</v>
      </c>
      <c r="I298" s="38" t="s">
        <v>190</v>
      </c>
      <c r="J298" s="40" t="n">
        <v>1.8085538155628</v>
      </c>
      <c r="K298" s="39" t="n">
        <f aca="false">IF(G298="","",MAX(0,G298-J298/100))</f>
        <v>0.465010547253625</v>
      </c>
      <c r="L298" s="39" t="n">
        <f aca="false">IF(G298="","",MIN(1,G298+J298/100))</f>
        <v>0.501181623564881</v>
      </c>
      <c r="M298" s="21" t="n">
        <f aca="false">ROUND(Q298*S298,0)</f>
        <v>56</v>
      </c>
      <c r="N298" s="21" t="n">
        <f aca="false">ROUND(SQRT((F298*J298/100)^2+(G298*M298)^2),0)</f>
        <v>34</v>
      </c>
      <c r="P298" s="41" t="n">
        <v>-4.30899153231607</v>
      </c>
      <c r="Q298" s="42" t="n">
        <v>1123.9515909709</v>
      </c>
      <c r="R298" s="43" t="n">
        <f aca="false">MAX(0,MIN(1,P298/100+$D$5))</f>
        <v>0.483477287371714</v>
      </c>
      <c r="S298" s="43" t="n">
        <v>0.0500321312575726</v>
      </c>
      <c r="T298" s="44" t="s">
        <v>99</v>
      </c>
    </row>
    <row r="299" customFormat="false" ht="15" hidden="false" customHeight="false" outlineLevel="0" collapsed="false">
      <c r="A299" s="38" t="s">
        <v>344</v>
      </c>
      <c r="B299" s="38" t="s">
        <v>425</v>
      </c>
      <c r="C299" s="38" t="s">
        <v>425</v>
      </c>
      <c r="D299" s="21" t="n">
        <f aca="false">ROUND(Q299*R299,0)</f>
        <v>510</v>
      </c>
      <c r="E299" s="21" t="n">
        <f aca="false">ROUND(Q299,0)-D299</f>
        <v>300</v>
      </c>
      <c r="F299" s="21" t="n">
        <f aca="false">IF(COUNTA(D299:E299)=0,"",SUM(D299:E299))</f>
        <v>810</v>
      </c>
      <c r="G299" s="39" t="n">
        <f aca="false">IF(OR(F299="",F299=0),"",D299/F299)</f>
        <v>0.62962962962963</v>
      </c>
      <c r="H299" s="39" t="n">
        <f aca="false">IF(OR(F299="",F299=0),"",E299/F299)</f>
        <v>0.37037037037037</v>
      </c>
      <c r="I299" s="38" t="s">
        <v>89</v>
      </c>
      <c r="J299" s="40" t="n">
        <v>1.8085538155628</v>
      </c>
      <c r="K299" s="39" t="n">
        <f aca="false">IF(G299="","",MAX(0,G299-J299/100))</f>
        <v>0.611544091474002</v>
      </c>
      <c r="L299" s="39" t="n">
        <f aca="false">IF(G299="","",MIN(1,G299+J299/100))</f>
        <v>0.647715167785258</v>
      </c>
      <c r="M299" s="21" t="n">
        <f aca="false">ROUND(Q299*S299,0)</f>
        <v>41</v>
      </c>
      <c r="N299" s="21" t="n">
        <f aca="false">ROUND(SQRT((F299*J299/100)^2+(G299*M299)^2),0)</f>
        <v>30</v>
      </c>
      <c r="P299" s="41" t="n">
        <v>10.3482552467446</v>
      </c>
      <c r="Q299" s="42" t="n">
        <v>810</v>
      </c>
      <c r="R299" s="43" t="n">
        <f aca="false">MAX(0,MIN(1,P299/100+$D$5))</f>
        <v>0.630049755162321</v>
      </c>
      <c r="S299" s="43" t="n">
        <v>0.0500321312575726</v>
      </c>
      <c r="T299" s="44" t="s">
        <v>99</v>
      </c>
    </row>
    <row r="300" customFormat="false" ht="15" hidden="false" customHeight="false" outlineLevel="0" collapsed="false">
      <c r="A300" s="38" t="s">
        <v>344</v>
      </c>
      <c r="B300" s="38" t="s">
        <v>426</v>
      </c>
      <c r="C300" s="38" t="s">
        <v>426</v>
      </c>
      <c r="D300" s="21" t="n">
        <f aca="false">ROUND(Q300*R300,0)</f>
        <v>78</v>
      </c>
      <c r="E300" s="21" t="n">
        <f aca="false">ROUND(Q300,0)-D300</f>
        <v>63</v>
      </c>
      <c r="F300" s="21" t="n">
        <f aca="false">IF(COUNTA(D300:E300)=0,"",SUM(D300:E300))</f>
        <v>141</v>
      </c>
      <c r="G300" s="39" t="n">
        <f aca="false">IF(OR(F300="",F300=0),"",D300/F300)</f>
        <v>0.553191489361702</v>
      </c>
      <c r="H300" s="39" t="n">
        <f aca="false">IF(OR(F300="",F300=0),"",E300/F300)</f>
        <v>0.446808510638298</v>
      </c>
      <c r="I300" s="38" t="s">
        <v>89</v>
      </c>
      <c r="J300" s="40" t="n">
        <v>3.02608556967268</v>
      </c>
      <c r="K300" s="39" t="n">
        <f aca="false">IF(G300="","",MAX(0,G300-J300/100))</f>
        <v>0.522930633664975</v>
      </c>
      <c r="L300" s="39" t="n">
        <f aca="false">IF(G300="","",MIN(1,G300+J300/100))</f>
        <v>0.583452345058429</v>
      </c>
      <c r="M300" s="21" t="n">
        <f aca="false">ROUND(Q300*S300,0)</f>
        <v>9</v>
      </c>
      <c r="N300" s="21" t="n">
        <f aca="false">ROUND(SQRT((F300*J300/100)^2+(G300*M300)^2),0)</f>
        <v>7</v>
      </c>
      <c r="P300" s="41" t="n">
        <v>2.53059509737224</v>
      </c>
      <c r="Q300" s="42" t="n">
        <v>141</v>
      </c>
      <c r="R300" s="43" t="n">
        <f aca="false">MAX(0,MIN(1,P300/100+$D$5))</f>
        <v>0.551873153668597</v>
      </c>
      <c r="S300" s="43" t="n">
        <v>0.0610405690258335</v>
      </c>
      <c r="T300" s="44" t="s">
        <v>90</v>
      </c>
    </row>
    <row r="301" customFormat="false" ht="15" hidden="false" customHeight="false" outlineLevel="0" collapsed="false">
      <c r="A301" s="38" t="s">
        <v>344</v>
      </c>
      <c r="B301" s="38" t="s">
        <v>251</v>
      </c>
      <c r="C301" s="38" t="s">
        <v>427</v>
      </c>
      <c r="D301" s="21" t="n">
        <f aca="false">ROUND(Q301*R301,0)</f>
        <v>817</v>
      </c>
      <c r="E301" s="21" t="n">
        <f aca="false">ROUND(Q301,0)-D301</f>
        <v>499</v>
      </c>
      <c r="F301" s="21" t="n">
        <f aca="false">IF(COUNTA(D301:E301)=0,"",SUM(D301:E301))</f>
        <v>1316</v>
      </c>
      <c r="G301" s="39" t="n">
        <f aca="false">IF(OR(F301="",F301=0),"",D301/F301)</f>
        <v>0.620820668693009</v>
      </c>
      <c r="H301" s="39" t="n">
        <f aca="false">IF(OR(F301="",F301=0),"",E301/F301)</f>
        <v>0.379179331306991</v>
      </c>
      <c r="I301" s="38" t="s">
        <v>89</v>
      </c>
      <c r="J301" s="40" t="n">
        <v>1.24911041755021</v>
      </c>
      <c r="K301" s="39" t="n">
        <f aca="false">IF(G301="","",MAX(0,G301-J301/100))</f>
        <v>0.608329564517507</v>
      </c>
      <c r="L301" s="39" t="n">
        <f aca="false">IF(G301="","",MIN(1,G301+J301/100))</f>
        <v>0.633311772868511</v>
      </c>
      <c r="M301" s="21" t="n">
        <f aca="false">ROUND(Q301*S301,0)</f>
        <v>171</v>
      </c>
      <c r="N301" s="21" t="n">
        <f aca="false">ROUND(SQRT((F301*J301/100)^2+(G301*M301)^2),0)</f>
        <v>107</v>
      </c>
      <c r="P301" s="41" t="n">
        <v>9.42951746364582</v>
      </c>
      <c r="Q301" s="42" t="n">
        <v>1316</v>
      </c>
      <c r="R301" s="43" t="n">
        <f aca="false">MAX(0,MIN(1,P301/100+$D$5))</f>
        <v>0.620862377331332</v>
      </c>
      <c r="S301" s="43" t="n">
        <v>0.130204099606216</v>
      </c>
      <c r="T301" s="44" t="s">
        <v>192</v>
      </c>
    </row>
    <row r="302" customFormat="false" ht="15" hidden="false" customHeight="false" outlineLevel="0" collapsed="false">
      <c r="A302" s="38" t="s">
        <v>344</v>
      </c>
      <c r="B302" s="38" t="s">
        <v>251</v>
      </c>
      <c r="C302" s="38" t="s">
        <v>428</v>
      </c>
      <c r="D302" s="21" t="n">
        <f aca="false">ROUND(Q302*R302,0)</f>
        <v>792</v>
      </c>
      <c r="E302" s="21" t="n">
        <f aca="false">ROUND(Q302,0)-D302</f>
        <v>547</v>
      </c>
      <c r="F302" s="21" t="n">
        <f aca="false">IF(COUNTA(D302:E302)=0,"",SUM(D302:E302))</f>
        <v>1339</v>
      </c>
      <c r="G302" s="39" t="n">
        <f aca="false">IF(OR(F302="",F302=0),"",D302/F302)</f>
        <v>0.591486183719194</v>
      </c>
      <c r="H302" s="39" t="n">
        <f aca="false">IF(OR(F302="",F302=0),"",E302/F302)</f>
        <v>0.408513816280807</v>
      </c>
      <c r="I302" s="38" t="s">
        <v>89</v>
      </c>
      <c r="J302" s="40" t="n">
        <v>1.24911041755021</v>
      </c>
      <c r="K302" s="39" t="n">
        <f aca="false">IF(G302="","",MAX(0,G302-J302/100))</f>
        <v>0.578995079543691</v>
      </c>
      <c r="L302" s="39" t="n">
        <f aca="false">IF(G302="","",MIN(1,G302+J302/100))</f>
        <v>0.603977287894696</v>
      </c>
      <c r="M302" s="21" t="n">
        <f aca="false">ROUND(Q302*S302,0)</f>
        <v>174</v>
      </c>
      <c r="N302" s="21" t="n">
        <f aca="false">ROUND(SQRT((F302*J302/100)^2+(G302*M302)^2),0)</f>
        <v>104</v>
      </c>
      <c r="P302" s="41" t="n">
        <v>6.516392797373</v>
      </c>
      <c r="Q302" s="42" t="n">
        <v>1339</v>
      </c>
      <c r="R302" s="43" t="n">
        <f aca="false">MAX(0,MIN(1,P302/100+$D$5))</f>
        <v>0.591731130668604</v>
      </c>
      <c r="S302" s="43" t="n">
        <v>0.130204099606216</v>
      </c>
      <c r="T302" s="44" t="s">
        <v>192</v>
      </c>
    </row>
    <row r="303" customFormat="false" ht="15" hidden="false" customHeight="false" outlineLevel="0" collapsed="false">
      <c r="A303" s="38" t="s">
        <v>344</v>
      </c>
      <c r="B303" s="38" t="s">
        <v>251</v>
      </c>
      <c r="C303" s="38" t="s">
        <v>429</v>
      </c>
      <c r="D303" s="21" t="n">
        <f aca="false">ROUND(Q303*R303,0)</f>
        <v>403</v>
      </c>
      <c r="E303" s="21" t="n">
        <f aca="false">ROUND(Q303,0)-D303</f>
        <v>323</v>
      </c>
      <c r="F303" s="21" t="n">
        <f aca="false">IF(COUNTA(D303:E303)=0,"",SUM(D303:E303))</f>
        <v>726</v>
      </c>
      <c r="G303" s="39" t="n">
        <f aca="false">IF(OR(F303="",F303=0),"",D303/F303)</f>
        <v>0.555096418732782</v>
      </c>
      <c r="H303" s="39" t="n">
        <f aca="false">IF(OR(F303="",F303=0),"",E303/F303)</f>
        <v>0.444903581267218</v>
      </c>
      <c r="I303" s="38" t="s">
        <v>89</v>
      </c>
      <c r="J303" s="40" t="n">
        <v>3.02608556967268</v>
      </c>
      <c r="K303" s="39" t="n">
        <f aca="false">IF(G303="","",MAX(0,G303-J303/100))</f>
        <v>0.524835563036056</v>
      </c>
      <c r="L303" s="39" t="n">
        <f aca="false">IF(G303="","",MIN(1,G303+J303/100))</f>
        <v>0.585357274429509</v>
      </c>
      <c r="M303" s="21" t="n">
        <f aca="false">ROUND(Q303*S303,0)</f>
        <v>44</v>
      </c>
      <c r="N303" s="21" t="n">
        <f aca="false">ROUND(SQRT((F303*J303/100)^2+(G303*M303)^2),0)</f>
        <v>33</v>
      </c>
      <c r="P303" s="41" t="n">
        <v>2.79559598259371</v>
      </c>
      <c r="Q303" s="42" t="n">
        <v>726</v>
      </c>
      <c r="R303" s="43" t="n">
        <f aca="false">MAX(0,MIN(1,P303/100+$D$5))</f>
        <v>0.554523162520811</v>
      </c>
      <c r="S303" s="43" t="n">
        <v>0.0610405690258335</v>
      </c>
      <c r="T303" s="44" t="s">
        <v>90</v>
      </c>
    </row>
    <row r="304" customFormat="false" ht="15" hidden="false" customHeight="false" outlineLevel="0" collapsed="false">
      <c r="A304" s="38" t="s">
        <v>344</v>
      </c>
      <c r="B304" s="38" t="s">
        <v>251</v>
      </c>
      <c r="C304" s="38" t="s">
        <v>430</v>
      </c>
      <c r="D304" s="21" t="n">
        <f aca="false">ROUND(Q304*R304,0)</f>
        <v>638</v>
      </c>
      <c r="E304" s="21" t="n">
        <f aca="false">ROUND(Q304,0)-D304</f>
        <v>508</v>
      </c>
      <c r="F304" s="21" t="n">
        <f aca="false">IF(COUNTA(D304:E304)=0,"",SUM(D304:E304))</f>
        <v>1146</v>
      </c>
      <c r="G304" s="39" t="n">
        <f aca="false">IF(OR(F304="",F304=0),"",D304/F304)</f>
        <v>0.556719022687609</v>
      </c>
      <c r="H304" s="39" t="n">
        <f aca="false">IF(OR(F304="",F304=0),"",E304/F304)</f>
        <v>0.443280977312391</v>
      </c>
      <c r="I304" s="38" t="s">
        <v>89</v>
      </c>
      <c r="J304" s="40" t="n">
        <v>1.8085538155628</v>
      </c>
      <c r="K304" s="39" t="n">
        <f aca="false">IF(G304="","",MAX(0,G304-J304/100))</f>
        <v>0.538633484531981</v>
      </c>
      <c r="L304" s="39" t="n">
        <f aca="false">IF(G304="","",MIN(1,G304+J304/100))</f>
        <v>0.574804560843237</v>
      </c>
      <c r="M304" s="21" t="n">
        <f aca="false">ROUND(Q304*S304,0)</f>
        <v>57</v>
      </c>
      <c r="N304" s="21" t="n">
        <f aca="false">ROUND(SQRT((F304*J304/100)^2+(G304*M304)^2),0)</f>
        <v>38</v>
      </c>
      <c r="P304" s="41" t="n">
        <v>2.99746991162526</v>
      </c>
      <c r="Q304" s="42" t="n">
        <v>1146</v>
      </c>
      <c r="R304" s="43" t="n">
        <f aca="false">MAX(0,MIN(1,P304/100+$D$5))</f>
        <v>0.556541901811127</v>
      </c>
      <c r="S304" s="43" t="n">
        <v>0.0500321312575726</v>
      </c>
      <c r="T304" s="44" t="s">
        <v>99</v>
      </c>
    </row>
    <row r="305" customFormat="false" ht="15" hidden="false" customHeight="false" outlineLevel="0" collapsed="false">
      <c r="A305" s="38" t="s">
        <v>344</v>
      </c>
      <c r="B305" s="38" t="s">
        <v>251</v>
      </c>
      <c r="C305" s="38" t="s">
        <v>431</v>
      </c>
      <c r="D305" s="21" t="n">
        <f aca="false">ROUND(Q305*R305,0)</f>
        <v>681</v>
      </c>
      <c r="E305" s="21" t="n">
        <f aca="false">ROUND(Q305,0)-D305</f>
        <v>474</v>
      </c>
      <c r="F305" s="21" t="n">
        <f aca="false">IF(COUNTA(D305:E305)=0,"",SUM(D305:E305))</f>
        <v>1155</v>
      </c>
      <c r="G305" s="39" t="n">
        <f aca="false">IF(OR(F305="",F305=0),"",D305/F305)</f>
        <v>0.58961038961039</v>
      </c>
      <c r="H305" s="39" t="n">
        <f aca="false">IF(OR(F305="",F305=0),"",E305/F305)</f>
        <v>0.41038961038961</v>
      </c>
      <c r="I305" s="38" t="s">
        <v>89</v>
      </c>
      <c r="J305" s="40" t="n">
        <v>1.8085538155628</v>
      </c>
      <c r="K305" s="39" t="n">
        <f aca="false">IF(G305="","",MAX(0,G305-J305/100))</f>
        <v>0.571524851454762</v>
      </c>
      <c r="L305" s="39" t="n">
        <f aca="false">IF(G305="","",MIN(1,G305+J305/100))</f>
        <v>0.607695927766018</v>
      </c>
      <c r="M305" s="21" t="n">
        <f aca="false">ROUND(Q305*S305,0)</f>
        <v>58</v>
      </c>
      <c r="N305" s="21" t="n">
        <f aca="false">ROUND(SQRT((F305*J305/100)^2+(G305*M305)^2),0)</f>
        <v>40</v>
      </c>
      <c r="P305" s="41" t="n">
        <v>6.34511162797621</v>
      </c>
      <c r="Q305" s="42" t="n">
        <v>1155</v>
      </c>
      <c r="R305" s="43" t="n">
        <f aca="false">MAX(0,MIN(1,P305/100+$D$5))</f>
        <v>0.590018318974636</v>
      </c>
      <c r="S305" s="43" t="n">
        <v>0.0500321312575726</v>
      </c>
      <c r="T305" s="44" t="s">
        <v>99</v>
      </c>
    </row>
    <row r="306" customFormat="false" ht="15" hidden="false" customHeight="false" outlineLevel="0" collapsed="false">
      <c r="A306" s="38" t="s">
        <v>344</v>
      </c>
      <c r="B306" s="38" t="s">
        <v>251</v>
      </c>
      <c r="C306" s="38" t="s">
        <v>432</v>
      </c>
      <c r="D306" s="21" t="n">
        <f aca="false">ROUND(Q306*R306,0)</f>
        <v>433</v>
      </c>
      <c r="E306" s="21" t="n">
        <f aca="false">ROUND(Q306,0)-D306</f>
        <v>338</v>
      </c>
      <c r="F306" s="21" t="n">
        <f aca="false">IF(COUNTA(D306:E306)=0,"",SUM(D306:E306))</f>
        <v>771</v>
      </c>
      <c r="G306" s="39" t="n">
        <f aca="false">IF(OR(F306="",F306=0),"",D306/F306)</f>
        <v>0.561608300907912</v>
      </c>
      <c r="H306" s="39" t="n">
        <f aca="false">IF(OR(F306="",F306=0),"",E306/F306)</f>
        <v>0.438391699092088</v>
      </c>
      <c r="I306" s="38" t="s">
        <v>89</v>
      </c>
      <c r="J306" s="40" t="n">
        <v>3.02608556967268</v>
      </c>
      <c r="K306" s="39" t="n">
        <f aca="false">IF(G306="","",MAX(0,G306-J306/100))</f>
        <v>0.531347445211185</v>
      </c>
      <c r="L306" s="39" t="n">
        <f aca="false">IF(G306="","",MIN(1,G306+J306/100))</f>
        <v>0.591869156604639</v>
      </c>
      <c r="M306" s="21" t="n">
        <f aca="false">ROUND(Q306*S306,0)</f>
        <v>47</v>
      </c>
      <c r="N306" s="21" t="n">
        <f aca="false">ROUND(SQRT((F306*J306/100)^2+(G306*M306)^2),0)</f>
        <v>35</v>
      </c>
      <c r="P306" s="41" t="n">
        <v>3.5050286853064</v>
      </c>
      <c r="Q306" s="42" t="n">
        <v>771</v>
      </c>
      <c r="R306" s="43" t="n">
        <f aca="false">MAX(0,MIN(1,P306/100+$D$5))</f>
        <v>0.561617489547938</v>
      </c>
      <c r="S306" s="43" t="n">
        <v>0.0610405690258335</v>
      </c>
      <c r="T306" s="44" t="s">
        <v>90</v>
      </c>
    </row>
    <row r="307" customFormat="false" ht="15" hidden="false" customHeight="false" outlineLevel="0" collapsed="false">
      <c r="A307" s="38" t="s">
        <v>344</v>
      </c>
      <c r="B307" s="38" t="s">
        <v>433</v>
      </c>
      <c r="C307" s="38" t="s">
        <v>434</v>
      </c>
      <c r="D307" s="21" t="n">
        <f aca="false">ROUND(Q307*R307,0)</f>
        <v>471</v>
      </c>
      <c r="E307" s="21" t="n">
        <f aca="false">ROUND(Q307,0)-D307</f>
        <v>405</v>
      </c>
      <c r="F307" s="21" t="n">
        <f aca="false">IF(COUNTA(D307:E307)=0,"",SUM(D307:E307))</f>
        <v>876</v>
      </c>
      <c r="G307" s="39" t="n">
        <f aca="false">IF(OR(F307="",F307=0),"",D307/F307)</f>
        <v>0.537671232876712</v>
      </c>
      <c r="H307" s="39" t="n">
        <f aca="false">IF(OR(F307="",F307=0),"",E307/F307)</f>
        <v>0.462328767123288</v>
      </c>
      <c r="I307" s="38" t="s">
        <v>89</v>
      </c>
      <c r="J307" s="40" t="n">
        <v>1.8085538155628</v>
      </c>
      <c r="K307" s="39" t="n">
        <f aca="false">IF(G307="","",MAX(0,G307-J307/100))</f>
        <v>0.519585694721084</v>
      </c>
      <c r="L307" s="39" t="n">
        <f aca="false">IF(G307="","",MIN(1,G307+J307/100))</f>
        <v>0.55575677103234</v>
      </c>
      <c r="M307" s="21" t="n">
        <f aca="false">ROUND(Q307*S307,0)</f>
        <v>44</v>
      </c>
      <c r="N307" s="21" t="n">
        <f aca="false">ROUND(SQRT((F307*J307/100)^2+(G307*M307)^2),0)</f>
        <v>28</v>
      </c>
      <c r="P307" s="41" t="n">
        <v>1.13609103411182</v>
      </c>
      <c r="Q307" s="42" t="n">
        <v>876</v>
      </c>
      <c r="R307" s="43" t="n">
        <f aca="false">MAX(0,MIN(1,P307/100+$D$5))</f>
        <v>0.537928113035992</v>
      </c>
      <c r="S307" s="43" t="n">
        <v>0.0500321312575726</v>
      </c>
      <c r="T307" s="44" t="s">
        <v>99</v>
      </c>
    </row>
    <row r="308" customFormat="false" ht="15" hidden="false" customHeight="false" outlineLevel="0" collapsed="false">
      <c r="A308" s="38" t="s">
        <v>344</v>
      </c>
      <c r="B308" s="38" t="s">
        <v>433</v>
      </c>
      <c r="C308" s="38" t="s">
        <v>435</v>
      </c>
      <c r="D308" s="21" t="n">
        <f aca="false">ROUND(Q308*R308,0)</f>
        <v>374</v>
      </c>
      <c r="E308" s="21" t="n">
        <f aca="false">ROUND(Q308,0)-D308</f>
        <v>307</v>
      </c>
      <c r="F308" s="21" t="n">
        <f aca="false">IF(COUNTA(D308:E308)=0,"",SUM(D308:E308))</f>
        <v>681</v>
      </c>
      <c r="G308" s="39" t="n">
        <f aca="false">IF(OR(F308="",F308=0),"",D308/F308)</f>
        <v>0.549192364170338</v>
      </c>
      <c r="H308" s="39" t="n">
        <f aca="false">IF(OR(F308="",F308=0),"",E308/F308)</f>
        <v>0.450807635829662</v>
      </c>
      <c r="I308" s="38" t="s">
        <v>89</v>
      </c>
      <c r="J308" s="40" t="n">
        <v>3.02608556967268</v>
      </c>
      <c r="K308" s="39" t="n">
        <f aca="false">IF(G308="","",MAX(0,G308-J308/100))</f>
        <v>0.518931508473611</v>
      </c>
      <c r="L308" s="39" t="n">
        <f aca="false">IF(G308="","",MIN(1,G308+J308/100))</f>
        <v>0.579453219867065</v>
      </c>
      <c r="M308" s="21" t="n">
        <f aca="false">ROUND(Q308*S308,0)</f>
        <v>42</v>
      </c>
      <c r="N308" s="21" t="n">
        <f aca="false">ROUND(SQRT((F308*J308/100)^2+(G308*M308)^2),0)</f>
        <v>31</v>
      </c>
      <c r="P308" s="41" t="n">
        <v>2.32425249592186</v>
      </c>
      <c r="Q308" s="42" t="n">
        <v>681</v>
      </c>
      <c r="R308" s="43" t="n">
        <f aca="false">MAX(0,MIN(1,P308/100+$D$5))</f>
        <v>0.549809727654093</v>
      </c>
      <c r="S308" s="43" t="n">
        <v>0.0610405690258335</v>
      </c>
      <c r="T308" s="44" t="s">
        <v>90</v>
      </c>
    </row>
    <row r="309" customFormat="false" ht="15" hidden="false" customHeight="false" outlineLevel="0" collapsed="false">
      <c r="A309" s="38" t="s">
        <v>344</v>
      </c>
      <c r="B309" s="38" t="s">
        <v>433</v>
      </c>
      <c r="C309" s="38" t="s">
        <v>436</v>
      </c>
      <c r="D309" s="21" t="n">
        <f aca="false">ROUND(Q309*R309,0)</f>
        <v>573</v>
      </c>
      <c r="E309" s="21" t="n">
        <f aca="false">ROUND(Q309,0)-D309</f>
        <v>443</v>
      </c>
      <c r="F309" s="21" t="n">
        <f aca="false">IF(COUNTA(D309:E309)=0,"",SUM(D309:E309))</f>
        <v>1016</v>
      </c>
      <c r="G309" s="39" t="n">
        <f aca="false">IF(OR(F309="",F309=0),"",D309/F309)</f>
        <v>0.563976377952756</v>
      </c>
      <c r="H309" s="39" t="n">
        <f aca="false">IF(OR(F309="",F309=0),"",E309/F309)</f>
        <v>0.436023622047244</v>
      </c>
      <c r="I309" s="38" t="s">
        <v>89</v>
      </c>
      <c r="J309" s="40" t="n">
        <v>1.8085538155628</v>
      </c>
      <c r="K309" s="39" t="n">
        <f aca="false">IF(G309="","",MAX(0,G309-J309/100))</f>
        <v>0.545890839797128</v>
      </c>
      <c r="L309" s="39" t="n">
        <f aca="false">IF(G309="","",MIN(1,G309+J309/100))</f>
        <v>0.582061916108384</v>
      </c>
      <c r="M309" s="21" t="n">
        <f aca="false">ROUND(Q309*S309,0)</f>
        <v>51</v>
      </c>
      <c r="N309" s="21" t="n">
        <f aca="false">ROUND(SQRT((F309*J309/100)^2+(G309*M309)^2),0)</f>
        <v>34</v>
      </c>
      <c r="P309" s="41" t="n">
        <v>3.75208683119181</v>
      </c>
      <c r="Q309" s="42" t="n">
        <v>1016</v>
      </c>
      <c r="R309" s="43" t="n">
        <f aca="false">MAX(0,MIN(1,P309/100+$D$5))</f>
        <v>0.564088071006792</v>
      </c>
      <c r="S309" s="43" t="n">
        <v>0.0500321312575726</v>
      </c>
      <c r="T309" s="44" t="s">
        <v>99</v>
      </c>
    </row>
    <row r="310" customFormat="false" ht="15" hidden="false" customHeight="false" outlineLevel="0" collapsed="false">
      <c r="A310" s="38" t="s">
        <v>344</v>
      </c>
      <c r="B310" s="38" t="s">
        <v>437</v>
      </c>
      <c r="C310" s="38" t="s">
        <v>438</v>
      </c>
      <c r="D310" s="21" t="n">
        <f aca="false">ROUND(Q310*R310,0)</f>
        <v>490</v>
      </c>
      <c r="E310" s="21" t="n">
        <f aca="false">ROUND(Q310,0)-D310</f>
        <v>789</v>
      </c>
      <c r="F310" s="21" t="n">
        <f aca="false">IF(COUNTA(D310:E310)=0,"",SUM(D310:E310))</f>
        <v>1279</v>
      </c>
      <c r="G310" s="39" t="n">
        <f aca="false">IF(OR(F310="",F310=0),"",D310/F310)</f>
        <v>0.383111806098515</v>
      </c>
      <c r="H310" s="39" t="n">
        <f aca="false">IF(OR(F310="",F310=0),"",E310/F310)</f>
        <v>0.616888193901486</v>
      </c>
      <c r="I310" s="38" t="s">
        <v>89</v>
      </c>
      <c r="J310" s="40" t="n">
        <v>1.24911041755021</v>
      </c>
      <c r="K310" s="39" t="n">
        <f aca="false">IF(G310="","",MAX(0,G310-J310/100))</f>
        <v>0.370620701923012</v>
      </c>
      <c r="L310" s="39" t="n">
        <f aca="false">IF(G310="","",MIN(1,G310+J310/100))</f>
        <v>0.395602910274017</v>
      </c>
      <c r="M310" s="21" t="n">
        <f aca="false">ROUND(Q310*S310,0)</f>
        <v>167</v>
      </c>
      <c r="N310" s="21" t="n">
        <f aca="false">ROUND(SQRT((F310*J310/100)^2+(G310*M310)^2),0)</f>
        <v>66</v>
      </c>
      <c r="P310" s="41" t="n">
        <v>-14.344762372995</v>
      </c>
      <c r="Q310" s="42" t="n">
        <v>1279</v>
      </c>
      <c r="R310" s="43" t="n">
        <f aca="false">MAX(0,MIN(1,P310/100+$D$5))</f>
        <v>0.383119578964924</v>
      </c>
      <c r="S310" s="43" t="n">
        <v>0.130204099606216</v>
      </c>
      <c r="T310" s="44" t="s">
        <v>192</v>
      </c>
    </row>
    <row r="311" customFormat="false" ht="15" hidden="false" customHeight="false" outlineLevel="0" collapsed="false">
      <c r="A311" s="38" t="s">
        <v>344</v>
      </c>
      <c r="B311" s="38" t="s">
        <v>437</v>
      </c>
      <c r="C311" s="38" t="s">
        <v>439</v>
      </c>
      <c r="D311" s="21" t="n">
        <f aca="false">ROUND(Q311*R311,0)</f>
        <v>558</v>
      </c>
      <c r="E311" s="21" t="n">
        <f aca="false">ROUND(Q311,0)-D311</f>
        <v>887</v>
      </c>
      <c r="F311" s="21" t="n">
        <f aca="false">IF(COUNTA(D311:E311)=0,"",SUM(D311:E311))</f>
        <v>1445</v>
      </c>
      <c r="G311" s="39" t="n">
        <f aca="false">IF(OR(F311="",F311=0),"",D311/F311)</f>
        <v>0.386159169550173</v>
      </c>
      <c r="H311" s="39" t="n">
        <f aca="false">IF(OR(F311="",F311=0),"",E311/F311)</f>
        <v>0.613840830449827</v>
      </c>
      <c r="I311" s="38" t="s">
        <v>89</v>
      </c>
      <c r="J311" s="40" t="n">
        <v>1.24911041755021</v>
      </c>
      <c r="K311" s="39" t="n">
        <f aca="false">IF(G311="","",MAX(0,G311-J311/100))</f>
        <v>0.373668065374671</v>
      </c>
      <c r="L311" s="39" t="n">
        <f aca="false">IF(G311="","",MIN(1,G311+J311/100))</f>
        <v>0.398650273725675</v>
      </c>
      <c r="M311" s="21" t="n">
        <f aca="false">ROUND(Q311*S311,0)</f>
        <v>188</v>
      </c>
      <c r="N311" s="21" t="n">
        <f aca="false">ROUND(SQRT((F311*J311/100)^2+(G311*M311)^2),0)</f>
        <v>75</v>
      </c>
      <c r="P311" s="41" t="n">
        <v>-14.0140371320327</v>
      </c>
      <c r="Q311" s="42" t="n">
        <v>1445</v>
      </c>
      <c r="R311" s="43" t="n">
        <f aca="false">MAX(0,MIN(1,P311/100+$D$5))</f>
        <v>0.386426831374548</v>
      </c>
      <c r="S311" s="43" t="n">
        <v>0.130204099606216</v>
      </c>
      <c r="T311" s="44" t="s">
        <v>192</v>
      </c>
    </row>
    <row r="312" customFormat="false" ht="15" hidden="false" customHeight="false" outlineLevel="0" collapsed="false">
      <c r="A312" s="38" t="s">
        <v>344</v>
      </c>
      <c r="B312" s="38" t="s">
        <v>437</v>
      </c>
      <c r="C312" s="38" t="s">
        <v>440</v>
      </c>
      <c r="D312" s="21" t="n">
        <f aca="false">ROUND(Q312*R312,0)</f>
        <v>172</v>
      </c>
      <c r="E312" s="21" t="n">
        <f aca="false">ROUND(Q312,0)-D312</f>
        <v>319</v>
      </c>
      <c r="F312" s="21" t="n">
        <f aca="false">IF(COUNTA(D312:E312)=0,"",SUM(D312:E312))</f>
        <v>491</v>
      </c>
      <c r="G312" s="39" t="n">
        <f aca="false">IF(OR(F312="",F312=0),"",D312/F312)</f>
        <v>0.35030549898167</v>
      </c>
      <c r="H312" s="39" t="n">
        <f aca="false">IF(OR(F312="",F312=0),"",E312/F312)</f>
        <v>0.64969450101833</v>
      </c>
      <c r="I312" s="38" t="s">
        <v>89</v>
      </c>
      <c r="J312" s="40" t="n">
        <v>3.02608556967268</v>
      </c>
      <c r="K312" s="39" t="n">
        <f aca="false">IF(G312="","",MAX(0,G312-J312/100))</f>
        <v>0.320044643284943</v>
      </c>
      <c r="L312" s="39" t="n">
        <f aca="false">IF(G312="","",MIN(1,G312+J312/100))</f>
        <v>0.380566354678397</v>
      </c>
      <c r="M312" s="21" t="n">
        <f aca="false">ROUND(Q312*S312,0)</f>
        <v>30</v>
      </c>
      <c r="N312" s="21" t="n">
        <f aca="false">ROUND(SQRT((F312*J312/100)^2+(G312*M312)^2),0)</f>
        <v>18</v>
      </c>
      <c r="P312" s="41" t="n">
        <v>-17.5699070574548</v>
      </c>
      <c r="Q312" s="42" t="n">
        <v>491</v>
      </c>
      <c r="R312" s="43" t="n">
        <f aca="false">MAX(0,MIN(1,P312/100+$D$5))</f>
        <v>0.350868132120327</v>
      </c>
      <c r="S312" s="43" t="n">
        <v>0.0610405690258335</v>
      </c>
      <c r="T312" s="44" t="s">
        <v>90</v>
      </c>
    </row>
    <row r="313" customFormat="false" ht="15" hidden="false" customHeight="false" outlineLevel="0" collapsed="false">
      <c r="A313" s="38" t="s">
        <v>344</v>
      </c>
      <c r="B313" s="38" t="s">
        <v>437</v>
      </c>
      <c r="C313" s="38" t="s">
        <v>441</v>
      </c>
      <c r="D313" s="21" t="n">
        <f aca="false">ROUND(Q313*R313,0)</f>
        <v>442</v>
      </c>
      <c r="E313" s="21" t="n">
        <f aca="false">ROUND(Q313,0)-D313</f>
        <v>689</v>
      </c>
      <c r="F313" s="21" t="n">
        <f aca="false">IF(COUNTA(D313:E313)=0,"",SUM(D313:E313))</f>
        <v>1131</v>
      </c>
      <c r="G313" s="39" t="n">
        <f aca="false">IF(OR(F313="",F313=0),"",D313/F313)</f>
        <v>0.390804597701149</v>
      </c>
      <c r="H313" s="39" t="n">
        <f aca="false">IF(OR(F313="",F313=0),"",E313/F313)</f>
        <v>0.609195402298851</v>
      </c>
      <c r="I313" s="38" t="s">
        <v>89</v>
      </c>
      <c r="J313" s="40" t="n">
        <v>1.8085538155628</v>
      </c>
      <c r="K313" s="39" t="n">
        <f aca="false">IF(G313="","",MAX(0,G313-J313/100))</f>
        <v>0.372719059545522</v>
      </c>
      <c r="L313" s="39" t="n">
        <f aca="false">IF(G313="","",MIN(1,G313+J313/100))</f>
        <v>0.408890135856777</v>
      </c>
      <c r="M313" s="21" t="n">
        <f aca="false">ROUND(Q313*S313,0)</f>
        <v>57</v>
      </c>
      <c r="N313" s="21" t="n">
        <f aca="false">ROUND(SQRT((F313*J313/100)^2+(G313*M313)^2),0)</f>
        <v>30</v>
      </c>
      <c r="P313" s="41" t="n">
        <v>-13.5949750568714</v>
      </c>
      <c r="Q313" s="42" t="n">
        <v>1131</v>
      </c>
      <c r="R313" s="43" t="n">
        <f aca="false">MAX(0,MIN(1,P313/100+$D$5))</f>
        <v>0.390617452126161</v>
      </c>
      <c r="S313" s="43" t="n">
        <v>0.0500321312575726</v>
      </c>
      <c r="T313" s="44" t="s">
        <v>99</v>
      </c>
    </row>
    <row r="314" customFormat="false" ht="15" hidden="false" customHeight="false" outlineLevel="0" collapsed="false">
      <c r="A314" s="38" t="s">
        <v>344</v>
      </c>
      <c r="B314" s="38" t="s">
        <v>437</v>
      </c>
      <c r="C314" s="38" t="s">
        <v>442</v>
      </c>
      <c r="D314" s="21" t="n">
        <f aca="false">ROUND(Q314*R314,0)</f>
        <v>302</v>
      </c>
      <c r="E314" s="21" t="n">
        <f aca="false">ROUND(Q314,0)-D314</f>
        <v>458</v>
      </c>
      <c r="F314" s="21" t="n">
        <f aca="false">IF(COUNTA(D314:E314)=0,"",SUM(D314:E314))</f>
        <v>760</v>
      </c>
      <c r="G314" s="39" t="n">
        <f aca="false">IF(OR(F314="",F314=0),"",D314/F314)</f>
        <v>0.397368421052632</v>
      </c>
      <c r="H314" s="39" t="n">
        <f aca="false">IF(OR(F314="",F314=0),"",E314/F314)</f>
        <v>0.602631578947368</v>
      </c>
      <c r="I314" s="38" t="s">
        <v>89</v>
      </c>
      <c r="J314" s="40" t="n">
        <v>3.02608556967268</v>
      </c>
      <c r="K314" s="39" t="n">
        <f aca="false">IF(G314="","",MAX(0,G314-J314/100))</f>
        <v>0.367107565355905</v>
      </c>
      <c r="L314" s="39" t="n">
        <f aca="false">IF(G314="","",MIN(1,G314+J314/100))</f>
        <v>0.427629276749358</v>
      </c>
      <c r="M314" s="21" t="n">
        <f aca="false">ROUND(Q314*S314,0)</f>
        <v>46</v>
      </c>
      <c r="N314" s="21" t="n">
        <f aca="false">ROUND(SQRT((F314*J314/100)^2+(G314*M314)^2),0)</f>
        <v>29</v>
      </c>
      <c r="P314" s="41" t="n">
        <v>-12.9016709896852</v>
      </c>
      <c r="Q314" s="42" t="n">
        <v>760</v>
      </c>
      <c r="R314" s="43" t="n">
        <f aca="false">MAX(0,MIN(1,P314/100+$D$5))</f>
        <v>0.397550492798022</v>
      </c>
      <c r="S314" s="43" t="n">
        <v>0.0610405690258335</v>
      </c>
      <c r="T314" s="44" t="s">
        <v>90</v>
      </c>
    </row>
    <row r="315" customFormat="false" ht="15" hidden="false" customHeight="false" outlineLevel="0" collapsed="false">
      <c r="A315" s="38" t="s">
        <v>344</v>
      </c>
      <c r="B315" s="38" t="s">
        <v>443</v>
      </c>
      <c r="C315" s="38" t="s">
        <v>444</v>
      </c>
      <c r="D315" s="21" t="n">
        <f aca="false">ROUND(Q315*R315,0)</f>
        <v>211</v>
      </c>
      <c r="E315" s="21" t="n">
        <f aca="false">ROUND(Q315,0)-D315</f>
        <v>323</v>
      </c>
      <c r="F315" s="21" t="n">
        <f aca="false">IF(COUNTA(D315:E315)=0,"",SUM(D315:E315))</f>
        <v>534</v>
      </c>
      <c r="G315" s="39" t="n">
        <f aca="false">IF(OR(F315="",F315=0),"",D315/F315)</f>
        <v>0.395131086142322</v>
      </c>
      <c r="H315" s="39" t="n">
        <f aca="false">IF(OR(F315="",F315=0),"",E315/F315)</f>
        <v>0.604868913857678</v>
      </c>
      <c r="I315" s="38" t="s">
        <v>89</v>
      </c>
      <c r="J315" s="40" t="n">
        <v>3.02608556967268</v>
      </c>
      <c r="K315" s="39" t="n">
        <f aca="false">IF(G315="","",MAX(0,G315-J315/100))</f>
        <v>0.364870230445595</v>
      </c>
      <c r="L315" s="39" t="n">
        <f aca="false">IF(G315="","",MIN(1,G315+J315/100))</f>
        <v>0.425391941839049</v>
      </c>
      <c r="M315" s="21" t="n">
        <f aca="false">ROUND(Q315*S315,0)</f>
        <v>33</v>
      </c>
      <c r="N315" s="21" t="n">
        <f aca="false">ROUND(SQRT((F315*J315/100)^2+(G315*M315)^2),0)</f>
        <v>21</v>
      </c>
      <c r="P315" s="41" t="n">
        <v>-13.0711746214063</v>
      </c>
      <c r="Q315" s="42" t="n">
        <v>534</v>
      </c>
      <c r="R315" s="43" t="n">
        <f aca="false">MAX(0,MIN(1,P315/100+$D$5))</f>
        <v>0.395855456480811</v>
      </c>
      <c r="S315" s="43" t="n">
        <v>0.0610405690258335</v>
      </c>
      <c r="T315" s="44" t="s">
        <v>90</v>
      </c>
    </row>
    <row r="316" customFormat="false" ht="15" hidden="false" customHeight="false" outlineLevel="0" collapsed="false">
      <c r="A316" s="38" t="s">
        <v>344</v>
      </c>
      <c r="B316" s="38" t="s">
        <v>443</v>
      </c>
      <c r="C316" s="38" t="s">
        <v>445</v>
      </c>
      <c r="D316" s="21" t="n">
        <f aca="false">ROUND(Q316*R316,0)</f>
        <v>323</v>
      </c>
      <c r="E316" s="21" t="n">
        <f aca="false">ROUND(Q316,0)-D316</f>
        <v>543</v>
      </c>
      <c r="F316" s="21" t="n">
        <f aca="false">IF(COUNTA(D316:E316)=0,"",SUM(D316:E316))</f>
        <v>866</v>
      </c>
      <c r="G316" s="39" t="n">
        <f aca="false">IF(OR(F316="",F316=0),"",D316/F316)</f>
        <v>0.372979214780601</v>
      </c>
      <c r="H316" s="39" t="n">
        <f aca="false">IF(OR(F316="",F316=0),"",E316/F316)</f>
        <v>0.6270207852194</v>
      </c>
      <c r="I316" s="38" t="s">
        <v>89</v>
      </c>
      <c r="J316" s="40" t="n">
        <v>1.8085538155628</v>
      </c>
      <c r="K316" s="39" t="n">
        <f aca="false">IF(G316="","",MAX(0,G316-J316/100))</f>
        <v>0.354893676624973</v>
      </c>
      <c r="L316" s="39" t="n">
        <f aca="false">IF(G316="","",MIN(1,G316+J316/100))</f>
        <v>0.391064752936228</v>
      </c>
      <c r="M316" s="21" t="n">
        <f aca="false">ROUND(Q316*S316,0)</f>
        <v>43</v>
      </c>
      <c r="N316" s="21" t="n">
        <f aca="false">ROUND(SQRT((F316*J316/100)^2+(G316*M316)^2),0)</f>
        <v>22</v>
      </c>
      <c r="P316" s="41" t="n">
        <v>-15.39825863594</v>
      </c>
      <c r="Q316" s="42" t="n">
        <v>866</v>
      </c>
      <c r="R316" s="43" t="n">
        <f aca="false">MAX(0,MIN(1,P316/100+$D$5))</f>
        <v>0.372584616335475</v>
      </c>
      <c r="S316" s="43" t="n">
        <v>0.0500321312575726</v>
      </c>
      <c r="T316" s="44" t="s">
        <v>99</v>
      </c>
    </row>
    <row r="317" customFormat="false" ht="15" hidden="false" customHeight="false" outlineLevel="0" collapsed="false">
      <c r="A317" s="38" t="s">
        <v>344</v>
      </c>
      <c r="B317" s="38" t="s">
        <v>446</v>
      </c>
      <c r="C317" s="38" t="s">
        <v>447</v>
      </c>
      <c r="D317" s="21" t="n">
        <f aca="false">ROUND(Q317*R317,0)</f>
        <v>205</v>
      </c>
      <c r="E317" s="21" t="n">
        <f aca="false">ROUND(Q317,0)-D317</f>
        <v>242</v>
      </c>
      <c r="F317" s="21" t="n">
        <f aca="false">IF(COUNTA(D317:E317)=0,"",SUM(D317:E317))</f>
        <v>447</v>
      </c>
      <c r="G317" s="39" t="n">
        <f aca="false">IF(OR(F317="",F317=0),"",D317/F317)</f>
        <v>0.458612975391499</v>
      </c>
      <c r="H317" s="39" t="n">
        <f aca="false">IF(OR(F317="",F317=0),"",E317/F317)</f>
        <v>0.541387024608501</v>
      </c>
      <c r="I317" s="38" t="s">
        <v>190</v>
      </c>
      <c r="J317" s="40" t="n">
        <v>3.02608556967268</v>
      </c>
      <c r="K317" s="39" t="n">
        <f aca="false">IF(G317="","",MAX(0,G317-J317/100))</f>
        <v>0.428352119694772</v>
      </c>
      <c r="L317" s="39" t="n">
        <f aca="false">IF(G317="","",MIN(1,G317+J317/100))</f>
        <v>0.488873831088226</v>
      </c>
      <c r="M317" s="21" t="n">
        <f aca="false">ROUND(Q317*S317,0)</f>
        <v>27</v>
      </c>
      <c r="N317" s="21" t="n">
        <f aca="false">ROUND(SQRT((F317*J317/100)^2+(G317*M317)^2),0)</f>
        <v>18</v>
      </c>
      <c r="P317" s="41" t="n">
        <v>-6.76582485370725</v>
      </c>
      <c r="Q317" s="42" t="n">
        <v>446.989492119089</v>
      </c>
      <c r="R317" s="43" t="n">
        <f aca="false">MAX(0,MIN(1,P317/100+$D$5))</f>
        <v>0.458908954157802</v>
      </c>
      <c r="S317" s="43" t="n">
        <v>0.0610405690258335</v>
      </c>
      <c r="T317" s="44" t="s">
        <v>90</v>
      </c>
    </row>
    <row r="318" customFormat="false" ht="15" hidden="false" customHeight="false" outlineLevel="0" collapsed="false">
      <c r="A318" s="38" t="s">
        <v>344</v>
      </c>
      <c r="B318" s="38" t="s">
        <v>446</v>
      </c>
      <c r="C318" s="38" t="s">
        <v>448</v>
      </c>
      <c r="D318" s="21" t="n">
        <f aca="false">ROUND(Q318*R318,0)</f>
        <v>581</v>
      </c>
      <c r="E318" s="21" t="n">
        <f aca="false">ROUND(Q318,0)-D318</f>
        <v>548</v>
      </c>
      <c r="F318" s="21" t="n">
        <f aca="false">IF(COUNTA(D318:E318)=0,"",SUM(D318:E318))</f>
        <v>1129</v>
      </c>
      <c r="G318" s="39" t="n">
        <f aca="false">IF(OR(F318="",F318=0),"",D318/F318)</f>
        <v>0.514614703277237</v>
      </c>
      <c r="H318" s="39" t="n">
        <f aca="false">IF(OR(F318="",F318=0),"",E318/F318)</f>
        <v>0.485385296722764</v>
      </c>
      <c r="I318" s="38" t="s">
        <v>190</v>
      </c>
      <c r="J318" s="40" t="n">
        <v>1.8085538155628</v>
      </c>
      <c r="K318" s="39" t="n">
        <f aca="false">IF(G318="","",MAX(0,G318-J318/100))</f>
        <v>0.496529165121609</v>
      </c>
      <c r="L318" s="39" t="n">
        <f aca="false">IF(G318="","",MIN(1,G318+J318/100))</f>
        <v>0.532700241432864</v>
      </c>
      <c r="M318" s="21" t="n">
        <f aca="false">ROUND(Q318*S318,0)</f>
        <v>57</v>
      </c>
      <c r="N318" s="21" t="n">
        <f aca="false">ROUND(SQRT((F318*J318/100)^2+(G318*M318)^2),0)</f>
        <v>36</v>
      </c>
      <c r="P318" s="41" t="n">
        <v>-1.22709993784506</v>
      </c>
      <c r="Q318" s="42" t="n">
        <v>1129.35026269702</v>
      </c>
      <c r="R318" s="43" t="n">
        <f aca="false">MAX(0,MIN(1,P318/100+$D$5))</f>
        <v>0.514296203316424</v>
      </c>
      <c r="S318" s="43" t="n">
        <v>0.0500321312575726</v>
      </c>
      <c r="T318" s="44" t="s">
        <v>99</v>
      </c>
    </row>
    <row r="319" customFormat="false" ht="15" hidden="false" customHeight="false" outlineLevel="0" collapsed="false">
      <c r="A319" s="38" t="s">
        <v>344</v>
      </c>
      <c r="B319" s="38" t="s">
        <v>446</v>
      </c>
      <c r="C319" s="38" t="s">
        <v>449</v>
      </c>
      <c r="D319" s="21" t="n">
        <f aca="false">ROUND(Q319*R319,0)</f>
        <v>548</v>
      </c>
      <c r="E319" s="21" t="n">
        <f aca="false">ROUND(Q319,0)-D319</f>
        <v>600</v>
      </c>
      <c r="F319" s="21" t="n">
        <f aca="false">IF(COUNTA(D319:E319)=0,"",SUM(D319:E319))</f>
        <v>1148</v>
      </c>
      <c r="G319" s="39" t="n">
        <f aca="false">IF(OR(F319="",F319=0),"",D319/F319)</f>
        <v>0.477351916376307</v>
      </c>
      <c r="H319" s="39" t="n">
        <f aca="false">IF(OR(F319="",F319=0),"",E319/F319)</f>
        <v>0.522648083623693</v>
      </c>
      <c r="I319" s="38" t="s">
        <v>89</v>
      </c>
      <c r="J319" s="40" t="n">
        <v>1.8085538155628</v>
      </c>
      <c r="K319" s="39" t="n">
        <f aca="false">IF(G319="","",MAX(0,G319-J319/100))</f>
        <v>0.459266378220679</v>
      </c>
      <c r="L319" s="39" t="n">
        <f aca="false">IF(G319="","",MIN(1,G319+J319/100))</f>
        <v>0.495437454531935</v>
      </c>
      <c r="M319" s="21" t="n">
        <f aca="false">ROUND(Q319*S319,0)</f>
        <v>57</v>
      </c>
      <c r="N319" s="21" t="n">
        <f aca="false">ROUND(SQRT((F319*J319/100)^2+(G319*M319)^2),0)</f>
        <v>34</v>
      </c>
      <c r="P319" s="41" t="n">
        <v>-4.88764340613502</v>
      </c>
      <c r="Q319" s="42" t="n">
        <v>1148</v>
      </c>
      <c r="R319" s="43" t="n">
        <f aca="false">MAX(0,MIN(1,P319/100+$D$5))</f>
        <v>0.477690768633524</v>
      </c>
      <c r="S319" s="43" t="n">
        <v>0.0500321312575726</v>
      </c>
      <c r="T319" s="44" t="s">
        <v>99</v>
      </c>
    </row>
    <row r="320" customFormat="false" ht="15" hidden="false" customHeight="false" outlineLevel="0" collapsed="false">
      <c r="A320" s="38" t="s">
        <v>344</v>
      </c>
      <c r="B320" s="38" t="s">
        <v>446</v>
      </c>
      <c r="C320" s="38" t="s">
        <v>450</v>
      </c>
      <c r="D320" s="21" t="n">
        <f aca="false">ROUND(Q320*R320,0)</f>
        <v>542</v>
      </c>
      <c r="E320" s="21" t="n">
        <f aca="false">ROUND(Q320,0)-D320</f>
        <v>574</v>
      </c>
      <c r="F320" s="21" t="n">
        <f aca="false">IF(COUNTA(D320:E320)=0,"",SUM(D320:E320))</f>
        <v>1116</v>
      </c>
      <c r="G320" s="39" t="n">
        <f aca="false">IF(OR(F320="",F320=0),"",D320/F320)</f>
        <v>0.485663082437276</v>
      </c>
      <c r="H320" s="39" t="n">
        <f aca="false">IF(OR(F320="",F320=0),"",E320/F320)</f>
        <v>0.514336917562724</v>
      </c>
      <c r="I320" s="38" t="s">
        <v>190</v>
      </c>
      <c r="J320" s="40" t="n">
        <v>1.8085538155628</v>
      </c>
      <c r="K320" s="39" t="n">
        <f aca="false">IF(G320="","",MAX(0,G320-J320/100))</f>
        <v>0.467577544281648</v>
      </c>
      <c r="L320" s="39" t="n">
        <f aca="false">IF(G320="","",MIN(1,G320+J320/100))</f>
        <v>0.503748620592904</v>
      </c>
      <c r="M320" s="21" t="n">
        <f aca="false">ROUND(Q320*S320,0)</f>
        <v>56</v>
      </c>
      <c r="N320" s="21" t="n">
        <f aca="false">ROUND(SQRT((F320*J320/100)^2+(G320*M320)^2),0)</f>
        <v>34</v>
      </c>
      <c r="P320" s="41" t="n">
        <v>-4.12909149259881</v>
      </c>
      <c r="Q320" s="42" t="n">
        <v>1116.39404553415</v>
      </c>
      <c r="R320" s="43" t="n">
        <f aca="false">MAX(0,MIN(1,P320/100+$D$5))</f>
        <v>0.485276287768886</v>
      </c>
      <c r="S320" s="43" t="n">
        <v>0.0500321312575726</v>
      </c>
      <c r="T320" s="44" t="s">
        <v>99</v>
      </c>
    </row>
    <row r="321" customFormat="false" ht="15" hidden="false" customHeight="false" outlineLevel="0" collapsed="false">
      <c r="A321" s="38" t="s">
        <v>344</v>
      </c>
      <c r="B321" s="38" t="s">
        <v>451</v>
      </c>
      <c r="C321" s="38" t="s">
        <v>452</v>
      </c>
      <c r="D321" s="21" t="n">
        <f aca="false">ROUND(Q321*R321,0)</f>
        <v>529</v>
      </c>
      <c r="E321" s="21" t="n">
        <f aca="false">ROUND(Q321,0)-D321</f>
        <v>416</v>
      </c>
      <c r="F321" s="21" t="n">
        <f aca="false">IF(COUNTA(D321:E321)=0,"",SUM(D321:E321))</f>
        <v>945</v>
      </c>
      <c r="G321" s="39" t="n">
        <f aca="false">IF(OR(F321="",F321=0),"",D321/F321)</f>
        <v>0.55978835978836</v>
      </c>
      <c r="H321" s="39" t="n">
        <f aca="false">IF(OR(F321="",F321=0),"",E321/F321)</f>
        <v>0.44021164021164</v>
      </c>
      <c r="I321" s="38" t="s">
        <v>89</v>
      </c>
      <c r="J321" s="40" t="n">
        <v>1.8085538155628</v>
      </c>
      <c r="K321" s="39" t="n">
        <f aca="false">IF(G321="","",MAX(0,G321-J321/100))</f>
        <v>0.541702821632732</v>
      </c>
      <c r="L321" s="39" t="n">
        <f aca="false">IF(G321="","",MIN(1,G321+J321/100))</f>
        <v>0.577873897943988</v>
      </c>
      <c r="M321" s="21" t="n">
        <f aca="false">ROUND(Q321*S321,0)</f>
        <v>47</v>
      </c>
      <c r="N321" s="21" t="n">
        <f aca="false">ROUND(SQRT((F321*J321/100)^2+(G321*M321)^2),0)</f>
        <v>31</v>
      </c>
      <c r="P321" s="41" t="n">
        <v>3.36066783862123</v>
      </c>
      <c r="Q321" s="42" t="n">
        <v>945</v>
      </c>
      <c r="R321" s="43" t="n">
        <f aca="false">MAX(0,MIN(1,P321/100+$D$5))</f>
        <v>0.560173881081087</v>
      </c>
      <c r="S321" s="43" t="n">
        <v>0.0500321312575726</v>
      </c>
      <c r="T321" s="44" t="s">
        <v>99</v>
      </c>
    </row>
    <row r="322" customFormat="false" ht="15" hidden="false" customHeight="false" outlineLevel="0" collapsed="false">
      <c r="A322" s="38" t="s">
        <v>344</v>
      </c>
      <c r="B322" s="38" t="s">
        <v>451</v>
      </c>
      <c r="C322" s="38" t="s">
        <v>453</v>
      </c>
      <c r="D322" s="21" t="n">
        <f aca="false">ROUND(Q322*R322,0)</f>
        <v>562</v>
      </c>
      <c r="E322" s="21" t="n">
        <f aca="false">ROUND(Q322,0)-D322</f>
        <v>621</v>
      </c>
      <c r="F322" s="21" t="n">
        <f aca="false">IF(COUNTA(D322:E322)=0,"",SUM(D322:E322))</f>
        <v>1183</v>
      </c>
      <c r="G322" s="39" t="n">
        <f aca="false">IF(OR(F322="",F322=0),"",D322/F322)</f>
        <v>0.475063398140321</v>
      </c>
      <c r="H322" s="39" t="n">
        <f aca="false">IF(OR(F322="",F322=0),"",E322/F322)</f>
        <v>0.524936601859679</v>
      </c>
      <c r="I322" s="38" t="s">
        <v>89</v>
      </c>
      <c r="J322" s="40" t="n">
        <v>1.8085538155628</v>
      </c>
      <c r="K322" s="39" t="n">
        <f aca="false">IF(G322="","",MAX(0,G322-J322/100))</f>
        <v>0.456977859984693</v>
      </c>
      <c r="L322" s="39" t="n">
        <f aca="false">IF(G322="","",MIN(1,G322+J322/100))</f>
        <v>0.493148936295949</v>
      </c>
      <c r="M322" s="21" t="n">
        <f aca="false">ROUND(Q322*S322,0)</f>
        <v>59</v>
      </c>
      <c r="N322" s="21" t="n">
        <f aca="false">ROUND(SQRT((F322*J322/100)^2+(G322*M322)^2),0)</f>
        <v>35</v>
      </c>
      <c r="P322" s="41" t="n">
        <v>-5.16892999016893</v>
      </c>
      <c r="Q322" s="42" t="n">
        <v>1183</v>
      </c>
      <c r="R322" s="43" t="n">
        <f aca="false">MAX(0,MIN(1,P322/100+$D$5))</f>
        <v>0.474877902793185</v>
      </c>
      <c r="S322" s="43" t="n">
        <v>0.0500321312575726</v>
      </c>
      <c r="T322" s="44" t="s">
        <v>99</v>
      </c>
    </row>
    <row r="323" customFormat="false" ht="15" hidden="false" customHeight="false" outlineLevel="0" collapsed="false">
      <c r="A323" s="38" t="s">
        <v>344</v>
      </c>
      <c r="B323" s="38" t="s">
        <v>451</v>
      </c>
      <c r="C323" s="38" t="s">
        <v>454</v>
      </c>
      <c r="D323" s="21" t="n">
        <f aca="false">ROUND(Q323*R323,0)</f>
        <v>340</v>
      </c>
      <c r="E323" s="21" t="n">
        <f aca="false">ROUND(Q323,0)-D323</f>
        <v>416</v>
      </c>
      <c r="F323" s="21" t="n">
        <f aca="false">IF(COUNTA(D323:E323)=0,"",SUM(D323:E323))</f>
        <v>756</v>
      </c>
      <c r="G323" s="39" t="n">
        <f aca="false">IF(OR(F323="",F323=0),"",D323/F323)</f>
        <v>0.44973544973545</v>
      </c>
      <c r="H323" s="39" t="n">
        <f aca="false">IF(OR(F323="",F323=0),"",E323/F323)</f>
        <v>0.55026455026455</v>
      </c>
      <c r="I323" s="38" t="s">
        <v>190</v>
      </c>
      <c r="J323" s="40" t="n">
        <v>3.02608556967268</v>
      </c>
      <c r="K323" s="39" t="n">
        <f aca="false">IF(G323="","",MAX(0,G323-J323/100))</f>
        <v>0.419474594038723</v>
      </c>
      <c r="L323" s="39" t="n">
        <f aca="false">IF(G323="","",MIN(1,G323+J323/100))</f>
        <v>0.479996305432177</v>
      </c>
      <c r="M323" s="21" t="n">
        <f aca="false">ROUND(Q323*S323,0)</f>
        <v>46</v>
      </c>
      <c r="N323" s="21" t="n">
        <f aca="false">ROUND(SQRT((F323*J323/100)^2+(G323*M323)^2),0)</f>
        <v>31</v>
      </c>
      <c r="P323" s="41" t="n">
        <v>-7.67171117175872</v>
      </c>
      <c r="Q323" s="42" t="n">
        <v>756.309895833333</v>
      </c>
      <c r="R323" s="43" t="n">
        <f aca="false">MAX(0,MIN(1,P323/100+$D$5))</f>
        <v>0.449850090977287</v>
      </c>
      <c r="S323" s="43" t="n">
        <v>0.0610405690258335</v>
      </c>
      <c r="T323" s="44" t="s">
        <v>90</v>
      </c>
    </row>
    <row r="324" customFormat="false" ht="15" hidden="false" customHeight="false" outlineLevel="0" collapsed="false">
      <c r="A324" s="38" t="s">
        <v>344</v>
      </c>
      <c r="B324" s="38" t="s">
        <v>451</v>
      </c>
      <c r="C324" s="38" t="s">
        <v>455</v>
      </c>
      <c r="D324" s="21" t="n">
        <f aca="false">ROUND(Q324*R324,0)</f>
        <v>418</v>
      </c>
      <c r="E324" s="21" t="n">
        <f aca="false">ROUND(Q324,0)-D324</f>
        <v>336</v>
      </c>
      <c r="F324" s="21" t="n">
        <f aca="false">IF(COUNTA(D324:E324)=0,"",SUM(D324:E324))</f>
        <v>754</v>
      </c>
      <c r="G324" s="39" t="n">
        <f aca="false">IF(OR(F324="",F324=0),"",D324/F324)</f>
        <v>0.554376657824934</v>
      </c>
      <c r="H324" s="39" t="n">
        <f aca="false">IF(OR(F324="",F324=0),"",E324/F324)</f>
        <v>0.445623342175066</v>
      </c>
      <c r="I324" s="38" t="s">
        <v>89</v>
      </c>
      <c r="J324" s="40" t="n">
        <v>3.02608556967268</v>
      </c>
      <c r="K324" s="39" t="n">
        <f aca="false">IF(G324="","",MAX(0,G324-J324/100))</f>
        <v>0.524115802128207</v>
      </c>
      <c r="L324" s="39" t="n">
        <f aca="false">IF(G324="","",MIN(1,G324+J324/100))</f>
        <v>0.584637513521661</v>
      </c>
      <c r="M324" s="21" t="n">
        <f aca="false">ROUND(Q324*S324,0)</f>
        <v>46</v>
      </c>
      <c r="N324" s="21" t="n">
        <f aca="false">ROUND(SQRT((F324*J324/100)^2+(G324*M324)^2),0)</f>
        <v>34</v>
      </c>
      <c r="P324" s="41" t="n">
        <v>2.73436513050123</v>
      </c>
      <c r="Q324" s="42" t="n">
        <v>754</v>
      </c>
      <c r="R324" s="43" t="n">
        <f aca="false">MAX(0,MIN(1,P324/100+$D$5))</f>
        <v>0.553910853999887</v>
      </c>
      <c r="S324" s="43" t="n">
        <v>0.0610405690258335</v>
      </c>
      <c r="T324" s="44" t="s">
        <v>90</v>
      </c>
    </row>
    <row r="325" customFormat="false" ht="15" hidden="false" customHeight="false" outlineLevel="0" collapsed="false">
      <c r="A325" s="38" t="s">
        <v>344</v>
      </c>
      <c r="B325" s="38" t="s">
        <v>451</v>
      </c>
      <c r="C325" s="38" t="s">
        <v>456</v>
      </c>
      <c r="D325" s="21" t="n">
        <f aca="false">ROUND(Q325*R325,0)</f>
        <v>379</v>
      </c>
      <c r="E325" s="21" t="n">
        <f aca="false">ROUND(Q325,0)-D325</f>
        <v>446</v>
      </c>
      <c r="F325" s="21" t="n">
        <f aca="false">IF(COUNTA(D325:E325)=0,"",SUM(D325:E325))</f>
        <v>825</v>
      </c>
      <c r="G325" s="39" t="n">
        <f aca="false">IF(OR(F325="",F325=0),"",D325/F325)</f>
        <v>0.459393939393939</v>
      </c>
      <c r="H325" s="39" t="n">
        <f aca="false">IF(OR(F325="",F325=0),"",E325/F325)</f>
        <v>0.540606060606061</v>
      </c>
      <c r="I325" s="38" t="s">
        <v>89</v>
      </c>
      <c r="J325" s="40" t="n">
        <v>1.8085538155628</v>
      </c>
      <c r="K325" s="39" t="n">
        <f aca="false">IF(G325="","",MAX(0,G325-J325/100))</f>
        <v>0.441308401238311</v>
      </c>
      <c r="L325" s="39" t="n">
        <f aca="false">IF(G325="","",MIN(1,G325+J325/100))</f>
        <v>0.477479477549567</v>
      </c>
      <c r="M325" s="21" t="n">
        <f aca="false">ROUND(Q325*S325,0)</f>
        <v>41</v>
      </c>
      <c r="N325" s="21" t="n">
        <f aca="false">ROUND(SQRT((F325*J325/100)^2+(G325*M325)^2),0)</f>
        <v>24</v>
      </c>
      <c r="P325" s="41" t="n">
        <v>-6.70820295966384</v>
      </c>
      <c r="Q325" s="42" t="n">
        <v>825</v>
      </c>
      <c r="R325" s="43" t="n">
        <f aca="false">MAX(0,MIN(1,P325/100+$D$5))</f>
        <v>0.459485173098236</v>
      </c>
      <c r="S325" s="43" t="n">
        <v>0.0500321312575726</v>
      </c>
      <c r="T325" s="44" t="s">
        <v>99</v>
      </c>
    </row>
    <row r="326" customFormat="false" ht="15" hidden="false" customHeight="false" outlineLevel="0" collapsed="false">
      <c r="A326" s="38" t="s">
        <v>344</v>
      </c>
      <c r="B326" s="38" t="s">
        <v>451</v>
      </c>
      <c r="C326" s="38" t="s">
        <v>457</v>
      </c>
      <c r="D326" s="21" t="n">
        <f aca="false">ROUND(Q326*R326,0)</f>
        <v>727</v>
      </c>
      <c r="E326" s="21" t="n">
        <f aca="false">ROUND(Q326,0)-D326</f>
        <v>710</v>
      </c>
      <c r="F326" s="21" t="n">
        <f aca="false">IF(COUNTA(D326:E326)=0,"",SUM(D326:E326))</f>
        <v>1437</v>
      </c>
      <c r="G326" s="39" t="n">
        <f aca="false">IF(OR(F326="",F326=0),"",D326/F326)</f>
        <v>0.505915100904663</v>
      </c>
      <c r="H326" s="39" t="n">
        <f aca="false">IF(OR(F326="",F326=0),"",E326/F326)</f>
        <v>0.494084899095338</v>
      </c>
      <c r="I326" s="38" t="s">
        <v>190</v>
      </c>
      <c r="J326" s="40" t="n">
        <v>1.24911041755021</v>
      </c>
      <c r="K326" s="39" t="n">
        <f aca="false">IF(G326="","",MAX(0,G326-J326/100))</f>
        <v>0.49342399672916</v>
      </c>
      <c r="L326" s="39" t="n">
        <f aca="false">IF(G326="","",MIN(1,G326+J326/100))</f>
        <v>0.518406205080165</v>
      </c>
      <c r="M326" s="21" t="n">
        <f aca="false">ROUND(Q326*S326,0)</f>
        <v>187</v>
      </c>
      <c r="N326" s="21" t="n">
        <f aca="false">ROUND(SQRT((F326*J326/100)^2+(G326*M326)^2),0)</f>
        <v>96</v>
      </c>
      <c r="P326" s="41" t="n">
        <v>-2.08219737163993</v>
      </c>
      <c r="Q326" s="42" t="n">
        <v>1436.54780505952</v>
      </c>
      <c r="R326" s="43" t="n">
        <f aca="false">MAX(0,MIN(1,P326/100+$D$5))</f>
        <v>0.505745228978475</v>
      </c>
      <c r="S326" s="43" t="n">
        <v>0.130204099606216</v>
      </c>
      <c r="T326" s="44" t="s">
        <v>192</v>
      </c>
    </row>
    <row r="327" customFormat="false" ht="15" hidden="false" customHeight="false" outlineLevel="0" collapsed="false">
      <c r="A327" s="38" t="s">
        <v>344</v>
      </c>
      <c r="B327" s="38" t="s">
        <v>458</v>
      </c>
      <c r="C327" s="38" t="s">
        <v>459</v>
      </c>
      <c r="D327" s="21" t="n">
        <f aca="false">ROUND(Q327*R327,0)</f>
        <v>361</v>
      </c>
      <c r="E327" s="21" t="n">
        <f aca="false">ROUND(Q327,0)-D327</f>
        <v>576</v>
      </c>
      <c r="F327" s="21" t="n">
        <f aca="false">IF(COUNTA(D327:E327)=0,"",SUM(D327:E327))</f>
        <v>937</v>
      </c>
      <c r="G327" s="39" t="n">
        <f aca="false">IF(OR(F327="",F327=0),"",D327/F327)</f>
        <v>0.385272145144077</v>
      </c>
      <c r="H327" s="39" t="n">
        <f aca="false">IF(OR(F327="",F327=0),"",E327/F327)</f>
        <v>0.614727854855923</v>
      </c>
      <c r="I327" s="38" t="s">
        <v>89</v>
      </c>
      <c r="J327" s="40" t="n">
        <v>1.8085538155628</v>
      </c>
      <c r="K327" s="39" t="n">
        <f aca="false">IF(G327="","",MAX(0,G327-J327/100))</f>
        <v>0.367186606988449</v>
      </c>
      <c r="L327" s="39" t="n">
        <f aca="false">IF(G327="","",MIN(1,G327+J327/100))</f>
        <v>0.403357683299705</v>
      </c>
      <c r="M327" s="21" t="n">
        <f aca="false">ROUND(Q327*S327,0)</f>
        <v>47</v>
      </c>
      <c r="N327" s="21" t="n">
        <f aca="false">ROUND(SQRT((F327*J327/100)^2+(G327*M327)^2),0)</f>
        <v>25</v>
      </c>
      <c r="P327" s="41" t="n">
        <v>-14.0987759294841</v>
      </c>
      <c r="Q327" s="42" t="n">
        <v>937</v>
      </c>
      <c r="R327" s="43" t="n">
        <f aca="false">MAX(0,MIN(1,P327/100+$D$5))</f>
        <v>0.385579443400033</v>
      </c>
      <c r="S327" s="43" t="n">
        <v>0.0500321312575726</v>
      </c>
      <c r="T327" s="44" t="s">
        <v>99</v>
      </c>
    </row>
    <row r="328" customFormat="false" ht="15" hidden="false" customHeight="false" outlineLevel="0" collapsed="false">
      <c r="A328" s="38" t="s">
        <v>344</v>
      </c>
      <c r="B328" s="38" t="s">
        <v>458</v>
      </c>
      <c r="C328" s="38" t="s">
        <v>460</v>
      </c>
      <c r="D328" s="21" t="n">
        <f aca="false">ROUND(Q328*R328,0)</f>
        <v>701</v>
      </c>
      <c r="E328" s="21" t="n">
        <f aca="false">ROUND(Q328,0)-D328</f>
        <v>1138</v>
      </c>
      <c r="F328" s="21" t="n">
        <f aca="false">IF(COUNTA(D328:E328)=0,"",SUM(D328:E328))</f>
        <v>1839</v>
      </c>
      <c r="G328" s="39" t="n">
        <f aca="false">IF(OR(F328="",F328=0),"",D328/F328)</f>
        <v>0.381185426862425</v>
      </c>
      <c r="H328" s="39" t="n">
        <f aca="false">IF(OR(F328="",F328=0),"",E328/F328)</f>
        <v>0.618814573137575</v>
      </c>
      <c r="I328" s="38" t="s">
        <v>89</v>
      </c>
      <c r="J328" s="40" t="n">
        <v>1.24911041755021</v>
      </c>
      <c r="K328" s="39" t="n">
        <f aca="false">IF(G328="","",MAX(0,G328-J328/100))</f>
        <v>0.368694322686923</v>
      </c>
      <c r="L328" s="39" t="n">
        <f aca="false">IF(G328="","",MIN(1,G328+J328/100))</f>
        <v>0.393676531037927</v>
      </c>
      <c r="M328" s="21" t="n">
        <f aca="false">ROUND(Q328*S328,0)</f>
        <v>239</v>
      </c>
      <c r="N328" s="21" t="n">
        <f aca="false">ROUND(SQRT((F328*J328/100)^2+(G328*M328)^2),0)</f>
        <v>94</v>
      </c>
      <c r="P328" s="41" t="n">
        <v>-14.5136984355173</v>
      </c>
      <c r="Q328" s="42" t="n">
        <v>1839</v>
      </c>
      <c r="R328" s="43" t="n">
        <f aca="false">MAX(0,MIN(1,P328/100+$D$5))</f>
        <v>0.381430218339701</v>
      </c>
      <c r="S328" s="43" t="n">
        <v>0.130204099606216</v>
      </c>
      <c r="T328" s="44" t="s">
        <v>192</v>
      </c>
    </row>
    <row r="329" customFormat="false" ht="15" hidden="false" customHeight="false" outlineLevel="0" collapsed="false">
      <c r="A329" s="38" t="s">
        <v>344</v>
      </c>
      <c r="B329" s="38" t="s">
        <v>458</v>
      </c>
      <c r="C329" s="38" t="s">
        <v>461</v>
      </c>
      <c r="D329" s="21" t="n">
        <f aca="false">ROUND(Q329*R329,0)</f>
        <v>486</v>
      </c>
      <c r="E329" s="21" t="n">
        <f aca="false">ROUND(Q329,0)-D329</f>
        <v>861</v>
      </c>
      <c r="F329" s="21" t="n">
        <f aca="false">IF(COUNTA(D329:E329)=0,"",SUM(D329:E329))</f>
        <v>1347</v>
      </c>
      <c r="G329" s="39" t="n">
        <f aca="false">IF(OR(F329="",F329=0),"",D329/F329)</f>
        <v>0.360801781737194</v>
      </c>
      <c r="H329" s="39" t="n">
        <f aca="false">IF(OR(F329="",F329=0),"",E329/F329)</f>
        <v>0.639198218262806</v>
      </c>
      <c r="I329" s="38" t="s">
        <v>89</v>
      </c>
      <c r="J329" s="40" t="n">
        <v>1.24911041755021</v>
      </c>
      <c r="K329" s="39" t="n">
        <f aca="false">IF(G329="","",MAX(0,G329-J329/100))</f>
        <v>0.348310677561692</v>
      </c>
      <c r="L329" s="39" t="n">
        <f aca="false">IF(G329="","",MIN(1,G329+J329/100))</f>
        <v>0.373292885912696</v>
      </c>
      <c r="M329" s="21" t="n">
        <f aca="false">ROUND(Q329*S329,0)</f>
        <v>175</v>
      </c>
      <c r="N329" s="21" t="n">
        <f aca="false">ROUND(SQRT((F329*J329/100)^2+(G329*M329)^2),0)</f>
        <v>65</v>
      </c>
      <c r="P329" s="41" t="n">
        <v>-16.5829276411226</v>
      </c>
      <c r="Q329" s="42" t="n">
        <v>1347</v>
      </c>
      <c r="R329" s="43" t="n">
        <f aca="false">MAX(0,MIN(1,P329/100+$D$5))</f>
        <v>0.360737926283648</v>
      </c>
      <c r="S329" s="43" t="n">
        <v>0.130204099606216</v>
      </c>
      <c r="T329" s="44" t="s">
        <v>192</v>
      </c>
    </row>
    <row r="330" customFormat="false" ht="15" hidden="false" customHeight="false" outlineLevel="0" collapsed="false">
      <c r="A330" s="38" t="s">
        <v>344</v>
      </c>
      <c r="B330" s="38" t="s">
        <v>458</v>
      </c>
      <c r="C330" s="38" t="s">
        <v>462</v>
      </c>
      <c r="D330" s="21" t="n">
        <f aca="false">ROUND(Q330*R330,0)</f>
        <v>228</v>
      </c>
      <c r="E330" s="21" t="n">
        <f aca="false">ROUND(Q330,0)-D330</f>
        <v>401</v>
      </c>
      <c r="F330" s="21" t="n">
        <f aca="false">IF(COUNTA(D330:E330)=0,"",SUM(D330:E330))</f>
        <v>629</v>
      </c>
      <c r="G330" s="39" t="n">
        <f aca="false">IF(OR(F330="",F330=0),"",D330/F330)</f>
        <v>0.36248012718601</v>
      </c>
      <c r="H330" s="39" t="n">
        <f aca="false">IF(OR(F330="",F330=0),"",E330/F330)</f>
        <v>0.637519872813991</v>
      </c>
      <c r="I330" s="38" t="s">
        <v>89</v>
      </c>
      <c r="J330" s="40" t="n">
        <v>3.02608556967268</v>
      </c>
      <c r="K330" s="39" t="n">
        <f aca="false">IF(G330="","",MAX(0,G330-J330/100))</f>
        <v>0.332219271489283</v>
      </c>
      <c r="L330" s="39" t="n">
        <f aca="false">IF(G330="","",MIN(1,G330+J330/100))</f>
        <v>0.392740982882736</v>
      </c>
      <c r="M330" s="21" t="n">
        <f aca="false">ROUND(Q330*S330,0)</f>
        <v>38</v>
      </c>
      <c r="N330" s="21" t="n">
        <f aca="false">ROUND(SQRT((F330*J330/100)^2+(G330*M330)^2),0)</f>
        <v>23</v>
      </c>
      <c r="P330" s="41" t="n">
        <v>-16.4342352472022</v>
      </c>
      <c r="Q330" s="42" t="n">
        <v>629</v>
      </c>
      <c r="R330" s="43" t="n">
        <f aca="false">MAX(0,MIN(1,P330/100+$D$5))</f>
        <v>0.362224850222852</v>
      </c>
      <c r="S330" s="43" t="n">
        <v>0.0610405690258335</v>
      </c>
      <c r="T330" s="44" t="s">
        <v>90</v>
      </c>
    </row>
    <row r="331" customFormat="false" ht="15" hidden="false" customHeight="false" outlineLevel="0" collapsed="false">
      <c r="A331" s="38" t="s">
        <v>344</v>
      </c>
      <c r="B331" s="38" t="s">
        <v>463</v>
      </c>
      <c r="C331" s="38" t="s">
        <v>464</v>
      </c>
      <c r="D331" s="21" t="n">
        <f aca="false">ROUND(Q331*R331,0)</f>
        <v>517</v>
      </c>
      <c r="E331" s="21" t="n">
        <f aca="false">ROUND(Q331,0)-D331</f>
        <v>436</v>
      </c>
      <c r="F331" s="21" t="n">
        <f aca="false">IF(COUNTA(D331:E331)=0,"",SUM(D331:E331))</f>
        <v>953</v>
      </c>
      <c r="G331" s="39" t="n">
        <f aca="false">IF(OR(F331="",F331=0),"",D331/F331)</f>
        <v>0.542497376705142</v>
      </c>
      <c r="H331" s="39" t="n">
        <f aca="false">IF(OR(F331="",F331=0),"",E331/F331)</f>
        <v>0.457502623294858</v>
      </c>
      <c r="I331" s="38" t="s">
        <v>89</v>
      </c>
      <c r="J331" s="40" t="n">
        <v>1.8085538155628</v>
      </c>
      <c r="K331" s="39" t="n">
        <f aca="false">IF(G331="","",MAX(0,G331-J331/100))</f>
        <v>0.524411838549514</v>
      </c>
      <c r="L331" s="39" t="n">
        <f aca="false">IF(G331="","",MIN(1,G331+J331/100))</f>
        <v>0.56058291486077</v>
      </c>
      <c r="M331" s="21" t="n">
        <f aca="false">ROUND(Q331*S331,0)</f>
        <v>48</v>
      </c>
      <c r="N331" s="21" t="n">
        <f aca="false">ROUND(SQRT((F331*J331/100)^2+(G331*M331)^2),0)</f>
        <v>31</v>
      </c>
      <c r="P331" s="41" t="n">
        <v>1.55650374161447</v>
      </c>
      <c r="Q331" s="42" t="n">
        <v>953</v>
      </c>
      <c r="R331" s="43" t="n">
        <f aca="false">MAX(0,MIN(1,P331/100+$D$5))</f>
        <v>0.542132240111019</v>
      </c>
      <c r="S331" s="43" t="n">
        <v>0.0500321312575726</v>
      </c>
      <c r="T331" s="44" t="s">
        <v>99</v>
      </c>
    </row>
    <row r="332" customFormat="false" ht="15" hidden="false" customHeight="false" outlineLevel="0" collapsed="false">
      <c r="A332" s="38" t="s">
        <v>344</v>
      </c>
      <c r="B332" s="38" t="s">
        <v>463</v>
      </c>
      <c r="C332" s="38" t="s">
        <v>465</v>
      </c>
      <c r="D332" s="21" t="n">
        <f aca="false">ROUND(Q332*R332,0)</f>
        <v>428</v>
      </c>
      <c r="E332" s="21" t="n">
        <f aca="false">ROUND(Q332,0)-D332</f>
        <v>350</v>
      </c>
      <c r="F332" s="21" t="n">
        <f aca="false">IF(COUNTA(D332:E332)=0,"",SUM(D332:E332))</f>
        <v>778</v>
      </c>
      <c r="G332" s="39" t="n">
        <f aca="false">IF(OR(F332="",F332=0),"",D332/F332)</f>
        <v>0.55012853470437</v>
      </c>
      <c r="H332" s="39" t="n">
        <f aca="false">IF(OR(F332="",F332=0),"",E332/F332)</f>
        <v>0.44987146529563</v>
      </c>
      <c r="I332" s="38" t="s">
        <v>89</v>
      </c>
      <c r="J332" s="40" t="n">
        <v>1.8085538155628</v>
      </c>
      <c r="K332" s="39" t="n">
        <f aca="false">IF(G332="","",MAX(0,G332-J332/100))</f>
        <v>0.532042996548742</v>
      </c>
      <c r="L332" s="39" t="n">
        <f aca="false">IF(G332="","",MIN(1,G332+J332/100))</f>
        <v>0.568214072859998</v>
      </c>
      <c r="M332" s="21" t="n">
        <f aca="false">ROUND(Q332*S332,0)</f>
        <v>39</v>
      </c>
      <c r="N332" s="21" t="n">
        <f aca="false">ROUND(SQRT((F332*J332/100)^2+(G332*M332)^2),0)</f>
        <v>26</v>
      </c>
      <c r="P332" s="41" t="n">
        <v>2.30380547506099</v>
      </c>
      <c r="Q332" s="42" t="n">
        <v>778</v>
      </c>
      <c r="R332" s="43" t="n">
        <f aca="false">MAX(0,MIN(1,P332/100+$D$5))</f>
        <v>0.549605257445484</v>
      </c>
      <c r="S332" s="43" t="n">
        <v>0.0500321312575726</v>
      </c>
      <c r="T332" s="44" t="s">
        <v>99</v>
      </c>
    </row>
    <row r="333" customFormat="false" ht="15" hidden="false" customHeight="false" outlineLevel="0" collapsed="false">
      <c r="A333" s="38" t="s">
        <v>344</v>
      </c>
      <c r="B333" s="38" t="s">
        <v>463</v>
      </c>
      <c r="C333" s="38" t="s">
        <v>466</v>
      </c>
      <c r="D333" s="21" t="n">
        <f aca="false">ROUND(Q333*R333,0)</f>
        <v>387</v>
      </c>
      <c r="E333" s="21" t="n">
        <f aca="false">ROUND(Q333,0)-D333</f>
        <v>342</v>
      </c>
      <c r="F333" s="21" t="n">
        <f aca="false">IF(COUNTA(D333:E333)=0,"",SUM(D333:E333))</f>
        <v>729</v>
      </c>
      <c r="G333" s="39" t="n">
        <f aca="false">IF(OR(F333="",F333=0),"",D333/F333)</f>
        <v>0.530864197530864</v>
      </c>
      <c r="H333" s="39" t="n">
        <f aca="false">IF(OR(F333="",F333=0),"",E333/F333)</f>
        <v>0.469135802469136</v>
      </c>
      <c r="I333" s="38" t="s">
        <v>89</v>
      </c>
      <c r="J333" s="40" t="n">
        <v>3.02608556967268</v>
      </c>
      <c r="K333" s="39" t="n">
        <f aca="false">IF(G333="","",MAX(0,G333-J333/100))</f>
        <v>0.500603341834137</v>
      </c>
      <c r="L333" s="39" t="n">
        <f aca="false">IF(G333="","",MIN(1,G333+J333/100))</f>
        <v>0.561125053227591</v>
      </c>
      <c r="M333" s="21" t="n">
        <f aca="false">ROUND(Q333*S333,0)</f>
        <v>44</v>
      </c>
      <c r="N333" s="21" t="n">
        <f aca="false">ROUND(SQRT((F333*J333/100)^2+(G333*M333)^2),0)</f>
        <v>32</v>
      </c>
      <c r="P333" s="41" t="n">
        <v>0.439266222370317</v>
      </c>
      <c r="Q333" s="42" t="n">
        <v>729</v>
      </c>
      <c r="R333" s="43" t="n">
        <f aca="false">MAX(0,MIN(1,P333/100+$D$5))</f>
        <v>0.530959864918577</v>
      </c>
      <c r="S333" s="43" t="n">
        <v>0.0610405690258335</v>
      </c>
      <c r="T333" s="44" t="s">
        <v>90</v>
      </c>
    </row>
    <row r="334" customFormat="false" ht="15" hidden="false" customHeight="false" outlineLevel="0" collapsed="false">
      <c r="A334" s="38" t="s">
        <v>344</v>
      </c>
      <c r="B334" s="38" t="s">
        <v>467</v>
      </c>
      <c r="C334" s="38" t="s">
        <v>468</v>
      </c>
      <c r="D334" s="21" t="n">
        <f aca="false">ROUND(Q334*R334,0)</f>
        <v>180</v>
      </c>
      <c r="E334" s="21" t="n">
        <f aca="false">ROUND(Q334,0)-D334</f>
        <v>182</v>
      </c>
      <c r="F334" s="21" t="n">
        <f aca="false">IF(COUNTA(D334:E334)=0,"",SUM(D334:E334))</f>
        <v>362</v>
      </c>
      <c r="G334" s="39" t="n">
        <f aca="false">IF(OR(F334="",F334=0),"",D334/F334)</f>
        <v>0.497237569060774</v>
      </c>
      <c r="H334" s="39" t="n">
        <f aca="false">IF(OR(F334="",F334=0),"",E334/F334)</f>
        <v>0.502762430939227</v>
      </c>
      <c r="I334" s="38" t="s">
        <v>89</v>
      </c>
      <c r="J334" s="40" t="n">
        <v>3.02608556967268</v>
      </c>
      <c r="K334" s="39" t="n">
        <f aca="false">IF(G334="","",MAX(0,G334-J334/100))</f>
        <v>0.466976713364047</v>
      </c>
      <c r="L334" s="39" t="n">
        <f aca="false">IF(G334="","",MIN(1,G334+J334/100))</f>
        <v>0.5274984247575</v>
      </c>
      <c r="M334" s="21" t="n">
        <f aca="false">ROUND(Q334*S334,0)</f>
        <v>22</v>
      </c>
      <c r="N334" s="21" t="n">
        <f aca="false">ROUND(SQRT((F334*J334/100)^2+(G334*M334)^2),0)</f>
        <v>15</v>
      </c>
      <c r="P334" s="41" t="n">
        <v>-2.93248503991842</v>
      </c>
      <c r="Q334" s="42" t="n">
        <v>362</v>
      </c>
      <c r="R334" s="43" t="n">
        <f aca="false">MAX(0,MIN(1,P334/100+$D$5))</f>
        <v>0.49724235229569</v>
      </c>
      <c r="S334" s="43" t="n">
        <v>0.0610405690258335</v>
      </c>
      <c r="T334" s="44" t="s">
        <v>90</v>
      </c>
    </row>
    <row r="335" customFormat="false" ht="15" hidden="false" customHeight="false" outlineLevel="0" collapsed="false">
      <c r="A335" s="38" t="s">
        <v>344</v>
      </c>
      <c r="B335" s="38" t="s">
        <v>467</v>
      </c>
      <c r="C335" s="38" t="s">
        <v>469</v>
      </c>
      <c r="D335" s="21" t="n">
        <f aca="false">ROUND(Q335*R335,0)</f>
        <v>500</v>
      </c>
      <c r="E335" s="21" t="n">
        <f aca="false">ROUND(Q335,0)-D335</f>
        <v>416</v>
      </c>
      <c r="F335" s="21" t="n">
        <f aca="false">IF(COUNTA(D335:E335)=0,"",SUM(D335:E335))</f>
        <v>916</v>
      </c>
      <c r="G335" s="39" t="n">
        <f aca="false">IF(OR(F335="",F335=0),"",D335/F335)</f>
        <v>0.54585152838428</v>
      </c>
      <c r="H335" s="39" t="n">
        <f aca="false">IF(OR(F335="",F335=0),"",E335/F335)</f>
        <v>0.454148471615721</v>
      </c>
      <c r="I335" s="38" t="s">
        <v>89</v>
      </c>
      <c r="J335" s="40" t="n">
        <v>1.8085538155628</v>
      </c>
      <c r="K335" s="39" t="n">
        <f aca="false">IF(G335="","",MAX(0,G335-J335/100))</f>
        <v>0.527765990228652</v>
      </c>
      <c r="L335" s="39" t="n">
        <f aca="false">IF(G335="","",MIN(1,G335+J335/100))</f>
        <v>0.563937066539908</v>
      </c>
      <c r="M335" s="21" t="n">
        <f aca="false">ROUND(Q335*S335,0)</f>
        <v>46</v>
      </c>
      <c r="N335" s="21" t="n">
        <f aca="false">ROUND(SQRT((F335*J335/100)^2+(G335*M335)^2),0)</f>
        <v>30</v>
      </c>
      <c r="P335" s="41" t="n">
        <v>1.89556403353326</v>
      </c>
      <c r="Q335" s="42" t="n">
        <v>916</v>
      </c>
      <c r="R335" s="43" t="n">
        <f aca="false">MAX(0,MIN(1,P335/100+$D$5))</f>
        <v>0.545522843030207</v>
      </c>
      <c r="S335" s="43" t="n">
        <v>0.0500321312575726</v>
      </c>
      <c r="T335" s="44" t="s">
        <v>99</v>
      </c>
    </row>
    <row r="336" customFormat="false" ht="15" hidden="false" customHeight="false" outlineLevel="0" collapsed="false">
      <c r="A336" s="38" t="s">
        <v>344</v>
      </c>
      <c r="B336" s="38" t="s">
        <v>470</v>
      </c>
      <c r="C336" s="38" t="s">
        <v>471</v>
      </c>
      <c r="D336" s="21" t="n">
        <f aca="false">ROUND(Q336*R336,0)</f>
        <v>502</v>
      </c>
      <c r="E336" s="21" t="n">
        <f aca="false">ROUND(Q336,0)-D336</f>
        <v>453</v>
      </c>
      <c r="F336" s="21" t="n">
        <f aca="false">IF(COUNTA(D336:E336)=0,"",SUM(D336:E336))</f>
        <v>955</v>
      </c>
      <c r="G336" s="39" t="n">
        <f aca="false">IF(OR(F336="",F336=0),"",D336/F336)</f>
        <v>0.52565445026178</v>
      </c>
      <c r="H336" s="39" t="n">
        <f aca="false">IF(OR(F336="",F336=0),"",E336/F336)</f>
        <v>0.47434554973822</v>
      </c>
      <c r="I336" s="38" t="s">
        <v>89</v>
      </c>
      <c r="J336" s="40" t="n">
        <v>1.8085538155628</v>
      </c>
      <c r="K336" s="39" t="n">
        <f aca="false">IF(G336="","",MAX(0,G336-J336/100))</f>
        <v>0.507568912106152</v>
      </c>
      <c r="L336" s="39" t="n">
        <f aca="false">IF(G336="","",MIN(1,G336+J336/100))</f>
        <v>0.543739988417408</v>
      </c>
      <c r="M336" s="21" t="n">
        <f aca="false">ROUND(Q336*S336,0)</f>
        <v>48</v>
      </c>
      <c r="N336" s="21" t="n">
        <f aca="false">ROUND(SQRT((F336*J336/100)^2+(G336*M336)^2),0)</f>
        <v>31</v>
      </c>
      <c r="P336" s="41" t="n">
        <v>-0.0898271380636477</v>
      </c>
      <c r="Q336" s="42" t="n">
        <v>955</v>
      </c>
      <c r="R336" s="43" t="n">
        <f aca="false">MAX(0,MIN(1,P336/100+$D$5))</f>
        <v>0.525668931314238</v>
      </c>
      <c r="S336" s="43" t="n">
        <v>0.0500321312575726</v>
      </c>
      <c r="T336" s="44" t="s">
        <v>99</v>
      </c>
    </row>
    <row r="337" customFormat="false" ht="15" hidden="false" customHeight="false" outlineLevel="0" collapsed="false">
      <c r="A337" s="38" t="s">
        <v>344</v>
      </c>
      <c r="B337" s="38" t="s">
        <v>470</v>
      </c>
      <c r="C337" s="38" t="s">
        <v>472</v>
      </c>
      <c r="D337" s="21" t="n">
        <f aca="false">ROUND(Q337*R337,0)</f>
        <v>453</v>
      </c>
      <c r="E337" s="21" t="n">
        <f aca="false">ROUND(Q337,0)-D337</f>
        <v>381</v>
      </c>
      <c r="F337" s="21" t="n">
        <f aca="false">IF(COUNTA(D337:E337)=0,"",SUM(D337:E337))</f>
        <v>834</v>
      </c>
      <c r="G337" s="39" t="n">
        <f aca="false">IF(OR(F337="",F337=0),"",D337/F337)</f>
        <v>0.543165467625899</v>
      </c>
      <c r="H337" s="39" t="n">
        <f aca="false">IF(OR(F337="",F337=0),"",E337/F337)</f>
        <v>0.456834532374101</v>
      </c>
      <c r="I337" s="38" t="s">
        <v>89</v>
      </c>
      <c r="J337" s="40" t="n">
        <v>1.8085538155628</v>
      </c>
      <c r="K337" s="39" t="n">
        <f aca="false">IF(G337="","",MAX(0,G337-J337/100))</f>
        <v>0.525079929470271</v>
      </c>
      <c r="L337" s="39" t="n">
        <f aca="false">IF(G337="","",MIN(1,G337+J337/100))</f>
        <v>0.561251005781527</v>
      </c>
      <c r="M337" s="21" t="n">
        <f aca="false">ROUND(Q337*S337,0)</f>
        <v>42</v>
      </c>
      <c r="N337" s="21" t="n">
        <f aca="false">ROUND(SQRT((F337*J337/100)^2+(G337*M337)^2),0)</f>
        <v>27</v>
      </c>
      <c r="P337" s="41" t="n">
        <v>1.6754025775463</v>
      </c>
      <c r="Q337" s="42" t="n">
        <v>834</v>
      </c>
      <c r="R337" s="43" t="n">
        <f aca="false">MAX(0,MIN(1,P337/100+$D$5))</f>
        <v>0.543321228470337</v>
      </c>
      <c r="S337" s="43" t="n">
        <v>0.0500321312575726</v>
      </c>
      <c r="T337" s="44" t="s">
        <v>99</v>
      </c>
    </row>
    <row r="338" customFormat="false" ht="15" hidden="false" customHeight="false" outlineLevel="0" collapsed="false">
      <c r="A338" s="38" t="s">
        <v>344</v>
      </c>
      <c r="B338" s="38" t="s">
        <v>470</v>
      </c>
      <c r="C338" s="38" t="s">
        <v>473</v>
      </c>
      <c r="D338" s="21" t="n">
        <f aca="false">ROUND(Q338*R338,0)</f>
        <v>915</v>
      </c>
      <c r="E338" s="21" t="n">
        <f aca="false">ROUND(Q338,0)-D338</f>
        <v>845</v>
      </c>
      <c r="F338" s="21" t="n">
        <f aca="false">IF(COUNTA(D338:E338)=0,"",SUM(D338:E338))</f>
        <v>1760</v>
      </c>
      <c r="G338" s="39" t="n">
        <f aca="false">IF(OR(F338="",F338=0),"",D338/F338)</f>
        <v>0.519886363636364</v>
      </c>
      <c r="H338" s="39" t="n">
        <f aca="false">IF(OR(F338="",F338=0),"",E338/F338)</f>
        <v>0.480113636363636</v>
      </c>
      <c r="I338" s="38" t="s">
        <v>89</v>
      </c>
      <c r="J338" s="40" t="n">
        <v>1.24911041755021</v>
      </c>
      <c r="K338" s="39" t="n">
        <f aca="false">IF(G338="","",MAX(0,G338-J338/100))</f>
        <v>0.507395259460862</v>
      </c>
      <c r="L338" s="39" t="n">
        <f aca="false">IF(G338="","",MIN(1,G338+J338/100))</f>
        <v>0.532377467811866</v>
      </c>
      <c r="M338" s="21" t="n">
        <f aca="false">ROUND(Q338*S338,0)</f>
        <v>229</v>
      </c>
      <c r="N338" s="21" t="n">
        <f aca="false">ROUND(SQRT((F338*J338/100)^2+(G338*M338)^2),0)</f>
        <v>121</v>
      </c>
      <c r="P338" s="41" t="n">
        <v>-0.688876423323185</v>
      </c>
      <c r="Q338" s="42" t="n">
        <v>1760</v>
      </c>
      <c r="R338" s="43" t="n">
        <f aca="false">MAX(0,MIN(1,P338/100+$D$5))</f>
        <v>0.519678438461642</v>
      </c>
      <c r="S338" s="43" t="n">
        <v>0.130204099606216</v>
      </c>
      <c r="T338" s="44" t="s">
        <v>192</v>
      </c>
    </row>
    <row r="339" customFormat="false" ht="15" hidden="false" customHeight="false" outlineLevel="0" collapsed="false">
      <c r="A339" s="38" t="s">
        <v>344</v>
      </c>
      <c r="B339" s="38" t="s">
        <v>470</v>
      </c>
      <c r="C339" s="38" t="s">
        <v>474</v>
      </c>
      <c r="D339" s="21" t="n">
        <f aca="false">ROUND(Q339*R339,0)</f>
        <v>186</v>
      </c>
      <c r="E339" s="21" t="n">
        <f aca="false">ROUND(Q339,0)-D339</f>
        <v>192</v>
      </c>
      <c r="F339" s="21" t="n">
        <f aca="false">IF(COUNTA(D339:E339)=0,"",SUM(D339:E339))</f>
        <v>378</v>
      </c>
      <c r="G339" s="39" t="n">
        <f aca="false">IF(OR(F339="",F339=0),"",D339/F339)</f>
        <v>0.492063492063492</v>
      </c>
      <c r="H339" s="39" t="n">
        <f aca="false">IF(OR(F339="",F339=0),"",E339/F339)</f>
        <v>0.507936507936508</v>
      </c>
      <c r="I339" s="38" t="s">
        <v>89</v>
      </c>
      <c r="J339" s="40" t="n">
        <v>3.02608556967268</v>
      </c>
      <c r="K339" s="39" t="n">
        <f aca="false">IF(G339="","",MAX(0,G339-J339/100))</f>
        <v>0.461802636366765</v>
      </c>
      <c r="L339" s="39" t="n">
        <f aca="false">IF(G339="","",MIN(1,G339+J339/100))</f>
        <v>0.522324347760219</v>
      </c>
      <c r="M339" s="21" t="n">
        <f aca="false">ROUND(Q339*S339,0)</f>
        <v>23</v>
      </c>
      <c r="N339" s="21" t="n">
        <f aca="false">ROUND(SQRT((F339*J339/100)^2+(G339*M339)^2),0)</f>
        <v>16</v>
      </c>
      <c r="P339" s="41" t="n">
        <v>-3.47373440787599</v>
      </c>
      <c r="Q339" s="42" t="n">
        <v>378</v>
      </c>
      <c r="R339" s="43" t="n">
        <f aca="false">MAX(0,MIN(1,P339/100+$D$5))</f>
        <v>0.491829858616114</v>
      </c>
      <c r="S339" s="43" t="n">
        <v>0.0610405690258335</v>
      </c>
      <c r="T339" s="44" t="s">
        <v>90</v>
      </c>
    </row>
    <row r="340" customFormat="false" ht="15" hidden="false" customHeight="false" outlineLevel="0" collapsed="false">
      <c r="A340" s="38" t="s">
        <v>344</v>
      </c>
      <c r="B340" s="38" t="s">
        <v>475</v>
      </c>
      <c r="C340" s="38" t="s">
        <v>476</v>
      </c>
      <c r="D340" s="21" t="n">
        <f aca="false">ROUND(Q340*R340,0)</f>
        <v>532</v>
      </c>
      <c r="E340" s="21" t="n">
        <f aca="false">ROUND(Q340,0)-D340</f>
        <v>470</v>
      </c>
      <c r="F340" s="21" t="n">
        <f aca="false">IF(COUNTA(D340:E340)=0,"",SUM(D340:E340))</f>
        <v>1002</v>
      </c>
      <c r="G340" s="39" t="n">
        <f aca="false">IF(OR(F340="",F340=0),"",D340/F340)</f>
        <v>0.530938123752495</v>
      </c>
      <c r="H340" s="39" t="n">
        <f aca="false">IF(OR(F340="",F340=0),"",E340/F340)</f>
        <v>0.469061876247505</v>
      </c>
      <c r="I340" s="38" t="s">
        <v>89</v>
      </c>
      <c r="J340" s="40" t="n">
        <v>1.8085538155628</v>
      </c>
      <c r="K340" s="39" t="n">
        <f aca="false">IF(G340="","",MAX(0,G340-J340/100))</f>
        <v>0.512852585596867</v>
      </c>
      <c r="L340" s="39" t="n">
        <f aca="false">IF(G340="","",MIN(1,G340+J340/100))</f>
        <v>0.549023661908123</v>
      </c>
      <c r="M340" s="21" t="n">
        <f aca="false">ROUND(Q340*S340,0)</f>
        <v>50</v>
      </c>
      <c r="N340" s="21" t="n">
        <f aca="false">ROUND(SQRT((F340*J340/100)^2+(G340*M340)^2),0)</f>
        <v>32</v>
      </c>
      <c r="P340" s="41" t="n">
        <v>0.470835221910643</v>
      </c>
      <c r="Q340" s="42" t="n">
        <v>1002</v>
      </c>
      <c r="R340" s="43" t="n">
        <f aca="false">MAX(0,MIN(1,P340/100+$D$5))</f>
        <v>0.531275554913981</v>
      </c>
      <c r="S340" s="43" t="n">
        <v>0.0500321312575726</v>
      </c>
      <c r="T340" s="44" t="s">
        <v>99</v>
      </c>
    </row>
    <row r="341" customFormat="false" ht="15" hidden="false" customHeight="false" outlineLevel="0" collapsed="false">
      <c r="A341" s="38" t="s">
        <v>344</v>
      </c>
      <c r="B341" s="38" t="s">
        <v>475</v>
      </c>
      <c r="C341" s="38" t="s">
        <v>477</v>
      </c>
      <c r="D341" s="21" t="n">
        <f aca="false">ROUND(Q341*R341,0)</f>
        <v>388</v>
      </c>
      <c r="E341" s="21" t="n">
        <f aca="false">ROUND(Q341,0)-D341</f>
        <v>316</v>
      </c>
      <c r="F341" s="21" t="n">
        <f aca="false">IF(COUNTA(D341:E341)=0,"",SUM(D341:E341))</f>
        <v>704</v>
      </c>
      <c r="G341" s="39" t="n">
        <f aca="false">IF(OR(F341="",F341=0),"",D341/F341)</f>
        <v>0.551136363636364</v>
      </c>
      <c r="H341" s="39" t="n">
        <f aca="false">IF(OR(F341="",F341=0),"",E341/F341)</f>
        <v>0.448863636363636</v>
      </c>
      <c r="I341" s="38" t="s">
        <v>190</v>
      </c>
      <c r="J341" s="40" t="n">
        <v>3.02608556967268</v>
      </c>
      <c r="K341" s="39" t="n">
        <f aca="false">IF(G341="","",MAX(0,G341-J341/100))</f>
        <v>0.520875507939637</v>
      </c>
      <c r="L341" s="39" t="n">
        <f aca="false">IF(G341="","",MIN(1,G341+J341/100))</f>
        <v>0.581397219333091</v>
      </c>
      <c r="M341" s="21" t="n">
        <f aca="false">ROUND(Q341*S341,0)</f>
        <v>43</v>
      </c>
      <c r="N341" s="21" t="n">
        <f aca="false">ROUND(SQRT((F341*J341/100)^2+(G341*M341)^2),0)</f>
        <v>32</v>
      </c>
      <c r="P341" s="41" t="n">
        <v>2.45861424238102</v>
      </c>
      <c r="Q341" s="42" t="n">
        <v>704.413282971357</v>
      </c>
      <c r="R341" s="43" t="n">
        <f aca="false">MAX(0,MIN(1,P341/100+$D$5))</f>
        <v>0.551153345118684</v>
      </c>
      <c r="S341" s="43" t="n">
        <v>0.0610405690258335</v>
      </c>
      <c r="T341" s="44" t="s">
        <v>90</v>
      </c>
    </row>
    <row r="342" customFormat="false" ht="15" hidden="false" customHeight="false" outlineLevel="0" collapsed="false">
      <c r="A342" s="38" t="s">
        <v>344</v>
      </c>
      <c r="B342" s="38" t="s">
        <v>475</v>
      </c>
      <c r="C342" s="38" t="s">
        <v>478</v>
      </c>
      <c r="D342" s="21" t="n">
        <f aca="false">ROUND(Q342*R342,0)</f>
        <v>595</v>
      </c>
      <c r="E342" s="21" t="n">
        <f aca="false">ROUND(Q342,0)-D342</f>
        <v>547</v>
      </c>
      <c r="F342" s="21" t="n">
        <f aca="false">IF(COUNTA(D342:E342)=0,"",SUM(D342:E342))</f>
        <v>1142</v>
      </c>
      <c r="G342" s="39" t="n">
        <f aca="false">IF(OR(F342="",F342=0),"",D342/F342)</f>
        <v>0.521015761821366</v>
      </c>
      <c r="H342" s="39" t="n">
        <f aca="false">IF(OR(F342="",F342=0),"",E342/F342)</f>
        <v>0.478984238178634</v>
      </c>
      <c r="I342" s="38" t="s">
        <v>190</v>
      </c>
      <c r="J342" s="40" t="n">
        <v>1.8085538155628</v>
      </c>
      <c r="K342" s="39" t="n">
        <f aca="false">IF(G342="","",MAX(0,G342-J342/100))</f>
        <v>0.502930223665738</v>
      </c>
      <c r="L342" s="39" t="n">
        <f aca="false">IF(G342="","",MIN(1,G342+J342/100))</f>
        <v>0.539101299976994</v>
      </c>
      <c r="M342" s="21" t="n">
        <f aca="false">ROUND(Q342*S342,0)</f>
        <v>57</v>
      </c>
      <c r="N342" s="21" t="n">
        <f aca="false">ROUND(SQRT((F342*J342/100)^2+(G342*M342)^2),0)</f>
        <v>36</v>
      </c>
      <c r="P342" s="41" t="n">
        <v>-0.519971354421071</v>
      </c>
      <c r="Q342" s="42" t="n">
        <v>1141.56069667401</v>
      </c>
      <c r="R342" s="43" t="n">
        <f aca="false">MAX(0,MIN(1,P342/100+$D$5))</f>
        <v>0.521367489150664</v>
      </c>
      <c r="S342" s="43" t="n">
        <v>0.0500321312575726</v>
      </c>
      <c r="T342" s="44" t="s">
        <v>99</v>
      </c>
    </row>
    <row r="343" customFormat="false" ht="15" hidden="false" customHeight="false" outlineLevel="0" collapsed="false">
      <c r="A343" s="38" t="s">
        <v>344</v>
      </c>
      <c r="B343" s="38" t="s">
        <v>475</v>
      </c>
      <c r="C343" s="38" t="s">
        <v>479</v>
      </c>
      <c r="D343" s="21" t="n">
        <f aca="false">ROUND(Q343*R343,0)</f>
        <v>654</v>
      </c>
      <c r="E343" s="21" t="n">
        <f aca="false">ROUND(Q343,0)-D343</f>
        <v>503</v>
      </c>
      <c r="F343" s="21" t="n">
        <f aca="false">IF(COUNTA(D343:E343)=0,"",SUM(D343:E343))</f>
        <v>1157</v>
      </c>
      <c r="G343" s="39" t="n">
        <f aca="false">IF(OR(F343="",F343=0),"",D343/F343)</f>
        <v>0.565254969749352</v>
      </c>
      <c r="H343" s="39" t="n">
        <f aca="false">IF(OR(F343="",F343=0),"",E343/F343)</f>
        <v>0.434745030250648</v>
      </c>
      <c r="I343" s="38" t="s">
        <v>89</v>
      </c>
      <c r="J343" s="40" t="n">
        <v>1.8085538155628</v>
      </c>
      <c r="K343" s="39" t="n">
        <f aca="false">IF(G343="","",MAX(0,G343-J343/100))</f>
        <v>0.547169431593724</v>
      </c>
      <c r="L343" s="39" t="n">
        <f aca="false">IF(G343="","",MIN(1,G343+J343/100))</f>
        <v>0.58334050790498</v>
      </c>
      <c r="M343" s="21" t="n">
        <f aca="false">ROUND(Q343*S343,0)</f>
        <v>58</v>
      </c>
      <c r="N343" s="21" t="n">
        <f aca="false">ROUND(SQRT((F343*J343/100)^2+(G343*M343)^2),0)</f>
        <v>39</v>
      </c>
      <c r="P343" s="41" t="n">
        <v>3.8289057159151</v>
      </c>
      <c r="Q343" s="42" t="n">
        <v>1157</v>
      </c>
      <c r="R343" s="43" t="n">
        <f aca="false">MAX(0,MIN(1,P343/100+$D$5))</f>
        <v>0.564856259854025</v>
      </c>
      <c r="S343" s="43" t="n">
        <v>0.0500321312575726</v>
      </c>
      <c r="T343" s="44" t="s">
        <v>99</v>
      </c>
    </row>
    <row r="344" customFormat="false" ht="15" hidden="false" customHeight="false" outlineLevel="0" collapsed="false">
      <c r="A344" s="38" t="s">
        <v>344</v>
      </c>
      <c r="B344" s="38" t="s">
        <v>475</v>
      </c>
      <c r="C344" s="38" t="s">
        <v>480</v>
      </c>
      <c r="D344" s="21" t="n">
        <f aca="false">ROUND(Q344*R344,0)</f>
        <v>983</v>
      </c>
      <c r="E344" s="21" t="n">
        <f aca="false">ROUND(Q344,0)-D344</f>
        <v>847</v>
      </c>
      <c r="F344" s="21" t="n">
        <f aca="false">IF(COUNTA(D344:E344)=0,"",SUM(D344:E344))</f>
        <v>1830</v>
      </c>
      <c r="G344" s="39" t="n">
        <f aca="false">IF(OR(F344="",F344=0),"",D344/F344)</f>
        <v>0.537158469945355</v>
      </c>
      <c r="H344" s="39" t="n">
        <f aca="false">IF(OR(F344="",F344=0),"",E344/F344)</f>
        <v>0.462841530054645</v>
      </c>
      <c r="I344" s="38" t="s">
        <v>89</v>
      </c>
      <c r="J344" s="40" t="n">
        <v>1.24911041755021</v>
      </c>
      <c r="K344" s="39" t="n">
        <f aca="false">IF(G344="","",MAX(0,G344-J344/100))</f>
        <v>0.524667365769853</v>
      </c>
      <c r="L344" s="39" t="n">
        <f aca="false">IF(G344="","",MIN(1,G344+J344/100))</f>
        <v>0.549649574120857</v>
      </c>
      <c r="M344" s="21" t="n">
        <f aca="false">ROUND(Q344*S344,0)</f>
        <v>238</v>
      </c>
      <c r="N344" s="21" t="n">
        <f aca="false">ROUND(SQRT((F344*J344/100)^2+(G344*M344)^2),0)</f>
        <v>130</v>
      </c>
      <c r="P344" s="41" t="n">
        <v>1.05131457751922</v>
      </c>
      <c r="Q344" s="42" t="n">
        <v>1830</v>
      </c>
      <c r="R344" s="43" t="n">
        <f aca="false">MAX(0,MIN(1,P344/100+$D$5))</f>
        <v>0.537080348470066</v>
      </c>
      <c r="S344" s="43" t="n">
        <v>0.130204099606216</v>
      </c>
      <c r="T344" s="44" t="s">
        <v>192</v>
      </c>
    </row>
    <row r="345" customFormat="false" ht="15" hidden="false" customHeight="false" outlineLevel="0" collapsed="false">
      <c r="A345" s="38" t="s">
        <v>344</v>
      </c>
      <c r="B345" s="38" t="s">
        <v>475</v>
      </c>
      <c r="C345" s="38" t="s">
        <v>481</v>
      </c>
      <c r="D345" s="21" t="n">
        <f aca="false">ROUND(Q345*R345,0)</f>
        <v>699</v>
      </c>
      <c r="E345" s="21" t="n">
        <f aca="false">ROUND(Q345,0)-D345</f>
        <v>602</v>
      </c>
      <c r="F345" s="21" t="n">
        <f aca="false">IF(COUNTA(D345:E345)=0,"",SUM(D345:E345))</f>
        <v>1301</v>
      </c>
      <c r="G345" s="39" t="n">
        <f aca="false">IF(OR(F345="",F345=0),"",D345/F345)</f>
        <v>0.53727901614143</v>
      </c>
      <c r="H345" s="39" t="n">
        <f aca="false">IF(OR(F345="",F345=0),"",E345/F345)</f>
        <v>0.46272098385857</v>
      </c>
      <c r="I345" s="38" t="s">
        <v>89</v>
      </c>
      <c r="J345" s="40" t="n">
        <v>1.24911041755021</v>
      </c>
      <c r="K345" s="39" t="n">
        <f aca="false">IF(G345="","",MAX(0,G345-J345/100))</f>
        <v>0.524787911965928</v>
      </c>
      <c r="L345" s="39" t="n">
        <f aca="false">IF(G345="","",MIN(1,G345+J345/100))</f>
        <v>0.549770120316932</v>
      </c>
      <c r="M345" s="21" t="n">
        <f aca="false">ROUND(Q345*S345,0)</f>
        <v>169</v>
      </c>
      <c r="N345" s="21" t="n">
        <f aca="false">ROUND(SQRT((F345*J345/100)^2+(G345*M345)^2),0)</f>
        <v>92</v>
      </c>
      <c r="P345" s="41" t="n">
        <v>1.03995859636189</v>
      </c>
      <c r="Q345" s="42" t="n">
        <v>1301</v>
      </c>
      <c r="R345" s="43" t="n">
        <f aca="false">MAX(0,MIN(1,P345/100+$D$5))</f>
        <v>0.536966788658493</v>
      </c>
      <c r="S345" s="43" t="n">
        <v>0.130204099606216</v>
      </c>
      <c r="T345" s="44" t="s">
        <v>192</v>
      </c>
    </row>
    <row r="346" customFormat="false" ht="15" hidden="false" customHeight="false" outlineLevel="0" collapsed="false">
      <c r="A346" s="38" t="s">
        <v>344</v>
      </c>
      <c r="B346" s="38" t="s">
        <v>475</v>
      </c>
      <c r="C346" s="38" t="s">
        <v>482</v>
      </c>
      <c r="D346" s="21" t="n">
        <f aca="false">ROUND(Q346*R346,0)</f>
        <v>569</v>
      </c>
      <c r="E346" s="21" t="n">
        <f aca="false">ROUND(Q346,0)-D346</f>
        <v>439</v>
      </c>
      <c r="F346" s="21" t="n">
        <f aca="false">IF(COUNTA(D346:E346)=0,"",SUM(D346:E346))</f>
        <v>1008</v>
      </c>
      <c r="G346" s="39" t="n">
        <f aca="false">IF(OR(F346="",F346=0),"",D346/F346)</f>
        <v>0.564484126984127</v>
      </c>
      <c r="H346" s="39" t="n">
        <f aca="false">IF(OR(F346="",F346=0),"",E346/F346)</f>
        <v>0.435515873015873</v>
      </c>
      <c r="I346" s="38" t="s">
        <v>190</v>
      </c>
      <c r="J346" s="40" t="n">
        <v>1.8085538155628</v>
      </c>
      <c r="K346" s="39" t="n">
        <f aca="false">IF(G346="","",MAX(0,G346-J346/100))</f>
        <v>0.546398588828499</v>
      </c>
      <c r="L346" s="39" t="n">
        <f aca="false">IF(G346="","",MIN(1,G346+J346/100))</f>
        <v>0.582569665139755</v>
      </c>
      <c r="M346" s="21" t="n">
        <f aca="false">ROUND(Q346*S346,0)</f>
        <v>50</v>
      </c>
      <c r="N346" s="21" t="n">
        <f aca="false">ROUND(SQRT((F346*J346/100)^2+(G346*M346)^2),0)</f>
        <v>34</v>
      </c>
      <c r="P346" s="41" t="n">
        <v>3.72393648330595</v>
      </c>
      <c r="Q346" s="42" t="n">
        <v>1008.46878606652</v>
      </c>
      <c r="R346" s="43" t="n">
        <f aca="false">MAX(0,MIN(1,P346/100+$D$5))</f>
        <v>0.563806567527934</v>
      </c>
      <c r="S346" s="43" t="n">
        <v>0.0500321312575726</v>
      </c>
      <c r="T346" s="44" t="s">
        <v>99</v>
      </c>
    </row>
    <row r="347" customFormat="false" ht="15" hidden="false" customHeight="false" outlineLevel="0" collapsed="false">
      <c r="A347" s="38" t="s">
        <v>344</v>
      </c>
      <c r="B347" s="38" t="s">
        <v>475</v>
      </c>
      <c r="C347" s="38" t="s">
        <v>483</v>
      </c>
      <c r="D347" s="21" t="n">
        <f aca="false">ROUND(Q347*R347,0)</f>
        <v>534</v>
      </c>
      <c r="E347" s="21" t="n">
        <f aca="false">ROUND(Q347,0)-D347</f>
        <v>544</v>
      </c>
      <c r="F347" s="21" t="n">
        <f aca="false">IF(COUNTA(D347:E347)=0,"",SUM(D347:E347))</f>
        <v>1078</v>
      </c>
      <c r="G347" s="39" t="n">
        <f aca="false">IF(OR(F347="",F347=0),"",D347/F347)</f>
        <v>0.495361781076067</v>
      </c>
      <c r="H347" s="39" t="n">
        <f aca="false">IF(OR(F347="",F347=0),"",E347/F347)</f>
        <v>0.504638218923933</v>
      </c>
      <c r="I347" s="38" t="s">
        <v>190</v>
      </c>
      <c r="J347" s="40" t="n">
        <v>1.8085538155628</v>
      </c>
      <c r="K347" s="39" t="n">
        <f aca="false">IF(G347="","",MAX(0,G347-J347/100))</f>
        <v>0.477276242920439</v>
      </c>
      <c r="L347" s="39" t="n">
        <f aca="false">IF(G347="","",MIN(1,G347+J347/100))</f>
        <v>0.513447319231695</v>
      </c>
      <c r="M347" s="21" t="n">
        <f aca="false">ROUND(Q347*S347,0)</f>
        <v>54</v>
      </c>
      <c r="N347" s="21" t="n">
        <f aca="false">ROUND(SQRT((F347*J347/100)^2+(G347*M347)^2),0)</f>
        <v>33</v>
      </c>
      <c r="P347" s="41" t="n">
        <v>-3.07754791267482</v>
      </c>
      <c r="Q347" s="42" t="n">
        <v>1077.71986150456</v>
      </c>
      <c r="R347" s="43" t="n">
        <f aca="false">MAX(0,MIN(1,P347/100+$D$5))</f>
        <v>0.495791723568126</v>
      </c>
      <c r="S347" s="43" t="n">
        <v>0.0500321312575726</v>
      </c>
      <c r="T347" s="44" t="s">
        <v>99</v>
      </c>
    </row>
    <row r="348" customFormat="false" ht="15" hidden="false" customHeight="false" outlineLevel="0" collapsed="false">
      <c r="A348" s="38" t="s">
        <v>344</v>
      </c>
      <c r="B348" s="38" t="s">
        <v>475</v>
      </c>
      <c r="C348" s="38" t="s">
        <v>484</v>
      </c>
      <c r="D348" s="21" t="n">
        <f aca="false">ROUND(Q348*R348,0)</f>
        <v>624</v>
      </c>
      <c r="E348" s="21" t="n">
        <f aca="false">ROUND(Q348,0)-D348</f>
        <v>630</v>
      </c>
      <c r="F348" s="21" t="n">
        <f aca="false">IF(COUNTA(D348:E348)=0,"",SUM(D348:E348))</f>
        <v>1254</v>
      </c>
      <c r="G348" s="39" t="n">
        <f aca="false">IF(OR(F348="",F348=0),"",D348/F348)</f>
        <v>0.497607655502392</v>
      </c>
      <c r="H348" s="39" t="n">
        <f aca="false">IF(OR(F348="",F348=0),"",E348/F348)</f>
        <v>0.502392344497608</v>
      </c>
      <c r="I348" s="38" t="s">
        <v>190</v>
      </c>
      <c r="J348" s="40" t="n">
        <v>1.24911041755021</v>
      </c>
      <c r="K348" s="39" t="n">
        <f aca="false">IF(G348="","",MAX(0,G348-J348/100))</f>
        <v>0.48511655132689</v>
      </c>
      <c r="L348" s="39" t="n">
        <f aca="false">IF(G348="","",MIN(1,G348+J348/100))</f>
        <v>0.510098759677894</v>
      </c>
      <c r="M348" s="21" t="n">
        <f aca="false">ROUND(Q348*S348,0)</f>
        <v>163</v>
      </c>
      <c r="N348" s="21" t="n">
        <f aca="false">ROUND(SQRT((F348*J348/100)^2+(G348*M348)^2),0)</f>
        <v>83</v>
      </c>
      <c r="P348" s="41" t="n">
        <v>-2.88823891576091</v>
      </c>
      <c r="Q348" s="42" t="n">
        <v>1254.09369426083</v>
      </c>
      <c r="R348" s="43" t="n">
        <f aca="false">MAX(0,MIN(1,P348/100+$D$5))</f>
        <v>0.497684813537265</v>
      </c>
      <c r="S348" s="43" t="n">
        <v>0.130204099606216</v>
      </c>
      <c r="T348" s="44" t="s">
        <v>192</v>
      </c>
    </row>
    <row r="349" customFormat="false" ht="15" hidden="false" customHeight="false" outlineLevel="0" collapsed="false">
      <c r="A349" s="38" t="s">
        <v>344</v>
      </c>
      <c r="B349" s="38" t="s">
        <v>485</v>
      </c>
      <c r="C349" s="38" t="s">
        <v>486</v>
      </c>
      <c r="D349" s="21" t="n">
        <f aca="false">ROUND(Q349*R349,0)</f>
        <v>82</v>
      </c>
      <c r="E349" s="21" t="n">
        <f aca="false">ROUND(Q349,0)-D349</f>
        <v>111</v>
      </c>
      <c r="F349" s="21" t="n">
        <f aca="false">IF(COUNTA(D349:E349)=0,"",SUM(D349:E349))</f>
        <v>193</v>
      </c>
      <c r="G349" s="39" t="n">
        <f aca="false">IF(OR(F349="",F349=0),"",D349/F349)</f>
        <v>0.424870466321244</v>
      </c>
      <c r="H349" s="39" t="n">
        <f aca="false">IF(OR(F349="",F349=0),"",E349/F349)</f>
        <v>0.575129533678757</v>
      </c>
      <c r="I349" s="38" t="s">
        <v>89</v>
      </c>
      <c r="J349" s="40" t="n">
        <v>3.02608556967268</v>
      </c>
      <c r="K349" s="39" t="n">
        <f aca="false">IF(G349="","",MAX(0,G349-J349/100))</f>
        <v>0.394609610624517</v>
      </c>
      <c r="L349" s="39" t="n">
        <f aca="false">IF(G349="","",MIN(1,G349+J349/100))</f>
        <v>0.45513132201797</v>
      </c>
      <c r="M349" s="21" t="n">
        <f aca="false">ROUND(Q349*S349,0)</f>
        <v>12</v>
      </c>
      <c r="N349" s="21" t="n">
        <f aca="false">ROUND(SQRT((F349*J349/100)^2+(G349*M349)^2),0)</f>
        <v>8</v>
      </c>
      <c r="P349" s="41" t="n">
        <v>-10.2285078661765</v>
      </c>
      <c r="Q349" s="42" t="n">
        <v>193</v>
      </c>
      <c r="R349" s="43" t="n">
        <f aca="false">MAX(0,MIN(1,P349/100+$D$5))</f>
        <v>0.42428212403311</v>
      </c>
      <c r="S349" s="43" t="n">
        <v>0.0610405690258335</v>
      </c>
      <c r="T349" s="44" t="s">
        <v>90</v>
      </c>
    </row>
    <row r="350" customFormat="false" ht="15" hidden="false" customHeight="false" outlineLevel="0" collapsed="false">
      <c r="A350" s="38" t="s">
        <v>344</v>
      </c>
      <c r="B350" s="38" t="s">
        <v>485</v>
      </c>
      <c r="C350" s="38" t="s">
        <v>487</v>
      </c>
      <c r="D350" s="21" t="n">
        <f aca="false">ROUND(Q350*R350,0)</f>
        <v>225</v>
      </c>
      <c r="E350" s="21" t="n">
        <f aca="false">ROUND(Q350,0)-D350</f>
        <v>336</v>
      </c>
      <c r="F350" s="21" t="n">
        <f aca="false">IF(COUNTA(D350:E350)=0,"",SUM(D350:E350))</f>
        <v>561</v>
      </c>
      <c r="G350" s="39" t="n">
        <f aca="false">IF(OR(F350="",F350=0),"",D350/F350)</f>
        <v>0.401069518716578</v>
      </c>
      <c r="H350" s="39" t="n">
        <f aca="false">IF(OR(F350="",F350=0),"",E350/F350)</f>
        <v>0.598930481283422</v>
      </c>
      <c r="I350" s="38" t="s">
        <v>89</v>
      </c>
      <c r="J350" s="40" t="n">
        <v>3.02608556967268</v>
      </c>
      <c r="K350" s="39" t="n">
        <f aca="false">IF(G350="","",MAX(0,G350-J350/100))</f>
        <v>0.370808663019851</v>
      </c>
      <c r="L350" s="39" t="n">
        <f aca="false">IF(G350="","",MIN(1,G350+J350/100))</f>
        <v>0.431330374413304</v>
      </c>
      <c r="M350" s="21" t="n">
        <f aca="false">ROUND(Q350*S350,0)</f>
        <v>34</v>
      </c>
      <c r="N350" s="21" t="n">
        <f aca="false">ROUND(SQRT((F350*J350/100)^2+(G350*M350)^2),0)</f>
        <v>22</v>
      </c>
      <c r="P350" s="41" t="n">
        <v>-12.6206612145491</v>
      </c>
      <c r="Q350" s="42" t="n">
        <v>561</v>
      </c>
      <c r="R350" s="43" t="n">
        <f aca="false">MAX(0,MIN(1,P350/100+$D$5))</f>
        <v>0.400360590549383</v>
      </c>
      <c r="S350" s="43" t="n">
        <v>0.0610405690258335</v>
      </c>
      <c r="T350" s="44" t="s">
        <v>90</v>
      </c>
    </row>
    <row r="351" customFormat="false" ht="15" hidden="false" customHeight="false" outlineLevel="0" collapsed="false">
      <c r="A351" s="38" t="s">
        <v>344</v>
      </c>
      <c r="B351" s="38" t="s">
        <v>485</v>
      </c>
      <c r="C351" s="38" t="s">
        <v>488</v>
      </c>
      <c r="D351" s="21" t="n">
        <f aca="false">ROUND(Q351*R351,0)</f>
        <v>150</v>
      </c>
      <c r="E351" s="21" t="n">
        <f aca="false">ROUND(Q351,0)-D351</f>
        <v>189</v>
      </c>
      <c r="F351" s="21" t="n">
        <f aca="false">IF(COUNTA(D351:E351)=0,"",SUM(D351:E351))</f>
        <v>339</v>
      </c>
      <c r="G351" s="39" t="n">
        <f aca="false">IF(OR(F351="",F351=0),"",D351/F351)</f>
        <v>0.442477876106195</v>
      </c>
      <c r="H351" s="39" t="n">
        <f aca="false">IF(OR(F351="",F351=0),"",E351/F351)</f>
        <v>0.557522123893805</v>
      </c>
      <c r="I351" s="38" t="s">
        <v>89</v>
      </c>
      <c r="J351" s="40" t="n">
        <v>3.02608556967268</v>
      </c>
      <c r="K351" s="39" t="n">
        <f aca="false">IF(G351="","",MAX(0,G351-J351/100))</f>
        <v>0.412217020409468</v>
      </c>
      <c r="L351" s="39" t="n">
        <f aca="false">IF(G351="","",MIN(1,G351+J351/100))</f>
        <v>0.472738731802922</v>
      </c>
      <c r="M351" s="21" t="n">
        <f aca="false">ROUND(Q351*S351,0)</f>
        <v>21</v>
      </c>
      <c r="N351" s="21" t="n">
        <f aca="false">ROUND(SQRT((F351*J351/100)^2+(G351*M351)^2),0)</f>
        <v>14</v>
      </c>
      <c r="P351" s="41" t="n">
        <v>-8.39188502228794</v>
      </c>
      <c r="Q351" s="42" t="n">
        <v>339</v>
      </c>
      <c r="R351" s="43" t="n">
        <f aca="false">MAX(0,MIN(1,P351/100+$D$5))</f>
        <v>0.442648352471995</v>
      </c>
      <c r="S351" s="43" t="n">
        <v>0.0610405690258335</v>
      </c>
      <c r="T351" s="44" t="s">
        <v>90</v>
      </c>
    </row>
    <row r="352" customFormat="false" ht="15" hidden="false" customHeight="false" outlineLevel="0" collapsed="false">
      <c r="A352" s="38" t="s">
        <v>344</v>
      </c>
      <c r="B352" s="38" t="s">
        <v>485</v>
      </c>
      <c r="C352" s="38" t="s">
        <v>489</v>
      </c>
      <c r="D352" s="21" t="n">
        <f aca="false">ROUND(Q352*R352,0)</f>
        <v>87</v>
      </c>
      <c r="E352" s="21" t="n">
        <f aca="false">ROUND(Q352,0)-D352</f>
        <v>109</v>
      </c>
      <c r="F352" s="21" t="n">
        <f aca="false">IF(COUNTA(D352:E352)=0,"",SUM(D352:E352))</f>
        <v>196</v>
      </c>
      <c r="G352" s="39" t="n">
        <f aca="false">IF(OR(F352="",F352=0),"",D352/F352)</f>
        <v>0.443877551020408</v>
      </c>
      <c r="H352" s="39" t="n">
        <f aca="false">IF(OR(F352="",F352=0),"",E352/F352)</f>
        <v>0.556122448979592</v>
      </c>
      <c r="I352" s="38" t="s">
        <v>89</v>
      </c>
      <c r="J352" s="40" t="n">
        <v>3.02608556967268</v>
      </c>
      <c r="K352" s="39" t="n">
        <f aca="false">IF(G352="","",MAX(0,G352-J352/100))</f>
        <v>0.413616695323681</v>
      </c>
      <c r="L352" s="39" t="n">
        <f aca="false">IF(G352="","",MIN(1,G352+J352/100))</f>
        <v>0.474138406717135</v>
      </c>
      <c r="M352" s="21" t="n">
        <f aca="false">ROUND(Q352*S352,0)</f>
        <v>12</v>
      </c>
      <c r="N352" s="21" t="n">
        <f aca="false">ROUND(SQRT((F352*J352/100)^2+(G352*M352)^2),0)</f>
        <v>8</v>
      </c>
      <c r="P352" s="41" t="n">
        <v>-8.2563096173021</v>
      </c>
      <c r="Q352" s="42" t="n">
        <v>196</v>
      </c>
      <c r="R352" s="43" t="n">
        <f aca="false">MAX(0,MIN(1,P352/100+$D$5))</f>
        <v>0.444004106521853</v>
      </c>
      <c r="S352" s="43" t="n">
        <v>0.0610405690258335</v>
      </c>
      <c r="T352" s="44" t="s">
        <v>90</v>
      </c>
    </row>
    <row r="353" customFormat="false" ht="15" hidden="false" customHeight="false" outlineLevel="0" collapsed="false">
      <c r="A353" s="38" t="s">
        <v>344</v>
      </c>
      <c r="B353" s="38" t="s">
        <v>490</v>
      </c>
      <c r="C353" s="38" t="s">
        <v>491</v>
      </c>
      <c r="D353" s="21" t="n">
        <f aca="false">ROUND(Q353*R353,0)</f>
        <v>362</v>
      </c>
      <c r="E353" s="21" t="n">
        <f aca="false">ROUND(Q353,0)-D353</f>
        <v>558</v>
      </c>
      <c r="F353" s="21" t="n">
        <f aca="false">IF(COUNTA(D353:E353)=0,"",SUM(D353:E353))</f>
        <v>920</v>
      </c>
      <c r="G353" s="39" t="n">
        <f aca="false">IF(OR(F353="",F353=0),"",D353/F353)</f>
        <v>0.393478260869565</v>
      </c>
      <c r="H353" s="39" t="n">
        <f aca="false">IF(OR(F353="",F353=0),"",E353/F353)</f>
        <v>0.606521739130435</v>
      </c>
      <c r="I353" s="38" t="s">
        <v>89</v>
      </c>
      <c r="J353" s="40" t="n">
        <v>1.8085538155628</v>
      </c>
      <c r="K353" s="39" t="n">
        <f aca="false">IF(G353="","",MAX(0,G353-J353/100))</f>
        <v>0.375392722713937</v>
      </c>
      <c r="L353" s="39" t="n">
        <f aca="false">IF(G353="","",MIN(1,G353+J353/100))</f>
        <v>0.411563799025193</v>
      </c>
      <c r="M353" s="21" t="n">
        <f aca="false">ROUND(Q353*S353,0)</f>
        <v>46</v>
      </c>
      <c r="N353" s="21" t="n">
        <f aca="false">ROUND(SQRT((F353*J353/100)^2+(G353*M353)^2),0)</f>
        <v>25</v>
      </c>
      <c r="P353" s="41" t="n">
        <v>-13.313617391257</v>
      </c>
      <c r="Q353" s="42" t="n">
        <v>920</v>
      </c>
      <c r="R353" s="43" t="n">
        <f aca="false">MAX(0,MIN(1,P353/100+$D$5))</f>
        <v>0.393431028782304</v>
      </c>
      <c r="S353" s="43" t="n">
        <v>0.0500321312575726</v>
      </c>
      <c r="T353" s="44" t="s">
        <v>99</v>
      </c>
    </row>
    <row r="354" customFormat="false" ht="15" hidden="false" customHeight="false" outlineLevel="0" collapsed="false">
      <c r="A354" s="38" t="s">
        <v>344</v>
      </c>
      <c r="B354" s="38" t="s">
        <v>490</v>
      </c>
      <c r="C354" s="38" t="s">
        <v>492</v>
      </c>
      <c r="D354" s="21" t="n">
        <f aca="false">ROUND(Q354*R354,0)</f>
        <v>297</v>
      </c>
      <c r="E354" s="21" t="n">
        <f aca="false">ROUND(Q354,0)-D354</f>
        <v>445</v>
      </c>
      <c r="F354" s="21" t="n">
        <f aca="false">IF(COUNTA(D354:E354)=0,"",SUM(D354:E354))</f>
        <v>742</v>
      </c>
      <c r="G354" s="39" t="n">
        <f aca="false">IF(OR(F354="",F354=0),"",D354/F354)</f>
        <v>0.400269541778976</v>
      </c>
      <c r="H354" s="39" t="n">
        <f aca="false">IF(OR(F354="",F354=0),"",E354/F354)</f>
        <v>0.599730458221024</v>
      </c>
      <c r="I354" s="38" t="s">
        <v>89</v>
      </c>
      <c r="J354" s="40" t="n">
        <v>3.02608556967268</v>
      </c>
      <c r="K354" s="39" t="n">
        <f aca="false">IF(G354="","",MAX(0,G354-J354/100))</f>
        <v>0.370008686082249</v>
      </c>
      <c r="L354" s="39" t="n">
        <f aca="false">IF(G354="","",MIN(1,G354+J354/100))</f>
        <v>0.430530397475703</v>
      </c>
      <c r="M354" s="21" t="n">
        <f aca="false">ROUND(Q354*S354,0)</f>
        <v>45</v>
      </c>
      <c r="N354" s="21" t="n">
        <f aca="false">ROUND(SQRT((F354*J354/100)^2+(G354*M354)^2),0)</f>
        <v>29</v>
      </c>
      <c r="P354" s="41" t="n">
        <v>-12.6481365265765</v>
      </c>
      <c r="Q354" s="42" t="n">
        <v>742</v>
      </c>
      <c r="R354" s="43" t="n">
        <f aca="false">MAX(0,MIN(1,P354/100+$D$5))</f>
        <v>0.400085837429109</v>
      </c>
      <c r="S354" s="43" t="n">
        <v>0.0610405690258335</v>
      </c>
      <c r="T354" s="44" t="s">
        <v>90</v>
      </c>
    </row>
    <row r="355" customFormat="false" ht="15" hidden="false" customHeight="false" outlineLevel="0" collapsed="false">
      <c r="A355" s="38" t="s">
        <v>344</v>
      </c>
      <c r="B355" s="38" t="s">
        <v>490</v>
      </c>
      <c r="C355" s="38" t="s">
        <v>493</v>
      </c>
      <c r="D355" s="21" t="n">
        <f aca="false">ROUND(Q355*R355,0)</f>
        <v>270</v>
      </c>
      <c r="E355" s="21" t="n">
        <f aca="false">ROUND(Q355,0)-D355</f>
        <v>435</v>
      </c>
      <c r="F355" s="21" t="n">
        <f aca="false">IF(COUNTA(D355:E355)=0,"",SUM(D355:E355))</f>
        <v>705</v>
      </c>
      <c r="G355" s="39" t="n">
        <f aca="false">IF(OR(F355="",F355=0),"",D355/F355)</f>
        <v>0.382978723404255</v>
      </c>
      <c r="H355" s="39" t="n">
        <f aca="false">IF(OR(F355="",F355=0),"",E355/F355)</f>
        <v>0.617021276595745</v>
      </c>
      <c r="I355" s="38" t="s">
        <v>89</v>
      </c>
      <c r="J355" s="40" t="n">
        <v>3.02608556967268</v>
      </c>
      <c r="K355" s="39" t="n">
        <f aca="false">IF(G355="","",MAX(0,G355-J355/100))</f>
        <v>0.352717867707529</v>
      </c>
      <c r="L355" s="39" t="n">
        <f aca="false">IF(G355="","",MIN(1,G355+J355/100))</f>
        <v>0.413239579100982</v>
      </c>
      <c r="M355" s="21" t="n">
        <f aca="false">ROUND(Q355*S355,0)</f>
        <v>43</v>
      </c>
      <c r="N355" s="21" t="n">
        <f aca="false">ROUND(SQRT((F355*J355/100)^2+(G355*M355)^2),0)</f>
        <v>27</v>
      </c>
      <c r="P355" s="41" t="n">
        <v>-14.3037694881709</v>
      </c>
      <c r="Q355" s="42" t="n">
        <v>705</v>
      </c>
      <c r="R355" s="43" t="n">
        <f aca="false">MAX(0,MIN(1,P355/100+$D$5))</f>
        <v>0.383529507813166</v>
      </c>
      <c r="S355" s="43" t="n">
        <v>0.0610405690258335</v>
      </c>
      <c r="T355" s="44" t="s">
        <v>90</v>
      </c>
    </row>
    <row r="356" customFormat="false" ht="15" hidden="false" customHeight="false" outlineLevel="0" collapsed="false">
      <c r="A356" s="38" t="s">
        <v>344</v>
      </c>
      <c r="B356" s="38" t="s">
        <v>490</v>
      </c>
      <c r="C356" s="38" t="s">
        <v>494</v>
      </c>
      <c r="D356" s="21" t="n">
        <f aca="false">ROUND(Q356*R356,0)</f>
        <v>270</v>
      </c>
      <c r="E356" s="21" t="n">
        <f aca="false">ROUND(Q356,0)-D356</f>
        <v>437</v>
      </c>
      <c r="F356" s="21" t="n">
        <f aca="false">IF(COUNTA(D356:E356)=0,"",SUM(D356:E356))</f>
        <v>707</v>
      </c>
      <c r="G356" s="39" t="n">
        <f aca="false">IF(OR(F356="",F356=0),"",D356/F356)</f>
        <v>0.381895332390382</v>
      </c>
      <c r="H356" s="39" t="n">
        <f aca="false">IF(OR(F356="",F356=0),"",E356/F356)</f>
        <v>0.618104667609618</v>
      </c>
      <c r="I356" s="38" t="s">
        <v>89</v>
      </c>
      <c r="J356" s="40" t="n">
        <v>3.02608556967268</v>
      </c>
      <c r="K356" s="39" t="n">
        <f aca="false">IF(G356="","",MAX(0,G356-J356/100))</f>
        <v>0.351634476693655</v>
      </c>
      <c r="L356" s="39" t="n">
        <f aca="false">IF(G356="","",MIN(1,G356+J356/100))</f>
        <v>0.412156188087109</v>
      </c>
      <c r="M356" s="21" t="n">
        <f aca="false">ROUND(Q356*S356,0)</f>
        <v>43</v>
      </c>
      <c r="N356" s="21" t="n">
        <f aca="false">ROUND(SQRT((F356*J356/100)^2+(G356*M356)^2),0)</f>
        <v>27</v>
      </c>
      <c r="P356" s="41" t="n">
        <v>-14.4490458240955</v>
      </c>
      <c r="Q356" s="42" t="n">
        <v>707</v>
      </c>
      <c r="R356" s="43" t="n">
        <f aca="false">MAX(0,MIN(1,P356/100+$D$5))</f>
        <v>0.382076744453919</v>
      </c>
      <c r="S356" s="43" t="n">
        <v>0.0610405690258335</v>
      </c>
      <c r="T356" s="44" t="s">
        <v>90</v>
      </c>
    </row>
    <row r="357" customFormat="false" ht="15" hidden="false" customHeight="false" outlineLevel="0" collapsed="false">
      <c r="A357" s="38" t="s">
        <v>344</v>
      </c>
      <c r="B357" s="38" t="s">
        <v>495</v>
      </c>
      <c r="C357" s="38" t="s">
        <v>496</v>
      </c>
      <c r="D357" s="21" t="n">
        <f aca="false">ROUND(Q357*R357,0)</f>
        <v>74</v>
      </c>
      <c r="E357" s="21" t="n">
        <f aca="false">ROUND(Q357,0)-D357</f>
        <v>120</v>
      </c>
      <c r="F357" s="21" t="n">
        <f aca="false">IF(COUNTA(D357:E357)=0,"",SUM(D357:E357))</f>
        <v>194</v>
      </c>
      <c r="G357" s="39" t="n">
        <f aca="false">IF(OR(F357="",F357=0),"",D357/F357)</f>
        <v>0.381443298969072</v>
      </c>
      <c r="H357" s="39" t="n">
        <f aca="false">IF(OR(F357="",F357=0),"",E357/F357)</f>
        <v>0.618556701030928</v>
      </c>
      <c r="I357" s="38" t="s">
        <v>89</v>
      </c>
      <c r="J357" s="40" t="n">
        <v>3.02608556967268</v>
      </c>
      <c r="K357" s="39" t="n">
        <f aca="false">IF(G357="","",MAX(0,G357-J357/100))</f>
        <v>0.351182443272345</v>
      </c>
      <c r="L357" s="39" t="n">
        <f aca="false">IF(G357="","",MIN(1,G357+J357/100))</f>
        <v>0.411704154665799</v>
      </c>
      <c r="M357" s="21" t="n">
        <f aca="false">ROUND(Q357*S357,0)</f>
        <v>12</v>
      </c>
      <c r="N357" s="21" t="n">
        <f aca="false">ROUND(SQRT((F357*J357/100)^2+(G357*M357)^2),0)</f>
        <v>7</v>
      </c>
      <c r="P357" s="41" t="n">
        <v>-14.4695029125504</v>
      </c>
      <c r="Q357" s="42" t="n">
        <v>194</v>
      </c>
      <c r="R357" s="43" t="n">
        <f aca="false">MAX(0,MIN(1,P357/100+$D$5))</f>
        <v>0.38187217356937</v>
      </c>
      <c r="S357" s="43" t="n">
        <v>0.0610405690258335</v>
      </c>
      <c r="T357" s="44" t="s">
        <v>90</v>
      </c>
    </row>
    <row r="358" customFormat="false" ht="15" hidden="false" customHeight="false" outlineLevel="0" collapsed="false">
      <c r="A358" s="38" t="s">
        <v>344</v>
      </c>
      <c r="B358" s="38" t="s">
        <v>497</v>
      </c>
      <c r="C358" s="38" t="s">
        <v>498</v>
      </c>
      <c r="D358" s="21" t="n">
        <f aca="false">ROUND(Q358*R358,0)</f>
        <v>286</v>
      </c>
      <c r="E358" s="21" t="n">
        <f aca="false">ROUND(Q358,0)-D358</f>
        <v>390</v>
      </c>
      <c r="F358" s="21" t="n">
        <f aca="false">IF(COUNTA(D358:E358)=0,"",SUM(D358:E358))</f>
        <v>676</v>
      </c>
      <c r="G358" s="39" t="n">
        <f aca="false">IF(OR(F358="",F358=0),"",D358/F358)</f>
        <v>0.423076923076923</v>
      </c>
      <c r="H358" s="39" t="n">
        <f aca="false">IF(OR(F358="",F358=0),"",E358/F358)</f>
        <v>0.576923076923077</v>
      </c>
      <c r="I358" s="38" t="s">
        <v>89</v>
      </c>
      <c r="J358" s="40" t="n">
        <v>3.02608556967268</v>
      </c>
      <c r="K358" s="39" t="n">
        <f aca="false">IF(G358="","",MAX(0,G358-J358/100))</f>
        <v>0.392816067380196</v>
      </c>
      <c r="L358" s="39" t="n">
        <f aca="false">IF(G358="","",MIN(1,G358+J358/100))</f>
        <v>0.45333777877365</v>
      </c>
      <c r="M358" s="21" t="n">
        <f aca="false">ROUND(Q358*S358,0)</f>
        <v>41</v>
      </c>
      <c r="N358" s="21" t="n">
        <f aca="false">ROUND(SQRT((F358*J358/100)^2+(G358*M358)^2),0)</f>
        <v>27</v>
      </c>
      <c r="P358" s="41" t="n">
        <v>-10.2955267794292</v>
      </c>
      <c r="Q358" s="42" t="n">
        <v>676</v>
      </c>
      <c r="R358" s="43" t="n">
        <f aca="false">MAX(0,MIN(1,P358/100+$D$5))</f>
        <v>0.423611934900582</v>
      </c>
      <c r="S358" s="43" t="n">
        <v>0.0610405690258335</v>
      </c>
      <c r="T358" s="44" t="s">
        <v>90</v>
      </c>
    </row>
    <row r="359" customFormat="false" ht="15" hidden="false" customHeight="false" outlineLevel="0" collapsed="false">
      <c r="A359" s="38" t="s">
        <v>344</v>
      </c>
      <c r="B359" s="38" t="s">
        <v>499</v>
      </c>
      <c r="C359" s="38" t="s">
        <v>500</v>
      </c>
      <c r="D359" s="21" t="n">
        <f aca="false">ROUND(Q359*R359,0)</f>
        <v>170</v>
      </c>
      <c r="E359" s="21" t="n">
        <f aca="false">ROUND(Q359,0)-D359</f>
        <v>217</v>
      </c>
      <c r="F359" s="21" t="n">
        <f aca="false">IF(COUNTA(D359:E359)=0,"",SUM(D359:E359))</f>
        <v>387</v>
      </c>
      <c r="G359" s="39" t="n">
        <f aca="false">IF(OR(F359="",F359=0),"",D359/F359)</f>
        <v>0.439276485788114</v>
      </c>
      <c r="H359" s="39" t="n">
        <f aca="false">IF(OR(F359="",F359=0),"",E359/F359)</f>
        <v>0.560723514211886</v>
      </c>
      <c r="I359" s="38" t="s">
        <v>89</v>
      </c>
      <c r="J359" s="40" t="n">
        <v>3.02608556967268</v>
      </c>
      <c r="K359" s="39" t="n">
        <f aca="false">IF(G359="","",MAX(0,G359-J359/100))</f>
        <v>0.409015630091387</v>
      </c>
      <c r="L359" s="39" t="n">
        <f aca="false">IF(G359="","",MIN(1,G359+J359/100))</f>
        <v>0.469537341484841</v>
      </c>
      <c r="M359" s="21" t="n">
        <f aca="false">ROUND(Q359*S359,0)</f>
        <v>24</v>
      </c>
      <c r="N359" s="21" t="n">
        <f aca="false">ROUND(SQRT((F359*J359/100)^2+(G359*M359)^2),0)</f>
        <v>16</v>
      </c>
      <c r="P359" s="41" t="n">
        <v>-8.61085002479031</v>
      </c>
      <c r="Q359" s="42" t="n">
        <v>387</v>
      </c>
      <c r="R359" s="43" t="n">
        <f aca="false">MAX(0,MIN(1,P359/100+$D$5))</f>
        <v>0.440458702446971</v>
      </c>
      <c r="S359" s="43" t="n">
        <v>0.0610405690258335</v>
      </c>
      <c r="T359" s="44" t="s">
        <v>90</v>
      </c>
    </row>
    <row r="360" customFormat="false" ht="15" hidden="false" customHeight="false" outlineLevel="0" collapsed="false">
      <c r="A360" s="38" t="s">
        <v>344</v>
      </c>
      <c r="B360" s="38" t="s">
        <v>501</v>
      </c>
      <c r="C360" s="38" t="s">
        <v>502</v>
      </c>
      <c r="D360" s="21" t="n">
        <f aca="false">ROUND(Q360*R360,0)</f>
        <v>265</v>
      </c>
      <c r="E360" s="21" t="n">
        <f aca="false">ROUND(Q360,0)-D360</f>
        <v>296</v>
      </c>
      <c r="F360" s="21" t="n">
        <f aca="false">IF(COUNTA(D360:E360)=0,"",SUM(D360:E360))</f>
        <v>561</v>
      </c>
      <c r="G360" s="39" t="n">
        <f aca="false">IF(OR(F360="",F360=0),"",D360/F360)</f>
        <v>0.472370766488414</v>
      </c>
      <c r="H360" s="39" t="n">
        <f aca="false">IF(OR(F360="",F360=0),"",E360/F360)</f>
        <v>0.527629233511586</v>
      </c>
      <c r="I360" s="38" t="s">
        <v>89</v>
      </c>
      <c r="J360" s="40" t="n">
        <v>3.02608556967268</v>
      </c>
      <c r="K360" s="39" t="n">
        <f aca="false">IF(G360="","",MAX(0,G360-J360/100))</f>
        <v>0.442109910791687</v>
      </c>
      <c r="L360" s="39" t="n">
        <f aca="false">IF(G360="","",MIN(1,G360+J360/100))</f>
        <v>0.50263162218514</v>
      </c>
      <c r="M360" s="21" t="n">
        <f aca="false">ROUND(Q360*S360,0)</f>
        <v>34</v>
      </c>
      <c r="N360" s="21" t="n">
        <f aca="false">ROUND(SQRT((F360*J360/100)^2+(G360*M360)^2),0)</f>
        <v>23</v>
      </c>
      <c r="P360" s="41" t="n">
        <v>-5.35858335364406</v>
      </c>
      <c r="Q360" s="42" t="n">
        <v>561</v>
      </c>
      <c r="R360" s="43" t="n">
        <f aca="false">MAX(0,MIN(1,P360/100+$D$5))</f>
        <v>0.472981369158434</v>
      </c>
      <c r="S360" s="43" t="n">
        <v>0.0610405690258335</v>
      </c>
      <c r="T360" s="44" t="s">
        <v>90</v>
      </c>
    </row>
    <row r="361" customFormat="false" ht="15" hidden="false" customHeight="false" outlineLevel="0" collapsed="false">
      <c r="A361" s="38" t="s">
        <v>344</v>
      </c>
      <c r="B361" s="38" t="s">
        <v>503</v>
      </c>
      <c r="C361" s="38" t="s">
        <v>504</v>
      </c>
      <c r="D361" s="21" t="n">
        <f aca="false">ROUND(Q361*R361,0)</f>
        <v>277</v>
      </c>
      <c r="E361" s="21" t="n">
        <f aca="false">ROUND(Q361,0)-D361</f>
        <v>552</v>
      </c>
      <c r="F361" s="21" t="n">
        <f aca="false">IF(COUNTA(D361:E361)=0,"",SUM(D361:E361))</f>
        <v>829</v>
      </c>
      <c r="G361" s="39" t="n">
        <f aca="false">IF(OR(F361="",F361=0),"",D361/F361)</f>
        <v>0.334137515078408</v>
      </c>
      <c r="H361" s="39" t="n">
        <f aca="false">IF(OR(F361="",F361=0),"",E361/F361)</f>
        <v>0.665862484921592</v>
      </c>
      <c r="I361" s="38" t="s">
        <v>89</v>
      </c>
      <c r="J361" s="40" t="n">
        <v>1.8085538155628</v>
      </c>
      <c r="K361" s="39" t="n">
        <f aca="false">IF(G361="","",MAX(0,G361-J361/100))</f>
        <v>0.31605197692278</v>
      </c>
      <c r="L361" s="39" t="n">
        <f aca="false">IF(G361="","",MIN(1,G361+J361/100))</f>
        <v>0.352223053234036</v>
      </c>
      <c r="M361" s="21" t="n">
        <f aca="false">ROUND(Q361*S361,0)</f>
        <v>41</v>
      </c>
      <c r="N361" s="21" t="n">
        <f aca="false">ROUND(SQRT((F361*J361/100)^2+(G361*M361)^2),0)</f>
        <v>20</v>
      </c>
      <c r="P361" s="41" t="n">
        <v>-19.2294081142694</v>
      </c>
      <c r="Q361" s="42" t="n">
        <v>829</v>
      </c>
      <c r="R361" s="43" t="n">
        <f aca="false">MAX(0,MIN(1,P361/100+$D$5))</f>
        <v>0.334273121552181</v>
      </c>
      <c r="S361" s="43" t="n">
        <v>0.0500321312575726</v>
      </c>
      <c r="T361" s="44" t="s">
        <v>99</v>
      </c>
    </row>
    <row r="362" customFormat="false" ht="15" hidden="false" customHeight="false" outlineLevel="0" collapsed="false">
      <c r="A362" s="38" t="s">
        <v>344</v>
      </c>
      <c r="B362" s="38" t="s">
        <v>503</v>
      </c>
      <c r="C362" s="38" t="s">
        <v>505</v>
      </c>
      <c r="D362" s="21" t="n">
        <f aca="false">ROUND(Q362*R362,0)</f>
        <v>216</v>
      </c>
      <c r="E362" s="21" t="n">
        <f aca="false">ROUND(Q362,0)-D362</f>
        <v>372</v>
      </c>
      <c r="F362" s="21" t="n">
        <f aca="false">IF(COUNTA(D362:E362)=0,"",SUM(D362:E362))</f>
        <v>588</v>
      </c>
      <c r="G362" s="39" t="n">
        <f aca="false">IF(OR(F362="",F362=0),"",D362/F362)</f>
        <v>0.36734693877551</v>
      </c>
      <c r="H362" s="39" t="n">
        <f aca="false">IF(OR(F362="",F362=0),"",E362/F362)</f>
        <v>0.63265306122449</v>
      </c>
      <c r="I362" s="38" t="s">
        <v>89</v>
      </c>
      <c r="J362" s="40" t="n">
        <v>3.02608556967268</v>
      </c>
      <c r="K362" s="39" t="n">
        <f aca="false">IF(G362="","",MAX(0,G362-J362/100))</f>
        <v>0.337086083078783</v>
      </c>
      <c r="L362" s="39" t="n">
        <f aca="false">IF(G362="","",MIN(1,G362+J362/100))</f>
        <v>0.397607794472237</v>
      </c>
      <c r="M362" s="21" t="n">
        <f aca="false">ROUND(Q362*S362,0)</f>
        <v>36</v>
      </c>
      <c r="N362" s="21" t="n">
        <f aca="false">ROUND(SQRT((F362*J362/100)^2+(G362*M362)^2),0)</f>
        <v>22</v>
      </c>
      <c r="P362" s="41" t="n">
        <v>-15.982143867655</v>
      </c>
      <c r="Q362" s="42" t="n">
        <v>588</v>
      </c>
      <c r="R362" s="43" t="n">
        <f aca="false">MAX(0,MIN(1,P362/100+$D$5))</f>
        <v>0.366745764018324</v>
      </c>
      <c r="S362" s="43" t="n">
        <v>0.0610405690258335</v>
      </c>
      <c r="T362" s="44" t="s">
        <v>90</v>
      </c>
    </row>
    <row r="363" customFormat="false" ht="15" hidden="false" customHeight="false" outlineLevel="0" collapsed="false">
      <c r="A363" s="38" t="s">
        <v>344</v>
      </c>
      <c r="B363" s="38" t="s">
        <v>503</v>
      </c>
      <c r="C363" s="38" t="s">
        <v>506</v>
      </c>
      <c r="D363" s="21" t="n">
        <f aca="false">ROUND(Q363*R363,0)</f>
        <v>166</v>
      </c>
      <c r="E363" s="21" t="n">
        <f aca="false">ROUND(Q363,0)-D363</f>
        <v>343</v>
      </c>
      <c r="F363" s="21" t="n">
        <f aca="false">IF(COUNTA(D363:E363)=0,"",SUM(D363:E363))</f>
        <v>509</v>
      </c>
      <c r="G363" s="39" t="n">
        <f aca="false">IF(OR(F363="",F363=0),"",D363/F363)</f>
        <v>0.326129666011788</v>
      </c>
      <c r="H363" s="39" t="n">
        <f aca="false">IF(OR(F363="",F363=0),"",E363/F363)</f>
        <v>0.673870333988212</v>
      </c>
      <c r="I363" s="38" t="s">
        <v>89</v>
      </c>
      <c r="J363" s="40" t="n">
        <v>3.02608556967268</v>
      </c>
      <c r="K363" s="39" t="n">
        <f aca="false">IF(G363="","",MAX(0,G363-J363/100))</f>
        <v>0.295868810315061</v>
      </c>
      <c r="L363" s="39" t="n">
        <f aca="false">IF(G363="","",MIN(1,G363+J363/100))</f>
        <v>0.356390521708515</v>
      </c>
      <c r="M363" s="21" t="n">
        <f aca="false">ROUND(Q363*S363,0)</f>
        <v>31</v>
      </c>
      <c r="N363" s="21" t="n">
        <f aca="false">ROUND(SQRT((F363*J363/100)^2+(G363*M363)^2),0)</f>
        <v>18</v>
      </c>
      <c r="P363" s="41" t="n">
        <v>-19.9853857726086</v>
      </c>
      <c r="Q363" s="42" t="n">
        <v>509</v>
      </c>
      <c r="R363" s="43" t="n">
        <f aca="false">MAX(0,MIN(1,P363/100+$D$5))</f>
        <v>0.326713344968788</v>
      </c>
      <c r="S363" s="43" t="n">
        <v>0.0610405690258335</v>
      </c>
      <c r="T363" s="44" t="s">
        <v>90</v>
      </c>
    </row>
    <row r="364" customFormat="false" ht="15" hidden="false" customHeight="false" outlineLevel="0" collapsed="false">
      <c r="A364" s="38" t="s">
        <v>344</v>
      </c>
      <c r="B364" s="38" t="s">
        <v>503</v>
      </c>
      <c r="C364" s="38" t="s">
        <v>507</v>
      </c>
      <c r="D364" s="21" t="n">
        <f aca="false">ROUND(Q364*R364,0)</f>
        <v>160</v>
      </c>
      <c r="E364" s="21" t="n">
        <f aca="false">ROUND(Q364,0)-D364</f>
        <v>315</v>
      </c>
      <c r="F364" s="21" t="n">
        <f aca="false">IF(COUNTA(D364:E364)=0,"",SUM(D364:E364))</f>
        <v>475</v>
      </c>
      <c r="G364" s="39" t="n">
        <f aca="false">IF(OR(F364="",F364=0),"",D364/F364)</f>
        <v>0.336842105263158</v>
      </c>
      <c r="H364" s="39" t="n">
        <f aca="false">IF(OR(F364="",F364=0),"",E364/F364)</f>
        <v>0.663157894736842</v>
      </c>
      <c r="I364" s="38" t="s">
        <v>89</v>
      </c>
      <c r="J364" s="40" t="n">
        <v>3.02608556967268</v>
      </c>
      <c r="K364" s="39" t="n">
        <f aca="false">IF(G364="","",MAX(0,G364-J364/100))</f>
        <v>0.306581249566431</v>
      </c>
      <c r="L364" s="39" t="n">
        <f aca="false">IF(G364="","",MIN(1,G364+J364/100))</f>
        <v>0.367102960959885</v>
      </c>
      <c r="M364" s="21" t="n">
        <f aca="false">ROUND(Q364*S364,0)</f>
        <v>29</v>
      </c>
      <c r="N364" s="21" t="n">
        <f aca="false">ROUND(SQRT((F364*J364/100)^2+(G364*M364)^2),0)</f>
        <v>17</v>
      </c>
      <c r="P364" s="41" t="n">
        <v>-18.9826917361534</v>
      </c>
      <c r="Q364" s="42" t="n">
        <v>475</v>
      </c>
      <c r="R364" s="43" t="n">
        <f aca="false">MAX(0,MIN(1,P364/100+$D$5))</f>
        <v>0.336740285333341</v>
      </c>
      <c r="S364" s="43" t="n">
        <v>0.0610405690258335</v>
      </c>
      <c r="T364" s="44" t="s">
        <v>90</v>
      </c>
    </row>
    <row r="365" customFormat="false" ht="15" hidden="false" customHeight="false" outlineLevel="0" collapsed="false">
      <c r="A365" s="38" t="s">
        <v>344</v>
      </c>
      <c r="B365" s="38" t="s">
        <v>503</v>
      </c>
      <c r="C365" s="38" t="s">
        <v>508</v>
      </c>
      <c r="D365" s="21" t="n">
        <f aca="false">ROUND(Q365*R365,0)</f>
        <v>290</v>
      </c>
      <c r="E365" s="21" t="n">
        <f aca="false">ROUND(Q365,0)-D365</f>
        <v>434</v>
      </c>
      <c r="F365" s="21" t="n">
        <f aca="false">IF(COUNTA(D365:E365)=0,"",SUM(D365:E365))</f>
        <v>724</v>
      </c>
      <c r="G365" s="39" t="n">
        <f aca="false">IF(OR(F365="",F365=0),"",D365/F365)</f>
        <v>0.400552486187845</v>
      </c>
      <c r="H365" s="39" t="n">
        <f aca="false">IF(OR(F365="",F365=0),"",E365/F365)</f>
        <v>0.599447513812155</v>
      </c>
      <c r="I365" s="38" t="s">
        <v>89</v>
      </c>
      <c r="J365" s="40" t="n">
        <v>3.02608556967268</v>
      </c>
      <c r="K365" s="39" t="n">
        <f aca="false">IF(G365="","",MAX(0,G365-J365/100))</f>
        <v>0.370291630491118</v>
      </c>
      <c r="L365" s="39" t="n">
        <f aca="false">IF(G365="","",MIN(1,G365+J365/100))</f>
        <v>0.430813341884572</v>
      </c>
      <c r="M365" s="21" t="n">
        <f aca="false">ROUND(Q365*S365,0)</f>
        <v>44</v>
      </c>
      <c r="N365" s="21" t="n">
        <f aca="false">ROUND(SQRT((F365*J365/100)^2+(G365*M365)^2),0)</f>
        <v>28</v>
      </c>
      <c r="P365" s="41" t="n">
        <v>-12.5510561761835</v>
      </c>
      <c r="Q365" s="42" t="n">
        <v>724</v>
      </c>
      <c r="R365" s="43" t="n">
        <f aca="false">MAX(0,MIN(1,P365/100+$D$5))</f>
        <v>0.40105664093304</v>
      </c>
      <c r="S365" s="43" t="n">
        <v>0.0610405690258335</v>
      </c>
      <c r="T365" s="44" t="s">
        <v>90</v>
      </c>
    </row>
    <row r="366" customFormat="false" ht="15" hidden="false" customHeight="false" outlineLevel="0" collapsed="false">
      <c r="A366" s="38" t="s">
        <v>344</v>
      </c>
      <c r="B366" s="38" t="s">
        <v>509</v>
      </c>
      <c r="C366" s="38" t="s">
        <v>510</v>
      </c>
      <c r="D366" s="21" t="n">
        <f aca="false">ROUND(Q366*R366,0)</f>
        <v>962</v>
      </c>
      <c r="E366" s="21" t="n">
        <f aca="false">ROUND(Q366,0)-D366</f>
        <v>854</v>
      </c>
      <c r="F366" s="21" t="n">
        <f aca="false">IF(COUNTA(D366:E366)=0,"",SUM(D366:E366))</f>
        <v>1816</v>
      </c>
      <c r="G366" s="39" t="n">
        <f aca="false">IF(OR(F366="",F366=0),"",D366/F366)</f>
        <v>0.529735682819383</v>
      </c>
      <c r="H366" s="39" t="n">
        <f aca="false">IF(OR(F366="",F366=0),"",E366/F366)</f>
        <v>0.470264317180617</v>
      </c>
      <c r="I366" s="38" t="s">
        <v>89</v>
      </c>
      <c r="J366" s="40" t="n">
        <v>1.24911041755021</v>
      </c>
      <c r="K366" s="39" t="n">
        <f aca="false">IF(G366="","",MAX(0,G366-J366/100))</f>
        <v>0.517244578643881</v>
      </c>
      <c r="L366" s="39" t="n">
        <f aca="false">IF(G366="","",MIN(1,G366+J366/100))</f>
        <v>0.542226786994885</v>
      </c>
      <c r="M366" s="21" t="n">
        <f aca="false">ROUND(Q366*S366,0)</f>
        <v>236</v>
      </c>
      <c r="N366" s="21" t="n">
        <f aca="false">ROUND(SQRT((F366*J366/100)^2+(G366*M366)^2),0)</f>
        <v>127</v>
      </c>
      <c r="P366" s="41" t="n">
        <v>0.344129660247556</v>
      </c>
      <c r="Q366" s="42" t="n">
        <v>1816</v>
      </c>
      <c r="R366" s="43" t="n">
        <f aca="false">MAX(0,MIN(1,P366/100+$D$5))</f>
        <v>0.53000849929735</v>
      </c>
      <c r="S366" s="43" t="n">
        <v>0.130204099606216</v>
      </c>
      <c r="T366" s="44" t="s">
        <v>192</v>
      </c>
    </row>
    <row r="367" customFormat="false" ht="15" hidden="false" customHeight="false" outlineLevel="0" collapsed="false">
      <c r="A367" s="38" t="s">
        <v>344</v>
      </c>
      <c r="B367" s="38" t="s">
        <v>509</v>
      </c>
      <c r="C367" s="38" t="s">
        <v>511</v>
      </c>
      <c r="D367" s="21" t="n">
        <f aca="false">ROUND(Q367*R367,0)</f>
        <v>294</v>
      </c>
      <c r="E367" s="21" t="n">
        <f aca="false">ROUND(Q367,0)-D367</f>
        <v>276</v>
      </c>
      <c r="F367" s="21" t="n">
        <f aca="false">IF(COUNTA(D367:E367)=0,"",SUM(D367:E367))</f>
        <v>570</v>
      </c>
      <c r="G367" s="39" t="n">
        <f aca="false">IF(OR(F367="",F367=0),"",D367/F367)</f>
        <v>0.515789473684211</v>
      </c>
      <c r="H367" s="39" t="n">
        <f aca="false">IF(OR(F367="",F367=0),"",E367/F367)</f>
        <v>0.48421052631579</v>
      </c>
      <c r="I367" s="38" t="s">
        <v>190</v>
      </c>
      <c r="J367" s="40" t="n">
        <v>3.02608556967268</v>
      </c>
      <c r="K367" s="39" t="n">
        <f aca="false">IF(G367="","",MAX(0,G367-J367/100))</f>
        <v>0.485528617987484</v>
      </c>
      <c r="L367" s="39" t="n">
        <f aca="false">IF(G367="","",MIN(1,G367+J367/100))</f>
        <v>0.546050329380937</v>
      </c>
      <c r="M367" s="21" t="n">
        <f aca="false">ROUND(Q367*S367,0)</f>
        <v>35</v>
      </c>
      <c r="N367" s="21" t="n">
        <f aca="false">ROUND(SQRT((F367*J367/100)^2+(G367*M367)^2),0)</f>
        <v>25</v>
      </c>
      <c r="P367" s="41" t="n">
        <v>-1.09383936452444</v>
      </c>
      <c r="Q367" s="42" t="n">
        <v>570.288684389911</v>
      </c>
      <c r="R367" s="43" t="n">
        <f aca="false">MAX(0,MIN(1,P367/100+$D$5))</f>
        <v>0.51562880904963</v>
      </c>
      <c r="S367" s="43" t="n">
        <v>0.0610405690258335</v>
      </c>
      <c r="T367" s="44" t="s">
        <v>90</v>
      </c>
    </row>
    <row r="368" customFormat="false" ht="15" hidden="false" customHeight="false" outlineLevel="0" collapsed="false">
      <c r="A368" s="38" t="s">
        <v>344</v>
      </c>
      <c r="B368" s="38" t="s">
        <v>509</v>
      </c>
      <c r="C368" s="38" t="s">
        <v>512</v>
      </c>
      <c r="D368" s="21" t="n">
        <f aca="false">ROUND(Q368*R368,0)</f>
        <v>719</v>
      </c>
      <c r="E368" s="21" t="n">
        <f aca="false">ROUND(Q368,0)-D368</f>
        <v>628</v>
      </c>
      <c r="F368" s="21" t="n">
        <f aca="false">IF(COUNTA(D368:E368)=0,"",SUM(D368:E368))</f>
        <v>1347</v>
      </c>
      <c r="G368" s="39" t="n">
        <f aca="false">IF(OR(F368="",F368=0),"",D368/F368)</f>
        <v>0.533778767631774</v>
      </c>
      <c r="H368" s="39" t="n">
        <f aca="false">IF(OR(F368="",F368=0),"",E368/F368)</f>
        <v>0.466221232368226</v>
      </c>
      <c r="I368" s="38" t="s">
        <v>89</v>
      </c>
      <c r="J368" s="40" t="n">
        <v>1.24911041755021</v>
      </c>
      <c r="K368" s="39" t="n">
        <f aca="false">IF(G368="","",MAX(0,G368-J368/100))</f>
        <v>0.521287663456272</v>
      </c>
      <c r="L368" s="39" t="n">
        <f aca="false">IF(G368="","",MIN(1,G368+J368/100))</f>
        <v>0.546269871807277</v>
      </c>
      <c r="M368" s="21" t="n">
        <f aca="false">ROUND(Q368*S368,0)</f>
        <v>175</v>
      </c>
      <c r="N368" s="21" t="n">
        <f aca="false">ROUND(SQRT((F368*J368/100)^2+(G368*M368)^2),0)</f>
        <v>95</v>
      </c>
      <c r="P368" s="41" t="n">
        <v>0.697243503121775</v>
      </c>
      <c r="Q368" s="42" t="n">
        <v>1347</v>
      </c>
      <c r="R368" s="43" t="n">
        <f aca="false">MAX(0,MIN(1,P368/100+$D$5))</f>
        <v>0.533539637726092</v>
      </c>
      <c r="S368" s="43" t="n">
        <v>0.130204099606216</v>
      </c>
      <c r="T368" s="44" t="s">
        <v>192</v>
      </c>
    </row>
    <row r="369" customFormat="false" ht="15" hidden="false" customHeight="false" outlineLevel="0" collapsed="false">
      <c r="A369" s="38" t="s">
        <v>344</v>
      </c>
      <c r="B369" s="38" t="s">
        <v>509</v>
      </c>
      <c r="C369" s="38" t="s">
        <v>513</v>
      </c>
      <c r="D369" s="21" t="n">
        <f aca="false">ROUND(Q369*R369,0)</f>
        <v>223</v>
      </c>
      <c r="E369" s="21" t="n">
        <f aca="false">ROUND(Q369,0)-D369</f>
        <v>208</v>
      </c>
      <c r="F369" s="21" t="n">
        <f aca="false">IF(COUNTA(D369:E369)=0,"",SUM(D369:E369))</f>
        <v>431</v>
      </c>
      <c r="G369" s="39" t="n">
        <f aca="false">IF(OR(F369="",F369=0),"",D369/F369)</f>
        <v>0.517401392111369</v>
      </c>
      <c r="H369" s="39" t="n">
        <f aca="false">IF(OR(F369="",F369=0),"",E369/F369)</f>
        <v>0.482598607888631</v>
      </c>
      <c r="I369" s="38" t="s">
        <v>190</v>
      </c>
      <c r="J369" s="40" t="n">
        <v>3.02608556967268</v>
      </c>
      <c r="K369" s="39" t="n">
        <f aca="false">IF(G369="","",MAX(0,G369-J369/100))</f>
        <v>0.487140536414642</v>
      </c>
      <c r="L369" s="39" t="n">
        <f aca="false">IF(G369="","",MIN(1,G369+J369/100))</f>
        <v>0.547662247808096</v>
      </c>
      <c r="M369" s="21" t="n">
        <f aca="false">ROUND(Q369*S369,0)</f>
        <v>26</v>
      </c>
      <c r="N369" s="21" t="n">
        <f aca="false">ROUND(SQRT((F369*J369/100)^2+(G369*M369)^2),0)</f>
        <v>19</v>
      </c>
      <c r="P369" s="41" t="n">
        <v>-0.859836217638564</v>
      </c>
      <c r="Q369" s="42" t="n">
        <v>431.220177232447</v>
      </c>
      <c r="R369" s="43" t="n">
        <f aca="false">MAX(0,MIN(1,P369/100+$D$5))</f>
        <v>0.517968840518489</v>
      </c>
      <c r="S369" s="43" t="n">
        <v>0.0610405690258335</v>
      </c>
      <c r="T369" s="44" t="s">
        <v>90</v>
      </c>
    </row>
    <row r="370" customFormat="false" ht="15" hidden="false" customHeight="false" outlineLevel="0" collapsed="false">
      <c r="A370" s="38" t="s">
        <v>344</v>
      </c>
      <c r="B370" s="38" t="s">
        <v>514</v>
      </c>
      <c r="C370" s="38" t="s">
        <v>515</v>
      </c>
      <c r="D370" s="21" t="n">
        <f aca="false">ROUND(Q370*R370,0)</f>
        <v>314</v>
      </c>
      <c r="E370" s="21" t="n">
        <f aca="false">ROUND(Q370,0)-D370</f>
        <v>410</v>
      </c>
      <c r="F370" s="21" t="n">
        <f aca="false">IF(COUNTA(D370:E370)=0,"",SUM(D370:E370))</f>
        <v>724</v>
      </c>
      <c r="G370" s="39" t="n">
        <f aca="false">IF(OR(F370="",F370=0),"",D370/F370)</f>
        <v>0.433701657458564</v>
      </c>
      <c r="H370" s="39" t="n">
        <f aca="false">IF(OR(F370="",F370=0),"",E370/F370)</f>
        <v>0.566298342541437</v>
      </c>
      <c r="I370" s="38" t="s">
        <v>89</v>
      </c>
      <c r="J370" s="40" t="n">
        <v>3.02608556967268</v>
      </c>
      <c r="K370" s="39" t="n">
        <f aca="false">IF(G370="","",MAX(0,G370-J370/100))</f>
        <v>0.403440801761837</v>
      </c>
      <c r="L370" s="39" t="n">
        <f aca="false">IF(G370="","",MIN(1,G370+J370/100))</f>
        <v>0.46396251315529</v>
      </c>
      <c r="M370" s="21" t="n">
        <f aca="false">ROUND(Q370*S370,0)</f>
        <v>44</v>
      </c>
      <c r="N370" s="21" t="n">
        <f aca="false">ROUND(SQRT((F370*J370/100)^2+(G370*M370)^2),0)</f>
        <v>29</v>
      </c>
      <c r="P370" s="41" t="n">
        <v>-9.3379183654795</v>
      </c>
      <c r="Q370" s="42" t="n">
        <v>724</v>
      </c>
      <c r="R370" s="43" t="n">
        <f aca="false">MAX(0,MIN(1,P370/100+$D$5))</f>
        <v>0.433188019040079</v>
      </c>
      <c r="S370" s="43" t="n">
        <v>0.0610405690258335</v>
      </c>
      <c r="T370" s="44" t="s">
        <v>90</v>
      </c>
    </row>
    <row r="371" customFormat="false" ht="15" hidden="false" customHeight="false" outlineLevel="0" collapsed="false">
      <c r="A371" s="38" t="s">
        <v>344</v>
      </c>
      <c r="B371" s="38" t="s">
        <v>319</v>
      </c>
      <c r="C371" s="38" t="s">
        <v>516</v>
      </c>
      <c r="D371" s="21" t="n">
        <f aca="false">ROUND(Q371*R371,0)</f>
        <v>677</v>
      </c>
      <c r="E371" s="21" t="n">
        <f aca="false">ROUND(Q371,0)-D371</f>
        <v>1121</v>
      </c>
      <c r="F371" s="21" t="n">
        <f aca="false">IF(COUNTA(D371:E371)=0,"",SUM(D371:E371))</f>
        <v>1798</v>
      </c>
      <c r="G371" s="39" t="n">
        <f aca="false">IF(OR(F371="",F371=0),"",D371/F371)</f>
        <v>0.376529477196885</v>
      </c>
      <c r="H371" s="39" t="n">
        <f aca="false">IF(OR(F371="",F371=0),"",E371/F371)</f>
        <v>0.623470522803115</v>
      </c>
      <c r="I371" s="38" t="s">
        <v>89</v>
      </c>
      <c r="J371" s="40" t="n">
        <v>1.24911041755021</v>
      </c>
      <c r="K371" s="39" t="n">
        <f aca="false">IF(G371="","",MAX(0,G371-J371/100))</f>
        <v>0.364038373021383</v>
      </c>
      <c r="L371" s="39" t="n">
        <f aca="false">IF(G371="","",MIN(1,G371+J371/100))</f>
        <v>0.389020581372388</v>
      </c>
      <c r="M371" s="21" t="n">
        <f aca="false">ROUND(Q371*S371,0)</f>
        <v>234</v>
      </c>
      <c r="N371" s="21" t="n">
        <f aca="false">ROUND(SQRT((F371*J371/100)^2+(G371*M371)^2),0)</f>
        <v>91</v>
      </c>
      <c r="P371" s="41" t="n">
        <v>-15.0311163809576</v>
      </c>
      <c r="Q371" s="42" t="n">
        <v>1798</v>
      </c>
      <c r="R371" s="43" t="n">
        <f aca="false">MAX(0,MIN(1,P371/100+$D$5))</f>
        <v>0.376256038885298</v>
      </c>
      <c r="S371" s="43" t="n">
        <v>0.130204099606216</v>
      </c>
      <c r="T371" s="44" t="s">
        <v>192</v>
      </c>
    </row>
    <row r="372" customFormat="false" ht="15" hidden="false" customHeight="false" outlineLevel="0" collapsed="false">
      <c r="A372" s="38" t="s">
        <v>344</v>
      </c>
      <c r="B372" s="38" t="s">
        <v>319</v>
      </c>
      <c r="C372" s="38" t="s">
        <v>517</v>
      </c>
      <c r="D372" s="21" t="n">
        <f aca="false">ROUND(Q372*R372,0)</f>
        <v>416</v>
      </c>
      <c r="E372" s="21" t="n">
        <f aca="false">ROUND(Q372,0)-D372</f>
        <v>702</v>
      </c>
      <c r="F372" s="21" t="n">
        <f aca="false">IF(COUNTA(D372:E372)=0,"",SUM(D372:E372))</f>
        <v>1118</v>
      </c>
      <c r="G372" s="39" t="n">
        <f aca="false">IF(OR(F372="",F372=0),"",D372/F372)</f>
        <v>0.372093023255814</v>
      </c>
      <c r="H372" s="39" t="n">
        <f aca="false">IF(OR(F372="",F372=0),"",E372/F372)</f>
        <v>0.627906976744186</v>
      </c>
      <c r="I372" s="38" t="s">
        <v>518</v>
      </c>
      <c r="J372" s="40" t="n">
        <v>1.8085538155628</v>
      </c>
      <c r="K372" s="39" t="n">
        <f aca="false">IF(G372="","",MAX(0,G372-J372/100))</f>
        <v>0.354007485100186</v>
      </c>
      <c r="L372" s="39" t="n">
        <f aca="false">IF(G372="","",MIN(1,G372+J372/100))</f>
        <v>0.390178561411442</v>
      </c>
      <c r="M372" s="21" t="n">
        <f aca="false">ROUND(Q372*S372,0)</f>
        <v>56</v>
      </c>
      <c r="N372" s="21" t="n">
        <f aca="false">ROUND(SQRT((F372*J372/100)^2+(G372*M372)^2),0)</f>
        <v>29</v>
      </c>
      <c r="P372" s="41" t="n">
        <v>-15.5023731462124</v>
      </c>
      <c r="Q372" s="42" t="n">
        <v>1118.45698924731</v>
      </c>
      <c r="R372" s="43" t="n">
        <f aca="false">MAX(0,MIN(1,P372/100+$D$5))</f>
        <v>0.37154347123275</v>
      </c>
      <c r="S372" s="43" t="n">
        <v>0.0500321312575726</v>
      </c>
      <c r="T372" s="44" t="s">
        <v>99</v>
      </c>
    </row>
    <row r="373" customFormat="false" ht="15" hidden="false" customHeight="false" outlineLevel="0" collapsed="false">
      <c r="A373" s="38" t="s">
        <v>344</v>
      </c>
      <c r="B373" s="38" t="s">
        <v>519</v>
      </c>
      <c r="C373" s="38" t="s">
        <v>519</v>
      </c>
      <c r="D373" s="21" t="n">
        <f aca="false">ROUND(Q373*R373,0)</f>
        <v>218</v>
      </c>
      <c r="E373" s="21" t="n">
        <f aca="false">ROUND(Q373,0)-D373</f>
        <v>196</v>
      </c>
      <c r="F373" s="21" t="n">
        <f aca="false">IF(COUNTA(D373:E373)=0,"",SUM(D373:E373))</f>
        <v>414</v>
      </c>
      <c r="G373" s="39" t="n">
        <f aca="false">IF(OR(F373="",F373=0),"",D373/F373)</f>
        <v>0.526570048309179</v>
      </c>
      <c r="H373" s="39" t="n">
        <f aca="false">IF(OR(F373="",F373=0),"",E373/F373)</f>
        <v>0.473429951690821</v>
      </c>
      <c r="I373" s="38" t="s">
        <v>89</v>
      </c>
      <c r="J373" s="40" t="n">
        <v>3.02608556967268</v>
      </c>
      <c r="K373" s="39" t="n">
        <f aca="false">IF(G373="","",MAX(0,G373-J373/100))</f>
        <v>0.496309192612452</v>
      </c>
      <c r="L373" s="39" t="n">
        <f aca="false">IF(G373="","",MIN(1,G373+J373/100))</f>
        <v>0.556830904005906</v>
      </c>
      <c r="M373" s="21" t="n">
        <f aca="false">ROUND(Q373*S373,0)</f>
        <v>25</v>
      </c>
      <c r="N373" s="21" t="n">
        <f aca="false">ROUND(SQRT((F373*J373/100)^2+(G373*M373)^2),0)</f>
        <v>18</v>
      </c>
      <c r="P373" s="41" t="n">
        <v>0.0608969394322613</v>
      </c>
      <c r="Q373" s="42" t="n">
        <v>414</v>
      </c>
      <c r="R373" s="43" t="n">
        <f aca="false">MAX(0,MIN(1,P373/100+$D$5))</f>
        <v>0.527176172089197</v>
      </c>
      <c r="S373" s="43" t="n">
        <v>0.0610405690258335</v>
      </c>
      <c r="T373" s="44" t="s">
        <v>90</v>
      </c>
    </row>
    <row r="374" customFormat="false" ht="15" hidden="false" customHeight="false" outlineLevel="0" collapsed="false">
      <c r="A374" s="38" t="s">
        <v>344</v>
      </c>
      <c r="B374" s="38" t="s">
        <v>520</v>
      </c>
      <c r="C374" s="38" t="s">
        <v>521</v>
      </c>
      <c r="D374" s="21" t="n">
        <f aca="false">ROUND(Q374*R374,0)</f>
        <v>465</v>
      </c>
      <c r="E374" s="21" t="n">
        <f aca="false">ROUND(Q374,0)-D374</f>
        <v>515</v>
      </c>
      <c r="F374" s="21" t="n">
        <f aca="false">IF(COUNTA(D374:E374)=0,"",SUM(D374:E374))</f>
        <v>980</v>
      </c>
      <c r="G374" s="39" t="n">
        <f aca="false">IF(OR(F374="",F374=0),"",D374/F374)</f>
        <v>0.474489795918367</v>
      </c>
      <c r="H374" s="39" t="n">
        <f aca="false">IF(OR(F374="",F374=0),"",E374/F374)</f>
        <v>0.525510204081633</v>
      </c>
      <c r="I374" s="38" t="s">
        <v>89</v>
      </c>
      <c r="J374" s="40" t="n">
        <v>1.8085538155628</v>
      </c>
      <c r="K374" s="39" t="n">
        <f aca="false">IF(G374="","",MAX(0,G374-J374/100))</f>
        <v>0.456404257762739</v>
      </c>
      <c r="L374" s="39" t="n">
        <f aca="false">IF(G374="","",MIN(1,G374+J374/100))</f>
        <v>0.492575334073995</v>
      </c>
      <c r="M374" s="21" t="n">
        <f aca="false">ROUND(Q374*S374,0)</f>
        <v>49</v>
      </c>
      <c r="N374" s="21" t="n">
        <f aca="false">ROUND(SQRT((F374*J374/100)^2+(G374*M374)^2),0)</f>
        <v>29</v>
      </c>
      <c r="P374" s="41" t="n">
        <v>-5.23390750932136</v>
      </c>
      <c r="Q374" s="42" t="n">
        <v>980</v>
      </c>
      <c r="R374" s="43" t="n">
        <f aca="false">MAX(0,MIN(1,P374/100+$D$5))</f>
        <v>0.474228127601661</v>
      </c>
      <c r="S374" s="43" t="n">
        <v>0.0500321312575726</v>
      </c>
      <c r="T374" s="44" t="s">
        <v>99</v>
      </c>
    </row>
    <row r="375" customFormat="false" ht="15" hidden="false" customHeight="false" outlineLevel="0" collapsed="false">
      <c r="A375" s="38" t="s">
        <v>344</v>
      </c>
      <c r="B375" s="38" t="s">
        <v>520</v>
      </c>
      <c r="C375" s="38" t="s">
        <v>522</v>
      </c>
      <c r="D375" s="21" t="n">
        <f aca="false">ROUND(Q375*R375,0)</f>
        <v>368</v>
      </c>
      <c r="E375" s="21" t="n">
        <f aca="false">ROUND(Q375,0)-D375</f>
        <v>477</v>
      </c>
      <c r="F375" s="21" t="n">
        <f aca="false">IF(COUNTA(D375:E375)=0,"",SUM(D375:E375))</f>
        <v>845</v>
      </c>
      <c r="G375" s="39" t="n">
        <f aca="false">IF(OR(F375="",F375=0),"",D375/F375)</f>
        <v>0.435502958579882</v>
      </c>
      <c r="H375" s="39" t="n">
        <f aca="false">IF(OR(F375="",F375=0),"",E375/F375)</f>
        <v>0.564497041420118</v>
      </c>
      <c r="I375" s="38" t="s">
        <v>89</v>
      </c>
      <c r="J375" s="40" t="n">
        <v>1.8085538155628</v>
      </c>
      <c r="K375" s="39" t="n">
        <f aca="false">IF(G375="","",MAX(0,G375-J375/100))</f>
        <v>0.417417420424254</v>
      </c>
      <c r="L375" s="39" t="n">
        <f aca="false">IF(G375="","",MIN(1,G375+J375/100))</f>
        <v>0.45358849673551</v>
      </c>
      <c r="M375" s="21" t="n">
        <f aca="false">ROUND(Q375*S375,0)</f>
        <v>42</v>
      </c>
      <c r="N375" s="21" t="n">
        <f aca="false">ROUND(SQRT((F375*J375/100)^2+(G375*M375)^2),0)</f>
        <v>24</v>
      </c>
      <c r="P375" s="41" t="n">
        <v>-9.0873547168522</v>
      </c>
      <c r="Q375" s="42" t="n">
        <v>845</v>
      </c>
      <c r="R375" s="43" t="n">
        <f aca="false">MAX(0,MIN(1,P375/100+$D$5))</f>
        <v>0.435693655526352</v>
      </c>
      <c r="S375" s="43" t="n">
        <v>0.0500321312575726</v>
      </c>
      <c r="T375" s="44" t="s">
        <v>99</v>
      </c>
    </row>
    <row r="376" customFormat="false" ht="15" hidden="false" customHeight="false" outlineLevel="0" collapsed="false">
      <c r="A376" s="38" t="s">
        <v>344</v>
      </c>
      <c r="B376" s="38" t="s">
        <v>520</v>
      </c>
      <c r="C376" s="38" t="s">
        <v>523</v>
      </c>
      <c r="D376" s="21" t="n">
        <f aca="false">ROUND(Q376*R376,0)</f>
        <v>486</v>
      </c>
      <c r="E376" s="21" t="n">
        <f aca="false">ROUND(Q376,0)-D376</f>
        <v>425</v>
      </c>
      <c r="F376" s="21" t="n">
        <f aca="false">IF(COUNTA(D376:E376)=0,"",SUM(D376:E376))</f>
        <v>911</v>
      </c>
      <c r="G376" s="39" t="n">
        <f aca="false">IF(OR(F376="",F376=0),"",D376/F376)</f>
        <v>0.533479692645445</v>
      </c>
      <c r="H376" s="39" t="n">
        <f aca="false">IF(OR(F376="",F376=0),"",E376/F376)</f>
        <v>0.466520307354555</v>
      </c>
      <c r="I376" s="38" t="s">
        <v>89</v>
      </c>
      <c r="J376" s="40" t="n">
        <v>1.8085538155628</v>
      </c>
      <c r="K376" s="39" t="n">
        <f aca="false">IF(G376="","",MAX(0,G376-J376/100))</f>
        <v>0.515394154489817</v>
      </c>
      <c r="L376" s="39" t="n">
        <f aca="false">IF(G376="","",MIN(1,G376+J376/100))</f>
        <v>0.551565230801073</v>
      </c>
      <c r="M376" s="21" t="n">
        <f aca="false">ROUND(Q376*S376,0)</f>
        <v>46</v>
      </c>
      <c r="N376" s="21" t="n">
        <f aca="false">ROUND(SQRT((F376*J376/100)^2+(G376*M376)^2),0)</f>
        <v>30</v>
      </c>
      <c r="P376" s="41" t="n">
        <v>0.64283542075415</v>
      </c>
      <c r="Q376" s="42" t="n">
        <v>911</v>
      </c>
      <c r="R376" s="43" t="n">
        <f aca="false">MAX(0,MIN(1,P376/100+$D$5))</f>
        <v>0.532995556902416</v>
      </c>
      <c r="S376" s="43" t="n">
        <v>0.0500321312575726</v>
      </c>
      <c r="T376" s="44" t="s">
        <v>99</v>
      </c>
    </row>
    <row r="377" customFormat="false" ht="15" hidden="false" customHeight="false" outlineLevel="0" collapsed="false">
      <c r="A377" s="38" t="s">
        <v>344</v>
      </c>
      <c r="B377" s="38" t="s">
        <v>520</v>
      </c>
      <c r="C377" s="38" t="s">
        <v>524</v>
      </c>
      <c r="D377" s="21" t="n">
        <f aca="false">ROUND(Q377*R377,0)</f>
        <v>268</v>
      </c>
      <c r="E377" s="21" t="n">
        <f aca="false">ROUND(Q377,0)-D377</f>
        <v>312</v>
      </c>
      <c r="F377" s="21" t="n">
        <f aca="false">IF(COUNTA(D377:E377)=0,"",SUM(D377:E377))</f>
        <v>580</v>
      </c>
      <c r="G377" s="39" t="n">
        <f aca="false">IF(OR(F377="",F377=0),"",D377/F377)</f>
        <v>0.462068965517241</v>
      </c>
      <c r="H377" s="39" t="n">
        <f aca="false">IF(OR(F377="",F377=0),"",E377/F377)</f>
        <v>0.537931034482759</v>
      </c>
      <c r="I377" s="38" t="s">
        <v>89</v>
      </c>
      <c r="J377" s="40" t="n">
        <v>3.02608556967268</v>
      </c>
      <c r="K377" s="39" t="n">
        <f aca="false">IF(G377="","",MAX(0,G377-J377/100))</f>
        <v>0.431808109820515</v>
      </c>
      <c r="L377" s="39" t="n">
        <f aca="false">IF(G377="","",MIN(1,G377+J377/100))</f>
        <v>0.492329821213968</v>
      </c>
      <c r="M377" s="21" t="n">
        <f aca="false">ROUND(Q377*S377,0)</f>
        <v>35</v>
      </c>
      <c r="N377" s="21" t="n">
        <f aca="false">ROUND(SQRT((F377*J377/100)^2+(G377*M377)^2),0)</f>
        <v>24</v>
      </c>
      <c r="P377" s="41" t="n">
        <v>-6.51774897939038</v>
      </c>
      <c r="Q377" s="42" t="n">
        <v>580</v>
      </c>
      <c r="R377" s="43" t="n">
        <f aca="false">MAX(0,MIN(1,P377/100+$D$5))</f>
        <v>0.46138971290097</v>
      </c>
      <c r="S377" s="43" t="n">
        <v>0.0610405690258335</v>
      </c>
      <c r="T377" s="44" t="s">
        <v>90</v>
      </c>
    </row>
    <row r="378" customFormat="false" ht="15" hidden="false" customHeight="false" outlineLevel="0" collapsed="false">
      <c r="A378" s="38" t="s">
        <v>344</v>
      </c>
      <c r="B378" s="38" t="s">
        <v>525</v>
      </c>
      <c r="C378" s="38" t="s">
        <v>526</v>
      </c>
      <c r="D378" s="21" t="n">
        <f aca="false">ROUND(Q378*R378,0)</f>
        <v>460</v>
      </c>
      <c r="E378" s="21" t="n">
        <f aca="false">ROUND(Q378,0)-D378</f>
        <v>283</v>
      </c>
      <c r="F378" s="21" t="n">
        <f aca="false">IF(COUNTA(D378:E378)=0,"",SUM(D378:E378))</f>
        <v>743</v>
      </c>
      <c r="G378" s="39" t="n">
        <f aca="false">IF(OR(F378="",F378=0),"",D378/F378)</f>
        <v>0.619111709286676</v>
      </c>
      <c r="H378" s="39" t="n">
        <f aca="false">IF(OR(F378="",F378=0),"",E378/F378)</f>
        <v>0.380888290713324</v>
      </c>
      <c r="I378" s="38" t="s">
        <v>89</v>
      </c>
      <c r="J378" s="40" t="n">
        <v>3.02608556967268</v>
      </c>
      <c r="K378" s="39" t="n">
        <f aca="false">IF(G378="","",MAX(0,G378-J378/100))</f>
        <v>0.588850853589949</v>
      </c>
      <c r="L378" s="39" t="n">
        <f aca="false">IF(G378="","",MIN(1,G378+J378/100))</f>
        <v>0.649372564983403</v>
      </c>
      <c r="M378" s="21" t="n">
        <f aca="false">ROUND(Q378*S378,0)</f>
        <v>45</v>
      </c>
      <c r="N378" s="21" t="n">
        <f aca="false">ROUND(SQRT((F378*J378/100)^2+(G378*M378)^2),0)</f>
        <v>36</v>
      </c>
      <c r="P378" s="41" t="n">
        <v>9.31979882381106</v>
      </c>
      <c r="Q378" s="42" t="n">
        <v>743</v>
      </c>
      <c r="R378" s="43" t="n">
        <f aca="false">MAX(0,MIN(1,P378/100+$D$5))</f>
        <v>0.619765190932985</v>
      </c>
      <c r="S378" s="43" t="n">
        <v>0.0610405690258335</v>
      </c>
      <c r="T378" s="44" t="s">
        <v>90</v>
      </c>
    </row>
    <row r="379" customFormat="false" ht="15" hidden="false" customHeight="false" outlineLevel="0" collapsed="false">
      <c r="A379" s="38" t="s">
        <v>344</v>
      </c>
      <c r="B379" s="38" t="s">
        <v>525</v>
      </c>
      <c r="C379" s="38" t="s">
        <v>527</v>
      </c>
      <c r="D379" s="21" t="n">
        <f aca="false">ROUND(Q379*R379,0)</f>
        <v>363</v>
      </c>
      <c r="E379" s="21" t="n">
        <f aca="false">ROUND(Q379,0)-D379</f>
        <v>241</v>
      </c>
      <c r="F379" s="21" t="n">
        <f aca="false">IF(COUNTA(D379:E379)=0,"",SUM(D379:E379))</f>
        <v>604</v>
      </c>
      <c r="G379" s="39" t="n">
        <f aca="false">IF(OR(F379="",F379=0),"",D379/F379)</f>
        <v>0.600993377483444</v>
      </c>
      <c r="H379" s="39" t="n">
        <f aca="false">IF(OR(F379="",F379=0),"",E379/F379)</f>
        <v>0.399006622516556</v>
      </c>
      <c r="I379" s="38" t="s">
        <v>89</v>
      </c>
      <c r="J379" s="40" t="n">
        <v>3.02608556967268</v>
      </c>
      <c r="K379" s="39" t="n">
        <f aca="false">IF(G379="","",MAX(0,G379-J379/100))</f>
        <v>0.570732521786717</v>
      </c>
      <c r="L379" s="39" t="n">
        <f aca="false">IF(G379="","",MIN(1,G379+J379/100))</f>
        <v>0.631254233180171</v>
      </c>
      <c r="M379" s="21" t="n">
        <f aca="false">ROUND(Q379*S379,0)</f>
        <v>37</v>
      </c>
      <c r="N379" s="21" t="n">
        <f aca="false">ROUND(SQRT((F379*J379/100)^2+(G379*M379)^2),0)</f>
        <v>29</v>
      </c>
      <c r="P379" s="41" t="n">
        <v>7.44511898001772</v>
      </c>
      <c r="Q379" s="42" t="n">
        <v>604</v>
      </c>
      <c r="R379" s="43" t="n">
        <f aca="false">MAX(0,MIN(1,P379/100+$D$5))</f>
        <v>0.601018392495051</v>
      </c>
      <c r="S379" s="43" t="n">
        <v>0.0610405690258335</v>
      </c>
      <c r="T379" s="44" t="s">
        <v>90</v>
      </c>
    </row>
    <row r="380" customFormat="false" ht="15" hidden="false" customHeight="false" outlineLevel="0" collapsed="false">
      <c r="A380" s="38" t="s">
        <v>344</v>
      </c>
      <c r="B380" s="38" t="s">
        <v>525</v>
      </c>
      <c r="C380" s="38" t="s">
        <v>528</v>
      </c>
      <c r="D380" s="21" t="n">
        <f aca="false">ROUND(Q380*R380,0)</f>
        <v>548</v>
      </c>
      <c r="E380" s="21" t="n">
        <f aca="false">ROUND(Q380,0)-D380</f>
        <v>398</v>
      </c>
      <c r="F380" s="21" t="n">
        <f aca="false">IF(COUNTA(D380:E380)=0,"",SUM(D380:E380))</f>
        <v>946</v>
      </c>
      <c r="G380" s="39" t="n">
        <f aca="false">IF(OR(F380="",F380=0),"",D380/F380)</f>
        <v>0.579281183932347</v>
      </c>
      <c r="H380" s="39" t="n">
        <f aca="false">IF(OR(F380="",F380=0),"",E380/F380)</f>
        <v>0.420718816067653</v>
      </c>
      <c r="I380" s="38" t="s">
        <v>89</v>
      </c>
      <c r="J380" s="40" t="n">
        <v>1.8085538155628</v>
      </c>
      <c r="K380" s="39" t="n">
        <f aca="false">IF(G380="","",MAX(0,G380-J380/100))</f>
        <v>0.561195645776719</v>
      </c>
      <c r="L380" s="39" t="n">
        <f aca="false">IF(G380="","",MIN(1,G380+J380/100))</f>
        <v>0.597366722087975</v>
      </c>
      <c r="M380" s="21" t="n">
        <f aca="false">ROUND(Q380*S380,0)</f>
        <v>47</v>
      </c>
      <c r="N380" s="21" t="n">
        <f aca="false">ROUND(SQRT((F380*J380/100)^2+(G380*M380)^2),0)</f>
        <v>32</v>
      </c>
      <c r="P380" s="41" t="n">
        <v>5.25801116408801</v>
      </c>
      <c r="Q380" s="42" t="n">
        <v>946</v>
      </c>
      <c r="R380" s="43" t="n">
        <f aca="false">MAX(0,MIN(1,P380/100+$D$5))</f>
        <v>0.579147314335754</v>
      </c>
      <c r="S380" s="43" t="n">
        <v>0.0500321312575726</v>
      </c>
      <c r="T380" s="44" t="s">
        <v>99</v>
      </c>
    </row>
    <row r="381" customFormat="false" ht="15" hidden="false" customHeight="false" outlineLevel="0" collapsed="false">
      <c r="A381" s="38" t="s">
        <v>344</v>
      </c>
      <c r="B381" s="38" t="s">
        <v>529</v>
      </c>
      <c r="C381" s="38" t="s">
        <v>529</v>
      </c>
      <c r="D381" s="21" t="n">
        <f aca="false">ROUND(Q381*R381,0)</f>
        <v>522</v>
      </c>
      <c r="E381" s="21" t="n">
        <f aca="false">ROUND(Q381,0)-D381</f>
        <v>573</v>
      </c>
      <c r="F381" s="21" t="n">
        <f aca="false">IF(COUNTA(D381:E381)=0,"",SUM(D381:E381))</f>
        <v>1095</v>
      </c>
      <c r="G381" s="39" t="n">
        <f aca="false">IF(OR(F381="",F381=0),"",D381/F381)</f>
        <v>0.476712328767123</v>
      </c>
      <c r="H381" s="39" t="n">
        <f aca="false">IF(OR(F381="",F381=0),"",E381/F381)</f>
        <v>0.523287671232877</v>
      </c>
      <c r="I381" s="38" t="s">
        <v>89</v>
      </c>
      <c r="J381" s="40" t="n">
        <v>1.8085538155628</v>
      </c>
      <c r="K381" s="39" t="n">
        <f aca="false">IF(G381="","",MAX(0,G381-J381/100))</f>
        <v>0.458626790611495</v>
      </c>
      <c r="L381" s="39" t="n">
        <f aca="false">IF(G381="","",MIN(1,G381+J381/100))</f>
        <v>0.494797866922751</v>
      </c>
      <c r="M381" s="21" t="n">
        <f aca="false">ROUND(Q381*S381,0)</f>
        <v>55</v>
      </c>
      <c r="N381" s="21" t="n">
        <f aca="false">ROUND(SQRT((F381*J381/100)^2+(G381*M381)^2),0)</f>
        <v>33</v>
      </c>
      <c r="P381" s="41" t="n">
        <v>-4.99582885348602</v>
      </c>
      <c r="Q381" s="42" t="n">
        <v>1095</v>
      </c>
      <c r="R381" s="43" t="n">
        <f aca="false">MAX(0,MIN(1,P381/100+$D$5))</f>
        <v>0.476608914160014</v>
      </c>
      <c r="S381" s="43" t="n">
        <v>0.0500321312575726</v>
      </c>
      <c r="T381" s="44" t="s">
        <v>99</v>
      </c>
    </row>
  </sheetData>
  <mergeCells count="4">
    <mergeCell ref="A3:I3"/>
    <mergeCell ref="A6:N6"/>
    <mergeCell ref="A9:N9"/>
    <mergeCell ref="A10:N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530</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531</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B5-SUMPRODUCT(P12:P381,Q12:Q381)/SUM(Q12:Q381)/100</f>
        <v>0.535756362237799</v>
      </c>
      <c r="E5" s="2" t="s">
        <v>63</v>
      </c>
      <c r="F5" s="31" t="n">
        <v>2.23358860698981</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SUM(D12:D381)</f>
        <v>158252</v>
      </c>
      <c r="E8" s="32" t="n">
        <f aca="false">SUM(E12:E381)</f>
        <v>141371</v>
      </c>
      <c r="F8" s="32" t="n">
        <f aca="false">D8+E8</f>
        <v>299623</v>
      </c>
      <c r="G8" s="33" t="n">
        <f aca="false">IF(F8=0,"",D8/F8)</f>
        <v>0.528170400803677</v>
      </c>
      <c r="H8" s="33" t="n">
        <f aca="false">IF(F8=0,"",E8/F8)</f>
        <v>0.471829599196323</v>
      </c>
      <c r="I8" s="11" t="s">
        <v>77</v>
      </c>
      <c r="J8" s="34" t="n">
        <v>2.23358860698981</v>
      </c>
      <c r="K8" s="33" t="n">
        <f aca="false">G8-J8/100</f>
        <v>0.505834514733779</v>
      </c>
      <c r="L8" s="33" t="n">
        <f aca="false">G8+J8/100</f>
        <v>0.550506286873575</v>
      </c>
      <c r="M8" s="32" t="n">
        <f aca="false">ROUND(F8*0.0291,0)</f>
        <v>8719</v>
      </c>
      <c r="N8" s="32" t="n">
        <f aca="false">ROUND(SQRT((F8*J8/100)^2+(G8*M8)^2),0)</f>
        <v>8124</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88</v>
      </c>
      <c r="D12" s="21" t="n">
        <f aca="false">ROUND(Q12*R12,0)</f>
        <v>172</v>
      </c>
      <c r="E12" s="21" t="n">
        <f aca="false">ROUND(Q12,0)-D12</f>
        <v>214</v>
      </c>
      <c r="F12" s="21" t="n">
        <f aca="false">IF(COUNTA(D12:E12)=0,"",SUM(D12:E12))</f>
        <v>386</v>
      </c>
      <c r="G12" s="39" t="n">
        <f aca="false">IF(OR(F12="",F12=0),"",D12/F12)</f>
        <v>0.44559585492228</v>
      </c>
      <c r="H12" s="39" t="n">
        <f aca="false">IF(OR(F12="",F12=0),"",E12/F12)</f>
        <v>0.55440414507772</v>
      </c>
      <c r="I12" s="38" t="s">
        <v>89</v>
      </c>
      <c r="J12" s="40" t="n">
        <v>2.87480042420966</v>
      </c>
      <c r="K12" s="39" t="n">
        <f aca="false">IF(G12="","",MAX(0,G12-J12/100))</f>
        <v>0.416847850680183</v>
      </c>
      <c r="L12" s="39" t="n">
        <f aca="false">IF(G12="","",MIN(1,G12+J12/100))</f>
        <v>0.474343859164376</v>
      </c>
      <c r="M12" s="21" t="n">
        <f aca="false">ROUND(Q12*S12,0)</f>
        <v>24</v>
      </c>
      <c r="N12" s="21" t="n">
        <f aca="false">ROUND(SQRT((F12*J12/100)^2+(G12*M12)^2),0)</f>
        <v>15</v>
      </c>
      <c r="P12" s="41" t="n">
        <v>-9.05374822084652</v>
      </c>
      <c r="Q12" s="42" t="n">
        <v>386</v>
      </c>
      <c r="R12" s="43" t="n">
        <f aca="false">MAX(0,MIN(1,P12/100+$D$5))</f>
        <v>0.445218880029334</v>
      </c>
      <c r="S12" s="43" t="n">
        <v>0.0610405690258335</v>
      </c>
      <c r="T12" s="44" t="s">
        <v>90</v>
      </c>
    </row>
    <row r="13" customFormat="false" ht="15" hidden="false" customHeight="false" outlineLevel="0" collapsed="false">
      <c r="A13" s="38" t="s">
        <v>87</v>
      </c>
      <c r="B13" s="38" t="s">
        <v>91</v>
      </c>
      <c r="C13" s="38" t="s">
        <v>91</v>
      </c>
      <c r="D13" s="21" t="n">
        <f aca="false">ROUND(Q13*R13,0)</f>
        <v>104</v>
      </c>
      <c r="E13" s="21" t="n">
        <f aca="false">ROUND(Q13,0)-D13</f>
        <v>210</v>
      </c>
      <c r="F13" s="21" t="n">
        <f aca="false">IF(COUNTA(D13:E13)=0,"",SUM(D13:E13))</f>
        <v>314</v>
      </c>
      <c r="G13" s="39" t="n">
        <f aca="false">IF(OR(F13="",F13=0),"",D13/F13)</f>
        <v>0.331210191082803</v>
      </c>
      <c r="H13" s="39" t="n">
        <f aca="false">IF(OR(F13="",F13=0),"",E13/F13)</f>
        <v>0.668789808917197</v>
      </c>
      <c r="I13" s="38" t="s">
        <v>89</v>
      </c>
      <c r="J13" s="40" t="n">
        <v>2.87480042420966</v>
      </c>
      <c r="K13" s="39" t="n">
        <f aca="false">IF(G13="","",MAX(0,G13-J13/100))</f>
        <v>0.302462186840706</v>
      </c>
      <c r="L13" s="39" t="n">
        <f aca="false">IF(G13="","",MIN(1,G13+J13/100))</f>
        <v>0.359958195324899</v>
      </c>
      <c r="M13" s="21" t="n">
        <f aca="false">ROUND(Q13*S13,0)</f>
        <v>19</v>
      </c>
      <c r="N13" s="21" t="n">
        <f aca="false">ROUND(SQRT((F13*J13/100)^2+(G13*M13)^2),0)</f>
        <v>11</v>
      </c>
      <c r="P13" s="41" t="n">
        <v>-20.3625103549883</v>
      </c>
      <c r="Q13" s="42" t="n">
        <v>314</v>
      </c>
      <c r="R13" s="43" t="n">
        <f aca="false">MAX(0,MIN(1,P13/100+$D$5))</f>
        <v>0.332131258687916</v>
      </c>
      <c r="S13" s="43" t="n">
        <v>0.0610405690258335</v>
      </c>
      <c r="T13" s="44" t="s">
        <v>90</v>
      </c>
    </row>
    <row r="14" customFormat="false" ht="15" hidden="false" customHeight="false" outlineLevel="0" collapsed="false">
      <c r="A14" s="38" t="s">
        <v>87</v>
      </c>
      <c r="B14" s="38" t="s">
        <v>92</v>
      </c>
      <c r="C14" s="38" t="s">
        <v>92</v>
      </c>
      <c r="D14" s="21" t="n">
        <f aca="false">ROUND(Q14*R14,0)</f>
        <v>130</v>
      </c>
      <c r="E14" s="21" t="n">
        <f aca="false">ROUND(Q14,0)-D14</f>
        <v>218</v>
      </c>
      <c r="F14" s="21" t="n">
        <f aca="false">IF(COUNTA(D14:E14)=0,"",SUM(D14:E14))</f>
        <v>348</v>
      </c>
      <c r="G14" s="39" t="n">
        <f aca="false">IF(OR(F14="",F14=0),"",D14/F14)</f>
        <v>0.373563218390805</v>
      </c>
      <c r="H14" s="39" t="n">
        <f aca="false">IF(OR(F14="",F14=0),"",E14/F14)</f>
        <v>0.626436781609195</v>
      </c>
      <c r="I14" s="38" t="s">
        <v>89</v>
      </c>
      <c r="J14" s="40" t="n">
        <v>2.87480042420966</v>
      </c>
      <c r="K14" s="39" t="n">
        <f aca="false">IF(G14="","",MAX(0,G14-J14/100))</f>
        <v>0.344815214148708</v>
      </c>
      <c r="L14" s="39" t="n">
        <f aca="false">IF(G14="","",MIN(1,G14+J14/100))</f>
        <v>0.402311222632901</v>
      </c>
      <c r="M14" s="21" t="n">
        <f aca="false">ROUND(Q14*S14,0)</f>
        <v>21</v>
      </c>
      <c r="N14" s="21" t="n">
        <f aca="false">ROUND(SQRT((F14*J14/100)^2+(G14*M14)^2),0)</f>
        <v>13</v>
      </c>
      <c r="P14" s="41" t="n">
        <v>-16.1169926458229</v>
      </c>
      <c r="Q14" s="42" t="n">
        <v>348</v>
      </c>
      <c r="R14" s="43" t="n">
        <f aca="false">MAX(0,MIN(1,P14/100+$D$5))</f>
        <v>0.37458643577957</v>
      </c>
      <c r="S14" s="43" t="n">
        <v>0.0610405690258335</v>
      </c>
      <c r="T14" s="44" t="s">
        <v>90</v>
      </c>
    </row>
    <row r="15" customFormat="false" ht="15" hidden="false" customHeight="false" outlineLevel="0" collapsed="false">
      <c r="A15" s="38" t="s">
        <v>87</v>
      </c>
      <c r="B15" s="38" t="s">
        <v>93</v>
      </c>
      <c r="C15" s="38" t="s">
        <v>94</v>
      </c>
      <c r="D15" s="21" t="n">
        <f aca="false">ROUND(Q15*R15,0)</f>
        <v>208</v>
      </c>
      <c r="E15" s="21" t="n">
        <f aca="false">ROUND(Q15,0)-D15</f>
        <v>490</v>
      </c>
      <c r="F15" s="21" t="n">
        <f aca="false">IF(COUNTA(D15:E15)=0,"",SUM(D15:E15))</f>
        <v>698</v>
      </c>
      <c r="G15" s="39" t="n">
        <f aca="false">IF(OR(F15="",F15=0),"",D15/F15)</f>
        <v>0.297994269340974</v>
      </c>
      <c r="H15" s="39" t="n">
        <f aca="false">IF(OR(F15="",F15=0),"",E15/F15)</f>
        <v>0.702005730659026</v>
      </c>
      <c r="I15" s="38" t="s">
        <v>89</v>
      </c>
      <c r="J15" s="40" t="n">
        <v>2.87480042420966</v>
      </c>
      <c r="K15" s="39" t="n">
        <f aca="false">IF(G15="","",MAX(0,G15-J15/100))</f>
        <v>0.269246265098878</v>
      </c>
      <c r="L15" s="39" t="n">
        <f aca="false">IF(G15="","",MIN(1,G15+J15/100))</f>
        <v>0.326742273583071</v>
      </c>
      <c r="M15" s="21" t="n">
        <f aca="false">ROUND(Q15*S15,0)</f>
        <v>43</v>
      </c>
      <c r="N15" s="21" t="n">
        <f aca="false">ROUND(SQRT((F15*J15/100)^2+(G15*M15)^2),0)</f>
        <v>24</v>
      </c>
      <c r="P15" s="41" t="n">
        <v>-23.7420579610114</v>
      </c>
      <c r="Q15" s="42" t="n">
        <v>698</v>
      </c>
      <c r="R15" s="43" t="n">
        <f aca="false">MAX(0,MIN(1,P15/100+$D$5))</f>
        <v>0.298335782627685</v>
      </c>
      <c r="S15" s="43" t="n">
        <v>0.0610405690258335</v>
      </c>
      <c r="T15" s="44" t="s">
        <v>90</v>
      </c>
    </row>
    <row r="16" customFormat="false" ht="15" hidden="false" customHeight="false" outlineLevel="0" collapsed="false">
      <c r="A16" s="38" t="s">
        <v>87</v>
      </c>
      <c r="B16" s="38" t="s">
        <v>93</v>
      </c>
      <c r="C16" s="38" t="s">
        <v>95</v>
      </c>
      <c r="D16" s="21" t="n">
        <f aca="false">ROUND(Q16*R16,0)</f>
        <v>192</v>
      </c>
      <c r="E16" s="21" t="n">
        <f aca="false">ROUND(Q16,0)-D16</f>
        <v>407</v>
      </c>
      <c r="F16" s="21" t="n">
        <f aca="false">IF(COUNTA(D16:E16)=0,"",SUM(D16:E16))</f>
        <v>599</v>
      </c>
      <c r="G16" s="39" t="n">
        <f aca="false">IF(OR(F16="",F16=0),"",D16/F16)</f>
        <v>0.320534223706177</v>
      </c>
      <c r="H16" s="39" t="n">
        <f aca="false">IF(OR(F16="",F16=0),"",E16/F16)</f>
        <v>0.679465776293823</v>
      </c>
      <c r="I16" s="38" t="s">
        <v>89</v>
      </c>
      <c r="J16" s="40" t="n">
        <v>2.87480042420966</v>
      </c>
      <c r="K16" s="39" t="n">
        <f aca="false">IF(G16="","",MAX(0,G16-J16/100))</f>
        <v>0.29178621946408</v>
      </c>
      <c r="L16" s="39" t="n">
        <f aca="false">IF(G16="","",MIN(1,G16+J16/100))</f>
        <v>0.349282227948274</v>
      </c>
      <c r="M16" s="21" t="n">
        <f aca="false">ROUND(Q16*S16,0)</f>
        <v>37</v>
      </c>
      <c r="N16" s="21" t="n">
        <f aca="false">ROUND(SQRT((F16*J16/100)^2+(G16*M16)^2),0)</f>
        <v>21</v>
      </c>
      <c r="P16" s="41" t="n">
        <v>-21.5539328431427</v>
      </c>
      <c r="Q16" s="42" t="n">
        <v>599</v>
      </c>
      <c r="R16" s="43" t="n">
        <f aca="false">MAX(0,MIN(1,P16/100+$D$5))</f>
        <v>0.320217033806371</v>
      </c>
      <c r="S16" s="43" t="n">
        <v>0.0610405690258335</v>
      </c>
      <c r="T16" s="44" t="s">
        <v>90</v>
      </c>
    </row>
    <row r="17" customFormat="false" ht="15" hidden="false" customHeight="false" outlineLevel="0" collapsed="false">
      <c r="A17" s="38" t="s">
        <v>87</v>
      </c>
      <c r="B17" s="38" t="s">
        <v>96</v>
      </c>
      <c r="C17" s="38" t="s">
        <v>96</v>
      </c>
      <c r="D17" s="21" t="n">
        <f aca="false">ROUND(Q17*R17,0)</f>
        <v>37</v>
      </c>
      <c r="E17" s="21" t="n">
        <f aca="false">ROUND(Q17,0)-D17</f>
        <v>57</v>
      </c>
      <c r="F17" s="21" t="n">
        <f aca="false">IF(COUNTA(D17:E17)=0,"",SUM(D17:E17))</f>
        <v>94</v>
      </c>
      <c r="G17" s="39" t="n">
        <f aca="false">IF(OR(F17="",F17=0),"",D17/F17)</f>
        <v>0.393617021276596</v>
      </c>
      <c r="H17" s="39" t="n">
        <f aca="false">IF(OR(F17="",F17=0),"",E17/F17)</f>
        <v>0.606382978723404</v>
      </c>
      <c r="I17" s="38" t="s">
        <v>89</v>
      </c>
      <c r="J17" s="40" t="n">
        <v>2.87480042420966</v>
      </c>
      <c r="K17" s="39" t="n">
        <f aca="false">IF(G17="","",MAX(0,G17-J17/100))</f>
        <v>0.364869017034499</v>
      </c>
      <c r="L17" s="39" t="n">
        <f aca="false">IF(G17="","",MIN(1,G17+J17/100))</f>
        <v>0.422365025518692</v>
      </c>
      <c r="M17" s="21" t="n">
        <f aca="false">ROUND(Q17*S17,0)</f>
        <v>6</v>
      </c>
      <c r="N17" s="21" t="n">
        <f aca="false">ROUND(SQRT((F17*J17/100)^2+(G17*M17)^2),0)</f>
        <v>4</v>
      </c>
      <c r="P17" s="41" t="n">
        <v>-14.6447442156671</v>
      </c>
      <c r="Q17" s="42" t="n">
        <v>94</v>
      </c>
      <c r="R17" s="43" t="n">
        <f aca="false">MAX(0,MIN(1,P17/100+$D$5))</f>
        <v>0.389308920081128</v>
      </c>
      <c r="S17" s="43" t="n">
        <v>0.0610405690258335</v>
      </c>
      <c r="T17" s="44" t="s">
        <v>90</v>
      </c>
    </row>
    <row r="18" customFormat="false" ht="15" hidden="false" customHeight="false" outlineLevel="0" collapsed="false">
      <c r="A18" s="38" t="s">
        <v>87</v>
      </c>
      <c r="B18" s="38" t="s">
        <v>97</v>
      </c>
      <c r="C18" s="38" t="s">
        <v>98</v>
      </c>
      <c r="D18" s="21" t="n">
        <f aca="false">ROUND(Q18*R18,0)</f>
        <v>271</v>
      </c>
      <c r="E18" s="21" t="n">
        <f aca="false">ROUND(Q18,0)-D18</f>
        <v>568</v>
      </c>
      <c r="F18" s="21" t="n">
        <f aca="false">IF(COUNTA(D18:E18)=0,"",SUM(D18:E18))</f>
        <v>839</v>
      </c>
      <c r="G18" s="39" t="n">
        <f aca="false">IF(OR(F18="",F18=0),"",D18/F18)</f>
        <v>0.32300357568534</v>
      </c>
      <c r="H18" s="39" t="n">
        <f aca="false">IF(OR(F18="",F18=0),"",E18/F18)</f>
        <v>0.67699642431466</v>
      </c>
      <c r="I18" s="38" t="s">
        <v>89</v>
      </c>
      <c r="J18" s="40" t="n">
        <v>1.92472098334064</v>
      </c>
      <c r="K18" s="39" t="n">
        <f aca="false">IF(G18="","",MAX(0,G18-J18/100))</f>
        <v>0.303756365851933</v>
      </c>
      <c r="L18" s="39" t="n">
        <f aca="false">IF(G18="","",MIN(1,G18+J18/100))</f>
        <v>0.342250785518746</v>
      </c>
      <c r="M18" s="21" t="n">
        <f aca="false">ROUND(Q18*S18,0)</f>
        <v>42</v>
      </c>
      <c r="N18" s="21" t="n">
        <f aca="false">ROUND(SQRT((F18*J18/100)^2+(G18*M18)^2),0)</f>
        <v>21</v>
      </c>
      <c r="P18" s="41" t="n">
        <v>-21.2717179940786</v>
      </c>
      <c r="Q18" s="42" t="n">
        <v>839</v>
      </c>
      <c r="R18" s="43" t="n">
        <f aca="false">MAX(0,MIN(1,P18/100+$D$5))</f>
        <v>0.323039182297013</v>
      </c>
      <c r="S18" s="43" t="n">
        <v>0.0500321312575726</v>
      </c>
      <c r="T18" s="44" t="s">
        <v>99</v>
      </c>
    </row>
    <row r="19" customFormat="false" ht="15" hidden="false" customHeight="false" outlineLevel="0" collapsed="false">
      <c r="A19" s="38" t="s">
        <v>87</v>
      </c>
      <c r="B19" s="38" t="s">
        <v>97</v>
      </c>
      <c r="C19" s="38" t="s">
        <v>100</v>
      </c>
      <c r="D19" s="21" t="n">
        <f aca="false">ROUND(Q19*R19,0)</f>
        <v>145</v>
      </c>
      <c r="E19" s="21" t="n">
        <f aca="false">ROUND(Q19,0)-D19</f>
        <v>309</v>
      </c>
      <c r="F19" s="21" t="n">
        <f aca="false">IF(COUNTA(D19:E19)=0,"",SUM(D19:E19))</f>
        <v>454</v>
      </c>
      <c r="G19" s="39" t="n">
        <f aca="false">IF(OR(F19="",F19=0),"",D19/F19)</f>
        <v>0.319383259911894</v>
      </c>
      <c r="H19" s="39" t="n">
        <f aca="false">IF(OR(F19="",F19=0),"",E19/F19)</f>
        <v>0.680616740088106</v>
      </c>
      <c r="I19" s="38" t="s">
        <v>89</v>
      </c>
      <c r="J19" s="40" t="n">
        <v>2.87480042420966</v>
      </c>
      <c r="K19" s="39" t="n">
        <f aca="false">IF(G19="","",MAX(0,G19-J19/100))</f>
        <v>0.290635255669798</v>
      </c>
      <c r="L19" s="39" t="n">
        <f aca="false">IF(G19="","",MIN(1,G19+J19/100))</f>
        <v>0.348131264153991</v>
      </c>
      <c r="M19" s="21" t="n">
        <f aca="false">ROUND(Q19*S19,0)</f>
        <v>28</v>
      </c>
      <c r="N19" s="21" t="n">
        <f aca="false">ROUND(SQRT((F19*J19/100)^2+(G19*M19)^2),0)</f>
        <v>16</v>
      </c>
      <c r="P19" s="41" t="n">
        <v>-21.5721289403016</v>
      </c>
      <c r="Q19" s="42" t="n">
        <v>454</v>
      </c>
      <c r="R19" s="43" t="n">
        <f aca="false">MAX(0,MIN(1,P19/100+$D$5))</f>
        <v>0.320035072834783</v>
      </c>
      <c r="S19" s="43" t="n">
        <v>0.0610405690258335</v>
      </c>
      <c r="T19" s="44" t="s">
        <v>90</v>
      </c>
    </row>
    <row r="20" customFormat="false" ht="15" hidden="false" customHeight="false" outlineLevel="0" collapsed="false">
      <c r="A20" s="38" t="s">
        <v>87</v>
      </c>
      <c r="B20" s="38" t="s">
        <v>97</v>
      </c>
      <c r="C20" s="38" t="s">
        <v>101</v>
      </c>
      <c r="D20" s="21" t="n">
        <f aca="false">ROUND(Q20*R20,0)</f>
        <v>207</v>
      </c>
      <c r="E20" s="21" t="n">
        <f aca="false">ROUND(Q20,0)-D20</f>
        <v>458</v>
      </c>
      <c r="F20" s="21" t="n">
        <f aca="false">IF(COUNTA(D20:E20)=0,"",SUM(D20:E20))</f>
        <v>665</v>
      </c>
      <c r="G20" s="39" t="n">
        <f aca="false">IF(OR(F20="",F20=0),"",D20/F20)</f>
        <v>0.311278195488722</v>
      </c>
      <c r="H20" s="39" t="n">
        <f aca="false">IF(OR(F20="",F20=0),"",E20/F20)</f>
        <v>0.688721804511278</v>
      </c>
      <c r="I20" s="38" t="s">
        <v>89</v>
      </c>
      <c r="J20" s="40" t="n">
        <v>2.87480042420966</v>
      </c>
      <c r="K20" s="39" t="n">
        <f aca="false">IF(G20="","",MAX(0,G20-J20/100))</f>
        <v>0.282530191246625</v>
      </c>
      <c r="L20" s="39" t="n">
        <f aca="false">IF(G20="","",MIN(1,G20+J20/100))</f>
        <v>0.340026199730818</v>
      </c>
      <c r="M20" s="21" t="n">
        <f aca="false">ROUND(Q20*S20,0)</f>
        <v>41</v>
      </c>
      <c r="N20" s="21" t="n">
        <f aca="false">ROUND(SQRT((F20*J20/100)^2+(G20*M20)^2),0)</f>
        <v>23</v>
      </c>
      <c r="P20" s="41" t="n">
        <v>-22.407704007993</v>
      </c>
      <c r="Q20" s="42" t="n">
        <v>665</v>
      </c>
      <c r="R20" s="43" t="n">
        <f aca="false">MAX(0,MIN(1,P20/100+$D$5))</f>
        <v>0.311679322157869</v>
      </c>
      <c r="S20" s="43" t="n">
        <v>0.0610405690258335</v>
      </c>
      <c r="T20" s="44" t="s">
        <v>90</v>
      </c>
    </row>
    <row r="21" customFormat="false" ht="15" hidden="false" customHeight="false" outlineLevel="0" collapsed="false">
      <c r="A21" s="38" t="s">
        <v>87</v>
      </c>
      <c r="B21" s="38" t="s">
        <v>102</v>
      </c>
      <c r="C21" s="38" t="s">
        <v>103</v>
      </c>
      <c r="D21" s="21" t="n">
        <f aca="false">ROUND(Q21*R21,0)</f>
        <v>220</v>
      </c>
      <c r="E21" s="21" t="n">
        <f aca="false">ROUND(Q21,0)-D21</f>
        <v>220</v>
      </c>
      <c r="F21" s="21" t="n">
        <f aca="false">IF(COUNTA(D21:E21)=0,"",SUM(D21:E21))</f>
        <v>440</v>
      </c>
      <c r="G21" s="39" t="n">
        <f aca="false">IF(OR(F21="",F21=0),"",D21/F21)</f>
        <v>0.5</v>
      </c>
      <c r="H21" s="39" t="n">
        <f aca="false">IF(OR(F21="",F21=0),"",E21/F21)</f>
        <v>0.5</v>
      </c>
      <c r="I21" s="38" t="s">
        <v>89</v>
      </c>
      <c r="J21" s="40" t="n">
        <v>2.87480042420966</v>
      </c>
      <c r="K21" s="39" t="n">
        <f aca="false">IF(G21="","",MAX(0,G21-J21/100))</f>
        <v>0.471251995757903</v>
      </c>
      <c r="L21" s="39" t="n">
        <f aca="false">IF(G21="","",MIN(1,G21+J21/100))</f>
        <v>0.528748004242097</v>
      </c>
      <c r="M21" s="21" t="n">
        <f aca="false">ROUND(Q21*S21,0)</f>
        <v>27</v>
      </c>
      <c r="N21" s="21" t="n">
        <f aca="false">ROUND(SQRT((F21*J21/100)^2+(G21*M21)^2),0)</f>
        <v>19</v>
      </c>
      <c r="P21" s="41" t="n">
        <v>-3.60001180367413</v>
      </c>
      <c r="Q21" s="42" t="n">
        <v>440</v>
      </c>
      <c r="R21" s="43" t="n">
        <f aca="false">MAX(0,MIN(1,P21/100+$D$5))</f>
        <v>0.499756244201058</v>
      </c>
      <c r="S21" s="43" t="n">
        <v>0.0610405690258335</v>
      </c>
      <c r="T21" s="44" t="s">
        <v>90</v>
      </c>
    </row>
    <row r="22" customFormat="false" ht="15" hidden="false" customHeight="false" outlineLevel="0" collapsed="false">
      <c r="A22" s="38" t="s">
        <v>87</v>
      </c>
      <c r="B22" s="38" t="s">
        <v>102</v>
      </c>
      <c r="C22" s="38" t="s">
        <v>104</v>
      </c>
      <c r="D22" s="21" t="n">
        <f aca="false">ROUND(Q22*R22,0)</f>
        <v>146</v>
      </c>
      <c r="E22" s="21" t="n">
        <f aca="false">ROUND(Q22,0)-D22</f>
        <v>151</v>
      </c>
      <c r="F22" s="21" t="n">
        <f aca="false">IF(COUNTA(D22:E22)=0,"",SUM(D22:E22))</f>
        <v>297</v>
      </c>
      <c r="G22" s="39" t="n">
        <f aca="false">IF(OR(F22="",F22=0),"",D22/F22)</f>
        <v>0.491582491582492</v>
      </c>
      <c r="H22" s="39" t="n">
        <f aca="false">IF(OR(F22="",F22=0),"",E22/F22)</f>
        <v>0.508417508417508</v>
      </c>
      <c r="I22" s="38" t="s">
        <v>89</v>
      </c>
      <c r="J22" s="40" t="n">
        <v>2.87480042420966</v>
      </c>
      <c r="K22" s="39" t="n">
        <f aca="false">IF(G22="","",MAX(0,G22-J22/100))</f>
        <v>0.462834487340395</v>
      </c>
      <c r="L22" s="39" t="n">
        <f aca="false">IF(G22="","",MIN(1,G22+J22/100))</f>
        <v>0.520330495824588</v>
      </c>
      <c r="M22" s="21" t="n">
        <f aca="false">ROUND(Q22*S22,0)</f>
        <v>18</v>
      </c>
      <c r="N22" s="21" t="n">
        <f aca="false">ROUND(SQRT((F22*J22/100)^2+(G22*M22)^2),0)</f>
        <v>12</v>
      </c>
      <c r="P22" s="41" t="n">
        <v>-4.2888179551096</v>
      </c>
      <c r="Q22" s="42" t="n">
        <v>297</v>
      </c>
      <c r="R22" s="43" t="n">
        <f aca="false">MAX(0,MIN(1,P22/100+$D$5))</f>
        <v>0.492868182686703</v>
      </c>
      <c r="S22" s="43" t="n">
        <v>0.0610405690258335</v>
      </c>
      <c r="T22" s="44" t="s">
        <v>90</v>
      </c>
    </row>
    <row r="23" customFormat="false" ht="15" hidden="false" customHeight="false" outlineLevel="0" collapsed="false">
      <c r="A23" s="38" t="s">
        <v>87</v>
      </c>
      <c r="B23" s="38" t="s">
        <v>102</v>
      </c>
      <c r="C23" s="38" t="s">
        <v>105</v>
      </c>
      <c r="D23" s="21" t="n">
        <f aca="false">ROUND(Q23*R23,0)</f>
        <v>270</v>
      </c>
      <c r="E23" s="21" t="n">
        <f aca="false">ROUND(Q23,0)-D23</f>
        <v>355</v>
      </c>
      <c r="F23" s="21" t="n">
        <f aca="false">IF(COUNTA(D23:E23)=0,"",SUM(D23:E23))</f>
        <v>625</v>
      </c>
      <c r="G23" s="39" t="n">
        <f aca="false">IF(OR(F23="",F23=0),"",D23/F23)</f>
        <v>0.432</v>
      </c>
      <c r="H23" s="39" t="n">
        <f aca="false">IF(OR(F23="",F23=0),"",E23/F23)</f>
        <v>0.568</v>
      </c>
      <c r="I23" s="38" t="s">
        <v>89</v>
      </c>
      <c r="J23" s="40" t="n">
        <v>2.87480042420966</v>
      </c>
      <c r="K23" s="39" t="n">
        <f aca="false">IF(G23="","",MAX(0,G23-J23/100))</f>
        <v>0.403251995757903</v>
      </c>
      <c r="L23" s="39" t="n">
        <f aca="false">IF(G23="","",MIN(1,G23+J23/100))</f>
        <v>0.460748004242097</v>
      </c>
      <c r="M23" s="21" t="n">
        <f aca="false">ROUND(Q23*S23,0)</f>
        <v>38</v>
      </c>
      <c r="N23" s="21" t="n">
        <f aca="false">ROUND(SQRT((F23*J23/100)^2+(G23*M23)^2),0)</f>
        <v>24</v>
      </c>
      <c r="P23" s="41" t="n">
        <v>-10.4164991540154</v>
      </c>
      <c r="Q23" s="42" t="n">
        <v>625</v>
      </c>
      <c r="R23" s="43" t="n">
        <f aca="false">MAX(0,MIN(1,P23/100+$D$5))</f>
        <v>0.431591370697645</v>
      </c>
      <c r="S23" s="43" t="n">
        <v>0.0610405690258335</v>
      </c>
      <c r="T23" s="44" t="s">
        <v>90</v>
      </c>
    </row>
    <row r="24" customFormat="false" ht="15" hidden="false" customHeight="false" outlineLevel="0" collapsed="false">
      <c r="A24" s="38" t="s">
        <v>87</v>
      </c>
      <c r="B24" s="38" t="s">
        <v>102</v>
      </c>
      <c r="C24" s="38" t="s">
        <v>106</v>
      </c>
      <c r="D24" s="21" t="n">
        <f aca="false">ROUND(Q24*R24,0)</f>
        <v>137</v>
      </c>
      <c r="E24" s="21" t="n">
        <f aca="false">ROUND(Q24,0)-D24</f>
        <v>112</v>
      </c>
      <c r="F24" s="21" t="n">
        <f aca="false">IF(COUNTA(D24:E24)=0,"",SUM(D24:E24))</f>
        <v>249</v>
      </c>
      <c r="G24" s="39" t="n">
        <f aca="false">IF(OR(F24="",F24=0),"",D24/F24)</f>
        <v>0.550200803212851</v>
      </c>
      <c r="H24" s="39" t="n">
        <f aca="false">IF(OR(F24="",F24=0),"",E24/F24)</f>
        <v>0.449799196787149</v>
      </c>
      <c r="I24" s="38" t="s">
        <v>89</v>
      </c>
      <c r="J24" s="40" t="n">
        <v>2.87480042420966</v>
      </c>
      <c r="K24" s="39" t="n">
        <f aca="false">IF(G24="","",MAX(0,G24-J24/100))</f>
        <v>0.521452798970755</v>
      </c>
      <c r="L24" s="39" t="n">
        <f aca="false">IF(G24="","",MIN(1,G24+J24/100))</f>
        <v>0.578948807454948</v>
      </c>
      <c r="M24" s="21" t="n">
        <f aca="false">ROUND(Q24*S24,0)</f>
        <v>15</v>
      </c>
      <c r="N24" s="21" t="n">
        <f aca="false">ROUND(SQRT((F24*J24/100)^2+(G24*M24)^2),0)</f>
        <v>11</v>
      </c>
      <c r="P24" s="41" t="n">
        <v>1.60369521178341</v>
      </c>
      <c r="Q24" s="42" t="n">
        <v>249</v>
      </c>
      <c r="R24" s="43" t="n">
        <f aca="false">MAX(0,MIN(1,P24/100+$D$5))</f>
        <v>0.551793314355633</v>
      </c>
      <c r="S24" s="43" t="n">
        <v>0.0610405690258335</v>
      </c>
      <c r="T24" s="44" t="s">
        <v>90</v>
      </c>
    </row>
    <row r="25" customFormat="false" ht="15" hidden="false" customHeight="false" outlineLevel="0" collapsed="false">
      <c r="A25" s="38" t="s">
        <v>87</v>
      </c>
      <c r="B25" s="38" t="s">
        <v>102</v>
      </c>
      <c r="C25" s="38" t="s">
        <v>107</v>
      </c>
      <c r="D25" s="21" t="n">
        <f aca="false">ROUND(Q25*R25,0)</f>
        <v>262</v>
      </c>
      <c r="E25" s="21" t="n">
        <f aca="false">ROUND(Q25,0)-D25</f>
        <v>263</v>
      </c>
      <c r="F25" s="21" t="n">
        <f aca="false">IF(COUNTA(D25:E25)=0,"",SUM(D25:E25))</f>
        <v>525</v>
      </c>
      <c r="G25" s="39" t="n">
        <f aca="false">IF(OR(F25="",F25=0),"",D25/F25)</f>
        <v>0.499047619047619</v>
      </c>
      <c r="H25" s="39" t="n">
        <f aca="false">IF(OR(F25="",F25=0),"",E25/F25)</f>
        <v>0.500952380952381</v>
      </c>
      <c r="I25" s="38" t="s">
        <v>89</v>
      </c>
      <c r="J25" s="40" t="n">
        <v>2.87480042420966</v>
      </c>
      <c r="K25" s="39" t="n">
        <f aca="false">IF(G25="","",MAX(0,G25-J25/100))</f>
        <v>0.470299614805522</v>
      </c>
      <c r="L25" s="39" t="n">
        <f aca="false">IF(G25="","",MIN(1,G25+J25/100))</f>
        <v>0.527795623289716</v>
      </c>
      <c r="M25" s="21" t="n">
        <f aca="false">ROUND(Q25*S25,0)</f>
        <v>32</v>
      </c>
      <c r="N25" s="21" t="n">
        <f aca="false">ROUND(SQRT((F25*J25/100)^2+(G25*M25)^2),0)</f>
        <v>22</v>
      </c>
      <c r="P25" s="41" t="n">
        <v>-3.58414157259336</v>
      </c>
      <c r="Q25" s="42" t="n">
        <v>525</v>
      </c>
      <c r="R25" s="43" t="n">
        <f aca="false">MAX(0,MIN(1,P25/100+$D$5))</f>
        <v>0.499914946511865</v>
      </c>
      <c r="S25" s="43" t="n">
        <v>0.0610405690258335</v>
      </c>
      <c r="T25" s="44" t="s">
        <v>90</v>
      </c>
    </row>
    <row r="26" customFormat="false" ht="15" hidden="false" customHeight="false" outlineLevel="0" collapsed="false">
      <c r="A26" s="38" t="s">
        <v>87</v>
      </c>
      <c r="B26" s="38" t="s">
        <v>108</v>
      </c>
      <c r="C26" s="38" t="s">
        <v>109</v>
      </c>
      <c r="D26" s="21" t="n">
        <f aca="false">ROUND(Q26*R26,0)</f>
        <v>99</v>
      </c>
      <c r="E26" s="21" t="n">
        <f aca="false">ROUND(Q26,0)-D26</f>
        <v>151</v>
      </c>
      <c r="F26" s="21" t="n">
        <f aca="false">IF(COUNTA(D26:E26)=0,"",SUM(D26:E26))</f>
        <v>250</v>
      </c>
      <c r="G26" s="39" t="n">
        <f aca="false">IF(OR(F26="",F26=0),"",D26/F26)</f>
        <v>0.396</v>
      </c>
      <c r="H26" s="39" t="n">
        <f aca="false">IF(OR(F26="",F26=0),"",E26/F26)</f>
        <v>0.604</v>
      </c>
      <c r="I26" s="38" t="s">
        <v>89</v>
      </c>
      <c r="J26" s="40" t="n">
        <v>2.87480042420966</v>
      </c>
      <c r="K26" s="39" t="n">
        <f aca="false">IF(G26="","",MAX(0,G26-J26/100))</f>
        <v>0.367251995757903</v>
      </c>
      <c r="L26" s="39" t="n">
        <f aca="false">IF(G26="","",MIN(1,G26+J26/100))</f>
        <v>0.424748004242097</v>
      </c>
      <c r="M26" s="21" t="n">
        <f aca="false">ROUND(Q26*S26,0)</f>
        <v>15</v>
      </c>
      <c r="N26" s="21" t="n">
        <f aca="false">ROUND(SQRT((F26*J26/100)^2+(G26*M26)^2),0)</f>
        <v>9</v>
      </c>
      <c r="P26" s="41" t="n">
        <v>-13.9467711487313</v>
      </c>
      <c r="Q26" s="42" t="n">
        <v>250</v>
      </c>
      <c r="R26" s="43" t="n">
        <f aca="false">MAX(0,MIN(1,P26/100+$D$5))</f>
        <v>0.396288650750486</v>
      </c>
      <c r="S26" s="43" t="n">
        <v>0.0610405690258335</v>
      </c>
      <c r="T26" s="44" t="s">
        <v>90</v>
      </c>
    </row>
    <row r="27" customFormat="false" ht="15" hidden="false" customHeight="false" outlineLevel="0" collapsed="false">
      <c r="A27" s="38" t="s">
        <v>87</v>
      </c>
      <c r="B27" s="38" t="s">
        <v>108</v>
      </c>
      <c r="C27" s="38" t="s">
        <v>110</v>
      </c>
      <c r="D27" s="21" t="n">
        <f aca="false">ROUND(Q27*R27,0)</f>
        <v>214</v>
      </c>
      <c r="E27" s="21" t="n">
        <f aca="false">ROUND(Q27,0)-D27</f>
        <v>373</v>
      </c>
      <c r="F27" s="21" t="n">
        <f aca="false">IF(COUNTA(D27:E27)=0,"",SUM(D27:E27))</f>
        <v>587</v>
      </c>
      <c r="G27" s="39" t="n">
        <f aca="false">IF(OR(F27="",F27=0),"",D27/F27)</f>
        <v>0.364565587734242</v>
      </c>
      <c r="H27" s="39" t="n">
        <f aca="false">IF(OR(F27="",F27=0),"",E27/F27)</f>
        <v>0.635434412265758</v>
      </c>
      <c r="I27" s="38" t="s">
        <v>89</v>
      </c>
      <c r="J27" s="40" t="n">
        <v>2.87480042420966</v>
      </c>
      <c r="K27" s="39" t="n">
        <f aca="false">IF(G27="","",MAX(0,G27-J27/100))</f>
        <v>0.335817583492145</v>
      </c>
      <c r="L27" s="39" t="n">
        <f aca="false">IF(G27="","",MIN(1,G27+J27/100))</f>
        <v>0.393313591976339</v>
      </c>
      <c r="M27" s="21" t="n">
        <f aca="false">ROUND(Q27*S27,0)</f>
        <v>36</v>
      </c>
      <c r="N27" s="21" t="n">
        <f aca="false">ROUND(SQRT((F27*J27/100)^2+(G27*M27)^2),0)</f>
        <v>21</v>
      </c>
      <c r="P27" s="41" t="n">
        <v>-17.1355949617381</v>
      </c>
      <c r="Q27" s="42" t="n">
        <v>587</v>
      </c>
      <c r="R27" s="43" t="n">
        <f aca="false">MAX(0,MIN(1,P27/100+$D$5))</f>
        <v>0.364400412620418</v>
      </c>
      <c r="S27" s="43" t="n">
        <v>0.0610405690258335</v>
      </c>
      <c r="T27" s="44" t="s">
        <v>90</v>
      </c>
    </row>
    <row r="28" customFormat="false" ht="15" hidden="false" customHeight="false" outlineLevel="0" collapsed="false">
      <c r="A28" s="38" t="s">
        <v>87</v>
      </c>
      <c r="B28" s="38" t="s">
        <v>111</v>
      </c>
      <c r="C28" s="38" t="s">
        <v>112</v>
      </c>
      <c r="D28" s="21" t="n">
        <f aca="false">ROUND(Q28*R28,0)</f>
        <v>217</v>
      </c>
      <c r="E28" s="21" t="n">
        <f aca="false">ROUND(Q28,0)-D28</f>
        <v>266</v>
      </c>
      <c r="F28" s="21" t="n">
        <f aca="false">IF(COUNTA(D28:E28)=0,"",SUM(D28:E28))</f>
        <v>483</v>
      </c>
      <c r="G28" s="39" t="n">
        <f aca="false">IF(OR(F28="",F28=0),"",D28/F28)</f>
        <v>0.449275362318841</v>
      </c>
      <c r="H28" s="39" t="n">
        <f aca="false">IF(OR(F28="",F28=0),"",E28/F28)</f>
        <v>0.550724637681159</v>
      </c>
      <c r="I28" s="38" t="s">
        <v>89</v>
      </c>
      <c r="J28" s="40" t="n">
        <v>2.87480042420966</v>
      </c>
      <c r="K28" s="39" t="n">
        <f aca="false">IF(G28="","",MAX(0,G28-J28/100))</f>
        <v>0.420527358076744</v>
      </c>
      <c r="L28" s="39" t="n">
        <f aca="false">IF(G28="","",MIN(1,G28+J28/100))</f>
        <v>0.478023366560937</v>
      </c>
      <c r="M28" s="21" t="n">
        <f aca="false">ROUND(Q28*S28,0)</f>
        <v>29</v>
      </c>
      <c r="N28" s="21" t="n">
        <f aca="false">ROUND(SQRT((F28*J28/100)^2+(G28*M28)^2),0)</f>
        <v>19</v>
      </c>
      <c r="P28" s="41" t="n">
        <v>-8.58432446719977</v>
      </c>
      <c r="Q28" s="42" t="n">
        <v>483</v>
      </c>
      <c r="R28" s="43" t="n">
        <f aca="false">MAX(0,MIN(1,P28/100+$D$5))</f>
        <v>0.449913117565801</v>
      </c>
      <c r="S28" s="43" t="n">
        <v>0.0610405690258335</v>
      </c>
      <c r="T28" s="44" t="s">
        <v>90</v>
      </c>
    </row>
    <row r="29" customFormat="false" ht="15" hidden="false" customHeight="false" outlineLevel="0" collapsed="false">
      <c r="A29" s="38" t="s">
        <v>87</v>
      </c>
      <c r="B29" s="38" t="s">
        <v>111</v>
      </c>
      <c r="C29" s="38" t="s">
        <v>113</v>
      </c>
      <c r="D29" s="21" t="n">
        <f aca="false">ROUND(Q29*R29,0)</f>
        <v>129</v>
      </c>
      <c r="E29" s="21" t="n">
        <f aca="false">ROUND(Q29,0)-D29</f>
        <v>158</v>
      </c>
      <c r="F29" s="21" t="n">
        <f aca="false">IF(COUNTA(D29:E29)=0,"",SUM(D29:E29))</f>
        <v>287</v>
      </c>
      <c r="G29" s="39" t="n">
        <f aca="false">IF(OR(F29="",F29=0),"",D29/F29)</f>
        <v>0.449477351916376</v>
      </c>
      <c r="H29" s="39" t="n">
        <f aca="false">IF(OR(F29="",F29=0),"",E29/F29)</f>
        <v>0.550522648083624</v>
      </c>
      <c r="I29" s="38" t="s">
        <v>89</v>
      </c>
      <c r="J29" s="40" t="n">
        <v>2.87480042420966</v>
      </c>
      <c r="K29" s="39" t="n">
        <f aca="false">IF(G29="","",MAX(0,G29-J29/100))</f>
        <v>0.42072934767428</v>
      </c>
      <c r="L29" s="39" t="n">
        <f aca="false">IF(G29="","",MIN(1,G29+J29/100))</f>
        <v>0.478225356158473</v>
      </c>
      <c r="M29" s="21" t="n">
        <f aca="false">ROUND(Q29*S29,0)</f>
        <v>18</v>
      </c>
      <c r="N29" s="21" t="n">
        <f aca="false">ROUND(SQRT((F29*J29/100)^2+(G29*M29)^2),0)</f>
        <v>12</v>
      </c>
      <c r="P29" s="41" t="n">
        <v>-8.70380982549158</v>
      </c>
      <c r="Q29" s="42" t="n">
        <v>287</v>
      </c>
      <c r="R29" s="43" t="n">
        <f aca="false">MAX(0,MIN(1,P29/100+$D$5))</f>
        <v>0.448718263982883</v>
      </c>
      <c r="S29" s="43" t="n">
        <v>0.0610405690258335</v>
      </c>
      <c r="T29" s="44" t="s">
        <v>90</v>
      </c>
    </row>
    <row r="30" customFormat="false" ht="15" hidden="false" customHeight="false" outlineLevel="0" collapsed="false">
      <c r="A30" s="38" t="s">
        <v>87</v>
      </c>
      <c r="B30" s="38" t="s">
        <v>111</v>
      </c>
      <c r="C30" s="38" t="s">
        <v>114</v>
      </c>
      <c r="D30" s="21" t="n">
        <f aca="false">ROUND(Q30*R30,0)</f>
        <v>110</v>
      </c>
      <c r="E30" s="21" t="n">
        <f aca="false">ROUND(Q30,0)-D30</f>
        <v>120</v>
      </c>
      <c r="F30" s="21" t="n">
        <f aca="false">IF(COUNTA(D30:E30)=0,"",SUM(D30:E30))</f>
        <v>230</v>
      </c>
      <c r="G30" s="39" t="n">
        <f aca="false">IF(OR(F30="",F30=0),"",D30/F30)</f>
        <v>0.478260869565217</v>
      </c>
      <c r="H30" s="39" t="n">
        <f aca="false">IF(OR(F30="",F30=0),"",E30/F30)</f>
        <v>0.521739130434783</v>
      </c>
      <c r="I30" s="38" t="s">
        <v>89</v>
      </c>
      <c r="J30" s="40" t="n">
        <v>2.87480042420966</v>
      </c>
      <c r="K30" s="39" t="n">
        <f aca="false">IF(G30="","",MAX(0,G30-J30/100))</f>
        <v>0.449512865323121</v>
      </c>
      <c r="L30" s="39" t="n">
        <f aca="false">IF(G30="","",MIN(1,G30+J30/100))</f>
        <v>0.507008873807314</v>
      </c>
      <c r="M30" s="21" t="n">
        <f aca="false">ROUND(Q30*S30,0)</f>
        <v>14</v>
      </c>
      <c r="N30" s="21" t="n">
        <f aca="false">ROUND(SQRT((F30*J30/100)^2+(G30*M30)^2),0)</f>
        <v>9</v>
      </c>
      <c r="P30" s="41" t="n">
        <v>-5.88397869393532</v>
      </c>
      <c r="Q30" s="42" t="n">
        <v>230</v>
      </c>
      <c r="R30" s="43" t="n">
        <f aca="false">MAX(0,MIN(1,P30/100+$D$5))</f>
        <v>0.476916575298446</v>
      </c>
      <c r="S30" s="43" t="n">
        <v>0.0610405690258335</v>
      </c>
      <c r="T30" s="44" t="s">
        <v>90</v>
      </c>
    </row>
    <row r="31" customFormat="false" ht="15" hidden="false" customHeight="false" outlineLevel="0" collapsed="false">
      <c r="A31" s="38" t="s">
        <v>87</v>
      </c>
      <c r="B31" s="38" t="s">
        <v>115</v>
      </c>
      <c r="C31" s="38" t="s">
        <v>115</v>
      </c>
      <c r="D31" s="21" t="n">
        <f aca="false">ROUND(Q31*R31,0)</f>
        <v>36</v>
      </c>
      <c r="E31" s="21" t="n">
        <f aca="false">ROUND(Q31,0)-D31</f>
        <v>79</v>
      </c>
      <c r="F31" s="21" t="n">
        <f aca="false">IF(COUNTA(D31:E31)=0,"",SUM(D31:E31))</f>
        <v>115</v>
      </c>
      <c r="G31" s="39" t="n">
        <f aca="false">IF(OR(F31="",F31=0),"",D31/F31)</f>
        <v>0.31304347826087</v>
      </c>
      <c r="H31" s="39" t="n">
        <f aca="false">IF(OR(F31="",F31=0),"",E31/F31)</f>
        <v>0.686956521739131</v>
      </c>
      <c r="I31" s="38" t="s">
        <v>89</v>
      </c>
      <c r="J31" s="40" t="n">
        <v>2.87480042420966</v>
      </c>
      <c r="K31" s="39" t="n">
        <f aca="false">IF(G31="","",MAX(0,G31-J31/100))</f>
        <v>0.284295474018773</v>
      </c>
      <c r="L31" s="39" t="n">
        <f aca="false">IF(G31="","",MIN(1,G31+J31/100))</f>
        <v>0.341791482502966</v>
      </c>
      <c r="M31" s="21" t="n">
        <f aca="false">ROUND(Q31*S31,0)</f>
        <v>7</v>
      </c>
      <c r="N31" s="21" t="n">
        <f aca="false">ROUND(SQRT((F31*J31/100)^2+(G31*M31)^2),0)</f>
        <v>4</v>
      </c>
      <c r="P31" s="41" t="n">
        <v>-22.5826807766534</v>
      </c>
      <c r="Q31" s="42" t="n">
        <v>115</v>
      </c>
      <c r="R31" s="43" t="n">
        <f aca="false">MAX(0,MIN(1,P31/100+$D$5))</f>
        <v>0.309929554471265</v>
      </c>
      <c r="S31" s="43" t="n">
        <v>0.0610405690258335</v>
      </c>
      <c r="T31" s="44" t="s">
        <v>90</v>
      </c>
    </row>
    <row r="32" customFormat="false" ht="15" hidden="false" customHeight="false" outlineLevel="0" collapsed="false">
      <c r="A32" s="38" t="s">
        <v>87</v>
      </c>
      <c r="B32" s="38" t="s">
        <v>116</v>
      </c>
      <c r="C32" s="38" t="s">
        <v>116</v>
      </c>
      <c r="D32" s="21" t="n">
        <f aca="false">ROUND(Q32*R32,0)</f>
        <v>62</v>
      </c>
      <c r="E32" s="21" t="n">
        <f aca="false">ROUND(Q32,0)-D32</f>
        <v>179</v>
      </c>
      <c r="F32" s="21" t="n">
        <f aca="false">IF(COUNTA(D32:E32)=0,"",SUM(D32:E32))</f>
        <v>241</v>
      </c>
      <c r="G32" s="39" t="n">
        <f aca="false">IF(OR(F32="",F32=0),"",D32/F32)</f>
        <v>0.257261410788382</v>
      </c>
      <c r="H32" s="39" t="n">
        <f aca="false">IF(OR(F32="",F32=0),"",E32/F32)</f>
        <v>0.742738589211618</v>
      </c>
      <c r="I32" s="38" t="s">
        <v>89</v>
      </c>
      <c r="J32" s="40" t="n">
        <v>2.87480042420966</v>
      </c>
      <c r="K32" s="39" t="n">
        <f aca="false">IF(G32="","",MAX(0,G32-J32/100))</f>
        <v>0.228513406546285</v>
      </c>
      <c r="L32" s="39" t="n">
        <f aca="false">IF(G32="","",MIN(1,G32+J32/100))</f>
        <v>0.286009415030478</v>
      </c>
      <c r="M32" s="21" t="n">
        <f aca="false">ROUND(Q32*S32,0)</f>
        <v>15</v>
      </c>
      <c r="N32" s="21" t="n">
        <f aca="false">ROUND(SQRT((F32*J32/100)^2+(G32*M32)^2),0)</f>
        <v>8</v>
      </c>
      <c r="P32" s="41" t="n">
        <v>-28.0068681337416</v>
      </c>
      <c r="Q32" s="42" t="n">
        <v>241</v>
      </c>
      <c r="R32" s="43" t="n">
        <f aca="false">MAX(0,MIN(1,P32/100+$D$5))</f>
        <v>0.255687680900382</v>
      </c>
      <c r="S32" s="43" t="n">
        <v>0.0610405690258335</v>
      </c>
      <c r="T32" s="44" t="s">
        <v>90</v>
      </c>
    </row>
    <row r="33" customFormat="false" ht="15" hidden="false" customHeight="false" outlineLevel="0" collapsed="false">
      <c r="A33" s="38" t="s">
        <v>87</v>
      </c>
      <c r="B33" s="38" t="s">
        <v>117</v>
      </c>
      <c r="C33" s="38" t="s">
        <v>118</v>
      </c>
      <c r="D33" s="21" t="n">
        <f aca="false">ROUND(Q33*R33,0)</f>
        <v>246</v>
      </c>
      <c r="E33" s="21" t="n">
        <f aca="false">ROUND(Q33,0)-D33</f>
        <v>320</v>
      </c>
      <c r="F33" s="21" t="n">
        <f aca="false">IF(COUNTA(D33:E33)=0,"",SUM(D33:E33))</f>
        <v>566</v>
      </c>
      <c r="G33" s="39" t="n">
        <f aca="false">IF(OR(F33="",F33=0),"",D33/F33)</f>
        <v>0.434628975265018</v>
      </c>
      <c r="H33" s="39" t="n">
        <f aca="false">IF(OR(F33="",F33=0),"",E33/F33)</f>
        <v>0.565371024734982</v>
      </c>
      <c r="I33" s="38" t="s">
        <v>89</v>
      </c>
      <c r="J33" s="40" t="n">
        <v>2.87480042420966</v>
      </c>
      <c r="K33" s="39" t="n">
        <f aca="false">IF(G33="","",MAX(0,G33-J33/100))</f>
        <v>0.405880971022921</v>
      </c>
      <c r="L33" s="39" t="n">
        <f aca="false">IF(G33="","",MIN(1,G33+J33/100))</f>
        <v>0.463376979507114</v>
      </c>
      <c r="M33" s="21" t="n">
        <f aca="false">ROUND(Q33*S33,0)</f>
        <v>35</v>
      </c>
      <c r="N33" s="21" t="n">
        <f aca="false">ROUND(SQRT((F33*J33/100)^2+(G33*M33)^2),0)</f>
        <v>22</v>
      </c>
      <c r="P33" s="41" t="n">
        <v>-10.065615517185</v>
      </c>
      <c r="Q33" s="42" t="n">
        <v>566</v>
      </c>
      <c r="R33" s="43" t="n">
        <f aca="false">MAX(0,MIN(1,P33/100+$D$5))</f>
        <v>0.435100207065949</v>
      </c>
      <c r="S33" s="43" t="n">
        <v>0.0610405690258335</v>
      </c>
      <c r="T33" s="44" t="s">
        <v>90</v>
      </c>
    </row>
    <row r="34" customFormat="false" ht="15" hidden="false" customHeight="false" outlineLevel="0" collapsed="false">
      <c r="A34" s="38" t="s">
        <v>87</v>
      </c>
      <c r="B34" s="38" t="s">
        <v>117</v>
      </c>
      <c r="C34" s="38" t="s">
        <v>119</v>
      </c>
      <c r="D34" s="21" t="n">
        <f aca="false">ROUND(Q34*R34,0)</f>
        <v>224</v>
      </c>
      <c r="E34" s="21" t="n">
        <f aca="false">ROUND(Q34,0)-D34</f>
        <v>303</v>
      </c>
      <c r="F34" s="21" t="n">
        <f aca="false">IF(COUNTA(D34:E34)=0,"",SUM(D34:E34))</f>
        <v>527</v>
      </c>
      <c r="G34" s="39" t="n">
        <f aca="false">IF(OR(F34="",F34=0),"",D34/F34)</f>
        <v>0.425047438330171</v>
      </c>
      <c r="H34" s="39" t="n">
        <f aca="false">IF(OR(F34="",F34=0),"",E34/F34)</f>
        <v>0.574952561669829</v>
      </c>
      <c r="I34" s="38" t="s">
        <v>89</v>
      </c>
      <c r="J34" s="40" t="n">
        <v>2.87480042420966</v>
      </c>
      <c r="K34" s="39" t="n">
        <f aca="false">IF(G34="","",MAX(0,G34-J34/100))</f>
        <v>0.396299434088074</v>
      </c>
      <c r="L34" s="39" t="n">
        <f aca="false">IF(G34="","",MIN(1,G34+J34/100))</f>
        <v>0.453795442572267</v>
      </c>
      <c r="M34" s="21" t="n">
        <f aca="false">ROUND(Q34*S34,0)</f>
        <v>32</v>
      </c>
      <c r="N34" s="21" t="n">
        <f aca="false">ROUND(SQRT((F34*J34/100)^2+(G34*M34)^2),0)</f>
        <v>20</v>
      </c>
      <c r="P34" s="41" t="n">
        <v>-11.1278466573727</v>
      </c>
      <c r="Q34" s="42" t="n">
        <v>527</v>
      </c>
      <c r="R34" s="43" t="n">
        <f aca="false">MAX(0,MIN(1,P34/100+$D$5))</f>
        <v>0.424477895664072</v>
      </c>
      <c r="S34" s="43" t="n">
        <v>0.0610405690258335</v>
      </c>
      <c r="T34" s="44" t="s">
        <v>90</v>
      </c>
    </row>
    <row r="35" customFormat="false" ht="15" hidden="false" customHeight="false" outlineLevel="0" collapsed="false">
      <c r="A35" s="38" t="s">
        <v>87</v>
      </c>
      <c r="B35" s="38" t="s">
        <v>117</v>
      </c>
      <c r="C35" s="38" t="s">
        <v>120</v>
      </c>
      <c r="D35" s="21" t="n">
        <f aca="false">ROUND(Q35*R35,0)</f>
        <v>245</v>
      </c>
      <c r="E35" s="21" t="n">
        <f aca="false">ROUND(Q35,0)-D35</f>
        <v>329</v>
      </c>
      <c r="F35" s="21" t="n">
        <f aca="false">IF(COUNTA(D35:E35)=0,"",SUM(D35:E35))</f>
        <v>574</v>
      </c>
      <c r="G35" s="39" t="n">
        <f aca="false">IF(OR(F35="",F35=0),"",D35/F35)</f>
        <v>0.426829268292683</v>
      </c>
      <c r="H35" s="39" t="n">
        <f aca="false">IF(OR(F35="",F35=0),"",E35/F35)</f>
        <v>0.573170731707317</v>
      </c>
      <c r="I35" s="38" t="s">
        <v>89</v>
      </c>
      <c r="J35" s="40" t="n">
        <v>2.87480042420966</v>
      </c>
      <c r="K35" s="39" t="n">
        <f aca="false">IF(G35="","",MAX(0,G35-J35/100))</f>
        <v>0.398081264050586</v>
      </c>
      <c r="L35" s="39" t="n">
        <f aca="false">IF(G35="","",MIN(1,G35+J35/100))</f>
        <v>0.45557727253478</v>
      </c>
      <c r="M35" s="21" t="n">
        <f aca="false">ROUND(Q35*S35,0)</f>
        <v>35</v>
      </c>
      <c r="N35" s="21" t="n">
        <f aca="false">ROUND(SQRT((F35*J35/100)^2+(G35*M35)^2),0)</f>
        <v>22</v>
      </c>
      <c r="P35" s="41" t="n">
        <v>-10.9410086530777</v>
      </c>
      <c r="Q35" s="42" t="n">
        <v>574</v>
      </c>
      <c r="R35" s="43" t="n">
        <f aca="false">MAX(0,MIN(1,P35/100+$D$5))</f>
        <v>0.426346275707022</v>
      </c>
      <c r="S35" s="43" t="n">
        <v>0.0610405690258335</v>
      </c>
      <c r="T35" s="44" t="s">
        <v>90</v>
      </c>
    </row>
    <row r="36" customFormat="false" ht="15" hidden="false" customHeight="false" outlineLevel="0" collapsed="false">
      <c r="A36" s="38" t="s">
        <v>87</v>
      </c>
      <c r="B36" s="38" t="s">
        <v>121</v>
      </c>
      <c r="C36" s="38" t="s">
        <v>122</v>
      </c>
      <c r="D36" s="21" t="n">
        <f aca="false">ROUND(Q36*R36,0)</f>
        <v>267</v>
      </c>
      <c r="E36" s="21" t="n">
        <f aca="false">ROUND(Q36,0)-D36</f>
        <v>532</v>
      </c>
      <c r="F36" s="21" t="n">
        <f aca="false">IF(COUNTA(D36:E36)=0,"",SUM(D36:E36))</f>
        <v>799</v>
      </c>
      <c r="G36" s="39" t="n">
        <f aca="false">IF(OR(F36="",F36=0),"",D36/F36)</f>
        <v>0.334167709637046</v>
      </c>
      <c r="H36" s="39" t="n">
        <f aca="false">IF(OR(F36="",F36=0),"",E36/F36)</f>
        <v>0.665832290362954</v>
      </c>
      <c r="I36" s="38" t="s">
        <v>89</v>
      </c>
      <c r="J36" s="40" t="n">
        <v>1.92472098334064</v>
      </c>
      <c r="K36" s="39" t="n">
        <f aca="false">IF(G36="","",MAX(0,G36-J36/100))</f>
        <v>0.31492049980364</v>
      </c>
      <c r="L36" s="39" t="n">
        <f aca="false">IF(G36="","",MIN(1,G36+J36/100))</f>
        <v>0.353414919470453</v>
      </c>
      <c r="M36" s="21" t="n">
        <f aca="false">ROUND(Q36*S36,0)</f>
        <v>40</v>
      </c>
      <c r="N36" s="21" t="n">
        <f aca="false">ROUND(SQRT((F36*J36/100)^2+(G36*M36)^2),0)</f>
        <v>20</v>
      </c>
      <c r="P36" s="41" t="n">
        <v>-20.1398362961547</v>
      </c>
      <c r="Q36" s="42" t="n">
        <v>799</v>
      </c>
      <c r="R36" s="43" t="n">
        <f aca="false">MAX(0,MIN(1,P36/100+$D$5))</f>
        <v>0.334357999276252</v>
      </c>
      <c r="S36" s="43" t="n">
        <v>0.0500321312575726</v>
      </c>
      <c r="T36" s="44" t="s">
        <v>99</v>
      </c>
    </row>
    <row r="37" customFormat="false" ht="15" hidden="false" customHeight="false" outlineLevel="0" collapsed="false">
      <c r="A37" s="38" t="s">
        <v>87</v>
      </c>
      <c r="B37" s="38" t="s">
        <v>121</v>
      </c>
      <c r="C37" s="38" t="s">
        <v>123</v>
      </c>
      <c r="D37" s="21" t="n">
        <f aca="false">ROUND(Q37*R37,0)</f>
        <v>187</v>
      </c>
      <c r="E37" s="21" t="n">
        <f aca="false">ROUND(Q37,0)-D37</f>
        <v>360</v>
      </c>
      <c r="F37" s="21" t="n">
        <f aca="false">IF(COUNTA(D37:E37)=0,"",SUM(D37:E37))</f>
        <v>547</v>
      </c>
      <c r="G37" s="39" t="n">
        <f aca="false">IF(OR(F37="",F37=0),"",D37/F37)</f>
        <v>0.341864716636197</v>
      </c>
      <c r="H37" s="39" t="n">
        <f aca="false">IF(OR(F37="",F37=0),"",E37/F37)</f>
        <v>0.658135283363803</v>
      </c>
      <c r="I37" s="38" t="s">
        <v>89</v>
      </c>
      <c r="J37" s="40" t="n">
        <v>2.87480042420966</v>
      </c>
      <c r="K37" s="39" t="n">
        <f aca="false">IF(G37="","",MAX(0,G37-J37/100))</f>
        <v>0.313116712394101</v>
      </c>
      <c r="L37" s="39" t="n">
        <f aca="false">IF(G37="","",MIN(1,G37+J37/100))</f>
        <v>0.370612720878294</v>
      </c>
      <c r="M37" s="21" t="n">
        <f aca="false">ROUND(Q37*S37,0)</f>
        <v>33</v>
      </c>
      <c r="N37" s="21" t="n">
        <f aca="false">ROUND(SQRT((F37*J37/100)^2+(G37*M37)^2),0)</f>
        <v>19</v>
      </c>
      <c r="P37" s="41" t="n">
        <v>-19.3945017477238</v>
      </c>
      <c r="Q37" s="42" t="n">
        <v>547</v>
      </c>
      <c r="R37" s="43" t="n">
        <f aca="false">MAX(0,MIN(1,P37/100+$D$5))</f>
        <v>0.341811344760561</v>
      </c>
      <c r="S37" s="43" t="n">
        <v>0.0610405690258335</v>
      </c>
      <c r="T37" s="44" t="s">
        <v>90</v>
      </c>
    </row>
    <row r="38" customFormat="false" ht="15" hidden="false" customHeight="false" outlineLevel="0" collapsed="false">
      <c r="A38" s="38" t="s">
        <v>87</v>
      </c>
      <c r="B38" s="38" t="s">
        <v>124</v>
      </c>
      <c r="C38" s="38" t="s">
        <v>125</v>
      </c>
      <c r="D38" s="21" t="n">
        <f aca="false">ROUND(Q38*R38,0)</f>
        <v>115</v>
      </c>
      <c r="E38" s="21" t="n">
        <f aca="false">ROUND(Q38,0)-D38</f>
        <v>274</v>
      </c>
      <c r="F38" s="21" t="n">
        <f aca="false">IF(COUNTA(D38:E38)=0,"",SUM(D38:E38))</f>
        <v>389</v>
      </c>
      <c r="G38" s="39" t="n">
        <f aca="false">IF(OR(F38="",F38=0),"",D38/F38)</f>
        <v>0.295629820051414</v>
      </c>
      <c r="H38" s="39" t="n">
        <f aca="false">IF(OR(F38="",F38=0),"",E38/F38)</f>
        <v>0.704370179948586</v>
      </c>
      <c r="I38" s="38" t="s">
        <v>89</v>
      </c>
      <c r="J38" s="40" t="n">
        <v>2.87480042420966</v>
      </c>
      <c r="K38" s="39" t="n">
        <f aca="false">IF(G38="","",MAX(0,G38-J38/100))</f>
        <v>0.266881815809317</v>
      </c>
      <c r="L38" s="39" t="n">
        <f aca="false">IF(G38="","",MIN(1,G38+J38/100))</f>
        <v>0.324377824293511</v>
      </c>
      <c r="M38" s="21" t="n">
        <f aca="false">ROUND(Q38*S38,0)</f>
        <v>24</v>
      </c>
      <c r="N38" s="21" t="n">
        <f aca="false">ROUND(SQRT((F38*J38/100)^2+(G38*M38)^2),0)</f>
        <v>13</v>
      </c>
      <c r="P38" s="41" t="n">
        <v>-24.0267446876605</v>
      </c>
      <c r="Q38" s="42" t="n">
        <v>389</v>
      </c>
      <c r="R38" s="43" t="n">
        <f aca="false">MAX(0,MIN(1,P38/100+$D$5))</f>
        <v>0.295488915361194</v>
      </c>
      <c r="S38" s="43" t="n">
        <v>0.0610405690258335</v>
      </c>
      <c r="T38" s="44" t="s">
        <v>90</v>
      </c>
    </row>
    <row r="39" customFormat="false" ht="15" hidden="false" customHeight="false" outlineLevel="0" collapsed="false">
      <c r="A39" s="38" t="s">
        <v>87</v>
      </c>
      <c r="B39" s="38" t="s">
        <v>124</v>
      </c>
      <c r="C39" s="38" t="s">
        <v>126</v>
      </c>
      <c r="D39" s="21" t="n">
        <f aca="false">ROUND(Q39*R39,0)</f>
        <v>106</v>
      </c>
      <c r="E39" s="21" t="n">
        <f aca="false">ROUND(Q39,0)-D39</f>
        <v>200</v>
      </c>
      <c r="F39" s="21" t="n">
        <f aca="false">IF(COUNTA(D39:E39)=0,"",SUM(D39:E39))</f>
        <v>306</v>
      </c>
      <c r="G39" s="39" t="n">
        <f aca="false">IF(OR(F39="",F39=0),"",D39/F39)</f>
        <v>0.34640522875817</v>
      </c>
      <c r="H39" s="39" t="n">
        <f aca="false">IF(OR(F39="",F39=0),"",E39/F39)</f>
        <v>0.65359477124183</v>
      </c>
      <c r="I39" s="38" t="s">
        <v>89</v>
      </c>
      <c r="J39" s="40" t="n">
        <v>2.87480042420966</v>
      </c>
      <c r="K39" s="39" t="n">
        <f aca="false">IF(G39="","",MAX(0,G39-J39/100))</f>
        <v>0.317657224516073</v>
      </c>
      <c r="L39" s="39" t="n">
        <f aca="false">IF(G39="","",MIN(1,G39+J39/100))</f>
        <v>0.375153233000267</v>
      </c>
      <c r="M39" s="21" t="n">
        <f aca="false">ROUND(Q39*S39,0)</f>
        <v>19</v>
      </c>
      <c r="N39" s="21" t="n">
        <f aca="false">ROUND(SQRT((F39*J39/100)^2+(G39*M39)^2),0)</f>
        <v>11</v>
      </c>
      <c r="P39" s="41" t="n">
        <v>-19.0960999615197</v>
      </c>
      <c r="Q39" s="42" t="n">
        <v>306</v>
      </c>
      <c r="R39" s="43" t="n">
        <f aca="false">MAX(0,MIN(1,P39/100+$D$5))</f>
        <v>0.344795362622601</v>
      </c>
      <c r="S39" s="43" t="n">
        <v>0.0610405690258335</v>
      </c>
      <c r="T39" s="44" t="s">
        <v>90</v>
      </c>
    </row>
    <row r="40" customFormat="false" ht="15" hidden="false" customHeight="false" outlineLevel="0" collapsed="false">
      <c r="A40" s="38" t="s">
        <v>87</v>
      </c>
      <c r="B40" s="38" t="s">
        <v>124</v>
      </c>
      <c r="C40" s="38" t="s">
        <v>127</v>
      </c>
      <c r="D40" s="21" t="n">
        <f aca="false">ROUND(Q40*R40,0)</f>
        <v>365</v>
      </c>
      <c r="E40" s="21" t="n">
        <f aca="false">ROUND(Q40,0)-D40</f>
        <v>713</v>
      </c>
      <c r="F40" s="21" t="n">
        <f aca="false">IF(COUNTA(D40:E40)=0,"",SUM(D40:E40))</f>
        <v>1078</v>
      </c>
      <c r="G40" s="39" t="n">
        <f aca="false">IF(OR(F40="",F40=0),"",D40/F40)</f>
        <v>0.338589981447124</v>
      </c>
      <c r="H40" s="39" t="n">
        <f aca="false">IF(OR(F40="",F40=0),"",E40/F40)</f>
        <v>0.661410018552876</v>
      </c>
      <c r="I40" s="38" t="s">
        <v>89</v>
      </c>
      <c r="J40" s="40" t="n">
        <v>1.92472098334064</v>
      </c>
      <c r="K40" s="39" t="n">
        <f aca="false">IF(G40="","",MAX(0,G40-J40/100))</f>
        <v>0.319342771613718</v>
      </c>
      <c r="L40" s="39" t="n">
        <f aca="false">IF(G40="","",MIN(1,G40+J40/100))</f>
        <v>0.357837191280531</v>
      </c>
      <c r="M40" s="21" t="n">
        <f aca="false">ROUND(Q40*S40,0)</f>
        <v>54</v>
      </c>
      <c r="N40" s="21" t="n">
        <f aca="false">ROUND(SQRT((F40*J40/100)^2+(G40*M40)^2),0)</f>
        <v>28</v>
      </c>
      <c r="P40" s="41" t="n">
        <v>-19.7070769409594</v>
      </c>
      <c r="Q40" s="42" t="n">
        <v>1078</v>
      </c>
      <c r="R40" s="43" t="n">
        <f aca="false">MAX(0,MIN(1,P40/100+$D$5))</f>
        <v>0.338685592828205</v>
      </c>
      <c r="S40" s="43" t="n">
        <v>0.0500321312575726</v>
      </c>
      <c r="T40" s="44" t="s">
        <v>99</v>
      </c>
    </row>
    <row r="41" customFormat="false" ht="15" hidden="false" customHeight="false" outlineLevel="0" collapsed="false">
      <c r="A41" s="38" t="s">
        <v>87</v>
      </c>
      <c r="B41" s="38" t="s">
        <v>128</v>
      </c>
      <c r="C41" s="38" t="s">
        <v>129</v>
      </c>
      <c r="D41" s="21" t="n">
        <f aca="false">ROUND(Q41*R41,0)</f>
        <v>249</v>
      </c>
      <c r="E41" s="21" t="n">
        <f aca="false">ROUND(Q41,0)-D41</f>
        <v>313</v>
      </c>
      <c r="F41" s="21" t="n">
        <f aca="false">IF(COUNTA(D41:E41)=0,"",SUM(D41:E41))</f>
        <v>562</v>
      </c>
      <c r="G41" s="39" t="n">
        <f aca="false">IF(OR(F41="",F41=0),"",D41/F41)</f>
        <v>0.443060498220641</v>
      </c>
      <c r="H41" s="39" t="n">
        <f aca="false">IF(OR(F41="",F41=0),"",E41/F41)</f>
        <v>0.55693950177936</v>
      </c>
      <c r="I41" s="38" t="s">
        <v>89</v>
      </c>
      <c r="J41" s="40" t="n">
        <v>2.87480042420966</v>
      </c>
      <c r="K41" s="39" t="n">
        <f aca="false">IF(G41="","",MAX(0,G41-J41/100))</f>
        <v>0.414312493978544</v>
      </c>
      <c r="L41" s="39" t="n">
        <f aca="false">IF(G41="","",MIN(1,G41+J41/100))</f>
        <v>0.471808502462737</v>
      </c>
      <c r="M41" s="21" t="n">
        <f aca="false">ROUND(Q41*S41,0)</f>
        <v>34</v>
      </c>
      <c r="N41" s="21" t="n">
        <f aca="false">ROUND(SQRT((F41*J41/100)^2+(G41*M41)^2),0)</f>
        <v>22</v>
      </c>
      <c r="P41" s="41" t="n">
        <v>-9.28034874977914</v>
      </c>
      <c r="Q41" s="42" t="n">
        <v>562</v>
      </c>
      <c r="R41" s="43" t="n">
        <f aca="false">MAX(0,MIN(1,P41/100+$D$5))</f>
        <v>0.442952874740007</v>
      </c>
      <c r="S41" s="43" t="n">
        <v>0.0610405690258335</v>
      </c>
      <c r="T41" s="44" t="s">
        <v>90</v>
      </c>
    </row>
    <row r="42" customFormat="false" ht="15" hidden="false" customHeight="false" outlineLevel="0" collapsed="false">
      <c r="A42" s="38" t="s">
        <v>87</v>
      </c>
      <c r="B42" s="38" t="s">
        <v>128</v>
      </c>
      <c r="C42" s="38" t="s">
        <v>130</v>
      </c>
      <c r="D42" s="21" t="n">
        <f aca="false">ROUND(Q42*R42,0)</f>
        <v>275</v>
      </c>
      <c r="E42" s="21" t="n">
        <f aca="false">ROUND(Q42,0)-D42</f>
        <v>357</v>
      </c>
      <c r="F42" s="21" t="n">
        <f aca="false">IF(COUNTA(D42:E42)=0,"",SUM(D42:E42))</f>
        <v>632</v>
      </c>
      <c r="G42" s="39" t="n">
        <f aca="false">IF(OR(F42="",F42=0),"",D42/F42)</f>
        <v>0.435126582278481</v>
      </c>
      <c r="H42" s="39" t="n">
        <f aca="false">IF(OR(F42="",F42=0),"",E42/F42)</f>
        <v>0.564873417721519</v>
      </c>
      <c r="I42" s="38" t="s">
        <v>89</v>
      </c>
      <c r="J42" s="40" t="n">
        <v>2.87480042420966</v>
      </c>
      <c r="K42" s="39" t="n">
        <f aca="false">IF(G42="","",MAX(0,G42-J42/100))</f>
        <v>0.406378578036384</v>
      </c>
      <c r="L42" s="39" t="n">
        <f aca="false">IF(G42="","",MIN(1,G42+J42/100))</f>
        <v>0.463874586520578</v>
      </c>
      <c r="M42" s="21" t="n">
        <f aca="false">ROUND(Q42*S42,0)</f>
        <v>39</v>
      </c>
      <c r="N42" s="21" t="n">
        <f aca="false">ROUND(SQRT((F42*J42/100)^2+(G42*M42)^2),0)</f>
        <v>25</v>
      </c>
      <c r="P42" s="41" t="n">
        <v>-10.1150448021652</v>
      </c>
      <c r="Q42" s="42" t="n">
        <v>632</v>
      </c>
      <c r="R42" s="43" t="n">
        <f aca="false">MAX(0,MIN(1,P42/100+$D$5))</f>
        <v>0.434605914216147</v>
      </c>
      <c r="S42" s="43" t="n">
        <v>0.0610405690258335</v>
      </c>
      <c r="T42" s="44" t="s">
        <v>90</v>
      </c>
    </row>
    <row r="43" customFormat="false" ht="15" hidden="false" customHeight="false" outlineLevel="0" collapsed="false">
      <c r="A43" s="38" t="s">
        <v>87</v>
      </c>
      <c r="B43" s="38" t="s">
        <v>131</v>
      </c>
      <c r="C43" s="38" t="s">
        <v>131</v>
      </c>
      <c r="D43" s="21" t="n">
        <f aca="false">ROUND(Q43*R43,0)</f>
        <v>135</v>
      </c>
      <c r="E43" s="21" t="n">
        <f aca="false">ROUND(Q43,0)-D43</f>
        <v>405</v>
      </c>
      <c r="F43" s="21" t="n">
        <f aca="false">IF(COUNTA(D43:E43)=0,"",SUM(D43:E43))</f>
        <v>540</v>
      </c>
      <c r="G43" s="39" t="n">
        <f aca="false">IF(OR(F43="",F43=0),"",D43/F43)</f>
        <v>0.25</v>
      </c>
      <c r="H43" s="39" t="n">
        <f aca="false">IF(OR(F43="",F43=0),"",E43/F43)</f>
        <v>0.75</v>
      </c>
      <c r="I43" s="38" t="s">
        <v>89</v>
      </c>
      <c r="J43" s="40" t="n">
        <v>2.87480042420966</v>
      </c>
      <c r="K43" s="39" t="n">
        <f aca="false">IF(G43="","",MAX(0,G43-J43/100))</f>
        <v>0.221251995757903</v>
      </c>
      <c r="L43" s="39" t="n">
        <f aca="false">IF(G43="","",MIN(1,G43+J43/100))</f>
        <v>0.278748004242097</v>
      </c>
      <c r="M43" s="21" t="n">
        <f aca="false">ROUND(Q43*S43,0)</f>
        <v>33</v>
      </c>
      <c r="N43" s="21" t="n">
        <f aca="false">ROUND(SQRT((F43*J43/100)^2+(G43*M43)^2),0)</f>
        <v>18</v>
      </c>
      <c r="P43" s="41" t="n">
        <v>-28.5871298593438</v>
      </c>
      <c r="Q43" s="42" t="n">
        <v>540</v>
      </c>
      <c r="R43" s="43" t="n">
        <f aca="false">MAX(0,MIN(1,P43/100+$D$5))</f>
        <v>0.249885063644361</v>
      </c>
      <c r="S43" s="43" t="n">
        <v>0.0610405690258335</v>
      </c>
      <c r="T43" s="44" t="s">
        <v>90</v>
      </c>
    </row>
    <row r="44" customFormat="false" ht="15" hidden="false" customHeight="false" outlineLevel="0" collapsed="false">
      <c r="A44" s="38" t="s">
        <v>87</v>
      </c>
      <c r="B44" s="38" t="s">
        <v>132</v>
      </c>
      <c r="C44" s="38" t="s">
        <v>133</v>
      </c>
      <c r="D44" s="21" t="n">
        <f aca="false">ROUND(Q44*R44,0)</f>
        <v>264</v>
      </c>
      <c r="E44" s="21" t="n">
        <f aca="false">ROUND(Q44,0)-D44</f>
        <v>415</v>
      </c>
      <c r="F44" s="21" t="n">
        <f aca="false">IF(COUNTA(D44:E44)=0,"",SUM(D44:E44))</f>
        <v>679</v>
      </c>
      <c r="G44" s="39" t="n">
        <f aca="false">IF(OR(F44="",F44=0),"",D44/F44)</f>
        <v>0.38880706921944</v>
      </c>
      <c r="H44" s="39" t="n">
        <f aca="false">IF(OR(F44="",F44=0),"",E44/F44)</f>
        <v>0.61119293078056</v>
      </c>
      <c r="I44" s="38" t="s">
        <v>89</v>
      </c>
      <c r="J44" s="40" t="n">
        <v>2.87480042420966</v>
      </c>
      <c r="K44" s="39" t="n">
        <f aca="false">IF(G44="","",MAX(0,G44-J44/100))</f>
        <v>0.360059064977344</v>
      </c>
      <c r="L44" s="39" t="n">
        <f aca="false">IF(G44="","",MIN(1,G44+J44/100))</f>
        <v>0.417555073461537</v>
      </c>
      <c r="M44" s="21" t="n">
        <f aca="false">ROUND(Q44*S44,0)</f>
        <v>41</v>
      </c>
      <c r="N44" s="21" t="n">
        <f aca="false">ROUND(SQRT((F44*J44/100)^2+(G44*M44)^2),0)</f>
        <v>25</v>
      </c>
      <c r="P44" s="41" t="n">
        <v>-14.6694908634083</v>
      </c>
      <c r="Q44" s="42" t="n">
        <v>679</v>
      </c>
      <c r="R44" s="43" t="n">
        <f aca="false">MAX(0,MIN(1,P44/100+$D$5))</f>
        <v>0.389061453603716</v>
      </c>
      <c r="S44" s="43" t="n">
        <v>0.0610405690258335</v>
      </c>
      <c r="T44" s="44" t="s">
        <v>90</v>
      </c>
    </row>
    <row r="45" customFormat="false" ht="15" hidden="false" customHeight="false" outlineLevel="0" collapsed="false">
      <c r="A45" s="38" t="s">
        <v>87</v>
      </c>
      <c r="B45" s="38" t="s">
        <v>132</v>
      </c>
      <c r="C45" s="38" t="s">
        <v>134</v>
      </c>
      <c r="D45" s="21" t="n">
        <f aca="false">ROUND(Q45*R45,0)</f>
        <v>408</v>
      </c>
      <c r="E45" s="21" t="n">
        <f aca="false">ROUND(Q45,0)-D45</f>
        <v>528</v>
      </c>
      <c r="F45" s="21" t="n">
        <f aca="false">IF(COUNTA(D45:E45)=0,"",SUM(D45:E45))</f>
        <v>936</v>
      </c>
      <c r="G45" s="39" t="n">
        <f aca="false">IF(OR(F45="",F45=0),"",D45/F45)</f>
        <v>0.435897435897436</v>
      </c>
      <c r="H45" s="39" t="n">
        <f aca="false">IF(OR(F45="",F45=0),"",E45/F45)</f>
        <v>0.564102564102564</v>
      </c>
      <c r="I45" s="38" t="s">
        <v>89</v>
      </c>
      <c r="J45" s="40" t="n">
        <v>1.92472098334064</v>
      </c>
      <c r="K45" s="39" t="n">
        <f aca="false">IF(G45="","",MAX(0,G45-J45/100))</f>
        <v>0.41665022606403</v>
      </c>
      <c r="L45" s="39" t="n">
        <f aca="false">IF(G45="","",MIN(1,G45+J45/100))</f>
        <v>0.455144645730842</v>
      </c>
      <c r="M45" s="21" t="n">
        <f aca="false">ROUND(Q45*S45,0)</f>
        <v>47</v>
      </c>
      <c r="N45" s="21" t="n">
        <f aca="false">ROUND(SQRT((F45*J45/100)^2+(G45*M45)^2),0)</f>
        <v>27</v>
      </c>
      <c r="P45" s="41" t="n">
        <v>-10.0057770846575</v>
      </c>
      <c r="Q45" s="42" t="n">
        <v>936</v>
      </c>
      <c r="R45" s="43" t="n">
        <f aca="false">MAX(0,MIN(1,P45/100+$D$5))</f>
        <v>0.435698591391224</v>
      </c>
      <c r="S45" s="43" t="n">
        <v>0.0500321312575726</v>
      </c>
      <c r="T45" s="44" t="s">
        <v>99</v>
      </c>
    </row>
    <row r="46" customFormat="false" ht="15" hidden="false" customHeight="false" outlineLevel="0" collapsed="false">
      <c r="A46" s="38" t="s">
        <v>87</v>
      </c>
      <c r="B46" s="38" t="s">
        <v>132</v>
      </c>
      <c r="C46" s="38" t="s">
        <v>135</v>
      </c>
      <c r="D46" s="21" t="n">
        <f aca="false">ROUND(Q46*R46,0)</f>
        <v>118</v>
      </c>
      <c r="E46" s="21" t="n">
        <f aca="false">ROUND(Q46,0)-D46</f>
        <v>176</v>
      </c>
      <c r="F46" s="21" t="n">
        <f aca="false">IF(COUNTA(D46:E46)=0,"",SUM(D46:E46))</f>
        <v>294</v>
      </c>
      <c r="G46" s="39" t="n">
        <f aca="false">IF(OR(F46="",F46=0),"",D46/F46)</f>
        <v>0.401360544217687</v>
      </c>
      <c r="H46" s="39" t="n">
        <f aca="false">IF(OR(F46="",F46=0),"",E46/F46)</f>
        <v>0.598639455782313</v>
      </c>
      <c r="I46" s="38" t="s">
        <v>89</v>
      </c>
      <c r="J46" s="40" t="n">
        <v>2.87480042420966</v>
      </c>
      <c r="K46" s="39" t="n">
        <f aca="false">IF(G46="","",MAX(0,G46-J46/100))</f>
        <v>0.37261253997559</v>
      </c>
      <c r="L46" s="39" t="n">
        <f aca="false">IF(G46="","",MIN(1,G46+J46/100))</f>
        <v>0.430108548459784</v>
      </c>
      <c r="M46" s="21" t="n">
        <f aca="false">ROUND(Q46*S46,0)</f>
        <v>18</v>
      </c>
      <c r="N46" s="21" t="n">
        <f aca="false">ROUND(SQRT((F46*J46/100)^2+(G46*M46)^2),0)</f>
        <v>11</v>
      </c>
      <c r="P46" s="41" t="n">
        <v>-13.283837137317</v>
      </c>
      <c r="Q46" s="42" t="n">
        <v>294</v>
      </c>
      <c r="R46" s="43" t="n">
        <f aca="false">MAX(0,MIN(1,P46/100+$D$5))</f>
        <v>0.402917990864629</v>
      </c>
      <c r="S46" s="43" t="n">
        <v>0.0610405690258335</v>
      </c>
      <c r="T46" s="44" t="s">
        <v>90</v>
      </c>
    </row>
    <row r="47" customFormat="false" ht="15" hidden="false" customHeight="false" outlineLevel="0" collapsed="false">
      <c r="A47" s="38" t="s">
        <v>87</v>
      </c>
      <c r="B47" s="38" t="s">
        <v>136</v>
      </c>
      <c r="C47" s="38" t="s">
        <v>136</v>
      </c>
      <c r="D47" s="21" t="n">
        <f aca="false">ROUND(Q47*R47,0)</f>
        <v>67</v>
      </c>
      <c r="E47" s="21" t="n">
        <f aca="false">ROUND(Q47,0)-D47</f>
        <v>120</v>
      </c>
      <c r="F47" s="21" t="n">
        <f aca="false">IF(COUNTA(D47:E47)=0,"",SUM(D47:E47))</f>
        <v>187</v>
      </c>
      <c r="G47" s="39" t="n">
        <f aca="false">IF(OR(F47="",F47=0),"",D47/F47)</f>
        <v>0.358288770053476</v>
      </c>
      <c r="H47" s="39" t="n">
        <f aca="false">IF(OR(F47="",F47=0),"",E47/F47)</f>
        <v>0.641711229946524</v>
      </c>
      <c r="I47" s="38" t="s">
        <v>89</v>
      </c>
      <c r="J47" s="40" t="n">
        <v>2.87480042420966</v>
      </c>
      <c r="K47" s="39" t="n">
        <f aca="false">IF(G47="","",MAX(0,G47-J47/100))</f>
        <v>0.329540765811379</v>
      </c>
      <c r="L47" s="39" t="n">
        <f aca="false">IF(G47="","",MIN(1,G47+J47/100))</f>
        <v>0.387036774295573</v>
      </c>
      <c r="M47" s="21" t="n">
        <f aca="false">ROUND(Q47*S47,0)</f>
        <v>11</v>
      </c>
      <c r="N47" s="21" t="n">
        <f aca="false">ROUND(SQRT((F47*J47/100)^2+(G47*M47)^2),0)</f>
        <v>7</v>
      </c>
      <c r="P47" s="41" t="n">
        <v>-17.5111737034495</v>
      </c>
      <c r="Q47" s="42" t="n">
        <v>187</v>
      </c>
      <c r="R47" s="43" t="n">
        <f aca="false">MAX(0,MIN(1,P47/100+$D$5))</f>
        <v>0.360644625203304</v>
      </c>
      <c r="S47" s="43" t="n">
        <v>0.0610405690258335</v>
      </c>
      <c r="T47" s="44" t="s">
        <v>90</v>
      </c>
    </row>
    <row r="48" customFormat="false" ht="15" hidden="false" customHeight="false" outlineLevel="0" collapsed="false">
      <c r="A48" s="38" t="s">
        <v>87</v>
      </c>
      <c r="B48" s="38" t="s">
        <v>137</v>
      </c>
      <c r="C48" s="38" t="s">
        <v>138</v>
      </c>
      <c r="D48" s="21" t="n">
        <f aca="false">ROUND(Q48*R48,0)</f>
        <v>347</v>
      </c>
      <c r="E48" s="21" t="n">
        <f aca="false">ROUND(Q48,0)-D48</f>
        <v>479</v>
      </c>
      <c r="F48" s="21" t="n">
        <f aca="false">IF(COUNTA(D48:E48)=0,"",SUM(D48:E48))</f>
        <v>826</v>
      </c>
      <c r="G48" s="39" t="n">
        <f aca="false">IF(OR(F48="",F48=0),"",D48/F48)</f>
        <v>0.420096852300242</v>
      </c>
      <c r="H48" s="39" t="n">
        <f aca="false">IF(OR(F48="",F48=0),"",E48/F48)</f>
        <v>0.579903147699758</v>
      </c>
      <c r="I48" s="38" t="s">
        <v>89</v>
      </c>
      <c r="J48" s="40" t="n">
        <v>1.92472098334064</v>
      </c>
      <c r="K48" s="39" t="n">
        <f aca="false">IF(G48="","",MAX(0,G48-J48/100))</f>
        <v>0.400849642466836</v>
      </c>
      <c r="L48" s="39" t="n">
        <f aca="false">IF(G48="","",MIN(1,G48+J48/100))</f>
        <v>0.439344062133649</v>
      </c>
      <c r="M48" s="21" t="n">
        <f aca="false">ROUND(Q48*S48,0)</f>
        <v>41</v>
      </c>
      <c r="N48" s="21" t="n">
        <f aca="false">ROUND(SQRT((F48*J48/100)^2+(G48*M48)^2),0)</f>
        <v>23</v>
      </c>
      <c r="P48" s="41" t="n">
        <v>-11.5273442232573</v>
      </c>
      <c r="Q48" s="42" t="n">
        <v>826</v>
      </c>
      <c r="R48" s="43" t="n">
        <f aca="false">MAX(0,MIN(1,P48/100+$D$5))</f>
        <v>0.420482920005226</v>
      </c>
      <c r="S48" s="43" t="n">
        <v>0.0500321312575726</v>
      </c>
      <c r="T48" s="44" t="s">
        <v>99</v>
      </c>
    </row>
    <row r="49" customFormat="false" ht="15" hidden="false" customHeight="false" outlineLevel="0" collapsed="false">
      <c r="A49" s="38" t="s">
        <v>87</v>
      </c>
      <c r="B49" s="38" t="s">
        <v>137</v>
      </c>
      <c r="C49" s="38" t="s">
        <v>139</v>
      </c>
      <c r="D49" s="21" t="n">
        <f aca="false">ROUND(Q49*R49,0)</f>
        <v>257</v>
      </c>
      <c r="E49" s="21" t="n">
        <f aca="false">ROUND(Q49,0)-D49</f>
        <v>361</v>
      </c>
      <c r="F49" s="21" t="n">
        <f aca="false">IF(COUNTA(D49:E49)=0,"",SUM(D49:E49))</f>
        <v>618</v>
      </c>
      <c r="G49" s="39" t="n">
        <f aca="false">IF(OR(F49="",F49=0),"",D49/F49)</f>
        <v>0.415857605177994</v>
      </c>
      <c r="H49" s="39" t="n">
        <f aca="false">IF(OR(F49="",F49=0),"",E49/F49)</f>
        <v>0.584142394822007</v>
      </c>
      <c r="I49" s="38" t="s">
        <v>89</v>
      </c>
      <c r="J49" s="40" t="n">
        <v>2.87480042420966</v>
      </c>
      <c r="K49" s="39" t="n">
        <f aca="false">IF(G49="","",MAX(0,G49-J49/100))</f>
        <v>0.387109600935897</v>
      </c>
      <c r="L49" s="39" t="n">
        <f aca="false">IF(G49="","",MIN(1,G49+J49/100))</f>
        <v>0.44460560942009</v>
      </c>
      <c r="M49" s="21" t="n">
        <f aca="false">ROUND(Q49*S49,0)</f>
        <v>38</v>
      </c>
      <c r="N49" s="21" t="n">
        <f aca="false">ROUND(SQRT((F49*J49/100)^2+(G49*M49)^2),0)</f>
        <v>24</v>
      </c>
      <c r="P49" s="41" t="n">
        <v>-12.0065173143197</v>
      </c>
      <c r="Q49" s="42" t="n">
        <v>618</v>
      </c>
      <c r="R49" s="43" t="n">
        <f aca="false">MAX(0,MIN(1,P49/100+$D$5))</f>
        <v>0.415691189094601</v>
      </c>
      <c r="S49" s="43" t="n">
        <v>0.0610405690258335</v>
      </c>
      <c r="T49" s="44" t="s">
        <v>90</v>
      </c>
    </row>
    <row r="50" customFormat="false" ht="15" hidden="false" customHeight="false" outlineLevel="0" collapsed="false">
      <c r="A50" s="38" t="s">
        <v>87</v>
      </c>
      <c r="B50" s="38" t="s">
        <v>137</v>
      </c>
      <c r="C50" s="38" t="s">
        <v>140</v>
      </c>
      <c r="D50" s="21" t="n">
        <f aca="false">ROUND(Q50*R50,0)</f>
        <v>399</v>
      </c>
      <c r="E50" s="21" t="n">
        <f aca="false">ROUND(Q50,0)-D50</f>
        <v>553</v>
      </c>
      <c r="F50" s="21" t="n">
        <f aca="false">IF(COUNTA(D50:E50)=0,"",SUM(D50:E50))</f>
        <v>952</v>
      </c>
      <c r="G50" s="39" t="n">
        <f aca="false">IF(OR(F50="",F50=0),"",D50/F50)</f>
        <v>0.419117647058824</v>
      </c>
      <c r="H50" s="39" t="n">
        <f aca="false">IF(OR(F50="",F50=0),"",E50/F50)</f>
        <v>0.580882352941177</v>
      </c>
      <c r="I50" s="38" t="s">
        <v>89</v>
      </c>
      <c r="J50" s="40" t="n">
        <v>1.92472098334064</v>
      </c>
      <c r="K50" s="39" t="n">
        <f aca="false">IF(G50="","",MAX(0,G50-J50/100))</f>
        <v>0.399870437225417</v>
      </c>
      <c r="L50" s="39" t="n">
        <f aca="false">IF(G50="","",MIN(1,G50+J50/100))</f>
        <v>0.43836485689223</v>
      </c>
      <c r="M50" s="21" t="n">
        <f aca="false">ROUND(Q50*S50,0)</f>
        <v>48</v>
      </c>
      <c r="N50" s="21" t="n">
        <f aca="false">ROUND(SQRT((F50*J50/100)^2+(G50*M50)^2),0)</f>
        <v>27</v>
      </c>
      <c r="P50" s="41" t="n">
        <v>-11.6894448710709</v>
      </c>
      <c r="Q50" s="42" t="n">
        <v>952</v>
      </c>
      <c r="R50" s="43" t="n">
        <f aca="false">MAX(0,MIN(1,P50/100+$D$5))</f>
        <v>0.41886191352709</v>
      </c>
      <c r="S50" s="43" t="n">
        <v>0.0500321312575726</v>
      </c>
      <c r="T50" s="44" t="s">
        <v>99</v>
      </c>
    </row>
    <row r="51" customFormat="false" ht="15" hidden="false" customHeight="false" outlineLevel="0" collapsed="false">
      <c r="A51" s="38" t="s">
        <v>87</v>
      </c>
      <c r="B51" s="38" t="s">
        <v>137</v>
      </c>
      <c r="C51" s="38" t="s">
        <v>141</v>
      </c>
      <c r="D51" s="21" t="n">
        <f aca="false">ROUND(Q51*R51,0)</f>
        <v>374</v>
      </c>
      <c r="E51" s="21" t="n">
        <f aca="false">ROUND(Q51,0)-D51</f>
        <v>658</v>
      </c>
      <c r="F51" s="21" t="n">
        <f aca="false">IF(COUNTA(D51:E51)=0,"",SUM(D51:E51))</f>
        <v>1032</v>
      </c>
      <c r="G51" s="39" t="n">
        <f aca="false">IF(OR(F51="",F51=0),"",D51/F51)</f>
        <v>0.362403100775194</v>
      </c>
      <c r="H51" s="39" t="n">
        <f aca="false">IF(OR(F51="",F51=0),"",E51/F51)</f>
        <v>0.637596899224806</v>
      </c>
      <c r="I51" s="38" t="s">
        <v>89</v>
      </c>
      <c r="J51" s="40" t="n">
        <v>1.92472098334064</v>
      </c>
      <c r="K51" s="39" t="n">
        <f aca="false">IF(G51="","",MAX(0,G51-J51/100))</f>
        <v>0.343155890941787</v>
      </c>
      <c r="L51" s="39" t="n">
        <f aca="false">IF(G51="","",MIN(1,G51+J51/100))</f>
        <v>0.3816503106086</v>
      </c>
      <c r="M51" s="21" t="n">
        <f aca="false">ROUND(Q51*S51,0)</f>
        <v>52</v>
      </c>
      <c r="N51" s="21" t="n">
        <f aca="false">ROUND(SQRT((F51*J51/100)^2+(G51*M51)^2),0)</f>
        <v>27</v>
      </c>
      <c r="P51" s="41" t="n">
        <v>-17.3755995618652</v>
      </c>
      <c r="Q51" s="42" t="n">
        <v>1032</v>
      </c>
      <c r="R51" s="43" t="n">
        <f aca="false">MAX(0,MIN(1,P51/100+$D$5))</f>
        <v>0.362000366619147</v>
      </c>
      <c r="S51" s="43" t="n">
        <v>0.0500321312575726</v>
      </c>
      <c r="T51" s="44" t="s">
        <v>99</v>
      </c>
    </row>
    <row r="52" customFormat="false" ht="15" hidden="false" customHeight="false" outlineLevel="0" collapsed="false">
      <c r="A52" s="38" t="s">
        <v>87</v>
      </c>
      <c r="B52" s="38" t="s">
        <v>137</v>
      </c>
      <c r="C52" s="38" t="s">
        <v>142</v>
      </c>
      <c r="D52" s="21" t="n">
        <f aca="false">ROUND(Q52*R52,0)</f>
        <v>358</v>
      </c>
      <c r="E52" s="21" t="n">
        <f aca="false">ROUND(Q52,0)-D52</f>
        <v>538</v>
      </c>
      <c r="F52" s="21" t="n">
        <f aca="false">IF(COUNTA(D52:E52)=0,"",SUM(D52:E52))</f>
        <v>896</v>
      </c>
      <c r="G52" s="39" t="n">
        <f aca="false">IF(OR(F52="",F52=0),"",D52/F52)</f>
        <v>0.399553571428571</v>
      </c>
      <c r="H52" s="39" t="n">
        <f aca="false">IF(OR(F52="",F52=0),"",E52/F52)</f>
        <v>0.600446428571429</v>
      </c>
      <c r="I52" s="38" t="s">
        <v>89</v>
      </c>
      <c r="J52" s="40" t="n">
        <v>1.92472098334064</v>
      </c>
      <c r="K52" s="39" t="n">
        <f aca="false">IF(G52="","",MAX(0,G52-J52/100))</f>
        <v>0.380306361595165</v>
      </c>
      <c r="L52" s="39" t="n">
        <f aca="false">IF(G52="","",MIN(1,G52+J52/100))</f>
        <v>0.418800781261978</v>
      </c>
      <c r="M52" s="21" t="n">
        <f aca="false">ROUND(Q52*S52,0)</f>
        <v>45</v>
      </c>
      <c r="N52" s="21" t="n">
        <f aca="false">ROUND(SQRT((F52*J52/100)^2+(G52*M52)^2),0)</f>
        <v>25</v>
      </c>
      <c r="P52" s="41" t="n">
        <v>-13.5723287510776</v>
      </c>
      <c r="Q52" s="42" t="n">
        <v>896</v>
      </c>
      <c r="R52" s="43" t="n">
        <f aca="false">MAX(0,MIN(1,P52/100+$D$5))</f>
        <v>0.400033074727023</v>
      </c>
      <c r="S52" s="43" t="n">
        <v>0.0500321312575726</v>
      </c>
      <c r="T52" s="44" t="s">
        <v>99</v>
      </c>
    </row>
    <row r="53" customFormat="false" ht="15" hidden="false" customHeight="false" outlineLevel="0" collapsed="false">
      <c r="A53" s="38" t="s">
        <v>87</v>
      </c>
      <c r="B53" s="38" t="s">
        <v>143</v>
      </c>
      <c r="C53" s="38" t="s">
        <v>144</v>
      </c>
      <c r="D53" s="21" t="n">
        <f aca="false">ROUND(Q53*R53,0)</f>
        <v>149</v>
      </c>
      <c r="E53" s="21" t="n">
        <f aca="false">ROUND(Q53,0)-D53</f>
        <v>139</v>
      </c>
      <c r="F53" s="21" t="n">
        <f aca="false">IF(COUNTA(D53:E53)=0,"",SUM(D53:E53))</f>
        <v>288</v>
      </c>
      <c r="G53" s="39" t="n">
        <f aca="false">IF(OR(F53="",F53=0),"",D53/F53)</f>
        <v>0.517361111111111</v>
      </c>
      <c r="H53" s="39" t="n">
        <f aca="false">IF(OR(F53="",F53=0),"",E53/F53)</f>
        <v>0.482638888888889</v>
      </c>
      <c r="I53" s="38" t="s">
        <v>89</v>
      </c>
      <c r="J53" s="40" t="n">
        <v>2.87480042420966</v>
      </c>
      <c r="K53" s="39" t="n">
        <f aca="false">IF(G53="","",MAX(0,G53-J53/100))</f>
        <v>0.488613106869015</v>
      </c>
      <c r="L53" s="39" t="n">
        <f aca="false">IF(G53="","",MIN(1,G53+J53/100))</f>
        <v>0.546109115353208</v>
      </c>
      <c r="M53" s="21" t="n">
        <f aca="false">ROUND(Q53*S53,0)</f>
        <v>18</v>
      </c>
      <c r="N53" s="21" t="n">
        <f aca="false">ROUND(SQRT((F53*J53/100)^2+(G53*M53)^2),0)</f>
        <v>12</v>
      </c>
      <c r="P53" s="41" t="n">
        <v>-1.89680825242165</v>
      </c>
      <c r="Q53" s="42" t="n">
        <v>288</v>
      </c>
      <c r="R53" s="43" t="n">
        <f aca="false">MAX(0,MIN(1,P53/100+$D$5))</f>
        <v>0.516788279713582</v>
      </c>
      <c r="S53" s="43" t="n">
        <v>0.0610405690258335</v>
      </c>
      <c r="T53" s="44" t="s">
        <v>90</v>
      </c>
    </row>
    <row r="54" customFormat="false" ht="15" hidden="false" customHeight="false" outlineLevel="0" collapsed="false">
      <c r="A54" s="38" t="s">
        <v>87</v>
      </c>
      <c r="B54" s="38" t="s">
        <v>143</v>
      </c>
      <c r="C54" s="38" t="s">
        <v>145</v>
      </c>
      <c r="D54" s="21" t="n">
        <f aca="false">ROUND(Q54*R54,0)</f>
        <v>164</v>
      </c>
      <c r="E54" s="21" t="n">
        <f aca="false">ROUND(Q54,0)-D54</f>
        <v>148</v>
      </c>
      <c r="F54" s="21" t="n">
        <f aca="false">IF(COUNTA(D54:E54)=0,"",SUM(D54:E54))</f>
        <v>312</v>
      </c>
      <c r="G54" s="39" t="n">
        <f aca="false">IF(OR(F54="",F54=0),"",D54/F54)</f>
        <v>0.525641025641026</v>
      </c>
      <c r="H54" s="39" t="n">
        <f aca="false">IF(OR(F54="",F54=0),"",E54/F54)</f>
        <v>0.474358974358974</v>
      </c>
      <c r="I54" s="38" t="s">
        <v>89</v>
      </c>
      <c r="J54" s="40" t="n">
        <v>2.87480042420966</v>
      </c>
      <c r="K54" s="39" t="n">
        <f aca="false">IF(G54="","",MAX(0,G54-J54/100))</f>
        <v>0.496893021398929</v>
      </c>
      <c r="L54" s="39" t="n">
        <f aca="false">IF(G54="","",MIN(1,G54+J54/100))</f>
        <v>0.554389029883122</v>
      </c>
      <c r="M54" s="21" t="n">
        <f aca="false">ROUND(Q54*S54,0)</f>
        <v>19</v>
      </c>
      <c r="N54" s="21" t="n">
        <f aca="false">ROUND(SQRT((F54*J54/100)^2+(G54*M54)^2),0)</f>
        <v>13</v>
      </c>
      <c r="P54" s="41" t="n">
        <v>-0.887901115547381</v>
      </c>
      <c r="Q54" s="42" t="n">
        <v>312</v>
      </c>
      <c r="R54" s="43" t="n">
        <f aca="false">MAX(0,MIN(1,P54/100+$D$5))</f>
        <v>0.526877351082325</v>
      </c>
      <c r="S54" s="43" t="n">
        <v>0.0610405690258335</v>
      </c>
      <c r="T54" s="44" t="s">
        <v>90</v>
      </c>
    </row>
    <row r="55" customFormat="false" ht="15" hidden="false" customHeight="false" outlineLevel="0" collapsed="false">
      <c r="A55" s="38" t="s">
        <v>87</v>
      </c>
      <c r="B55" s="38" t="s">
        <v>143</v>
      </c>
      <c r="C55" s="38" t="s">
        <v>146</v>
      </c>
      <c r="D55" s="21" t="n">
        <f aca="false">ROUND(Q55*R55,0)</f>
        <v>106</v>
      </c>
      <c r="E55" s="21" t="n">
        <f aca="false">ROUND(Q55,0)-D55</f>
        <v>145</v>
      </c>
      <c r="F55" s="21" t="n">
        <f aca="false">IF(COUNTA(D55:E55)=0,"",SUM(D55:E55))</f>
        <v>251</v>
      </c>
      <c r="G55" s="39" t="n">
        <f aca="false">IF(OR(F55="",F55=0),"",D55/F55)</f>
        <v>0.422310756972112</v>
      </c>
      <c r="H55" s="39" t="n">
        <f aca="false">IF(OR(F55="",F55=0),"",E55/F55)</f>
        <v>0.577689243027889</v>
      </c>
      <c r="I55" s="38" t="s">
        <v>89</v>
      </c>
      <c r="J55" s="40" t="n">
        <v>2.87480042420966</v>
      </c>
      <c r="K55" s="39" t="n">
        <f aca="false">IF(G55="","",MAX(0,G55-J55/100))</f>
        <v>0.393562752730015</v>
      </c>
      <c r="L55" s="39" t="n">
        <f aca="false">IF(G55="","",MIN(1,G55+J55/100))</f>
        <v>0.451058761214208</v>
      </c>
      <c r="M55" s="21" t="n">
        <f aca="false">ROUND(Q55*S55,0)</f>
        <v>15</v>
      </c>
      <c r="N55" s="21" t="n">
        <f aca="false">ROUND(SQRT((F55*J55/100)^2+(G55*M55)^2),0)</f>
        <v>10</v>
      </c>
      <c r="P55" s="41" t="n">
        <v>-11.3019190467258</v>
      </c>
      <c r="Q55" s="42" t="n">
        <v>251</v>
      </c>
      <c r="R55" s="43" t="n">
        <f aca="false">MAX(0,MIN(1,P55/100+$D$5))</f>
        <v>0.422737171770541</v>
      </c>
      <c r="S55" s="43" t="n">
        <v>0.0610405690258335</v>
      </c>
      <c r="T55" s="44" t="s">
        <v>90</v>
      </c>
    </row>
    <row r="56" customFormat="false" ht="15" hidden="false" customHeight="false" outlineLevel="0" collapsed="false">
      <c r="A56" s="38" t="s">
        <v>87</v>
      </c>
      <c r="B56" s="38" t="s">
        <v>143</v>
      </c>
      <c r="C56" s="38" t="s">
        <v>147</v>
      </c>
      <c r="D56" s="21" t="n">
        <f aca="false">ROUND(Q56*R56,0)</f>
        <v>173</v>
      </c>
      <c r="E56" s="21" t="n">
        <f aca="false">ROUND(Q56,0)-D56</f>
        <v>211</v>
      </c>
      <c r="F56" s="21" t="n">
        <f aca="false">IF(COUNTA(D56:E56)=0,"",SUM(D56:E56))</f>
        <v>384</v>
      </c>
      <c r="G56" s="39" t="n">
        <f aca="false">IF(OR(F56="",F56=0),"",D56/F56)</f>
        <v>0.450520833333333</v>
      </c>
      <c r="H56" s="39" t="n">
        <f aca="false">IF(OR(F56="",F56=0),"",E56/F56)</f>
        <v>0.549479166666667</v>
      </c>
      <c r="I56" s="38" t="s">
        <v>89</v>
      </c>
      <c r="J56" s="40" t="n">
        <v>2.87480042420966</v>
      </c>
      <c r="K56" s="39" t="n">
        <f aca="false">IF(G56="","",MAX(0,G56-J56/100))</f>
        <v>0.421772829091237</v>
      </c>
      <c r="L56" s="39" t="n">
        <f aca="false">IF(G56="","",MIN(1,G56+J56/100))</f>
        <v>0.47926883757543</v>
      </c>
      <c r="M56" s="21" t="n">
        <f aca="false">ROUND(Q56*S56,0)</f>
        <v>23</v>
      </c>
      <c r="N56" s="21" t="n">
        <f aca="false">ROUND(SQRT((F56*J56/100)^2+(G56*M56)^2),0)</f>
        <v>15</v>
      </c>
      <c r="P56" s="41" t="n">
        <v>-8.64146898317018</v>
      </c>
      <c r="Q56" s="42" t="n">
        <v>384</v>
      </c>
      <c r="R56" s="43" t="n">
        <f aca="false">MAX(0,MIN(1,P56/100+$D$5))</f>
        <v>0.449341672406097</v>
      </c>
      <c r="S56" s="43" t="n">
        <v>0.0610405690258335</v>
      </c>
      <c r="T56" s="44" t="s">
        <v>90</v>
      </c>
    </row>
    <row r="57" customFormat="false" ht="15" hidden="false" customHeight="false" outlineLevel="0" collapsed="false">
      <c r="A57" s="38" t="s">
        <v>87</v>
      </c>
      <c r="B57" s="38" t="s">
        <v>148</v>
      </c>
      <c r="C57" s="38" t="s">
        <v>149</v>
      </c>
      <c r="D57" s="21" t="n">
        <f aca="false">ROUND(Q57*R57,0)</f>
        <v>242</v>
      </c>
      <c r="E57" s="21" t="n">
        <f aca="false">ROUND(Q57,0)-D57</f>
        <v>465</v>
      </c>
      <c r="F57" s="21" t="n">
        <f aca="false">IF(COUNTA(D57:E57)=0,"",SUM(D57:E57))</f>
        <v>707</v>
      </c>
      <c r="G57" s="39" t="n">
        <f aca="false">IF(OR(F57="",F57=0),"",D57/F57)</f>
        <v>0.342291371994342</v>
      </c>
      <c r="H57" s="39" t="n">
        <f aca="false">IF(OR(F57="",F57=0),"",E57/F57)</f>
        <v>0.657708628005658</v>
      </c>
      <c r="I57" s="38" t="s">
        <v>89</v>
      </c>
      <c r="J57" s="40" t="n">
        <v>2.87480042420966</v>
      </c>
      <c r="K57" s="39" t="n">
        <f aca="false">IF(G57="","",MAX(0,G57-J57/100))</f>
        <v>0.313543367752246</v>
      </c>
      <c r="L57" s="39" t="n">
        <f aca="false">IF(G57="","",MIN(1,G57+J57/100))</f>
        <v>0.371039376236439</v>
      </c>
      <c r="M57" s="21" t="n">
        <f aca="false">ROUND(Q57*S57,0)</f>
        <v>43</v>
      </c>
      <c r="N57" s="21" t="n">
        <f aca="false">ROUND(SQRT((F57*J57/100)^2+(G57*M57)^2),0)</f>
        <v>25</v>
      </c>
      <c r="P57" s="41" t="n">
        <v>-19.296058828714</v>
      </c>
      <c r="Q57" s="42" t="n">
        <v>707</v>
      </c>
      <c r="R57" s="43" t="n">
        <f aca="false">MAX(0,MIN(1,P57/100+$D$5))</f>
        <v>0.342795773950659</v>
      </c>
      <c r="S57" s="43" t="n">
        <v>0.0610405690258335</v>
      </c>
      <c r="T57" s="44" t="s">
        <v>90</v>
      </c>
    </row>
    <row r="58" customFormat="false" ht="15" hidden="false" customHeight="false" outlineLevel="0" collapsed="false">
      <c r="A58" s="38" t="s">
        <v>87</v>
      </c>
      <c r="B58" s="38" t="s">
        <v>148</v>
      </c>
      <c r="C58" s="38" t="s">
        <v>150</v>
      </c>
      <c r="D58" s="21" t="n">
        <f aca="false">ROUND(Q58*R58,0)</f>
        <v>238</v>
      </c>
      <c r="E58" s="21" t="n">
        <f aca="false">ROUND(Q58,0)-D58</f>
        <v>508</v>
      </c>
      <c r="F58" s="21" t="n">
        <f aca="false">IF(COUNTA(D58:E58)=0,"",SUM(D58:E58))</f>
        <v>746</v>
      </c>
      <c r="G58" s="39" t="n">
        <f aca="false">IF(OR(F58="",F58=0),"",D58/F58)</f>
        <v>0.319034852546917</v>
      </c>
      <c r="H58" s="39" t="n">
        <f aca="false">IF(OR(F58="",F58=0),"",E58/F58)</f>
        <v>0.680965147453083</v>
      </c>
      <c r="I58" s="38" t="s">
        <v>89</v>
      </c>
      <c r="J58" s="40" t="n">
        <v>2.87480042420966</v>
      </c>
      <c r="K58" s="39" t="n">
        <f aca="false">IF(G58="","",MAX(0,G58-J58/100))</f>
        <v>0.29028684830482</v>
      </c>
      <c r="L58" s="39" t="n">
        <f aca="false">IF(G58="","",MIN(1,G58+J58/100))</f>
        <v>0.347782856789014</v>
      </c>
      <c r="M58" s="21" t="n">
        <f aca="false">ROUND(Q58*S58,0)</f>
        <v>46</v>
      </c>
      <c r="N58" s="21" t="n">
        <f aca="false">ROUND(SQRT((F58*J58/100)^2+(G58*M58)^2),0)</f>
        <v>26</v>
      </c>
      <c r="P58" s="41" t="n">
        <v>-21.7215425059419</v>
      </c>
      <c r="Q58" s="42" t="n">
        <v>746</v>
      </c>
      <c r="R58" s="43" t="n">
        <f aca="false">MAX(0,MIN(1,P58/100+$D$5))</f>
        <v>0.31854093717838</v>
      </c>
      <c r="S58" s="43" t="n">
        <v>0.0610405690258335</v>
      </c>
      <c r="T58" s="44" t="s">
        <v>90</v>
      </c>
    </row>
    <row r="59" customFormat="false" ht="15" hidden="false" customHeight="false" outlineLevel="0" collapsed="false">
      <c r="A59" s="38" t="s">
        <v>87</v>
      </c>
      <c r="B59" s="38" t="s">
        <v>148</v>
      </c>
      <c r="C59" s="38" t="s">
        <v>151</v>
      </c>
      <c r="D59" s="21" t="n">
        <f aca="false">ROUND(Q59*R59,0)</f>
        <v>223</v>
      </c>
      <c r="E59" s="21" t="n">
        <f aca="false">ROUND(Q59,0)-D59</f>
        <v>455</v>
      </c>
      <c r="F59" s="21" t="n">
        <f aca="false">IF(COUNTA(D59:E59)=0,"",SUM(D59:E59))</f>
        <v>678</v>
      </c>
      <c r="G59" s="39" t="n">
        <f aca="false">IF(OR(F59="",F59=0),"",D59/F59)</f>
        <v>0.328908554572271</v>
      </c>
      <c r="H59" s="39" t="n">
        <f aca="false">IF(OR(F59="",F59=0),"",E59/F59)</f>
        <v>0.671091445427729</v>
      </c>
      <c r="I59" s="38" t="s">
        <v>89</v>
      </c>
      <c r="J59" s="40" t="n">
        <v>2.87480042420966</v>
      </c>
      <c r="K59" s="39" t="n">
        <f aca="false">IF(G59="","",MAX(0,G59-J59/100))</f>
        <v>0.300160550330175</v>
      </c>
      <c r="L59" s="39" t="n">
        <f aca="false">IF(G59="","",MIN(1,G59+J59/100))</f>
        <v>0.357656558814368</v>
      </c>
      <c r="M59" s="21" t="n">
        <f aca="false">ROUND(Q59*S59,0)</f>
        <v>41</v>
      </c>
      <c r="N59" s="21" t="n">
        <f aca="false">ROUND(SQRT((F59*J59/100)^2+(G59*M59)^2),0)</f>
        <v>24</v>
      </c>
      <c r="P59" s="41" t="n">
        <v>-20.7192302781334</v>
      </c>
      <c r="Q59" s="42" t="n">
        <v>678</v>
      </c>
      <c r="R59" s="43" t="n">
        <f aca="false">MAX(0,MIN(1,P59/100+$D$5))</f>
        <v>0.328564059456465</v>
      </c>
      <c r="S59" s="43" t="n">
        <v>0.0610405690258335</v>
      </c>
      <c r="T59" s="44" t="s">
        <v>90</v>
      </c>
    </row>
    <row r="60" customFormat="false" ht="15" hidden="false" customHeight="false" outlineLevel="0" collapsed="false">
      <c r="A60" s="38" t="s">
        <v>87</v>
      </c>
      <c r="B60" s="38" t="s">
        <v>152</v>
      </c>
      <c r="C60" s="38" t="s">
        <v>153</v>
      </c>
      <c r="D60" s="21" t="n">
        <f aca="false">ROUND(Q60*R60,0)</f>
        <v>202</v>
      </c>
      <c r="E60" s="21" t="n">
        <f aca="false">ROUND(Q60,0)-D60</f>
        <v>400</v>
      </c>
      <c r="F60" s="21" t="n">
        <f aca="false">IF(COUNTA(D60:E60)=0,"",SUM(D60:E60))</f>
        <v>602</v>
      </c>
      <c r="G60" s="39" t="n">
        <f aca="false">IF(OR(F60="",F60=0),"",D60/F60)</f>
        <v>0.335548172757475</v>
      </c>
      <c r="H60" s="39" t="n">
        <f aca="false">IF(OR(F60="",F60=0),"",E60/F60)</f>
        <v>0.664451827242525</v>
      </c>
      <c r="I60" s="38" t="s">
        <v>89</v>
      </c>
      <c r="J60" s="40" t="n">
        <v>2.87480042420966</v>
      </c>
      <c r="K60" s="39" t="n">
        <f aca="false">IF(G60="","",MAX(0,G60-J60/100))</f>
        <v>0.306800168515378</v>
      </c>
      <c r="L60" s="39" t="n">
        <f aca="false">IF(G60="","",MIN(1,G60+J60/100))</f>
        <v>0.364296176999572</v>
      </c>
      <c r="M60" s="21" t="n">
        <f aca="false">ROUND(Q60*S60,0)</f>
        <v>37</v>
      </c>
      <c r="N60" s="21" t="n">
        <f aca="false">ROUND(SQRT((F60*J60/100)^2+(G60*M60)^2),0)</f>
        <v>21</v>
      </c>
      <c r="P60" s="41" t="n">
        <v>-19.9918182265665</v>
      </c>
      <c r="Q60" s="42" t="n">
        <v>602</v>
      </c>
      <c r="R60" s="43" t="n">
        <f aca="false">MAX(0,MIN(1,P60/100+$D$5))</f>
        <v>0.335838179972133</v>
      </c>
      <c r="S60" s="43" t="n">
        <v>0.0610405690258335</v>
      </c>
      <c r="T60" s="44" t="s">
        <v>90</v>
      </c>
    </row>
    <row r="61" customFormat="false" ht="15" hidden="false" customHeight="false" outlineLevel="0" collapsed="false">
      <c r="A61" s="38" t="s">
        <v>87</v>
      </c>
      <c r="B61" s="38" t="s">
        <v>152</v>
      </c>
      <c r="C61" s="38" t="s">
        <v>154</v>
      </c>
      <c r="D61" s="21" t="n">
        <f aca="false">ROUND(Q61*R61,0)</f>
        <v>97</v>
      </c>
      <c r="E61" s="21" t="n">
        <f aca="false">ROUND(Q61,0)-D61</f>
        <v>202</v>
      </c>
      <c r="F61" s="21" t="n">
        <f aca="false">IF(COUNTA(D61:E61)=0,"",SUM(D61:E61))</f>
        <v>299</v>
      </c>
      <c r="G61" s="39" t="n">
        <f aca="false">IF(OR(F61="",F61=0),"",D61/F61)</f>
        <v>0.324414715719064</v>
      </c>
      <c r="H61" s="39" t="n">
        <f aca="false">IF(OR(F61="",F61=0),"",E61/F61)</f>
        <v>0.675585284280936</v>
      </c>
      <c r="I61" s="38" t="s">
        <v>89</v>
      </c>
      <c r="J61" s="40" t="n">
        <v>2.87480042420966</v>
      </c>
      <c r="K61" s="39" t="n">
        <f aca="false">IF(G61="","",MAX(0,G61-J61/100))</f>
        <v>0.295666711476967</v>
      </c>
      <c r="L61" s="39" t="n">
        <f aca="false">IF(G61="","",MIN(1,G61+J61/100))</f>
        <v>0.35316271996116</v>
      </c>
      <c r="M61" s="21" t="n">
        <f aca="false">ROUND(Q61*S61,0)</f>
        <v>18</v>
      </c>
      <c r="N61" s="21" t="n">
        <f aca="false">ROUND(SQRT((F61*J61/100)^2+(G61*M61)^2),0)</f>
        <v>10</v>
      </c>
      <c r="P61" s="41" t="n">
        <v>-21.1967298092351</v>
      </c>
      <c r="Q61" s="42" t="n">
        <v>299</v>
      </c>
      <c r="R61" s="43" t="n">
        <f aca="false">MAX(0,MIN(1,P61/100+$D$5))</f>
        <v>0.323789064145448</v>
      </c>
      <c r="S61" s="43" t="n">
        <v>0.0610405690258335</v>
      </c>
      <c r="T61" s="44" t="s">
        <v>90</v>
      </c>
    </row>
    <row r="62" customFormat="false" ht="15" hidden="false" customHeight="false" outlineLevel="0" collapsed="false">
      <c r="A62" s="38" t="s">
        <v>87</v>
      </c>
      <c r="B62" s="38" t="s">
        <v>155</v>
      </c>
      <c r="C62" s="38" t="s">
        <v>155</v>
      </c>
      <c r="D62" s="21" t="n">
        <f aca="false">ROUND(Q62*R62,0)</f>
        <v>41</v>
      </c>
      <c r="E62" s="21" t="n">
        <f aca="false">ROUND(Q62,0)-D62</f>
        <v>59</v>
      </c>
      <c r="F62" s="21" t="n">
        <f aca="false">IF(COUNTA(D62:E62)=0,"",SUM(D62:E62))</f>
        <v>100</v>
      </c>
      <c r="G62" s="39" t="n">
        <f aca="false">IF(OR(F62="",F62=0),"",D62/F62)</f>
        <v>0.41</v>
      </c>
      <c r="H62" s="39" t="n">
        <f aca="false">IF(OR(F62="",F62=0),"",E62/F62)</f>
        <v>0.59</v>
      </c>
      <c r="I62" s="38" t="s">
        <v>89</v>
      </c>
      <c r="J62" s="40" t="n">
        <v>2.87480042420966</v>
      </c>
      <c r="K62" s="39" t="n">
        <f aca="false">IF(G62="","",MAX(0,G62-J62/100))</f>
        <v>0.381251995757903</v>
      </c>
      <c r="L62" s="39" t="n">
        <f aca="false">IF(G62="","",MIN(1,G62+J62/100))</f>
        <v>0.438748004242097</v>
      </c>
      <c r="M62" s="21" t="n">
        <f aca="false">ROUND(Q62*S62,0)</f>
        <v>6</v>
      </c>
      <c r="N62" s="21" t="n">
        <f aca="false">ROUND(SQRT((F62*J62/100)^2+(G62*M62)^2),0)</f>
        <v>4</v>
      </c>
      <c r="P62" s="41" t="n">
        <v>-12.2525255104501</v>
      </c>
      <c r="Q62" s="42" t="n">
        <v>100</v>
      </c>
      <c r="R62" s="43" t="n">
        <f aca="false">MAX(0,MIN(1,P62/100+$D$5))</f>
        <v>0.413231107133298</v>
      </c>
      <c r="S62" s="43" t="n">
        <v>0.0610405690258335</v>
      </c>
      <c r="T62" s="44" t="s">
        <v>90</v>
      </c>
    </row>
    <row r="63" customFormat="false" ht="15" hidden="false" customHeight="false" outlineLevel="0" collapsed="false">
      <c r="A63" s="38" t="s">
        <v>156</v>
      </c>
      <c r="B63" s="38" t="s">
        <v>157</v>
      </c>
      <c r="C63" s="38" t="s">
        <v>157</v>
      </c>
      <c r="D63" s="21" t="n">
        <f aca="false">ROUND(Q63*R63,0)</f>
        <v>517</v>
      </c>
      <c r="E63" s="21" t="n">
        <f aca="false">ROUND(Q63,0)-D63</f>
        <v>496</v>
      </c>
      <c r="F63" s="21" t="n">
        <f aca="false">IF(COUNTA(D63:E63)=0,"",SUM(D63:E63))</f>
        <v>1013</v>
      </c>
      <c r="G63" s="39" t="n">
        <f aca="false">IF(OR(F63="",F63=0),"",D63/F63)</f>
        <v>0.510365251727542</v>
      </c>
      <c r="H63" s="39" t="n">
        <f aca="false">IF(OR(F63="",F63=0),"",E63/F63)</f>
        <v>0.489634748272458</v>
      </c>
      <c r="I63" s="38" t="s">
        <v>89</v>
      </c>
      <c r="J63" s="40" t="n">
        <v>1.92472098334064</v>
      </c>
      <c r="K63" s="39" t="n">
        <f aca="false">IF(G63="","",MAX(0,G63-J63/100))</f>
        <v>0.491118041894136</v>
      </c>
      <c r="L63" s="39" t="n">
        <f aca="false">IF(G63="","",MIN(1,G63+J63/100))</f>
        <v>0.529612461560948</v>
      </c>
      <c r="M63" s="21" t="n">
        <f aca="false">ROUND(Q63*S63,0)</f>
        <v>51</v>
      </c>
      <c r="N63" s="21" t="n">
        <f aca="false">ROUND(SQRT((F63*J63/100)^2+(G63*M63)^2),0)</f>
        <v>33</v>
      </c>
      <c r="P63" s="41" t="n">
        <v>-2.54573130695408</v>
      </c>
      <c r="Q63" s="42" t="n">
        <v>1013</v>
      </c>
      <c r="R63" s="43" t="n">
        <f aca="false">MAX(0,MIN(1,P63/100+$D$5))</f>
        <v>0.510299049168258</v>
      </c>
      <c r="S63" s="43" t="n">
        <v>0.0500321312575726</v>
      </c>
      <c r="T63" s="44" t="s">
        <v>99</v>
      </c>
    </row>
    <row r="64" customFormat="false" ht="15" hidden="false" customHeight="false" outlineLevel="0" collapsed="false">
      <c r="A64" s="38" t="s">
        <v>156</v>
      </c>
      <c r="B64" s="38" t="s">
        <v>158</v>
      </c>
      <c r="C64" s="38" t="s">
        <v>159</v>
      </c>
      <c r="D64" s="21" t="n">
        <f aca="false">ROUND(Q64*R64,0)</f>
        <v>252</v>
      </c>
      <c r="E64" s="21" t="n">
        <f aca="false">ROUND(Q64,0)-D64</f>
        <v>83</v>
      </c>
      <c r="F64" s="21" t="n">
        <f aca="false">IF(COUNTA(D64:E64)=0,"",SUM(D64:E64))</f>
        <v>335</v>
      </c>
      <c r="G64" s="39" t="n">
        <f aca="false">IF(OR(F64="",F64=0),"",D64/F64)</f>
        <v>0.752238805970149</v>
      </c>
      <c r="H64" s="39" t="n">
        <f aca="false">IF(OR(F64="",F64=0),"",E64/F64)</f>
        <v>0.247761194029851</v>
      </c>
      <c r="I64" s="38" t="s">
        <v>89</v>
      </c>
      <c r="J64" s="40" t="n">
        <v>2.87480042420966</v>
      </c>
      <c r="K64" s="39" t="n">
        <f aca="false">IF(G64="","",MAX(0,G64-J64/100))</f>
        <v>0.723490801728053</v>
      </c>
      <c r="L64" s="39" t="n">
        <f aca="false">IF(G64="","",MIN(1,G64+J64/100))</f>
        <v>0.780986810212246</v>
      </c>
      <c r="M64" s="21" t="n">
        <f aca="false">ROUND(Q64*S64,0)</f>
        <v>20</v>
      </c>
      <c r="N64" s="21" t="n">
        <f aca="false">ROUND(SQRT((F64*J64/100)^2+(G64*M64)^2),0)</f>
        <v>18</v>
      </c>
      <c r="P64" s="41" t="n">
        <v>21.7232016122236</v>
      </c>
      <c r="Q64" s="42" t="n">
        <v>335</v>
      </c>
      <c r="R64" s="43" t="n">
        <f aca="false">MAX(0,MIN(1,P64/100+$D$5))</f>
        <v>0.752988378360035</v>
      </c>
      <c r="S64" s="43" t="n">
        <v>0.0610405690258335</v>
      </c>
      <c r="T64" s="44" t="s">
        <v>90</v>
      </c>
    </row>
    <row r="65" customFormat="false" ht="15" hidden="false" customHeight="false" outlineLevel="0" collapsed="false">
      <c r="A65" s="38" t="s">
        <v>156</v>
      </c>
      <c r="B65" s="38" t="s">
        <v>158</v>
      </c>
      <c r="C65" s="38" t="s">
        <v>160</v>
      </c>
      <c r="D65" s="21" t="n">
        <f aca="false">ROUND(Q65*R65,0)</f>
        <v>148</v>
      </c>
      <c r="E65" s="21" t="n">
        <f aca="false">ROUND(Q65,0)-D65</f>
        <v>61</v>
      </c>
      <c r="F65" s="21" t="n">
        <f aca="false">IF(COUNTA(D65:E65)=0,"",SUM(D65:E65))</f>
        <v>209</v>
      </c>
      <c r="G65" s="39" t="n">
        <f aca="false">IF(OR(F65="",F65=0),"",D65/F65)</f>
        <v>0.708133971291866</v>
      </c>
      <c r="H65" s="39" t="n">
        <f aca="false">IF(OR(F65="",F65=0),"",E65/F65)</f>
        <v>0.291866028708134</v>
      </c>
      <c r="I65" s="38" t="s">
        <v>89</v>
      </c>
      <c r="J65" s="40" t="n">
        <v>2.87480042420966</v>
      </c>
      <c r="K65" s="39" t="n">
        <f aca="false">IF(G65="","",MAX(0,G65-J65/100))</f>
        <v>0.67938596704977</v>
      </c>
      <c r="L65" s="39" t="n">
        <f aca="false">IF(G65="","",MIN(1,G65+J65/100))</f>
        <v>0.736881975533963</v>
      </c>
      <c r="M65" s="21" t="n">
        <f aca="false">ROUND(Q65*S65,0)</f>
        <v>13</v>
      </c>
      <c r="N65" s="21" t="n">
        <f aca="false">ROUND(SQRT((F65*J65/100)^2+(G65*M65)^2),0)</f>
        <v>11</v>
      </c>
      <c r="P65" s="41" t="n">
        <v>17.1815096162652</v>
      </c>
      <c r="Q65" s="42" t="n">
        <v>209</v>
      </c>
      <c r="R65" s="43" t="n">
        <f aca="false">MAX(0,MIN(1,P65/100+$D$5))</f>
        <v>0.707571458400451</v>
      </c>
      <c r="S65" s="43" t="n">
        <v>0.0610405690258335</v>
      </c>
      <c r="T65" s="44" t="s">
        <v>90</v>
      </c>
    </row>
    <row r="66" customFormat="false" ht="15" hidden="false" customHeight="false" outlineLevel="0" collapsed="false">
      <c r="A66" s="38" t="s">
        <v>156</v>
      </c>
      <c r="B66" s="38" t="s">
        <v>158</v>
      </c>
      <c r="C66" s="38" t="s">
        <v>161</v>
      </c>
      <c r="D66" s="21" t="n">
        <f aca="false">ROUND(Q66*R66,0)</f>
        <v>177</v>
      </c>
      <c r="E66" s="21" t="n">
        <f aca="false">ROUND(Q66,0)-D66</f>
        <v>62</v>
      </c>
      <c r="F66" s="21" t="n">
        <f aca="false">IF(COUNTA(D66:E66)=0,"",SUM(D66:E66))</f>
        <v>239</v>
      </c>
      <c r="G66" s="39" t="n">
        <f aca="false">IF(OR(F66="",F66=0),"",D66/F66)</f>
        <v>0.740585774058577</v>
      </c>
      <c r="H66" s="39" t="n">
        <f aca="false">IF(OR(F66="",F66=0),"",E66/F66)</f>
        <v>0.259414225941423</v>
      </c>
      <c r="I66" s="38" t="s">
        <v>89</v>
      </c>
      <c r="J66" s="40" t="n">
        <v>2.87480042420966</v>
      </c>
      <c r="K66" s="39" t="n">
        <f aca="false">IF(G66="","",MAX(0,G66-J66/100))</f>
        <v>0.711837769816481</v>
      </c>
      <c r="L66" s="39" t="n">
        <f aca="false">IF(G66="","",MIN(1,G66+J66/100))</f>
        <v>0.769333778300674</v>
      </c>
      <c r="M66" s="21" t="n">
        <f aca="false">ROUND(Q66*S66,0)</f>
        <v>15</v>
      </c>
      <c r="N66" s="21" t="n">
        <f aca="false">ROUND(SQRT((F66*J66/100)^2+(G66*M66)^2),0)</f>
        <v>13</v>
      </c>
      <c r="P66" s="41" t="n">
        <v>20.5591189053192</v>
      </c>
      <c r="Q66" s="42" t="n">
        <v>239</v>
      </c>
      <c r="R66" s="43" t="n">
        <f aca="false">MAX(0,MIN(1,P66/100+$D$5))</f>
        <v>0.741347551290991</v>
      </c>
      <c r="S66" s="43" t="n">
        <v>0.0610405690258335</v>
      </c>
      <c r="T66" s="44" t="s">
        <v>90</v>
      </c>
    </row>
    <row r="67" customFormat="false" ht="15" hidden="false" customHeight="false" outlineLevel="0" collapsed="false">
      <c r="A67" s="38" t="s">
        <v>156</v>
      </c>
      <c r="B67" s="38" t="s">
        <v>158</v>
      </c>
      <c r="C67" s="38" t="s">
        <v>162</v>
      </c>
      <c r="D67" s="21" t="n">
        <f aca="false">ROUND(Q67*R67,0)</f>
        <v>171</v>
      </c>
      <c r="E67" s="21" t="n">
        <f aca="false">ROUND(Q67,0)-D67</f>
        <v>67</v>
      </c>
      <c r="F67" s="21" t="n">
        <f aca="false">IF(COUNTA(D67:E67)=0,"",SUM(D67:E67))</f>
        <v>238</v>
      </c>
      <c r="G67" s="39" t="n">
        <f aca="false">IF(OR(F67="",F67=0),"",D67/F67)</f>
        <v>0.718487394957983</v>
      </c>
      <c r="H67" s="39" t="n">
        <f aca="false">IF(OR(F67="",F67=0),"",E67/F67)</f>
        <v>0.281512605042017</v>
      </c>
      <c r="I67" s="38" t="s">
        <v>89</v>
      </c>
      <c r="J67" s="40" t="n">
        <v>2.87480042420966</v>
      </c>
      <c r="K67" s="39" t="n">
        <f aca="false">IF(G67="","",MAX(0,G67-J67/100))</f>
        <v>0.689739390715887</v>
      </c>
      <c r="L67" s="39" t="n">
        <f aca="false">IF(G67="","",MIN(1,G67+J67/100))</f>
        <v>0.74723539920008</v>
      </c>
      <c r="M67" s="21" t="n">
        <f aca="false">ROUND(Q67*S67,0)</f>
        <v>15</v>
      </c>
      <c r="N67" s="21" t="n">
        <f aca="false">ROUND(SQRT((F67*J67/100)^2+(G67*M67)^2),0)</f>
        <v>13</v>
      </c>
      <c r="P67" s="41" t="n">
        <v>18.1198857232105</v>
      </c>
      <c r="Q67" s="42" t="n">
        <v>238</v>
      </c>
      <c r="R67" s="43" t="n">
        <f aca="false">MAX(0,MIN(1,P67/100+$D$5))</f>
        <v>0.716955219469904</v>
      </c>
      <c r="S67" s="43" t="n">
        <v>0.0610405690258335</v>
      </c>
      <c r="T67" s="44" t="s">
        <v>90</v>
      </c>
    </row>
    <row r="68" customFormat="false" ht="15" hidden="false" customHeight="false" outlineLevel="0" collapsed="false">
      <c r="A68" s="38" t="s">
        <v>156</v>
      </c>
      <c r="B68" s="38" t="s">
        <v>158</v>
      </c>
      <c r="C68" s="38" t="s">
        <v>163</v>
      </c>
      <c r="D68" s="21" t="n">
        <f aca="false">ROUND(Q68*R68,0)</f>
        <v>182</v>
      </c>
      <c r="E68" s="21" t="n">
        <f aca="false">ROUND(Q68,0)-D68</f>
        <v>50</v>
      </c>
      <c r="F68" s="21" t="n">
        <f aca="false">IF(COUNTA(D68:E68)=0,"",SUM(D68:E68))</f>
        <v>232</v>
      </c>
      <c r="G68" s="39" t="n">
        <f aca="false">IF(OR(F68="",F68=0),"",D68/F68)</f>
        <v>0.78448275862069</v>
      </c>
      <c r="H68" s="39" t="n">
        <f aca="false">IF(OR(F68="",F68=0),"",E68/F68)</f>
        <v>0.21551724137931</v>
      </c>
      <c r="I68" s="38" t="s">
        <v>89</v>
      </c>
      <c r="J68" s="40" t="n">
        <v>2.87480042420966</v>
      </c>
      <c r="K68" s="39" t="n">
        <f aca="false">IF(G68="","",MAX(0,G68-J68/100))</f>
        <v>0.755734754378593</v>
      </c>
      <c r="L68" s="39" t="n">
        <f aca="false">IF(G68="","",MIN(1,G68+J68/100))</f>
        <v>0.813230762862786</v>
      </c>
      <c r="M68" s="21" t="n">
        <f aca="false">ROUND(Q68*S68,0)</f>
        <v>14</v>
      </c>
      <c r="N68" s="21" t="n">
        <f aca="false">ROUND(SQRT((F68*J68/100)^2+(G68*M68)^2),0)</f>
        <v>13</v>
      </c>
      <c r="P68" s="41" t="n">
        <v>24.766251705005</v>
      </c>
      <c r="Q68" s="42" t="n">
        <v>232</v>
      </c>
      <c r="R68" s="43" t="n">
        <f aca="false">MAX(0,MIN(1,P68/100+$D$5))</f>
        <v>0.783418879287849</v>
      </c>
      <c r="S68" s="43" t="n">
        <v>0.0610405690258335</v>
      </c>
      <c r="T68" s="44" t="s">
        <v>90</v>
      </c>
    </row>
    <row r="69" customFormat="false" ht="15" hidden="false" customHeight="false" outlineLevel="0" collapsed="false">
      <c r="A69" s="38" t="s">
        <v>156</v>
      </c>
      <c r="B69" s="38" t="s">
        <v>158</v>
      </c>
      <c r="C69" s="38" t="s">
        <v>164</v>
      </c>
      <c r="D69" s="21" t="n">
        <f aca="false">ROUND(Q69*R69,0)</f>
        <v>254</v>
      </c>
      <c r="E69" s="21" t="n">
        <f aca="false">ROUND(Q69,0)-D69</f>
        <v>104</v>
      </c>
      <c r="F69" s="21" t="n">
        <f aca="false">IF(COUNTA(D69:E69)=0,"",SUM(D69:E69))</f>
        <v>358</v>
      </c>
      <c r="G69" s="39" t="n">
        <f aca="false">IF(OR(F69="",F69=0),"",D69/F69)</f>
        <v>0.709497206703911</v>
      </c>
      <c r="H69" s="39" t="n">
        <f aca="false">IF(OR(F69="",F69=0),"",E69/F69)</f>
        <v>0.290502793296089</v>
      </c>
      <c r="I69" s="38" t="s">
        <v>89</v>
      </c>
      <c r="J69" s="40" t="n">
        <v>2.87480042420966</v>
      </c>
      <c r="K69" s="39" t="n">
        <f aca="false">IF(G69="","",MAX(0,G69-J69/100))</f>
        <v>0.680749202461814</v>
      </c>
      <c r="L69" s="39" t="n">
        <f aca="false">IF(G69="","",MIN(1,G69+J69/100))</f>
        <v>0.738245210946007</v>
      </c>
      <c r="M69" s="21" t="n">
        <f aca="false">ROUND(Q69*S69,0)</f>
        <v>22</v>
      </c>
      <c r="N69" s="21" t="n">
        <f aca="false">ROUND(SQRT((F69*J69/100)^2+(G69*M69)^2),0)</f>
        <v>19</v>
      </c>
      <c r="P69" s="41" t="n">
        <v>17.3065878074033</v>
      </c>
      <c r="Q69" s="42" t="n">
        <v>358</v>
      </c>
      <c r="R69" s="43" t="n">
        <f aca="false">MAX(0,MIN(1,P69/100+$D$5))</f>
        <v>0.708822240311832</v>
      </c>
      <c r="S69" s="43" t="n">
        <v>0.0610405690258335</v>
      </c>
      <c r="T69" s="44" t="s">
        <v>90</v>
      </c>
    </row>
    <row r="70" customFormat="false" ht="15" hidden="false" customHeight="false" outlineLevel="0" collapsed="false">
      <c r="A70" s="38" t="s">
        <v>156</v>
      </c>
      <c r="B70" s="38" t="s">
        <v>158</v>
      </c>
      <c r="C70" s="38" t="s">
        <v>165</v>
      </c>
      <c r="D70" s="21" t="n">
        <f aca="false">ROUND(Q70*R70,0)</f>
        <v>607</v>
      </c>
      <c r="E70" s="21" t="n">
        <f aca="false">ROUND(Q70,0)-D70</f>
        <v>158</v>
      </c>
      <c r="F70" s="21" t="n">
        <f aca="false">IF(COUNTA(D70:E70)=0,"",SUM(D70:E70))</f>
        <v>765</v>
      </c>
      <c r="G70" s="39" t="n">
        <f aca="false">IF(OR(F70="",F70=0),"",D70/F70)</f>
        <v>0.793464052287582</v>
      </c>
      <c r="H70" s="39" t="n">
        <f aca="false">IF(OR(F70="",F70=0),"",E70/F70)</f>
        <v>0.206535947712418</v>
      </c>
      <c r="I70" s="38" t="s">
        <v>89</v>
      </c>
      <c r="J70" s="40" t="n">
        <v>2.87480042420966</v>
      </c>
      <c r="K70" s="39" t="n">
        <f aca="false">IF(G70="","",MAX(0,G70-J70/100))</f>
        <v>0.764716048045485</v>
      </c>
      <c r="L70" s="39" t="n">
        <f aca="false">IF(G70="","",MIN(1,G70+J70/100))</f>
        <v>0.822212056529678</v>
      </c>
      <c r="M70" s="21" t="n">
        <f aca="false">ROUND(Q70*S70,0)</f>
        <v>47</v>
      </c>
      <c r="N70" s="21" t="n">
        <f aca="false">ROUND(SQRT((F70*J70/100)^2+(G70*M70)^2),0)</f>
        <v>43</v>
      </c>
      <c r="P70" s="41" t="n">
        <v>25.8158914311552</v>
      </c>
      <c r="Q70" s="42" t="n">
        <v>765</v>
      </c>
      <c r="R70" s="43" t="n">
        <f aca="false">MAX(0,MIN(1,P70/100+$D$5))</f>
        <v>0.793915276549351</v>
      </c>
      <c r="S70" s="43" t="n">
        <v>0.0610405690258335</v>
      </c>
      <c r="T70" s="44" t="s">
        <v>90</v>
      </c>
    </row>
    <row r="71" customFormat="false" ht="15" hidden="false" customHeight="false" outlineLevel="0" collapsed="false">
      <c r="A71" s="38" t="s">
        <v>156</v>
      </c>
      <c r="B71" s="38" t="s">
        <v>158</v>
      </c>
      <c r="C71" s="38" t="s">
        <v>166</v>
      </c>
      <c r="D71" s="21" t="n">
        <f aca="false">ROUND(Q71*R71,0)</f>
        <v>275</v>
      </c>
      <c r="E71" s="21" t="n">
        <f aca="false">ROUND(Q71,0)-D71</f>
        <v>124</v>
      </c>
      <c r="F71" s="21" t="n">
        <f aca="false">IF(COUNTA(D71:E71)=0,"",SUM(D71:E71))</f>
        <v>399</v>
      </c>
      <c r="G71" s="39" t="n">
        <f aca="false">IF(OR(F71="",F71=0),"",D71/F71)</f>
        <v>0.68922305764411</v>
      </c>
      <c r="H71" s="39" t="n">
        <f aca="false">IF(OR(F71="",F71=0),"",E71/F71)</f>
        <v>0.31077694235589</v>
      </c>
      <c r="I71" s="38" t="s">
        <v>89</v>
      </c>
      <c r="J71" s="40" t="n">
        <v>2.87480042420966</v>
      </c>
      <c r="K71" s="39" t="n">
        <f aca="false">IF(G71="","",MAX(0,G71-J71/100))</f>
        <v>0.660475053402014</v>
      </c>
      <c r="L71" s="39" t="n">
        <f aca="false">IF(G71="","",MIN(1,G71+J71/100))</f>
        <v>0.717971061886207</v>
      </c>
      <c r="M71" s="21" t="n">
        <f aca="false">ROUND(Q71*S71,0)</f>
        <v>24</v>
      </c>
      <c r="N71" s="21" t="n">
        <f aca="false">ROUND(SQRT((F71*J71/100)^2+(G71*M71)^2),0)</f>
        <v>20</v>
      </c>
      <c r="P71" s="41" t="n">
        <v>15.3983404143376</v>
      </c>
      <c r="Q71" s="42" t="n">
        <v>399</v>
      </c>
      <c r="R71" s="43" t="n">
        <f aca="false">MAX(0,MIN(1,P71/100+$D$5))</f>
        <v>0.689739766381175</v>
      </c>
      <c r="S71" s="43" t="n">
        <v>0.0610405690258335</v>
      </c>
      <c r="T71" s="44" t="s">
        <v>90</v>
      </c>
    </row>
    <row r="72" customFormat="false" ht="15" hidden="false" customHeight="false" outlineLevel="0" collapsed="false">
      <c r="A72" s="38" t="s">
        <v>156</v>
      </c>
      <c r="B72" s="38" t="s">
        <v>158</v>
      </c>
      <c r="C72" s="38" t="s">
        <v>167</v>
      </c>
      <c r="D72" s="21" t="n">
        <f aca="false">ROUND(Q72*R72,0)</f>
        <v>448</v>
      </c>
      <c r="E72" s="21" t="n">
        <f aca="false">ROUND(Q72,0)-D72</f>
        <v>241</v>
      </c>
      <c r="F72" s="21" t="n">
        <f aca="false">IF(COUNTA(D72:E72)=0,"",SUM(D72:E72))</f>
        <v>689</v>
      </c>
      <c r="G72" s="39" t="n">
        <f aca="false">IF(OR(F72="",F72=0),"",D72/F72)</f>
        <v>0.65021770682148</v>
      </c>
      <c r="H72" s="39" t="n">
        <f aca="false">IF(OR(F72="",F72=0),"",E72/F72)</f>
        <v>0.34978229317852</v>
      </c>
      <c r="I72" s="38" t="s">
        <v>89</v>
      </c>
      <c r="J72" s="40" t="n">
        <v>2.87480042420966</v>
      </c>
      <c r="K72" s="39" t="n">
        <f aca="false">IF(G72="","",MAX(0,G72-J72/100))</f>
        <v>0.621469702579384</v>
      </c>
      <c r="L72" s="39" t="n">
        <f aca="false">IF(G72="","",MIN(1,G72+J72/100))</f>
        <v>0.678965711063577</v>
      </c>
      <c r="M72" s="21" t="n">
        <f aca="false">ROUND(Q72*S72,0)</f>
        <v>42</v>
      </c>
      <c r="N72" s="21" t="n">
        <f aca="false">ROUND(SQRT((F72*J72/100)^2+(G72*M72)^2),0)</f>
        <v>34</v>
      </c>
      <c r="P72" s="41" t="n">
        <v>11.4061229444114</v>
      </c>
      <c r="Q72" s="42" t="n">
        <v>689</v>
      </c>
      <c r="R72" s="43" t="n">
        <f aca="false">MAX(0,MIN(1,P72/100+$D$5))</f>
        <v>0.649817591681913</v>
      </c>
      <c r="S72" s="43" t="n">
        <v>0.0610405690258335</v>
      </c>
      <c r="T72" s="44" t="s">
        <v>90</v>
      </c>
    </row>
    <row r="73" customFormat="false" ht="15" hidden="false" customHeight="false" outlineLevel="0" collapsed="false">
      <c r="A73" s="38" t="s">
        <v>156</v>
      </c>
      <c r="B73" s="38" t="s">
        <v>158</v>
      </c>
      <c r="C73" s="38" t="s">
        <v>168</v>
      </c>
      <c r="D73" s="21" t="n">
        <f aca="false">ROUND(Q73*R73,0)</f>
        <v>359</v>
      </c>
      <c r="E73" s="21" t="n">
        <f aca="false">ROUND(Q73,0)-D73</f>
        <v>185</v>
      </c>
      <c r="F73" s="21" t="n">
        <f aca="false">IF(COUNTA(D73:E73)=0,"",SUM(D73:E73))</f>
        <v>544</v>
      </c>
      <c r="G73" s="39" t="n">
        <f aca="false">IF(OR(F73="",F73=0),"",D73/F73)</f>
        <v>0.659926470588235</v>
      </c>
      <c r="H73" s="39" t="n">
        <f aca="false">IF(OR(F73="",F73=0),"",E73/F73)</f>
        <v>0.340073529411765</v>
      </c>
      <c r="I73" s="38" t="s">
        <v>89</v>
      </c>
      <c r="J73" s="40" t="n">
        <v>2.87480042420966</v>
      </c>
      <c r="K73" s="39" t="n">
        <f aca="false">IF(G73="","",MAX(0,G73-J73/100))</f>
        <v>0.631178466346139</v>
      </c>
      <c r="L73" s="39" t="n">
        <f aca="false">IF(G73="","",MIN(1,G73+J73/100))</f>
        <v>0.688674474830332</v>
      </c>
      <c r="M73" s="21" t="n">
        <f aca="false">ROUND(Q73*S73,0)</f>
        <v>33</v>
      </c>
      <c r="N73" s="21" t="n">
        <f aca="false">ROUND(SQRT((F73*J73/100)^2+(G73*M73)^2),0)</f>
        <v>27</v>
      </c>
      <c r="P73" s="41" t="n">
        <v>12.426742088123</v>
      </c>
      <c r="Q73" s="42" t="n">
        <v>544</v>
      </c>
      <c r="R73" s="43" t="n">
        <f aca="false">MAX(0,MIN(1,P73/100+$D$5))</f>
        <v>0.660023783119029</v>
      </c>
      <c r="S73" s="43" t="n">
        <v>0.0610405690258335</v>
      </c>
      <c r="T73" s="44" t="s">
        <v>90</v>
      </c>
    </row>
    <row r="74" customFormat="false" ht="15" hidden="false" customHeight="false" outlineLevel="0" collapsed="false">
      <c r="A74" s="38" t="s">
        <v>156</v>
      </c>
      <c r="B74" s="38" t="s">
        <v>158</v>
      </c>
      <c r="C74" s="38" t="s">
        <v>169</v>
      </c>
      <c r="D74" s="21" t="n">
        <f aca="false">ROUND(Q74*R74,0)</f>
        <v>270</v>
      </c>
      <c r="E74" s="21" t="n">
        <f aca="false">ROUND(Q74,0)-D74</f>
        <v>114</v>
      </c>
      <c r="F74" s="21" t="n">
        <f aca="false">IF(COUNTA(D74:E74)=0,"",SUM(D74:E74))</f>
        <v>384</v>
      </c>
      <c r="G74" s="39" t="n">
        <f aca="false">IF(OR(F74="",F74=0),"",D74/F74)</f>
        <v>0.703125</v>
      </c>
      <c r="H74" s="39" t="n">
        <f aca="false">IF(OR(F74="",F74=0),"",E74/F74)</f>
        <v>0.296875</v>
      </c>
      <c r="I74" s="38" t="s">
        <v>89</v>
      </c>
      <c r="J74" s="40" t="n">
        <v>2.87480042420966</v>
      </c>
      <c r="K74" s="39" t="n">
        <f aca="false">IF(G74="","",MAX(0,G74-J74/100))</f>
        <v>0.674376995757903</v>
      </c>
      <c r="L74" s="39" t="n">
        <f aca="false">IF(G74="","",MIN(1,G74+J74/100))</f>
        <v>0.731873004242097</v>
      </c>
      <c r="M74" s="21" t="n">
        <f aca="false">ROUND(Q74*S74,0)</f>
        <v>23</v>
      </c>
      <c r="N74" s="21" t="n">
        <f aca="false">ROUND(SQRT((F74*J74/100)^2+(G74*M74)^2),0)</f>
        <v>20</v>
      </c>
      <c r="P74" s="41" t="n">
        <v>16.8233618437105</v>
      </c>
      <c r="Q74" s="42" t="n">
        <v>384</v>
      </c>
      <c r="R74" s="43" t="n">
        <f aca="false">MAX(0,MIN(1,P74/100+$D$5))</f>
        <v>0.703989980674904</v>
      </c>
      <c r="S74" s="43" t="n">
        <v>0.0610405690258335</v>
      </c>
      <c r="T74" s="44" t="s">
        <v>90</v>
      </c>
    </row>
    <row r="75" customFormat="false" ht="15" hidden="false" customHeight="false" outlineLevel="0" collapsed="false">
      <c r="A75" s="38" t="s">
        <v>156</v>
      </c>
      <c r="B75" s="38" t="s">
        <v>158</v>
      </c>
      <c r="C75" s="38" t="s">
        <v>170</v>
      </c>
      <c r="D75" s="21" t="n">
        <f aca="false">ROUND(Q75*R75,0)</f>
        <v>329</v>
      </c>
      <c r="E75" s="21" t="n">
        <f aca="false">ROUND(Q75,0)-D75</f>
        <v>157</v>
      </c>
      <c r="F75" s="21" t="n">
        <f aca="false">IF(COUNTA(D75:E75)=0,"",SUM(D75:E75))</f>
        <v>486</v>
      </c>
      <c r="G75" s="39" t="n">
        <f aca="false">IF(OR(F75="",F75=0),"",D75/F75)</f>
        <v>0.676954732510288</v>
      </c>
      <c r="H75" s="39" t="n">
        <f aca="false">IF(OR(F75="",F75=0),"",E75/F75)</f>
        <v>0.323045267489712</v>
      </c>
      <c r="I75" s="38" t="s">
        <v>89</v>
      </c>
      <c r="J75" s="40" t="n">
        <v>2.87480042420966</v>
      </c>
      <c r="K75" s="39" t="n">
        <f aca="false">IF(G75="","",MAX(0,G75-J75/100))</f>
        <v>0.648206728268192</v>
      </c>
      <c r="L75" s="39" t="n">
        <f aca="false">IF(G75="","",MIN(1,G75+J75/100))</f>
        <v>0.705702736752385</v>
      </c>
      <c r="M75" s="21" t="n">
        <f aca="false">ROUND(Q75*S75,0)</f>
        <v>30</v>
      </c>
      <c r="N75" s="21" t="n">
        <f aca="false">ROUND(SQRT((F75*J75/100)^2+(G75*M75)^2),0)</f>
        <v>25</v>
      </c>
      <c r="P75" s="41" t="n">
        <v>14.024984993593</v>
      </c>
      <c r="Q75" s="42" t="n">
        <v>486</v>
      </c>
      <c r="R75" s="43" t="n">
        <f aca="false">MAX(0,MIN(1,P75/100+$D$5))</f>
        <v>0.676006212173729</v>
      </c>
      <c r="S75" s="43" t="n">
        <v>0.0610405690258335</v>
      </c>
      <c r="T75" s="44" t="s">
        <v>90</v>
      </c>
    </row>
    <row r="76" customFormat="false" ht="15" hidden="false" customHeight="false" outlineLevel="0" collapsed="false">
      <c r="A76" s="38" t="s">
        <v>156</v>
      </c>
      <c r="B76" s="38" t="s">
        <v>158</v>
      </c>
      <c r="C76" s="38" t="s">
        <v>171</v>
      </c>
      <c r="D76" s="21" t="n">
        <f aca="false">ROUND(Q76*R76,0)</f>
        <v>327</v>
      </c>
      <c r="E76" s="21" t="n">
        <f aca="false">ROUND(Q76,0)-D76</f>
        <v>169</v>
      </c>
      <c r="F76" s="21" t="n">
        <f aca="false">IF(COUNTA(D76:E76)=0,"",SUM(D76:E76))</f>
        <v>496</v>
      </c>
      <c r="G76" s="39" t="n">
        <f aca="false">IF(OR(F76="",F76=0),"",D76/F76)</f>
        <v>0.659274193548387</v>
      </c>
      <c r="H76" s="39" t="n">
        <f aca="false">IF(OR(F76="",F76=0),"",E76/F76)</f>
        <v>0.340725806451613</v>
      </c>
      <c r="I76" s="38" t="s">
        <v>89</v>
      </c>
      <c r="J76" s="40" t="n">
        <v>2.87480042420966</v>
      </c>
      <c r="K76" s="39" t="n">
        <f aca="false">IF(G76="","",MAX(0,G76-J76/100))</f>
        <v>0.630526189306291</v>
      </c>
      <c r="L76" s="39" t="n">
        <f aca="false">IF(G76="","",MIN(1,G76+J76/100))</f>
        <v>0.688022197790484</v>
      </c>
      <c r="M76" s="21" t="n">
        <f aca="false">ROUND(Q76*S76,0)</f>
        <v>30</v>
      </c>
      <c r="N76" s="21" t="n">
        <f aca="false">ROUND(SQRT((F76*J76/100)^2+(G76*M76)^2),0)</f>
        <v>24</v>
      </c>
      <c r="P76" s="41" t="n">
        <v>12.3264389257547</v>
      </c>
      <c r="Q76" s="42" t="n">
        <v>496</v>
      </c>
      <c r="R76" s="43" t="n">
        <f aca="false">MAX(0,MIN(1,P76/100+$D$5))</f>
        <v>0.659020751495346</v>
      </c>
      <c r="S76" s="43" t="n">
        <v>0.0610405690258335</v>
      </c>
      <c r="T76" s="44" t="s">
        <v>90</v>
      </c>
    </row>
    <row r="77" customFormat="false" ht="15" hidden="false" customHeight="false" outlineLevel="0" collapsed="false">
      <c r="A77" s="38" t="s">
        <v>156</v>
      </c>
      <c r="B77" s="38" t="s">
        <v>158</v>
      </c>
      <c r="C77" s="38" t="s">
        <v>172</v>
      </c>
      <c r="D77" s="21" t="n">
        <f aca="false">ROUND(Q77*R77,0)</f>
        <v>348</v>
      </c>
      <c r="E77" s="21" t="n">
        <f aca="false">ROUND(Q77,0)-D77</f>
        <v>218</v>
      </c>
      <c r="F77" s="21" t="n">
        <f aca="false">IF(COUNTA(D77:E77)=0,"",SUM(D77:E77))</f>
        <v>566</v>
      </c>
      <c r="G77" s="39" t="n">
        <f aca="false">IF(OR(F77="",F77=0),"",D77/F77)</f>
        <v>0.614840989399293</v>
      </c>
      <c r="H77" s="39" t="n">
        <f aca="false">IF(OR(F77="",F77=0),"",E77/F77)</f>
        <v>0.385159010600707</v>
      </c>
      <c r="I77" s="38" t="s">
        <v>89</v>
      </c>
      <c r="J77" s="40" t="n">
        <v>2.87480042420966</v>
      </c>
      <c r="K77" s="39" t="n">
        <f aca="false">IF(G77="","",MAX(0,G77-J77/100))</f>
        <v>0.586092985157197</v>
      </c>
      <c r="L77" s="39" t="n">
        <f aca="false">IF(G77="","",MIN(1,G77+J77/100))</f>
        <v>0.64358899364139</v>
      </c>
      <c r="M77" s="21" t="n">
        <f aca="false">ROUND(Q77*S77,0)</f>
        <v>35</v>
      </c>
      <c r="N77" s="21" t="n">
        <f aca="false">ROUND(SQRT((F77*J77/100)^2+(G77*M77)^2),0)</f>
        <v>27</v>
      </c>
      <c r="P77" s="41" t="n">
        <v>7.97645104562663</v>
      </c>
      <c r="Q77" s="42" t="n">
        <v>566</v>
      </c>
      <c r="R77" s="43" t="n">
        <f aca="false">MAX(0,MIN(1,P77/100+$D$5))</f>
        <v>0.615520872694065</v>
      </c>
      <c r="S77" s="43" t="n">
        <v>0.0610405690258335</v>
      </c>
      <c r="T77" s="44" t="s">
        <v>90</v>
      </c>
    </row>
    <row r="78" customFormat="false" ht="15" hidden="false" customHeight="false" outlineLevel="0" collapsed="false">
      <c r="A78" s="38" t="s">
        <v>156</v>
      </c>
      <c r="B78" s="38" t="s">
        <v>158</v>
      </c>
      <c r="C78" s="38" t="s">
        <v>173</v>
      </c>
      <c r="D78" s="21" t="n">
        <f aca="false">ROUND(Q78*R78,0)</f>
        <v>266</v>
      </c>
      <c r="E78" s="21" t="n">
        <f aca="false">ROUND(Q78,0)-D78</f>
        <v>144</v>
      </c>
      <c r="F78" s="21" t="n">
        <f aca="false">IF(COUNTA(D78:E78)=0,"",SUM(D78:E78))</f>
        <v>410</v>
      </c>
      <c r="G78" s="39" t="n">
        <f aca="false">IF(OR(F78="",F78=0),"",D78/F78)</f>
        <v>0.648780487804878</v>
      </c>
      <c r="H78" s="39" t="n">
        <f aca="false">IF(OR(F78="",F78=0),"",E78/F78)</f>
        <v>0.351219512195122</v>
      </c>
      <c r="I78" s="38" t="s">
        <v>89</v>
      </c>
      <c r="J78" s="40" t="n">
        <v>2.87480042420966</v>
      </c>
      <c r="K78" s="39" t="n">
        <f aca="false">IF(G78="","",MAX(0,G78-J78/100))</f>
        <v>0.620032483562782</v>
      </c>
      <c r="L78" s="39" t="n">
        <f aca="false">IF(G78="","",MIN(1,G78+J78/100))</f>
        <v>0.677528492046975</v>
      </c>
      <c r="M78" s="21" t="n">
        <f aca="false">ROUND(Q78*S78,0)</f>
        <v>25</v>
      </c>
      <c r="N78" s="21" t="n">
        <f aca="false">ROUND(SQRT((F78*J78/100)^2+(G78*M78)^2),0)</f>
        <v>20</v>
      </c>
      <c r="P78" s="41" t="n">
        <v>11.3223837278267</v>
      </c>
      <c r="Q78" s="42" t="n">
        <v>410</v>
      </c>
      <c r="R78" s="43" t="n">
        <f aca="false">MAX(0,MIN(1,P78/100+$D$5))</f>
        <v>0.648980199516066</v>
      </c>
      <c r="S78" s="43" t="n">
        <v>0.0610405690258335</v>
      </c>
      <c r="T78" s="44" t="s">
        <v>90</v>
      </c>
    </row>
    <row r="79" customFormat="false" ht="15" hidden="false" customHeight="false" outlineLevel="0" collapsed="false">
      <c r="A79" s="38" t="s">
        <v>156</v>
      </c>
      <c r="B79" s="38" t="s">
        <v>158</v>
      </c>
      <c r="C79" s="38" t="s">
        <v>174</v>
      </c>
      <c r="D79" s="21" t="n">
        <f aca="false">ROUND(Q79*R79,0)</f>
        <v>257</v>
      </c>
      <c r="E79" s="21" t="n">
        <f aca="false">ROUND(Q79,0)-D79</f>
        <v>91</v>
      </c>
      <c r="F79" s="21" t="n">
        <f aca="false">IF(COUNTA(D79:E79)=0,"",SUM(D79:E79))</f>
        <v>348</v>
      </c>
      <c r="G79" s="39" t="n">
        <f aca="false">IF(OR(F79="",F79=0),"",D79/F79)</f>
        <v>0.738505747126437</v>
      </c>
      <c r="H79" s="39" t="n">
        <f aca="false">IF(OR(F79="",F79=0),"",E79/F79)</f>
        <v>0.261494252873563</v>
      </c>
      <c r="I79" s="38" t="s">
        <v>89</v>
      </c>
      <c r="J79" s="40" t="n">
        <v>2.87480042420966</v>
      </c>
      <c r="K79" s="39" t="n">
        <f aca="false">IF(G79="","",MAX(0,G79-J79/100))</f>
        <v>0.70975774288434</v>
      </c>
      <c r="L79" s="39" t="n">
        <f aca="false">IF(G79="","",MIN(1,G79+J79/100))</f>
        <v>0.767253751368533</v>
      </c>
      <c r="M79" s="21" t="n">
        <f aca="false">ROUND(Q79*S79,0)</f>
        <v>21</v>
      </c>
      <c r="N79" s="21" t="n">
        <f aca="false">ROUND(SQRT((F79*J79/100)^2+(G79*M79)^2),0)</f>
        <v>18</v>
      </c>
      <c r="P79" s="41" t="n">
        <v>20.3740335650762</v>
      </c>
      <c r="Q79" s="42" t="n">
        <v>348</v>
      </c>
      <c r="R79" s="43" t="n">
        <f aca="false">MAX(0,MIN(1,P79/100+$D$5))</f>
        <v>0.739496697888561</v>
      </c>
      <c r="S79" s="43" t="n">
        <v>0.0610405690258335</v>
      </c>
      <c r="T79" s="44" t="s">
        <v>90</v>
      </c>
    </row>
    <row r="80" customFormat="false" ht="15" hidden="false" customHeight="false" outlineLevel="0" collapsed="false">
      <c r="A80" s="38" t="s">
        <v>156</v>
      </c>
      <c r="B80" s="38" t="s">
        <v>158</v>
      </c>
      <c r="C80" s="38" t="s">
        <v>175</v>
      </c>
      <c r="D80" s="21" t="n">
        <f aca="false">ROUND(Q80*R80,0)</f>
        <v>204</v>
      </c>
      <c r="E80" s="21" t="n">
        <f aca="false">ROUND(Q80,0)-D80</f>
        <v>90</v>
      </c>
      <c r="F80" s="21" t="n">
        <f aca="false">IF(COUNTA(D80:E80)=0,"",SUM(D80:E80))</f>
        <v>294</v>
      </c>
      <c r="G80" s="39" t="n">
        <f aca="false">IF(OR(F80="",F80=0),"",D80/F80)</f>
        <v>0.693877551020408</v>
      </c>
      <c r="H80" s="39" t="n">
        <f aca="false">IF(OR(F80="",F80=0),"",E80/F80)</f>
        <v>0.306122448979592</v>
      </c>
      <c r="I80" s="38" t="s">
        <v>89</v>
      </c>
      <c r="J80" s="40" t="n">
        <v>2.87480042420966</v>
      </c>
      <c r="K80" s="39" t="n">
        <f aca="false">IF(G80="","",MAX(0,G80-J80/100))</f>
        <v>0.665129546778312</v>
      </c>
      <c r="L80" s="39" t="n">
        <f aca="false">IF(G80="","",MIN(1,G80+J80/100))</f>
        <v>0.722625555262505</v>
      </c>
      <c r="M80" s="21" t="n">
        <f aca="false">ROUND(Q80*S80,0)</f>
        <v>18</v>
      </c>
      <c r="N80" s="21" t="n">
        <f aca="false">ROUND(SQRT((F80*J80/100)^2+(G80*M80)^2),0)</f>
        <v>15</v>
      </c>
      <c r="P80" s="41" t="n">
        <v>15.679178755327</v>
      </c>
      <c r="Q80" s="42" t="n">
        <v>294</v>
      </c>
      <c r="R80" s="43" t="n">
        <f aca="false">MAX(0,MIN(1,P80/100+$D$5))</f>
        <v>0.692548149791069</v>
      </c>
      <c r="S80" s="43" t="n">
        <v>0.0610405690258335</v>
      </c>
      <c r="T80" s="44" t="s">
        <v>90</v>
      </c>
    </row>
    <row r="81" customFormat="false" ht="15" hidden="false" customHeight="false" outlineLevel="0" collapsed="false">
      <c r="A81" s="38" t="s">
        <v>156</v>
      </c>
      <c r="B81" s="38" t="s">
        <v>158</v>
      </c>
      <c r="C81" s="38" t="s">
        <v>176</v>
      </c>
      <c r="D81" s="21" t="n">
        <f aca="false">ROUND(Q81*R81,0)</f>
        <v>259</v>
      </c>
      <c r="E81" s="21" t="n">
        <f aca="false">ROUND(Q81,0)-D81</f>
        <v>120</v>
      </c>
      <c r="F81" s="21" t="n">
        <f aca="false">IF(COUNTA(D81:E81)=0,"",SUM(D81:E81))</f>
        <v>379</v>
      </c>
      <c r="G81" s="39" t="n">
        <f aca="false">IF(OR(F81="",F81=0),"",D81/F81)</f>
        <v>0.683377308707124</v>
      </c>
      <c r="H81" s="39" t="n">
        <f aca="false">IF(OR(F81="",F81=0),"",E81/F81)</f>
        <v>0.316622691292876</v>
      </c>
      <c r="I81" s="38" t="s">
        <v>89</v>
      </c>
      <c r="J81" s="40" t="n">
        <v>2.87480042420966</v>
      </c>
      <c r="K81" s="39" t="n">
        <f aca="false">IF(G81="","",MAX(0,G81-J81/100))</f>
        <v>0.654629304465027</v>
      </c>
      <c r="L81" s="39" t="n">
        <f aca="false">IF(G81="","",MIN(1,G81+J81/100))</f>
        <v>0.712125312949221</v>
      </c>
      <c r="M81" s="21" t="n">
        <f aca="false">ROUND(Q81*S81,0)</f>
        <v>23</v>
      </c>
      <c r="N81" s="21" t="n">
        <f aca="false">ROUND(SQRT((F81*J81/100)^2+(G81*M81)^2),0)</f>
        <v>19</v>
      </c>
      <c r="P81" s="41" t="n">
        <v>14.6651865927515</v>
      </c>
      <c r="Q81" s="42" t="n">
        <v>379</v>
      </c>
      <c r="R81" s="43" t="n">
        <f aca="false">MAX(0,MIN(1,P81/100+$D$5))</f>
        <v>0.682408228165314</v>
      </c>
      <c r="S81" s="43" t="n">
        <v>0.0610405690258335</v>
      </c>
      <c r="T81" s="44" t="s">
        <v>90</v>
      </c>
    </row>
    <row r="82" customFormat="false" ht="15" hidden="false" customHeight="false" outlineLevel="0" collapsed="false">
      <c r="A82" s="38" t="s">
        <v>156</v>
      </c>
      <c r="B82" s="38" t="s">
        <v>158</v>
      </c>
      <c r="C82" s="38" t="s">
        <v>177</v>
      </c>
      <c r="D82" s="21" t="n">
        <f aca="false">ROUND(Q82*R82,0)</f>
        <v>209</v>
      </c>
      <c r="E82" s="21" t="n">
        <f aca="false">ROUND(Q82,0)-D82</f>
        <v>82</v>
      </c>
      <c r="F82" s="21" t="n">
        <f aca="false">IF(COUNTA(D82:E82)=0,"",SUM(D82:E82))</f>
        <v>291</v>
      </c>
      <c r="G82" s="39" t="n">
        <f aca="false">IF(OR(F82="",F82=0),"",D82/F82)</f>
        <v>0.718213058419244</v>
      </c>
      <c r="H82" s="39" t="n">
        <f aca="false">IF(OR(F82="",F82=0),"",E82/F82)</f>
        <v>0.281786941580756</v>
      </c>
      <c r="I82" s="38" t="s">
        <v>89</v>
      </c>
      <c r="J82" s="40" t="n">
        <v>2.87480042420966</v>
      </c>
      <c r="K82" s="39" t="n">
        <f aca="false">IF(G82="","",MAX(0,G82-J82/100))</f>
        <v>0.689465054177147</v>
      </c>
      <c r="L82" s="39" t="n">
        <f aca="false">IF(G82="","",MIN(1,G82+J82/100))</f>
        <v>0.746961062661341</v>
      </c>
      <c r="M82" s="21" t="n">
        <f aca="false">ROUND(Q82*S82,0)</f>
        <v>18</v>
      </c>
      <c r="N82" s="21" t="n">
        <f aca="false">ROUND(SQRT((F82*J82/100)^2+(G82*M82)^2),0)</f>
        <v>15</v>
      </c>
      <c r="P82" s="41" t="n">
        <v>18.1418693117322</v>
      </c>
      <c r="Q82" s="42" t="n">
        <v>291</v>
      </c>
      <c r="R82" s="43" t="n">
        <f aca="false">MAX(0,MIN(1,P82/100+$D$5))</f>
        <v>0.717175055355121</v>
      </c>
      <c r="S82" s="43" t="n">
        <v>0.0610405690258335</v>
      </c>
      <c r="T82" s="44" t="s">
        <v>90</v>
      </c>
    </row>
    <row r="83" customFormat="false" ht="15" hidden="false" customHeight="false" outlineLevel="0" collapsed="false">
      <c r="A83" s="38" t="s">
        <v>156</v>
      </c>
      <c r="B83" s="38" t="s">
        <v>158</v>
      </c>
      <c r="C83" s="38" t="s">
        <v>178</v>
      </c>
      <c r="D83" s="21" t="n">
        <f aca="false">ROUND(Q83*R83,0)</f>
        <v>386</v>
      </c>
      <c r="E83" s="21" t="n">
        <f aca="false">ROUND(Q83,0)-D83</f>
        <v>188</v>
      </c>
      <c r="F83" s="21" t="n">
        <f aca="false">IF(COUNTA(D83:E83)=0,"",SUM(D83:E83))</f>
        <v>574</v>
      </c>
      <c r="G83" s="39" t="n">
        <f aca="false">IF(OR(F83="",F83=0),"",D83/F83)</f>
        <v>0.672473867595819</v>
      </c>
      <c r="H83" s="39" t="n">
        <f aca="false">IF(OR(F83="",F83=0),"",E83/F83)</f>
        <v>0.327526132404181</v>
      </c>
      <c r="I83" s="38" t="s">
        <v>89</v>
      </c>
      <c r="J83" s="40" t="n">
        <v>2.87480042420966</v>
      </c>
      <c r="K83" s="39" t="n">
        <f aca="false">IF(G83="","",MAX(0,G83-J83/100))</f>
        <v>0.643725863353722</v>
      </c>
      <c r="L83" s="39" t="n">
        <f aca="false">IF(G83="","",MIN(1,G83+J83/100))</f>
        <v>0.701221871837915</v>
      </c>
      <c r="M83" s="21" t="n">
        <f aca="false">ROUND(Q83*S83,0)</f>
        <v>35</v>
      </c>
      <c r="N83" s="21" t="n">
        <f aca="false">ROUND(SQRT((F83*J83/100)^2+(G83*M83)^2),0)</f>
        <v>29</v>
      </c>
      <c r="P83" s="41" t="n">
        <v>13.677970244015</v>
      </c>
      <c r="Q83" s="42" t="n">
        <v>574</v>
      </c>
      <c r="R83" s="43" t="n">
        <f aca="false">MAX(0,MIN(1,P83/100+$D$5))</f>
        <v>0.672536064677949</v>
      </c>
      <c r="S83" s="43" t="n">
        <v>0.0610405690258335</v>
      </c>
      <c r="T83" s="44" t="s">
        <v>90</v>
      </c>
    </row>
    <row r="84" customFormat="false" ht="15" hidden="false" customHeight="false" outlineLevel="0" collapsed="false">
      <c r="A84" s="38" t="s">
        <v>156</v>
      </c>
      <c r="B84" s="38" t="s">
        <v>158</v>
      </c>
      <c r="C84" s="38" t="s">
        <v>179</v>
      </c>
      <c r="D84" s="21" t="n">
        <f aca="false">ROUND(Q84*R84,0)</f>
        <v>378</v>
      </c>
      <c r="E84" s="21" t="n">
        <f aca="false">ROUND(Q84,0)-D84</f>
        <v>175</v>
      </c>
      <c r="F84" s="21" t="n">
        <f aca="false">IF(COUNTA(D84:E84)=0,"",SUM(D84:E84))</f>
        <v>553</v>
      </c>
      <c r="G84" s="39" t="n">
        <f aca="false">IF(OR(F84="",F84=0),"",D84/F84)</f>
        <v>0.683544303797468</v>
      </c>
      <c r="H84" s="39" t="n">
        <f aca="false">IF(OR(F84="",F84=0),"",E84/F84)</f>
        <v>0.316455696202532</v>
      </c>
      <c r="I84" s="38" t="s">
        <v>89</v>
      </c>
      <c r="J84" s="40" t="n">
        <v>2.87480042420966</v>
      </c>
      <c r="K84" s="39" t="n">
        <f aca="false">IF(G84="","",MAX(0,G84-J84/100))</f>
        <v>0.654796299555372</v>
      </c>
      <c r="L84" s="39" t="n">
        <f aca="false">IF(G84="","",MIN(1,G84+J84/100))</f>
        <v>0.712292308039565</v>
      </c>
      <c r="M84" s="21" t="n">
        <f aca="false">ROUND(Q84*S84,0)</f>
        <v>34</v>
      </c>
      <c r="N84" s="21" t="n">
        <f aca="false">ROUND(SQRT((F84*J84/100)^2+(G84*M84)^2),0)</f>
        <v>28</v>
      </c>
      <c r="P84" s="41" t="n">
        <v>14.7394445958549</v>
      </c>
      <c r="Q84" s="42" t="n">
        <v>553</v>
      </c>
      <c r="R84" s="43" t="n">
        <f aca="false">MAX(0,MIN(1,P84/100+$D$5))</f>
        <v>0.683150808196348</v>
      </c>
      <c r="S84" s="43" t="n">
        <v>0.0610405690258335</v>
      </c>
      <c r="T84" s="44" t="s">
        <v>90</v>
      </c>
    </row>
    <row r="85" customFormat="false" ht="15" hidden="false" customHeight="false" outlineLevel="0" collapsed="false">
      <c r="A85" s="38" t="s">
        <v>156</v>
      </c>
      <c r="B85" s="38" t="s">
        <v>158</v>
      </c>
      <c r="C85" s="38" t="s">
        <v>180</v>
      </c>
      <c r="D85" s="21" t="n">
        <f aca="false">ROUND(Q85*R85,0)</f>
        <v>325</v>
      </c>
      <c r="E85" s="21" t="n">
        <f aca="false">ROUND(Q85,0)-D85</f>
        <v>198</v>
      </c>
      <c r="F85" s="21" t="n">
        <f aca="false">IF(COUNTA(D85:E85)=0,"",SUM(D85:E85))</f>
        <v>523</v>
      </c>
      <c r="G85" s="39" t="n">
        <f aca="false">IF(OR(F85="",F85=0),"",D85/F85)</f>
        <v>0.621414913957935</v>
      </c>
      <c r="H85" s="39" t="n">
        <f aca="false">IF(OR(F85="",F85=0),"",E85/F85)</f>
        <v>0.378585086042065</v>
      </c>
      <c r="I85" s="38" t="s">
        <v>89</v>
      </c>
      <c r="J85" s="40" t="n">
        <v>2.87480042420966</v>
      </c>
      <c r="K85" s="39" t="n">
        <f aca="false">IF(G85="","",MAX(0,G85-J85/100))</f>
        <v>0.592666909715839</v>
      </c>
      <c r="L85" s="39" t="n">
        <f aca="false">IF(G85="","",MIN(1,G85+J85/100))</f>
        <v>0.650162918200032</v>
      </c>
      <c r="M85" s="21" t="n">
        <f aca="false">ROUND(Q85*S85,0)</f>
        <v>32</v>
      </c>
      <c r="N85" s="21" t="n">
        <f aca="false">ROUND(SQRT((F85*J85/100)^2+(G85*M85)^2),0)</f>
        <v>25</v>
      </c>
      <c r="P85" s="41" t="n">
        <v>8.55831659520326</v>
      </c>
      <c r="Q85" s="42" t="n">
        <v>523</v>
      </c>
      <c r="R85" s="43" t="n">
        <f aca="false">MAX(0,MIN(1,P85/100+$D$5))</f>
        <v>0.621339528189831</v>
      </c>
      <c r="S85" s="43" t="n">
        <v>0.0610405690258335</v>
      </c>
      <c r="T85" s="44" t="s">
        <v>90</v>
      </c>
    </row>
    <row r="86" customFormat="false" ht="15" hidden="false" customHeight="false" outlineLevel="0" collapsed="false">
      <c r="A86" s="38" t="s">
        <v>156</v>
      </c>
      <c r="B86" s="38" t="s">
        <v>158</v>
      </c>
      <c r="C86" s="38" t="s">
        <v>181</v>
      </c>
      <c r="D86" s="21" t="n">
        <f aca="false">ROUND(Q86*R86,0)</f>
        <v>397</v>
      </c>
      <c r="E86" s="21" t="n">
        <f aca="false">ROUND(Q86,0)-D86</f>
        <v>203</v>
      </c>
      <c r="F86" s="21" t="n">
        <f aca="false">IF(COUNTA(D86:E86)=0,"",SUM(D86:E86))</f>
        <v>600</v>
      </c>
      <c r="G86" s="39" t="n">
        <f aca="false">IF(OR(F86="",F86=0),"",D86/F86)</f>
        <v>0.661666666666667</v>
      </c>
      <c r="H86" s="39" t="n">
        <f aca="false">IF(OR(F86="",F86=0),"",E86/F86)</f>
        <v>0.338333333333333</v>
      </c>
      <c r="I86" s="38" t="s">
        <v>89</v>
      </c>
      <c r="J86" s="40" t="n">
        <v>2.87480042420966</v>
      </c>
      <c r="K86" s="39" t="n">
        <f aca="false">IF(G86="","",MAX(0,G86-J86/100))</f>
        <v>0.63291866242457</v>
      </c>
      <c r="L86" s="39" t="n">
        <f aca="false">IF(G86="","",MIN(1,G86+J86/100))</f>
        <v>0.690414670908763</v>
      </c>
      <c r="M86" s="21" t="n">
        <f aca="false">ROUND(Q86*S86,0)</f>
        <v>37</v>
      </c>
      <c r="N86" s="21" t="n">
        <f aca="false">ROUND(SQRT((F86*J86/100)^2+(G86*M86)^2),0)</f>
        <v>30</v>
      </c>
      <c r="P86" s="41" t="n">
        <v>12.5309896075713</v>
      </c>
      <c r="Q86" s="42" t="n">
        <v>600</v>
      </c>
      <c r="R86" s="43" t="n">
        <f aca="false">MAX(0,MIN(1,P86/100+$D$5))</f>
        <v>0.661066258313511</v>
      </c>
      <c r="S86" s="43" t="n">
        <v>0.0610405690258335</v>
      </c>
      <c r="T86" s="44" t="s">
        <v>90</v>
      </c>
    </row>
    <row r="87" customFormat="false" ht="15" hidden="false" customHeight="false" outlineLevel="0" collapsed="false">
      <c r="A87" s="38" t="s">
        <v>156</v>
      </c>
      <c r="B87" s="38" t="s">
        <v>158</v>
      </c>
      <c r="C87" s="38" t="s">
        <v>182</v>
      </c>
      <c r="D87" s="21" t="n">
        <f aca="false">ROUND(Q87*R87,0)</f>
        <v>439</v>
      </c>
      <c r="E87" s="21" t="n">
        <f aca="false">ROUND(Q87,0)-D87</f>
        <v>230</v>
      </c>
      <c r="F87" s="21" t="n">
        <f aca="false">IF(COUNTA(D87:E87)=0,"",SUM(D87:E87))</f>
        <v>669</v>
      </c>
      <c r="G87" s="39" t="n">
        <f aca="false">IF(OR(F87="",F87=0),"",D87/F87)</f>
        <v>0.656203288490284</v>
      </c>
      <c r="H87" s="39" t="n">
        <f aca="false">IF(OR(F87="",F87=0),"",E87/F87)</f>
        <v>0.343796711509716</v>
      </c>
      <c r="I87" s="38" t="s">
        <v>89</v>
      </c>
      <c r="J87" s="40" t="n">
        <v>2.87480042420966</v>
      </c>
      <c r="K87" s="39" t="n">
        <f aca="false">IF(G87="","",MAX(0,G87-J87/100))</f>
        <v>0.627455284248187</v>
      </c>
      <c r="L87" s="39" t="n">
        <f aca="false">IF(G87="","",MIN(1,G87+J87/100))</f>
        <v>0.684951292732381</v>
      </c>
      <c r="M87" s="21" t="n">
        <f aca="false">ROUND(Q87*S87,0)</f>
        <v>41</v>
      </c>
      <c r="N87" s="21" t="n">
        <f aca="false">ROUND(SQRT((F87*J87/100)^2+(G87*M87)^2),0)</f>
        <v>33</v>
      </c>
      <c r="P87" s="41" t="n">
        <v>12.0285279357438</v>
      </c>
      <c r="Q87" s="42" t="n">
        <v>669</v>
      </c>
      <c r="R87" s="43" t="n">
        <f aca="false">MAX(0,MIN(1,P87/100+$D$5))</f>
        <v>0.656041641595237</v>
      </c>
      <c r="S87" s="43" t="n">
        <v>0.0610405690258335</v>
      </c>
      <c r="T87" s="44" t="s">
        <v>90</v>
      </c>
    </row>
    <row r="88" customFormat="false" ht="15" hidden="false" customHeight="false" outlineLevel="0" collapsed="false">
      <c r="A88" s="38" t="s">
        <v>156</v>
      </c>
      <c r="B88" s="38" t="s">
        <v>158</v>
      </c>
      <c r="C88" s="38" t="s">
        <v>183</v>
      </c>
      <c r="D88" s="21" t="n">
        <f aca="false">ROUND(Q88*R88,0)</f>
        <v>291</v>
      </c>
      <c r="E88" s="21" t="n">
        <f aca="false">ROUND(Q88,0)-D88</f>
        <v>173</v>
      </c>
      <c r="F88" s="21" t="n">
        <f aca="false">IF(COUNTA(D88:E88)=0,"",SUM(D88:E88))</f>
        <v>464</v>
      </c>
      <c r="G88" s="39" t="n">
        <f aca="false">IF(OR(F88="",F88=0),"",D88/F88)</f>
        <v>0.627155172413793</v>
      </c>
      <c r="H88" s="39" t="n">
        <f aca="false">IF(OR(F88="",F88=0),"",E88/F88)</f>
        <v>0.372844827586207</v>
      </c>
      <c r="I88" s="38" t="s">
        <v>89</v>
      </c>
      <c r="J88" s="40" t="n">
        <v>2.87480042420966</v>
      </c>
      <c r="K88" s="39" t="n">
        <f aca="false">IF(G88="","",MAX(0,G88-J88/100))</f>
        <v>0.598407168171697</v>
      </c>
      <c r="L88" s="39" t="n">
        <f aca="false">IF(G88="","",MIN(1,G88+J88/100))</f>
        <v>0.65590317665589</v>
      </c>
      <c r="M88" s="21" t="n">
        <f aca="false">ROUND(Q88*S88,0)</f>
        <v>28</v>
      </c>
      <c r="N88" s="21" t="n">
        <f aca="false">ROUND(SQRT((F88*J88/100)^2+(G88*M88)^2),0)</f>
        <v>22</v>
      </c>
      <c r="P88" s="41" t="n">
        <v>9.18772276107635</v>
      </c>
      <c r="Q88" s="42" t="n">
        <v>464</v>
      </c>
      <c r="R88" s="43" t="n">
        <f aca="false">MAX(0,MIN(1,P88/100+$D$5))</f>
        <v>0.627633589848562</v>
      </c>
      <c r="S88" s="43" t="n">
        <v>0.0610405690258335</v>
      </c>
      <c r="T88" s="44" t="s">
        <v>90</v>
      </c>
    </row>
    <row r="89" customFormat="false" ht="15" hidden="false" customHeight="false" outlineLevel="0" collapsed="false">
      <c r="A89" s="38" t="s">
        <v>156</v>
      </c>
      <c r="B89" s="38" t="s">
        <v>158</v>
      </c>
      <c r="C89" s="38" t="s">
        <v>184</v>
      </c>
      <c r="D89" s="21" t="n">
        <f aca="false">ROUND(Q89*R89,0)</f>
        <v>292</v>
      </c>
      <c r="E89" s="21" t="n">
        <f aca="false">ROUND(Q89,0)-D89</f>
        <v>149</v>
      </c>
      <c r="F89" s="21" t="n">
        <f aca="false">IF(COUNTA(D89:E89)=0,"",SUM(D89:E89))</f>
        <v>441</v>
      </c>
      <c r="G89" s="39" t="n">
        <f aca="false">IF(OR(F89="",F89=0),"",D89/F89)</f>
        <v>0.662131519274376</v>
      </c>
      <c r="H89" s="39" t="n">
        <f aca="false">IF(OR(F89="",F89=0),"",E89/F89)</f>
        <v>0.337868480725624</v>
      </c>
      <c r="I89" s="38" t="s">
        <v>89</v>
      </c>
      <c r="J89" s="40" t="n">
        <v>2.87480042420966</v>
      </c>
      <c r="K89" s="39" t="n">
        <f aca="false">IF(G89="","",MAX(0,G89-J89/100))</f>
        <v>0.63338351503228</v>
      </c>
      <c r="L89" s="39" t="n">
        <f aca="false">IF(G89="","",MIN(1,G89+J89/100))</f>
        <v>0.690879523516473</v>
      </c>
      <c r="M89" s="21" t="n">
        <f aca="false">ROUND(Q89*S89,0)</f>
        <v>27</v>
      </c>
      <c r="N89" s="21" t="n">
        <f aca="false">ROUND(SQRT((F89*J89/100)^2+(G89*M89)^2),0)</f>
        <v>22</v>
      </c>
      <c r="P89" s="41" t="n">
        <v>12.7462583252552</v>
      </c>
      <c r="Q89" s="42" t="n">
        <v>441</v>
      </c>
      <c r="R89" s="43" t="n">
        <f aca="false">MAX(0,MIN(1,P89/100+$D$5))</f>
        <v>0.663218945490351</v>
      </c>
      <c r="S89" s="43" t="n">
        <v>0.0610405690258335</v>
      </c>
      <c r="T89" s="44" t="s">
        <v>90</v>
      </c>
    </row>
    <row r="90" customFormat="false" ht="15" hidden="false" customHeight="false" outlineLevel="0" collapsed="false">
      <c r="A90" s="38" t="s">
        <v>156</v>
      </c>
      <c r="B90" s="38" t="s">
        <v>158</v>
      </c>
      <c r="C90" s="38" t="s">
        <v>185</v>
      </c>
      <c r="D90" s="21" t="n">
        <f aca="false">ROUND(Q90*R90,0)</f>
        <v>492</v>
      </c>
      <c r="E90" s="21" t="n">
        <f aca="false">ROUND(Q90,0)-D90</f>
        <v>282</v>
      </c>
      <c r="F90" s="21" t="n">
        <f aca="false">IF(COUNTA(D90:E90)=0,"",SUM(D90:E90))</f>
        <v>774</v>
      </c>
      <c r="G90" s="39" t="n">
        <f aca="false">IF(OR(F90="",F90=0),"",D90/F90)</f>
        <v>0.635658914728682</v>
      </c>
      <c r="H90" s="39" t="n">
        <f aca="false">IF(OR(F90="",F90=0),"",E90/F90)</f>
        <v>0.364341085271318</v>
      </c>
      <c r="I90" s="38" t="s">
        <v>89</v>
      </c>
      <c r="J90" s="40" t="n">
        <v>2.87480042420966</v>
      </c>
      <c r="K90" s="39" t="n">
        <f aca="false">IF(G90="","",MAX(0,G90-J90/100))</f>
        <v>0.606910910486586</v>
      </c>
      <c r="L90" s="39" t="n">
        <f aca="false">IF(G90="","",MIN(1,G90+J90/100))</f>
        <v>0.664406918970779</v>
      </c>
      <c r="M90" s="21" t="n">
        <f aca="false">ROUND(Q90*S90,0)</f>
        <v>47</v>
      </c>
      <c r="N90" s="21" t="n">
        <f aca="false">ROUND(SQRT((F90*J90/100)^2+(G90*M90)^2),0)</f>
        <v>37</v>
      </c>
      <c r="P90" s="41" t="n">
        <v>9.99815172937556</v>
      </c>
      <c r="Q90" s="42" t="n">
        <v>774</v>
      </c>
      <c r="R90" s="43" t="n">
        <f aca="false">MAX(0,MIN(1,P90/100+$D$5))</f>
        <v>0.635737879531554</v>
      </c>
      <c r="S90" s="43" t="n">
        <v>0.0610405690258335</v>
      </c>
      <c r="T90" s="44" t="s">
        <v>90</v>
      </c>
    </row>
    <row r="91" customFormat="false" ht="15" hidden="false" customHeight="false" outlineLevel="0" collapsed="false">
      <c r="A91" s="38" t="s">
        <v>156</v>
      </c>
      <c r="B91" s="38" t="s">
        <v>158</v>
      </c>
      <c r="C91" s="38" t="s">
        <v>186</v>
      </c>
      <c r="D91" s="21" t="n">
        <f aca="false">ROUND(Q91*R91,0)</f>
        <v>348</v>
      </c>
      <c r="E91" s="21" t="n">
        <f aca="false">ROUND(Q91,0)-D91</f>
        <v>144</v>
      </c>
      <c r="F91" s="21" t="n">
        <f aca="false">IF(COUNTA(D91:E91)=0,"",SUM(D91:E91))</f>
        <v>492</v>
      </c>
      <c r="G91" s="39" t="n">
        <f aca="false">IF(OR(F91="",F91=0),"",D91/F91)</f>
        <v>0.707317073170732</v>
      </c>
      <c r="H91" s="39" t="n">
        <f aca="false">IF(OR(F91="",F91=0),"",E91/F91)</f>
        <v>0.292682926829268</v>
      </c>
      <c r="I91" s="38" t="s">
        <v>89</v>
      </c>
      <c r="J91" s="40" t="n">
        <v>2.87480042420966</v>
      </c>
      <c r="K91" s="39" t="n">
        <f aca="false">IF(G91="","",MAX(0,G91-J91/100))</f>
        <v>0.678569068928635</v>
      </c>
      <c r="L91" s="39" t="n">
        <f aca="false">IF(G91="","",MIN(1,G91+J91/100))</f>
        <v>0.736065077412828</v>
      </c>
      <c r="M91" s="21" t="n">
        <f aca="false">ROUND(Q91*S91,0)</f>
        <v>30</v>
      </c>
      <c r="N91" s="21" t="n">
        <f aca="false">ROUND(SQRT((F91*J91/100)^2+(G91*M91)^2),0)</f>
        <v>26</v>
      </c>
      <c r="P91" s="41" t="n">
        <v>17.156812681147</v>
      </c>
      <c r="Q91" s="42" t="n">
        <v>492</v>
      </c>
      <c r="R91" s="43" t="n">
        <f aca="false">MAX(0,MIN(1,P91/100+$D$5))</f>
        <v>0.707324489049269</v>
      </c>
      <c r="S91" s="43" t="n">
        <v>0.0610405690258335</v>
      </c>
      <c r="T91" s="44" t="s">
        <v>90</v>
      </c>
    </row>
    <row r="92" customFormat="false" ht="15" hidden="false" customHeight="false" outlineLevel="0" collapsed="false">
      <c r="A92" s="38" t="s">
        <v>156</v>
      </c>
      <c r="B92" s="38" t="s">
        <v>158</v>
      </c>
      <c r="C92" s="38" t="s">
        <v>187</v>
      </c>
      <c r="D92" s="21" t="n">
        <f aca="false">ROUND(Q92*R92,0)</f>
        <v>413</v>
      </c>
      <c r="E92" s="21" t="n">
        <f aca="false">ROUND(Q92,0)-D92</f>
        <v>209</v>
      </c>
      <c r="F92" s="21" t="n">
        <f aca="false">IF(COUNTA(D92:E92)=0,"",SUM(D92:E92))</f>
        <v>622</v>
      </c>
      <c r="G92" s="39" t="n">
        <f aca="false">IF(OR(F92="",F92=0),"",D92/F92)</f>
        <v>0.663987138263666</v>
      </c>
      <c r="H92" s="39" t="n">
        <f aca="false">IF(OR(F92="",F92=0),"",E92/F92)</f>
        <v>0.336012861736334</v>
      </c>
      <c r="I92" s="38" t="s">
        <v>89</v>
      </c>
      <c r="J92" s="40" t="n">
        <v>2.87480042420966</v>
      </c>
      <c r="K92" s="39" t="n">
        <f aca="false">IF(G92="","",MAX(0,G92-J92/100))</f>
        <v>0.635239134021569</v>
      </c>
      <c r="L92" s="39" t="n">
        <f aca="false">IF(G92="","",MIN(1,G92+J92/100))</f>
        <v>0.692735142505762</v>
      </c>
      <c r="M92" s="21" t="n">
        <f aca="false">ROUND(Q92*S92,0)</f>
        <v>38</v>
      </c>
      <c r="N92" s="21" t="n">
        <f aca="false">ROUND(SQRT((F92*J92/100)^2+(G92*M92)^2),0)</f>
        <v>31</v>
      </c>
      <c r="P92" s="41" t="n">
        <v>12.8138562267569</v>
      </c>
      <c r="Q92" s="42" t="n">
        <v>622</v>
      </c>
      <c r="R92" s="43" t="n">
        <f aca="false">MAX(0,MIN(1,P92/100+$D$5))</f>
        <v>0.663894924505368</v>
      </c>
      <c r="S92" s="43" t="n">
        <v>0.0610405690258335</v>
      </c>
      <c r="T92" s="44" t="s">
        <v>90</v>
      </c>
    </row>
    <row r="93" customFormat="false" ht="15" hidden="false" customHeight="false" outlineLevel="0" collapsed="false">
      <c r="A93" s="38" t="s">
        <v>156</v>
      </c>
      <c r="B93" s="38" t="s">
        <v>158</v>
      </c>
      <c r="C93" s="38" t="s">
        <v>188</v>
      </c>
      <c r="D93" s="21" t="n">
        <f aca="false">ROUND(Q93*R93,0)</f>
        <v>444</v>
      </c>
      <c r="E93" s="21" t="n">
        <f aca="false">ROUND(Q93,0)-D93</f>
        <v>241</v>
      </c>
      <c r="F93" s="21" t="n">
        <f aca="false">IF(COUNTA(D93:E93)=0,"",SUM(D93:E93))</f>
        <v>685</v>
      </c>
      <c r="G93" s="39" t="n">
        <f aca="false">IF(OR(F93="",F93=0),"",D93/F93)</f>
        <v>0.648175182481752</v>
      </c>
      <c r="H93" s="39" t="n">
        <f aca="false">IF(OR(F93="",F93=0),"",E93/F93)</f>
        <v>0.351824817518248</v>
      </c>
      <c r="I93" s="38" t="s">
        <v>89</v>
      </c>
      <c r="J93" s="40" t="n">
        <v>2.87480042420966</v>
      </c>
      <c r="K93" s="39" t="n">
        <f aca="false">IF(G93="","",MAX(0,G93-J93/100))</f>
        <v>0.619427178239655</v>
      </c>
      <c r="L93" s="39" t="n">
        <f aca="false">IF(G93="","",MIN(1,G93+J93/100))</f>
        <v>0.676923186723848</v>
      </c>
      <c r="M93" s="21" t="n">
        <f aca="false">ROUND(Q93*S93,0)</f>
        <v>42</v>
      </c>
      <c r="N93" s="21" t="n">
        <f aca="false">ROUND(SQRT((F93*J93/100)^2+(G93*M93)^2),0)</f>
        <v>34</v>
      </c>
      <c r="P93" s="41" t="n">
        <v>11.275652453748</v>
      </c>
      <c r="Q93" s="42" t="n">
        <v>685</v>
      </c>
      <c r="R93" s="43" t="n">
        <f aca="false">MAX(0,MIN(1,P93/100+$D$5))</f>
        <v>0.648512886775278</v>
      </c>
      <c r="S93" s="43" t="n">
        <v>0.0610405690258335</v>
      </c>
      <c r="T93" s="44" t="s">
        <v>90</v>
      </c>
    </row>
    <row r="94" customFormat="false" ht="15" hidden="false" customHeight="false" outlineLevel="0" collapsed="false">
      <c r="A94" s="38" t="s">
        <v>156</v>
      </c>
      <c r="B94" s="38" t="s">
        <v>158</v>
      </c>
      <c r="C94" s="38" t="s">
        <v>189</v>
      </c>
      <c r="D94" s="21" t="n">
        <f aca="false">ROUND(Q94*R94,0)</f>
        <v>316</v>
      </c>
      <c r="E94" s="21" t="n">
        <f aca="false">ROUND(Q94,0)-D94</f>
        <v>220</v>
      </c>
      <c r="F94" s="21" t="n">
        <f aca="false">IF(COUNTA(D94:E94)=0,"",SUM(D94:E94))</f>
        <v>536</v>
      </c>
      <c r="G94" s="39" t="n">
        <f aca="false">IF(OR(F94="",F94=0),"",D94/F94)</f>
        <v>0.58955223880597</v>
      </c>
      <c r="H94" s="39" t="n">
        <f aca="false">IF(OR(F94="",F94=0),"",E94/F94)</f>
        <v>0.41044776119403</v>
      </c>
      <c r="I94" s="38" t="s">
        <v>190</v>
      </c>
      <c r="J94" s="40" t="n">
        <v>2.87480042420966</v>
      </c>
      <c r="K94" s="39" t="n">
        <f aca="false">IF(G94="","",MAX(0,G94-J94/100))</f>
        <v>0.560804234563874</v>
      </c>
      <c r="L94" s="39" t="n">
        <f aca="false">IF(G94="","",MIN(1,G94+J94/100))</f>
        <v>0.618300243048067</v>
      </c>
      <c r="M94" s="21" t="n">
        <f aca="false">ROUND(Q94*S94,0)</f>
        <v>33</v>
      </c>
      <c r="N94" s="21" t="n">
        <f aca="false">ROUND(SQRT((F94*J94/100)^2+(G94*M94)^2),0)</f>
        <v>25</v>
      </c>
      <c r="P94" s="41" t="n">
        <v>5.42479063883041</v>
      </c>
      <c r="Q94" s="42" t="n">
        <v>536.140392485119</v>
      </c>
      <c r="R94" s="43" t="n">
        <f aca="false">MAX(0,MIN(1,P94/100+$D$5))</f>
        <v>0.590004268626103</v>
      </c>
      <c r="S94" s="43" t="n">
        <v>0.0610405690258335</v>
      </c>
      <c r="T94" s="44" t="s">
        <v>90</v>
      </c>
    </row>
    <row r="95" customFormat="false" ht="15" hidden="false" customHeight="false" outlineLevel="0" collapsed="false">
      <c r="A95" s="38" t="s">
        <v>156</v>
      </c>
      <c r="B95" s="38" t="s">
        <v>158</v>
      </c>
      <c r="C95" s="38" t="s">
        <v>191</v>
      </c>
      <c r="D95" s="21" t="n">
        <f aca="false">ROUND(Q95*R95,0)</f>
        <v>750</v>
      </c>
      <c r="E95" s="21" t="n">
        <f aca="false">ROUND(Q95,0)-D95</f>
        <v>508</v>
      </c>
      <c r="F95" s="21" t="n">
        <f aca="false">IF(COUNTA(D95:E95)=0,"",SUM(D95:E95))</f>
        <v>1258</v>
      </c>
      <c r="G95" s="39" t="n">
        <f aca="false">IF(OR(F95="",F95=0),"",D95/F95)</f>
        <v>0.596184419713832</v>
      </c>
      <c r="H95" s="39" t="n">
        <f aca="false">IF(OR(F95="",F95=0),"",E95/F95)</f>
        <v>0.403815580286169</v>
      </c>
      <c r="I95" s="38" t="s">
        <v>190</v>
      </c>
      <c r="J95" s="40" t="n">
        <v>1.87117215961084</v>
      </c>
      <c r="K95" s="39" t="n">
        <f aca="false">IF(G95="","",MAX(0,G95-J95/100))</f>
        <v>0.577472698117723</v>
      </c>
      <c r="L95" s="39" t="n">
        <f aca="false">IF(G95="","",MIN(1,G95+J95/100))</f>
        <v>0.61489614130994</v>
      </c>
      <c r="M95" s="21" t="n">
        <f aca="false">ROUND(Q95*S95,0)</f>
        <v>164</v>
      </c>
      <c r="N95" s="21" t="n">
        <f aca="false">ROUND(SQRT((F95*J95/100)^2+(G95*M95)^2),0)</f>
        <v>101</v>
      </c>
      <c r="P95" s="41" t="n">
        <v>6.09125695740781</v>
      </c>
      <c r="Q95" s="42" t="n">
        <v>1257.55608258929</v>
      </c>
      <c r="R95" s="43" t="n">
        <f aca="false">MAX(0,MIN(1,P95/100+$D$5))</f>
        <v>0.596668931811877</v>
      </c>
      <c r="S95" s="43" t="n">
        <v>0.130204099606216</v>
      </c>
      <c r="T95" s="44" t="s">
        <v>192</v>
      </c>
    </row>
    <row r="96" customFormat="false" ht="15" hidden="false" customHeight="false" outlineLevel="0" collapsed="false">
      <c r="A96" s="38" t="s">
        <v>156</v>
      </c>
      <c r="B96" s="38" t="s">
        <v>158</v>
      </c>
      <c r="C96" s="38" t="s">
        <v>193</v>
      </c>
      <c r="D96" s="21" t="n">
        <f aca="false">ROUND(Q96*R96,0)</f>
        <v>404</v>
      </c>
      <c r="E96" s="21" t="n">
        <f aca="false">ROUND(Q96,0)-D96</f>
        <v>171</v>
      </c>
      <c r="F96" s="21" t="n">
        <f aca="false">IF(COUNTA(D96:E96)=0,"",SUM(D96:E96))</f>
        <v>575</v>
      </c>
      <c r="G96" s="39" t="n">
        <f aca="false">IF(OR(F96="",F96=0),"",D96/F96)</f>
        <v>0.702608695652174</v>
      </c>
      <c r="H96" s="39" t="n">
        <f aca="false">IF(OR(F96="",F96=0),"",E96/F96)</f>
        <v>0.297391304347826</v>
      </c>
      <c r="I96" s="38" t="s">
        <v>89</v>
      </c>
      <c r="J96" s="40" t="n">
        <v>2.87480042420966</v>
      </c>
      <c r="K96" s="39" t="n">
        <f aca="false">IF(G96="","",MAX(0,G96-J96/100))</f>
        <v>0.673860691410077</v>
      </c>
      <c r="L96" s="39" t="n">
        <f aca="false">IF(G96="","",MIN(1,G96+J96/100))</f>
        <v>0.73135669989427</v>
      </c>
      <c r="M96" s="21" t="n">
        <f aca="false">ROUND(Q96*S96,0)</f>
        <v>35</v>
      </c>
      <c r="N96" s="21" t="n">
        <f aca="false">ROUND(SQRT((F96*J96/100)^2+(G96*M96)^2),0)</f>
        <v>30</v>
      </c>
      <c r="P96" s="41" t="n">
        <v>16.7376933787333</v>
      </c>
      <c r="Q96" s="42" t="n">
        <v>575</v>
      </c>
      <c r="R96" s="43" t="n">
        <f aca="false">MAX(0,MIN(1,P96/100+$D$5))</f>
        <v>0.703133296025132</v>
      </c>
      <c r="S96" s="43" t="n">
        <v>0.0610405690258335</v>
      </c>
      <c r="T96" s="44" t="s">
        <v>90</v>
      </c>
    </row>
    <row r="97" customFormat="false" ht="15" hidden="false" customHeight="false" outlineLevel="0" collapsed="false">
      <c r="A97" s="38" t="s">
        <v>156</v>
      </c>
      <c r="B97" s="38" t="s">
        <v>158</v>
      </c>
      <c r="C97" s="38" t="s">
        <v>194</v>
      </c>
      <c r="D97" s="21" t="n">
        <f aca="false">ROUND(Q97*R97,0)</f>
        <v>495</v>
      </c>
      <c r="E97" s="21" t="n">
        <f aca="false">ROUND(Q97,0)-D97</f>
        <v>266</v>
      </c>
      <c r="F97" s="21" t="n">
        <f aca="false">IF(COUNTA(D97:E97)=0,"",SUM(D97:E97))</f>
        <v>761</v>
      </c>
      <c r="G97" s="39" t="n">
        <f aca="false">IF(OR(F97="",F97=0),"",D97/F97)</f>
        <v>0.650459921156373</v>
      </c>
      <c r="H97" s="39" t="n">
        <f aca="false">IF(OR(F97="",F97=0),"",E97/F97)</f>
        <v>0.349540078843627</v>
      </c>
      <c r="I97" s="38" t="s">
        <v>89</v>
      </c>
      <c r="J97" s="40" t="n">
        <v>2.87480042420966</v>
      </c>
      <c r="K97" s="39" t="n">
        <f aca="false">IF(G97="","",MAX(0,G97-J97/100))</f>
        <v>0.621711916914277</v>
      </c>
      <c r="L97" s="39" t="n">
        <f aca="false">IF(G97="","",MIN(1,G97+J97/100))</f>
        <v>0.67920792539847</v>
      </c>
      <c r="M97" s="21" t="n">
        <f aca="false">ROUND(Q97*S97,0)</f>
        <v>46</v>
      </c>
      <c r="N97" s="21" t="n">
        <f aca="false">ROUND(SQRT((F97*J97/100)^2+(G97*M97)^2),0)</f>
        <v>37</v>
      </c>
      <c r="P97" s="41" t="n">
        <v>11.5023451609738</v>
      </c>
      <c r="Q97" s="42" t="n">
        <v>761</v>
      </c>
      <c r="R97" s="43" t="n">
        <f aca="false">MAX(0,MIN(1,P97/100+$D$5))</f>
        <v>0.650779813847537</v>
      </c>
      <c r="S97" s="43" t="n">
        <v>0.0610405690258335</v>
      </c>
      <c r="T97" s="44" t="s">
        <v>90</v>
      </c>
    </row>
    <row r="98" customFormat="false" ht="15" hidden="false" customHeight="false" outlineLevel="0" collapsed="false">
      <c r="A98" s="38" t="s">
        <v>156</v>
      </c>
      <c r="B98" s="38" t="s">
        <v>158</v>
      </c>
      <c r="C98" s="38" t="s">
        <v>195</v>
      </c>
      <c r="D98" s="21" t="n">
        <f aca="false">ROUND(Q98*R98,0)</f>
        <v>13</v>
      </c>
      <c r="E98" s="21" t="n">
        <f aca="false">ROUND(Q98,0)-D98</f>
        <v>9</v>
      </c>
      <c r="F98" s="21" t="n">
        <f aca="false">IF(COUNTA(D98:E98)=0,"",SUM(D98:E98))</f>
        <v>22</v>
      </c>
      <c r="G98" s="39" t="n">
        <f aca="false">IF(OR(F98="",F98=0),"",D98/F98)</f>
        <v>0.590909090909091</v>
      </c>
      <c r="H98" s="39" t="n">
        <f aca="false">IF(OR(F98="",F98=0),"",E98/F98)</f>
        <v>0.409090909090909</v>
      </c>
      <c r="I98" s="38" t="s">
        <v>190</v>
      </c>
      <c r="J98" s="40" t="n">
        <v>2.87480042420966</v>
      </c>
      <c r="K98" s="39" t="n">
        <f aca="false">IF(G98="","",MAX(0,G98-J98/100))</f>
        <v>0.562161086666994</v>
      </c>
      <c r="L98" s="39" t="n">
        <f aca="false">IF(G98="","",MIN(1,G98+J98/100))</f>
        <v>0.619657095151188</v>
      </c>
      <c r="M98" s="21" t="n">
        <f aca="false">ROUND(Q98*S98,0)</f>
        <v>1</v>
      </c>
      <c r="N98" s="21" t="n">
        <f aca="false">ROUND(SQRT((F98*J98/100)^2+(G98*M98)^2),0)</f>
        <v>1</v>
      </c>
      <c r="P98" s="41" t="n">
        <v>3.65495628982457</v>
      </c>
      <c r="Q98" s="42" t="n">
        <v>22.0014415922619</v>
      </c>
      <c r="R98" s="43" t="n">
        <f aca="false">MAX(0,MIN(1,P98/100+$D$5))</f>
        <v>0.572305925136045</v>
      </c>
      <c r="S98" s="43" t="n">
        <v>0.0610405690258335</v>
      </c>
      <c r="T98" s="44" t="s">
        <v>90</v>
      </c>
    </row>
    <row r="99" customFormat="false" ht="15" hidden="false" customHeight="false" outlineLevel="0" collapsed="false">
      <c r="A99" s="38" t="s">
        <v>156</v>
      </c>
      <c r="B99" s="38" t="s">
        <v>158</v>
      </c>
      <c r="C99" s="38" t="s">
        <v>196</v>
      </c>
      <c r="D99" s="21" t="n">
        <f aca="false">ROUND(Q99*R99,0)</f>
        <v>226</v>
      </c>
      <c r="E99" s="21" t="n">
        <f aca="false">ROUND(Q99,0)-D99</f>
        <v>141</v>
      </c>
      <c r="F99" s="21" t="n">
        <f aca="false">IF(COUNTA(D99:E99)=0,"",SUM(D99:E99))</f>
        <v>367</v>
      </c>
      <c r="G99" s="39" t="n">
        <f aca="false">IF(OR(F99="",F99=0),"",D99/F99)</f>
        <v>0.615803814713896</v>
      </c>
      <c r="H99" s="39" t="n">
        <f aca="false">IF(OR(F99="",F99=0),"",E99/F99)</f>
        <v>0.384196185286104</v>
      </c>
      <c r="I99" s="38" t="s">
        <v>89</v>
      </c>
      <c r="J99" s="40" t="n">
        <v>2.87480042420966</v>
      </c>
      <c r="K99" s="39" t="n">
        <f aca="false">IF(G99="","",MAX(0,G99-J99/100))</f>
        <v>0.5870558104718</v>
      </c>
      <c r="L99" s="39" t="n">
        <f aca="false">IF(G99="","",MIN(1,G99+J99/100))</f>
        <v>0.644551818955993</v>
      </c>
      <c r="M99" s="21" t="n">
        <f aca="false">ROUND(Q99*S99,0)</f>
        <v>22</v>
      </c>
      <c r="N99" s="21" t="n">
        <f aca="false">ROUND(SQRT((F99*J99/100)^2+(G99*M99)^2),0)</f>
        <v>17</v>
      </c>
      <c r="P99" s="41" t="n">
        <v>8.12679371471484</v>
      </c>
      <c r="Q99" s="42" t="n">
        <v>367</v>
      </c>
      <c r="R99" s="43" t="n">
        <f aca="false">MAX(0,MIN(1,P99/100+$D$5))</f>
        <v>0.617024299384947</v>
      </c>
      <c r="S99" s="43" t="n">
        <v>0.0610405690258335</v>
      </c>
      <c r="T99" s="44" t="s">
        <v>90</v>
      </c>
    </row>
    <row r="100" customFormat="false" ht="15" hidden="false" customHeight="false" outlineLevel="0" collapsed="false">
      <c r="A100" s="38" t="s">
        <v>156</v>
      </c>
      <c r="B100" s="38" t="s">
        <v>158</v>
      </c>
      <c r="C100" s="38" t="s">
        <v>197</v>
      </c>
      <c r="D100" s="21" t="n">
        <f aca="false">ROUND(Q100*R100,0)</f>
        <v>379</v>
      </c>
      <c r="E100" s="21" t="n">
        <f aca="false">ROUND(Q100,0)-D100</f>
        <v>171</v>
      </c>
      <c r="F100" s="21" t="n">
        <f aca="false">IF(COUNTA(D100:E100)=0,"",SUM(D100:E100))</f>
        <v>550</v>
      </c>
      <c r="G100" s="39" t="n">
        <f aca="false">IF(OR(F100="",F100=0),"",D100/F100)</f>
        <v>0.689090909090909</v>
      </c>
      <c r="H100" s="39" t="n">
        <f aca="false">IF(OR(F100="",F100=0),"",E100/F100)</f>
        <v>0.310909090909091</v>
      </c>
      <c r="I100" s="38" t="s">
        <v>89</v>
      </c>
      <c r="J100" s="40" t="n">
        <v>2.87480042420966</v>
      </c>
      <c r="K100" s="39" t="n">
        <f aca="false">IF(G100="","",MAX(0,G100-J100/100))</f>
        <v>0.660342904848813</v>
      </c>
      <c r="L100" s="39" t="n">
        <f aca="false">IF(G100="","",MIN(1,G100+J100/100))</f>
        <v>0.717838913333006</v>
      </c>
      <c r="M100" s="21" t="n">
        <f aca="false">ROUND(Q100*S100,0)</f>
        <v>34</v>
      </c>
      <c r="N100" s="21" t="n">
        <f aca="false">ROUND(SQRT((F100*J100/100)^2+(G100*M100)^2),0)</f>
        <v>28</v>
      </c>
      <c r="P100" s="41" t="n">
        <v>15.2761084566532</v>
      </c>
      <c r="Q100" s="42" t="n">
        <v>550</v>
      </c>
      <c r="R100" s="43" t="n">
        <f aca="false">MAX(0,MIN(1,P100/100+$D$5))</f>
        <v>0.688517446804331</v>
      </c>
      <c r="S100" s="43" t="n">
        <v>0.0610405690258335</v>
      </c>
      <c r="T100" s="44" t="s">
        <v>90</v>
      </c>
    </row>
    <row r="101" customFormat="false" ht="15" hidden="false" customHeight="false" outlineLevel="0" collapsed="false">
      <c r="A101" s="38" t="s">
        <v>156</v>
      </c>
      <c r="B101" s="38" t="s">
        <v>158</v>
      </c>
      <c r="C101" s="38" t="s">
        <v>198</v>
      </c>
      <c r="D101" s="21" t="n">
        <f aca="false">ROUND(Q101*R101,0)</f>
        <v>267</v>
      </c>
      <c r="E101" s="21" t="n">
        <f aca="false">ROUND(Q101,0)-D101</f>
        <v>154</v>
      </c>
      <c r="F101" s="21" t="n">
        <f aca="false">IF(COUNTA(D101:E101)=0,"",SUM(D101:E101))</f>
        <v>421</v>
      </c>
      <c r="G101" s="39" t="n">
        <f aca="false">IF(OR(F101="",F101=0),"",D101/F101)</f>
        <v>0.634204275534442</v>
      </c>
      <c r="H101" s="39" t="n">
        <f aca="false">IF(OR(F101="",F101=0),"",E101/F101)</f>
        <v>0.365795724465558</v>
      </c>
      <c r="I101" s="38" t="s">
        <v>89</v>
      </c>
      <c r="J101" s="40" t="n">
        <v>2.87480042420966</v>
      </c>
      <c r="K101" s="39" t="n">
        <f aca="false">IF(G101="","",MAX(0,G101-J101/100))</f>
        <v>0.605456271292345</v>
      </c>
      <c r="L101" s="39" t="n">
        <f aca="false">IF(G101="","",MIN(1,G101+J101/100))</f>
        <v>0.662952279776538</v>
      </c>
      <c r="M101" s="21" t="n">
        <f aca="false">ROUND(Q101*S101,0)</f>
        <v>26</v>
      </c>
      <c r="N101" s="21" t="n">
        <f aca="false">ROUND(SQRT((F101*J101/100)^2+(G101*M101)^2),0)</f>
        <v>20</v>
      </c>
      <c r="P101" s="41" t="n">
        <v>9.89088756670457</v>
      </c>
      <c r="Q101" s="42" t="n">
        <v>421</v>
      </c>
      <c r="R101" s="43" t="n">
        <f aca="false">MAX(0,MIN(1,P101/100+$D$5))</f>
        <v>0.634665237904844</v>
      </c>
      <c r="S101" s="43" t="n">
        <v>0.0610405690258335</v>
      </c>
      <c r="T101" s="44" t="s">
        <v>90</v>
      </c>
    </row>
    <row r="102" customFormat="false" ht="15" hidden="false" customHeight="false" outlineLevel="0" collapsed="false">
      <c r="A102" s="38" t="s">
        <v>156</v>
      </c>
      <c r="B102" s="38" t="s">
        <v>158</v>
      </c>
      <c r="C102" s="38" t="s">
        <v>199</v>
      </c>
      <c r="D102" s="21" t="n">
        <f aca="false">ROUND(Q102*R102,0)</f>
        <v>262</v>
      </c>
      <c r="E102" s="21" t="n">
        <f aca="false">ROUND(Q102,0)-D102</f>
        <v>124</v>
      </c>
      <c r="F102" s="21" t="n">
        <f aca="false">IF(COUNTA(D102:E102)=0,"",SUM(D102:E102))</f>
        <v>386</v>
      </c>
      <c r="G102" s="39" t="n">
        <f aca="false">IF(OR(F102="",F102=0),"",D102/F102)</f>
        <v>0.678756476683938</v>
      </c>
      <c r="H102" s="39" t="n">
        <f aca="false">IF(OR(F102="",F102=0),"",E102/F102)</f>
        <v>0.321243523316062</v>
      </c>
      <c r="I102" s="38" t="s">
        <v>89</v>
      </c>
      <c r="J102" s="40" t="n">
        <v>2.87480042420966</v>
      </c>
      <c r="K102" s="39" t="n">
        <f aca="false">IF(G102="","",MAX(0,G102-J102/100))</f>
        <v>0.650008472441841</v>
      </c>
      <c r="L102" s="39" t="n">
        <f aca="false">IF(G102="","",MIN(1,G102+J102/100))</f>
        <v>0.707504480926034</v>
      </c>
      <c r="M102" s="21" t="n">
        <f aca="false">ROUND(Q102*S102,0)</f>
        <v>24</v>
      </c>
      <c r="N102" s="21" t="n">
        <f aca="false">ROUND(SQRT((F102*J102/100)^2+(G102*M102)^2),0)</f>
        <v>20</v>
      </c>
      <c r="P102" s="41" t="n">
        <v>14.2816674951924</v>
      </c>
      <c r="Q102" s="42" t="n">
        <v>386</v>
      </c>
      <c r="R102" s="43" t="n">
        <f aca="false">MAX(0,MIN(1,P102/100+$D$5))</f>
        <v>0.678573037189723</v>
      </c>
      <c r="S102" s="43" t="n">
        <v>0.0610405690258335</v>
      </c>
      <c r="T102" s="44" t="s">
        <v>90</v>
      </c>
    </row>
    <row r="103" customFormat="false" ht="15" hidden="false" customHeight="false" outlineLevel="0" collapsed="false">
      <c r="A103" s="38" t="s">
        <v>156</v>
      </c>
      <c r="B103" s="38" t="s">
        <v>158</v>
      </c>
      <c r="C103" s="38" t="s">
        <v>200</v>
      </c>
      <c r="D103" s="21" t="n">
        <f aca="false">ROUND(Q103*R103,0)</f>
        <v>387</v>
      </c>
      <c r="E103" s="21" t="n">
        <f aca="false">ROUND(Q103,0)-D103</f>
        <v>217</v>
      </c>
      <c r="F103" s="21" t="n">
        <f aca="false">IF(COUNTA(D103:E103)=0,"",SUM(D103:E103))</f>
        <v>604</v>
      </c>
      <c r="G103" s="39" t="n">
        <f aca="false">IF(OR(F103="",F103=0),"",D103/F103)</f>
        <v>0.640728476821192</v>
      </c>
      <c r="H103" s="39" t="n">
        <f aca="false">IF(OR(F103="",F103=0),"",E103/F103)</f>
        <v>0.359271523178808</v>
      </c>
      <c r="I103" s="38" t="s">
        <v>89</v>
      </c>
      <c r="J103" s="40" t="n">
        <v>2.87480042420966</v>
      </c>
      <c r="K103" s="39" t="n">
        <f aca="false">IF(G103="","",MAX(0,G103-J103/100))</f>
        <v>0.611980472579096</v>
      </c>
      <c r="L103" s="39" t="n">
        <f aca="false">IF(G103="","",MIN(1,G103+J103/100))</f>
        <v>0.669476481063289</v>
      </c>
      <c r="M103" s="21" t="n">
        <f aca="false">ROUND(Q103*S103,0)</f>
        <v>37</v>
      </c>
      <c r="N103" s="21" t="n">
        <f aca="false">ROUND(SQRT((F103*J103/100)^2+(G103*M103)^2),0)</f>
        <v>29</v>
      </c>
      <c r="P103" s="41" t="n">
        <v>10.5734880326748</v>
      </c>
      <c r="Q103" s="42" t="n">
        <v>604</v>
      </c>
      <c r="R103" s="43" t="n">
        <f aca="false">MAX(0,MIN(1,P103/100+$D$5))</f>
        <v>0.641491242564547</v>
      </c>
      <c r="S103" s="43" t="n">
        <v>0.0610405690258335</v>
      </c>
      <c r="T103" s="44" t="s">
        <v>90</v>
      </c>
    </row>
    <row r="104" customFormat="false" ht="15" hidden="false" customHeight="false" outlineLevel="0" collapsed="false">
      <c r="A104" s="38" t="s">
        <v>156</v>
      </c>
      <c r="B104" s="38" t="s">
        <v>158</v>
      </c>
      <c r="C104" s="38" t="s">
        <v>201</v>
      </c>
      <c r="D104" s="21" t="n">
        <f aca="false">ROUND(Q104*R104,0)</f>
        <v>1</v>
      </c>
      <c r="E104" s="21" t="n">
        <f aca="false">ROUND(Q104,0)-D104</f>
        <v>1</v>
      </c>
      <c r="F104" s="21" t="n">
        <f aca="false">IF(COUNTA(D104:E104)=0,"",SUM(D104:E104))</f>
        <v>2</v>
      </c>
      <c r="G104" s="39" t="n">
        <f aca="false">IF(OR(F104="",F104=0),"",D104/F104)</f>
        <v>0.5</v>
      </c>
      <c r="H104" s="39" t="n">
        <f aca="false">IF(OR(F104="",F104=0),"",E104/F104)</f>
        <v>0.5</v>
      </c>
      <c r="I104" s="38" t="s">
        <v>190</v>
      </c>
      <c r="J104" s="40" t="n">
        <v>2.87480042420966</v>
      </c>
      <c r="K104" s="39" t="n">
        <f aca="false">IF(G104="","",MAX(0,G104-J104/100))</f>
        <v>0.471251995757903</v>
      </c>
      <c r="L104" s="39" t="n">
        <f aca="false">IF(G104="","",MIN(1,G104+J104/100))</f>
        <v>0.528748004242097</v>
      </c>
      <c r="M104" s="21" t="n">
        <f aca="false">ROUND(Q104*S104,0)</f>
        <v>0</v>
      </c>
      <c r="N104" s="21" t="n">
        <f aca="false">ROUND(SQRT((F104*J104/100)^2+(G104*M104)^2),0)</f>
        <v>0</v>
      </c>
      <c r="P104" s="41" t="n">
        <v>1.45058785709342</v>
      </c>
      <c r="Q104" s="42" t="n">
        <v>2.3159412202381</v>
      </c>
      <c r="R104" s="43" t="n">
        <f aca="false">MAX(0,MIN(1,P104/100+$D$5))</f>
        <v>0.550262240808733</v>
      </c>
      <c r="S104" s="43" t="n">
        <v>0.0610405690258335</v>
      </c>
      <c r="T104" s="44" t="s">
        <v>90</v>
      </c>
    </row>
    <row r="105" customFormat="false" ht="15" hidden="false" customHeight="false" outlineLevel="0" collapsed="false">
      <c r="A105" s="38" t="s">
        <v>156</v>
      </c>
      <c r="B105" s="38" t="s">
        <v>158</v>
      </c>
      <c r="C105" s="38" t="s">
        <v>202</v>
      </c>
      <c r="D105" s="21" t="n">
        <f aca="false">ROUND(Q105*R105,0)</f>
        <v>510</v>
      </c>
      <c r="E105" s="21" t="n">
        <f aca="false">ROUND(Q105,0)-D105</f>
        <v>260</v>
      </c>
      <c r="F105" s="21" t="n">
        <f aca="false">IF(COUNTA(D105:E105)=0,"",SUM(D105:E105))</f>
        <v>770</v>
      </c>
      <c r="G105" s="39" t="n">
        <f aca="false">IF(OR(F105="",F105=0),"",D105/F105)</f>
        <v>0.662337662337662</v>
      </c>
      <c r="H105" s="39" t="n">
        <f aca="false">IF(OR(F105="",F105=0),"",E105/F105)</f>
        <v>0.337662337662338</v>
      </c>
      <c r="I105" s="38" t="s">
        <v>89</v>
      </c>
      <c r="J105" s="40" t="n">
        <v>2.87480042420966</v>
      </c>
      <c r="K105" s="39" t="n">
        <f aca="false">IF(G105="","",MAX(0,G105-J105/100))</f>
        <v>0.633589658095566</v>
      </c>
      <c r="L105" s="39" t="n">
        <f aca="false">IF(G105="","",MIN(1,G105+J105/100))</f>
        <v>0.691085666579759</v>
      </c>
      <c r="M105" s="21" t="n">
        <f aca="false">ROUND(Q105*S105,0)</f>
        <v>47</v>
      </c>
      <c r="N105" s="21" t="n">
        <f aca="false">ROUND(SQRT((F105*J105/100)^2+(G105*M105)^2),0)</f>
        <v>38</v>
      </c>
      <c r="P105" s="41" t="n">
        <v>12.6184651248215</v>
      </c>
      <c r="Q105" s="42" t="n">
        <v>770</v>
      </c>
      <c r="R105" s="43" t="n">
        <f aca="false">MAX(0,MIN(1,P105/100+$D$5))</f>
        <v>0.661941013486014</v>
      </c>
      <c r="S105" s="43" t="n">
        <v>0.0610405690258335</v>
      </c>
      <c r="T105" s="44" t="s">
        <v>90</v>
      </c>
    </row>
    <row r="106" customFormat="false" ht="15" hidden="false" customHeight="false" outlineLevel="0" collapsed="false">
      <c r="A106" s="38" t="s">
        <v>156</v>
      </c>
      <c r="B106" s="38" t="s">
        <v>158</v>
      </c>
      <c r="C106" s="38" t="s">
        <v>203</v>
      </c>
      <c r="D106" s="21" t="n">
        <f aca="false">ROUND(Q106*R106,0)</f>
        <v>236</v>
      </c>
      <c r="E106" s="21" t="n">
        <f aca="false">ROUND(Q106,0)-D106</f>
        <v>67</v>
      </c>
      <c r="F106" s="21" t="n">
        <f aca="false">IF(COUNTA(D106:E106)=0,"",SUM(D106:E106))</f>
        <v>303</v>
      </c>
      <c r="G106" s="39" t="n">
        <f aca="false">IF(OR(F106="",F106=0),"",D106/F106)</f>
        <v>0.778877887788779</v>
      </c>
      <c r="H106" s="39" t="n">
        <f aca="false">IF(OR(F106="",F106=0),"",E106/F106)</f>
        <v>0.221122112211221</v>
      </c>
      <c r="I106" s="38" t="s">
        <v>89</v>
      </c>
      <c r="J106" s="40" t="n">
        <v>2.87480042420966</v>
      </c>
      <c r="K106" s="39" t="n">
        <f aca="false">IF(G106="","",MAX(0,G106-J106/100))</f>
        <v>0.750129883546682</v>
      </c>
      <c r="L106" s="39" t="n">
        <f aca="false">IF(G106="","",MIN(1,G106+J106/100))</f>
        <v>0.807625892030875</v>
      </c>
      <c r="M106" s="21" t="n">
        <f aca="false">ROUND(Q106*S106,0)</f>
        <v>18</v>
      </c>
      <c r="N106" s="21" t="n">
        <f aca="false">ROUND(SQRT((F106*J106/100)^2+(G106*M106)^2),0)</f>
        <v>17</v>
      </c>
      <c r="P106" s="41" t="n">
        <v>24.1538794896928</v>
      </c>
      <c r="Q106" s="42" t="n">
        <v>303</v>
      </c>
      <c r="R106" s="43" t="n">
        <f aca="false">MAX(0,MIN(1,P106/100+$D$5))</f>
        <v>0.777295157134727</v>
      </c>
      <c r="S106" s="43" t="n">
        <v>0.0610405690258335</v>
      </c>
      <c r="T106" s="44" t="s">
        <v>90</v>
      </c>
    </row>
    <row r="107" customFormat="false" ht="15" hidden="false" customHeight="false" outlineLevel="0" collapsed="false">
      <c r="A107" s="38" t="s">
        <v>156</v>
      </c>
      <c r="B107" s="38" t="s">
        <v>158</v>
      </c>
      <c r="C107" s="38" t="s">
        <v>204</v>
      </c>
      <c r="D107" s="21" t="n">
        <f aca="false">ROUND(Q107*R107,0)</f>
        <v>220</v>
      </c>
      <c r="E107" s="21" t="n">
        <f aca="false">ROUND(Q107,0)-D107</f>
        <v>84</v>
      </c>
      <c r="F107" s="21" t="n">
        <f aca="false">IF(COUNTA(D107:E107)=0,"",SUM(D107:E107))</f>
        <v>304</v>
      </c>
      <c r="G107" s="39" t="n">
        <f aca="false">IF(OR(F107="",F107=0),"",D107/F107)</f>
        <v>0.723684210526316</v>
      </c>
      <c r="H107" s="39" t="n">
        <f aca="false">IF(OR(F107="",F107=0),"",E107/F107)</f>
        <v>0.276315789473684</v>
      </c>
      <c r="I107" s="38" t="s">
        <v>89</v>
      </c>
      <c r="J107" s="40" t="n">
        <v>2.87480042420966</v>
      </c>
      <c r="K107" s="39" t="n">
        <f aca="false">IF(G107="","",MAX(0,G107-J107/100))</f>
        <v>0.694936206284219</v>
      </c>
      <c r="L107" s="39" t="n">
        <f aca="false">IF(G107="","",MIN(1,G107+J107/100))</f>
        <v>0.752432214768412</v>
      </c>
      <c r="M107" s="21" t="n">
        <f aca="false">ROUND(Q107*S107,0)</f>
        <v>19</v>
      </c>
      <c r="N107" s="21" t="n">
        <f aca="false">ROUND(SQRT((F107*J107/100)^2+(G107*M107)^2),0)</f>
        <v>16</v>
      </c>
      <c r="P107" s="41" t="n">
        <v>18.7547921552682</v>
      </c>
      <c r="Q107" s="42" t="n">
        <v>304</v>
      </c>
      <c r="R107" s="43" t="n">
        <f aca="false">MAX(0,MIN(1,P107/100+$D$5))</f>
        <v>0.723304283790481</v>
      </c>
      <c r="S107" s="43" t="n">
        <v>0.0610405690258335</v>
      </c>
      <c r="T107" s="44" t="s">
        <v>90</v>
      </c>
    </row>
    <row r="108" customFormat="false" ht="15" hidden="false" customHeight="false" outlineLevel="0" collapsed="false">
      <c r="A108" s="38" t="s">
        <v>156</v>
      </c>
      <c r="B108" s="38" t="s">
        <v>158</v>
      </c>
      <c r="C108" s="38" t="s">
        <v>205</v>
      </c>
      <c r="D108" s="21" t="n">
        <f aca="false">ROUND(Q108*R108,0)</f>
        <v>326</v>
      </c>
      <c r="E108" s="21" t="n">
        <f aca="false">ROUND(Q108,0)-D108</f>
        <v>111</v>
      </c>
      <c r="F108" s="21" t="n">
        <f aca="false">IF(COUNTA(D108:E108)=0,"",SUM(D108:E108))</f>
        <v>437</v>
      </c>
      <c r="G108" s="39" t="n">
        <f aca="false">IF(OR(F108="",F108=0),"",D108/F108)</f>
        <v>0.745995423340961</v>
      </c>
      <c r="H108" s="39" t="n">
        <f aca="false">IF(OR(F108="",F108=0),"",E108/F108)</f>
        <v>0.254004576659039</v>
      </c>
      <c r="I108" s="38" t="s">
        <v>89</v>
      </c>
      <c r="J108" s="40" t="n">
        <v>2.87480042420966</v>
      </c>
      <c r="K108" s="39" t="n">
        <f aca="false">IF(G108="","",MAX(0,G108-J108/100))</f>
        <v>0.717247419098865</v>
      </c>
      <c r="L108" s="39" t="n">
        <f aca="false">IF(G108="","",MIN(1,G108+J108/100))</f>
        <v>0.774743427583058</v>
      </c>
      <c r="M108" s="21" t="n">
        <f aca="false">ROUND(Q108*S108,0)</f>
        <v>27</v>
      </c>
      <c r="N108" s="21" t="n">
        <f aca="false">ROUND(SQRT((F108*J108/100)^2+(G108*M108)^2),0)</f>
        <v>24</v>
      </c>
      <c r="P108" s="41" t="n">
        <v>21.0130625009803</v>
      </c>
      <c r="Q108" s="42" t="n">
        <v>437</v>
      </c>
      <c r="R108" s="43" t="n">
        <f aca="false">MAX(0,MIN(1,P108/100+$D$5))</f>
        <v>0.745886987247601</v>
      </c>
      <c r="S108" s="43" t="n">
        <v>0.0610405690258335</v>
      </c>
      <c r="T108" s="44" t="s">
        <v>90</v>
      </c>
    </row>
    <row r="109" customFormat="false" ht="15" hidden="false" customHeight="false" outlineLevel="0" collapsed="false">
      <c r="A109" s="38" t="s">
        <v>156</v>
      </c>
      <c r="B109" s="38" t="s">
        <v>158</v>
      </c>
      <c r="C109" s="38" t="s">
        <v>206</v>
      </c>
      <c r="D109" s="21" t="n">
        <f aca="false">ROUND(Q109*R109,0)</f>
        <v>166</v>
      </c>
      <c r="E109" s="21" t="n">
        <f aca="false">ROUND(Q109,0)-D109</f>
        <v>66</v>
      </c>
      <c r="F109" s="21" t="n">
        <f aca="false">IF(COUNTA(D109:E109)=0,"",SUM(D109:E109))</f>
        <v>232</v>
      </c>
      <c r="G109" s="39" t="n">
        <f aca="false">IF(OR(F109="",F109=0),"",D109/F109)</f>
        <v>0.71551724137931</v>
      </c>
      <c r="H109" s="39" t="n">
        <f aca="false">IF(OR(F109="",F109=0),"",E109/F109)</f>
        <v>0.28448275862069</v>
      </c>
      <c r="I109" s="38" t="s">
        <v>89</v>
      </c>
      <c r="J109" s="40" t="n">
        <v>2.87480042420966</v>
      </c>
      <c r="K109" s="39" t="n">
        <f aca="false">IF(G109="","",MAX(0,G109-J109/100))</f>
        <v>0.686769237137214</v>
      </c>
      <c r="L109" s="39" t="n">
        <f aca="false">IF(G109="","",MIN(1,G109+J109/100))</f>
        <v>0.744265245621407</v>
      </c>
      <c r="M109" s="21" t="n">
        <f aca="false">ROUND(Q109*S109,0)</f>
        <v>14</v>
      </c>
      <c r="N109" s="21" t="n">
        <f aca="false">ROUND(SQRT((F109*J109/100)^2+(G109*M109)^2),0)</f>
        <v>12</v>
      </c>
      <c r="P109" s="41" t="n">
        <v>18.1446518330974</v>
      </c>
      <c r="Q109" s="42" t="n">
        <v>232</v>
      </c>
      <c r="R109" s="43" t="n">
        <f aca="false">MAX(0,MIN(1,P109/100+$D$5))</f>
        <v>0.717202880568773</v>
      </c>
      <c r="S109" s="43" t="n">
        <v>0.0610405690258335</v>
      </c>
      <c r="T109" s="44" t="s">
        <v>90</v>
      </c>
    </row>
    <row r="110" customFormat="false" ht="15" hidden="false" customHeight="false" outlineLevel="0" collapsed="false">
      <c r="A110" s="38" t="s">
        <v>156</v>
      </c>
      <c r="B110" s="38" t="s">
        <v>158</v>
      </c>
      <c r="C110" s="38" t="s">
        <v>207</v>
      </c>
      <c r="D110" s="21" t="n">
        <f aca="false">ROUND(Q110*R110,0)</f>
        <v>222</v>
      </c>
      <c r="E110" s="21" t="n">
        <f aca="false">ROUND(Q110,0)-D110</f>
        <v>59</v>
      </c>
      <c r="F110" s="21" t="n">
        <f aca="false">IF(COUNTA(D110:E110)=0,"",SUM(D110:E110))</f>
        <v>281</v>
      </c>
      <c r="G110" s="39" t="n">
        <f aca="false">IF(OR(F110="",F110=0),"",D110/F110)</f>
        <v>0.790035587188612</v>
      </c>
      <c r="H110" s="39" t="n">
        <f aca="false">IF(OR(F110="",F110=0),"",E110/F110)</f>
        <v>0.209964412811388</v>
      </c>
      <c r="I110" s="38" t="s">
        <v>89</v>
      </c>
      <c r="J110" s="40" t="n">
        <v>2.87480042420966</v>
      </c>
      <c r="K110" s="39" t="n">
        <f aca="false">IF(G110="","",MAX(0,G110-J110/100))</f>
        <v>0.761287582946516</v>
      </c>
      <c r="L110" s="39" t="n">
        <f aca="false">IF(G110="","",MIN(1,G110+J110/100))</f>
        <v>0.818783591430709</v>
      </c>
      <c r="M110" s="21" t="n">
        <f aca="false">ROUND(Q110*S110,0)</f>
        <v>17</v>
      </c>
      <c r="N110" s="21" t="n">
        <f aca="false">ROUND(SQRT((F110*J110/100)^2+(G110*M110)^2),0)</f>
        <v>16</v>
      </c>
      <c r="P110" s="41" t="n">
        <v>25.5723537217342</v>
      </c>
      <c r="Q110" s="42" t="n">
        <v>281</v>
      </c>
      <c r="R110" s="43" t="n">
        <f aca="false">MAX(0,MIN(1,P110/100+$D$5))</f>
        <v>0.791479899455141</v>
      </c>
      <c r="S110" s="43" t="n">
        <v>0.0610405690258335</v>
      </c>
      <c r="T110" s="44" t="s">
        <v>90</v>
      </c>
    </row>
    <row r="111" customFormat="false" ht="15" hidden="false" customHeight="false" outlineLevel="0" collapsed="false">
      <c r="A111" s="38" t="s">
        <v>156</v>
      </c>
      <c r="B111" s="38" t="s">
        <v>158</v>
      </c>
      <c r="C111" s="38" t="s">
        <v>208</v>
      </c>
      <c r="D111" s="21" t="n">
        <f aca="false">ROUND(Q111*R111,0)</f>
        <v>85</v>
      </c>
      <c r="E111" s="21" t="n">
        <f aca="false">ROUND(Q111,0)-D111</f>
        <v>38</v>
      </c>
      <c r="F111" s="21" t="n">
        <f aca="false">IF(COUNTA(D111:E111)=0,"",SUM(D111:E111))</f>
        <v>123</v>
      </c>
      <c r="G111" s="39" t="n">
        <f aca="false">IF(OR(F111="",F111=0),"",D111/F111)</f>
        <v>0.691056910569106</v>
      </c>
      <c r="H111" s="39" t="n">
        <f aca="false">IF(OR(F111="",F111=0),"",E111/F111)</f>
        <v>0.308943089430894</v>
      </c>
      <c r="I111" s="38" t="s">
        <v>89</v>
      </c>
      <c r="J111" s="40" t="n">
        <v>2.87480042420966</v>
      </c>
      <c r="K111" s="39" t="n">
        <f aca="false">IF(G111="","",MAX(0,G111-J111/100))</f>
        <v>0.662308906327009</v>
      </c>
      <c r="L111" s="39" t="n">
        <f aca="false">IF(G111="","",MIN(1,G111+J111/100))</f>
        <v>0.719804914811202</v>
      </c>
      <c r="M111" s="21" t="n">
        <f aca="false">ROUND(Q111*S111,0)</f>
        <v>8</v>
      </c>
      <c r="N111" s="21" t="n">
        <f aca="false">ROUND(SQRT((F111*J111/100)^2+(G111*M111)^2),0)</f>
        <v>7</v>
      </c>
      <c r="P111" s="41" t="n">
        <v>15.4187122389246</v>
      </c>
      <c r="Q111" s="42" t="n">
        <v>123</v>
      </c>
      <c r="R111" s="43" t="n">
        <f aca="false">MAX(0,MIN(1,P111/100+$D$5))</f>
        <v>0.689943484627045</v>
      </c>
      <c r="S111" s="43" t="n">
        <v>0.0610405690258335</v>
      </c>
      <c r="T111" s="44" t="s">
        <v>90</v>
      </c>
    </row>
    <row r="112" customFormat="false" ht="15" hidden="false" customHeight="false" outlineLevel="0" collapsed="false">
      <c r="A112" s="38" t="s">
        <v>156</v>
      </c>
      <c r="B112" s="38" t="s">
        <v>158</v>
      </c>
      <c r="C112" s="38" t="s">
        <v>209</v>
      </c>
      <c r="D112" s="21" t="n">
        <f aca="false">ROUND(Q112*R112,0)</f>
        <v>197</v>
      </c>
      <c r="E112" s="21" t="n">
        <f aca="false">ROUND(Q112,0)-D112</f>
        <v>93</v>
      </c>
      <c r="F112" s="21" t="n">
        <f aca="false">IF(COUNTA(D112:E112)=0,"",SUM(D112:E112))</f>
        <v>290</v>
      </c>
      <c r="G112" s="39" t="n">
        <f aca="false">IF(OR(F112="",F112=0),"",D112/F112)</f>
        <v>0.679310344827586</v>
      </c>
      <c r="H112" s="39" t="n">
        <f aca="false">IF(OR(F112="",F112=0),"",E112/F112)</f>
        <v>0.320689655172414</v>
      </c>
      <c r="I112" s="38" t="s">
        <v>89</v>
      </c>
      <c r="J112" s="40" t="n">
        <v>2.87480042420966</v>
      </c>
      <c r="K112" s="39" t="n">
        <f aca="false">IF(G112="","",MAX(0,G112-J112/100))</f>
        <v>0.65056234058549</v>
      </c>
      <c r="L112" s="39" t="n">
        <f aca="false">IF(G112="","",MIN(1,G112+J112/100))</f>
        <v>0.708058349069683</v>
      </c>
      <c r="M112" s="21" t="n">
        <f aca="false">ROUND(Q112*S112,0)</f>
        <v>18</v>
      </c>
      <c r="N112" s="21" t="n">
        <f aca="false">ROUND(SQRT((F112*J112/100)^2+(G112*M112)^2),0)</f>
        <v>15</v>
      </c>
      <c r="P112" s="41" t="n">
        <v>14.4618842186973</v>
      </c>
      <c r="Q112" s="42" t="n">
        <v>290</v>
      </c>
      <c r="R112" s="43" t="n">
        <f aca="false">MAX(0,MIN(1,P112/100+$D$5))</f>
        <v>0.680375204424772</v>
      </c>
      <c r="S112" s="43" t="n">
        <v>0.0610405690258335</v>
      </c>
      <c r="T112" s="44" t="s">
        <v>90</v>
      </c>
    </row>
    <row r="113" customFormat="false" ht="15" hidden="false" customHeight="false" outlineLevel="0" collapsed="false">
      <c r="A113" s="38" t="s">
        <v>156</v>
      </c>
      <c r="B113" s="38" t="s">
        <v>158</v>
      </c>
      <c r="C113" s="38" t="s">
        <v>210</v>
      </c>
      <c r="D113" s="21" t="n">
        <f aca="false">ROUND(Q113*R113,0)</f>
        <v>302</v>
      </c>
      <c r="E113" s="21" t="n">
        <f aca="false">ROUND(Q113,0)-D113</f>
        <v>97</v>
      </c>
      <c r="F113" s="21" t="n">
        <f aca="false">IF(COUNTA(D113:E113)=0,"",SUM(D113:E113))</f>
        <v>399</v>
      </c>
      <c r="G113" s="39" t="n">
        <f aca="false">IF(OR(F113="",F113=0),"",D113/F113)</f>
        <v>0.756892230576441</v>
      </c>
      <c r="H113" s="39" t="n">
        <f aca="false">IF(OR(F113="",F113=0),"",E113/F113)</f>
        <v>0.243107769423559</v>
      </c>
      <c r="I113" s="38" t="s">
        <v>89</v>
      </c>
      <c r="J113" s="40" t="n">
        <v>2.87480042420966</v>
      </c>
      <c r="K113" s="39" t="n">
        <f aca="false">IF(G113="","",MAX(0,G113-J113/100))</f>
        <v>0.728144226334345</v>
      </c>
      <c r="L113" s="39" t="n">
        <f aca="false">IF(G113="","",MIN(1,G113+J113/100))</f>
        <v>0.785640234818538</v>
      </c>
      <c r="M113" s="21" t="n">
        <f aca="false">ROUND(Q113*S113,0)</f>
        <v>24</v>
      </c>
      <c r="N113" s="21" t="n">
        <f aca="false">ROUND(SQRT((F113*J113/100)^2+(G113*M113)^2),0)</f>
        <v>21</v>
      </c>
      <c r="P113" s="41" t="n">
        <v>22.086075089571</v>
      </c>
      <c r="Q113" s="42" t="n">
        <v>399</v>
      </c>
      <c r="R113" s="43" t="n">
        <f aca="false">MAX(0,MIN(1,P113/100+$D$5))</f>
        <v>0.756617113133509</v>
      </c>
      <c r="S113" s="43" t="n">
        <v>0.0610405690258335</v>
      </c>
      <c r="T113" s="44" t="s">
        <v>90</v>
      </c>
    </row>
    <row r="114" customFormat="false" ht="15" hidden="false" customHeight="false" outlineLevel="0" collapsed="false">
      <c r="A114" s="38" t="s">
        <v>156</v>
      </c>
      <c r="B114" s="38" t="s">
        <v>158</v>
      </c>
      <c r="C114" s="38" t="s">
        <v>211</v>
      </c>
      <c r="D114" s="21" t="n">
        <f aca="false">ROUND(Q114*R114,0)</f>
        <v>108</v>
      </c>
      <c r="E114" s="21" t="n">
        <f aca="false">ROUND(Q114,0)-D114</f>
        <v>33</v>
      </c>
      <c r="F114" s="21" t="n">
        <f aca="false">IF(COUNTA(D114:E114)=0,"",SUM(D114:E114))</f>
        <v>141</v>
      </c>
      <c r="G114" s="39" t="n">
        <f aca="false">IF(OR(F114="",F114=0),"",D114/F114)</f>
        <v>0.765957446808511</v>
      </c>
      <c r="H114" s="39" t="n">
        <f aca="false">IF(OR(F114="",F114=0),"",E114/F114)</f>
        <v>0.234042553191489</v>
      </c>
      <c r="I114" s="38" t="s">
        <v>89</v>
      </c>
      <c r="J114" s="40" t="n">
        <v>2.87480042420966</v>
      </c>
      <c r="K114" s="39" t="n">
        <f aca="false">IF(G114="","",MAX(0,G114-J114/100))</f>
        <v>0.737209442566414</v>
      </c>
      <c r="L114" s="39" t="n">
        <f aca="false">IF(G114="","",MIN(1,G114+J114/100))</f>
        <v>0.794705451050607</v>
      </c>
      <c r="M114" s="21" t="n">
        <f aca="false">ROUND(Q114*S114,0)</f>
        <v>9</v>
      </c>
      <c r="N114" s="21" t="n">
        <f aca="false">ROUND(SQRT((F114*J114/100)^2+(G114*M114)^2),0)</f>
        <v>8</v>
      </c>
      <c r="P114" s="41" t="n">
        <v>23.0137473751257</v>
      </c>
      <c r="Q114" s="42" t="n">
        <v>141</v>
      </c>
      <c r="R114" s="43" t="n">
        <f aca="false">MAX(0,MIN(1,P114/100+$D$5))</f>
        <v>0.765893835989056</v>
      </c>
      <c r="S114" s="43" t="n">
        <v>0.0610405690258335</v>
      </c>
      <c r="T114" s="44" t="s">
        <v>90</v>
      </c>
    </row>
    <row r="115" customFormat="false" ht="15" hidden="false" customHeight="false" outlineLevel="0" collapsed="false">
      <c r="A115" s="38" t="s">
        <v>156</v>
      </c>
      <c r="B115" s="38" t="s">
        <v>158</v>
      </c>
      <c r="C115" s="38" t="s">
        <v>212</v>
      </c>
      <c r="D115" s="21" t="n">
        <f aca="false">ROUND(Q115*R115,0)</f>
        <v>135</v>
      </c>
      <c r="E115" s="21" t="n">
        <f aca="false">ROUND(Q115,0)-D115</f>
        <v>38</v>
      </c>
      <c r="F115" s="21" t="n">
        <f aca="false">IF(COUNTA(D115:E115)=0,"",SUM(D115:E115))</f>
        <v>173</v>
      </c>
      <c r="G115" s="39" t="n">
        <f aca="false">IF(OR(F115="",F115=0),"",D115/F115)</f>
        <v>0.780346820809249</v>
      </c>
      <c r="H115" s="39" t="n">
        <f aca="false">IF(OR(F115="",F115=0),"",E115/F115)</f>
        <v>0.219653179190751</v>
      </c>
      <c r="I115" s="38" t="s">
        <v>89</v>
      </c>
      <c r="J115" s="40" t="n">
        <v>2.87480042420966</v>
      </c>
      <c r="K115" s="39" t="n">
        <f aca="false">IF(G115="","",MAX(0,G115-J115/100))</f>
        <v>0.751598816567152</v>
      </c>
      <c r="L115" s="39" t="n">
        <f aca="false">IF(G115="","",MIN(1,G115+J115/100))</f>
        <v>0.809094825051345</v>
      </c>
      <c r="M115" s="21" t="n">
        <f aca="false">ROUND(Q115*S115,0)</f>
        <v>11</v>
      </c>
      <c r="N115" s="21" t="n">
        <f aca="false">ROUND(SQRT((F115*J115/100)^2+(G115*M115)^2),0)</f>
        <v>10</v>
      </c>
      <c r="P115" s="41" t="n">
        <v>24.7318728380214</v>
      </c>
      <c r="Q115" s="42" t="n">
        <v>173</v>
      </c>
      <c r="R115" s="43" t="n">
        <f aca="false">MAX(0,MIN(1,P115/100+$D$5))</f>
        <v>0.783075090618012</v>
      </c>
      <c r="S115" s="43" t="n">
        <v>0.0610405690258335</v>
      </c>
      <c r="T115" s="44" t="s">
        <v>90</v>
      </c>
    </row>
    <row r="116" customFormat="false" ht="15" hidden="false" customHeight="false" outlineLevel="0" collapsed="false">
      <c r="A116" s="38" t="s">
        <v>156</v>
      </c>
      <c r="B116" s="38" t="s">
        <v>158</v>
      </c>
      <c r="C116" s="38" t="s">
        <v>213</v>
      </c>
      <c r="D116" s="21" t="n">
        <f aca="false">ROUND(Q116*R116,0)</f>
        <v>215</v>
      </c>
      <c r="E116" s="21" t="n">
        <f aca="false">ROUND(Q116,0)-D116</f>
        <v>60</v>
      </c>
      <c r="F116" s="21" t="n">
        <f aca="false">IF(COUNTA(D116:E116)=0,"",SUM(D116:E116))</f>
        <v>275</v>
      </c>
      <c r="G116" s="39" t="n">
        <f aca="false">IF(OR(F116="",F116=0),"",D116/F116)</f>
        <v>0.781818181818182</v>
      </c>
      <c r="H116" s="39" t="n">
        <f aca="false">IF(OR(F116="",F116=0),"",E116/F116)</f>
        <v>0.218181818181818</v>
      </c>
      <c r="I116" s="38" t="s">
        <v>89</v>
      </c>
      <c r="J116" s="40" t="n">
        <v>2.87480042420966</v>
      </c>
      <c r="K116" s="39" t="n">
        <f aca="false">IF(G116="","",MAX(0,G116-J116/100))</f>
        <v>0.753070177576085</v>
      </c>
      <c r="L116" s="39" t="n">
        <f aca="false">IF(G116="","",MIN(1,G116+J116/100))</f>
        <v>0.810566186060278</v>
      </c>
      <c r="M116" s="21" t="n">
        <f aca="false">ROUND(Q116*S116,0)</f>
        <v>17</v>
      </c>
      <c r="N116" s="21" t="n">
        <f aca="false">ROUND(SQRT((F116*J116/100)^2+(G116*M116)^2),0)</f>
        <v>15</v>
      </c>
      <c r="P116" s="41" t="n">
        <v>24.5741183626873</v>
      </c>
      <c r="Q116" s="42" t="n">
        <v>275</v>
      </c>
      <c r="R116" s="43" t="n">
        <f aca="false">MAX(0,MIN(1,P116/100+$D$5))</f>
        <v>0.781497545864671</v>
      </c>
      <c r="S116" s="43" t="n">
        <v>0.0610405690258335</v>
      </c>
      <c r="T116" s="44" t="s">
        <v>90</v>
      </c>
    </row>
    <row r="117" customFormat="false" ht="15" hidden="false" customHeight="false" outlineLevel="0" collapsed="false">
      <c r="A117" s="38" t="s">
        <v>156</v>
      </c>
      <c r="B117" s="38" t="s">
        <v>158</v>
      </c>
      <c r="C117" s="38" t="s">
        <v>214</v>
      </c>
      <c r="D117" s="21" t="n">
        <f aca="false">ROUND(Q117*R117,0)</f>
        <v>346</v>
      </c>
      <c r="E117" s="21" t="n">
        <f aca="false">ROUND(Q117,0)-D117</f>
        <v>151</v>
      </c>
      <c r="F117" s="21" t="n">
        <f aca="false">IF(COUNTA(D117:E117)=0,"",SUM(D117:E117))</f>
        <v>497</v>
      </c>
      <c r="G117" s="39" t="n">
        <f aca="false">IF(OR(F117="",F117=0),"",D117/F117)</f>
        <v>0.696177062374246</v>
      </c>
      <c r="H117" s="39" t="n">
        <f aca="false">IF(OR(F117="",F117=0),"",E117/F117)</f>
        <v>0.303822937625755</v>
      </c>
      <c r="I117" s="38" t="s">
        <v>89</v>
      </c>
      <c r="J117" s="40" t="n">
        <v>2.87480042420966</v>
      </c>
      <c r="K117" s="39" t="n">
        <f aca="false">IF(G117="","",MAX(0,G117-J117/100))</f>
        <v>0.667429058132149</v>
      </c>
      <c r="L117" s="39" t="n">
        <f aca="false">IF(G117="","",MIN(1,G117+J117/100))</f>
        <v>0.724925066616342</v>
      </c>
      <c r="M117" s="21" t="n">
        <f aca="false">ROUND(Q117*S117,0)</f>
        <v>30</v>
      </c>
      <c r="N117" s="21" t="n">
        <f aca="false">ROUND(SQRT((F117*J117/100)^2+(G117*M117)^2),0)</f>
        <v>25</v>
      </c>
      <c r="P117" s="41" t="n">
        <v>16.0187945946752</v>
      </c>
      <c r="Q117" s="42" t="n">
        <v>497</v>
      </c>
      <c r="R117" s="43" t="n">
        <f aca="false">MAX(0,MIN(1,P117/100+$D$5))</f>
        <v>0.69594430818455</v>
      </c>
      <c r="S117" s="43" t="n">
        <v>0.0610405690258335</v>
      </c>
      <c r="T117" s="44" t="s">
        <v>90</v>
      </c>
    </row>
    <row r="118" customFormat="false" ht="15" hidden="false" customHeight="false" outlineLevel="0" collapsed="false">
      <c r="A118" s="38" t="s">
        <v>156</v>
      </c>
      <c r="B118" s="38" t="s">
        <v>158</v>
      </c>
      <c r="C118" s="38" t="s">
        <v>215</v>
      </c>
      <c r="D118" s="21" t="n">
        <f aca="false">ROUND(Q118*R118,0)</f>
        <v>154</v>
      </c>
      <c r="E118" s="21" t="n">
        <f aca="false">ROUND(Q118,0)-D118</f>
        <v>64</v>
      </c>
      <c r="F118" s="21" t="n">
        <f aca="false">IF(COUNTA(D118:E118)=0,"",SUM(D118:E118))</f>
        <v>218</v>
      </c>
      <c r="G118" s="39" t="n">
        <f aca="false">IF(OR(F118="",F118=0),"",D118/F118)</f>
        <v>0.706422018348624</v>
      </c>
      <c r="H118" s="39" t="n">
        <f aca="false">IF(OR(F118="",F118=0),"",E118/F118)</f>
        <v>0.293577981651376</v>
      </c>
      <c r="I118" s="38" t="s">
        <v>89</v>
      </c>
      <c r="J118" s="40" t="n">
        <v>2.87480042420966</v>
      </c>
      <c r="K118" s="39" t="n">
        <f aca="false">IF(G118="","",MAX(0,G118-J118/100))</f>
        <v>0.677674014106527</v>
      </c>
      <c r="L118" s="39" t="n">
        <f aca="false">IF(G118="","",MIN(1,G118+J118/100))</f>
        <v>0.73517002259072</v>
      </c>
      <c r="M118" s="21" t="n">
        <f aca="false">ROUND(Q118*S118,0)</f>
        <v>13</v>
      </c>
      <c r="N118" s="21" t="n">
        <f aca="false">ROUND(SQRT((F118*J118/100)^2+(G118*M118)^2),0)</f>
        <v>11</v>
      </c>
      <c r="P118" s="41" t="n">
        <v>17.0610990072908</v>
      </c>
      <c r="Q118" s="42" t="n">
        <v>218</v>
      </c>
      <c r="R118" s="43" t="n">
        <f aca="false">MAX(0,MIN(1,P118/100+$D$5))</f>
        <v>0.706367352310706</v>
      </c>
      <c r="S118" s="43" t="n">
        <v>0.0610405690258335</v>
      </c>
      <c r="T118" s="44" t="s">
        <v>90</v>
      </c>
    </row>
    <row r="119" customFormat="false" ht="15" hidden="false" customHeight="false" outlineLevel="0" collapsed="false">
      <c r="A119" s="38" t="s">
        <v>156</v>
      </c>
      <c r="B119" s="38" t="s">
        <v>158</v>
      </c>
      <c r="C119" s="38" t="s">
        <v>216</v>
      </c>
      <c r="D119" s="21" t="n">
        <f aca="false">ROUND(Q119*R119,0)</f>
        <v>173</v>
      </c>
      <c r="E119" s="21" t="n">
        <f aca="false">ROUND(Q119,0)-D119</f>
        <v>65</v>
      </c>
      <c r="F119" s="21" t="n">
        <f aca="false">IF(COUNTA(D119:E119)=0,"",SUM(D119:E119))</f>
        <v>238</v>
      </c>
      <c r="G119" s="39" t="n">
        <f aca="false">IF(OR(F119="",F119=0),"",D119/F119)</f>
        <v>0.726890756302521</v>
      </c>
      <c r="H119" s="39" t="n">
        <f aca="false">IF(OR(F119="",F119=0),"",E119/F119)</f>
        <v>0.273109243697479</v>
      </c>
      <c r="I119" s="38" t="s">
        <v>89</v>
      </c>
      <c r="J119" s="40" t="n">
        <v>2.87480042420966</v>
      </c>
      <c r="K119" s="39" t="n">
        <f aca="false">IF(G119="","",MAX(0,G119-J119/100))</f>
        <v>0.698142752060424</v>
      </c>
      <c r="L119" s="39" t="n">
        <f aca="false">IF(G119="","",MIN(1,G119+J119/100))</f>
        <v>0.755638760544618</v>
      </c>
      <c r="M119" s="21" t="n">
        <f aca="false">ROUND(Q119*S119,0)</f>
        <v>15</v>
      </c>
      <c r="N119" s="21" t="n">
        <f aca="false">ROUND(SQRT((F119*J119/100)^2+(G119*M119)^2),0)</f>
        <v>13</v>
      </c>
      <c r="P119" s="41" t="n">
        <v>19.2182213434407</v>
      </c>
      <c r="Q119" s="42" t="n">
        <v>238</v>
      </c>
      <c r="R119" s="43" t="n">
        <f aca="false">MAX(0,MIN(1,P119/100+$D$5))</f>
        <v>0.727938575672206</v>
      </c>
      <c r="S119" s="43" t="n">
        <v>0.0610405690258335</v>
      </c>
      <c r="T119" s="44" t="s">
        <v>90</v>
      </c>
    </row>
    <row r="120" customFormat="false" ht="15" hidden="false" customHeight="false" outlineLevel="0" collapsed="false">
      <c r="A120" s="38" t="s">
        <v>156</v>
      </c>
      <c r="B120" s="38" t="s">
        <v>158</v>
      </c>
      <c r="C120" s="38" t="s">
        <v>217</v>
      </c>
      <c r="D120" s="21" t="n">
        <f aca="false">ROUND(Q120*R120,0)</f>
        <v>280</v>
      </c>
      <c r="E120" s="21" t="n">
        <f aca="false">ROUND(Q120,0)-D120</f>
        <v>142</v>
      </c>
      <c r="F120" s="21" t="n">
        <f aca="false">IF(COUNTA(D120:E120)=0,"",SUM(D120:E120))</f>
        <v>422</v>
      </c>
      <c r="G120" s="39" t="n">
        <f aca="false">IF(OR(F120="",F120=0),"",D120/F120)</f>
        <v>0.663507109004739</v>
      </c>
      <c r="H120" s="39" t="n">
        <f aca="false">IF(OR(F120="",F120=0),"",E120/F120)</f>
        <v>0.336492890995261</v>
      </c>
      <c r="I120" s="38" t="s">
        <v>89</v>
      </c>
      <c r="J120" s="40" t="n">
        <v>2.87480042420966</v>
      </c>
      <c r="K120" s="39" t="n">
        <f aca="false">IF(G120="","",MAX(0,G120-J120/100))</f>
        <v>0.634759104762643</v>
      </c>
      <c r="L120" s="39" t="n">
        <f aca="false">IF(G120="","",MIN(1,G120+J120/100))</f>
        <v>0.692255113246836</v>
      </c>
      <c r="M120" s="21" t="n">
        <f aca="false">ROUND(Q120*S120,0)</f>
        <v>26</v>
      </c>
      <c r="N120" s="21" t="n">
        <f aca="false">ROUND(SQRT((F120*J120/100)^2+(G120*M120)^2),0)</f>
        <v>21</v>
      </c>
      <c r="P120" s="41" t="n">
        <v>12.7740544218078</v>
      </c>
      <c r="Q120" s="42" t="n">
        <v>422</v>
      </c>
      <c r="R120" s="43" t="n">
        <f aca="false">MAX(0,MIN(1,P120/100+$D$5))</f>
        <v>0.663496906455877</v>
      </c>
      <c r="S120" s="43" t="n">
        <v>0.0610405690258335</v>
      </c>
      <c r="T120" s="44" t="s">
        <v>90</v>
      </c>
    </row>
    <row r="121" customFormat="false" ht="15" hidden="false" customHeight="false" outlineLevel="0" collapsed="false">
      <c r="A121" s="38" t="s">
        <v>156</v>
      </c>
      <c r="B121" s="38" t="s">
        <v>158</v>
      </c>
      <c r="C121" s="38" t="s">
        <v>218</v>
      </c>
      <c r="D121" s="21" t="n">
        <f aca="false">ROUND(Q121*R121,0)</f>
        <v>224</v>
      </c>
      <c r="E121" s="21" t="n">
        <f aca="false">ROUND(Q121,0)-D121</f>
        <v>77</v>
      </c>
      <c r="F121" s="21" t="n">
        <f aca="false">IF(COUNTA(D121:E121)=0,"",SUM(D121:E121))</f>
        <v>301</v>
      </c>
      <c r="G121" s="39" t="n">
        <f aca="false">IF(OR(F121="",F121=0),"",D121/F121)</f>
        <v>0.744186046511628</v>
      </c>
      <c r="H121" s="39" t="n">
        <f aca="false">IF(OR(F121="",F121=0),"",E121/F121)</f>
        <v>0.255813953488372</v>
      </c>
      <c r="I121" s="38" t="s">
        <v>89</v>
      </c>
      <c r="J121" s="40" t="n">
        <v>2.87480042420966</v>
      </c>
      <c r="K121" s="39" t="n">
        <f aca="false">IF(G121="","",MAX(0,G121-J121/100))</f>
        <v>0.715438042269531</v>
      </c>
      <c r="L121" s="39" t="n">
        <f aca="false">IF(G121="","",MIN(1,G121+J121/100))</f>
        <v>0.772934050753725</v>
      </c>
      <c r="M121" s="21" t="n">
        <f aca="false">ROUND(Q121*S121,0)</f>
        <v>18</v>
      </c>
      <c r="N121" s="21" t="n">
        <f aca="false">ROUND(SQRT((F121*J121/100)^2+(G121*M121)^2),0)</f>
        <v>16</v>
      </c>
      <c r="P121" s="41" t="n">
        <v>20.7075598025404</v>
      </c>
      <c r="Q121" s="42" t="n">
        <v>301</v>
      </c>
      <c r="R121" s="43" t="n">
        <f aca="false">MAX(0,MIN(1,P121/100+$D$5))</f>
        <v>0.742831960263203</v>
      </c>
      <c r="S121" s="43" t="n">
        <v>0.0610405690258335</v>
      </c>
      <c r="T121" s="44" t="s">
        <v>90</v>
      </c>
    </row>
    <row r="122" customFormat="false" ht="15" hidden="false" customHeight="false" outlineLevel="0" collapsed="false">
      <c r="A122" s="38" t="s">
        <v>156</v>
      </c>
      <c r="B122" s="38" t="s">
        <v>219</v>
      </c>
      <c r="C122" s="38" t="s">
        <v>220</v>
      </c>
      <c r="D122" s="21" t="n">
        <f aca="false">ROUND(Q122*R122,0)</f>
        <v>464</v>
      </c>
      <c r="E122" s="21" t="n">
        <f aca="false">ROUND(Q122,0)-D122</f>
        <v>168</v>
      </c>
      <c r="F122" s="21" t="n">
        <f aca="false">IF(COUNTA(D122:E122)=0,"",SUM(D122:E122))</f>
        <v>632</v>
      </c>
      <c r="G122" s="39" t="n">
        <f aca="false">IF(OR(F122="",F122=0),"",D122/F122)</f>
        <v>0.734177215189873</v>
      </c>
      <c r="H122" s="39" t="n">
        <f aca="false">IF(OR(F122="",F122=0),"",E122/F122)</f>
        <v>0.265822784810127</v>
      </c>
      <c r="I122" s="38" t="s">
        <v>89</v>
      </c>
      <c r="J122" s="40" t="n">
        <v>2.87480042420966</v>
      </c>
      <c r="K122" s="39" t="n">
        <f aca="false">IF(G122="","",MAX(0,G122-J122/100))</f>
        <v>0.705429210947777</v>
      </c>
      <c r="L122" s="39" t="n">
        <f aca="false">IF(G122="","",MIN(1,G122+J122/100))</f>
        <v>0.76292521943197</v>
      </c>
      <c r="M122" s="21" t="n">
        <f aca="false">ROUND(Q122*S122,0)</f>
        <v>39</v>
      </c>
      <c r="N122" s="21" t="n">
        <f aca="false">ROUND(SQRT((F122*J122/100)^2+(G122*M122)^2),0)</f>
        <v>34</v>
      </c>
      <c r="P122" s="41" t="n">
        <v>19.8523512597163</v>
      </c>
      <c r="Q122" s="42" t="n">
        <v>632</v>
      </c>
      <c r="R122" s="43" t="n">
        <f aca="false">MAX(0,MIN(1,P122/100+$D$5))</f>
        <v>0.734279874834962</v>
      </c>
      <c r="S122" s="43" t="n">
        <v>0.0610405690258335</v>
      </c>
      <c r="T122" s="44" t="s">
        <v>90</v>
      </c>
    </row>
    <row r="123" customFormat="false" ht="15" hidden="false" customHeight="false" outlineLevel="0" collapsed="false">
      <c r="A123" s="38" t="s">
        <v>156</v>
      </c>
      <c r="B123" s="38" t="s">
        <v>219</v>
      </c>
      <c r="C123" s="38" t="s">
        <v>221</v>
      </c>
      <c r="D123" s="21" t="n">
        <f aca="false">ROUND(Q123*R123,0)</f>
        <v>326</v>
      </c>
      <c r="E123" s="21" t="n">
        <f aca="false">ROUND(Q123,0)-D123</f>
        <v>136</v>
      </c>
      <c r="F123" s="21" t="n">
        <f aca="false">IF(COUNTA(D123:E123)=0,"",SUM(D123:E123))</f>
        <v>462</v>
      </c>
      <c r="G123" s="39" t="n">
        <f aca="false">IF(OR(F123="",F123=0),"",D123/F123)</f>
        <v>0.705627705627706</v>
      </c>
      <c r="H123" s="39" t="n">
        <f aca="false">IF(OR(F123="",F123=0),"",E123/F123)</f>
        <v>0.294372294372294</v>
      </c>
      <c r="I123" s="38" t="s">
        <v>89</v>
      </c>
      <c r="J123" s="40" t="n">
        <v>2.87480042420966</v>
      </c>
      <c r="K123" s="39" t="n">
        <f aca="false">IF(G123="","",MAX(0,G123-J123/100))</f>
        <v>0.676879701385609</v>
      </c>
      <c r="L123" s="39" t="n">
        <f aca="false">IF(G123="","",MIN(1,G123+J123/100))</f>
        <v>0.734375709869802</v>
      </c>
      <c r="M123" s="21" t="n">
        <f aca="false">ROUND(Q123*S123,0)</f>
        <v>28</v>
      </c>
      <c r="N123" s="21" t="n">
        <f aca="false">ROUND(SQRT((F123*J123/100)^2+(G123*M123)^2),0)</f>
        <v>24</v>
      </c>
      <c r="P123" s="41" t="n">
        <v>16.8826920932292</v>
      </c>
      <c r="Q123" s="42" t="n">
        <v>462</v>
      </c>
      <c r="R123" s="43" t="n">
        <f aca="false">MAX(0,MIN(1,P123/100+$D$5))</f>
        <v>0.704583283170091</v>
      </c>
      <c r="S123" s="43" t="n">
        <v>0.0610405690258335</v>
      </c>
      <c r="T123" s="44" t="s">
        <v>90</v>
      </c>
    </row>
    <row r="124" customFormat="false" ht="15" hidden="false" customHeight="false" outlineLevel="0" collapsed="false">
      <c r="A124" s="38" t="s">
        <v>156</v>
      </c>
      <c r="B124" s="38" t="s">
        <v>219</v>
      </c>
      <c r="C124" s="38" t="s">
        <v>222</v>
      </c>
      <c r="D124" s="21" t="n">
        <f aca="false">ROUND(Q124*R124,0)</f>
        <v>361</v>
      </c>
      <c r="E124" s="21" t="n">
        <f aca="false">ROUND(Q124,0)-D124</f>
        <v>129</v>
      </c>
      <c r="F124" s="21" t="n">
        <f aca="false">IF(COUNTA(D124:E124)=0,"",SUM(D124:E124))</f>
        <v>490</v>
      </c>
      <c r="G124" s="39" t="n">
        <f aca="false">IF(OR(F124="",F124=0),"",D124/F124)</f>
        <v>0.736734693877551</v>
      </c>
      <c r="H124" s="39" t="n">
        <f aca="false">IF(OR(F124="",F124=0),"",E124/F124)</f>
        <v>0.263265306122449</v>
      </c>
      <c r="I124" s="38" t="s">
        <v>89</v>
      </c>
      <c r="J124" s="40" t="n">
        <v>2.87480042420966</v>
      </c>
      <c r="K124" s="39" t="n">
        <f aca="false">IF(G124="","",MAX(0,G124-J124/100))</f>
        <v>0.707986689635454</v>
      </c>
      <c r="L124" s="39" t="n">
        <f aca="false">IF(G124="","",MIN(1,G124+J124/100))</f>
        <v>0.765482698119648</v>
      </c>
      <c r="M124" s="21" t="n">
        <f aca="false">ROUND(Q124*S124,0)</f>
        <v>30</v>
      </c>
      <c r="N124" s="21" t="n">
        <f aca="false">ROUND(SQRT((F124*J124/100)^2+(G124*M124)^2),0)</f>
        <v>26</v>
      </c>
      <c r="P124" s="41" t="n">
        <v>20.1754829012301</v>
      </c>
      <c r="Q124" s="42" t="n">
        <v>490</v>
      </c>
      <c r="R124" s="43" t="n">
        <f aca="false">MAX(0,MIN(1,P124/100+$D$5))</f>
        <v>0.7375111912501</v>
      </c>
      <c r="S124" s="43" t="n">
        <v>0.0610405690258335</v>
      </c>
      <c r="T124" s="44" t="s">
        <v>90</v>
      </c>
    </row>
    <row r="125" customFormat="false" ht="15" hidden="false" customHeight="false" outlineLevel="0" collapsed="false">
      <c r="A125" s="38" t="s">
        <v>156</v>
      </c>
      <c r="B125" s="38" t="s">
        <v>219</v>
      </c>
      <c r="C125" s="38" t="s">
        <v>223</v>
      </c>
      <c r="D125" s="21" t="n">
        <f aca="false">ROUND(Q125*R125,0)</f>
        <v>418</v>
      </c>
      <c r="E125" s="21" t="n">
        <f aca="false">ROUND(Q125,0)-D125</f>
        <v>163</v>
      </c>
      <c r="F125" s="21" t="n">
        <f aca="false">IF(COUNTA(D125:E125)=0,"",SUM(D125:E125))</f>
        <v>581</v>
      </c>
      <c r="G125" s="39" t="n">
        <f aca="false">IF(OR(F125="",F125=0),"",D125/F125)</f>
        <v>0.719449225473322</v>
      </c>
      <c r="H125" s="39" t="n">
        <f aca="false">IF(OR(F125="",F125=0),"",E125/F125)</f>
        <v>0.280550774526678</v>
      </c>
      <c r="I125" s="38" t="s">
        <v>89</v>
      </c>
      <c r="J125" s="40" t="n">
        <v>2.87480042420966</v>
      </c>
      <c r="K125" s="39" t="n">
        <f aca="false">IF(G125="","",MAX(0,G125-J125/100))</f>
        <v>0.690701221231225</v>
      </c>
      <c r="L125" s="39" t="n">
        <f aca="false">IF(G125="","",MIN(1,G125+J125/100))</f>
        <v>0.748197229715419</v>
      </c>
      <c r="M125" s="21" t="n">
        <f aca="false">ROUND(Q125*S125,0)</f>
        <v>35</v>
      </c>
      <c r="N125" s="21" t="n">
        <f aca="false">ROUND(SQRT((F125*J125/100)^2+(G125*M125)^2),0)</f>
        <v>30</v>
      </c>
      <c r="P125" s="41" t="n">
        <v>18.4178238176042</v>
      </c>
      <c r="Q125" s="42" t="n">
        <v>581</v>
      </c>
      <c r="R125" s="43" t="n">
        <f aca="false">MAX(0,MIN(1,P125/100+$D$5))</f>
        <v>0.719934600413841</v>
      </c>
      <c r="S125" s="43" t="n">
        <v>0.0610405690258335</v>
      </c>
      <c r="T125" s="44" t="s">
        <v>90</v>
      </c>
    </row>
    <row r="126" customFormat="false" ht="15" hidden="false" customHeight="false" outlineLevel="0" collapsed="false">
      <c r="A126" s="38" t="s">
        <v>156</v>
      </c>
      <c r="B126" s="38" t="s">
        <v>219</v>
      </c>
      <c r="C126" s="38" t="s">
        <v>224</v>
      </c>
      <c r="D126" s="21" t="n">
        <f aca="false">ROUND(Q126*R126,0)</f>
        <v>583</v>
      </c>
      <c r="E126" s="21" t="n">
        <f aca="false">ROUND(Q126,0)-D126</f>
        <v>281</v>
      </c>
      <c r="F126" s="21" t="n">
        <f aca="false">IF(COUNTA(D126:E126)=0,"",SUM(D126:E126))</f>
        <v>864</v>
      </c>
      <c r="G126" s="39" t="n">
        <f aca="false">IF(OR(F126="",F126=0),"",D126/F126)</f>
        <v>0.674768518518519</v>
      </c>
      <c r="H126" s="39" t="n">
        <f aca="false">IF(OR(F126="",F126=0),"",E126/F126)</f>
        <v>0.325231481481481</v>
      </c>
      <c r="I126" s="38" t="s">
        <v>89</v>
      </c>
      <c r="J126" s="40" t="n">
        <v>1.92472098334064</v>
      </c>
      <c r="K126" s="39" t="n">
        <f aca="false">IF(G126="","",MAX(0,G126-J126/100))</f>
        <v>0.655521308685112</v>
      </c>
      <c r="L126" s="39" t="n">
        <f aca="false">IF(G126="","",MIN(1,G126+J126/100))</f>
        <v>0.694015728351925</v>
      </c>
      <c r="M126" s="21" t="n">
        <f aca="false">ROUND(Q126*S126,0)</f>
        <v>43</v>
      </c>
      <c r="N126" s="21" t="n">
        <f aca="false">ROUND(SQRT((F126*J126/100)^2+(G126*M126)^2),0)</f>
        <v>33</v>
      </c>
      <c r="P126" s="41" t="n">
        <v>13.8580969566076</v>
      </c>
      <c r="Q126" s="42" t="n">
        <v>864</v>
      </c>
      <c r="R126" s="43" t="n">
        <f aca="false">MAX(0,MIN(1,P126/100+$D$5))</f>
        <v>0.674337331803875</v>
      </c>
      <c r="S126" s="43" t="n">
        <v>0.0500321312575726</v>
      </c>
      <c r="T126" s="44" t="s">
        <v>99</v>
      </c>
    </row>
    <row r="127" customFormat="false" ht="15" hidden="false" customHeight="false" outlineLevel="0" collapsed="false">
      <c r="A127" s="38" t="s">
        <v>156</v>
      </c>
      <c r="B127" s="38" t="s">
        <v>219</v>
      </c>
      <c r="C127" s="38" t="s">
        <v>225</v>
      </c>
      <c r="D127" s="21" t="n">
        <f aca="false">ROUND(Q127*R127,0)</f>
        <v>407</v>
      </c>
      <c r="E127" s="21" t="n">
        <f aca="false">ROUND(Q127,0)-D127</f>
        <v>213</v>
      </c>
      <c r="F127" s="21" t="n">
        <f aca="false">IF(COUNTA(D127:E127)=0,"",SUM(D127:E127))</f>
        <v>620</v>
      </c>
      <c r="G127" s="39" t="n">
        <f aca="false">IF(OR(F127="",F127=0),"",D127/F127)</f>
        <v>0.656451612903226</v>
      </c>
      <c r="H127" s="39" t="n">
        <f aca="false">IF(OR(F127="",F127=0),"",E127/F127)</f>
        <v>0.343548387096774</v>
      </c>
      <c r="I127" s="38" t="s">
        <v>89</v>
      </c>
      <c r="J127" s="40" t="n">
        <v>2.87480042420966</v>
      </c>
      <c r="K127" s="39" t="n">
        <f aca="false">IF(G127="","",MAX(0,G127-J127/100))</f>
        <v>0.627703608661129</v>
      </c>
      <c r="L127" s="39" t="n">
        <f aca="false">IF(G127="","",MIN(1,G127+J127/100))</f>
        <v>0.685199617145322</v>
      </c>
      <c r="M127" s="21" t="n">
        <f aca="false">ROUND(Q127*S127,0)</f>
        <v>38</v>
      </c>
      <c r="N127" s="21" t="n">
        <f aca="false">ROUND(SQRT((F127*J127/100)^2+(G127*M127)^2),0)</f>
        <v>31</v>
      </c>
      <c r="P127" s="41" t="n">
        <v>11.9987560081219</v>
      </c>
      <c r="Q127" s="42" t="n">
        <v>620</v>
      </c>
      <c r="R127" s="43" t="n">
        <f aca="false">MAX(0,MIN(1,P127/100+$D$5))</f>
        <v>0.655743922319018</v>
      </c>
      <c r="S127" s="43" t="n">
        <v>0.0610405690258335</v>
      </c>
      <c r="T127" s="44" t="s">
        <v>90</v>
      </c>
    </row>
    <row r="128" customFormat="false" ht="15" hidden="false" customHeight="false" outlineLevel="0" collapsed="false">
      <c r="A128" s="38" t="s">
        <v>156</v>
      </c>
      <c r="B128" s="38" t="s">
        <v>219</v>
      </c>
      <c r="C128" s="38" t="s">
        <v>226</v>
      </c>
      <c r="D128" s="21" t="n">
        <f aca="false">ROUND(Q128*R128,0)</f>
        <v>474</v>
      </c>
      <c r="E128" s="21" t="n">
        <f aca="false">ROUND(Q128,0)-D128</f>
        <v>274</v>
      </c>
      <c r="F128" s="21" t="n">
        <f aca="false">IF(COUNTA(D128:E128)=0,"",SUM(D128:E128))</f>
        <v>748</v>
      </c>
      <c r="G128" s="39" t="n">
        <f aca="false">IF(OR(F128="",F128=0),"",D128/F128)</f>
        <v>0.633689839572193</v>
      </c>
      <c r="H128" s="39" t="n">
        <f aca="false">IF(OR(F128="",F128=0),"",E128/F128)</f>
        <v>0.366310160427808</v>
      </c>
      <c r="I128" s="38" t="s">
        <v>89</v>
      </c>
      <c r="J128" s="40" t="n">
        <v>2.87480042420966</v>
      </c>
      <c r="K128" s="39" t="n">
        <f aca="false">IF(G128="","",MAX(0,G128-J128/100))</f>
        <v>0.604941835330096</v>
      </c>
      <c r="L128" s="39" t="n">
        <f aca="false">IF(G128="","",MIN(1,G128+J128/100))</f>
        <v>0.662437843814289</v>
      </c>
      <c r="M128" s="21" t="n">
        <f aca="false">ROUND(Q128*S128,0)</f>
        <v>46</v>
      </c>
      <c r="N128" s="21" t="n">
        <f aca="false">ROUND(SQRT((F128*J128/100)^2+(G128*M128)^2),0)</f>
        <v>36</v>
      </c>
      <c r="P128" s="41" t="n">
        <v>9.78943192839399</v>
      </c>
      <c r="Q128" s="42" t="n">
        <v>748</v>
      </c>
      <c r="R128" s="43" t="n">
        <f aca="false">MAX(0,MIN(1,P128/100+$D$5))</f>
        <v>0.633650681521739</v>
      </c>
      <c r="S128" s="43" t="n">
        <v>0.0610405690258335</v>
      </c>
      <c r="T128" s="44" t="s">
        <v>90</v>
      </c>
    </row>
    <row r="129" customFormat="false" ht="15" hidden="false" customHeight="false" outlineLevel="0" collapsed="false">
      <c r="A129" s="38" t="s">
        <v>156</v>
      </c>
      <c r="B129" s="38" t="s">
        <v>219</v>
      </c>
      <c r="C129" s="38" t="s">
        <v>227</v>
      </c>
      <c r="D129" s="21" t="n">
        <f aca="false">ROUND(Q129*R129,0)</f>
        <v>585</v>
      </c>
      <c r="E129" s="21" t="n">
        <f aca="false">ROUND(Q129,0)-D129</f>
        <v>333</v>
      </c>
      <c r="F129" s="21" t="n">
        <f aca="false">IF(COUNTA(D129:E129)=0,"",SUM(D129:E129))</f>
        <v>918</v>
      </c>
      <c r="G129" s="39" t="n">
        <f aca="false">IF(OR(F129="",F129=0),"",D129/F129)</f>
        <v>0.637254901960784</v>
      </c>
      <c r="H129" s="39" t="n">
        <f aca="false">IF(OR(F129="",F129=0),"",E129/F129)</f>
        <v>0.362745098039216</v>
      </c>
      <c r="I129" s="38" t="s">
        <v>89</v>
      </c>
      <c r="J129" s="40" t="n">
        <v>1.92472098334064</v>
      </c>
      <c r="K129" s="39" t="n">
        <f aca="false">IF(G129="","",MAX(0,G129-J129/100))</f>
        <v>0.618007692127378</v>
      </c>
      <c r="L129" s="39" t="n">
        <f aca="false">IF(G129="","",MIN(1,G129+J129/100))</f>
        <v>0.656502111794191</v>
      </c>
      <c r="M129" s="21" t="n">
        <f aca="false">ROUND(Q129*S129,0)</f>
        <v>46</v>
      </c>
      <c r="N129" s="21" t="n">
        <f aca="false">ROUND(SQRT((F129*J129/100)^2+(G129*M129)^2),0)</f>
        <v>34</v>
      </c>
      <c r="P129" s="41" t="n">
        <v>10.1303734960433</v>
      </c>
      <c r="Q129" s="42" t="n">
        <v>918</v>
      </c>
      <c r="R129" s="43" t="n">
        <f aca="false">MAX(0,MIN(1,P129/100+$D$5))</f>
        <v>0.637060097198231</v>
      </c>
      <c r="S129" s="43" t="n">
        <v>0.0500321312575726</v>
      </c>
      <c r="T129" s="44" t="s">
        <v>99</v>
      </c>
    </row>
    <row r="130" customFormat="false" ht="15" hidden="false" customHeight="false" outlineLevel="0" collapsed="false">
      <c r="A130" s="38" t="s">
        <v>156</v>
      </c>
      <c r="B130" s="38" t="s">
        <v>219</v>
      </c>
      <c r="C130" s="38" t="s">
        <v>228</v>
      </c>
      <c r="D130" s="21" t="n">
        <f aca="false">ROUND(Q130*R130,0)</f>
        <v>421</v>
      </c>
      <c r="E130" s="21" t="n">
        <f aca="false">ROUND(Q130,0)-D130</f>
        <v>232</v>
      </c>
      <c r="F130" s="21" t="n">
        <f aca="false">IF(COUNTA(D130:E130)=0,"",SUM(D130:E130))</f>
        <v>653</v>
      </c>
      <c r="G130" s="39" t="n">
        <f aca="false">IF(OR(F130="",F130=0),"",D130/F130)</f>
        <v>0.644716692189893</v>
      </c>
      <c r="H130" s="39" t="n">
        <f aca="false">IF(OR(F130="",F130=0),"",E130/F130)</f>
        <v>0.355283307810107</v>
      </c>
      <c r="I130" s="38" t="s">
        <v>89</v>
      </c>
      <c r="J130" s="40" t="n">
        <v>2.87480042420966</v>
      </c>
      <c r="K130" s="39" t="n">
        <f aca="false">IF(G130="","",MAX(0,G130-J130/100))</f>
        <v>0.615968687947796</v>
      </c>
      <c r="L130" s="39" t="n">
        <f aca="false">IF(G130="","",MIN(1,G130+J130/100))</f>
        <v>0.673464696431989</v>
      </c>
      <c r="M130" s="21" t="n">
        <f aca="false">ROUND(Q130*S130,0)</f>
        <v>40</v>
      </c>
      <c r="N130" s="21" t="n">
        <f aca="false">ROUND(SQRT((F130*J130/100)^2+(G130*M130)^2),0)</f>
        <v>32</v>
      </c>
      <c r="P130" s="41" t="n">
        <v>10.9251480154463</v>
      </c>
      <c r="Q130" s="42" t="n">
        <v>653</v>
      </c>
      <c r="R130" s="43" t="n">
        <f aca="false">MAX(0,MIN(1,P130/100+$D$5))</f>
        <v>0.645007842392262</v>
      </c>
      <c r="S130" s="43" t="n">
        <v>0.0610405690258335</v>
      </c>
      <c r="T130" s="44" t="s">
        <v>90</v>
      </c>
    </row>
    <row r="131" customFormat="false" ht="15" hidden="false" customHeight="false" outlineLevel="0" collapsed="false">
      <c r="A131" s="38" t="s">
        <v>156</v>
      </c>
      <c r="B131" s="38" t="s">
        <v>219</v>
      </c>
      <c r="C131" s="38" t="s">
        <v>229</v>
      </c>
      <c r="D131" s="21" t="n">
        <f aca="false">ROUND(Q131*R131,0)</f>
        <v>358</v>
      </c>
      <c r="E131" s="21" t="n">
        <f aca="false">ROUND(Q131,0)-D131</f>
        <v>229</v>
      </c>
      <c r="F131" s="21" t="n">
        <f aca="false">IF(COUNTA(D131:E131)=0,"",SUM(D131:E131))</f>
        <v>587</v>
      </c>
      <c r="G131" s="39" t="n">
        <f aca="false">IF(OR(F131="",F131=0),"",D131/F131)</f>
        <v>0.609880749574106</v>
      </c>
      <c r="H131" s="39" t="n">
        <f aca="false">IF(OR(F131="",F131=0),"",E131/F131)</f>
        <v>0.390119250425894</v>
      </c>
      <c r="I131" s="38" t="s">
        <v>89</v>
      </c>
      <c r="J131" s="40" t="n">
        <v>2.87480042420966</v>
      </c>
      <c r="K131" s="39" t="n">
        <f aca="false">IF(G131="","",MAX(0,G131-J131/100))</f>
        <v>0.581132745332009</v>
      </c>
      <c r="L131" s="39" t="n">
        <f aca="false">IF(G131="","",MIN(1,G131+J131/100))</f>
        <v>0.638628753816202</v>
      </c>
      <c r="M131" s="21" t="n">
        <f aca="false">ROUND(Q131*S131,0)</f>
        <v>36</v>
      </c>
      <c r="N131" s="21" t="n">
        <f aca="false">ROUND(SQRT((F131*J131/100)^2+(G131*M131)^2),0)</f>
        <v>28</v>
      </c>
      <c r="P131" s="41" t="n">
        <v>7.41541918580155</v>
      </c>
      <c r="Q131" s="42" t="n">
        <v>587</v>
      </c>
      <c r="R131" s="43" t="n">
        <f aca="false">MAX(0,MIN(1,P131/100+$D$5))</f>
        <v>0.609910554095814</v>
      </c>
      <c r="S131" s="43" t="n">
        <v>0.0610405690258335</v>
      </c>
      <c r="T131" s="44" t="s">
        <v>90</v>
      </c>
    </row>
    <row r="132" customFormat="false" ht="15" hidden="false" customHeight="false" outlineLevel="0" collapsed="false">
      <c r="A132" s="38" t="s">
        <v>156</v>
      </c>
      <c r="B132" s="38" t="s">
        <v>219</v>
      </c>
      <c r="C132" s="38" t="s">
        <v>230</v>
      </c>
      <c r="D132" s="21" t="n">
        <f aca="false">ROUND(Q132*R132,0)</f>
        <v>421</v>
      </c>
      <c r="E132" s="21" t="n">
        <f aca="false">ROUND(Q132,0)-D132</f>
        <v>219</v>
      </c>
      <c r="F132" s="21" t="n">
        <f aca="false">IF(COUNTA(D132:E132)=0,"",SUM(D132:E132))</f>
        <v>640</v>
      </c>
      <c r="G132" s="39" t="n">
        <f aca="false">IF(OR(F132="",F132=0),"",D132/F132)</f>
        <v>0.6578125</v>
      </c>
      <c r="H132" s="39" t="n">
        <f aca="false">IF(OR(F132="",F132=0),"",E132/F132)</f>
        <v>0.3421875</v>
      </c>
      <c r="I132" s="38" t="s">
        <v>89</v>
      </c>
      <c r="J132" s="40" t="n">
        <v>2.87480042420966</v>
      </c>
      <c r="K132" s="39" t="n">
        <f aca="false">IF(G132="","",MAX(0,G132-J132/100))</f>
        <v>0.629064495757904</v>
      </c>
      <c r="L132" s="39" t="n">
        <f aca="false">IF(G132="","",MIN(1,G132+J132/100))</f>
        <v>0.686560504242097</v>
      </c>
      <c r="M132" s="21" t="n">
        <f aca="false">ROUND(Q132*S132,0)</f>
        <v>39</v>
      </c>
      <c r="N132" s="21" t="n">
        <f aca="false">ROUND(SQRT((F132*J132/100)^2+(G132*M132)^2),0)</f>
        <v>32</v>
      </c>
      <c r="P132" s="41" t="n">
        <v>12.2693138702837</v>
      </c>
      <c r="Q132" s="42" t="n">
        <v>640</v>
      </c>
      <c r="R132" s="43" t="n">
        <f aca="false">MAX(0,MIN(1,P132/100+$D$5))</f>
        <v>0.658449500940636</v>
      </c>
      <c r="S132" s="43" t="n">
        <v>0.0610405690258335</v>
      </c>
      <c r="T132" s="44" t="s">
        <v>90</v>
      </c>
    </row>
    <row r="133" customFormat="false" ht="15" hidden="false" customHeight="false" outlineLevel="0" collapsed="false">
      <c r="A133" s="38" t="s">
        <v>156</v>
      </c>
      <c r="B133" s="38" t="s">
        <v>219</v>
      </c>
      <c r="C133" s="38" t="s">
        <v>231</v>
      </c>
      <c r="D133" s="21" t="n">
        <f aca="false">ROUND(Q133*R133,0)</f>
        <v>447</v>
      </c>
      <c r="E133" s="21" t="n">
        <f aca="false">ROUND(Q133,0)-D133</f>
        <v>249</v>
      </c>
      <c r="F133" s="21" t="n">
        <f aca="false">IF(COUNTA(D133:E133)=0,"",SUM(D133:E133))</f>
        <v>696</v>
      </c>
      <c r="G133" s="39" t="n">
        <f aca="false">IF(OR(F133="",F133=0),"",D133/F133)</f>
        <v>0.642241379310345</v>
      </c>
      <c r="H133" s="39" t="n">
        <f aca="false">IF(OR(F133="",F133=0),"",E133/F133)</f>
        <v>0.357758620689655</v>
      </c>
      <c r="I133" s="38" t="s">
        <v>89</v>
      </c>
      <c r="J133" s="40" t="n">
        <v>2.87480042420966</v>
      </c>
      <c r="K133" s="39" t="n">
        <f aca="false">IF(G133="","",MAX(0,G133-J133/100))</f>
        <v>0.613493375068248</v>
      </c>
      <c r="L133" s="39" t="n">
        <f aca="false">IF(G133="","",MIN(1,G133+J133/100))</f>
        <v>0.670989383552441</v>
      </c>
      <c r="M133" s="21" t="n">
        <f aca="false">ROUND(Q133*S133,0)</f>
        <v>42</v>
      </c>
      <c r="N133" s="21" t="n">
        <f aca="false">ROUND(SQRT((F133*J133/100)^2+(G133*M133)^2),0)</f>
        <v>34</v>
      </c>
      <c r="P133" s="41" t="n">
        <v>10.6461976121617</v>
      </c>
      <c r="Q133" s="42" t="n">
        <v>696</v>
      </c>
      <c r="R133" s="43" t="n">
        <f aca="false">MAX(0,MIN(1,P133/100+$D$5))</f>
        <v>0.642218338359416</v>
      </c>
      <c r="S133" s="43" t="n">
        <v>0.0610405690258335</v>
      </c>
      <c r="T133" s="44" t="s">
        <v>90</v>
      </c>
    </row>
    <row r="134" customFormat="false" ht="15" hidden="false" customHeight="false" outlineLevel="0" collapsed="false">
      <c r="A134" s="38" t="s">
        <v>156</v>
      </c>
      <c r="B134" s="38" t="s">
        <v>232</v>
      </c>
      <c r="C134" s="38" t="s">
        <v>233</v>
      </c>
      <c r="D134" s="21" t="n">
        <f aca="false">ROUND(Q134*R134,0)</f>
        <v>402</v>
      </c>
      <c r="E134" s="21" t="n">
        <f aca="false">ROUND(Q134,0)-D134</f>
        <v>271</v>
      </c>
      <c r="F134" s="21" t="n">
        <f aca="false">IF(COUNTA(D134:E134)=0,"",SUM(D134:E134))</f>
        <v>673</v>
      </c>
      <c r="G134" s="39" t="n">
        <f aca="false">IF(OR(F134="",F134=0),"",D134/F134)</f>
        <v>0.597325408618128</v>
      </c>
      <c r="H134" s="39" t="n">
        <f aca="false">IF(OR(F134="",F134=0),"",E134/F134)</f>
        <v>0.402674591381872</v>
      </c>
      <c r="I134" s="38" t="s">
        <v>89</v>
      </c>
      <c r="J134" s="40" t="n">
        <v>2.87480042420966</v>
      </c>
      <c r="K134" s="39" t="n">
        <f aca="false">IF(G134="","",MAX(0,G134-J134/100))</f>
        <v>0.568577404376031</v>
      </c>
      <c r="L134" s="39" t="n">
        <f aca="false">IF(G134="","",MIN(1,G134+J134/100))</f>
        <v>0.626073412860224</v>
      </c>
      <c r="M134" s="21" t="n">
        <f aca="false">ROUND(Q134*S134,0)</f>
        <v>41</v>
      </c>
      <c r="N134" s="21" t="n">
        <f aca="false">ROUND(SQRT((F134*J134/100)^2+(G134*M134)^2),0)</f>
        <v>31</v>
      </c>
      <c r="P134" s="41" t="n">
        <v>6.17419248273405</v>
      </c>
      <c r="Q134" s="42" t="n">
        <v>673</v>
      </c>
      <c r="R134" s="43" t="n">
        <f aca="false">MAX(0,MIN(1,P134/100+$D$5))</f>
        <v>0.597498287065139</v>
      </c>
      <c r="S134" s="43" t="n">
        <v>0.0610405690258335</v>
      </c>
      <c r="T134" s="44" t="s">
        <v>90</v>
      </c>
    </row>
    <row r="135" customFormat="false" ht="15" hidden="false" customHeight="false" outlineLevel="0" collapsed="false">
      <c r="A135" s="38" t="s">
        <v>156</v>
      </c>
      <c r="B135" s="38" t="s">
        <v>232</v>
      </c>
      <c r="C135" s="38" t="s">
        <v>234</v>
      </c>
      <c r="D135" s="21" t="n">
        <f aca="false">ROUND(Q135*R135,0)</f>
        <v>362</v>
      </c>
      <c r="E135" s="21" t="n">
        <f aca="false">ROUND(Q135,0)-D135</f>
        <v>305</v>
      </c>
      <c r="F135" s="21" t="n">
        <f aca="false">IF(COUNTA(D135:E135)=0,"",SUM(D135:E135))</f>
        <v>667</v>
      </c>
      <c r="G135" s="39" t="n">
        <f aca="false">IF(OR(F135="",F135=0),"",D135/F135)</f>
        <v>0.542728635682159</v>
      </c>
      <c r="H135" s="39" t="n">
        <f aca="false">IF(OR(F135="",F135=0),"",E135/F135)</f>
        <v>0.457271364317841</v>
      </c>
      <c r="I135" s="38" t="s">
        <v>89</v>
      </c>
      <c r="J135" s="40" t="n">
        <v>2.87480042420966</v>
      </c>
      <c r="K135" s="39" t="n">
        <f aca="false">IF(G135="","",MAX(0,G135-J135/100))</f>
        <v>0.513980631440062</v>
      </c>
      <c r="L135" s="39" t="n">
        <f aca="false">IF(G135="","",MIN(1,G135+J135/100))</f>
        <v>0.571476639924256</v>
      </c>
      <c r="M135" s="21" t="n">
        <f aca="false">ROUND(Q135*S135,0)</f>
        <v>41</v>
      </c>
      <c r="N135" s="21" t="n">
        <f aca="false">ROUND(SQRT((F135*J135/100)^2+(G135*M135)^2),0)</f>
        <v>29</v>
      </c>
      <c r="P135" s="41" t="n">
        <v>0.63715645309626</v>
      </c>
      <c r="Q135" s="42" t="n">
        <v>667</v>
      </c>
      <c r="R135" s="43" t="n">
        <f aca="false">MAX(0,MIN(1,P135/100+$D$5))</f>
        <v>0.542127926768761</v>
      </c>
      <c r="S135" s="43" t="n">
        <v>0.0610405690258335</v>
      </c>
      <c r="T135" s="44" t="s">
        <v>90</v>
      </c>
    </row>
    <row r="136" customFormat="false" ht="15" hidden="false" customHeight="false" outlineLevel="0" collapsed="false">
      <c r="A136" s="38" t="s">
        <v>156</v>
      </c>
      <c r="B136" s="38" t="s">
        <v>232</v>
      </c>
      <c r="C136" s="38" t="s">
        <v>235</v>
      </c>
      <c r="D136" s="21" t="n">
        <f aca="false">ROUND(Q136*R136,0)</f>
        <v>424</v>
      </c>
      <c r="E136" s="21" t="n">
        <f aca="false">ROUND(Q136,0)-D136</f>
        <v>346</v>
      </c>
      <c r="F136" s="21" t="n">
        <f aca="false">IF(COUNTA(D136:E136)=0,"",SUM(D136:E136))</f>
        <v>770</v>
      </c>
      <c r="G136" s="39" t="n">
        <f aca="false">IF(OR(F136="",F136=0),"",D136/F136)</f>
        <v>0.550649350649351</v>
      </c>
      <c r="H136" s="39" t="n">
        <f aca="false">IF(OR(F136="",F136=0),"",E136/F136)</f>
        <v>0.449350649350649</v>
      </c>
      <c r="I136" s="38" t="s">
        <v>89</v>
      </c>
      <c r="J136" s="40" t="n">
        <v>2.87480042420966</v>
      </c>
      <c r="K136" s="39" t="n">
        <f aca="false">IF(G136="","",MAX(0,G136-J136/100))</f>
        <v>0.521901346407254</v>
      </c>
      <c r="L136" s="39" t="n">
        <f aca="false">IF(G136="","",MIN(1,G136+J136/100))</f>
        <v>0.579397354891447</v>
      </c>
      <c r="M136" s="21" t="n">
        <f aca="false">ROUND(Q136*S136,0)</f>
        <v>47</v>
      </c>
      <c r="N136" s="21" t="n">
        <f aca="false">ROUND(SQRT((F136*J136/100)^2+(G136*M136)^2),0)</f>
        <v>34</v>
      </c>
      <c r="P136" s="41" t="n">
        <v>1.4534023906659</v>
      </c>
      <c r="Q136" s="42" t="n">
        <v>770</v>
      </c>
      <c r="R136" s="43" t="n">
        <f aca="false">MAX(0,MIN(1,P136/100+$D$5))</f>
        <v>0.550290386144458</v>
      </c>
      <c r="S136" s="43" t="n">
        <v>0.0610405690258335</v>
      </c>
      <c r="T136" s="44" t="s">
        <v>90</v>
      </c>
    </row>
    <row r="137" customFormat="false" ht="15" hidden="false" customHeight="false" outlineLevel="0" collapsed="false">
      <c r="A137" s="38" t="s">
        <v>156</v>
      </c>
      <c r="B137" s="38" t="s">
        <v>236</v>
      </c>
      <c r="C137" s="38" t="s">
        <v>236</v>
      </c>
      <c r="D137" s="21" t="n">
        <f aca="false">ROUND(Q137*R137,0)</f>
        <v>648</v>
      </c>
      <c r="E137" s="21" t="n">
        <f aca="false">ROUND(Q137,0)-D137</f>
        <v>571</v>
      </c>
      <c r="F137" s="21" t="n">
        <f aca="false">IF(COUNTA(D137:E137)=0,"",SUM(D137:E137))</f>
        <v>1219</v>
      </c>
      <c r="G137" s="39" t="n">
        <f aca="false">IF(OR(F137="",F137=0),"",D137/F137)</f>
        <v>0.531583264971288</v>
      </c>
      <c r="H137" s="39" t="n">
        <f aca="false">IF(OR(F137="",F137=0),"",E137/F137)</f>
        <v>0.468416735028712</v>
      </c>
      <c r="I137" s="38" t="s">
        <v>89</v>
      </c>
      <c r="J137" s="40" t="n">
        <v>1.87117215961084</v>
      </c>
      <c r="K137" s="39" t="n">
        <f aca="false">IF(G137="","",MAX(0,G137-J137/100))</f>
        <v>0.51287154337518</v>
      </c>
      <c r="L137" s="39" t="n">
        <f aca="false">IF(G137="","",MIN(1,G137+J137/100))</f>
        <v>0.550294986567396</v>
      </c>
      <c r="M137" s="21" t="n">
        <f aca="false">ROUND(Q137*S137,0)</f>
        <v>159</v>
      </c>
      <c r="N137" s="21" t="n">
        <f aca="false">ROUND(SQRT((F137*J137/100)^2+(G137*M137)^2),0)</f>
        <v>88</v>
      </c>
      <c r="P137" s="41" t="n">
        <v>-0.379691164379235</v>
      </c>
      <c r="Q137" s="42" t="n">
        <v>1219</v>
      </c>
      <c r="R137" s="43" t="n">
        <f aca="false">MAX(0,MIN(1,P137/100+$D$5))</f>
        <v>0.531959450594006</v>
      </c>
      <c r="S137" s="43" t="n">
        <v>0.130204099606216</v>
      </c>
      <c r="T137" s="44" t="s">
        <v>192</v>
      </c>
    </row>
    <row r="138" customFormat="false" ht="15" hidden="false" customHeight="false" outlineLevel="0" collapsed="false">
      <c r="A138" s="38" t="s">
        <v>156</v>
      </c>
      <c r="B138" s="38" t="s">
        <v>237</v>
      </c>
      <c r="C138" s="38" t="s">
        <v>238</v>
      </c>
      <c r="D138" s="21" t="n">
        <f aca="false">ROUND(Q138*R138,0)</f>
        <v>306</v>
      </c>
      <c r="E138" s="21" t="n">
        <f aca="false">ROUND(Q138,0)-D138</f>
        <v>244</v>
      </c>
      <c r="F138" s="21" t="n">
        <f aca="false">IF(COUNTA(D138:E138)=0,"",SUM(D138:E138))</f>
        <v>550</v>
      </c>
      <c r="G138" s="39" t="n">
        <f aca="false">IF(OR(F138="",F138=0),"",D138/F138)</f>
        <v>0.556363636363636</v>
      </c>
      <c r="H138" s="39" t="n">
        <f aca="false">IF(OR(F138="",F138=0),"",E138/F138)</f>
        <v>0.443636363636364</v>
      </c>
      <c r="I138" s="38" t="s">
        <v>89</v>
      </c>
      <c r="J138" s="40" t="n">
        <v>2.87480042420966</v>
      </c>
      <c r="K138" s="39" t="n">
        <f aca="false">IF(G138="","",MAX(0,G138-J138/100))</f>
        <v>0.52761563212154</v>
      </c>
      <c r="L138" s="39" t="n">
        <f aca="false">IF(G138="","",MIN(1,G138+J138/100))</f>
        <v>0.585111640605733</v>
      </c>
      <c r="M138" s="21" t="n">
        <f aca="false">ROUND(Q138*S138,0)</f>
        <v>34</v>
      </c>
      <c r="N138" s="21" t="n">
        <f aca="false">ROUND(SQRT((F138*J138/100)^2+(G138*M138)^2),0)</f>
        <v>25</v>
      </c>
      <c r="P138" s="41" t="n">
        <v>2.02707010272516</v>
      </c>
      <c r="Q138" s="42" t="n">
        <v>550</v>
      </c>
      <c r="R138" s="43" t="n">
        <f aca="false">MAX(0,MIN(1,P138/100+$D$5))</f>
        <v>0.55602706326505</v>
      </c>
      <c r="S138" s="43" t="n">
        <v>0.0610405690258335</v>
      </c>
      <c r="T138" s="44" t="s">
        <v>90</v>
      </c>
    </row>
    <row r="139" customFormat="false" ht="15" hidden="false" customHeight="false" outlineLevel="0" collapsed="false">
      <c r="A139" s="38" t="s">
        <v>156</v>
      </c>
      <c r="B139" s="38" t="s">
        <v>237</v>
      </c>
      <c r="C139" s="38" t="s">
        <v>239</v>
      </c>
      <c r="D139" s="21" t="n">
        <f aca="false">ROUND(Q139*R139,0)</f>
        <v>421</v>
      </c>
      <c r="E139" s="21" t="n">
        <f aca="false">ROUND(Q139,0)-D139</f>
        <v>326</v>
      </c>
      <c r="F139" s="21" t="n">
        <f aca="false">IF(COUNTA(D139:E139)=0,"",SUM(D139:E139))</f>
        <v>747</v>
      </c>
      <c r="G139" s="39" t="n">
        <f aca="false">IF(OR(F139="",F139=0),"",D139/F139)</f>
        <v>0.563587684069612</v>
      </c>
      <c r="H139" s="39" t="n">
        <f aca="false">IF(OR(F139="",F139=0),"",E139/F139)</f>
        <v>0.436412315930388</v>
      </c>
      <c r="I139" s="38" t="s">
        <v>89</v>
      </c>
      <c r="J139" s="40" t="n">
        <v>2.87480042420966</v>
      </c>
      <c r="K139" s="39" t="n">
        <f aca="false">IF(G139="","",MAX(0,G139-J139/100))</f>
        <v>0.534839679827515</v>
      </c>
      <c r="L139" s="39" t="n">
        <f aca="false">IF(G139="","",MIN(1,G139+J139/100))</f>
        <v>0.592335688311708</v>
      </c>
      <c r="M139" s="21" t="n">
        <f aca="false">ROUND(Q139*S139,0)</f>
        <v>46</v>
      </c>
      <c r="N139" s="21" t="n">
        <f aca="false">ROUND(SQRT((F139*J139/100)^2+(G139*M139)^2),0)</f>
        <v>34</v>
      </c>
      <c r="P139" s="41" t="n">
        <v>2.72290801597577</v>
      </c>
      <c r="Q139" s="42" t="n">
        <v>747</v>
      </c>
      <c r="R139" s="43" t="n">
        <f aca="false">MAX(0,MIN(1,P139/100+$D$5))</f>
        <v>0.562985442397556</v>
      </c>
      <c r="S139" s="43" t="n">
        <v>0.0610405690258335</v>
      </c>
      <c r="T139" s="44" t="s">
        <v>90</v>
      </c>
    </row>
    <row r="140" customFormat="false" ht="15" hidden="false" customHeight="false" outlineLevel="0" collapsed="false">
      <c r="A140" s="38" t="s">
        <v>156</v>
      </c>
      <c r="B140" s="38" t="s">
        <v>240</v>
      </c>
      <c r="C140" s="38" t="s">
        <v>241</v>
      </c>
      <c r="D140" s="21" t="n">
        <f aca="false">ROUND(Q140*R140,0)</f>
        <v>473</v>
      </c>
      <c r="E140" s="21" t="n">
        <f aca="false">ROUND(Q140,0)-D140</f>
        <v>345</v>
      </c>
      <c r="F140" s="21" t="n">
        <f aca="false">IF(COUNTA(D140:E140)=0,"",SUM(D140:E140))</f>
        <v>818</v>
      </c>
      <c r="G140" s="39" t="n">
        <f aca="false">IF(OR(F140="",F140=0),"",D140/F140)</f>
        <v>0.578239608801956</v>
      </c>
      <c r="H140" s="39" t="n">
        <f aca="false">IF(OR(F140="",F140=0),"",E140/F140)</f>
        <v>0.421760391198044</v>
      </c>
      <c r="I140" s="38" t="s">
        <v>89</v>
      </c>
      <c r="J140" s="40" t="n">
        <v>1.92472098334064</v>
      </c>
      <c r="K140" s="39" t="n">
        <f aca="false">IF(G140="","",MAX(0,G140-J140/100))</f>
        <v>0.55899239896855</v>
      </c>
      <c r="L140" s="39" t="n">
        <f aca="false">IF(G140="","",MIN(1,G140+J140/100))</f>
        <v>0.597486818635362</v>
      </c>
      <c r="M140" s="21" t="n">
        <f aca="false">ROUND(Q140*S140,0)</f>
        <v>41</v>
      </c>
      <c r="N140" s="21" t="n">
        <f aca="false">ROUND(SQRT((F140*J140/100)^2+(G140*M140)^2),0)</f>
        <v>28</v>
      </c>
      <c r="P140" s="41" t="n">
        <v>4.26816878941961</v>
      </c>
      <c r="Q140" s="42" t="n">
        <v>818</v>
      </c>
      <c r="R140" s="43" t="n">
        <f aca="false">MAX(0,MIN(1,P140/100+$D$5))</f>
        <v>0.578438050131995</v>
      </c>
      <c r="S140" s="43" t="n">
        <v>0.0500321312575726</v>
      </c>
      <c r="T140" s="44" t="s">
        <v>99</v>
      </c>
    </row>
    <row r="141" customFormat="false" ht="15" hidden="false" customHeight="false" outlineLevel="0" collapsed="false">
      <c r="A141" s="38" t="s">
        <v>156</v>
      </c>
      <c r="B141" s="38" t="s">
        <v>240</v>
      </c>
      <c r="C141" s="38" t="s">
        <v>242</v>
      </c>
      <c r="D141" s="21" t="n">
        <f aca="false">ROUND(Q141*R141,0)</f>
        <v>457</v>
      </c>
      <c r="E141" s="21" t="n">
        <f aca="false">ROUND(Q141,0)-D141</f>
        <v>348</v>
      </c>
      <c r="F141" s="21" t="n">
        <f aca="false">IF(COUNTA(D141:E141)=0,"",SUM(D141:E141))</f>
        <v>805</v>
      </c>
      <c r="G141" s="39" t="n">
        <f aca="false">IF(OR(F141="",F141=0),"",D141/F141)</f>
        <v>0.567701863354037</v>
      </c>
      <c r="H141" s="39" t="n">
        <f aca="false">IF(OR(F141="",F141=0),"",E141/F141)</f>
        <v>0.432298136645963</v>
      </c>
      <c r="I141" s="38" t="s">
        <v>89</v>
      </c>
      <c r="J141" s="40" t="n">
        <v>1.92472098334064</v>
      </c>
      <c r="K141" s="39" t="n">
        <f aca="false">IF(G141="","",MAX(0,G141-J141/100))</f>
        <v>0.548454653520631</v>
      </c>
      <c r="L141" s="39" t="n">
        <f aca="false">IF(G141="","",MIN(1,G141+J141/100))</f>
        <v>0.586949073187444</v>
      </c>
      <c r="M141" s="21" t="n">
        <f aca="false">ROUND(Q141*S141,0)</f>
        <v>40</v>
      </c>
      <c r="N141" s="21" t="n">
        <f aca="false">ROUND(SQRT((F141*J141/100)^2+(G141*M141)^2),0)</f>
        <v>27</v>
      </c>
      <c r="P141" s="41" t="n">
        <v>3.15714236958959</v>
      </c>
      <c r="Q141" s="42" t="n">
        <v>805</v>
      </c>
      <c r="R141" s="43" t="n">
        <f aca="false">MAX(0,MIN(1,P141/100+$D$5))</f>
        <v>0.567327785933695</v>
      </c>
      <c r="S141" s="43" t="n">
        <v>0.0500321312575726</v>
      </c>
      <c r="T141" s="44" t="s">
        <v>99</v>
      </c>
    </row>
    <row r="142" customFormat="false" ht="15" hidden="false" customHeight="false" outlineLevel="0" collapsed="false">
      <c r="A142" s="38" t="s">
        <v>156</v>
      </c>
      <c r="B142" s="38" t="s">
        <v>240</v>
      </c>
      <c r="C142" s="38" t="s">
        <v>243</v>
      </c>
      <c r="D142" s="21" t="n">
        <f aca="false">ROUND(Q142*R142,0)</f>
        <v>564</v>
      </c>
      <c r="E142" s="21" t="n">
        <f aca="false">ROUND(Q142,0)-D142</f>
        <v>458</v>
      </c>
      <c r="F142" s="21" t="n">
        <f aca="false">IF(COUNTA(D142:E142)=0,"",SUM(D142:E142))</f>
        <v>1022</v>
      </c>
      <c r="G142" s="39" t="n">
        <f aca="false">IF(OR(F142="",F142=0),"",D142/F142)</f>
        <v>0.551859099804305</v>
      </c>
      <c r="H142" s="39" t="n">
        <f aca="false">IF(OR(F142="",F142=0),"",E142/F142)</f>
        <v>0.448140900195695</v>
      </c>
      <c r="I142" s="38" t="s">
        <v>89</v>
      </c>
      <c r="J142" s="40" t="n">
        <v>1.92472098334064</v>
      </c>
      <c r="K142" s="39" t="n">
        <f aca="false">IF(G142="","",MAX(0,G142-J142/100))</f>
        <v>0.532611889970899</v>
      </c>
      <c r="L142" s="39" t="n">
        <f aca="false">IF(G142="","",MIN(1,G142+J142/100))</f>
        <v>0.571106309637712</v>
      </c>
      <c r="M142" s="21" t="n">
        <f aca="false">ROUND(Q142*S142,0)</f>
        <v>51</v>
      </c>
      <c r="N142" s="21" t="n">
        <f aca="false">ROUND(SQRT((F142*J142/100)^2+(G142*M142)^2),0)</f>
        <v>34</v>
      </c>
      <c r="P142" s="41" t="n">
        <v>1.64687832698689</v>
      </c>
      <c r="Q142" s="42" t="n">
        <v>1022</v>
      </c>
      <c r="R142" s="43" t="n">
        <f aca="false">MAX(0,MIN(1,P142/100+$D$5))</f>
        <v>0.552225145507668</v>
      </c>
      <c r="S142" s="43" t="n">
        <v>0.0500321312575726</v>
      </c>
      <c r="T142" s="44" t="s">
        <v>99</v>
      </c>
    </row>
    <row r="143" customFormat="false" ht="15" hidden="false" customHeight="false" outlineLevel="0" collapsed="false">
      <c r="A143" s="38" t="s">
        <v>156</v>
      </c>
      <c r="B143" s="38" t="s">
        <v>240</v>
      </c>
      <c r="C143" s="38" t="s">
        <v>244</v>
      </c>
      <c r="D143" s="21" t="n">
        <f aca="false">ROUND(Q143*R143,0)</f>
        <v>522</v>
      </c>
      <c r="E143" s="21" t="n">
        <f aca="false">ROUND(Q143,0)-D143</f>
        <v>357</v>
      </c>
      <c r="F143" s="21" t="n">
        <f aca="false">IF(COUNTA(D143:E143)=0,"",SUM(D143:E143))</f>
        <v>879</v>
      </c>
      <c r="G143" s="39" t="n">
        <f aca="false">IF(OR(F143="",F143=0),"",D143/F143)</f>
        <v>0.593856655290102</v>
      </c>
      <c r="H143" s="39" t="n">
        <f aca="false">IF(OR(F143="",F143=0),"",E143/F143)</f>
        <v>0.406143344709898</v>
      </c>
      <c r="I143" s="38" t="s">
        <v>89</v>
      </c>
      <c r="J143" s="40" t="n">
        <v>1.92472098334064</v>
      </c>
      <c r="K143" s="39" t="n">
        <f aca="false">IF(G143="","",MAX(0,G143-J143/100))</f>
        <v>0.574609445456696</v>
      </c>
      <c r="L143" s="39" t="n">
        <f aca="false">IF(G143="","",MIN(1,G143+J143/100))</f>
        <v>0.613103865123509</v>
      </c>
      <c r="M143" s="21" t="n">
        <f aca="false">ROUND(Q143*S143,0)</f>
        <v>44</v>
      </c>
      <c r="N143" s="21" t="n">
        <f aca="false">ROUND(SQRT((F143*J143/100)^2+(G143*M143)^2),0)</f>
        <v>31</v>
      </c>
      <c r="P143" s="41" t="n">
        <v>5.85855261957298</v>
      </c>
      <c r="Q143" s="42" t="n">
        <v>879</v>
      </c>
      <c r="R143" s="43" t="n">
        <f aca="false">MAX(0,MIN(1,P143/100+$D$5))</f>
        <v>0.594341888433529</v>
      </c>
      <c r="S143" s="43" t="n">
        <v>0.0500321312575726</v>
      </c>
      <c r="T143" s="44" t="s">
        <v>99</v>
      </c>
    </row>
    <row r="144" customFormat="false" ht="15" hidden="false" customHeight="false" outlineLevel="0" collapsed="false">
      <c r="A144" s="38" t="s">
        <v>156</v>
      </c>
      <c r="B144" s="38" t="s">
        <v>240</v>
      </c>
      <c r="C144" s="38" t="s">
        <v>245</v>
      </c>
      <c r="D144" s="21" t="n">
        <f aca="false">ROUND(Q144*R144,0)</f>
        <v>302</v>
      </c>
      <c r="E144" s="21" t="n">
        <f aca="false">ROUND(Q144,0)-D144</f>
        <v>252</v>
      </c>
      <c r="F144" s="21" t="n">
        <f aca="false">IF(COUNTA(D144:E144)=0,"",SUM(D144:E144))</f>
        <v>554</v>
      </c>
      <c r="G144" s="39" t="n">
        <f aca="false">IF(OR(F144="",F144=0),"",D144/F144)</f>
        <v>0.545126353790614</v>
      </c>
      <c r="H144" s="39" t="n">
        <f aca="false">IF(OR(F144="",F144=0),"",E144/F144)</f>
        <v>0.454873646209386</v>
      </c>
      <c r="I144" s="38" t="s">
        <v>89</v>
      </c>
      <c r="J144" s="40" t="n">
        <v>2.87480042420966</v>
      </c>
      <c r="K144" s="39" t="n">
        <f aca="false">IF(G144="","",MAX(0,G144-J144/100))</f>
        <v>0.516378349548517</v>
      </c>
      <c r="L144" s="39" t="n">
        <f aca="false">IF(G144="","",MIN(1,G144+J144/100))</f>
        <v>0.57387435803271</v>
      </c>
      <c r="M144" s="21" t="n">
        <f aca="false">ROUND(Q144*S144,0)</f>
        <v>34</v>
      </c>
      <c r="N144" s="21" t="n">
        <f aca="false">ROUND(SQRT((F144*J144/100)^2+(G144*M144)^2),0)</f>
        <v>24</v>
      </c>
      <c r="P144" s="41" t="n">
        <v>0.898977126484512</v>
      </c>
      <c r="Q144" s="42" t="n">
        <v>554</v>
      </c>
      <c r="R144" s="43" t="n">
        <f aca="false">MAX(0,MIN(1,P144/100+$D$5))</f>
        <v>0.544746133502644</v>
      </c>
      <c r="S144" s="43" t="n">
        <v>0.0610405690258335</v>
      </c>
      <c r="T144" s="44" t="s">
        <v>90</v>
      </c>
    </row>
    <row r="145" customFormat="false" ht="15" hidden="false" customHeight="false" outlineLevel="0" collapsed="false">
      <c r="A145" s="38" t="s">
        <v>156</v>
      </c>
      <c r="B145" s="38" t="s">
        <v>240</v>
      </c>
      <c r="C145" s="38" t="s">
        <v>246</v>
      </c>
      <c r="D145" s="21" t="n">
        <f aca="false">ROUND(Q145*R145,0)</f>
        <v>603</v>
      </c>
      <c r="E145" s="21" t="n">
        <f aca="false">ROUND(Q145,0)-D145</f>
        <v>403</v>
      </c>
      <c r="F145" s="21" t="n">
        <f aca="false">IF(COUNTA(D145:E145)=0,"",SUM(D145:E145))</f>
        <v>1006</v>
      </c>
      <c r="G145" s="39" t="n">
        <f aca="false">IF(OR(F145="",F145=0),"",D145/F145)</f>
        <v>0.599403578528827</v>
      </c>
      <c r="H145" s="39" t="n">
        <f aca="false">IF(OR(F145="",F145=0),"",E145/F145)</f>
        <v>0.400596421471173</v>
      </c>
      <c r="I145" s="38" t="s">
        <v>89</v>
      </c>
      <c r="J145" s="40" t="n">
        <v>1.92472098334064</v>
      </c>
      <c r="K145" s="39" t="n">
        <f aca="false">IF(G145="","",MAX(0,G145-J145/100))</f>
        <v>0.580156368695421</v>
      </c>
      <c r="L145" s="39" t="n">
        <f aca="false">IF(G145="","",MIN(1,G145+J145/100))</f>
        <v>0.618650788362233</v>
      </c>
      <c r="M145" s="21" t="n">
        <f aca="false">ROUND(Q145*S145,0)</f>
        <v>50</v>
      </c>
      <c r="N145" s="21" t="n">
        <f aca="false">ROUND(SQRT((F145*J145/100)^2+(G145*M145)^2),0)</f>
        <v>36</v>
      </c>
      <c r="P145" s="41" t="n">
        <v>6.35722229103721</v>
      </c>
      <c r="Q145" s="42" t="n">
        <v>1006</v>
      </c>
      <c r="R145" s="43" t="n">
        <f aca="false">MAX(0,MIN(1,P145/100+$D$5))</f>
        <v>0.599328585148171</v>
      </c>
      <c r="S145" s="43" t="n">
        <v>0.0500321312575726</v>
      </c>
      <c r="T145" s="44" t="s">
        <v>99</v>
      </c>
    </row>
    <row r="146" customFormat="false" ht="15" hidden="false" customHeight="false" outlineLevel="0" collapsed="false">
      <c r="A146" s="38" t="s">
        <v>156</v>
      </c>
      <c r="B146" s="38" t="s">
        <v>247</v>
      </c>
      <c r="C146" s="38" t="s">
        <v>248</v>
      </c>
      <c r="D146" s="21" t="n">
        <f aca="false">ROUND(Q146*R146,0)</f>
        <v>409</v>
      </c>
      <c r="E146" s="21" t="n">
        <f aca="false">ROUND(Q146,0)-D146</f>
        <v>162</v>
      </c>
      <c r="F146" s="21" t="n">
        <f aca="false">IF(COUNTA(D146:E146)=0,"",SUM(D146:E146))</f>
        <v>571</v>
      </c>
      <c r="G146" s="39" t="n">
        <f aca="false">IF(OR(F146="",F146=0),"",D146/F146)</f>
        <v>0.716287215411559</v>
      </c>
      <c r="H146" s="39" t="n">
        <f aca="false">IF(OR(F146="",F146=0),"",E146/F146)</f>
        <v>0.283712784588441</v>
      </c>
      <c r="I146" s="38" t="s">
        <v>89</v>
      </c>
      <c r="J146" s="40" t="n">
        <v>2.87480042420966</v>
      </c>
      <c r="K146" s="39" t="n">
        <f aca="false">IF(G146="","",MAX(0,G146-J146/100))</f>
        <v>0.687539211169462</v>
      </c>
      <c r="L146" s="39" t="n">
        <f aca="false">IF(G146="","",MIN(1,G146+J146/100))</f>
        <v>0.745035219653655</v>
      </c>
      <c r="M146" s="21" t="n">
        <f aca="false">ROUND(Q146*S146,0)</f>
        <v>35</v>
      </c>
      <c r="N146" s="21" t="n">
        <f aca="false">ROUND(SQRT((F146*J146/100)^2+(G146*M146)^2),0)</f>
        <v>30</v>
      </c>
      <c r="P146" s="41" t="n">
        <v>18.043824779595</v>
      </c>
      <c r="Q146" s="42" t="n">
        <v>571</v>
      </c>
      <c r="R146" s="43" t="n">
        <f aca="false">MAX(0,MIN(1,P146/100+$D$5))</f>
        <v>0.716194610033749</v>
      </c>
      <c r="S146" s="43" t="n">
        <v>0.0610405690258335</v>
      </c>
      <c r="T146" s="44" t="s">
        <v>90</v>
      </c>
    </row>
    <row r="147" customFormat="false" ht="15" hidden="false" customHeight="false" outlineLevel="0" collapsed="false">
      <c r="A147" s="38" t="s">
        <v>156</v>
      </c>
      <c r="B147" s="38" t="s">
        <v>247</v>
      </c>
      <c r="C147" s="38" t="s">
        <v>249</v>
      </c>
      <c r="D147" s="21" t="n">
        <f aca="false">ROUND(Q147*R147,0)</f>
        <v>319</v>
      </c>
      <c r="E147" s="21" t="n">
        <f aca="false">ROUND(Q147,0)-D147</f>
        <v>153</v>
      </c>
      <c r="F147" s="21" t="n">
        <f aca="false">IF(COUNTA(D147:E147)=0,"",SUM(D147:E147))</f>
        <v>472</v>
      </c>
      <c r="G147" s="39" t="n">
        <f aca="false">IF(OR(F147="",F147=0),"",D147/F147)</f>
        <v>0.675847457627119</v>
      </c>
      <c r="H147" s="39" t="n">
        <f aca="false">IF(OR(F147="",F147=0),"",E147/F147)</f>
        <v>0.324152542372881</v>
      </c>
      <c r="I147" s="38" t="s">
        <v>89</v>
      </c>
      <c r="J147" s="40" t="n">
        <v>2.87480042420966</v>
      </c>
      <c r="K147" s="39" t="n">
        <f aca="false">IF(G147="","",MAX(0,G147-J147/100))</f>
        <v>0.647099453385022</v>
      </c>
      <c r="L147" s="39" t="n">
        <f aca="false">IF(G147="","",MIN(1,G147+J147/100))</f>
        <v>0.704595461869215</v>
      </c>
      <c r="M147" s="21" t="n">
        <f aca="false">ROUND(Q147*S147,0)</f>
        <v>29</v>
      </c>
      <c r="N147" s="21" t="n">
        <f aca="false">ROUND(SQRT((F147*J147/100)^2+(G147*M147)^2),0)</f>
        <v>24</v>
      </c>
      <c r="P147" s="41" t="n">
        <v>14.0984113365219</v>
      </c>
      <c r="Q147" s="42" t="n">
        <v>472</v>
      </c>
      <c r="R147" s="43" t="n">
        <f aca="false">MAX(0,MIN(1,P147/100+$D$5))</f>
        <v>0.676740475603018</v>
      </c>
      <c r="S147" s="43" t="n">
        <v>0.0610405690258335</v>
      </c>
      <c r="T147" s="44" t="s">
        <v>90</v>
      </c>
    </row>
    <row r="148" customFormat="false" ht="15" hidden="false" customHeight="false" outlineLevel="0" collapsed="false">
      <c r="A148" s="38" t="s">
        <v>156</v>
      </c>
      <c r="B148" s="38" t="s">
        <v>247</v>
      </c>
      <c r="C148" s="38" t="s">
        <v>250</v>
      </c>
      <c r="D148" s="21" t="n">
        <f aca="false">ROUND(Q148*R148,0)</f>
        <v>347</v>
      </c>
      <c r="E148" s="21" t="n">
        <f aca="false">ROUND(Q148,0)-D148</f>
        <v>159</v>
      </c>
      <c r="F148" s="21" t="n">
        <f aca="false">IF(COUNTA(D148:E148)=0,"",SUM(D148:E148))</f>
        <v>506</v>
      </c>
      <c r="G148" s="39" t="n">
        <f aca="false">IF(OR(F148="",F148=0),"",D148/F148)</f>
        <v>0.685770750988142</v>
      </c>
      <c r="H148" s="39" t="n">
        <f aca="false">IF(OR(F148="",F148=0),"",E148/F148)</f>
        <v>0.314229249011858</v>
      </c>
      <c r="I148" s="38" t="s">
        <v>89</v>
      </c>
      <c r="J148" s="40" t="n">
        <v>2.87480042420966</v>
      </c>
      <c r="K148" s="39" t="n">
        <f aca="false">IF(G148="","",MAX(0,G148-J148/100))</f>
        <v>0.657022746746046</v>
      </c>
      <c r="L148" s="39" t="n">
        <f aca="false">IF(G148="","",MIN(1,G148+J148/100))</f>
        <v>0.714518755230239</v>
      </c>
      <c r="M148" s="21" t="n">
        <f aca="false">ROUND(Q148*S148,0)</f>
        <v>31</v>
      </c>
      <c r="N148" s="21" t="n">
        <f aca="false">ROUND(SQRT((F148*J148/100)^2+(G148*M148)^2),0)</f>
        <v>26</v>
      </c>
      <c r="P148" s="41" t="n">
        <v>14.9496502740209</v>
      </c>
      <c r="Q148" s="42" t="n">
        <v>506</v>
      </c>
      <c r="R148" s="43" t="n">
        <f aca="false">MAX(0,MIN(1,P148/100+$D$5))</f>
        <v>0.685252864978008</v>
      </c>
      <c r="S148" s="43" t="n">
        <v>0.0610405690258335</v>
      </c>
      <c r="T148" s="44" t="s">
        <v>90</v>
      </c>
    </row>
    <row r="149" customFormat="false" ht="15" hidden="false" customHeight="false" outlineLevel="0" collapsed="false">
      <c r="A149" s="38" t="s">
        <v>156</v>
      </c>
      <c r="B149" s="38" t="s">
        <v>251</v>
      </c>
      <c r="C149" s="38" t="s">
        <v>251</v>
      </c>
      <c r="D149" s="21" t="n">
        <f aca="false">ROUND(Q149*R149,0)</f>
        <v>276</v>
      </c>
      <c r="E149" s="21" t="n">
        <f aca="false">ROUND(Q149,0)-D149</f>
        <v>191</v>
      </c>
      <c r="F149" s="21" t="n">
        <f aca="false">IF(COUNTA(D149:E149)=0,"",SUM(D149:E149))</f>
        <v>467</v>
      </c>
      <c r="G149" s="39" t="n">
        <f aca="false">IF(OR(F149="",F149=0),"",D149/F149)</f>
        <v>0.591006423982869</v>
      </c>
      <c r="H149" s="39" t="n">
        <f aca="false">IF(OR(F149="",F149=0),"",E149/F149)</f>
        <v>0.408993576017131</v>
      </c>
      <c r="I149" s="38" t="s">
        <v>89</v>
      </c>
      <c r="J149" s="40" t="n">
        <v>2.87480042420966</v>
      </c>
      <c r="K149" s="39" t="n">
        <f aca="false">IF(G149="","",MAX(0,G149-J149/100))</f>
        <v>0.562258419740773</v>
      </c>
      <c r="L149" s="39" t="n">
        <f aca="false">IF(G149="","",MIN(1,G149+J149/100))</f>
        <v>0.619754428224966</v>
      </c>
      <c r="M149" s="21" t="n">
        <f aca="false">ROUND(Q149*S149,0)</f>
        <v>29</v>
      </c>
      <c r="N149" s="21" t="n">
        <f aca="false">ROUND(SQRT((F149*J149/100)^2+(G149*M149)^2),0)</f>
        <v>22</v>
      </c>
      <c r="P149" s="41" t="n">
        <v>5.52372187088252</v>
      </c>
      <c r="Q149" s="42" t="n">
        <v>467</v>
      </c>
      <c r="R149" s="43" t="n">
        <f aca="false">MAX(0,MIN(1,P149/100+$D$5))</f>
        <v>0.590993580946624</v>
      </c>
      <c r="S149" s="43" t="n">
        <v>0.0610405690258335</v>
      </c>
      <c r="T149" s="44" t="s">
        <v>90</v>
      </c>
    </row>
    <row r="150" customFormat="false" ht="15" hidden="false" customHeight="false" outlineLevel="0" collapsed="false">
      <c r="A150" s="38" t="s">
        <v>156</v>
      </c>
      <c r="B150" s="38" t="s">
        <v>252</v>
      </c>
      <c r="C150" s="38" t="s">
        <v>252</v>
      </c>
      <c r="D150" s="21" t="n">
        <f aca="false">ROUND(Q150*R150,0)</f>
        <v>551</v>
      </c>
      <c r="E150" s="21" t="n">
        <f aca="false">ROUND(Q150,0)-D150</f>
        <v>1049</v>
      </c>
      <c r="F150" s="21" t="n">
        <f aca="false">IF(COUNTA(D150:E150)=0,"",SUM(D150:E150))</f>
        <v>1600</v>
      </c>
      <c r="G150" s="39" t="n">
        <f aca="false">IF(OR(F150="",F150=0),"",D150/F150)</f>
        <v>0.344375</v>
      </c>
      <c r="H150" s="39" t="n">
        <f aca="false">IF(OR(F150="",F150=0),"",E150/F150)</f>
        <v>0.655625</v>
      </c>
      <c r="I150" s="38" t="s">
        <v>89</v>
      </c>
      <c r="J150" s="40" t="n">
        <v>1.87117215961084</v>
      </c>
      <c r="K150" s="39" t="n">
        <f aca="false">IF(G150="","",MAX(0,G150-J150/100))</f>
        <v>0.325663278403892</v>
      </c>
      <c r="L150" s="39" t="n">
        <f aca="false">IF(G150="","",MIN(1,G150+J150/100))</f>
        <v>0.363086721596108</v>
      </c>
      <c r="M150" s="21" t="n">
        <f aca="false">ROUND(Q150*S150,0)</f>
        <v>208</v>
      </c>
      <c r="N150" s="21" t="n">
        <f aca="false">ROUND(SQRT((F150*J150/100)^2+(G150*M150)^2),0)</f>
        <v>78</v>
      </c>
      <c r="P150" s="41" t="n">
        <v>-19.1503480312815</v>
      </c>
      <c r="Q150" s="42" t="n">
        <v>1600</v>
      </c>
      <c r="R150" s="43" t="n">
        <f aca="false">MAX(0,MIN(1,P150/100+$D$5))</f>
        <v>0.344252881924984</v>
      </c>
      <c r="S150" s="43" t="n">
        <v>0.130204099606216</v>
      </c>
      <c r="T150" s="44" t="s">
        <v>192</v>
      </c>
    </row>
    <row r="151" customFormat="false" ht="15" hidden="false" customHeight="false" outlineLevel="0" collapsed="false">
      <c r="A151" s="38" t="s">
        <v>156</v>
      </c>
      <c r="B151" s="38" t="s">
        <v>253</v>
      </c>
      <c r="C151" s="38" t="s">
        <v>254</v>
      </c>
      <c r="D151" s="21" t="n">
        <f aca="false">ROUND(Q151*R151,0)</f>
        <v>808</v>
      </c>
      <c r="E151" s="21" t="n">
        <f aca="false">ROUND(Q151,0)-D151</f>
        <v>701</v>
      </c>
      <c r="F151" s="21" t="n">
        <f aca="false">IF(COUNTA(D151:E151)=0,"",SUM(D151:E151))</f>
        <v>1509</v>
      </c>
      <c r="G151" s="39" t="n">
        <f aca="false">IF(OR(F151="",F151=0),"",D151/F151)</f>
        <v>0.535453943008615</v>
      </c>
      <c r="H151" s="39" t="n">
        <f aca="false">IF(OR(F151="",F151=0),"",E151/F151)</f>
        <v>0.464546056991385</v>
      </c>
      <c r="I151" s="38" t="s">
        <v>89</v>
      </c>
      <c r="J151" s="40" t="n">
        <v>1.87117215961084</v>
      </c>
      <c r="K151" s="39" t="n">
        <f aca="false">IF(G151="","",MAX(0,G151-J151/100))</f>
        <v>0.516742221412507</v>
      </c>
      <c r="L151" s="39" t="n">
        <f aca="false">IF(G151="","",MIN(1,G151+J151/100))</f>
        <v>0.554165664604723</v>
      </c>
      <c r="M151" s="21" t="n">
        <f aca="false">ROUND(Q151*S151,0)</f>
        <v>196</v>
      </c>
      <c r="N151" s="21" t="n">
        <f aca="false">ROUND(SQRT((F151*J151/100)^2+(G151*M151)^2),0)</f>
        <v>109</v>
      </c>
      <c r="P151" s="41" t="n">
        <v>-0.0527283564444731</v>
      </c>
      <c r="Q151" s="42" t="n">
        <v>1509</v>
      </c>
      <c r="R151" s="43" t="n">
        <f aca="false">MAX(0,MIN(1,P151/100+$D$5))</f>
        <v>0.535229078673354</v>
      </c>
      <c r="S151" s="43" t="n">
        <v>0.130204099606216</v>
      </c>
      <c r="T151" s="44" t="s">
        <v>192</v>
      </c>
    </row>
    <row r="152" customFormat="false" ht="15" hidden="false" customHeight="false" outlineLevel="0" collapsed="false">
      <c r="A152" s="38" t="s">
        <v>156</v>
      </c>
      <c r="B152" s="38" t="s">
        <v>253</v>
      </c>
      <c r="C152" s="38" t="s">
        <v>255</v>
      </c>
      <c r="D152" s="21" t="n">
        <f aca="false">ROUND(Q152*R152,0)</f>
        <v>913</v>
      </c>
      <c r="E152" s="21" t="n">
        <f aca="false">ROUND(Q152,0)-D152</f>
        <v>775</v>
      </c>
      <c r="F152" s="21" t="n">
        <f aca="false">IF(COUNTA(D152:E152)=0,"",SUM(D152:E152))</f>
        <v>1688</v>
      </c>
      <c r="G152" s="39" t="n">
        <f aca="false">IF(OR(F152="",F152=0),"",D152/F152)</f>
        <v>0.540876777251185</v>
      </c>
      <c r="H152" s="39" t="n">
        <f aca="false">IF(OR(F152="",F152=0),"",E152/F152)</f>
        <v>0.459123222748815</v>
      </c>
      <c r="I152" s="38" t="s">
        <v>89</v>
      </c>
      <c r="J152" s="40" t="n">
        <v>1.87117215961084</v>
      </c>
      <c r="K152" s="39" t="n">
        <f aca="false">IF(G152="","",MAX(0,G152-J152/100))</f>
        <v>0.522165055655076</v>
      </c>
      <c r="L152" s="39" t="n">
        <f aca="false">IF(G152="","",MIN(1,G152+J152/100))</f>
        <v>0.559588498847293</v>
      </c>
      <c r="M152" s="21" t="n">
        <f aca="false">ROUND(Q152*S152,0)</f>
        <v>220</v>
      </c>
      <c r="N152" s="21" t="n">
        <f aca="false">ROUND(SQRT((F152*J152/100)^2+(G152*M152)^2),0)</f>
        <v>123</v>
      </c>
      <c r="P152" s="41" t="n">
        <v>0.505242949534133</v>
      </c>
      <c r="Q152" s="42" t="n">
        <v>1688</v>
      </c>
      <c r="R152" s="43" t="n">
        <f aca="false">MAX(0,MIN(1,P152/100+$D$5))</f>
        <v>0.54080879173314</v>
      </c>
      <c r="S152" s="43" t="n">
        <v>0.130204099606216</v>
      </c>
      <c r="T152" s="44" t="s">
        <v>192</v>
      </c>
    </row>
    <row r="153" customFormat="false" ht="15" hidden="false" customHeight="false" outlineLevel="0" collapsed="false">
      <c r="A153" s="38" t="s">
        <v>156</v>
      </c>
      <c r="B153" s="38" t="s">
        <v>253</v>
      </c>
      <c r="C153" s="38" t="s">
        <v>256</v>
      </c>
      <c r="D153" s="21" t="n">
        <f aca="false">ROUND(Q153*R153,0)</f>
        <v>1587</v>
      </c>
      <c r="E153" s="21" t="n">
        <f aca="false">ROUND(Q153,0)-D153</f>
        <v>1361</v>
      </c>
      <c r="F153" s="21" t="n">
        <f aca="false">IF(COUNTA(D153:E153)=0,"",SUM(D153:E153))</f>
        <v>2948</v>
      </c>
      <c r="G153" s="39" t="n">
        <f aca="false">IF(OR(F153="",F153=0),"",D153/F153)</f>
        <v>0.538331071913161</v>
      </c>
      <c r="H153" s="39" t="n">
        <f aca="false">IF(OR(F153="",F153=0),"",E153/F153)</f>
        <v>0.461668928086839</v>
      </c>
      <c r="I153" s="38" t="s">
        <v>89</v>
      </c>
      <c r="J153" s="40" t="n">
        <v>1.87117215961084</v>
      </c>
      <c r="K153" s="39" t="n">
        <f aca="false">IF(G153="","",MAX(0,G153-J153/100))</f>
        <v>0.519619350317053</v>
      </c>
      <c r="L153" s="39" t="n">
        <f aca="false">IF(G153="","",MIN(1,G153+J153/100))</f>
        <v>0.55704279350927</v>
      </c>
      <c r="M153" s="21" t="n">
        <f aca="false">ROUND(Q153*S153,0)</f>
        <v>384</v>
      </c>
      <c r="N153" s="21" t="n">
        <f aca="false">ROUND(SQRT((F153*J153/100)^2+(G153*M153)^2),0)</f>
        <v>214</v>
      </c>
      <c r="P153" s="41" t="n">
        <v>0.252196569925126</v>
      </c>
      <c r="Q153" s="42" t="n">
        <v>2948</v>
      </c>
      <c r="R153" s="43" t="n">
        <f aca="false">MAX(0,MIN(1,P153/100+$D$5))</f>
        <v>0.53827832793705</v>
      </c>
      <c r="S153" s="43" t="n">
        <v>0.130204099606216</v>
      </c>
      <c r="T153" s="44" t="s">
        <v>192</v>
      </c>
    </row>
    <row r="154" customFormat="false" ht="15" hidden="false" customHeight="false" outlineLevel="0" collapsed="false">
      <c r="A154" s="38" t="s">
        <v>156</v>
      </c>
      <c r="B154" s="38" t="s">
        <v>253</v>
      </c>
      <c r="C154" s="38" t="s">
        <v>257</v>
      </c>
      <c r="D154" s="21" t="n">
        <f aca="false">ROUND(Q154*R154,0)</f>
        <v>797</v>
      </c>
      <c r="E154" s="21" t="n">
        <f aca="false">ROUND(Q154,0)-D154</f>
        <v>695</v>
      </c>
      <c r="F154" s="21" t="n">
        <f aca="false">IF(COUNTA(D154:E154)=0,"",SUM(D154:E154))</f>
        <v>1492</v>
      </c>
      <c r="G154" s="39" t="n">
        <f aca="false">IF(OR(F154="",F154=0),"",D154/F154)</f>
        <v>0.534182305630027</v>
      </c>
      <c r="H154" s="39" t="n">
        <f aca="false">IF(OR(F154="",F154=0),"",E154/F154)</f>
        <v>0.465817694369973</v>
      </c>
      <c r="I154" s="38" t="s">
        <v>89</v>
      </c>
      <c r="J154" s="40" t="n">
        <v>1.87117215961084</v>
      </c>
      <c r="K154" s="39" t="n">
        <f aca="false">IF(G154="","",MAX(0,G154-J154/100))</f>
        <v>0.515470584033918</v>
      </c>
      <c r="L154" s="39" t="n">
        <f aca="false">IF(G154="","",MIN(1,G154+J154/100))</f>
        <v>0.552894027226135</v>
      </c>
      <c r="M154" s="21" t="n">
        <f aca="false">ROUND(Q154*S154,0)</f>
        <v>194</v>
      </c>
      <c r="N154" s="21" t="n">
        <f aca="false">ROUND(SQRT((F154*J154/100)^2+(G154*M154)^2),0)</f>
        <v>107</v>
      </c>
      <c r="P154" s="41" t="n">
        <v>-0.155043132648568</v>
      </c>
      <c r="Q154" s="42" t="n">
        <v>1492</v>
      </c>
      <c r="R154" s="43" t="n">
        <f aca="false">MAX(0,MIN(1,P154/100+$D$5))</f>
        <v>0.534205930911313</v>
      </c>
      <c r="S154" s="43" t="n">
        <v>0.130204099606216</v>
      </c>
      <c r="T154" s="44" t="s">
        <v>192</v>
      </c>
    </row>
    <row r="155" customFormat="false" ht="15" hidden="false" customHeight="false" outlineLevel="0" collapsed="false">
      <c r="A155" s="38" t="s">
        <v>156</v>
      </c>
      <c r="B155" s="38" t="s">
        <v>253</v>
      </c>
      <c r="C155" s="38" t="s">
        <v>258</v>
      </c>
      <c r="D155" s="21" t="n">
        <f aca="false">ROUND(Q155*R155,0)</f>
        <v>730</v>
      </c>
      <c r="E155" s="21" t="n">
        <f aca="false">ROUND(Q155,0)-D155</f>
        <v>625</v>
      </c>
      <c r="F155" s="21" t="n">
        <f aca="false">IF(COUNTA(D155:E155)=0,"",SUM(D155:E155))</f>
        <v>1355</v>
      </c>
      <c r="G155" s="39" t="n">
        <f aca="false">IF(OR(F155="",F155=0),"",D155/F155)</f>
        <v>0.538745387453875</v>
      </c>
      <c r="H155" s="39" t="n">
        <f aca="false">IF(OR(F155="",F155=0),"",E155/F155)</f>
        <v>0.461254612546126</v>
      </c>
      <c r="I155" s="38" t="s">
        <v>89</v>
      </c>
      <c r="J155" s="40" t="n">
        <v>1.87117215961084</v>
      </c>
      <c r="K155" s="39" t="n">
        <f aca="false">IF(G155="","",MAX(0,G155-J155/100))</f>
        <v>0.520033665857766</v>
      </c>
      <c r="L155" s="39" t="n">
        <f aca="false">IF(G155="","",MIN(1,G155+J155/100))</f>
        <v>0.557457109049983</v>
      </c>
      <c r="M155" s="21" t="n">
        <f aca="false">ROUND(Q155*S155,0)</f>
        <v>176</v>
      </c>
      <c r="N155" s="21" t="n">
        <f aca="false">ROUND(SQRT((F155*J155/100)^2+(G155*M155)^2),0)</f>
        <v>98</v>
      </c>
      <c r="P155" s="41" t="n">
        <v>0.284811922920648</v>
      </c>
      <c r="Q155" s="42" t="n">
        <v>1355</v>
      </c>
      <c r="R155" s="43" t="n">
        <f aca="false">MAX(0,MIN(1,P155/100+$D$5))</f>
        <v>0.538604481467005</v>
      </c>
      <c r="S155" s="43" t="n">
        <v>0.130204099606216</v>
      </c>
      <c r="T155" s="44" t="s">
        <v>192</v>
      </c>
    </row>
    <row r="156" customFormat="false" ht="15" hidden="false" customHeight="false" outlineLevel="0" collapsed="false">
      <c r="A156" s="38" t="s">
        <v>156</v>
      </c>
      <c r="B156" s="38" t="s">
        <v>253</v>
      </c>
      <c r="C156" s="38" t="s">
        <v>259</v>
      </c>
      <c r="D156" s="21" t="n">
        <f aca="false">ROUND(Q156*R156,0)</f>
        <v>649</v>
      </c>
      <c r="E156" s="21" t="n">
        <f aca="false">ROUND(Q156,0)-D156</f>
        <v>557</v>
      </c>
      <c r="F156" s="21" t="n">
        <f aca="false">IF(COUNTA(D156:E156)=0,"",SUM(D156:E156))</f>
        <v>1206</v>
      </c>
      <c r="G156" s="39" t="n">
        <f aca="false">IF(OR(F156="",F156=0),"",D156/F156)</f>
        <v>0.538142620232173</v>
      </c>
      <c r="H156" s="39" t="n">
        <f aca="false">IF(OR(F156="",F156=0),"",E156/F156)</f>
        <v>0.461857379767828</v>
      </c>
      <c r="I156" s="38" t="s">
        <v>89</v>
      </c>
      <c r="J156" s="40" t="n">
        <v>1.87117215961084</v>
      </c>
      <c r="K156" s="39" t="n">
        <f aca="false">IF(G156="","",MAX(0,G156-J156/100))</f>
        <v>0.519430898636064</v>
      </c>
      <c r="L156" s="39" t="n">
        <f aca="false">IF(G156="","",MIN(1,G156+J156/100))</f>
        <v>0.556854341828281</v>
      </c>
      <c r="M156" s="21" t="n">
        <f aca="false">ROUND(Q156*S156,0)</f>
        <v>157</v>
      </c>
      <c r="N156" s="21" t="n">
        <f aca="false">ROUND(SQRT((F156*J156/100)^2+(G156*M156)^2),0)</f>
        <v>87</v>
      </c>
      <c r="P156" s="41" t="n">
        <v>0.24427932739826</v>
      </c>
      <c r="Q156" s="42" t="n">
        <v>1206</v>
      </c>
      <c r="R156" s="43" t="n">
        <f aca="false">MAX(0,MIN(1,P156/100+$D$5))</f>
        <v>0.538199155511781</v>
      </c>
      <c r="S156" s="43" t="n">
        <v>0.130204099606216</v>
      </c>
      <c r="T156" s="44" t="s">
        <v>192</v>
      </c>
    </row>
    <row r="157" customFormat="false" ht="15" hidden="false" customHeight="false" outlineLevel="0" collapsed="false">
      <c r="A157" s="38" t="s">
        <v>156</v>
      </c>
      <c r="B157" s="38" t="s">
        <v>253</v>
      </c>
      <c r="C157" s="38" t="s">
        <v>260</v>
      </c>
      <c r="D157" s="21" t="n">
        <f aca="false">ROUND(Q157*R157,0)</f>
        <v>1206</v>
      </c>
      <c r="E157" s="21" t="n">
        <f aca="false">ROUND(Q157,0)-D157</f>
        <v>1006</v>
      </c>
      <c r="F157" s="21" t="n">
        <f aca="false">IF(COUNTA(D157:E157)=0,"",SUM(D157:E157))</f>
        <v>2212</v>
      </c>
      <c r="G157" s="39" t="n">
        <f aca="false">IF(OR(F157="",F157=0),"",D157/F157)</f>
        <v>0.545207956600362</v>
      </c>
      <c r="H157" s="39" t="n">
        <f aca="false">IF(OR(F157="",F157=0),"",E157/F157)</f>
        <v>0.454792043399638</v>
      </c>
      <c r="I157" s="38" t="s">
        <v>89</v>
      </c>
      <c r="J157" s="40" t="n">
        <v>1.87117215961084</v>
      </c>
      <c r="K157" s="39" t="n">
        <f aca="false">IF(G157="","",MAX(0,G157-J157/100))</f>
        <v>0.526496235004253</v>
      </c>
      <c r="L157" s="39" t="n">
        <f aca="false">IF(G157="","",MIN(1,G157+J157/100))</f>
        <v>0.56391967819647</v>
      </c>
      <c r="M157" s="21" t="n">
        <f aca="false">ROUND(Q157*S157,0)</f>
        <v>288</v>
      </c>
      <c r="N157" s="21" t="n">
        <f aca="false">ROUND(SQRT((F157*J157/100)^2+(G157*M157)^2),0)</f>
        <v>162</v>
      </c>
      <c r="P157" s="41" t="n">
        <v>0.923877604954239</v>
      </c>
      <c r="Q157" s="42" t="n">
        <v>2212</v>
      </c>
      <c r="R157" s="43" t="n">
        <f aca="false">MAX(0,MIN(1,P157/100+$D$5))</f>
        <v>0.544995138287341</v>
      </c>
      <c r="S157" s="43" t="n">
        <v>0.130204099606216</v>
      </c>
      <c r="T157" s="44" t="s">
        <v>192</v>
      </c>
    </row>
    <row r="158" customFormat="false" ht="15" hidden="false" customHeight="false" outlineLevel="0" collapsed="false">
      <c r="A158" s="38" t="s">
        <v>156</v>
      </c>
      <c r="B158" s="38" t="s">
        <v>253</v>
      </c>
      <c r="C158" s="38" t="s">
        <v>261</v>
      </c>
      <c r="D158" s="21" t="n">
        <f aca="false">ROUND(Q158*R158,0)</f>
        <v>733</v>
      </c>
      <c r="E158" s="21" t="n">
        <f aca="false">ROUND(Q158,0)-D158</f>
        <v>583</v>
      </c>
      <c r="F158" s="21" t="n">
        <f aca="false">IF(COUNTA(D158:E158)=0,"",SUM(D158:E158))</f>
        <v>1316</v>
      </c>
      <c r="G158" s="39" t="n">
        <f aca="false">IF(OR(F158="",F158=0),"",D158/F158)</f>
        <v>0.556990881458967</v>
      </c>
      <c r="H158" s="39" t="n">
        <f aca="false">IF(OR(F158="",F158=0),"",E158/F158)</f>
        <v>0.443009118541033</v>
      </c>
      <c r="I158" s="38" t="s">
        <v>89</v>
      </c>
      <c r="J158" s="40" t="n">
        <v>1.87117215961084</v>
      </c>
      <c r="K158" s="39" t="n">
        <f aca="false">IF(G158="","",MAX(0,G158-J158/100))</f>
        <v>0.538279159862858</v>
      </c>
      <c r="L158" s="39" t="n">
        <f aca="false">IF(G158="","",MIN(1,G158+J158/100))</f>
        <v>0.575702603055075</v>
      </c>
      <c r="M158" s="21" t="n">
        <f aca="false">ROUND(Q158*S158,0)</f>
        <v>171</v>
      </c>
      <c r="N158" s="21" t="n">
        <f aca="false">ROUND(SQRT((F158*J158/100)^2+(G158*M158)^2),0)</f>
        <v>98</v>
      </c>
      <c r="P158" s="41" t="n">
        <v>2.09388445578583</v>
      </c>
      <c r="Q158" s="42" t="n">
        <v>1316</v>
      </c>
      <c r="R158" s="43" t="n">
        <f aca="false">MAX(0,MIN(1,P158/100+$D$5))</f>
        <v>0.556695206795657</v>
      </c>
      <c r="S158" s="43" t="n">
        <v>0.130204099606216</v>
      </c>
      <c r="T158" s="44" t="s">
        <v>192</v>
      </c>
    </row>
    <row r="159" customFormat="false" ht="15" hidden="false" customHeight="false" outlineLevel="0" collapsed="false">
      <c r="A159" s="38" t="s">
        <v>156</v>
      </c>
      <c r="B159" s="38" t="s">
        <v>253</v>
      </c>
      <c r="C159" s="38" t="s">
        <v>262</v>
      </c>
      <c r="D159" s="21" t="n">
        <f aca="false">ROUND(Q159*R159,0)</f>
        <v>718</v>
      </c>
      <c r="E159" s="21" t="n">
        <f aca="false">ROUND(Q159,0)-D159</f>
        <v>615</v>
      </c>
      <c r="F159" s="21" t="n">
        <f aca="false">IF(COUNTA(D159:E159)=0,"",SUM(D159:E159))</f>
        <v>1333</v>
      </c>
      <c r="G159" s="39" t="n">
        <f aca="false">IF(OR(F159="",F159=0),"",D159/F159)</f>
        <v>0.538634658664666</v>
      </c>
      <c r="H159" s="39" t="n">
        <f aca="false">IF(OR(F159="",F159=0),"",E159/F159)</f>
        <v>0.461365341335334</v>
      </c>
      <c r="I159" s="38" t="s">
        <v>89</v>
      </c>
      <c r="J159" s="40" t="n">
        <v>1.87117215961084</v>
      </c>
      <c r="K159" s="39" t="n">
        <f aca="false">IF(G159="","",MAX(0,G159-J159/100))</f>
        <v>0.519922937068558</v>
      </c>
      <c r="L159" s="39" t="n">
        <f aca="false">IF(G159="","",MIN(1,G159+J159/100))</f>
        <v>0.557346380260775</v>
      </c>
      <c r="M159" s="21" t="n">
        <f aca="false">ROUND(Q159*S159,0)</f>
        <v>174</v>
      </c>
      <c r="N159" s="21" t="n">
        <f aca="false">ROUND(SQRT((F159*J159/100)^2+(G159*M159)^2),0)</f>
        <v>97</v>
      </c>
      <c r="P159" s="41" t="n">
        <v>0.265511683142216</v>
      </c>
      <c r="Q159" s="42" t="n">
        <v>1333</v>
      </c>
      <c r="R159" s="43" t="n">
        <f aca="false">MAX(0,MIN(1,P159/100+$D$5))</f>
        <v>0.538411479069221</v>
      </c>
      <c r="S159" s="43" t="n">
        <v>0.130204099606216</v>
      </c>
      <c r="T159" s="44" t="s">
        <v>192</v>
      </c>
    </row>
    <row r="160" customFormat="false" ht="15" hidden="false" customHeight="false" outlineLevel="0" collapsed="false">
      <c r="A160" s="38" t="s">
        <v>156</v>
      </c>
      <c r="B160" s="38" t="s">
        <v>253</v>
      </c>
      <c r="C160" s="38" t="s">
        <v>263</v>
      </c>
      <c r="D160" s="21" t="n">
        <f aca="false">ROUND(Q160*R160,0)</f>
        <v>487</v>
      </c>
      <c r="E160" s="21" t="n">
        <f aca="false">ROUND(Q160,0)-D160</f>
        <v>407</v>
      </c>
      <c r="F160" s="21" t="n">
        <f aca="false">IF(COUNTA(D160:E160)=0,"",SUM(D160:E160))</f>
        <v>894</v>
      </c>
      <c r="G160" s="39" t="n">
        <f aca="false">IF(OR(F160="",F160=0),"",D160/F160)</f>
        <v>0.544742729306488</v>
      </c>
      <c r="H160" s="39" t="n">
        <f aca="false">IF(OR(F160="",F160=0),"",E160/F160)</f>
        <v>0.455257270693512</v>
      </c>
      <c r="I160" s="38" t="s">
        <v>89</v>
      </c>
      <c r="J160" s="40" t="n">
        <v>1.92472098334064</v>
      </c>
      <c r="K160" s="39" t="n">
        <f aca="false">IF(G160="","",MAX(0,G160-J160/100))</f>
        <v>0.525495519473081</v>
      </c>
      <c r="L160" s="39" t="n">
        <f aca="false">IF(G160="","",MIN(1,G160+J160/100))</f>
        <v>0.563989939139894</v>
      </c>
      <c r="M160" s="21" t="n">
        <f aca="false">ROUND(Q160*S160,0)</f>
        <v>45</v>
      </c>
      <c r="N160" s="21" t="n">
        <f aca="false">ROUND(SQRT((F160*J160/100)^2+(G160*M160)^2),0)</f>
        <v>30</v>
      </c>
      <c r="P160" s="41" t="n">
        <v>0.915598877273925</v>
      </c>
      <c r="Q160" s="42" t="n">
        <v>894</v>
      </c>
      <c r="R160" s="43" t="n">
        <f aca="false">MAX(0,MIN(1,P160/100+$D$5))</f>
        <v>0.544912351010538</v>
      </c>
      <c r="S160" s="43" t="n">
        <v>0.0500321312575726</v>
      </c>
      <c r="T160" s="44" t="s">
        <v>99</v>
      </c>
    </row>
    <row r="161" customFormat="false" ht="15" hidden="false" customHeight="false" outlineLevel="0" collapsed="false">
      <c r="A161" s="38" t="s">
        <v>156</v>
      </c>
      <c r="B161" s="38" t="s">
        <v>264</v>
      </c>
      <c r="C161" s="38" t="s">
        <v>264</v>
      </c>
      <c r="D161" s="21" t="n">
        <f aca="false">ROUND(Q161*R161,0)</f>
        <v>880</v>
      </c>
      <c r="E161" s="21" t="n">
        <f aca="false">ROUND(Q161,0)-D161</f>
        <v>1281</v>
      </c>
      <c r="F161" s="21" t="n">
        <f aca="false">IF(COUNTA(D161:E161)=0,"",SUM(D161:E161))</f>
        <v>2161</v>
      </c>
      <c r="G161" s="39" t="n">
        <f aca="false">IF(OR(F161="",F161=0),"",D161/F161)</f>
        <v>0.40721888014808</v>
      </c>
      <c r="H161" s="39" t="n">
        <f aca="false">IF(OR(F161="",F161=0),"",E161/F161)</f>
        <v>0.59278111985192</v>
      </c>
      <c r="I161" s="38" t="s">
        <v>89</v>
      </c>
      <c r="J161" s="40" t="n">
        <v>1.87117215961084</v>
      </c>
      <c r="K161" s="39" t="n">
        <f aca="false">IF(G161="","",MAX(0,G161-J161/100))</f>
        <v>0.388507158551971</v>
      </c>
      <c r="L161" s="39" t="n">
        <f aca="false">IF(G161="","",MIN(1,G161+J161/100))</f>
        <v>0.425930601744188</v>
      </c>
      <c r="M161" s="21" t="n">
        <f aca="false">ROUND(Q161*S161,0)</f>
        <v>281</v>
      </c>
      <c r="N161" s="21" t="n">
        <f aca="false">ROUND(SQRT((F161*J161/100)^2+(G161*M161)^2),0)</f>
        <v>121</v>
      </c>
      <c r="P161" s="41" t="n">
        <v>-12.8685428787234</v>
      </c>
      <c r="Q161" s="42" t="n">
        <v>2161</v>
      </c>
      <c r="R161" s="43" t="n">
        <f aca="false">MAX(0,MIN(1,P161/100+$D$5))</f>
        <v>0.407070933450565</v>
      </c>
      <c r="S161" s="43" t="n">
        <v>0.130204099606216</v>
      </c>
      <c r="T161" s="44" t="s">
        <v>192</v>
      </c>
    </row>
    <row r="162" customFormat="false" ht="15" hidden="false" customHeight="false" outlineLevel="0" collapsed="false">
      <c r="A162" s="38" t="s">
        <v>156</v>
      </c>
      <c r="B162" s="38" t="s">
        <v>265</v>
      </c>
      <c r="C162" s="38" t="s">
        <v>265</v>
      </c>
      <c r="D162" s="21" t="n">
        <f aca="false">ROUND(Q162*R162,0)</f>
        <v>476</v>
      </c>
      <c r="E162" s="21" t="n">
        <f aca="false">ROUND(Q162,0)-D162</f>
        <v>741</v>
      </c>
      <c r="F162" s="21" t="n">
        <f aca="false">IF(COUNTA(D162:E162)=0,"",SUM(D162:E162))</f>
        <v>1217</v>
      </c>
      <c r="G162" s="39" t="n">
        <f aca="false">IF(OR(F162="",F162=0),"",D162/F162)</f>
        <v>0.391125718981101</v>
      </c>
      <c r="H162" s="39" t="n">
        <f aca="false">IF(OR(F162="",F162=0),"",E162/F162)</f>
        <v>0.608874281018899</v>
      </c>
      <c r="I162" s="38" t="s">
        <v>89</v>
      </c>
      <c r="J162" s="40" t="n">
        <v>1.87117215961084</v>
      </c>
      <c r="K162" s="39" t="n">
        <f aca="false">IF(G162="","",MAX(0,G162-J162/100))</f>
        <v>0.372413997384993</v>
      </c>
      <c r="L162" s="39" t="n">
        <f aca="false">IF(G162="","",MIN(1,G162+J162/100))</f>
        <v>0.409837440577209</v>
      </c>
      <c r="M162" s="21" t="n">
        <f aca="false">ROUND(Q162*S162,0)</f>
        <v>158</v>
      </c>
      <c r="N162" s="21" t="n">
        <f aca="false">ROUND(SQRT((F162*J162/100)^2+(G162*M162)^2),0)</f>
        <v>66</v>
      </c>
      <c r="P162" s="41" t="n">
        <v>-14.437328333545</v>
      </c>
      <c r="Q162" s="42" t="n">
        <v>1217</v>
      </c>
      <c r="R162" s="43" t="n">
        <f aca="false">MAX(0,MIN(1,P162/100+$D$5))</f>
        <v>0.391383078902349</v>
      </c>
      <c r="S162" s="43" t="n">
        <v>0.130204099606216</v>
      </c>
      <c r="T162" s="44" t="s">
        <v>192</v>
      </c>
    </row>
    <row r="163" customFormat="false" ht="15" hidden="false" customHeight="false" outlineLevel="0" collapsed="false">
      <c r="A163" s="38" t="s">
        <v>156</v>
      </c>
      <c r="B163" s="38" t="s">
        <v>266</v>
      </c>
      <c r="C163" s="38" t="s">
        <v>267</v>
      </c>
      <c r="D163" s="21" t="n">
        <f aca="false">ROUND(Q163*R163,0)</f>
        <v>168</v>
      </c>
      <c r="E163" s="21" t="n">
        <f aca="false">ROUND(Q163,0)-D163</f>
        <v>372</v>
      </c>
      <c r="F163" s="21" t="n">
        <f aca="false">IF(COUNTA(D163:E163)=0,"",SUM(D163:E163))</f>
        <v>540</v>
      </c>
      <c r="G163" s="39" t="n">
        <f aca="false">IF(OR(F163="",F163=0),"",D163/F163)</f>
        <v>0.311111111111111</v>
      </c>
      <c r="H163" s="39" t="n">
        <f aca="false">IF(OR(F163="",F163=0),"",E163/F163)</f>
        <v>0.688888888888889</v>
      </c>
      <c r="I163" s="38" t="s">
        <v>89</v>
      </c>
      <c r="J163" s="40" t="n">
        <v>2.87480042420966</v>
      </c>
      <c r="K163" s="39" t="n">
        <f aca="false">IF(G163="","",MAX(0,G163-J163/100))</f>
        <v>0.282363106869015</v>
      </c>
      <c r="L163" s="39" t="n">
        <f aca="false">IF(G163="","",MIN(1,G163+J163/100))</f>
        <v>0.339859115353208</v>
      </c>
      <c r="M163" s="21" t="n">
        <f aca="false">ROUND(Q163*S163,0)</f>
        <v>33</v>
      </c>
      <c r="N163" s="21" t="n">
        <f aca="false">ROUND(SQRT((F163*J163/100)^2+(G163*M163)^2),0)</f>
        <v>19</v>
      </c>
      <c r="P163" s="41" t="n">
        <v>-22.5423849881552</v>
      </c>
      <c r="Q163" s="42" t="n">
        <v>540</v>
      </c>
      <c r="R163" s="43" t="n">
        <f aca="false">MAX(0,MIN(1,P163/100+$D$5))</f>
        <v>0.310332512356247</v>
      </c>
      <c r="S163" s="43" t="n">
        <v>0.0610405690258335</v>
      </c>
      <c r="T163" s="44" t="s">
        <v>90</v>
      </c>
    </row>
    <row r="164" customFormat="false" ht="15" hidden="false" customHeight="false" outlineLevel="0" collapsed="false">
      <c r="A164" s="38" t="s">
        <v>156</v>
      </c>
      <c r="B164" s="38" t="s">
        <v>266</v>
      </c>
      <c r="C164" s="38" t="s">
        <v>268</v>
      </c>
      <c r="D164" s="21" t="n">
        <f aca="false">ROUND(Q164*R164,0)</f>
        <v>126</v>
      </c>
      <c r="E164" s="21" t="n">
        <f aca="false">ROUND(Q164,0)-D164</f>
        <v>234</v>
      </c>
      <c r="F164" s="21" t="n">
        <f aca="false">IF(COUNTA(D164:E164)=0,"",SUM(D164:E164))</f>
        <v>360</v>
      </c>
      <c r="G164" s="39" t="n">
        <f aca="false">IF(OR(F164="",F164=0),"",D164/F164)</f>
        <v>0.35</v>
      </c>
      <c r="H164" s="39" t="n">
        <f aca="false">IF(OR(F164="",F164=0),"",E164/F164)</f>
        <v>0.65</v>
      </c>
      <c r="I164" s="38" t="s">
        <v>89</v>
      </c>
      <c r="J164" s="40" t="n">
        <v>2.87480042420966</v>
      </c>
      <c r="K164" s="39" t="n">
        <f aca="false">IF(G164="","",MAX(0,G164-J164/100))</f>
        <v>0.321251995757903</v>
      </c>
      <c r="L164" s="39" t="n">
        <f aca="false">IF(G164="","",MIN(1,G164+J164/100))</f>
        <v>0.378748004242097</v>
      </c>
      <c r="M164" s="21" t="n">
        <f aca="false">ROUND(Q164*S164,0)</f>
        <v>22</v>
      </c>
      <c r="N164" s="21" t="n">
        <f aca="false">ROUND(SQRT((F164*J164/100)^2+(G164*M164)^2),0)</f>
        <v>13</v>
      </c>
      <c r="P164" s="41" t="n">
        <v>-18.4814073287014</v>
      </c>
      <c r="Q164" s="42" t="n">
        <v>360</v>
      </c>
      <c r="R164" s="43" t="n">
        <f aca="false">MAX(0,MIN(1,P164/100+$D$5))</f>
        <v>0.350942288950785</v>
      </c>
      <c r="S164" s="43" t="n">
        <v>0.0610405690258335</v>
      </c>
      <c r="T164" s="44" t="s">
        <v>90</v>
      </c>
    </row>
    <row r="165" customFormat="false" ht="15" hidden="false" customHeight="false" outlineLevel="0" collapsed="false">
      <c r="A165" s="38" t="s">
        <v>156</v>
      </c>
      <c r="B165" s="38" t="s">
        <v>266</v>
      </c>
      <c r="C165" s="38" t="s">
        <v>269</v>
      </c>
      <c r="D165" s="21" t="n">
        <f aca="false">ROUND(Q165*R165,0)</f>
        <v>458</v>
      </c>
      <c r="E165" s="21" t="n">
        <f aca="false">ROUND(Q165,0)-D165</f>
        <v>795</v>
      </c>
      <c r="F165" s="21" t="n">
        <f aca="false">IF(COUNTA(D165:E165)=0,"",SUM(D165:E165))</f>
        <v>1253</v>
      </c>
      <c r="G165" s="39" t="n">
        <f aca="false">IF(OR(F165="",F165=0),"",D165/F165)</f>
        <v>0.365522745411014</v>
      </c>
      <c r="H165" s="39" t="n">
        <f aca="false">IF(OR(F165="",F165=0),"",E165/F165)</f>
        <v>0.634477254588986</v>
      </c>
      <c r="I165" s="38" t="s">
        <v>89</v>
      </c>
      <c r="J165" s="40" t="n">
        <v>1.87117215961084</v>
      </c>
      <c r="K165" s="39" t="n">
        <f aca="false">IF(G165="","",MAX(0,G165-J165/100))</f>
        <v>0.346811023814905</v>
      </c>
      <c r="L165" s="39" t="n">
        <f aca="false">IF(G165="","",MIN(1,G165+J165/100))</f>
        <v>0.384234467007122</v>
      </c>
      <c r="M165" s="21" t="n">
        <f aca="false">ROUND(Q165*S165,0)</f>
        <v>163</v>
      </c>
      <c r="N165" s="21" t="n">
        <f aca="false">ROUND(SQRT((F165*J165/100)^2+(G165*M165)^2),0)</f>
        <v>64</v>
      </c>
      <c r="P165" s="41" t="n">
        <v>-17.0504826947927</v>
      </c>
      <c r="Q165" s="42" t="n">
        <v>1253</v>
      </c>
      <c r="R165" s="43" t="n">
        <f aca="false">MAX(0,MIN(1,P165/100+$D$5))</f>
        <v>0.365251535289872</v>
      </c>
      <c r="S165" s="43" t="n">
        <v>0.130204099606216</v>
      </c>
      <c r="T165" s="44" t="s">
        <v>192</v>
      </c>
    </row>
    <row r="166" customFormat="false" ht="15" hidden="false" customHeight="false" outlineLevel="0" collapsed="false">
      <c r="A166" s="38" t="s">
        <v>156</v>
      </c>
      <c r="B166" s="38" t="s">
        <v>270</v>
      </c>
      <c r="C166" s="38" t="s">
        <v>270</v>
      </c>
      <c r="D166" s="21" t="n">
        <f aca="false">ROUND(Q166*R166,0)</f>
        <v>798</v>
      </c>
      <c r="E166" s="21" t="n">
        <f aca="false">ROUND(Q166,0)-D166</f>
        <v>618</v>
      </c>
      <c r="F166" s="21" t="n">
        <f aca="false">IF(COUNTA(D166:E166)=0,"",SUM(D166:E166))</f>
        <v>1416</v>
      </c>
      <c r="G166" s="39" t="n">
        <f aca="false">IF(OR(F166="",F166=0),"",D166/F166)</f>
        <v>0.563559322033898</v>
      </c>
      <c r="H166" s="39" t="n">
        <f aca="false">IF(OR(F166="",F166=0),"",E166/F166)</f>
        <v>0.436440677966102</v>
      </c>
      <c r="I166" s="38" t="s">
        <v>89</v>
      </c>
      <c r="J166" s="40" t="n">
        <v>1.87117215961084</v>
      </c>
      <c r="K166" s="39" t="n">
        <f aca="false">IF(G166="","",MAX(0,G166-J166/100))</f>
        <v>0.54484760043779</v>
      </c>
      <c r="L166" s="39" t="n">
        <f aca="false">IF(G166="","",MIN(1,G166+J166/100))</f>
        <v>0.582271043630007</v>
      </c>
      <c r="M166" s="21" t="n">
        <f aca="false">ROUND(Q166*S166,0)</f>
        <v>184</v>
      </c>
      <c r="N166" s="21" t="n">
        <f aca="false">ROUND(SQRT((F166*J166/100)^2+(G166*M166)^2),0)</f>
        <v>107</v>
      </c>
      <c r="P166" s="41" t="n">
        <v>2.78151893908942</v>
      </c>
      <c r="Q166" s="42" t="n">
        <v>1416</v>
      </c>
      <c r="R166" s="43" t="n">
        <f aca="false">MAX(0,MIN(1,P166/100+$D$5))</f>
        <v>0.563571551628693</v>
      </c>
      <c r="S166" s="43" t="n">
        <v>0.130204099606216</v>
      </c>
      <c r="T166" s="44" t="s">
        <v>192</v>
      </c>
    </row>
    <row r="167" customFormat="false" ht="15" hidden="false" customHeight="false" outlineLevel="0" collapsed="false">
      <c r="A167" s="38" t="s">
        <v>156</v>
      </c>
      <c r="B167" s="38" t="s">
        <v>271</v>
      </c>
      <c r="C167" s="38" t="s">
        <v>272</v>
      </c>
      <c r="D167" s="21" t="n">
        <f aca="false">ROUND(Q167*R167,0)</f>
        <v>848</v>
      </c>
      <c r="E167" s="21" t="n">
        <f aca="false">ROUND(Q167,0)-D167</f>
        <v>1025</v>
      </c>
      <c r="F167" s="21" t="n">
        <f aca="false">IF(COUNTA(D167:E167)=0,"",SUM(D167:E167))</f>
        <v>1873</v>
      </c>
      <c r="G167" s="39" t="n">
        <f aca="false">IF(OR(F167="",F167=0),"",D167/F167)</f>
        <v>0.452749599572878</v>
      </c>
      <c r="H167" s="39" t="n">
        <f aca="false">IF(OR(F167="",F167=0),"",E167/F167)</f>
        <v>0.547250400427122</v>
      </c>
      <c r="I167" s="38" t="s">
        <v>89</v>
      </c>
      <c r="J167" s="40" t="n">
        <v>1.87117215961084</v>
      </c>
      <c r="K167" s="39" t="n">
        <f aca="false">IF(G167="","",MAX(0,G167-J167/100))</f>
        <v>0.434037877976769</v>
      </c>
      <c r="L167" s="39" t="n">
        <f aca="false">IF(G167="","",MIN(1,G167+J167/100))</f>
        <v>0.471461321168986</v>
      </c>
      <c r="M167" s="21" t="n">
        <f aca="false">ROUND(Q167*S167,0)</f>
        <v>244</v>
      </c>
      <c r="N167" s="21" t="n">
        <f aca="false">ROUND(SQRT((F167*J167/100)^2+(G167*M167)^2),0)</f>
        <v>116</v>
      </c>
      <c r="P167" s="41" t="n">
        <v>-8.27868446705922</v>
      </c>
      <c r="Q167" s="42" t="n">
        <v>1873</v>
      </c>
      <c r="R167" s="43" t="n">
        <f aca="false">MAX(0,MIN(1,P167/100+$D$5))</f>
        <v>0.452969517567207</v>
      </c>
      <c r="S167" s="43" t="n">
        <v>0.130204099606216</v>
      </c>
      <c r="T167" s="44" t="s">
        <v>192</v>
      </c>
    </row>
    <row r="168" customFormat="false" ht="15" hidden="false" customHeight="false" outlineLevel="0" collapsed="false">
      <c r="A168" s="38" t="s">
        <v>156</v>
      </c>
      <c r="B168" s="38" t="s">
        <v>271</v>
      </c>
      <c r="C168" s="38" t="s">
        <v>273</v>
      </c>
      <c r="D168" s="21" t="n">
        <f aca="false">ROUND(Q168*R168,0)</f>
        <v>725</v>
      </c>
      <c r="E168" s="21" t="n">
        <f aca="false">ROUND(Q168,0)-D168</f>
        <v>942</v>
      </c>
      <c r="F168" s="21" t="n">
        <f aca="false">IF(COUNTA(D168:E168)=0,"",SUM(D168:E168))</f>
        <v>1667</v>
      </c>
      <c r="G168" s="39" t="n">
        <f aca="false">IF(OR(F168="",F168=0),"",D168/F168)</f>
        <v>0.434913017396521</v>
      </c>
      <c r="H168" s="39" t="n">
        <f aca="false">IF(OR(F168="",F168=0),"",E168/F168)</f>
        <v>0.565086982603479</v>
      </c>
      <c r="I168" s="38" t="s">
        <v>89</v>
      </c>
      <c r="J168" s="40" t="n">
        <v>1.87117215961084</v>
      </c>
      <c r="K168" s="39" t="n">
        <f aca="false">IF(G168="","",MAX(0,G168-J168/100))</f>
        <v>0.416201295800412</v>
      </c>
      <c r="L168" s="39" t="n">
        <f aca="false">IF(G168="","",MIN(1,G168+J168/100))</f>
        <v>0.453624738992629</v>
      </c>
      <c r="M168" s="21" t="n">
        <f aca="false">ROUND(Q168*S168,0)</f>
        <v>217</v>
      </c>
      <c r="N168" s="21" t="n">
        <f aca="false">ROUND(SQRT((F168*J168/100)^2+(G168*M168)^2),0)</f>
        <v>99</v>
      </c>
      <c r="P168" s="41" t="n">
        <v>-10.1115848985822</v>
      </c>
      <c r="Q168" s="42" t="n">
        <v>1667</v>
      </c>
      <c r="R168" s="43" t="n">
        <f aca="false">MAX(0,MIN(1,P168/100+$D$5))</f>
        <v>0.434640513251977</v>
      </c>
      <c r="S168" s="43" t="n">
        <v>0.130204099606216</v>
      </c>
      <c r="T168" s="44" t="s">
        <v>192</v>
      </c>
    </row>
    <row r="169" customFormat="false" ht="15" hidden="false" customHeight="false" outlineLevel="0" collapsed="false">
      <c r="A169" s="38" t="s">
        <v>156</v>
      </c>
      <c r="B169" s="38" t="s">
        <v>271</v>
      </c>
      <c r="C169" s="38" t="s">
        <v>274</v>
      </c>
      <c r="D169" s="21" t="n">
        <f aca="false">ROUND(Q169*R169,0)</f>
        <v>383</v>
      </c>
      <c r="E169" s="21" t="n">
        <f aca="false">ROUND(Q169,0)-D169</f>
        <v>506</v>
      </c>
      <c r="F169" s="21" t="n">
        <f aca="false">IF(COUNTA(D169:E169)=0,"",SUM(D169:E169))</f>
        <v>889</v>
      </c>
      <c r="G169" s="39" t="n">
        <f aca="false">IF(OR(F169="",F169=0),"",D169/F169)</f>
        <v>0.43082114735658</v>
      </c>
      <c r="H169" s="39" t="n">
        <f aca="false">IF(OR(F169="",F169=0),"",E169/F169)</f>
        <v>0.56917885264342</v>
      </c>
      <c r="I169" s="38" t="s">
        <v>89</v>
      </c>
      <c r="J169" s="40" t="n">
        <v>1.92472098334064</v>
      </c>
      <c r="K169" s="39" t="n">
        <f aca="false">IF(G169="","",MAX(0,G169-J169/100))</f>
        <v>0.411573937523174</v>
      </c>
      <c r="L169" s="39" t="n">
        <f aca="false">IF(G169="","",MIN(1,G169+J169/100))</f>
        <v>0.450068357189987</v>
      </c>
      <c r="M169" s="21" t="n">
        <f aca="false">ROUND(Q169*S169,0)</f>
        <v>44</v>
      </c>
      <c r="N169" s="21" t="n">
        <f aca="false">ROUND(SQRT((F169*J169/100)^2+(G169*M169)^2),0)</f>
        <v>26</v>
      </c>
      <c r="P169" s="41" t="n">
        <v>-10.460568330204</v>
      </c>
      <c r="Q169" s="42" t="n">
        <v>889</v>
      </c>
      <c r="R169" s="43" t="n">
        <f aca="false">MAX(0,MIN(1,P169/100+$D$5))</f>
        <v>0.431150678935758</v>
      </c>
      <c r="S169" s="43" t="n">
        <v>0.0500321312575726</v>
      </c>
      <c r="T169" s="44" t="s">
        <v>99</v>
      </c>
    </row>
    <row r="170" customFormat="false" ht="15" hidden="false" customHeight="false" outlineLevel="0" collapsed="false">
      <c r="A170" s="38" t="s">
        <v>156</v>
      </c>
      <c r="B170" s="38" t="s">
        <v>271</v>
      </c>
      <c r="C170" s="38" t="s">
        <v>275</v>
      </c>
      <c r="D170" s="21" t="n">
        <f aca="false">ROUND(Q170*R170,0)</f>
        <v>561</v>
      </c>
      <c r="E170" s="21" t="n">
        <f aca="false">ROUND(Q170,0)-D170</f>
        <v>718</v>
      </c>
      <c r="F170" s="21" t="n">
        <f aca="false">IF(COUNTA(D170:E170)=0,"",SUM(D170:E170))</f>
        <v>1279</v>
      </c>
      <c r="G170" s="39" t="n">
        <f aca="false">IF(OR(F170="",F170=0),"",D170/F170)</f>
        <v>0.43862392494136</v>
      </c>
      <c r="H170" s="39" t="n">
        <f aca="false">IF(OR(F170="",F170=0),"",E170/F170)</f>
        <v>0.56137607505864</v>
      </c>
      <c r="I170" s="38" t="s">
        <v>89</v>
      </c>
      <c r="J170" s="40" t="n">
        <v>1.87117215961084</v>
      </c>
      <c r="K170" s="39" t="n">
        <f aca="false">IF(G170="","",MAX(0,G170-J170/100))</f>
        <v>0.419912203345252</v>
      </c>
      <c r="L170" s="39" t="n">
        <f aca="false">IF(G170="","",MIN(1,G170+J170/100))</f>
        <v>0.457335646537469</v>
      </c>
      <c r="M170" s="21" t="n">
        <f aca="false">ROUND(Q170*S170,0)</f>
        <v>167</v>
      </c>
      <c r="N170" s="21" t="n">
        <f aca="false">ROUND(SQRT((F170*J170/100)^2+(G170*M170)^2),0)</f>
        <v>77</v>
      </c>
      <c r="P170" s="41" t="n">
        <v>-9.73574834401345</v>
      </c>
      <c r="Q170" s="42" t="n">
        <v>1279</v>
      </c>
      <c r="R170" s="43" t="n">
        <f aca="false">MAX(0,MIN(1,P170/100+$D$5))</f>
        <v>0.438398878797664</v>
      </c>
      <c r="S170" s="43" t="n">
        <v>0.130204099606216</v>
      </c>
      <c r="T170" s="44" t="s">
        <v>192</v>
      </c>
    </row>
    <row r="171" customFormat="false" ht="15" hidden="false" customHeight="false" outlineLevel="0" collapsed="false">
      <c r="A171" s="38" t="s">
        <v>156</v>
      </c>
      <c r="B171" s="38" t="s">
        <v>271</v>
      </c>
      <c r="C171" s="38" t="s">
        <v>276</v>
      </c>
      <c r="D171" s="21" t="n">
        <f aca="false">ROUND(Q171*R171,0)</f>
        <v>492</v>
      </c>
      <c r="E171" s="21" t="n">
        <f aca="false">ROUND(Q171,0)-D171</f>
        <v>686</v>
      </c>
      <c r="F171" s="21" t="n">
        <f aca="false">IF(COUNTA(D171:E171)=0,"",SUM(D171:E171))</f>
        <v>1178</v>
      </c>
      <c r="G171" s="39" t="n">
        <f aca="false">IF(OR(F171="",F171=0),"",D171/F171)</f>
        <v>0.417657045840407</v>
      </c>
      <c r="H171" s="39" t="n">
        <f aca="false">IF(OR(F171="",F171=0),"",E171/F171)</f>
        <v>0.582342954159593</v>
      </c>
      <c r="I171" s="38" t="s">
        <v>89</v>
      </c>
      <c r="J171" s="40" t="n">
        <v>1.92472098334064</v>
      </c>
      <c r="K171" s="39" t="n">
        <f aca="false">IF(G171="","",MAX(0,G171-J171/100))</f>
        <v>0.398409836007001</v>
      </c>
      <c r="L171" s="39" t="n">
        <f aca="false">IF(G171="","",MIN(1,G171+J171/100))</f>
        <v>0.436904255673814</v>
      </c>
      <c r="M171" s="21" t="n">
        <f aca="false">ROUND(Q171*S171,0)</f>
        <v>59</v>
      </c>
      <c r="N171" s="21" t="n">
        <f aca="false">ROUND(SQRT((F171*J171/100)^2+(G171*M171)^2),0)</f>
        <v>33</v>
      </c>
      <c r="P171" s="41" t="n">
        <v>-11.8343235373659</v>
      </c>
      <c r="Q171" s="42" t="n">
        <v>1178</v>
      </c>
      <c r="R171" s="43" t="n">
        <f aca="false">MAX(0,MIN(1,P171/100+$D$5))</f>
        <v>0.41741312686414</v>
      </c>
      <c r="S171" s="43" t="n">
        <v>0.0500321312575726</v>
      </c>
      <c r="T171" s="44" t="s">
        <v>99</v>
      </c>
    </row>
    <row r="172" customFormat="false" ht="15" hidden="false" customHeight="false" outlineLevel="0" collapsed="false">
      <c r="A172" s="38" t="s">
        <v>156</v>
      </c>
      <c r="B172" s="38" t="s">
        <v>271</v>
      </c>
      <c r="C172" s="38" t="s">
        <v>277</v>
      </c>
      <c r="D172" s="21" t="n">
        <f aca="false">ROUND(Q172*R172,0)</f>
        <v>389</v>
      </c>
      <c r="E172" s="21" t="n">
        <f aca="false">ROUND(Q172,0)-D172</f>
        <v>442</v>
      </c>
      <c r="F172" s="21" t="n">
        <f aca="false">IF(COUNTA(D172:E172)=0,"",SUM(D172:E172))</f>
        <v>831</v>
      </c>
      <c r="G172" s="39" t="n">
        <f aca="false">IF(OR(F172="",F172=0),"",D172/F172)</f>
        <v>0.468110709987966</v>
      </c>
      <c r="H172" s="39" t="n">
        <f aca="false">IF(OR(F172="",F172=0),"",E172/F172)</f>
        <v>0.531889290012034</v>
      </c>
      <c r="I172" s="38" t="s">
        <v>89</v>
      </c>
      <c r="J172" s="40" t="n">
        <v>1.92472098334064</v>
      </c>
      <c r="K172" s="39" t="n">
        <f aca="false">IF(G172="","",MAX(0,G172-J172/100))</f>
        <v>0.44886350015456</v>
      </c>
      <c r="L172" s="39" t="n">
        <f aca="false">IF(G172="","",MIN(1,G172+J172/100))</f>
        <v>0.487357919821373</v>
      </c>
      <c r="M172" s="21" t="n">
        <f aca="false">ROUND(Q172*S172,0)</f>
        <v>42</v>
      </c>
      <c r="N172" s="21" t="n">
        <f aca="false">ROUND(SQRT((F172*J172/100)^2+(G172*M172)^2),0)</f>
        <v>25</v>
      </c>
      <c r="P172" s="41" t="n">
        <v>-6.76800793814165</v>
      </c>
      <c r="Q172" s="42" t="n">
        <v>831</v>
      </c>
      <c r="R172" s="43" t="n">
        <f aca="false">MAX(0,MIN(1,P172/100+$D$5))</f>
        <v>0.468076282856382</v>
      </c>
      <c r="S172" s="43" t="n">
        <v>0.0500321312575726</v>
      </c>
      <c r="T172" s="44" t="s">
        <v>99</v>
      </c>
    </row>
    <row r="173" customFormat="false" ht="15" hidden="false" customHeight="false" outlineLevel="0" collapsed="false">
      <c r="A173" s="38" t="s">
        <v>156</v>
      </c>
      <c r="B173" s="38" t="s">
        <v>278</v>
      </c>
      <c r="C173" s="38" t="s">
        <v>279</v>
      </c>
      <c r="D173" s="21" t="n">
        <f aca="false">ROUND(Q173*R173,0)</f>
        <v>553</v>
      </c>
      <c r="E173" s="21" t="n">
        <f aca="false">ROUND(Q173,0)-D173</f>
        <v>452</v>
      </c>
      <c r="F173" s="21" t="n">
        <f aca="false">IF(COUNTA(D173:E173)=0,"",SUM(D173:E173))</f>
        <v>1005</v>
      </c>
      <c r="G173" s="39" t="n">
        <f aca="false">IF(OR(F173="",F173=0),"",D173/F173)</f>
        <v>0.550248756218906</v>
      </c>
      <c r="H173" s="39" t="n">
        <f aca="false">IF(OR(F173="",F173=0),"",E173/F173)</f>
        <v>0.449751243781095</v>
      </c>
      <c r="I173" s="38" t="s">
        <v>89</v>
      </c>
      <c r="J173" s="40" t="n">
        <v>1.92472098334064</v>
      </c>
      <c r="K173" s="39" t="n">
        <f aca="false">IF(G173="","",MAX(0,G173-J173/100))</f>
        <v>0.531001546385499</v>
      </c>
      <c r="L173" s="39" t="n">
        <f aca="false">IF(G173="","",MIN(1,G173+J173/100))</f>
        <v>0.569495966052312</v>
      </c>
      <c r="M173" s="21" t="n">
        <f aca="false">ROUND(Q173*S173,0)</f>
        <v>50</v>
      </c>
      <c r="N173" s="21" t="n">
        <f aca="false">ROUND(SQRT((F173*J173/100)^2+(G173*M173)^2),0)</f>
        <v>34</v>
      </c>
      <c r="P173" s="41" t="n">
        <v>1.48397725060321</v>
      </c>
      <c r="Q173" s="42" t="n">
        <v>1005</v>
      </c>
      <c r="R173" s="43" t="n">
        <f aca="false">MAX(0,MIN(1,P173/100+$D$5))</f>
        <v>0.550596134743831</v>
      </c>
      <c r="S173" s="43" t="n">
        <v>0.0500321312575726</v>
      </c>
      <c r="T173" s="44" t="s">
        <v>99</v>
      </c>
    </row>
    <row r="174" customFormat="false" ht="15" hidden="false" customHeight="false" outlineLevel="0" collapsed="false">
      <c r="A174" s="38" t="s">
        <v>156</v>
      </c>
      <c r="B174" s="38" t="s">
        <v>278</v>
      </c>
      <c r="C174" s="38" t="s">
        <v>280</v>
      </c>
      <c r="D174" s="21" t="n">
        <f aca="false">ROUND(Q174*R174,0)</f>
        <v>657</v>
      </c>
      <c r="E174" s="21" t="n">
        <f aca="false">ROUND(Q174,0)-D174</f>
        <v>522</v>
      </c>
      <c r="F174" s="21" t="n">
        <f aca="false">IF(COUNTA(D174:E174)=0,"",SUM(D174:E174))</f>
        <v>1179</v>
      </c>
      <c r="G174" s="39" t="n">
        <f aca="false">IF(OR(F174="",F174=0),"",D174/F174)</f>
        <v>0.557251908396947</v>
      </c>
      <c r="H174" s="39" t="n">
        <f aca="false">IF(OR(F174="",F174=0),"",E174/F174)</f>
        <v>0.442748091603053</v>
      </c>
      <c r="I174" s="38" t="s">
        <v>89</v>
      </c>
      <c r="J174" s="40" t="n">
        <v>1.92472098334064</v>
      </c>
      <c r="K174" s="39" t="n">
        <f aca="false">IF(G174="","",MAX(0,G174-J174/100))</f>
        <v>0.53800469856354</v>
      </c>
      <c r="L174" s="39" t="n">
        <f aca="false">IF(G174="","",MIN(1,G174+J174/100))</f>
        <v>0.576499118230353</v>
      </c>
      <c r="M174" s="21" t="n">
        <f aca="false">ROUND(Q174*S174,0)</f>
        <v>59</v>
      </c>
      <c r="N174" s="21" t="n">
        <f aca="false">ROUND(SQRT((F174*J174/100)^2+(G174*M174)^2),0)</f>
        <v>40</v>
      </c>
      <c r="P174" s="41" t="n">
        <v>2.1626963568083</v>
      </c>
      <c r="Q174" s="42" t="n">
        <v>1179</v>
      </c>
      <c r="R174" s="43" t="n">
        <f aca="false">MAX(0,MIN(1,P174/100+$D$5))</f>
        <v>0.557383325805882</v>
      </c>
      <c r="S174" s="43" t="n">
        <v>0.0500321312575726</v>
      </c>
      <c r="T174" s="44" t="s">
        <v>99</v>
      </c>
    </row>
    <row r="175" customFormat="false" ht="15" hidden="false" customHeight="false" outlineLevel="0" collapsed="false">
      <c r="A175" s="38" t="s">
        <v>156</v>
      </c>
      <c r="B175" s="38" t="s">
        <v>278</v>
      </c>
      <c r="C175" s="38" t="s">
        <v>281</v>
      </c>
      <c r="D175" s="21" t="n">
        <f aca="false">ROUND(Q175*R175,0)</f>
        <v>301</v>
      </c>
      <c r="E175" s="21" t="n">
        <f aca="false">ROUND(Q175,0)-D175</f>
        <v>259</v>
      </c>
      <c r="F175" s="21" t="n">
        <f aca="false">IF(COUNTA(D175:E175)=0,"",SUM(D175:E175))</f>
        <v>560</v>
      </c>
      <c r="G175" s="39" t="n">
        <f aca="false">IF(OR(F175="",F175=0),"",D175/F175)</f>
        <v>0.5375</v>
      </c>
      <c r="H175" s="39" t="n">
        <f aca="false">IF(OR(F175="",F175=0),"",E175/F175)</f>
        <v>0.4625</v>
      </c>
      <c r="I175" s="38" t="s">
        <v>89</v>
      </c>
      <c r="J175" s="40" t="n">
        <v>2.87480042420966</v>
      </c>
      <c r="K175" s="39" t="n">
        <f aca="false">IF(G175="","",MAX(0,G175-J175/100))</f>
        <v>0.508751995757903</v>
      </c>
      <c r="L175" s="39" t="n">
        <f aca="false">IF(G175="","",MIN(1,G175+J175/100))</f>
        <v>0.566248004242097</v>
      </c>
      <c r="M175" s="21" t="n">
        <f aca="false">ROUND(Q175*S175,0)</f>
        <v>34</v>
      </c>
      <c r="N175" s="21" t="n">
        <f aca="false">ROUND(SQRT((F175*J175/100)^2+(G175*M175)^2),0)</f>
        <v>24</v>
      </c>
      <c r="P175" s="41" t="n">
        <v>0.263196969882502</v>
      </c>
      <c r="Q175" s="42" t="n">
        <v>560</v>
      </c>
      <c r="R175" s="43" t="n">
        <f aca="false">MAX(0,MIN(1,P175/100+$D$5))</f>
        <v>0.538388331936624</v>
      </c>
      <c r="S175" s="43" t="n">
        <v>0.0610405690258335</v>
      </c>
      <c r="T175" s="44" t="s">
        <v>90</v>
      </c>
    </row>
    <row r="176" customFormat="false" ht="15" hidden="false" customHeight="false" outlineLevel="0" collapsed="false">
      <c r="A176" s="38" t="s">
        <v>156</v>
      </c>
      <c r="B176" s="38" t="s">
        <v>278</v>
      </c>
      <c r="C176" s="38" t="s">
        <v>282</v>
      </c>
      <c r="D176" s="21" t="n">
        <f aca="false">ROUND(Q176*R176,0)</f>
        <v>345</v>
      </c>
      <c r="E176" s="21" t="n">
        <f aca="false">ROUND(Q176,0)-D176</f>
        <v>283</v>
      </c>
      <c r="F176" s="21" t="n">
        <f aca="false">IF(COUNTA(D176:E176)=0,"",SUM(D176:E176))</f>
        <v>628</v>
      </c>
      <c r="G176" s="39" t="n">
        <f aca="false">IF(OR(F176="",F176=0),"",D176/F176)</f>
        <v>0.549363057324841</v>
      </c>
      <c r="H176" s="39" t="n">
        <f aca="false">IF(OR(F176="",F176=0),"",E176/F176)</f>
        <v>0.450636942675159</v>
      </c>
      <c r="I176" s="38" t="s">
        <v>89</v>
      </c>
      <c r="J176" s="40" t="n">
        <v>2.87480042420966</v>
      </c>
      <c r="K176" s="39" t="n">
        <f aca="false">IF(G176="","",MAX(0,G176-J176/100))</f>
        <v>0.520615053082744</v>
      </c>
      <c r="L176" s="39" t="n">
        <f aca="false">IF(G176="","",MIN(1,G176+J176/100))</f>
        <v>0.578111061566937</v>
      </c>
      <c r="M176" s="21" t="n">
        <f aca="false">ROUND(Q176*S176,0)</f>
        <v>38</v>
      </c>
      <c r="N176" s="21" t="n">
        <f aca="false">ROUND(SQRT((F176*J176/100)^2+(G176*M176)^2),0)</f>
        <v>28</v>
      </c>
      <c r="P176" s="41" t="n">
        <v>1.33843877936571</v>
      </c>
      <c r="Q176" s="42" t="n">
        <v>628</v>
      </c>
      <c r="R176" s="43" t="n">
        <f aca="false">MAX(0,MIN(1,P176/100+$D$5))</f>
        <v>0.549140750031456</v>
      </c>
      <c r="S176" s="43" t="n">
        <v>0.0610405690258335</v>
      </c>
      <c r="T176" s="44" t="s">
        <v>90</v>
      </c>
    </row>
    <row r="177" customFormat="false" ht="15" hidden="false" customHeight="false" outlineLevel="0" collapsed="false">
      <c r="A177" s="38" t="s">
        <v>156</v>
      </c>
      <c r="B177" s="38" t="s">
        <v>278</v>
      </c>
      <c r="C177" s="38" t="s">
        <v>283</v>
      </c>
      <c r="D177" s="21" t="n">
        <f aca="false">ROUND(Q177*R177,0)</f>
        <v>457</v>
      </c>
      <c r="E177" s="21" t="n">
        <f aca="false">ROUND(Q177,0)-D177</f>
        <v>406</v>
      </c>
      <c r="F177" s="21" t="n">
        <f aca="false">IF(COUNTA(D177:E177)=0,"",SUM(D177:E177))</f>
        <v>863</v>
      </c>
      <c r="G177" s="39" t="n">
        <f aca="false">IF(OR(F177="",F177=0),"",D177/F177)</f>
        <v>0.52954808806489</v>
      </c>
      <c r="H177" s="39" t="n">
        <f aca="false">IF(OR(F177="",F177=0),"",E177/F177)</f>
        <v>0.47045191193511</v>
      </c>
      <c r="I177" s="38" t="s">
        <v>89</v>
      </c>
      <c r="J177" s="40" t="n">
        <v>1.92472098334064</v>
      </c>
      <c r="K177" s="39" t="n">
        <f aca="false">IF(G177="","",MAX(0,G177-J177/100))</f>
        <v>0.510300878231484</v>
      </c>
      <c r="L177" s="39" t="n">
        <f aca="false">IF(G177="","",MIN(1,G177+J177/100))</f>
        <v>0.548795297898296</v>
      </c>
      <c r="M177" s="21" t="n">
        <f aca="false">ROUND(Q177*S177,0)</f>
        <v>43</v>
      </c>
      <c r="N177" s="21" t="n">
        <f aca="false">ROUND(SQRT((F177*J177/100)^2+(G177*M177)^2),0)</f>
        <v>28</v>
      </c>
      <c r="P177" s="41" t="n">
        <v>-0.588488677301169</v>
      </c>
      <c r="Q177" s="42" t="n">
        <v>863</v>
      </c>
      <c r="R177" s="43" t="n">
        <f aca="false">MAX(0,MIN(1,P177/100+$D$5))</f>
        <v>0.529871475464787</v>
      </c>
      <c r="S177" s="43" t="n">
        <v>0.0500321312575726</v>
      </c>
      <c r="T177" s="44" t="s">
        <v>99</v>
      </c>
    </row>
    <row r="178" customFormat="false" ht="15" hidden="false" customHeight="false" outlineLevel="0" collapsed="false">
      <c r="A178" s="38" t="s">
        <v>156</v>
      </c>
      <c r="B178" s="38" t="s">
        <v>278</v>
      </c>
      <c r="C178" s="38" t="s">
        <v>284</v>
      </c>
      <c r="D178" s="21" t="n">
        <f aca="false">ROUND(Q178*R178,0)</f>
        <v>293</v>
      </c>
      <c r="E178" s="21" t="n">
        <f aca="false">ROUND(Q178,0)-D178</f>
        <v>266</v>
      </c>
      <c r="F178" s="21" t="n">
        <f aca="false">IF(COUNTA(D178:E178)=0,"",SUM(D178:E178))</f>
        <v>559</v>
      </c>
      <c r="G178" s="39" t="n">
        <f aca="false">IF(OR(F178="",F178=0),"",D178/F178)</f>
        <v>0.524150268336315</v>
      </c>
      <c r="H178" s="39" t="n">
        <f aca="false">IF(OR(F178="",F178=0),"",E178/F178)</f>
        <v>0.475849731663685</v>
      </c>
      <c r="I178" s="38" t="s">
        <v>89</v>
      </c>
      <c r="J178" s="40" t="n">
        <v>2.87480042420966</v>
      </c>
      <c r="K178" s="39" t="n">
        <f aca="false">IF(G178="","",MAX(0,G178-J178/100))</f>
        <v>0.495402264094218</v>
      </c>
      <c r="L178" s="39" t="n">
        <f aca="false">IF(G178="","",MIN(1,G178+J178/100))</f>
        <v>0.552898272578411</v>
      </c>
      <c r="M178" s="21" t="n">
        <f aca="false">ROUND(Q178*S178,0)</f>
        <v>34</v>
      </c>
      <c r="N178" s="21" t="n">
        <f aca="false">ROUND(SQRT((F178*J178/100)^2+(G178*M178)^2),0)</f>
        <v>24</v>
      </c>
      <c r="P178" s="41" t="n">
        <v>-1.10715086159525</v>
      </c>
      <c r="Q178" s="42" t="n">
        <v>559</v>
      </c>
      <c r="R178" s="43" t="n">
        <f aca="false">MAX(0,MIN(1,P178/100+$D$5))</f>
        <v>0.524684853621846</v>
      </c>
      <c r="S178" s="43" t="n">
        <v>0.0610405690258335</v>
      </c>
      <c r="T178" s="44" t="s">
        <v>90</v>
      </c>
    </row>
    <row r="179" customFormat="false" ht="15" hidden="false" customHeight="false" outlineLevel="0" collapsed="false">
      <c r="A179" s="38" t="s">
        <v>156</v>
      </c>
      <c r="B179" s="38" t="s">
        <v>278</v>
      </c>
      <c r="C179" s="38" t="s">
        <v>285</v>
      </c>
      <c r="D179" s="21" t="n">
        <f aca="false">ROUND(Q179*R179,0)</f>
        <v>356</v>
      </c>
      <c r="E179" s="21" t="n">
        <f aca="false">ROUND(Q179,0)-D179</f>
        <v>291</v>
      </c>
      <c r="F179" s="21" t="n">
        <f aca="false">IF(COUNTA(D179:E179)=0,"",SUM(D179:E179))</f>
        <v>647</v>
      </c>
      <c r="G179" s="39" t="n">
        <f aca="false">IF(OR(F179="",F179=0),"",D179/F179)</f>
        <v>0.550231839258114</v>
      </c>
      <c r="H179" s="39" t="n">
        <f aca="false">IF(OR(F179="",F179=0),"",E179/F179)</f>
        <v>0.449768160741886</v>
      </c>
      <c r="I179" s="38" t="s">
        <v>89</v>
      </c>
      <c r="J179" s="40" t="n">
        <v>2.87480042420966</v>
      </c>
      <c r="K179" s="39" t="n">
        <f aca="false">IF(G179="","",MAX(0,G179-J179/100))</f>
        <v>0.521483835016018</v>
      </c>
      <c r="L179" s="39" t="n">
        <f aca="false">IF(G179="","",MIN(1,G179+J179/100))</f>
        <v>0.578979843500211</v>
      </c>
      <c r="M179" s="21" t="n">
        <f aca="false">ROUND(Q179*S179,0)</f>
        <v>39</v>
      </c>
      <c r="N179" s="21" t="n">
        <f aca="false">ROUND(SQRT((F179*J179/100)^2+(G179*M179)^2),0)</f>
        <v>28</v>
      </c>
      <c r="P179" s="41" t="n">
        <v>1.45975961582344</v>
      </c>
      <c r="Q179" s="42" t="n">
        <v>647</v>
      </c>
      <c r="R179" s="43" t="n">
        <f aca="false">MAX(0,MIN(1,P179/100+$D$5))</f>
        <v>0.550353958396033</v>
      </c>
      <c r="S179" s="43" t="n">
        <v>0.0610405690258335</v>
      </c>
      <c r="T179" s="44" t="s">
        <v>90</v>
      </c>
    </row>
    <row r="180" customFormat="false" ht="15" hidden="false" customHeight="false" outlineLevel="0" collapsed="false">
      <c r="A180" s="38" t="s">
        <v>156</v>
      </c>
      <c r="B180" s="38" t="s">
        <v>278</v>
      </c>
      <c r="C180" s="38" t="s">
        <v>286</v>
      </c>
      <c r="D180" s="21" t="n">
        <f aca="false">ROUND(Q180*R180,0)</f>
        <v>501</v>
      </c>
      <c r="E180" s="21" t="n">
        <f aca="false">ROUND(Q180,0)-D180</f>
        <v>426</v>
      </c>
      <c r="F180" s="21" t="n">
        <f aca="false">IF(COUNTA(D180:E180)=0,"",SUM(D180:E180))</f>
        <v>927</v>
      </c>
      <c r="G180" s="39" t="n">
        <f aca="false">IF(OR(F180="",F180=0),"",D180/F180)</f>
        <v>0.540453074433657</v>
      </c>
      <c r="H180" s="39" t="n">
        <f aca="false">IF(OR(F180="",F180=0),"",E180/F180)</f>
        <v>0.459546925566343</v>
      </c>
      <c r="I180" s="38" t="s">
        <v>89</v>
      </c>
      <c r="J180" s="40" t="n">
        <v>1.92472098334064</v>
      </c>
      <c r="K180" s="39" t="n">
        <f aca="false">IF(G180="","",MAX(0,G180-J180/100))</f>
        <v>0.521205864600251</v>
      </c>
      <c r="L180" s="39" t="n">
        <f aca="false">IF(G180="","",MIN(1,G180+J180/100))</f>
        <v>0.559700284267063</v>
      </c>
      <c r="M180" s="21" t="n">
        <f aca="false">ROUND(Q180*S180,0)</f>
        <v>46</v>
      </c>
      <c r="N180" s="21" t="n">
        <f aca="false">ROUND(SQRT((F180*J180/100)^2+(G180*M180)^2),0)</f>
        <v>31</v>
      </c>
      <c r="P180" s="41" t="n">
        <v>0.430230780644834</v>
      </c>
      <c r="Q180" s="42" t="n">
        <v>927</v>
      </c>
      <c r="R180" s="43" t="n">
        <f aca="false">MAX(0,MIN(1,P180/100+$D$5))</f>
        <v>0.540058670044247</v>
      </c>
      <c r="S180" s="43" t="n">
        <v>0.0500321312575726</v>
      </c>
      <c r="T180" s="44" t="s">
        <v>99</v>
      </c>
    </row>
    <row r="181" customFormat="false" ht="15" hidden="false" customHeight="false" outlineLevel="0" collapsed="false">
      <c r="A181" s="38" t="s">
        <v>156</v>
      </c>
      <c r="B181" s="38" t="s">
        <v>287</v>
      </c>
      <c r="C181" s="38" t="s">
        <v>288</v>
      </c>
      <c r="D181" s="21" t="n">
        <f aca="false">ROUND(Q181*R181,0)</f>
        <v>192</v>
      </c>
      <c r="E181" s="21" t="n">
        <f aca="false">ROUND(Q181,0)-D181</f>
        <v>195</v>
      </c>
      <c r="F181" s="21" t="n">
        <f aca="false">IF(COUNTA(D181:E181)=0,"",SUM(D181:E181))</f>
        <v>387</v>
      </c>
      <c r="G181" s="39" t="n">
        <f aca="false">IF(OR(F181="",F181=0),"",D181/F181)</f>
        <v>0.496124031007752</v>
      </c>
      <c r="H181" s="39" t="n">
        <f aca="false">IF(OR(F181="",F181=0),"",E181/F181)</f>
        <v>0.503875968992248</v>
      </c>
      <c r="I181" s="38" t="s">
        <v>89</v>
      </c>
      <c r="J181" s="40" t="n">
        <v>2.87480042420966</v>
      </c>
      <c r="K181" s="39" t="n">
        <f aca="false">IF(G181="","",MAX(0,G181-J181/100))</f>
        <v>0.467376026765655</v>
      </c>
      <c r="L181" s="39" t="n">
        <f aca="false">IF(G181="","",MIN(1,G181+J181/100))</f>
        <v>0.524872035249849</v>
      </c>
      <c r="M181" s="21" t="n">
        <f aca="false">ROUND(Q181*S181,0)</f>
        <v>24</v>
      </c>
      <c r="N181" s="21" t="n">
        <f aca="false">ROUND(SQRT((F181*J181/100)^2+(G181*M181)^2),0)</f>
        <v>16</v>
      </c>
      <c r="P181" s="41" t="n">
        <v>-3.98974420861123</v>
      </c>
      <c r="Q181" s="42" t="n">
        <v>387</v>
      </c>
      <c r="R181" s="43" t="n">
        <f aca="false">MAX(0,MIN(1,P181/100+$D$5))</f>
        <v>0.495858920151687</v>
      </c>
      <c r="S181" s="43" t="n">
        <v>0.0610405690258335</v>
      </c>
      <c r="T181" s="44" t="s">
        <v>90</v>
      </c>
    </row>
    <row r="182" customFormat="false" ht="15" hidden="false" customHeight="false" outlineLevel="0" collapsed="false">
      <c r="A182" s="38" t="s">
        <v>156</v>
      </c>
      <c r="B182" s="38" t="s">
        <v>287</v>
      </c>
      <c r="C182" s="38" t="s">
        <v>289</v>
      </c>
      <c r="D182" s="21" t="n">
        <f aca="false">ROUND(Q182*R182,0)</f>
        <v>138</v>
      </c>
      <c r="E182" s="21" t="n">
        <f aca="false">ROUND(Q182,0)-D182</f>
        <v>164</v>
      </c>
      <c r="F182" s="21" t="n">
        <f aca="false">IF(COUNTA(D182:E182)=0,"",SUM(D182:E182))</f>
        <v>302</v>
      </c>
      <c r="G182" s="39" t="n">
        <f aca="false">IF(OR(F182="",F182=0),"",D182/F182)</f>
        <v>0.456953642384106</v>
      </c>
      <c r="H182" s="39" t="n">
        <f aca="false">IF(OR(F182="",F182=0),"",E182/F182)</f>
        <v>0.543046357615894</v>
      </c>
      <c r="I182" s="38" t="s">
        <v>89</v>
      </c>
      <c r="J182" s="40" t="n">
        <v>2.87480042420966</v>
      </c>
      <c r="K182" s="39" t="n">
        <f aca="false">IF(G182="","",MAX(0,G182-J182/100))</f>
        <v>0.428205638142009</v>
      </c>
      <c r="L182" s="39" t="n">
        <f aca="false">IF(G182="","",MIN(1,G182+J182/100))</f>
        <v>0.485701646626203</v>
      </c>
      <c r="M182" s="21" t="n">
        <f aca="false">ROUND(Q182*S182,0)</f>
        <v>18</v>
      </c>
      <c r="N182" s="21" t="n">
        <f aca="false">ROUND(SQRT((F182*J182/100)^2+(G182*M182)^2),0)</f>
        <v>12</v>
      </c>
      <c r="P182" s="41" t="n">
        <v>-8.01158807559123</v>
      </c>
      <c r="Q182" s="42" t="n">
        <v>302</v>
      </c>
      <c r="R182" s="43" t="n">
        <f aca="false">MAX(0,MIN(1,P182/100+$D$5))</f>
        <v>0.455640481481887</v>
      </c>
      <c r="S182" s="43" t="n">
        <v>0.0610405690258335</v>
      </c>
      <c r="T182" s="44" t="s">
        <v>90</v>
      </c>
    </row>
    <row r="183" customFormat="false" ht="15" hidden="false" customHeight="false" outlineLevel="0" collapsed="false">
      <c r="A183" s="38" t="s">
        <v>156</v>
      </c>
      <c r="B183" s="38" t="s">
        <v>287</v>
      </c>
      <c r="C183" s="38" t="s">
        <v>290</v>
      </c>
      <c r="D183" s="21" t="n">
        <f aca="false">ROUND(Q183*R183,0)</f>
        <v>308</v>
      </c>
      <c r="E183" s="21" t="n">
        <f aca="false">ROUND(Q183,0)-D183</f>
        <v>354</v>
      </c>
      <c r="F183" s="21" t="n">
        <f aca="false">IF(COUNTA(D183:E183)=0,"",SUM(D183:E183))</f>
        <v>662</v>
      </c>
      <c r="G183" s="39" t="n">
        <f aca="false">IF(OR(F183="",F183=0),"",D183/F183)</f>
        <v>0.465256797583082</v>
      </c>
      <c r="H183" s="39" t="n">
        <f aca="false">IF(OR(F183="",F183=0),"",E183/F183)</f>
        <v>0.534743202416918</v>
      </c>
      <c r="I183" s="38" t="s">
        <v>89</v>
      </c>
      <c r="J183" s="40" t="n">
        <v>2.87480042420966</v>
      </c>
      <c r="K183" s="39" t="n">
        <f aca="false">IF(G183="","",MAX(0,G183-J183/100))</f>
        <v>0.436508793340985</v>
      </c>
      <c r="L183" s="39" t="n">
        <f aca="false">IF(G183="","",MIN(1,G183+J183/100))</f>
        <v>0.494004801825178</v>
      </c>
      <c r="M183" s="21" t="n">
        <f aca="false">ROUND(Q183*S183,0)</f>
        <v>40</v>
      </c>
      <c r="N183" s="21" t="n">
        <f aca="false">ROUND(SQRT((F183*J183/100)^2+(G183*M183)^2),0)</f>
        <v>27</v>
      </c>
      <c r="P183" s="41" t="n">
        <v>-7.0799223408286</v>
      </c>
      <c r="Q183" s="42" t="n">
        <v>662</v>
      </c>
      <c r="R183" s="43" t="n">
        <f aca="false">MAX(0,MIN(1,P183/100+$D$5))</f>
        <v>0.464957138829513</v>
      </c>
      <c r="S183" s="43" t="n">
        <v>0.0610405690258335</v>
      </c>
      <c r="T183" s="44" t="s">
        <v>90</v>
      </c>
    </row>
    <row r="184" customFormat="false" ht="15" hidden="false" customHeight="false" outlineLevel="0" collapsed="false">
      <c r="A184" s="38" t="s">
        <v>156</v>
      </c>
      <c r="B184" s="38" t="s">
        <v>291</v>
      </c>
      <c r="C184" s="38" t="s">
        <v>292</v>
      </c>
      <c r="D184" s="21" t="n">
        <f aca="false">ROUND(Q184*R184,0)</f>
        <v>778</v>
      </c>
      <c r="E184" s="21" t="n">
        <f aca="false">ROUND(Q184,0)-D184</f>
        <v>642</v>
      </c>
      <c r="F184" s="21" t="n">
        <f aca="false">IF(COUNTA(D184:E184)=0,"",SUM(D184:E184))</f>
        <v>1420</v>
      </c>
      <c r="G184" s="39" t="n">
        <f aca="false">IF(OR(F184="",F184=0),"",D184/F184)</f>
        <v>0.547887323943662</v>
      </c>
      <c r="H184" s="39" t="n">
        <f aca="false">IF(OR(F184="",F184=0),"",E184/F184)</f>
        <v>0.452112676056338</v>
      </c>
      <c r="I184" s="38" t="s">
        <v>89</v>
      </c>
      <c r="J184" s="40" t="n">
        <v>1.87117215961084</v>
      </c>
      <c r="K184" s="39" t="n">
        <f aca="false">IF(G184="","",MAX(0,G184-J184/100))</f>
        <v>0.529175602347554</v>
      </c>
      <c r="L184" s="39" t="n">
        <f aca="false">IF(G184="","",MIN(1,G184+J184/100))</f>
        <v>0.566599045539771</v>
      </c>
      <c r="M184" s="21" t="n">
        <f aca="false">ROUND(Q184*S184,0)</f>
        <v>185</v>
      </c>
      <c r="N184" s="21" t="n">
        <f aca="false">ROUND(SQRT((F184*J184/100)^2+(G184*M184)^2),0)</f>
        <v>105</v>
      </c>
      <c r="P184" s="41" t="n">
        <v>1.18931116816569</v>
      </c>
      <c r="Q184" s="42" t="n">
        <v>1420</v>
      </c>
      <c r="R184" s="43" t="n">
        <f aca="false">MAX(0,MIN(1,P184/100+$D$5))</f>
        <v>0.547649473919456</v>
      </c>
      <c r="S184" s="43" t="n">
        <v>0.130204099606216</v>
      </c>
      <c r="T184" s="44" t="s">
        <v>192</v>
      </c>
    </row>
    <row r="185" customFormat="false" ht="15" hidden="false" customHeight="false" outlineLevel="0" collapsed="false">
      <c r="A185" s="38" t="s">
        <v>156</v>
      </c>
      <c r="B185" s="38" t="s">
        <v>291</v>
      </c>
      <c r="C185" s="38" t="s">
        <v>293</v>
      </c>
      <c r="D185" s="21" t="n">
        <f aca="false">ROUND(Q185*R185,0)</f>
        <v>357</v>
      </c>
      <c r="E185" s="21" t="n">
        <f aca="false">ROUND(Q185,0)-D185</f>
        <v>292</v>
      </c>
      <c r="F185" s="21" t="n">
        <f aca="false">IF(COUNTA(D185:E185)=0,"",SUM(D185:E185))</f>
        <v>649</v>
      </c>
      <c r="G185" s="39" t="n">
        <f aca="false">IF(OR(F185="",F185=0),"",D185/F185)</f>
        <v>0.550077041602465</v>
      </c>
      <c r="H185" s="39" t="n">
        <f aca="false">IF(OR(F185="",F185=0),"",E185/F185)</f>
        <v>0.449922958397535</v>
      </c>
      <c r="I185" s="38" t="s">
        <v>89</v>
      </c>
      <c r="J185" s="40" t="n">
        <v>2.87480042420966</v>
      </c>
      <c r="K185" s="39" t="n">
        <f aca="false">IF(G185="","",MAX(0,G185-J185/100))</f>
        <v>0.521329037360369</v>
      </c>
      <c r="L185" s="39" t="n">
        <f aca="false">IF(G185="","",MIN(1,G185+J185/100))</f>
        <v>0.578825045844562</v>
      </c>
      <c r="M185" s="21" t="n">
        <f aca="false">ROUND(Q185*S185,0)</f>
        <v>40</v>
      </c>
      <c r="N185" s="21" t="n">
        <f aca="false">ROUND(SQRT((F185*J185/100)^2+(G185*M185)^2),0)</f>
        <v>29</v>
      </c>
      <c r="P185" s="41" t="n">
        <v>1.37192445354278</v>
      </c>
      <c r="Q185" s="42" t="n">
        <v>649</v>
      </c>
      <c r="R185" s="43" t="n">
        <f aca="false">MAX(0,MIN(1,P185/100+$D$5))</f>
        <v>0.549475606773227</v>
      </c>
      <c r="S185" s="43" t="n">
        <v>0.0610405690258335</v>
      </c>
      <c r="T185" s="44" t="s">
        <v>90</v>
      </c>
    </row>
    <row r="186" customFormat="false" ht="15" hidden="false" customHeight="false" outlineLevel="0" collapsed="false">
      <c r="A186" s="38" t="s">
        <v>156</v>
      </c>
      <c r="B186" s="38" t="s">
        <v>291</v>
      </c>
      <c r="C186" s="38" t="s">
        <v>294</v>
      </c>
      <c r="D186" s="21" t="n">
        <f aca="false">ROUND(Q186*R186,0)</f>
        <v>929</v>
      </c>
      <c r="E186" s="21" t="n">
        <f aca="false">ROUND(Q186,0)-D186</f>
        <v>637</v>
      </c>
      <c r="F186" s="21" t="n">
        <f aca="false">IF(COUNTA(D186:E186)=0,"",SUM(D186:E186))</f>
        <v>1566</v>
      </c>
      <c r="G186" s="39" t="n">
        <f aca="false">IF(OR(F186="",F186=0),"",D186/F186)</f>
        <v>0.59323116219668</v>
      </c>
      <c r="H186" s="39" t="n">
        <f aca="false">IF(OR(F186="",F186=0),"",E186/F186)</f>
        <v>0.406768837803321</v>
      </c>
      <c r="I186" s="38" t="s">
        <v>89</v>
      </c>
      <c r="J186" s="40" t="n">
        <v>1.87117215961084</v>
      </c>
      <c r="K186" s="39" t="n">
        <f aca="false">IF(G186="","",MAX(0,G186-J186/100))</f>
        <v>0.574519440600571</v>
      </c>
      <c r="L186" s="39" t="n">
        <f aca="false">IF(G186="","",MIN(1,G186+J186/100))</f>
        <v>0.611942883792788</v>
      </c>
      <c r="M186" s="21" t="n">
        <f aca="false">ROUND(Q186*S186,0)</f>
        <v>204</v>
      </c>
      <c r="N186" s="21" t="n">
        <f aca="false">ROUND(SQRT((F186*J186/100)^2+(G186*M186)^2),0)</f>
        <v>125</v>
      </c>
      <c r="P186" s="41" t="n">
        <v>5.73633531808873</v>
      </c>
      <c r="Q186" s="42" t="n">
        <v>1566</v>
      </c>
      <c r="R186" s="43" t="n">
        <f aca="false">MAX(0,MIN(1,P186/100+$D$5))</f>
        <v>0.593119715418686</v>
      </c>
      <c r="S186" s="43" t="n">
        <v>0.130204099606216</v>
      </c>
      <c r="T186" s="44" t="s">
        <v>192</v>
      </c>
    </row>
    <row r="187" customFormat="false" ht="15" hidden="false" customHeight="false" outlineLevel="0" collapsed="false">
      <c r="A187" s="38" t="s">
        <v>156</v>
      </c>
      <c r="B187" s="38" t="s">
        <v>291</v>
      </c>
      <c r="C187" s="38" t="s">
        <v>295</v>
      </c>
      <c r="D187" s="21" t="n">
        <f aca="false">ROUND(Q187*R187,0)</f>
        <v>464</v>
      </c>
      <c r="E187" s="21" t="n">
        <f aca="false">ROUND(Q187,0)-D187</f>
        <v>397</v>
      </c>
      <c r="F187" s="21" t="n">
        <f aca="false">IF(COUNTA(D187:E187)=0,"",SUM(D187:E187))</f>
        <v>861</v>
      </c>
      <c r="G187" s="39" t="n">
        <f aca="false">IF(OR(F187="",F187=0),"",D187/F187)</f>
        <v>0.538908246225319</v>
      </c>
      <c r="H187" s="39" t="n">
        <f aca="false">IF(OR(F187="",F187=0),"",E187/F187)</f>
        <v>0.461091753774681</v>
      </c>
      <c r="I187" s="38" t="s">
        <v>89</v>
      </c>
      <c r="J187" s="40" t="n">
        <v>1.92472098334064</v>
      </c>
      <c r="K187" s="39" t="n">
        <f aca="false">IF(G187="","",MAX(0,G187-J187/100))</f>
        <v>0.519661036391913</v>
      </c>
      <c r="L187" s="39" t="n">
        <f aca="false">IF(G187="","",MIN(1,G187+J187/100))</f>
        <v>0.558155456058726</v>
      </c>
      <c r="M187" s="21" t="n">
        <f aca="false">ROUND(Q187*S187,0)</f>
        <v>43</v>
      </c>
      <c r="N187" s="21" t="n">
        <f aca="false">ROUND(SQRT((F187*J187/100)^2+(G187*M187)^2),0)</f>
        <v>28</v>
      </c>
      <c r="P187" s="41" t="n">
        <v>0.335470292836341</v>
      </c>
      <c r="Q187" s="42" t="n">
        <v>861</v>
      </c>
      <c r="R187" s="43" t="n">
        <f aca="false">MAX(0,MIN(1,P187/100+$D$5))</f>
        <v>0.539111065166162</v>
      </c>
      <c r="S187" s="43" t="n">
        <v>0.0500321312575726</v>
      </c>
      <c r="T187" s="44" t="s">
        <v>99</v>
      </c>
    </row>
    <row r="188" customFormat="false" ht="15" hidden="false" customHeight="false" outlineLevel="0" collapsed="false">
      <c r="A188" s="38" t="s">
        <v>156</v>
      </c>
      <c r="B188" s="38" t="s">
        <v>291</v>
      </c>
      <c r="C188" s="38" t="s">
        <v>296</v>
      </c>
      <c r="D188" s="21" t="n">
        <f aca="false">ROUND(Q188*R188,0)</f>
        <v>871</v>
      </c>
      <c r="E188" s="21" t="n">
        <f aca="false">ROUND(Q188,0)-D188</f>
        <v>545</v>
      </c>
      <c r="F188" s="21" t="n">
        <f aca="false">IF(COUNTA(D188:E188)=0,"",SUM(D188:E188))</f>
        <v>1416</v>
      </c>
      <c r="G188" s="39" t="n">
        <f aca="false">IF(OR(F188="",F188=0),"",D188/F188)</f>
        <v>0.615112994350282</v>
      </c>
      <c r="H188" s="39" t="n">
        <f aca="false">IF(OR(F188="",F188=0),"",E188/F188)</f>
        <v>0.384887005649718</v>
      </c>
      <c r="I188" s="38" t="s">
        <v>89</v>
      </c>
      <c r="J188" s="40" t="n">
        <v>1.87117215961084</v>
      </c>
      <c r="K188" s="39" t="n">
        <f aca="false">IF(G188="","",MAX(0,G188-J188/100))</f>
        <v>0.596401272754174</v>
      </c>
      <c r="L188" s="39" t="n">
        <f aca="false">IF(G188="","",MIN(1,G188+J188/100))</f>
        <v>0.633824715946391</v>
      </c>
      <c r="M188" s="21" t="n">
        <f aca="false">ROUND(Q188*S188,0)</f>
        <v>184</v>
      </c>
      <c r="N188" s="21" t="n">
        <f aca="false">ROUND(SQRT((F188*J188/100)^2+(G188*M188)^2),0)</f>
        <v>116</v>
      </c>
      <c r="P188" s="41" t="n">
        <v>7.96079379732987</v>
      </c>
      <c r="Q188" s="42" t="n">
        <v>1416</v>
      </c>
      <c r="R188" s="43" t="n">
        <f aca="false">MAX(0,MIN(1,P188/100+$D$5))</f>
        <v>0.615364300211098</v>
      </c>
      <c r="S188" s="43" t="n">
        <v>0.130204099606216</v>
      </c>
      <c r="T188" s="44" t="s">
        <v>192</v>
      </c>
    </row>
    <row r="189" customFormat="false" ht="15" hidden="false" customHeight="false" outlineLevel="0" collapsed="false">
      <c r="A189" s="38" t="s">
        <v>156</v>
      </c>
      <c r="B189" s="38" t="s">
        <v>291</v>
      </c>
      <c r="C189" s="38" t="s">
        <v>297</v>
      </c>
      <c r="D189" s="21" t="n">
        <f aca="false">ROUND(Q189*R189,0)</f>
        <v>876</v>
      </c>
      <c r="E189" s="21" t="n">
        <f aca="false">ROUND(Q189,0)-D189</f>
        <v>540</v>
      </c>
      <c r="F189" s="21" t="n">
        <f aca="false">IF(COUNTA(D189:E189)=0,"",SUM(D189:E189))</f>
        <v>1416</v>
      </c>
      <c r="G189" s="39" t="n">
        <f aca="false">IF(OR(F189="",F189=0),"",D189/F189)</f>
        <v>0.61864406779661</v>
      </c>
      <c r="H189" s="39" t="n">
        <f aca="false">IF(OR(F189="",F189=0),"",E189/F189)</f>
        <v>0.38135593220339</v>
      </c>
      <c r="I189" s="38" t="s">
        <v>89</v>
      </c>
      <c r="J189" s="40" t="n">
        <v>1.87117215961084</v>
      </c>
      <c r="K189" s="39" t="n">
        <f aca="false">IF(G189="","",MAX(0,G189-J189/100))</f>
        <v>0.599932346200502</v>
      </c>
      <c r="L189" s="39" t="n">
        <f aca="false">IF(G189="","",MIN(1,G189+J189/100))</f>
        <v>0.637355789392719</v>
      </c>
      <c r="M189" s="21" t="n">
        <f aca="false">ROUND(Q189*S189,0)</f>
        <v>184</v>
      </c>
      <c r="N189" s="21" t="n">
        <f aca="false">ROUND(SQRT((F189*J189/100)^2+(G189*M189)^2),0)</f>
        <v>117</v>
      </c>
      <c r="P189" s="41" t="n">
        <v>8.26877906322597</v>
      </c>
      <c r="Q189" s="42" t="n">
        <v>1416</v>
      </c>
      <c r="R189" s="43" t="n">
        <f aca="false">MAX(0,MIN(1,P189/100+$D$5))</f>
        <v>0.618444152870058</v>
      </c>
      <c r="S189" s="43" t="n">
        <v>0.130204099606216</v>
      </c>
      <c r="T189" s="44" t="s">
        <v>192</v>
      </c>
    </row>
    <row r="190" customFormat="false" ht="15" hidden="false" customHeight="false" outlineLevel="0" collapsed="false">
      <c r="A190" s="38" t="s">
        <v>156</v>
      </c>
      <c r="B190" s="38" t="s">
        <v>291</v>
      </c>
      <c r="C190" s="38" t="s">
        <v>298</v>
      </c>
      <c r="D190" s="21" t="n">
        <f aca="false">ROUND(Q190*R190,0)</f>
        <v>425</v>
      </c>
      <c r="E190" s="21" t="n">
        <f aca="false">ROUND(Q190,0)-D190</f>
        <v>333</v>
      </c>
      <c r="F190" s="21" t="n">
        <f aca="false">IF(COUNTA(D190:E190)=0,"",SUM(D190:E190))</f>
        <v>758</v>
      </c>
      <c r="G190" s="39" t="n">
        <f aca="false">IF(OR(F190="",F190=0),"",D190/F190)</f>
        <v>0.560686015831135</v>
      </c>
      <c r="H190" s="39" t="n">
        <f aca="false">IF(OR(F190="",F190=0),"",E190/F190)</f>
        <v>0.439313984168865</v>
      </c>
      <c r="I190" s="38" t="s">
        <v>89</v>
      </c>
      <c r="J190" s="40" t="n">
        <v>2.87480042420966</v>
      </c>
      <c r="K190" s="39" t="n">
        <f aca="false">IF(G190="","",MAX(0,G190-J190/100))</f>
        <v>0.531938011589038</v>
      </c>
      <c r="L190" s="39" t="n">
        <f aca="false">IF(G190="","",MIN(1,G190+J190/100))</f>
        <v>0.589434020073231</v>
      </c>
      <c r="M190" s="21" t="n">
        <f aca="false">ROUND(Q190*S190,0)</f>
        <v>46</v>
      </c>
      <c r="N190" s="21" t="n">
        <f aca="false">ROUND(SQRT((F190*J190/100)^2+(G190*M190)^2),0)</f>
        <v>34</v>
      </c>
      <c r="P190" s="41" t="n">
        <v>2.44456659333394</v>
      </c>
      <c r="Q190" s="42" t="n">
        <v>758</v>
      </c>
      <c r="R190" s="43" t="n">
        <f aca="false">MAX(0,MIN(1,P190/100+$D$5))</f>
        <v>0.560202028171138</v>
      </c>
      <c r="S190" s="43" t="n">
        <v>0.0610405690258335</v>
      </c>
      <c r="T190" s="44" t="s">
        <v>90</v>
      </c>
    </row>
    <row r="191" customFormat="false" ht="15" hidden="false" customHeight="false" outlineLevel="0" collapsed="false">
      <c r="A191" s="38" t="s">
        <v>156</v>
      </c>
      <c r="B191" s="38" t="s">
        <v>291</v>
      </c>
      <c r="C191" s="38" t="s">
        <v>299</v>
      </c>
      <c r="D191" s="21" t="n">
        <f aca="false">ROUND(Q191*R191,0)</f>
        <v>1106</v>
      </c>
      <c r="E191" s="21" t="n">
        <f aca="false">ROUND(Q191,0)-D191</f>
        <v>927</v>
      </c>
      <c r="F191" s="21" t="n">
        <f aca="false">IF(COUNTA(D191:E191)=0,"",SUM(D191:E191))</f>
        <v>2033</v>
      </c>
      <c r="G191" s="39" t="n">
        <f aca="false">IF(OR(F191="",F191=0),"",D191/F191)</f>
        <v>0.544023610427939</v>
      </c>
      <c r="H191" s="39" t="n">
        <f aca="false">IF(OR(F191="",F191=0),"",E191/F191)</f>
        <v>0.455976389572061</v>
      </c>
      <c r="I191" s="38" t="s">
        <v>89</v>
      </c>
      <c r="J191" s="40" t="n">
        <v>1.87117215961084</v>
      </c>
      <c r="K191" s="39" t="n">
        <f aca="false">IF(G191="","",MAX(0,G191-J191/100))</f>
        <v>0.525311888831831</v>
      </c>
      <c r="L191" s="39" t="n">
        <f aca="false">IF(G191="","",MIN(1,G191+J191/100))</f>
        <v>0.562735332024048</v>
      </c>
      <c r="M191" s="21" t="n">
        <f aca="false">ROUND(Q191*S191,0)</f>
        <v>265</v>
      </c>
      <c r="N191" s="21" t="n">
        <f aca="false">ROUND(SQRT((F191*J191/100)^2+(G191*M191)^2),0)</f>
        <v>149</v>
      </c>
      <c r="P191" s="41" t="n">
        <v>0.827439348574708</v>
      </c>
      <c r="Q191" s="42" t="n">
        <v>2033</v>
      </c>
      <c r="R191" s="43" t="n">
        <f aca="false">MAX(0,MIN(1,P191/100+$D$5))</f>
        <v>0.544030755723546</v>
      </c>
      <c r="S191" s="43" t="n">
        <v>0.130204099606216</v>
      </c>
      <c r="T191" s="44" t="s">
        <v>192</v>
      </c>
    </row>
    <row r="192" customFormat="false" ht="15" hidden="false" customHeight="false" outlineLevel="0" collapsed="false">
      <c r="A192" s="38" t="s">
        <v>156</v>
      </c>
      <c r="B192" s="38" t="s">
        <v>300</v>
      </c>
      <c r="C192" s="38" t="s">
        <v>301</v>
      </c>
      <c r="D192" s="21" t="n">
        <f aca="false">ROUND(Q192*R192,0)</f>
        <v>821</v>
      </c>
      <c r="E192" s="21" t="n">
        <f aca="false">ROUND(Q192,0)-D192</f>
        <v>694</v>
      </c>
      <c r="F192" s="21" t="n">
        <f aca="false">IF(COUNTA(D192:E192)=0,"",SUM(D192:E192))</f>
        <v>1515</v>
      </c>
      <c r="G192" s="39" t="n">
        <f aca="false">IF(OR(F192="",F192=0),"",D192/F192)</f>
        <v>0.541914191419142</v>
      </c>
      <c r="H192" s="39" t="n">
        <f aca="false">IF(OR(F192="",F192=0),"",E192/F192)</f>
        <v>0.458085808580858</v>
      </c>
      <c r="I192" s="38" t="s">
        <v>89</v>
      </c>
      <c r="J192" s="40" t="n">
        <v>1.87117215961084</v>
      </c>
      <c r="K192" s="39" t="n">
        <f aca="false">IF(G192="","",MAX(0,G192-J192/100))</f>
        <v>0.523202469823033</v>
      </c>
      <c r="L192" s="39" t="n">
        <f aca="false">IF(G192="","",MIN(1,G192+J192/100))</f>
        <v>0.56062591301525</v>
      </c>
      <c r="M192" s="21" t="n">
        <f aca="false">ROUND(Q192*S192,0)</f>
        <v>197</v>
      </c>
      <c r="N192" s="21" t="n">
        <f aca="false">ROUND(SQRT((F192*J192/100)^2+(G192*M192)^2),0)</f>
        <v>110</v>
      </c>
      <c r="P192" s="41" t="n">
        <v>0.599661345397501</v>
      </c>
      <c r="Q192" s="42" t="n">
        <v>1515</v>
      </c>
      <c r="R192" s="43" t="n">
        <f aca="false">MAX(0,MIN(1,P192/100+$D$5))</f>
        <v>0.541752975691774</v>
      </c>
      <c r="S192" s="43" t="n">
        <v>0.130204099606216</v>
      </c>
      <c r="T192" s="44" t="s">
        <v>192</v>
      </c>
    </row>
    <row r="193" customFormat="false" ht="15" hidden="false" customHeight="false" outlineLevel="0" collapsed="false">
      <c r="A193" s="38" t="s">
        <v>156</v>
      </c>
      <c r="B193" s="38" t="s">
        <v>300</v>
      </c>
      <c r="C193" s="38" t="s">
        <v>302</v>
      </c>
      <c r="D193" s="21" t="n">
        <f aca="false">ROUND(Q193*R193,0)</f>
        <v>1127</v>
      </c>
      <c r="E193" s="21" t="n">
        <f aca="false">ROUND(Q193,0)-D193</f>
        <v>965</v>
      </c>
      <c r="F193" s="21" t="n">
        <f aca="false">IF(COUNTA(D193:E193)=0,"",SUM(D193:E193))</f>
        <v>2092</v>
      </c>
      <c r="G193" s="39" t="n">
        <f aca="false">IF(OR(F193="",F193=0),"",D193/F193)</f>
        <v>0.538718929254302</v>
      </c>
      <c r="H193" s="39" t="n">
        <f aca="false">IF(OR(F193="",F193=0),"",E193/F193)</f>
        <v>0.461281070745698</v>
      </c>
      <c r="I193" s="38" t="s">
        <v>89</v>
      </c>
      <c r="J193" s="40" t="n">
        <v>1.87117215961084</v>
      </c>
      <c r="K193" s="39" t="n">
        <f aca="false">IF(G193="","",MAX(0,G193-J193/100))</f>
        <v>0.520007207658194</v>
      </c>
      <c r="L193" s="39" t="n">
        <f aca="false">IF(G193="","",MIN(1,G193+J193/100))</f>
        <v>0.557430650850411</v>
      </c>
      <c r="M193" s="21" t="n">
        <f aca="false">ROUND(Q193*S193,0)</f>
        <v>272</v>
      </c>
      <c r="N193" s="21" t="n">
        <f aca="false">ROUND(SQRT((F193*J193/100)^2+(G193*M193)^2),0)</f>
        <v>152</v>
      </c>
      <c r="P193" s="41" t="n">
        <v>0.296199841798343</v>
      </c>
      <c r="Q193" s="42" t="n">
        <v>2092</v>
      </c>
      <c r="R193" s="43" t="n">
        <f aca="false">MAX(0,MIN(1,P193/100+$D$5))</f>
        <v>0.538718360655782</v>
      </c>
      <c r="S193" s="43" t="n">
        <v>0.130204099606216</v>
      </c>
      <c r="T193" s="44" t="s">
        <v>192</v>
      </c>
    </row>
    <row r="194" customFormat="false" ht="15" hidden="false" customHeight="false" outlineLevel="0" collapsed="false">
      <c r="A194" s="38" t="s">
        <v>156</v>
      </c>
      <c r="B194" s="38" t="s">
        <v>300</v>
      </c>
      <c r="C194" s="38" t="s">
        <v>303</v>
      </c>
      <c r="D194" s="21" t="n">
        <f aca="false">ROUND(Q194*R194,0)</f>
        <v>703</v>
      </c>
      <c r="E194" s="21" t="n">
        <f aca="false">ROUND(Q194,0)-D194</f>
        <v>660</v>
      </c>
      <c r="F194" s="21" t="n">
        <f aca="false">IF(COUNTA(D194:E194)=0,"",SUM(D194:E194))</f>
        <v>1363</v>
      </c>
      <c r="G194" s="39" t="n">
        <f aca="false">IF(OR(F194="",F194=0),"",D194/F194)</f>
        <v>0.515774027879677</v>
      </c>
      <c r="H194" s="39" t="n">
        <f aca="false">IF(OR(F194="",F194=0),"",E194/F194)</f>
        <v>0.484225972120323</v>
      </c>
      <c r="I194" s="38" t="s">
        <v>89</v>
      </c>
      <c r="J194" s="40" t="n">
        <v>1.87117215961084</v>
      </c>
      <c r="K194" s="39" t="n">
        <f aca="false">IF(G194="","",MAX(0,G194-J194/100))</f>
        <v>0.497062306283569</v>
      </c>
      <c r="L194" s="39" t="n">
        <f aca="false">IF(G194="","",MIN(1,G194+J194/100))</f>
        <v>0.534485749475786</v>
      </c>
      <c r="M194" s="21" t="n">
        <f aca="false">ROUND(Q194*S194,0)</f>
        <v>177</v>
      </c>
      <c r="N194" s="21" t="n">
        <f aca="false">ROUND(SQRT((F194*J194/100)^2+(G194*M194)^2),0)</f>
        <v>95</v>
      </c>
      <c r="P194" s="41" t="n">
        <v>-2.00118497054399</v>
      </c>
      <c r="Q194" s="42" t="n">
        <v>1363</v>
      </c>
      <c r="R194" s="43" t="n">
        <f aca="false">MAX(0,MIN(1,P194/100+$D$5))</f>
        <v>0.515744512532359</v>
      </c>
      <c r="S194" s="43" t="n">
        <v>0.130204099606216</v>
      </c>
      <c r="T194" s="44" t="s">
        <v>192</v>
      </c>
    </row>
    <row r="195" customFormat="false" ht="15" hidden="false" customHeight="false" outlineLevel="0" collapsed="false">
      <c r="A195" s="38" t="s">
        <v>156</v>
      </c>
      <c r="B195" s="38" t="s">
        <v>300</v>
      </c>
      <c r="C195" s="38" t="s">
        <v>304</v>
      </c>
      <c r="D195" s="21" t="n">
        <f aca="false">ROUND(Q195*R195,0)</f>
        <v>524</v>
      </c>
      <c r="E195" s="21" t="n">
        <f aca="false">ROUND(Q195,0)-D195</f>
        <v>392</v>
      </c>
      <c r="F195" s="21" t="n">
        <f aca="false">IF(COUNTA(D195:E195)=0,"",SUM(D195:E195))</f>
        <v>916</v>
      </c>
      <c r="G195" s="39" t="n">
        <f aca="false">IF(OR(F195="",F195=0),"",D195/F195)</f>
        <v>0.572052401746725</v>
      </c>
      <c r="H195" s="39" t="n">
        <f aca="false">IF(OR(F195="",F195=0),"",E195/F195)</f>
        <v>0.427947598253275</v>
      </c>
      <c r="I195" s="38" t="s">
        <v>89</v>
      </c>
      <c r="J195" s="40" t="n">
        <v>1.92472098334064</v>
      </c>
      <c r="K195" s="39" t="n">
        <f aca="false">IF(G195="","",MAX(0,G195-J195/100))</f>
        <v>0.552805191913319</v>
      </c>
      <c r="L195" s="39" t="n">
        <f aca="false">IF(G195="","",MIN(1,G195+J195/100))</f>
        <v>0.591299611580131</v>
      </c>
      <c r="M195" s="21" t="n">
        <f aca="false">ROUND(Q195*S195,0)</f>
        <v>46</v>
      </c>
      <c r="N195" s="21" t="n">
        <f aca="false">ROUND(SQRT((F195*J195/100)^2+(G195*M195)^2),0)</f>
        <v>32</v>
      </c>
      <c r="P195" s="41" t="n">
        <v>3.58371477188208</v>
      </c>
      <c r="Q195" s="42" t="n">
        <v>916</v>
      </c>
      <c r="R195" s="43" t="n">
        <f aca="false">MAX(0,MIN(1,P195/100+$D$5))</f>
        <v>0.57159350995662</v>
      </c>
      <c r="S195" s="43" t="n">
        <v>0.0500321312575726</v>
      </c>
      <c r="T195" s="44" t="s">
        <v>99</v>
      </c>
    </row>
    <row r="196" customFormat="false" ht="15" hidden="false" customHeight="false" outlineLevel="0" collapsed="false">
      <c r="A196" s="38" t="s">
        <v>156</v>
      </c>
      <c r="B196" s="38" t="s">
        <v>300</v>
      </c>
      <c r="C196" s="38" t="s">
        <v>305</v>
      </c>
      <c r="D196" s="21" t="n">
        <f aca="false">ROUND(Q196*R196,0)</f>
        <v>1452</v>
      </c>
      <c r="E196" s="21" t="n">
        <f aca="false">ROUND(Q196,0)-D196</f>
        <v>1099</v>
      </c>
      <c r="F196" s="21" t="n">
        <f aca="false">IF(COUNTA(D196:E196)=0,"",SUM(D196:E196))</f>
        <v>2551</v>
      </c>
      <c r="G196" s="39" t="n">
        <f aca="false">IF(OR(F196="",F196=0),"",D196/F196)</f>
        <v>0.569188553508428</v>
      </c>
      <c r="H196" s="39" t="n">
        <f aca="false">IF(OR(F196="",F196=0),"",E196/F196)</f>
        <v>0.430811446491572</v>
      </c>
      <c r="I196" s="38" t="s">
        <v>89</v>
      </c>
      <c r="J196" s="40" t="n">
        <v>1.87117215961084</v>
      </c>
      <c r="K196" s="39" t="n">
        <f aca="false">IF(G196="","",MAX(0,G196-J196/100))</f>
        <v>0.55047683191232</v>
      </c>
      <c r="L196" s="39" t="n">
        <f aca="false">IF(G196="","",MIN(1,G196+J196/100))</f>
        <v>0.587900275104537</v>
      </c>
      <c r="M196" s="21" t="n">
        <f aca="false">ROUND(Q196*S196,0)</f>
        <v>332</v>
      </c>
      <c r="N196" s="21" t="n">
        <f aca="false">ROUND(SQRT((F196*J196/100)^2+(G196*M196)^2),0)</f>
        <v>195</v>
      </c>
      <c r="P196" s="41" t="n">
        <v>3.33496867987051</v>
      </c>
      <c r="Q196" s="42" t="n">
        <v>2551</v>
      </c>
      <c r="R196" s="43" t="n">
        <f aca="false">MAX(0,MIN(1,P196/100+$D$5))</f>
        <v>0.569106049036504</v>
      </c>
      <c r="S196" s="43" t="n">
        <v>0.130204099606216</v>
      </c>
      <c r="T196" s="44" t="s">
        <v>192</v>
      </c>
    </row>
    <row r="197" customFormat="false" ht="15" hidden="false" customHeight="false" outlineLevel="0" collapsed="false">
      <c r="A197" s="38" t="s">
        <v>156</v>
      </c>
      <c r="B197" s="38" t="s">
        <v>300</v>
      </c>
      <c r="C197" s="38" t="s">
        <v>306</v>
      </c>
      <c r="D197" s="21" t="n">
        <f aca="false">ROUND(Q197*R197,0)</f>
        <v>520</v>
      </c>
      <c r="E197" s="21" t="n">
        <f aca="false">ROUND(Q197,0)-D197</f>
        <v>422</v>
      </c>
      <c r="F197" s="21" t="n">
        <f aca="false">IF(COUNTA(D197:E197)=0,"",SUM(D197:E197))</f>
        <v>942</v>
      </c>
      <c r="G197" s="39" t="n">
        <f aca="false">IF(OR(F197="",F197=0),"",D197/F197)</f>
        <v>0.552016985138004</v>
      </c>
      <c r="H197" s="39" t="n">
        <f aca="false">IF(OR(F197="",F197=0),"",E197/F197)</f>
        <v>0.447983014861996</v>
      </c>
      <c r="I197" s="38" t="s">
        <v>89</v>
      </c>
      <c r="J197" s="40" t="n">
        <v>1.92472098334064</v>
      </c>
      <c r="K197" s="39" t="n">
        <f aca="false">IF(G197="","",MAX(0,G197-J197/100))</f>
        <v>0.532769775304598</v>
      </c>
      <c r="L197" s="39" t="n">
        <f aca="false">IF(G197="","",MIN(1,G197+J197/100))</f>
        <v>0.571264194971411</v>
      </c>
      <c r="M197" s="21" t="n">
        <f aca="false">ROUND(Q197*S197,0)</f>
        <v>47</v>
      </c>
      <c r="N197" s="21" t="n">
        <f aca="false">ROUND(SQRT((F197*J197/100)^2+(G197*M197)^2),0)</f>
        <v>32</v>
      </c>
      <c r="P197" s="41" t="n">
        <v>1.58802341166837</v>
      </c>
      <c r="Q197" s="42" t="n">
        <v>942</v>
      </c>
      <c r="R197" s="43" t="n">
        <f aca="false">MAX(0,MIN(1,P197/100+$D$5))</f>
        <v>0.551636596354483</v>
      </c>
      <c r="S197" s="43" t="n">
        <v>0.0500321312575726</v>
      </c>
      <c r="T197" s="44" t="s">
        <v>99</v>
      </c>
    </row>
    <row r="198" customFormat="false" ht="15" hidden="false" customHeight="false" outlineLevel="0" collapsed="false">
      <c r="A198" s="38" t="s">
        <v>156</v>
      </c>
      <c r="B198" s="38" t="s">
        <v>300</v>
      </c>
      <c r="C198" s="38" t="s">
        <v>307</v>
      </c>
      <c r="D198" s="21" t="n">
        <f aca="false">ROUND(Q198*R198,0)</f>
        <v>527</v>
      </c>
      <c r="E198" s="21" t="n">
        <f aca="false">ROUND(Q198,0)-D198</f>
        <v>371</v>
      </c>
      <c r="F198" s="21" t="n">
        <f aca="false">IF(COUNTA(D198:E198)=0,"",SUM(D198:E198))</f>
        <v>898</v>
      </c>
      <c r="G198" s="39" t="n">
        <f aca="false">IF(OR(F198="",F198=0),"",D198/F198)</f>
        <v>0.586859688195991</v>
      </c>
      <c r="H198" s="39" t="n">
        <f aca="false">IF(OR(F198="",F198=0),"",E198/F198)</f>
        <v>0.413140311804009</v>
      </c>
      <c r="I198" s="38" t="s">
        <v>89</v>
      </c>
      <c r="J198" s="40" t="n">
        <v>1.92472098334064</v>
      </c>
      <c r="K198" s="39" t="n">
        <f aca="false">IF(G198="","",MAX(0,G198-J198/100))</f>
        <v>0.567612478362585</v>
      </c>
      <c r="L198" s="39" t="n">
        <f aca="false">IF(G198="","",MIN(1,G198+J198/100))</f>
        <v>0.606106898029397</v>
      </c>
      <c r="M198" s="21" t="n">
        <f aca="false">ROUND(Q198*S198,0)</f>
        <v>45</v>
      </c>
      <c r="N198" s="21" t="n">
        <f aca="false">ROUND(SQRT((F198*J198/100)^2+(G198*M198)^2),0)</f>
        <v>32</v>
      </c>
      <c r="P198" s="41" t="n">
        <v>5.09803387055305</v>
      </c>
      <c r="Q198" s="42" t="n">
        <v>898</v>
      </c>
      <c r="R198" s="43" t="n">
        <f aca="false">MAX(0,MIN(1,P198/100+$D$5))</f>
        <v>0.586736700943329</v>
      </c>
      <c r="S198" s="43" t="n">
        <v>0.0500321312575726</v>
      </c>
      <c r="T198" s="44" t="s">
        <v>99</v>
      </c>
    </row>
    <row r="199" customFormat="false" ht="15" hidden="false" customHeight="false" outlineLevel="0" collapsed="false">
      <c r="A199" s="38" t="s">
        <v>156</v>
      </c>
      <c r="B199" s="38" t="s">
        <v>300</v>
      </c>
      <c r="C199" s="38" t="s">
        <v>308</v>
      </c>
      <c r="D199" s="21" t="n">
        <f aca="false">ROUND(Q199*R199,0)</f>
        <v>551</v>
      </c>
      <c r="E199" s="21" t="n">
        <f aca="false">ROUND(Q199,0)-D199</f>
        <v>438</v>
      </c>
      <c r="F199" s="21" t="n">
        <f aca="false">IF(COUNTA(D199:E199)=0,"",SUM(D199:E199))</f>
        <v>989</v>
      </c>
      <c r="G199" s="39" t="n">
        <f aca="false">IF(OR(F199="",F199=0),"",D199/F199)</f>
        <v>0.557128412537917</v>
      </c>
      <c r="H199" s="39" t="n">
        <f aca="false">IF(OR(F199="",F199=0),"",E199/F199)</f>
        <v>0.442871587462083</v>
      </c>
      <c r="I199" s="38" t="s">
        <v>89</v>
      </c>
      <c r="J199" s="40" t="n">
        <v>1.92472098334064</v>
      </c>
      <c r="K199" s="39" t="n">
        <f aca="false">IF(G199="","",MAX(0,G199-J199/100))</f>
        <v>0.537881202704511</v>
      </c>
      <c r="L199" s="39" t="n">
        <f aca="false">IF(G199="","",MIN(1,G199+J199/100))</f>
        <v>0.576375622371323</v>
      </c>
      <c r="M199" s="21" t="n">
        <f aca="false">ROUND(Q199*S199,0)</f>
        <v>49</v>
      </c>
      <c r="N199" s="21" t="n">
        <f aca="false">ROUND(SQRT((F199*J199/100)^2+(G199*M199)^2),0)</f>
        <v>33</v>
      </c>
      <c r="P199" s="41" t="n">
        <v>2.09828414744937</v>
      </c>
      <c r="Q199" s="42" t="n">
        <v>989</v>
      </c>
      <c r="R199" s="43" t="n">
        <f aca="false">MAX(0,MIN(1,P199/100+$D$5))</f>
        <v>0.556739203712293</v>
      </c>
      <c r="S199" s="43" t="n">
        <v>0.0500321312575726</v>
      </c>
      <c r="T199" s="44" t="s">
        <v>99</v>
      </c>
    </row>
    <row r="200" customFormat="false" ht="15" hidden="false" customHeight="false" outlineLevel="0" collapsed="false">
      <c r="A200" s="38" t="s">
        <v>156</v>
      </c>
      <c r="B200" s="38" t="s">
        <v>309</v>
      </c>
      <c r="C200" s="38" t="s">
        <v>310</v>
      </c>
      <c r="D200" s="21" t="n">
        <f aca="false">ROUND(Q200*R200,0)</f>
        <v>1246</v>
      </c>
      <c r="E200" s="21" t="n">
        <f aca="false">ROUND(Q200,0)-D200</f>
        <v>1248</v>
      </c>
      <c r="F200" s="21" t="n">
        <f aca="false">IF(COUNTA(D200:E200)=0,"",SUM(D200:E200))</f>
        <v>2494</v>
      </c>
      <c r="G200" s="39" t="n">
        <f aca="false">IF(OR(F200="",F200=0),"",D200/F200)</f>
        <v>0.499599037690457</v>
      </c>
      <c r="H200" s="39" t="n">
        <f aca="false">IF(OR(F200="",F200=0),"",E200/F200)</f>
        <v>0.500400962309543</v>
      </c>
      <c r="I200" s="38" t="s">
        <v>89</v>
      </c>
      <c r="J200" s="40" t="n">
        <v>1.87117215961084</v>
      </c>
      <c r="K200" s="39" t="n">
        <f aca="false">IF(G200="","",MAX(0,G200-J200/100))</f>
        <v>0.480887316094349</v>
      </c>
      <c r="L200" s="39" t="n">
        <f aca="false">IF(G200="","",MIN(1,G200+J200/100))</f>
        <v>0.518310759286566</v>
      </c>
      <c r="M200" s="21" t="n">
        <f aca="false">ROUND(Q200*S200,0)</f>
        <v>325</v>
      </c>
      <c r="N200" s="21" t="n">
        <f aca="false">ROUND(SQRT((F200*J200/100)^2+(G200*M200)^2),0)</f>
        <v>169</v>
      </c>
      <c r="P200" s="41" t="n">
        <v>-3.6107163390758</v>
      </c>
      <c r="Q200" s="42" t="n">
        <v>2494</v>
      </c>
      <c r="R200" s="43" t="n">
        <f aca="false">MAX(0,MIN(1,P200/100+$D$5))</f>
        <v>0.499649198847041</v>
      </c>
      <c r="S200" s="43" t="n">
        <v>0.130204099606216</v>
      </c>
      <c r="T200" s="44" t="s">
        <v>192</v>
      </c>
    </row>
    <row r="201" customFormat="false" ht="15" hidden="false" customHeight="false" outlineLevel="0" collapsed="false">
      <c r="A201" s="38" t="s">
        <v>156</v>
      </c>
      <c r="B201" s="38" t="s">
        <v>309</v>
      </c>
      <c r="C201" s="38" t="s">
        <v>311</v>
      </c>
      <c r="D201" s="21" t="n">
        <f aca="false">ROUND(Q201*R201,0)</f>
        <v>831</v>
      </c>
      <c r="E201" s="21" t="n">
        <f aca="false">ROUND(Q201,0)-D201</f>
        <v>1157</v>
      </c>
      <c r="F201" s="21" t="n">
        <f aca="false">IF(COUNTA(D201:E201)=0,"",SUM(D201:E201))</f>
        <v>1988</v>
      </c>
      <c r="G201" s="39" t="n">
        <f aca="false">IF(OR(F201="",F201=0),"",D201/F201)</f>
        <v>0.418008048289738</v>
      </c>
      <c r="H201" s="39" t="n">
        <f aca="false">IF(OR(F201="",F201=0),"",E201/F201)</f>
        <v>0.581991951710262</v>
      </c>
      <c r="I201" s="38" t="s">
        <v>89</v>
      </c>
      <c r="J201" s="40" t="n">
        <v>1.87117215961084</v>
      </c>
      <c r="K201" s="39" t="n">
        <f aca="false">IF(G201="","",MAX(0,G201-J201/100))</f>
        <v>0.39929632669363</v>
      </c>
      <c r="L201" s="39" t="n">
        <f aca="false">IF(G201="","",MIN(1,G201+J201/100))</f>
        <v>0.436719769885847</v>
      </c>
      <c r="M201" s="21" t="n">
        <f aca="false">ROUND(Q201*S201,0)</f>
        <v>259</v>
      </c>
      <c r="N201" s="21" t="n">
        <f aca="false">ROUND(SQRT((F201*J201/100)^2+(G201*M201)^2),0)</f>
        <v>114</v>
      </c>
      <c r="P201" s="41" t="n">
        <v>-11.7980416267237</v>
      </c>
      <c r="Q201" s="42" t="n">
        <v>1988</v>
      </c>
      <c r="R201" s="43" t="n">
        <f aca="false">MAX(0,MIN(1,P201/100+$D$5))</f>
        <v>0.417775945970562</v>
      </c>
      <c r="S201" s="43" t="n">
        <v>0.130204099606216</v>
      </c>
      <c r="T201" s="44" t="s">
        <v>192</v>
      </c>
    </row>
    <row r="202" customFormat="false" ht="15" hidden="false" customHeight="false" outlineLevel="0" collapsed="false">
      <c r="A202" s="38" t="s">
        <v>156</v>
      </c>
      <c r="B202" s="38" t="s">
        <v>312</v>
      </c>
      <c r="C202" s="38" t="s">
        <v>313</v>
      </c>
      <c r="D202" s="21" t="n">
        <f aca="false">ROUND(Q202*R202,0)</f>
        <v>935</v>
      </c>
      <c r="E202" s="21" t="n">
        <f aca="false">ROUND(Q202,0)-D202</f>
        <v>812</v>
      </c>
      <c r="F202" s="21" t="n">
        <f aca="false">IF(COUNTA(D202:E202)=0,"",SUM(D202:E202))</f>
        <v>1747</v>
      </c>
      <c r="G202" s="39" t="n">
        <f aca="false">IF(OR(F202="",F202=0),"",D202/F202)</f>
        <v>0.535203205495135</v>
      </c>
      <c r="H202" s="39" t="n">
        <f aca="false">IF(OR(F202="",F202=0),"",E202/F202)</f>
        <v>0.464796794504866</v>
      </c>
      <c r="I202" s="38" t="s">
        <v>89</v>
      </c>
      <c r="J202" s="40" t="n">
        <v>1.87117215961084</v>
      </c>
      <c r="K202" s="39" t="n">
        <f aca="false">IF(G202="","",MAX(0,G202-J202/100))</f>
        <v>0.516491483899026</v>
      </c>
      <c r="L202" s="39" t="n">
        <f aca="false">IF(G202="","",MIN(1,G202+J202/100))</f>
        <v>0.553914927091243</v>
      </c>
      <c r="M202" s="21" t="n">
        <f aca="false">ROUND(Q202*S202,0)</f>
        <v>227</v>
      </c>
      <c r="N202" s="21" t="n">
        <f aca="false">ROUND(SQRT((F202*J202/100)^2+(G202*M202)^2),0)</f>
        <v>126</v>
      </c>
      <c r="P202" s="41" t="n">
        <v>-0.0480327332676841</v>
      </c>
      <c r="Q202" s="42" t="n">
        <v>1747</v>
      </c>
      <c r="R202" s="43" t="n">
        <f aca="false">MAX(0,MIN(1,P202/100+$D$5))</f>
        <v>0.535276034905122</v>
      </c>
      <c r="S202" s="43" t="n">
        <v>0.130204099606216</v>
      </c>
      <c r="T202" s="44" t="s">
        <v>192</v>
      </c>
    </row>
    <row r="203" customFormat="false" ht="15" hidden="false" customHeight="false" outlineLevel="0" collapsed="false">
      <c r="A203" s="38" t="s">
        <v>156</v>
      </c>
      <c r="B203" s="38" t="s">
        <v>312</v>
      </c>
      <c r="C203" s="38" t="s">
        <v>314</v>
      </c>
      <c r="D203" s="21" t="n">
        <f aca="false">ROUND(Q203*R203,0)</f>
        <v>644</v>
      </c>
      <c r="E203" s="21" t="n">
        <f aca="false">ROUND(Q203,0)-D203</f>
        <v>592</v>
      </c>
      <c r="F203" s="21" t="n">
        <f aca="false">IF(COUNTA(D203:E203)=0,"",SUM(D203:E203))</f>
        <v>1236</v>
      </c>
      <c r="G203" s="39" t="n">
        <f aca="false">IF(OR(F203="",F203=0),"",D203/F203)</f>
        <v>0.521035598705502</v>
      </c>
      <c r="H203" s="39" t="n">
        <f aca="false">IF(OR(F203="",F203=0),"",E203/F203)</f>
        <v>0.478964401294498</v>
      </c>
      <c r="I203" s="38" t="s">
        <v>89</v>
      </c>
      <c r="J203" s="40" t="n">
        <v>1.87117215961084</v>
      </c>
      <c r="K203" s="39" t="n">
        <f aca="false">IF(G203="","",MAX(0,G203-J203/100))</f>
        <v>0.502323877109393</v>
      </c>
      <c r="L203" s="39" t="n">
        <f aca="false">IF(G203="","",MIN(1,G203+J203/100))</f>
        <v>0.53974732030161</v>
      </c>
      <c r="M203" s="21" t="n">
        <f aca="false">ROUND(Q203*S203,0)</f>
        <v>161</v>
      </c>
      <c r="N203" s="21" t="n">
        <f aca="false">ROUND(SQRT((F203*J203/100)^2+(G203*M203)^2),0)</f>
        <v>87</v>
      </c>
      <c r="P203" s="41" t="n">
        <v>-1.50673730236966</v>
      </c>
      <c r="Q203" s="42" t="n">
        <v>1236</v>
      </c>
      <c r="R203" s="43" t="n">
        <f aca="false">MAX(0,MIN(1,P203/100+$D$5))</f>
        <v>0.520688989214102</v>
      </c>
      <c r="S203" s="43" t="n">
        <v>0.130204099606216</v>
      </c>
      <c r="T203" s="44" t="s">
        <v>192</v>
      </c>
    </row>
    <row r="204" customFormat="false" ht="15" hidden="false" customHeight="false" outlineLevel="0" collapsed="false">
      <c r="A204" s="38" t="s">
        <v>156</v>
      </c>
      <c r="B204" s="38" t="s">
        <v>312</v>
      </c>
      <c r="C204" s="38" t="s">
        <v>315</v>
      </c>
      <c r="D204" s="21" t="n">
        <f aca="false">ROUND(Q204*R204,0)</f>
        <v>519</v>
      </c>
      <c r="E204" s="21" t="n">
        <f aca="false">ROUND(Q204,0)-D204</f>
        <v>485</v>
      </c>
      <c r="F204" s="21" t="n">
        <f aca="false">IF(COUNTA(D204:E204)=0,"",SUM(D204:E204))</f>
        <v>1004</v>
      </c>
      <c r="G204" s="39" t="n">
        <f aca="false">IF(OR(F204="",F204=0),"",D204/F204)</f>
        <v>0.516932270916335</v>
      </c>
      <c r="H204" s="39" t="n">
        <f aca="false">IF(OR(F204="",F204=0),"",E204/F204)</f>
        <v>0.483067729083665</v>
      </c>
      <c r="I204" s="38" t="s">
        <v>89</v>
      </c>
      <c r="J204" s="40" t="n">
        <v>1.92472098334064</v>
      </c>
      <c r="K204" s="39" t="n">
        <f aca="false">IF(G204="","",MAX(0,G204-J204/100))</f>
        <v>0.497685061082928</v>
      </c>
      <c r="L204" s="39" t="n">
        <f aca="false">IF(G204="","",MIN(1,G204+J204/100))</f>
        <v>0.536179480749741</v>
      </c>
      <c r="M204" s="21" t="n">
        <f aca="false">ROUND(Q204*S204,0)</f>
        <v>50</v>
      </c>
      <c r="N204" s="21" t="n">
        <f aca="false">ROUND(SQRT((F204*J204/100)^2+(G204*M204)^2),0)</f>
        <v>32</v>
      </c>
      <c r="P204" s="41" t="n">
        <v>-1.86712559730272</v>
      </c>
      <c r="Q204" s="42" t="n">
        <v>1004</v>
      </c>
      <c r="R204" s="43" t="n">
        <f aca="false">MAX(0,MIN(1,P204/100+$D$5))</f>
        <v>0.517085106264772</v>
      </c>
      <c r="S204" s="43" t="n">
        <v>0.0500321312575726</v>
      </c>
      <c r="T204" s="44" t="s">
        <v>99</v>
      </c>
    </row>
    <row r="205" customFormat="false" ht="15" hidden="false" customHeight="false" outlineLevel="0" collapsed="false">
      <c r="A205" s="38" t="s">
        <v>156</v>
      </c>
      <c r="B205" s="38" t="s">
        <v>312</v>
      </c>
      <c r="C205" s="38" t="s">
        <v>316</v>
      </c>
      <c r="D205" s="21" t="n">
        <f aca="false">ROUND(Q205*R205,0)</f>
        <v>1385</v>
      </c>
      <c r="E205" s="21" t="n">
        <f aca="false">ROUND(Q205,0)-D205</f>
        <v>1255</v>
      </c>
      <c r="F205" s="21" t="n">
        <f aca="false">IF(COUNTA(D205:E205)=0,"",SUM(D205:E205))</f>
        <v>2640</v>
      </c>
      <c r="G205" s="39" t="n">
        <f aca="false">IF(OR(F205="",F205=0),"",D205/F205)</f>
        <v>0.524621212121212</v>
      </c>
      <c r="H205" s="39" t="n">
        <f aca="false">IF(OR(F205="",F205=0),"",E205/F205)</f>
        <v>0.475378787878788</v>
      </c>
      <c r="I205" s="38" t="s">
        <v>89</v>
      </c>
      <c r="J205" s="40" t="n">
        <v>1.87117215961084</v>
      </c>
      <c r="K205" s="39" t="n">
        <f aca="false">IF(G205="","",MAX(0,G205-J205/100))</f>
        <v>0.505909490525104</v>
      </c>
      <c r="L205" s="39" t="n">
        <f aca="false">IF(G205="","",MIN(1,G205+J205/100))</f>
        <v>0.543332933717321</v>
      </c>
      <c r="M205" s="21" t="n">
        <f aca="false">ROUND(Q205*S205,0)</f>
        <v>344</v>
      </c>
      <c r="N205" s="21" t="n">
        <f aca="false">ROUND(SQRT((F205*J205/100)^2+(G205*M205)^2),0)</f>
        <v>187</v>
      </c>
      <c r="P205" s="41" t="n">
        <v>-1.11559893382862</v>
      </c>
      <c r="Q205" s="42" t="n">
        <v>2640</v>
      </c>
      <c r="R205" s="43" t="n">
        <f aca="false">MAX(0,MIN(1,P205/100+$D$5))</f>
        <v>0.524600372899513</v>
      </c>
      <c r="S205" s="43" t="n">
        <v>0.130204099606216</v>
      </c>
      <c r="T205" s="44" t="s">
        <v>192</v>
      </c>
    </row>
    <row r="206" customFormat="false" ht="15" hidden="false" customHeight="false" outlineLevel="0" collapsed="false">
      <c r="A206" s="38" t="s">
        <v>156</v>
      </c>
      <c r="B206" s="38" t="s">
        <v>312</v>
      </c>
      <c r="C206" s="38" t="s">
        <v>317</v>
      </c>
      <c r="D206" s="21" t="n">
        <f aca="false">ROUND(Q206*R206,0)</f>
        <v>580</v>
      </c>
      <c r="E206" s="21" t="n">
        <f aca="false">ROUND(Q206,0)-D206</f>
        <v>499</v>
      </c>
      <c r="F206" s="21" t="n">
        <f aca="false">IF(COUNTA(D206:E206)=0,"",SUM(D206:E206))</f>
        <v>1079</v>
      </c>
      <c r="G206" s="39" t="n">
        <f aca="false">IF(OR(F206="",F206=0),"",D206/F206)</f>
        <v>0.537534754402224</v>
      </c>
      <c r="H206" s="39" t="n">
        <f aca="false">IF(OR(F206="",F206=0),"",E206/F206)</f>
        <v>0.462465245597776</v>
      </c>
      <c r="I206" s="38" t="s">
        <v>89</v>
      </c>
      <c r="J206" s="40" t="n">
        <v>1.92472098334064</v>
      </c>
      <c r="K206" s="39" t="n">
        <f aca="false">IF(G206="","",MAX(0,G206-J206/100))</f>
        <v>0.518287544568818</v>
      </c>
      <c r="L206" s="39" t="n">
        <f aca="false">IF(G206="","",MIN(1,G206+J206/100))</f>
        <v>0.556781964235631</v>
      </c>
      <c r="M206" s="21" t="n">
        <f aca="false">ROUND(Q206*S206,0)</f>
        <v>54</v>
      </c>
      <c r="N206" s="21" t="n">
        <f aca="false">ROUND(SQRT((F206*J206/100)^2+(G206*M206)^2),0)</f>
        <v>36</v>
      </c>
      <c r="P206" s="41" t="n">
        <v>0.172059780334575</v>
      </c>
      <c r="Q206" s="42" t="n">
        <v>1079</v>
      </c>
      <c r="R206" s="43" t="n">
        <f aca="false">MAX(0,MIN(1,P206/100+$D$5))</f>
        <v>0.537476960041145</v>
      </c>
      <c r="S206" s="43" t="n">
        <v>0.0500321312575726</v>
      </c>
      <c r="T206" s="44" t="s">
        <v>99</v>
      </c>
    </row>
    <row r="207" customFormat="false" ht="15" hidden="false" customHeight="false" outlineLevel="0" collapsed="false">
      <c r="A207" s="38" t="s">
        <v>156</v>
      </c>
      <c r="B207" s="38" t="s">
        <v>312</v>
      </c>
      <c r="C207" s="38" t="s">
        <v>318</v>
      </c>
      <c r="D207" s="21" t="n">
        <f aca="false">ROUND(Q207*R207,0)</f>
        <v>584</v>
      </c>
      <c r="E207" s="21" t="n">
        <f aca="false">ROUND(Q207,0)-D207</f>
        <v>485</v>
      </c>
      <c r="F207" s="21" t="n">
        <f aca="false">IF(COUNTA(D207:E207)=0,"",SUM(D207:E207))</f>
        <v>1069</v>
      </c>
      <c r="G207" s="39" t="n">
        <f aca="false">IF(OR(F207="",F207=0),"",D207/F207)</f>
        <v>0.546304957904584</v>
      </c>
      <c r="H207" s="39" t="n">
        <f aca="false">IF(OR(F207="",F207=0),"",E207/F207)</f>
        <v>0.453695042095416</v>
      </c>
      <c r="I207" s="38" t="s">
        <v>89</v>
      </c>
      <c r="J207" s="40" t="n">
        <v>1.92472098334064</v>
      </c>
      <c r="K207" s="39" t="n">
        <f aca="false">IF(G207="","",MAX(0,G207-J207/100))</f>
        <v>0.527057748071177</v>
      </c>
      <c r="L207" s="39" t="n">
        <f aca="false">IF(G207="","",MIN(1,G207+J207/100))</f>
        <v>0.56555216773799</v>
      </c>
      <c r="M207" s="21" t="n">
        <f aca="false">ROUND(Q207*S207,0)</f>
        <v>53</v>
      </c>
      <c r="N207" s="21" t="n">
        <f aca="false">ROUND(SQRT((F207*J207/100)^2+(G207*M207)^2),0)</f>
        <v>36</v>
      </c>
      <c r="P207" s="41" t="n">
        <v>1.01504156462233</v>
      </c>
      <c r="Q207" s="42" t="n">
        <v>1069</v>
      </c>
      <c r="R207" s="43" t="n">
        <f aca="false">MAX(0,MIN(1,P207/100+$D$5))</f>
        <v>0.545906777884022</v>
      </c>
      <c r="S207" s="43" t="n">
        <v>0.0500321312575726</v>
      </c>
      <c r="T207" s="44" t="s">
        <v>99</v>
      </c>
    </row>
    <row r="208" customFormat="false" ht="15" hidden="false" customHeight="false" outlineLevel="0" collapsed="false">
      <c r="A208" s="38" t="s">
        <v>156</v>
      </c>
      <c r="B208" s="38" t="s">
        <v>319</v>
      </c>
      <c r="C208" s="38" t="s">
        <v>320</v>
      </c>
      <c r="D208" s="21" t="n">
        <f aca="false">ROUND(Q208*R208,0)</f>
        <v>212</v>
      </c>
      <c r="E208" s="21" t="n">
        <f aca="false">ROUND(Q208,0)-D208</f>
        <v>371</v>
      </c>
      <c r="F208" s="21" t="n">
        <f aca="false">IF(COUNTA(D208:E208)=0,"",SUM(D208:E208))</f>
        <v>583</v>
      </c>
      <c r="G208" s="39" t="n">
        <f aca="false">IF(OR(F208="",F208=0),"",D208/F208)</f>
        <v>0.363636363636364</v>
      </c>
      <c r="H208" s="39" t="n">
        <f aca="false">IF(OR(F208="",F208=0),"",E208/F208)</f>
        <v>0.636363636363636</v>
      </c>
      <c r="I208" s="38" t="s">
        <v>89</v>
      </c>
      <c r="J208" s="40" t="n">
        <v>2.87480042420966</v>
      </c>
      <c r="K208" s="39" t="n">
        <f aca="false">IF(G208="","",MAX(0,G208-J208/100))</f>
        <v>0.334888359394267</v>
      </c>
      <c r="L208" s="39" t="n">
        <f aca="false">IF(G208="","",MIN(1,G208+J208/100))</f>
        <v>0.39238436787846</v>
      </c>
      <c r="M208" s="21" t="n">
        <f aca="false">ROUND(Q208*S208,0)</f>
        <v>36</v>
      </c>
      <c r="N208" s="21" t="n">
        <f aca="false">ROUND(SQRT((F208*J208/100)^2+(G208*M208)^2),0)</f>
        <v>21</v>
      </c>
      <c r="P208" s="41" t="n">
        <v>-17.2627971980748</v>
      </c>
      <c r="Q208" s="42" t="n">
        <v>583</v>
      </c>
      <c r="R208" s="43" t="n">
        <f aca="false">MAX(0,MIN(1,P208/100+$D$5))</f>
        <v>0.36312839025705</v>
      </c>
      <c r="S208" s="43" t="n">
        <v>0.0610405690258335</v>
      </c>
      <c r="T208" s="44" t="s">
        <v>90</v>
      </c>
    </row>
    <row r="209" customFormat="false" ht="15" hidden="false" customHeight="false" outlineLevel="0" collapsed="false">
      <c r="A209" s="38" t="s">
        <v>156</v>
      </c>
      <c r="B209" s="38" t="s">
        <v>319</v>
      </c>
      <c r="C209" s="38" t="s">
        <v>321</v>
      </c>
      <c r="D209" s="21" t="n">
        <f aca="false">ROUND(Q209*R209,0)</f>
        <v>727</v>
      </c>
      <c r="E209" s="21" t="n">
        <f aca="false">ROUND(Q209,0)-D209</f>
        <v>1186</v>
      </c>
      <c r="F209" s="21" t="n">
        <f aca="false">IF(COUNTA(D209:E209)=0,"",SUM(D209:E209))</f>
        <v>1913</v>
      </c>
      <c r="G209" s="39" t="n">
        <f aca="false">IF(OR(F209="",F209=0),"",D209/F209)</f>
        <v>0.38003136434919</v>
      </c>
      <c r="H209" s="39" t="n">
        <f aca="false">IF(OR(F209="",F209=0),"",E209/F209)</f>
        <v>0.61996863565081</v>
      </c>
      <c r="I209" s="38" t="s">
        <v>89</v>
      </c>
      <c r="J209" s="40" t="n">
        <v>1.87117215961084</v>
      </c>
      <c r="K209" s="39" t="n">
        <f aca="false">IF(G209="","",MAX(0,G209-J209/100))</f>
        <v>0.361319642753081</v>
      </c>
      <c r="L209" s="39" t="n">
        <f aca="false">IF(G209="","",MIN(1,G209+J209/100))</f>
        <v>0.398743085945298</v>
      </c>
      <c r="M209" s="21" t="n">
        <f aca="false">ROUND(Q209*S209,0)</f>
        <v>249</v>
      </c>
      <c r="N209" s="21" t="n">
        <f aca="false">ROUND(SQRT((F209*J209/100)^2+(G209*M209)^2),0)</f>
        <v>101</v>
      </c>
      <c r="P209" s="41" t="n">
        <v>-15.5491353701103</v>
      </c>
      <c r="Q209" s="42" t="n">
        <v>1913</v>
      </c>
      <c r="R209" s="43" t="n">
        <f aca="false">MAX(0,MIN(1,P209/100+$D$5))</f>
        <v>0.380265008536696</v>
      </c>
      <c r="S209" s="43" t="n">
        <v>0.130204099606216</v>
      </c>
      <c r="T209" s="44" t="s">
        <v>192</v>
      </c>
    </row>
    <row r="210" customFormat="false" ht="15" hidden="false" customHeight="false" outlineLevel="0" collapsed="false">
      <c r="A210" s="38" t="s">
        <v>156</v>
      </c>
      <c r="B210" s="38" t="s">
        <v>319</v>
      </c>
      <c r="C210" s="38" t="s">
        <v>322</v>
      </c>
      <c r="D210" s="21" t="n">
        <f aca="false">ROUND(Q210*R210,0)</f>
        <v>167</v>
      </c>
      <c r="E210" s="21" t="n">
        <f aca="false">ROUND(Q210,0)-D210</f>
        <v>343</v>
      </c>
      <c r="F210" s="21" t="n">
        <f aca="false">IF(COUNTA(D210:E210)=0,"",SUM(D210:E210))</f>
        <v>510</v>
      </c>
      <c r="G210" s="39" t="n">
        <f aca="false">IF(OR(F210="",F210=0),"",D210/F210)</f>
        <v>0.327450980392157</v>
      </c>
      <c r="H210" s="39" t="n">
        <f aca="false">IF(OR(F210="",F210=0),"",E210/F210)</f>
        <v>0.672549019607843</v>
      </c>
      <c r="I210" s="38" t="s">
        <v>89</v>
      </c>
      <c r="J210" s="40" t="n">
        <v>2.87480042420966</v>
      </c>
      <c r="K210" s="39" t="n">
        <f aca="false">IF(G210="","",MAX(0,G210-J210/100))</f>
        <v>0.29870297615006</v>
      </c>
      <c r="L210" s="39" t="n">
        <f aca="false">IF(G210="","",MIN(1,G210+J210/100))</f>
        <v>0.356198984634254</v>
      </c>
      <c r="M210" s="21" t="n">
        <f aca="false">ROUND(Q210*S210,0)</f>
        <v>31</v>
      </c>
      <c r="N210" s="21" t="n">
        <f aca="false">ROUND(SQRT((F210*J210/100)^2+(G210*M210)^2),0)</f>
        <v>18</v>
      </c>
      <c r="P210" s="41" t="n">
        <v>-20.904705422011</v>
      </c>
      <c r="Q210" s="42" t="n">
        <v>510</v>
      </c>
      <c r="R210" s="43" t="n">
        <f aca="false">MAX(0,MIN(1,P210/100+$D$5))</f>
        <v>0.326709308017689</v>
      </c>
      <c r="S210" s="43" t="n">
        <v>0.0610405690258335</v>
      </c>
      <c r="T210" s="44" t="s">
        <v>90</v>
      </c>
    </row>
    <row r="211" customFormat="false" ht="15" hidden="false" customHeight="false" outlineLevel="0" collapsed="false">
      <c r="A211" s="38" t="s">
        <v>156</v>
      </c>
      <c r="B211" s="38" t="s">
        <v>323</v>
      </c>
      <c r="C211" s="38" t="s">
        <v>323</v>
      </c>
      <c r="D211" s="21" t="n">
        <f aca="false">ROUND(Q211*R211,0)</f>
        <v>1030</v>
      </c>
      <c r="E211" s="21" t="n">
        <f aca="false">ROUND(Q211,0)-D211</f>
        <v>1662</v>
      </c>
      <c r="F211" s="21" t="n">
        <f aca="false">IF(COUNTA(D211:E211)=0,"",SUM(D211:E211))</f>
        <v>2692</v>
      </c>
      <c r="G211" s="39" t="n">
        <f aca="false">IF(OR(F211="",F211=0),"",D211/F211)</f>
        <v>0.382615156017831</v>
      </c>
      <c r="H211" s="39" t="n">
        <f aca="false">IF(OR(F211="",F211=0),"",E211/F211)</f>
        <v>0.617384843982169</v>
      </c>
      <c r="I211" s="38" t="s">
        <v>89</v>
      </c>
      <c r="J211" s="40" t="n">
        <v>1.87117215961084</v>
      </c>
      <c r="K211" s="39" t="n">
        <f aca="false">IF(G211="","",MAX(0,G211-J211/100))</f>
        <v>0.363903434421722</v>
      </c>
      <c r="L211" s="39" t="n">
        <f aca="false">IF(G211="","",MIN(1,G211+J211/100))</f>
        <v>0.401326877613939</v>
      </c>
      <c r="M211" s="21" t="n">
        <f aca="false">ROUND(Q211*S211,0)</f>
        <v>351</v>
      </c>
      <c r="N211" s="21" t="n">
        <f aca="false">ROUND(SQRT((F211*J211/100)^2+(G211*M211)^2),0)</f>
        <v>143</v>
      </c>
      <c r="P211" s="41" t="n">
        <v>-15.3160203349108</v>
      </c>
      <c r="Q211" s="42" t="n">
        <v>2692</v>
      </c>
      <c r="R211" s="43" t="n">
        <f aca="false">MAX(0,MIN(1,P211/100+$D$5))</f>
        <v>0.382596158888691</v>
      </c>
      <c r="S211" s="43" t="n">
        <v>0.130204099606216</v>
      </c>
      <c r="T211" s="44" t="s">
        <v>192</v>
      </c>
    </row>
    <row r="212" customFormat="false" ht="15" hidden="false" customHeight="false" outlineLevel="0" collapsed="false">
      <c r="A212" s="38" t="s">
        <v>156</v>
      </c>
      <c r="B212" s="38" t="s">
        <v>324</v>
      </c>
      <c r="C212" s="38" t="s">
        <v>325</v>
      </c>
      <c r="D212" s="21" t="n">
        <f aca="false">ROUND(Q212*R212,0)</f>
        <v>685</v>
      </c>
      <c r="E212" s="21" t="n">
        <f aca="false">ROUND(Q212,0)-D212</f>
        <v>616</v>
      </c>
      <c r="F212" s="21" t="n">
        <f aca="false">IF(COUNTA(D212:E212)=0,"",SUM(D212:E212))</f>
        <v>1301</v>
      </c>
      <c r="G212" s="39" t="n">
        <f aca="false">IF(OR(F212="",F212=0),"",D212/F212)</f>
        <v>0.52651806302844</v>
      </c>
      <c r="H212" s="39" t="n">
        <f aca="false">IF(OR(F212="",F212=0),"",E212/F212)</f>
        <v>0.47348193697156</v>
      </c>
      <c r="I212" s="38" t="s">
        <v>89</v>
      </c>
      <c r="J212" s="40" t="n">
        <v>1.87117215961084</v>
      </c>
      <c r="K212" s="39" t="n">
        <f aca="false">IF(G212="","",MAX(0,G212-J212/100))</f>
        <v>0.507806341432331</v>
      </c>
      <c r="L212" s="39" t="n">
        <f aca="false">IF(G212="","",MIN(1,G212+J212/100))</f>
        <v>0.545229784624548</v>
      </c>
      <c r="M212" s="21" t="n">
        <f aca="false">ROUND(Q212*S212,0)</f>
        <v>169</v>
      </c>
      <c r="N212" s="21" t="n">
        <f aca="false">ROUND(SQRT((F212*J212/100)^2+(G212*M212)^2),0)</f>
        <v>92</v>
      </c>
      <c r="P212" s="41" t="n">
        <v>-0.954041233711859</v>
      </c>
      <c r="Q212" s="42" t="n">
        <v>1301</v>
      </c>
      <c r="R212" s="43" t="n">
        <f aca="false">MAX(0,MIN(1,P212/100+$D$5))</f>
        <v>0.52621594990068</v>
      </c>
      <c r="S212" s="43" t="n">
        <v>0.130204099606216</v>
      </c>
      <c r="T212" s="44" t="s">
        <v>192</v>
      </c>
    </row>
    <row r="213" customFormat="false" ht="15" hidden="false" customHeight="false" outlineLevel="0" collapsed="false">
      <c r="A213" s="38" t="s">
        <v>156</v>
      </c>
      <c r="B213" s="38" t="s">
        <v>324</v>
      </c>
      <c r="C213" s="38" t="s">
        <v>326</v>
      </c>
      <c r="D213" s="21" t="n">
        <f aca="false">ROUND(Q213*R213,0)</f>
        <v>509</v>
      </c>
      <c r="E213" s="21" t="n">
        <f aca="false">ROUND(Q213,0)-D213</f>
        <v>454</v>
      </c>
      <c r="F213" s="21" t="n">
        <f aca="false">IF(COUNTA(D213:E213)=0,"",SUM(D213:E213))</f>
        <v>963</v>
      </c>
      <c r="G213" s="39" t="n">
        <f aca="false">IF(OR(F213="",F213=0),"",D213/F213)</f>
        <v>0.528556593977155</v>
      </c>
      <c r="H213" s="39" t="n">
        <f aca="false">IF(OR(F213="",F213=0),"",E213/F213)</f>
        <v>0.471443406022845</v>
      </c>
      <c r="I213" s="38" t="s">
        <v>89</v>
      </c>
      <c r="J213" s="40" t="n">
        <v>1.92472098334064</v>
      </c>
      <c r="K213" s="39" t="n">
        <f aca="false">IF(G213="","",MAX(0,G213-J213/100))</f>
        <v>0.509309384143748</v>
      </c>
      <c r="L213" s="39" t="n">
        <f aca="false">IF(G213="","",MIN(1,G213+J213/100))</f>
        <v>0.547803803810561</v>
      </c>
      <c r="M213" s="21" t="n">
        <f aca="false">ROUND(Q213*S213,0)</f>
        <v>48</v>
      </c>
      <c r="N213" s="21" t="n">
        <f aca="false">ROUND(SQRT((F213*J213/100)^2+(G213*M213)^2),0)</f>
        <v>31</v>
      </c>
      <c r="P213" s="41" t="n">
        <v>-0.681939396407586</v>
      </c>
      <c r="Q213" s="42" t="n">
        <v>963</v>
      </c>
      <c r="R213" s="43" t="n">
        <f aca="false">MAX(0,MIN(1,P213/100+$D$5))</f>
        <v>0.528936968273723</v>
      </c>
      <c r="S213" s="43" t="n">
        <v>0.0500321312575726</v>
      </c>
      <c r="T213" s="44" t="s">
        <v>99</v>
      </c>
    </row>
    <row r="214" customFormat="false" ht="15" hidden="false" customHeight="false" outlineLevel="0" collapsed="false">
      <c r="A214" s="38" t="s">
        <v>156</v>
      </c>
      <c r="B214" s="38" t="s">
        <v>324</v>
      </c>
      <c r="C214" s="38" t="s">
        <v>327</v>
      </c>
      <c r="D214" s="21" t="n">
        <f aca="false">ROUND(Q214*R214,0)</f>
        <v>538</v>
      </c>
      <c r="E214" s="21" t="n">
        <f aca="false">ROUND(Q214,0)-D214</f>
        <v>362</v>
      </c>
      <c r="F214" s="21" t="n">
        <f aca="false">IF(COUNTA(D214:E214)=0,"",SUM(D214:E214))</f>
        <v>900</v>
      </c>
      <c r="G214" s="39" t="n">
        <f aca="false">IF(OR(F214="",F214=0),"",D214/F214)</f>
        <v>0.597777777777778</v>
      </c>
      <c r="H214" s="39" t="n">
        <f aca="false">IF(OR(F214="",F214=0),"",E214/F214)</f>
        <v>0.402222222222222</v>
      </c>
      <c r="I214" s="38" t="s">
        <v>89</v>
      </c>
      <c r="J214" s="40" t="n">
        <v>1.92472098334064</v>
      </c>
      <c r="K214" s="39" t="n">
        <f aca="false">IF(G214="","",MAX(0,G214-J214/100))</f>
        <v>0.578530567944371</v>
      </c>
      <c r="L214" s="39" t="n">
        <f aca="false">IF(G214="","",MIN(1,G214+J214/100))</f>
        <v>0.617024987611184</v>
      </c>
      <c r="M214" s="21" t="n">
        <f aca="false">ROUND(Q214*S214,0)</f>
        <v>45</v>
      </c>
      <c r="N214" s="21" t="n">
        <f aca="false">ROUND(SQRT((F214*J214/100)^2+(G214*M214)^2),0)</f>
        <v>32</v>
      </c>
      <c r="P214" s="41" t="n">
        <v>6.200244519712</v>
      </c>
      <c r="Q214" s="42" t="n">
        <v>900</v>
      </c>
      <c r="R214" s="43" t="n">
        <f aca="false">MAX(0,MIN(1,P214/100+$D$5))</f>
        <v>0.597758807434919</v>
      </c>
      <c r="S214" s="43" t="n">
        <v>0.0500321312575726</v>
      </c>
      <c r="T214" s="44" t="s">
        <v>99</v>
      </c>
    </row>
    <row r="215" customFormat="false" ht="15" hidden="false" customHeight="false" outlineLevel="0" collapsed="false">
      <c r="A215" s="38" t="s">
        <v>156</v>
      </c>
      <c r="B215" s="38" t="s">
        <v>324</v>
      </c>
      <c r="C215" s="38" t="s">
        <v>328</v>
      </c>
      <c r="D215" s="21" t="n">
        <f aca="false">ROUND(Q215*R215,0)</f>
        <v>621</v>
      </c>
      <c r="E215" s="21" t="n">
        <f aca="false">ROUND(Q215,0)-D215</f>
        <v>373</v>
      </c>
      <c r="F215" s="21" t="n">
        <f aca="false">IF(COUNTA(D215:E215)=0,"",SUM(D215:E215))</f>
        <v>994</v>
      </c>
      <c r="G215" s="39" t="n">
        <f aca="false">IF(OR(F215="",F215=0),"",D215/F215)</f>
        <v>0.624748490945674</v>
      </c>
      <c r="H215" s="39" t="n">
        <f aca="false">IF(OR(F215="",F215=0),"",E215/F215)</f>
        <v>0.375251509054326</v>
      </c>
      <c r="I215" s="38" t="s">
        <v>89</v>
      </c>
      <c r="J215" s="40" t="n">
        <v>1.92472098334064</v>
      </c>
      <c r="K215" s="39" t="n">
        <f aca="false">IF(G215="","",MAX(0,G215-J215/100))</f>
        <v>0.605501281112268</v>
      </c>
      <c r="L215" s="39" t="n">
        <f aca="false">IF(G215="","",MIN(1,G215+J215/100))</f>
        <v>0.64399570077908</v>
      </c>
      <c r="M215" s="21" t="n">
        <f aca="false">ROUND(Q215*S215,0)</f>
        <v>50</v>
      </c>
      <c r="N215" s="21" t="n">
        <f aca="false">ROUND(SQRT((F215*J215/100)^2+(G215*M215)^2),0)</f>
        <v>37</v>
      </c>
      <c r="P215" s="41" t="n">
        <v>8.88876839113647</v>
      </c>
      <c r="Q215" s="42" t="n">
        <v>994</v>
      </c>
      <c r="R215" s="43" t="n">
        <f aca="false">MAX(0,MIN(1,P215/100+$D$5))</f>
        <v>0.624644046149164</v>
      </c>
      <c r="S215" s="43" t="n">
        <v>0.0500321312575726</v>
      </c>
      <c r="T215" s="44" t="s">
        <v>99</v>
      </c>
    </row>
    <row r="216" customFormat="false" ht="15" hidden="false" customHeight="false" outlineLevel="0" collapsed="false">
      <c r="A216" s="38" t="s">
        <v>156</v>
      </c>
      <c r="B216" s="38" t="s">
        <v>324</v>
      </c>
      <c r="C216" s="38" t="s">
        <v>329</v>
      </c>
      <c r="D216" s="21" t="n">
        <f aca="false">ROUND(Q216*R216,0)</f>
        <v>228</v>
      </c>
      <c r="E216" s="21" t="n">
        <f aca="false">ROUND(Q216,0)-D216</f>
        <v>155</v>
      </c>
      <c r="F216" s="21" t="n">
        <f aca="false">IF(COUNTA(D216:E216)=0,"",SUM(D216:E216))</f>
        <v>383</v>
      </c>
      <c r="G216" s="39" t="n">
        <f aca="false">IF(OR(F216="",F216=0),"",D216/F216)</f>
        <v>0.595300261096606</v>
      </c>
      <c r="H216" s="39" t="n">
        <f aca="false">IF(OR(F216="",F216=0),"",E216/F216)</f>
        <v>0.404699738903394</v>
      </c>
      <c r="I216" s="38" t="s">
        <v>89</v>
      </c>
      <c r="J216" s="40" t="n">
        <v>2.87480042420966</v>
      </c>
      <c r="K216" s="39" t="n">
        <f aca="false">IF(G216="","",MAX(0,G216-J216/100))</f>
        <v>0.566552256854509</v>
      </c>
      <c r="L216" s="39" t="n">
        <f aca="false">IF(G216="","",MIN(1,G216+J216/100))</f>
        <v>0.624048265338702</v>
      </c>
      <c r="M216" s="21" t="n">
        <f aca="false">ROUND(Q216*S216,0)</f>
        <v>23</v>
      </c>
      <c r="N216" s="21" t="n">
        <f aca="false">ROUND(SQRT((F216*J216/100)^2+(G216*M216)^2),0)</f>
        <v>18</v>
      </c>
      <c r="P216" s="41" t="n">
        <v>5.9346512051273</v>
      </c>
      <c r="Q216" s="42" t="n">
        <v>383</v>
      </c>
      <c r="R216" s="43" t="n">
        <f aca="false">MAX(0,MIN(1,P216/100+$D$5))</f>
        <v>0.595102874289072</v>
      </c>
      <c r="S216" s="43" t="n">
        <v>0.0610405690258335</v>
      </c>
      <c r="T216" s="44" t="s">
        <v>90</v>
      </c>
    </row>
    <row r="217" customFormat="false" ht="15" hidden="false" customHeight="false" outlineLevel="0" collapsed="false">
      <c r="A217" s="38" t="s">
        <v>156</v>
      </c>
      <c r="B217" s="38" t="s">
        <v>324</v>
      </c>
      <c r="C217" s="38" t="s">
        <v>330</v>
      </c>
      <c r="D217" s="21" t="n">
        <f aca="false">ROUND(Q217*R217,0)</f>
        <v>333</v>
      </c>
      <c r="E217" s="21" t="n">
        <f aca="false">ROUND(Q217,0)-D217</f>
        <v>192</v>
      </c>
      <c r="F217" s="21" t="n">
        <f aca="false">IF(COUNTA(D217:E217)=0,"",SUM(D217:E217))</f>
        <v>525</v>
      </c>
      <c r="G217" s="39" t="n">
        <f aca="false">IF(OR(F217="",F217=0),"",D217/F217)</f>
        <v>0.634285714285714</v>
      </c>
      <c r="H217" s="39" t="n">
        <f aca="false">IF(OR(F217="",F217=0),"",E217/F217)</f>
        <v>0.365714285714286</v>
      </c>
      <c r="I217" s="38" t="s">
        <v>89</v>
      </c>
      <c r="J217" s="40" t="n">
        <v>2.87480042420966</v>
      </c>
      <c r="K217" s="39" t="n">
        <f aca="false">IF(G217="","",MAX(0,G217-J217/100))</f>
        <v>0.605537710043618</v>
      </c>
      <c r="L217" s="39" t="n">
        <f aca="false">IF(G217="","",MIN(1,G217+J217/100))</f>
        <v>0.663033718527811</v>
      </c>
      <c r="M217" s="21" t="n">
        <f aca="false">ROUND(Q217*S217,0)</f>
        <v>32</v>
      </c>
      <c r="N217" s="21" t="n">
        <f aca="false">ROUND(SQRT((F217*J217/100)^2+(G217*M217)^2),0)</f>
        <v>25</v>
      </c>
      <c r="P217" s="41" t="n">
        <v>9.88315290862875</v>
      </c>
      <c r="Q217" s="42" t="n">
        <v>525</v>
      </c>
      <c r="R217" s="43" t="n">
        <f aca="false">MAX(0,MIN(1,P217/100+$D$5))</f>
        <v>0.634587891324086</v>
      </c>
      <c r="S217" s="43" t="n">
        <v>0.0610405690258335</v>
      </c>
      <c r="T217" s="44" t="s">
        <v>90</v>
      </c>
    </row>
    <row r="218" customFormat="false" ht="15" hidden="false" customHeight="false" outlineLevel="0" collapsed="false">
      <c r="A218" s="38" t="s">
        <v>156</v>
      </c>
      <c r="B218" s="38" t="s">
        <v>324</v>
      </c>
      <c r="C218" s="38" t="s">
        <v>331</v>
      </c>
      <c r="D218" s="21" t="n">
        <f aca="false">ROUND(Q218*R218,0)</f>
        <v>413</v>
      </c>
      <c r="E218" s="21" t="n">
        <f aca="false">ROUND(Q218,0)-D218</f>
        <v>275</v>
      </c>
      <c r="F218" s="21" t="n">
        <f aca="false">IF(COUNTA(D218:E218)=0,"",SUM(D218:E218))</f>
        <v>688</v>
      </c>
      <c r="G218" s="39" t="n">
        <f aca="false">IF(OR(F218="",F218=0),"",D218/F218)</f>
        <v>0.600290697674419</v>
      </c>
      <c r="H218" s="39" t="n">
        <f aca="false">IF(OR(F218="",F218=0),"",E218/F218)</f>
        <v>0.399709302325581</v>
      </c>
      <c r="I218" s="38" t="s">
        <v>89</v>
      </c>
      <c r="J218" s="40" t="n">
        <v>2.87480042420966</v>
      </c>
      <c r="K218" s="39" t="n">
        <f aca="false">IF(G218="","",MAX(0,G218-J218/100))</f>
        <v>0.571542693432322</v>
      </c>
      <c r="L218" s="39" t="n">
        <f aca="false">IF(G218="","",MIN(1,G218+J218/100))</f>
        <v>0.629038701916515</v>
      </c>
      <c r="M218" s="21" t="n">
        <f aca="false">ROUND(Q218*S218,0)</f>
        <v>42</v>
      </c>
      <c r="N218" s="21" t="n">
        <f aca="false">ROUND(SQRT((F218*J218/100)^2+(G218*M218)^2),0)</f>
        <v>32</v>
      </c>
      <c r="P218" s="41" t="n">
        <v>6.45131565212966</v>
      </c>
      <c r="Q218" s="42" t="n">
        <v>688</v>
      </c>
      <c r="R218" s="43" t="n">
        <f aca="false">MAX(0,MIN(1,P218/100+$D$5))</f>
        <v>0.600269518759095</v>
      </c>
      <c r="S218" s="43" t="n">
        <v>0.0610405690258335</v>
      </c>
      <c r="T218" s="44" t="s">
        <v>90</v>
      </c>
    </row>
    <row r="219" customFormat="false" ht="15" hidden="false" customHeight="false" outlineLevel="0" collapsed="false">
      <c r="A219" s="38" t="s">
        <v>156</v>
      </c>
      <c r="B219" s="38" t="s">
        <v>324</v>
      </c>
      <c r="C219" s="38" t="s">
        <v>332</v>
      </c>
      <c r="D219" s="21" t="n">
        <f aca="false">ROUND(Q219*R219,0)</f>
        <v>227</v>
      </c>
      <c r="E219" s="21" t="n">
        <f aca="false">ROUND(Q219,0)-D219</f>
        <v>202</v>
      </c>
      <c r="F219" s="21" t="n">
        <f aca="false">IF(COUNTA(D219:E219)=0,"",SUM(D219:E219))</f>
        <v>429</v>
      </c>
      <c r="G219" s="39" t="n">
        <f aca="false">IF(OR(F219="",F219=0),"",D219/F219)</f>
        <v>0.529137529137529</v>
      </c>
      <c r="H219" s="39" t="n">
        <f aca="false">IF(OR(F219="",F219=0),"",E219/F219)</f>
        <v>0.470862470862471</v>
      </c>
      <c r="I219" s="38" t="s">
        <v>89</v>
      </c>
      <c r="J219" s="40" t="n">
        <v>2.87480042420966</v>
      </c>
      <c r="K219" s="39" t="n">
        <f aca="false">IF(G219="","",MAX(0,G219-J219/100))</f>
        <v>0.500389524895433</v>
      </c>
      <c r="L219" s="39" t="n">
        <f aca="false">IF(G219="","",MIN(1,G219+J219/100))</f>
        <v>0.557885533379626</v>
      </c>
      <c r="M219" s="21" t="n">
        <f aca="false">ROUND(Q219*S219,0)</f>
        <v>26</v>
      </c>
      <c r="N219" s="21" t="n">
        <f aca="false">ROUND(SQRT((F219*J219/100)^2+(G219*M219)^2),0)</f>
        <v>18</v>
      </c>
      <c r="P219" s="41" t="n">
        <v>-0.604641325535684</v>
      </c>
      <c r="Q219" s="42" t="n">
        <v>429</v>
      </c>
      <c r="R219" s="43" t="n">
        <f aca="false">MAX(0,MIN(1,P219/100+$D$5))</f>
        <v>0.529709948982442</v>
      </c>
      <c r="S219" s="43" t="n">
        <v>0.0610405690258335</v>
      </c>
      <c r="T219" s="44" t="s">
        <v>90</v>
      </c>
    </row>
    <row r="220" customFormat="false" ht="15" hidden="false" customHeight="false" outlineLevel="0" collapsed="false">
      <c r="A220" s="38" t="s">
        <v>156</v>
      </c>
      <c r="B220" s="38" t="s">
        <v>324</v>
      </c>
      <c r="C220" s="38" t="s">
        <v>333</v>
      </c>
      <c r="D220" s="21" t="n">
        <f aca="false">ROUND(Q220*R220,0)</f>
        <v>414</v>
      </c>
      <c r="E220" s="21" t="n">
        <f aca="false">ROUND(Q220,0)-D220</f>
        <v>314</v>
      </c>
      <c r="F220" s="21" t="n">
        <f aca="false">IF(COUNTA(D220:E220)=0,"",SUM(D220:E220))</f>
        <v>728</v>
      </c>
      <c r="G220" s="39" t="n">
        <f aca="false">IF(OR(F220="",F220=0),"",D220/F220)</f>
        <v>0.568681318681319</v>
      </c>
      <c r="H220" s="39" t="n">
        <f aca="false">IF(OR(F220="",F220=0),"",E220/F220)</f>
        <v>0.431318681318681</v>
      </c>
      <c r="I220" s="38" t="s">
        <v>89</v>
      </c>
      <c r="J220" s="40" t="n">
        <v>2.87480042420966</v>
      </c>
      <c r="K220" s="39" t="n">
        <f aca="false">IF(G220="","",MAX(0,G220-J220/100))</f>
        <v>0.539933314439222</v>
      </c>
      <c r="L220" s="39" t="n">
        <f aca="false">IF(G220="","",MIN(1,G220+J220/100))</f>
        <v>0.597429322923415</v>
      </c>
      <c r="M220" s="21" t="n">
        <f aca="false">ROUND(Q220*S220,0)</f>
        <v>44</v>
      </c>
      <c r="N220" s="21" t="n">
        <f aca="false">ROUND(SQRT((F220*J220/100)^2+(G220*M220)^2),0)</f>
        <v>33</v>
      </c>
      <c r="P220" s="41" t="n">
        <v>3.26469009492534</v>
      </c>
      <c r="Q220" s="42" t="n">
        <v>728</v>
      </c>
      <c r="R220" s="43" t="n">
        <f aca="false">MAX(0,MIN(1,P220/100+$D$5))</f>
        <v>0.568403263187052</v>
      </c>
      <c r="S220" s="43" t="n">
        <v>0.0610405690258335</v>
      </c>
      <c r="T220" s="44" t="s">
        <v>90</v>
      </c>
    </row>
    <row r="221" customFormat="false" ht="15" hidden="false" customHeight="false" outlineLevel="0" collapsed="false">
      <c r="A221" s="38" t="s">
        <v>156</v>
      </c>
      <c r="B221" s="38" t="s">
        <v>324</v>
      </c>
      <c r="C221" s="38" t="s">
        <v>334</v>
      </c>
      <c r="D221" s="21" t="n">
        <f aca="false">ROUND(Q221*R221,0)</f>
        <v>720</v>
      </c>
      <c r="E221" s="21" t="n">
        <f aca="false">ROUND(Q221,0)-D221</f>
        <v>653</v>
      </c>
      <c r="F221" s="21" t="n">
        <f aca="false">IF(COUNTA(D221:E221)=0,"",SUM(D221:E221))</f>
        <v>1373</v>
      </c>
      <c r="G221" s="39" t="n">
        <f aca="false">IF(OR(F221="",F221=0),"",D221/F221)</f>
        <v>0.524399126001457</v>
      </c>
      <c r="H221" s="39" t="n">
        <f aca="false">IF(OR(F221="",F221=0),"",E221/F221)</f>
        <v>0.475600873998543</v>
      </c>
      <c r="I221" s="38" t="s">
        <v>89</v>
      </c>
      <c r="J221" s="40" t="n">
        <v>1.87117215961084</v>
      </c>
      <c r="K221" s="39" t="n">
        <f aca="false">IF(G221="","",MAX(0,G221-J221/100))</f>
        <v>0.505687404405348</v>
      </c>
      <c r="L221" s="39" t="n">
        <f aca="false">IF(G221="","",MIN(1,G221+J221/100))</f>
        <v>0.543110847597565</v>
      </c>
      <c r="M221" s="21" t="n">
        <f aca="false">ROUND(Q221*S221,0)</f>
        <v>179</v>
      </c>
      <c r="N221" s="21" t="n">
        <f aca="false">ROUND(SQRT((F221*J221/100)^2+(G221*M221)^2),0)</f>
        <v>97</v>
      </c>
      <c r="P221" s="41" t="n">
        <v>-1.1296040473985</v>
      </c>
      <c r="Q221" s="42" t="n">
        <v>1373</v>
      </c>
      <c r="R221" s="43" t="n">
        <f aca="false">MAX(0,MIN(1,P221/100+$D$5))</f>
        <v>0.524460321763814</v>
      </c>
      <c r="S221" s="43" t="n">
        <v>0.130204099606216</v>
      </c>
      <c r="T221" s="44" t="s">
        <v>192</v>
      </c>
    </row>
    <row r="222" customFormat="false" ht="15" hidden="false" customHeight="false" outlineLevel="0" collapsed="false">
      <c r="A222" s="38" t="s">
        <v>156</v>
      </c>
      <c r="B222" s="38" t="s">
        <v>324</v>
      </c>
      <c r="C222" s="38" t="s">
        <v>335</v>
      </c>
      <c r="D222" s="21" t="n">
        <f aca="false">ROUND(Q222*R222,0)</f>
        <v>626</v>
      </c>
      <c r="E222" s="21" t="n">
        <f aca="false">ROUND(Q222,0)-D222</f>
        <v>518</v>
      </c>
      <c r="F222" s="21" t="n">
        <f aca="false">IF(COUNTA(D222:E222)=0,"",SUM(D222:E222))</f>
        <v>1144</v>
      </c>
      <c r="G222" s="39" t="n">
        <f aca="false">IF(OR(F222="",F222=0),"",D222/F222)</f>
        <v>0.547202797202797</v>
      </c>
      <c r="H222" s="39" t="n">
        <f aca="false">IF(OR(F222="",F222=0),"",E222/F222)</f>
        <v>0.452797202797203</v>
      </c>
      <c r="I222" s="38" t="s">
        <v>89</v>
      </c>
      <c r="J222" s="40" t="n">
        <v>1.92472098334064</v>
      </c>
      <c r="K222" s="39" t="n">
        <f aca="false">IF(G222="","",MAX(0,G222-J222/100))</f>
        <v>0.527955587369391</v>
      </c>
      <c r="L222" s="39" t="n">
        <f aca="false">IF(G222="","",MIN(1,G222+J222/100))</f>
        <v>0.566450007036204</v>
      </c>
      <c r="M222" s="21" t="n">
        <f aca="false">ROUND(Q222*S222,0)</f>
        <v>57</v>
      </c>
      <c r="N222" s="21" t="n">
        <f aca="false">ROUND(SQRT((F222*J222/100)^2+(G222*M222)^2),0)</f>
        <v>38</v>
      </c>
      <c r="P222" s="41" t="n">
        <v>1.15548500867341</v>
      </c>
      <c r="Q222" s="42" t="n">
        <v>1144</v>
      </c>
      <c r="R222" s="43" t="n">
        <f aca="false">MAX(0,MIN(1,P222/100+$D$5))</f>
        <v>0.547311212324533</v>
      </c>
      <c r="S222" s="43" t="n">
        <v>0.0500321312575726</v>
      </c>
      <c r="T222" s="44" t="s">
        <v>99</v>
      </c>
    </row>
    <row r="223" customFormat="false" ht="15" hidden="false" customHeight="false" outlineLevel="0" collapsed="false">
      <c r="A223" s="38" t="s">
        <v>156</v>
      </c>
      <c r="B223" s="38" t="s">
        <v>324</v>
      </c>
      <c r="C223" s="38" t="s">
        <v>336</v>
      </c>
      <c r="D223" s="21" t="n">
        <f aca="false">ROUND(Q223*R223,0)</f>
        <v>486</v>
      </c>
      <c r="E223" s="21" t="n">
        <f aca="false">ROUND(Q223,0)-D223</f>
        <v>378</v>
      </c>
      <c r="F223" s="21" t="n">
        <f aca="false">IF(COUNTA(D223:E223)=0,"",SUM(D223:E223))</f>
        <v>864</v>
      </c>
      <c r="G223" s="39" t="n">
        <f aca="false">IF(OR(F223="",F223=0),"",D223/F223)</f>
        <v>0.5625</v>
      </c>
      <c r="H223" s="39" t="n">
        <f aca="false">IF(OR(F223="",F223=0),"",E223/F223)</f>
        <v>0.4375</v>
      </c>
      <c r="I223" s="38" t="s">
        <v>89</v>
      </c>
      <c r="J223" s="40" t="n">
        <v>1.92472098334064</v>
      </c>
      <c r="K223" s="39" t="n">
        <f aca="false">IF(G223="","",MAX(0,G223-J223/100))</f>
        <v>0.543252790166594</v>
      </c>
      <c r="L223" s="39" t="n">
        <f aca="false">IF(G223="","",MIN(1,G223+J223/100))</f>
        <v>0.581747209833406</v>
      </c>
      <c r="M223" s="21" t="n">
        <f aca="false">ROUND(Q223*S223,0)</f>
        <v>43</v>
      </c>
      <c r="N223" s="21" t="n">
        <f aca="false">ROUND(SQRT((F223*J223/100)^2+(G223*M223)^2),0)</f>
        <v>29</v>
      </c>
      <c r="P223" s="41" t="n">
        <v>2.61656231111878</v>
      </c>
      <c r="Q223" s="42" t="n">
        <v>864</v>
      </c>
      <c r="R223" s="43" t="n">
        <f aca="false">MAX(0,MIN(1,P223/100+$D$5))</f>
        <v>0.561921985348987</v>
      </c>
      <c r="S223" s="43" t="n">
        <v>0.0500321312575726</v>
      </c>
      <c r="T223" s="44" t="s">
        <v>99</v>
      </c>
    </row>
    <row r="224" customFormat="false" ht="15" hidden="false" customHeight="false" outlineLevel="0" collapsed="false">
      <c r="A224" s="38" t="s">
        <v>337</v>
      </c>
      <c r="B224" s="38" t="s">
        <v>338</v>
      </c>
      <c r="C224" s="38" t="s">
        <v>339</v>
      </c>
      <c r="D224" s="21" t="n">
        <f aca="false">ROUND(Q224*R224,0)</f>
        <v>412</v>
      </c>
      <c r="E224" s="21" t="n">
        <f aca="false">ROUND(Q224,0)-D224</f>
        <v>773</v>
      </c>
      <c r="F224" s="21" t="n">
        <f aca="false">IF(COUNTA(D224:E224)=0,"",SUM(D224:E224))</f>
        <v>1185</v>
      </c>
      <c r="G224" s="39" t="n">
        <f aca="false">IF(OR(F224="",F224=0),"",D224/F224)</f>
        <v>0.347679324894515</v>
      </c>
      <c r="H224" s="39" t="n">
        <f aca="false">IF(OR(F224="",F224=0),"",E224/F224)</f>
        <v>0.652320675105485</v>
      </c>
      <c r="I224" s="38" t="s">
        <v>89</v>
      </c>
      <c r="J224" s="40" t="n">
        <v>1.92472098334064</v>
      </c>
      <c r="K224" s="39" t="n">
        <f aca="false">IF(G224="","",MAX(0,G224-J224/100))</f>
        <v>0.328432115061108</v>
      </c>
      <c r="L224" s="39" t="n">
        <f aca="false">IF(G224="","",MIN(1,G224+J224/100))</f>
        <v>0.366926534727921</v>
      </c>
      <c r="M224" s="21" t="n">
        <f aca="false">ROUND(Q224*S224,0)</f>
        <v>59</v>
      </c>
      <c r="N224" s="21" t="n">
        <f aca="false">ROUND(SQRT((F224*J224/100)^2+(G224*M224)^2),0)</f>
        <v>31</v>
      </c>
      <c r="P224" s="41" t="n">
        <v>-18.8178660360381</v>
      </c>
      <c r="Q224" s="42" t="n">
        <v>1185</v>
      </c>
      <c r="R224" s="43" t="n">
        <f aca="false">MAX(0,MIN(1,P224/100+$D$5))</f>
        <v>0.347577701877418</v>
      </c>
      <c r="S224" s="43" t="n">
        <v>0.0500321312575726</v>
      </c>
      <c r="T224" s="44" t="s">
        <v>99</v>
      </c>
    </row>
    <row r="225" customFormat="false" ht="15" hidden="false" customHeight="false" outlineLevel="0" collapsed="false">
      <c r="A225" s="38" t="s">
        <v>337</v>
      </c>
      <c r="B225" s="38" t="s">
        <v>340</v>
      </c>
      <c r="C225" s="38" t="s">
        <v>341</v>
      </c>
      <c r="D225" s="21" t="n">
        <f aca="false">ROUND(Q225*R225,0)</f>
        <v>1122</v>
      </c>
      <c r="E225" s="21" t="n">
        <f aca="false">ROUND(Q225,0)-D225</f>
        <v>1883</v>
      </c>
      <c r="F225" s="21" t="n">
        <f aca="false">IF(COUNTA(D225:E225)=0,"",SUM(D225:E225))</f>
        <v>3005</v>
      </c>
      <c r="G225" s="39" t="n">
        <f aca="false">IF(OR(F225="",F225=0),"",D225/F225)</f>
        <v>0.373377703826955</v>
      </c>
      <c r="H225" s="39" t="n">
        <f aca="false">IF(OR(F225="",F225=0),"",E225/F225)</f>
        <v>0.626622296173045</v>
      </c>
      <c r="I225" s="38" t="s">
        <v>89</v>
      </c>
      <c r="J225" s="40" t="n">
        <v>1.87117215961084</v>
      </c>
      <c r="K225" s="39" t="n">
        <f aca="false">IF(G225="","",MAX(0,G225-J225/100))</f>
        <v>0.354665982230847</v>
      </c>
      <c r="L225" s="39" t="n">
        <f aca="false">IF(G225="","",MIN(1,G225+J225/100))</f>
        <v>0.392089425423063</v>
      </c>
      <c r="M225" s="21" t="n">
        <f aca="false">ROUND(Q225*S225,0)</f>
        <v>391</v>
      </c>
      <c r="N225" s="21" t="n">
        <f aca="false">ROUND(SQRT((F225*J225/100)^2+(G225*M225)^2),0)</f>
        <v>156</v>
      </c>
      <c r="P225" s="41" t="n">
        <v>-16.2286153300672</v>
      </c>
      <c r="Q225" s="42" t="n">
        <v>3005</v>
      </c>
      <c r="R225" s="43" t="n">
        <f aca="false">MAX(0,MIN(1,P225/100+$D$5))</f>
        <v>0.373470208937127</v>
      </c>
      <c r="S225" s="43" t="n">
        <v>0.130204099606216</v>
      </c>
      <c r="T225" s="44" t="s">
        <v>192</v>
      </c>
    </row>
    <row r="226" customFormat="false" ht="15" hidden="false" customHeight="false" outlineLevel="0" collapsed="false">
      <c r="A226" s="38" t="s">
        <v>337</v>
      </c>
      <c r="B226" s="38" t="s">
        <v>342</v>
      </c>
      <c r="C226" s="38" t="s">
        <v>343</v>
      </c>
      <c r="D226" s="21" t="n">
        <f aca="false">ROUND(Q226*R226,0)</f>
        <v>429</v>
      </c>
      <c r="E226" s="21" t="n">
        <f aca="false">ROUND(Q226,0)-D226</f>
        <v>683</v>
      </c>
      <c r="F226" s="21" t="n">
        <f aca="false">IF(COUNTA(D226:E226)=0,"",SUM(D226:E226))</f>
        <v>1112</v>
      </c>
      <c r="G226" s="39" t="n">
        <f aca="false">IF(OR(F226="",F226=0),"",D226/F226)</f>
        <v>0.385791366906475</v>
      </c>
      <c r="H226" s="39" t="n">
        <f aca="false">IF(OR(F226="",F226=0),"",E226/F226)</f>
        <v>0.614208633093525</v>
      </c>
      <c r="I226" s="38" t="s">
        <v>89</v>
      </c>
      <c r="J226" s="40" t="n">
        <v>1.92472098334064</v>
      </c>
      <c r="K226" s="39" t="n">
        <f aca="false">IF(G226="","",MAX(0,G226-J226/100))</f>
        <v>0.366544157073068</v>
      </c>
      <c r="L226" s="39" t="n">
        <f aca="false">IF(G226="","",MIN(1,G226+J226/100))</f>
        <v>0.405038576739881</v>
      </c>
      <c r="M226" s="21" t="n">
        <f aca="false">ROUND(Q226*S226,0)</f>
        <v>56</v>
      </c>
      <c r="N226" s="21" t="n">
        <f aca="false">ROUND(SQRT((F226*J226/100)^2+(G226*M226)^2),0)</f>
        <v>30</v>
      </c>
      <c r="P226" s="41" t="n">
        <v>-15.0105144634359</v>
      </c>
      <c r="Q226" s="42" t="n">
        <v>1112</v>
      </c>
      <c r="R226" s="43" t="n">
        <f aca="false">MAX(0,MIN(1,P226/100+$D$5))</f>
        <v>0.38565121760344</v>
      </c>
      <c r="S226" s="43" t="n">
        <v>0.0500321312575726</v>
      </c>
      <c r="T226" s="44" t="s">
        <v>99</v>
      </c>
    </row>
    <row r="227" customFormat="false" ht="15" hidden="false" customHeight="false" outlineLevel="0" collapsed="false">
      <c r="A227" s="38" t="s">
        <v>344</v>
      </c>
      <c r="B227" s="38" t="s">
        <v>345</v>
      </c>
      <c r="C227" s="38" t="s">
        <v>346</v>
      </c>
      <c r="D227" s="21" t="n">
        <f aca="false">ROUND(Q227*R227,0)</f>
        <v>576</v>
      </c>
      <c r="E227" s="21" t="n">
        <f aca="false">ROUND(Q227,0)-D227</f>
        <v>697</v>
      </c>
      <c r="F227" s="21" t="n">
        <f aca="false">IF(COUNTA(D227:E227)=0,"",SUM(D227:E227))</f>
        <v>1273</v>
      </c>
      <c r="G227" s="39" t="n">
        <f aca="false">IF(OR(F227="",F227=0),"",D227/F227)</f>
        <v>0.452474469756481</v>
      </c>
      <c r="H227" s="39" t="n">
        <f aca="false">IF(OR(F227="",F227=0),"",E227/F227)</f>
        <v>0.547525530243519</v>
      </c>
      <c r="I227" s="38" t="s">
        <v>89</v>
      </c>
      <c r="J227" s="40" t="n">
        <v>1.87117215961084</v>
      </c>
      <c r="K227" s="39" t="n">
        <f aca="false">IF(G227="","",MAX(0,G227-J227/100))</f>
        <v>0.433762748160372</v>
      </c>
      <c r="L227" s="39" t="n">
        <f aca="false">IF(G227="","",MIN(1,G227+J227/100))</f>
        <v>0.471186191352589</v>
      </c>
      <c r="M227" s="21" t="n">
        <f aca="false">ROUND(Q227*S227,0)</f>
        <v>166</v>
      </c>
      <c r="N227" s="21" t="n">
        <f aca="false">ROUND(SQRT((F227*J227/100)^2+(G227*M227)^2),0)</f>
        <v>79</v>
      </c>
      <c r="P227" s="41" t="n">
        <v>-8.3077535843263</v>
      </c>
      <c r="Q227" s="42" t="n">
        <v>1273</v>
      </c>
      <c r="R227" s="43" t="n">
        <f aca="false">MAX(0,MIN(1,P227/100+$D$5))</f>
        <v>0.452678826394536</v>
      </c>
      <c r="S227" s="43" t="n">
        <v>0.130204099606216</v>
      </c>
      <c r="T227" s="44" t="s">
        <v>192</v>
      </c>
    </row>
    <row r="228" customFormat="false" ht="15" hidden="false" customHeight="false" outlineLevel="0" collapsed="false">
      <c r="A228" s="38" t="s">
        <v>344</v>
      </c>
      <c r="B228" s="38" t="s">
        <v>345</v>
      </c>
      <c r="C228" s="38" t="s">
        <v>347</v>
      </c>
      <c r="D228" s="21" t="n">
        <f aca="false">ROUND(Q228*R228,0)</f>
        <v>673</v>
      </c>
      <c r="E228" s="21" t="n">
        <f aca="false">ROUND(Q228,0)-D228</f>
        <v>654</v>
      </c>
      <c r="F228" s="21" t="n">
        <f aca="false">IF(COUNTA(D228:E228)=0,"",SUM(D228:E228))</f>
        <v>1327</v>
      </c>
      <c r="G228" s="39" t="n">
        <f aca="false">IF(OR(F228="",F228=0),"",D228/F228)</f>
        <v>0.507159005275057</v>
      </c>
      <c r="H228" s="39" t="n">
        <f aca="false">IF(OR(F228="",F228=0),"",E228/F228)</f>
        <v>0.492840994724943</v>
      </c>
      <c r="I228" s="38" t="s">
        <v>89</v>
      </c>
      <c r="J228" s="40" t="n">
        <v>1.87117215961084</v>
      </c>
      <c r="K228" s="39" t="n">
        <f aca="false">IF(G228="","",MAX(0,G228-J228/100))</f>
        <v>0.488447283678948</v>
      </c>
      <c r="L228" s="39" t="n">
        <f aca="false">IF(G228="","",MIN(1,G228+J228/100))</f>
        <v>0.525870726871165</v>
      </c>
      <c r="M228" s="21" t="n">
        <f aca="false">ROUND(Q228*S228,0)</f>
        <v>173</v>
      </c>
      <c r="N228" s="21" t="n">
        <f aca="false">ROUND(SQRT((F228*J228/100)^2+(G228*M228)^2),0)</f>
        <v>91</v>
      </c>
      <c r="P228" s="41" t="n">
        <v>-2.87955778195586</v>
      </c>
      <c r="Q228" s="42" t="n">
        <v>1327</v>
      </c>
      <c r="R228" s="43" t="n">
        <f aca="false">MAX(0,MIN(1,P228/100+$D$5))</f>
        <v>0.50696078441824</v>
      </c>
      <c r="S228" s="43" t="n">
        <v>0.130204099606216</v>
      </c>
      <c r="T228" s="44" t="s">
        <v>192</v>
      </c>
    </row>
    <row r="229" customFormat="false" ht="15" hidden="false" customHeight="false" outlineLevel="0" collapsed="false">
      <c r="A229" s="38" t="s">
        <v>344</v>
      </c>
      <c r="B229" s="38" t="s">
        <v>348</v>
      </c>
      <c r="C229" s="38" t="s">
        <v>349</v>
      </c>
      <c r="D229" s="21" t="n">
        <f aca="false">ROUND(Q229*R229,0)</f>
        <v>345</v>
      </c>
      <c r="E229" s="21" t="n">
        <f aca="false">ROUND(Q229,0)-D229</f>
        <v>451</v>
      </c>
      <c r="F229" s="21" t="n">
        <f aca="false">IF(COUNTA(D229:E229)=0,"",SUM(D229:E229))</f>
        <v>796</v>
      </c>
      <c r="G229" s="39" t="n">
        <f aca="false">IF(OR(F229="",F229=0),"",D229/F229)</f>
        <v>0.433417085427136</v>
      </c>
      <c r="H229" s="39" t="n">
        <f aca="false">IF(OR(F229="",F229=0),"",E229/F229)</f>
        <v>0.566582914572864</v>
      </c>
      <c r="I229" s="38" t="s">
        <v>190</v>
      </c>
      <c r="J229" s="40" t="n">
        <v>1.92472098334064</v>
      </c>
      <c r="K229" s="39" t="n">
        <f aca="false">IF(G229="","",MAX(0,G229-J229/100))</f>
        <v>0.414169875593729</v>
      </c>
      <c r="L229" s="39" t="n">
        <f aca="false">IF(G229="","",MIN(1,G229+J229/100))</f>
        <v>0.452664295260542</v>
      </c>
      <c r="M229" s="21" t="n">
        <f aca="false">ROUND(Q229*S229,0)</f>
        <v>40</v>
      </c>
      <c r="N229" s="21" t="n">
        <f aca="false">ROUND(SQRT((F229*J229/100)^2+(G229*M229)^2),0)</f>
        <v>23</v>
      </c>
      <c r="P229" s="41" t="n">
        <v>-10.2432832870826</v>
      </c>
      <c r="Q229" s="42" t="n">
        <v>796.162853297443</v>
      </c>
      <c r="R229" s="43" t="n">
        <f aca="false">MAX(0,MIN(1,P229/100+$D$5))</f>
        <v>0.433323529366973</v>
      </c>
      <c r="S229" s="43" t="n">
        <v>0.0500321312575726</v>
      </c>
      <c r="T229" s="44" t="s">
        <v>99</v>
      </c>
    </row>
    <row r="230" customFormat="false" ht="15" hidden="false" customHeight="false" outlineLevel="0" collapsed="false">
      <c r="A230" s="38" t="s">
        <v>344</v>
      </c>
      <c r="B230" s="38" t="s">
        <v>348</v>
      </c>
      <c r="C230" s="38" t="s">
        <v>350</v>
      </c>
      <c r="D230" s="21" t="n">
        <f aca="false">ROUND(Q230*R230,0)</f>
        <v>383</v>
      </c>
      <c r="E230" s="21" t="n">
        <f aca="false">ROUND(Q230,0)-D230</f>
        <v>478</v>
      </c>
      <c r="F230" s="21" t="n">
        <f aca="false">IF(COUNTA(D230:E230)=0,"",SUM(D230:E230))</f>
        <v>861</v>
      </c>
      <c r="G230" s="39" t="n">
        <f aca="false">IF(OR(F230="",F230=0),"",D230/F230)</f>
        <v>0.444831591173055</v>
      </c>
      <c r="H230" s="39" t="n">
        <f aca="false">IF(OR(F230="",F230=0),"",E230/F230)</f>
        <v>0.555168408826945</v>
      </c>
      <c r="I230" s="38" t="s">
        <v>190</v>
      </c>
      <c r="J230" s="40" t="n">
        <v>1.92472098334064</v>
      </c>
      <c r="K230" s="39" t="n">
        <f aca="false">IF(G230="","",MAX(0,G230-J230/100))</f>
        <v>0.425584381339648</v>
      </c>
      <c r="L230" s="39" t="n">
        <f aca="false">IF(G230="","",MIN(1,G230+J230/100))</f>
        <v>0.464078801006461</v>
      </c>
      <c r="M230" s="21" t="n">
        <f aca="false">ROUND(Q230*S230,0)</f>
        <v>43</v>
      </c>
      <c r="N230" s="21" t="n">
        <f aca="false">ROUND(SQRT((F230*J230/100)^2+(G230*M230)^2),0)</f>
        <v>25</v>
      </c>
      <c r="P230" s="41" t="n">
        <v>-9.09422173006184</v>
      </c>
      <c r="Q230" s="42" t="n">
        <v>860.837146702557</v>
      </c>
      <c r="R230" s="43" t="n">
        <f aca="false">MAX(0,MIN(1,P230/100+$D$5))</f>
        <v>0.44481414493718</v>
      </c>
      <c r="S230" s="43" t="n">
        <v>0.0500321312575726</v>
      </c>
      <c r="T230" s="44" t="s">
        <v>99</v>
      </c>
    </row>
    <row r="231" customFormat="false" ht="15" hidden="false" customHeight="false" outlineLevel="0" collapsed="false">
      <c r="A231" s="38" t="s">
        <v>344</v>
      </c>
      <c r="B231" s="38" t="s">
        <v>351</v>
      </c>
      <c r="C231" s="38" t="s">
        <v>352</v>
      </c>
      <c r="D231" s="21" t="n">
        <f aca="false">ROUND(Q231*R231,0)</f>
        <v>490</v>
      </c>
      <c r="E231" s="21" t="n">
        <f aca="false">ROUND(Q231,0)-D231</f>
        <v>464</v>
      </c>
      <c r="F231" s="21" t="n">
        <f aca="false">IF(COUNTA(D231:E231)=0,"",SUM(D231:E231))</f>
        <v>954</v>
      </c>
      <c r="G231" s="39" t="n">
        <f aca="false">IF(OR(F231="",F231=0),"",D231/F231)</f>
        <v>0.513626834381551</v>
      </c>
      <c r="H231" s="39" t="n">
        <f aca="false">IF(OR(F231="",F231=0),"",E231/F231)</f>
        <v>0.486373165618449</v>
      </c>
      <c r="I231" s="38" t="s">
        <v>89</v>
      </c>
      <c r="J231" s="40" t="n">
        <v>1.92472098334064</v>
      </c>
      <c r="K231" s="39" t="n">
        <f aca="false">IF(G231="","",MAX(0,G231-J231/100))</f>
        <v>0.494379624548145</v>
      </c>
      <c r="L231" s="39" t="n">
        <f aca="false">IF(G231="","",MIN(1,G231+J231/100))</f>
        <v>0.532874044214958</v>
      </c>
      <c r="M231" s="21" t="n">
        <f aca="false">ROUND(Q231*S231,0)</f>
        <v>48</v>
      </c>
      <c r="N231" s="21" t="n">
        <f aca="false">ROUND(SQRT((F231*J231/100)^2+(G231*M231)^2),0)</f>
        <v>31</v>
      </c>
      <c r="P231" s="41" t="n">
        <v>-2.24156309299124</v>
      </c>
      <c r="Q231" s="42" t="n">
        <v>954</v>
      </c>
      <c r="R231" s="43" t="n">
        <f aca="false">MAX(0,MIN(1,P231/100+$D$5))</f>
        <v>0.513340731307886</v>
      </c>
      <c r="S231" s="43" t="n">
        <v>0.0500321312575726</v>
      </c>
      <c r="T231" s="44" t="s">
        <v>99</v>
      </c>
    </row>
    <row r="232" customFormat="false" ht="15" hidden="false" customHeight="false" outlineLevel="0" collapsed="false">
      <c r="A232" s="38" t="s">
        <v>344</v>
      </c>
      <c r="B232" s="38" t="s">
        <v>219</v>
      </c>
      <c r="C232" s="38" t="s">
        <v>353</v>
      </c>
      <c r="D232" s="21" t="n">
        <f aca="false">ROUND(Q232*R232,0)</f>
        <v>631</v>
      </c>
      <c r="E232" s="21" t="n">
        <f aca="false">ROUND(Q232,0)-D232</f>
        <v>327</v>
      </c>
      <c r="F232" s="21" t="n">
        <f aca="false">IF(COUNTA(D232:E232)=0,"",SUM(D232:E232))</f>
        <v>958</v>
      </c>
      <c r="G232" s="39" t="n">
        <f aca="false">IF(OR(F232="",F232=0),"",D232/F232)</f>
        <v>0.65866388308977</v>
      </c>
      <c r="H232" s="39" t="n">
        <f aca="false">IF(OR(F232="",F232=0),"",E232/F232)</f>
        <v>0.34133611691023</v>
      </c>
      <c r="I232" s="38" t="s">
        <v>89</v>
      </c>
      <c r="J232" s="40" t="n">
        <v>1.92472098334064</v>
      </c>
      <c r="K232" s="39" t="n">
        <f aca="false">IF(G232="","",MAX(0,G232-J232/100))</f>
        <v>0.639416673256364</v>
      </c>
      <c r="L232" s="39" t="n">
        <f aca="false">IF(G232="","",MIN(1,G232+J232/100))</f>
        <v>0.677911092923177</v>
      </c>
      <c r="M232" s="21" t="n">
        <f aca="false">ROUND(Q232*S232,0)</f>
        <v>48</v>
      </c>
      <c r="N232" s="21" t="n">
        <f aca="false">ROUND(SQRT((F232*J232/100)^2+(G232*M232)^2),0)</f>
        <v>37</v>
      </c>
      <c r="P232" s="41" t="n">
        <v>12.2741981960474</v>
      </c>
      <c r="Q232" s="42" t="n">
        <v>958</v>
      </c>
      <c r="R232" s="43" t="n">
        <f aca="false">MAX(0,MIN(1,P232/100+$D$5))</f>
        <v>0.658498344198273</v>
      </c>
      <c r="S232" s="43" t="n">
        <v>0.0500321312575726</v>
      </c>
      <c r="T232" s="44" t="s">
        <v>99</v>
      </c>
    </row>
    <row r="233" customFormat="false" ht="15" hidden="false" customHeight="false" outlineLevel="0" collapsed="false">
      <c r="A233" s="38" t="s">
        <v>344</v>
      </c>
      <c r="B233" s="38" t="s">
        <v>219</v>
      </c>
      <c r="C233" s="38" t="s">
        <v>354</v>
      </c>
      <c r="D233" s="21" t="n">
        <f aca="false">ROUND(Q233*R233,0)</f>
        <v>872</v>
      </c>
      <c r="E233" s="21" t="n">
        <f aca="false">ROUND(Q233,0)-D233</f>
        <v>516</v>
      </c>
      <c r="F233" s="21" t="n">
        <f aca="false">IF(COUNTA(D233:E233)=0,"",SUM(D233:E233))</f>
        <v>1388</v>
      </c>
      <c r="G233" s="39" t="n">
        <f aca="false">IF(OR(F233="",F233=0),"",D233/F233)</f>
        <v>0.628242074927954</v>
      </c>
      <c r="H233" s="39" t="n">
        <f aca="false">IF(OR(F233="",F233=0),"",E233/F233)</f>
        <v>0.371757925072046</v>
      </c>
      <c r="I233" s="38" t="s">
        <v>89</v>
      </c>
      <c r="J233" s="40" t="n">
        <v>1.87117215961084</v>
      </c>
      <c r="K233" s="39" t="n">
        <f aca="false">IF(G233="","",MAX(0,G233-J233/100))</f>
        <v>0.609530353331846</v>
      </c>
      <c r="L233" s="39" t="n">
        <f aca="false">IF(G233="","",MIN(1,G233+J233/100))</f>
        <v>0.646953796524062</v>
      </c>
      <c r="M233" s="21" t="n">
        <f aca="false">ROUND(Q233*S233,0)</f>
        <v>181</v>
      </c>
      <c r="N233" s="21" t="n">
        <f aca="false">ROUND(SQRT((F233*J233/100)^2+(G233*M233)^2),0)</f>
        <v>117</v>
      </c>
      <c r="P233" s="41" t="n">
        <v>9.26517043810956</v>
      </c>
      <c r="Q233" s="42" t="n">
        <v>1388</v>
      </c>
      <c r="R233" s="43" t="n">
        <f aca="false">MAX(0,MIN(1,P233/100+$D$5))</f>
        <v>0.628408066618894</v>
      </c>
      <c r="S233" s="43" t="n">
        <v>0.130204099606216</v>
      </c>
      <c r="T233" s="44" t="s">
        <v>192</v>
      </c>
    </row>
    <row r="234" customFormat="false" ht="15" hidden="false" customHeight="false" outlineLevel="0" collapsed="false">
      <c r="A234" s="38" t="s">
        <v>344</v>
      </c>
      <c r="B234" s="38" t="s">
        <v>219</v>
      </c>
      <c r="C234" s="38" t="s">
        <v>355</v>
      </c>
      <c r="D234" s="21" t="n">
        <f aca="false">ROUND(Q234*R234,0)</f>
        <v>624</v>
      </c>
      <c r="E234" s="21" t="n">
        <f aca="false">ROUND(Q234,0)-D234</f>
        <v>307</v>
      </c>
      <c r="F234" s="21" t="n">
        <f aca="false">IF(COUNTA(D234:E234)=0,"",SUM(D234:E234))</f>
        <v>931</v>
      </c>
      <c r="G234" s="39" t="n">
        <f aca="false">IF(OR(F234="",F234=0),"",D234/F234)</f>
        <v>0.670247046186896</v>
      </c>
      <c r="H234" s="39" t="n">
        <f aca="false">IF(OR(F234="",F234=0),"",E234/F234)</f>
        <v>0.329752953813104</v>
      </c>
      <c r="I234" s="38" t="s">
        <v>89</v>
      </c>
      <c r="J234" s="40" t="n">
        <v>1.92472098334064</v>
      </c>
      <c r="K234" s="39" t="n">
        <f aca="false">IF(G234="","",MAX(0,G234-J234/100))</f>
        <v>0.65099983635349</v>
      </c>
      <c r="L234" s="39" t="n">
        <f aca="false">IF(G234="","",MIN(1,G234+J234/100))</f>
        <v>0.689494256020302</v>
      </c>
      <c r="M234" s="21" t="n">
        <f aca="false">ROUND(Q234*S234,0)</f>
        <v>47</v>
      </c>
      <c r="N234" s="21" t="n">
        <f aca="false">ROUND(SQRT((F234*J234/100)^2+(G234*M234)^2),0)</f>
        <v>36</v>
      </c>
      <c r="P234" s="41" t="n">
        <v>13.4191352557575</v>
      </c>
      <c r="Q234" s="42" t="n">
        <v>931</v>
      </c>
      <c r="R234" s="43" t="n">
        <f aca="false">MAX(0,MIN(1,P234/100+$D$5))</f>
        <v>0.669947714795374</v>
      </c>
      <c r="S234" s="43" t="n">
        <v>0.0500321312575726</v>
      </c>
      <c r="T234" s="44" t="s">
        <v>99</v>
      </c>
    </row>
    <row r="235" customFormat="false" ht="15" hidden="false" customHeight="false" outlineLevel="0" collapsed="false">
      <c r="A235" s="38" t="s">
        <v>344</v>
      </c>
      <c r="B235" s="38" t="s">
        <v>219</v>
      </c>
      <c r="C235" s="38" t="s">
        <v>356</v>
      </c>
      <c r="D235" s="21" t="n">
        <f aca="false">ROUND(Q235*R235,0)</f>
        <v>467</v>
      </c>
      <c r="E235" s="21" t="n">
        <f aca="false">ROUND(Q235,0)-D235</f>
        <v>234</v>
      </c>
      <c r="F235" s="21" t="n">
        <f aca="false">IF(COUNTA(D235:E235)=0,"",SUM(D235:E235))</f>
        <v>701</v>
      </c>
      <c r="G235" s="39" t="n">
        <f aca="false">IF(OR(F235="",F235=0),"",D235/F235)</f>
        <v>0.666191155492154</v>
      </c>
      <c r="H235" s="39" t="n">
        <f aca="false">IF(OR(F235="",F235=0),"",E235/F235)</f>
        <v>0.333808844507846</v>
      </c>
      <c r="I235" s="38" t="s">
        <v>89</v>
      </c>
      <c r="J235" s="40" t="n">
        <v>2.87480042420966</v>
      </c>
      <c r="K235" s="39" t="n">
        <f aca="false">IF(G235="","",MAX(0,G235-J235/100))</f>
        <v>0.637443151250058</v>
      </c>
      <c r="L235" s="39" t="n">
        <f aca="false">IF(G235="","",MIN(1,G235+J235/100))</f>
        <v>0.694939159734251</v>
      </c>
      <c r="M235" s="21" t="n">
        <f aca="false">ROUND(Q235*S235,0)</f>
        <v>43</v>
      </c>
      <c r="N235" s="21" t="n">
        <f aca="false">ROUND(SQRT((F235*J235/100)^2+(G235*M235)^2),0)</f>
        <v>35</v>
      </c>
      <c r="P235" s="41" t="n">
        <v>13.0023051079376</v>
      </c>
      <c r="Q235" s="42" t="n">
        <v>701</v>
      </c>
      <c r="R235" s="43" t="n">
        <f aca="false">MAX(0,MIN(1,P235/100+$D$5))</f>
        <v>0.665779413317175</v>
      </c>
      <c r="S235" s="43" t="n">
        <v>0.0610405690258335</v>
      </c>
      <c r="T235" s="44" t="s">
        <v>90</v>
      </c>
    </row>
    <row r="236" customFormat="false" ht="15" hidden="false" customHeight="false" outlineLevel="0" collapsed="false">
      <c r="A236" s="38" t="s">
        <v>344</v>
      </c>
      <c r="B236" s="38" t="s">
        <v>219</v>
      </c>
      <c r="C236" s="38" t="s">
        <v>357</v>
      </c>
      <c r="D236" s="21" t="n">
        <f aca="false">ROUND(Q236*R236,0)</f>
        <v>633</v>
      </c>
      <c r="E236" s="21" t="n">
        <f aca="false">ROUND(Q236,0)-D236</f>
        <v>344</v>
      </c>
      <c r="F236" s="21" t="n">
        <f aca="false">IF(COUNTA(D236:E236)=0,"",SUM(D236:E236))</f>
        <v>977</v>
      </c>
      <c r="G236" s="39" t="n">
        <f aca="false">IF(OR(F236="",F236=0),"",D236/F236)</f>
        <v>0.647901740020471</v>
      </c>
      <c r="H236" s="39" t="n">
        <f aca="false">IF(OR(F236="",F236=0),"",E236/F236)</f>
        <v>0.352098259979529</v>
      </c>
      <c r="I236" s="38" t="s">
        <v>89</v>
      </c>
      <c r="J236" s="40" t="n">
        <v>1.92472098334064</v>
      </c>
      <c r="K236" s="39" t="n">
        <f aca="false">IF(G236="","",MAX(0,G236-J236/100))</f>
        <v>0.628654530187065</v>
      </c>
      <c r="L236" s="39" t="n">
        <f aca="false">IF(G236="","",MIN(1,G236+J236/100))</f>
        <v>0.667148949853877</v>
      </c>
      <c r="M236" s="21" t="n">
        <f aca="false">ROUND(Q236*S236,0)</f>
        <v>49</v>
      </c>
      <c r="N236" s="21" t="n">
        <f aca="false">ROUND(SQRT((F236*J236/100)^2+(G236*M236)^2),0)</f>
        <v>37</v>
      </c>
      <c r="P236" s="41" t="n">
        <v>11.1933330680371</v>
      </c>
      <c r="Q236" s="42" t="n">
        <v>977</v>
      </c>
      <c r="R236" s="43" t="n">
        <f aca="false">MAX(0,MIN(1,P236/100+$D$5))</f>
        <v>0.647689692918169</v>
      </c>
      <c r="S236" s="43" t="n">
        <v>0.0500321312575726</v>
      </c>
      <c r="T236" s="44" t="s">
        <v>99</v>
      </c>
    </row>
    <row r="237" customFormat="false" ht="15" hidden="false" customHeight="false" outlineLevel="0" collapsed="false">
      <c r="A237" s="38" t="s">
        <v>344</v>
      </c>
      <c r="B237" s="38" t="s">
        <v>219</v>
      </c>
      <c r="C237" s="38" t="s">
        <v>358</v>
      </c>
      <c r="D237" s="21" t="n">
        <f aca="false">ROUND(Q237*R237,0)</f>
        <v>791</v>
      </c>
      <c r="E237" s="21" t="n">
        <f aca="false">ROUND(Q237,0)-D237</f>
        <v>408</v>
      </c>
      <c r="F237" s="21" t="n">
        <f aca="false">IF(COUNTA(D237:E237)=0,"",SUM(D237:E237))</f>
        <v>1199</v>
      </c>
      <c r="G237" s="39" t="n">
        <f aca="false">IF(OR(F237="",F237=0),"",D237/F237)</f>
        <v>0.659716430358632</v>
      </c>
      <c r="H237" s="39" t="n">
        <f aca="false">IF(OR(F237="",F237=0),"",E237/F237)</f>
        <v>0.340283569641368</v>
      </c>
      <c r="I237" s="38" t="s">
        <v>89</v>
      </c>
      <c r="J237" s="40" t="n">
        <v>1.87117215961084</v>
      </c>
      <c r="K237" s="39" t="n">
        <f aca="false">IF(G237="","",MAX(0,G237-J237/100))</f>
        <v>0.641004708762524</v>
      </c>
      <c r="L237" s="39" t="n">
        <f aca="false">IF(G237="","",MIN(1,G237+J237/100))</f>
        <v>0.678428151954741</v>
      </c>
      <c r="M237" s="21" t="n">
        <f aca="false">ROUND(Q237*S237,0)</f>
        <v>156</v>
      </c>
      <c r="N237" s="21" t="n">
        <f aca="false">ROUND(SQRT((F237*J237/100)^2+(G237*M237)^2),0)</f>
        <v>105</v>
      </c>
      <c r="P237" s="41" t="n">
        <v>12.3558915678222</v>
      </c>
      <c r="Q237" s="42" t="n">
        <v>1199</v>
      </c>
      <c r="R237" s="43" t="n">
        <f aca="false">MAX(0,MIN(1,P237/100+$D$5))</f>
        <v>0.659315277916021</v>
      </c>
      <c r="S237" s="43" t="n">
        <v>0.130204099606216</v>
      </c>
      <c r="T237" s="44" t="s">
        <v>192</v>
      </c>
    </row>
    <row r="238" customFormat="false" ht="15" hidden="false" customHeight="false" outlineLevel="0" collapsed="false">
      <c r="A238" s="38" t="s">
        <v>344</v>
      </c>
      <c r="B238" s="38" t="s">
        <v>219</v>
      </c>
      <c r="C238" s="38" t="s">
        <v>359</v>
      </c>
      <c r="D238" s="21" t="n">
        <f aca="false">ROUND(Q238*R238,0)</f>
        <v>637</v>
      </c>
      <c r="E238" s="21" t="n">
        <f aca="false">ROUND(Q238,0)-D238</f>
        <v>386</v>
      </c>
      <c r="F238" s="21" t="n">
        <f aca="false">IF(COUNTA(D238:E238)=0,"",SUM(D238:E238))</f>
        <v>1023</v>
      </c>
      <c r="G238" s="39" t="n">
        <f aca="false">IF(OR(F238="",F238=0),"",D238/F238)</f>
        <v>0.622678396871945</v>
      </c>
      <c r="H238" s="39" t="n">
        <f aca="false">IF(OR(F238="",F238=0),"",E238/F238)</f>
        <v>0.377321603128055</v>
      </c>
      <c r="I238" s="38" t="s">
        <v>89</v>
      </c>
      <c r="J238" s="40" t="n">
        <v>1.92472098334064</v>
      </c>
      <c r="K238" s="39" t="n">
        <f aca="false">IF(G238="","",MAX(0,G238-J238/100))</f>
        <v>0.603431187038539</v>
      </c>
      <c r="L238" s="39" t="n">
        <f aca="false">IF(G238="","",MIN(1,G238+J238/100))</f>
        <v>0.641925606705352</v>
      </c>
      <c r="M238" s="21" t="n">
        <f aca="false">ROUND(Q238*S238,0)</f>
        <v>51</v>
      </c>
      <c r="N238" s="21" t="n">
        <f aca="false">ROUND(SQRT((F238*J238/100)^2+(G238*M238)^2),0)</f>
        <v>37</v>
      </c>
      <c r="P238" s="41" t="n">
        <v>8.70751272967181</v>
      </c>
      <c r="Q238" s="42" t="n">
        <v>1023</v>
      </c>
      <c r="R238" s="43" t="n">
        <f aca="false">MAX(0,MIN(1,P238/100+$D$5))</f>
        <v>0.622831489534517</v>
      </c>
      <c r="S238" s="43" t="n">
        <v>0.0500321312575726</v>
      </c>
      <c r="T238" s="44" t="s">
        <v>99</v>
      </c>
    </row>
    <row r="239" customFormat="false" ht="15" hidden="false" customHeight="false" outlineLevel="0" collapsed="false">
      <c r="A239" s="38" t="s">
        <v>344</v>
      </c>
      <c r="B239" s="38" t="s">
        <v>219</v>
      </c>
      <c r="C239" s="38" t="s">
        <v>360</v>
      </c>
      <c r="D239" s="21" t="n">
        <f aca="false">ROUND(Q239*R239,0)</f>
        <v>465</v>
      </c>
      <c r="E239" s="21" t="n">
        <f aca="false">ROUND(Q239,0)-D239</f>
        <v>234</v>
      </c>
      <c r="F239" s="21" t="n">
        <f aca="false">IF(COUNTA(D239:E239)=0,"",SUM(D239:E239))</f>
        <v>699</v>
      </c>
      <c r="G239" s="39" t="n">
        <f aca="false">IF(OR(F239="",F239=0),"",D239/F239)</f>
        <v>0.665236051502146</v>
      </c>
      <c r="H239" s="39" t="n">
        <f aca="false">IF(OR(F239="",F239=0),"",E239/F239)</f>
        <v>0.334763948497854</v>
      </c>
      <c r="I239" s="38" t="s">
        <v>89</v>
      </c>
      <c r="J239" s="40" t="n">
        <v>2.87480042420966</v>
      </c>
      <c r="K239" s="39" t="n">
        <f aca="false">IF(G239="","",MAX(0,G239-J239/100))</f>
        <v>0.636488047260049</v>
      </c>
      <c r="L239" s="39" t="n">
        <f aca="false">IF(G239="","",MIN(1,G239+J239/100))</f>
        <v>0.693984055744243</v>
      </c>
      <c r="M239" s="21" t="n">
        <f aca="false">ROUND(Q239*S239,0)</f>
        <v>43</v>
      </c>
      <c r="N239" s="21" t="n">
        <f aca="false">ROUND(SQRT((F239*J239/100)^2+(G239*M239)^2),0)</f>
        <v>35</v>
      </c>
      <c r="P239" s="41" t="n">
        <v>12.8982850681882</v>
      </c>
      <c r="Q239" s="42" t="n">
        <v>699</v>
      </c>
      <c r="R239" s="43" t="n">
        <f aca="false">MAX(0,MIN(1,P239/100+$D$5))</f>
        <v>0.664739212919681</v>
      </c>
      <c r="S239" s="43" t="n">
        <v>0.0610405690258335</v>
      </c>
      <c r="T239" s="44" t="s">
        <v>90</v>
      </c>
    </row>
    <row r="240" customFormat="false" ht="15" hidden="false" customHeight="false" outlineLevel="0" collapsed="false">
      <c r="A240" s="38" t="s">
        <v>344</v>
      </c>
      <c r="B240" s="38" t="s">
        <v>219</v>
      </c>
      <c r="C240" s="38" t="s">
        <v>361</v>
      </c>
      <c r="D240" s="21" t="n">
        <f aca="false">ROUND(Q240*R240,0)</f>
        <v>548</v>
      </c>
      <c r="E240" s="21" t="n">
        <f aca="false">ROUND(Q240,0)-D240</f>
        <v>239</v>
      </c>
      <c r="F240" s="21" t="n">
        <f aca="false">IF(COUNTA(D240:E240)=0,"",SUM(D240:E240))</f>
        <v>787</v>
      </c>
      <c r="G240" s="39" t="n">
        <f aca="false">IF(OR(F240="",F240=0),"",D240/F240)</f>
        <v>0.696315120711563</v>
      </c>
      <c r="H240" s="39" t="n">
        <f aca="false">IF(OR(F240="",F240=0),"",E240/F240)</f>
        <v>0.303684879288437</v>
      </c>
      <c r="I240" s="38" t="s">
        <v>89</v>
      </c>
      <c r="J240" s="40" t="n">
        <v>1.92472098334064</v>
      </c>
      <c r="K240" s="39" t="n">
        <f aca="false">IF(G240="","",MAX(0,G240-J240/100))</f>
        <v>0.677067910878157</v>
      </c>
      <c r="L240" s="39" t="n">
        <f aca="false">IF(G240="","",MIN(1,G240+J240/100))</f>
        <v>0.715562330544969</v>
      </c>
      <c r="M240" s="21" t="n">
        <f aca="false">ROUND(Q240*S240,0)</f>
        <v>39</v>
      </c>
      <c r="N240" s="21" t="n">
        <f aca="false">ROUND(SQRT((F240*J240/100)^2+(G240*M240)^2),0)</f>
        <v>31</v>
      </c>
      <c r="P240" s="41" t="n">
        <v>16.0090335468481</v>
      </c>
      <c r="Q240" s="42" t="n">
        <v>787</v>
      </c>
      <c r="R240" s="43" t="n">
        <f aca="false">MAX(0,MIN(1,P240/100+$D$5))</f>
        <v>0.69584669770628</v>
      </c>
      <c r="S240" s="43" t="n">
        <v>0.0500321312575726</v>
      </c>
      <c r="T240" s="44" t="s">
        <v>99</v>
      </c>
    </row>
    <row r="241" customFormat="false" ht="15" hidden="false" customHeight="false" outlineLevel="0" collapsed="false">
      <c r="A241" s="38" t="s">
        <v>344</v>
      </c>
      <c r="B241" s="38" t="s">
        <v>219</v>
      </c>
      <c r="C241" s="38" t="s">
        <v>362</v>
      </c>
      <c r="D241" s="21" t="n">
        <f aca="false">ROUND(Q241*R241,0)</f>
        <v>726</v>
      </c>
      <c r="E241" s="21" t="n">
        <f aca="false">ROUND(Q241,0)-D241</f>
        <v>387</v>
      </c>
      <c r="F241" s="21" t="n">
        <f aca="false">IF(COUNTA(D241:E241)=0,"",SUM(D241:E241))</f>
        <v>1113</v>
      </c>
      <c r="G241" s="39" t="n">
        <f aca="false">IF(OR(F241="",F241=0),"",D241/F241)</f>
        <v>0.652291105121294</v>
      </c>
      <c r="H241" s="39" t="n">
        <f aca="false">IF(OR(F241="",F241=0),"",E241/F241)</f>
        <v>0.347708894878706</v>
      </c>
      <c r="I241" s="38" t="s">
        <v>89</v>
      </c>
      <c r="J241" s="40" t="n">
        <v>1.92472098334064</v>
      </c>
      <c r="K241" s="39" t="n">
        <f aca="false">IF(G241="","",MAX(0,G241-J241/100))</f>
        <v>0.633043895287888</v>
      </c>
      <c r="L241" s="39" t="n">
        <f aca="false">IF(G241="","",MIN(1,G241+J241/100))</f>
        <v>0.6715383149547</v>
      </c>
      <c r="M241" s="21" t="n">
        <f aca="false">ROUND(Q241*S241,0)</f>
        <v>56</v>
      </c>
      <c r="N241" s="21" t="n">
        <f aca="false">ROUND(SQRT((F241*J241/100)^2+(G241*M241)^2),0)</f>
        <v>42</v>
      </c>
      <c r="P241" s="41" t="n">
        <v>11.6859294038891</v>
      </c>
      <c r="Q241" s="42" t="n">
        <v>1113</v>
      </c>
      <c r="R241" s="43" t="n">
        <f aca="false">MAX(0,MIN(1,P241/100+$D$5))</f>
        <v>0.65261565627669</v>
      </c>
      <c r="S241" s="43" t="n">
        <v>0.0500321312575726</v>
      </c>
      <c r="T241" s="44" t="s">
        <v>99</v>
      </c>
    </row>
    <row r="242" customFormat="false" ht="15" hidden="false" customHeight="false" outlineLevel="0" collapsed="false">
      <c r="A242" s="38" t="s">
        <v>344</v>
      </c>
      <c r="B242" s="38" t="s">
        <v>219</v>
      </c>
      <c r="C242" s="38" t="s">
        <v>363</v>
      </c>
      <c r="D242" s="21" t="n">
        <f aca="false">ROUND(Q242*R242,0)</f>
        <v>534</v>
      </c>
      <c r="E242" s="21" t="n">
        <f aca="false">ROUND(Q242,0)-D242</f>
        <v>203</v>
      </c>
      <c r="F242" s="21" t="n">
        <f aca="false">IF(COUNTA(D242:E242)=0,"",SUM(D242:E242))</f>
        <v>737</v>
      </c>
      <c r="G242" s="39" t="n">
        <f aca="false">IF(OR(F242="",F242=0),"",D242/F242)</f>
        <v>0.724559023066486</v>
      </c>
      <c r="H242" s="39" t="n">
        <f aca="false">IF(OR(F242="",F242=0),"",E242/F242)</f>
        <v>0.275440976933514</v>
      </c>
      <c r="I242" s="38" t="s">
        <v>89</v>
      </c>
      <c r="J242" s="40" t="n">
        <v>2.87480042420966</v>
      </c>
      <c r="K242" s="39" t="n">
        <f aca="false">IF(G242="","",MAX(0,G242-J242/100))</f>
        <v>0.695811018824389</v>
      </c>
      <c r="L242" s="39" t="n">
        <f aca="false">IF(G242="","",MIN(1,G242+J242/100))</f>
        <v>0.753307027308582</v>
      </c>
      <c r="M242" s="21" t="n">
        <f aca="false">ROUND(Q242*S242,0)</f>
        <v>45</v>
      </c>
      <c r="N242" s="21" t="n">
        <f aca="false">ROUND(SQRT((F242*J242/100)^2+(G242*M242)^2),0)</f>
        <v>39</v>
      </c>
      <c r="P242" s="41" t="n">
        <v>18.9135862281778</v>
      </c>
      <c r="Q242" s="42" t="n">
        <v>737</v>
      </c>
      <c r="R242" s="43" t="n">
        <f aca="false">MAX(0,MIN(1,P242/100+$D$5))</f>
        <v>0.724892224519577</v>
      </c>
      <c r="S242" s="43" t="n">
        <v>0.0610405690258335</v>
      </c>
      <c r="T242" s="44" t="s">
        <v>90</v>
      </c>
    </row>
    <row r="243" customFormat="false" ht="15" hidden="false" customHeight="false" outlineLevel="0" collapsed="false">
      <c r="A243" s="38" t="s">
        <v>344</v>
      </c>
      <c r="B243" s="38" t="s">
        <v>219</v>
      </c>
      <c r="C243" s="38" t="s">
        <v>364</v>
      </c>
      <c r="D243" s="21" t="n">
        <f aca="false">ROUND(Q243*R243,0)</f>
        <v>556</v>
      </c>
      <c r="E243" s="21" t="n">
        <f aca="false">ROUND(Q243,0)-D243</f>
        <v>291</v>
      </c>
      <c r="F243" s="21" t="n">
        <f aca="false">IF(COUNTA(D243:E243)=0,"",SUM(D243:E243))</f>
        <v>847</v>
      </c>
      <c r="G243" s="39" t="n">
        <f aca="false">IF(OR(F243="",F243=0),"",D243/F243)</f>
        <v>0.656434474616293</v>
      </c>
      <c r="H243" s="39" t="n">
        <f aca="false">IF(OR(F243="",F243=0),"",E243/F243)</f>
        <v>0.343565525383707</v>
      </c>
      <c r="I243" s="38" t="s">
        <v>89</v>
      </c>
      <c r="J243" s="40" t="n">
        <v>1.92472098334064</v>
      </c>
      <c r="K243" s="39" t="n">
        <f aca="false">IF(G243="","",MAX(0,G243-J243/100))</f>
        <v>0.637187264782887</v>
      </c>
      <c r="L243" s="39" t="n">
        <f aca="false">IF(G243="","",MIN(1,G243+J243/100))</f>
        <v>0.675681684449699</v>
      </c>
      <c r="M243" s="21" t="n">
        <f aca="false">ROUND(Q243*S243,0)</f>
        <v>42</v>
      </c>
      <c r="N243" s="21" t="n">
        <f aca="false">ROUND(SQRT((F243*J243/100)^2+(G243*M243)^2),0)</f>
        <v>32</v>
      </c>
      <c r="P243" s="41" t="n">
        <v>12.0211193695615</v>
      </c>
      <c r="Q243" s="42" t="n">
        <v>847</v>
      </c>
      <c r="R243" s="43" t="n">
        <f aca="false">MAX(0,MIN(1,P243/100+$D$5))</f>
        <v>0.655967555933414</v>
      </c>
      <c r="S243" s="43" t="n">
        <v>0.0500321312575726</v>
      </c>
      <c r="T243" s="44" t="s">
        <v>99</v>
      </c>
    </row>
    <row r="244" customFormat="false" ht="15" hidden="false" customHeight="false" outlineLevel="0" collapsed="false">
      <c r="A244" s="38" t="s">
        <v>344</v>
      </c>
      <c r="B244" s="38" t="s">
        <v>219</v>
      </c>
      <c r="C244" s="38" t="s">
        <v>365</v>
      </c>
      <c r="D244" s="21" t="n">
        <f aca="false">ROUND(Q244*R244,0)</f>
        <v>154</v>
      </c>
      <c r="E244" s="21" t="n">
        <f aca="false">ROUND(Q244,0)-D244</f>
        <v>56</v>
      </c>
      <c r="F244" s="21" t="n">
        <f aca="false">IF(COUNTA(D244:E244)=0,"",SUM(D244:E244))</f>
        <v>210</v>
      </c>
      <c r="G244" s="39" t="n">
        <f aca="false">IF(OR(F244="",F244=0),"",D244/F244)</f>
        <v>0.733333333333333</v>
      </c>
      <c r="H244" s="39" t="n">
        <f aca="false">IF(OR(F244="",F244=0),"",E244/F244)</f>
        <v>0.266666666666667</v>
      </c>
      <c r="I244" s="38" t="s">
        <v>89</v>
      </c>
      <c r="J244" s="40" t="n">
        <v>2.87480042420966</v>
      </c>
      <c r="K244" s="39" t="n">
        <f aca="false">IF(G244="","",MAX(0,G244-J244/100))</f>
        <v>0.704585329091237</v>
      </c>
      <c r="L244" s="39" t="n">
        <f aca="false">IF(G244="","",MIN(1,G244+J244/100))</f>
        <v>0.76208133757543</v>
      </c>
      <c r="M244" s="21" t="n">
        <f aca="false">ROUND(Q244*S244,0)</f>
        <v>13</v>
      </c>
      <c r="N244" s="21" t="n">
        <f aca="false">ROUND(SQRT((F244*J244/100)^2+(G244*M244)^2),0)</f>
        <v>11</v>
      </c>
      <c r="P244" s="41" t="n">
        <v>19.9194875513715</v>
      </c>
      <c r="Q244" s="42" t="n">
        <v>210</v>
      </c>
      <c r="R244" s="43" t="n">
        <f aca="false">MAX(0,MIN(1,P244/100+$D$5))</f>
        <v>0.734951237751514</v>
      </c>
      <c r="S244" s="43" t="n">
        <v>0.0610405690258335</v>
      </c>
      <c r="T244" s="44" t="s">
        <v>90</v>
      </c>
    </row>
    <row r="245" customFormat="false" ht="15" hidden="false" customHeight="false" outlineLevel="0" collapsed="false">
      <c r="A245" s="38" t="s">
        <v>344</v>
      </c>
      <c r="B245" s="38" t="s">
        <v>219</v>
      </c>
      <c r="C245" s="38" t="s">
        <v>366</v>
      </c>
      <c r="D245" s="21" t="n">
        <f aca="false">ROUND(Q245*R245,0)</f>
        <v>338</v>
      </c>
      <c r="E245" s="21" t="n">
        <f aca="false">ROUND(Q245,0)-D245</f>
        <v>107</v>
      </c>
      <c r="F245" s="21" t="n">
        <f aca="false">IF(COUNTA(D245:E245)=0,"",SUM(D245:E245))</f>
        <v>445</v>
      </c>
      <c r="G245" s="39" t="n">
        <f aca="false">IF(OR(F245="",F245=0),"",D245/F245)</f>
        <v>0.759550561797753</v>
      </c>
      <c r="H245" s="39" t="n">
        <f aca="false">IF(OR(F245="",F245=0),"",E245/F245)</f>
        <v>0.240449438202247</v>
      </c>
      <c r="I245" s="38" t="s">
        <v>89</v>
      </c>
      <c r="J245" s="40" t="n">
        <v>2.87480042420966</v>
      </c>
      <c r="K245" s="39" t="n">
        <f aca="false">IF(G245="","",MAX(0,G245-J245/100))</f>
        <v>0.730802557555656</v>
      </c>
      <c r="L245" s="39" t="n">
        <f aca="false">IF(G245="","",MIN(1,G245+J245/100))</f>
        <v>0.788298566039849</v>
      </c>
      <c r="M245" s="21" t="n">
        <f aca="false">ROUND(Q245*S245,0)</f>
        <v>27</v>
      </c>
      <c r="N245" s="21" t="n">
        <f aca="false">ROUND(SQRT((F245*J245/100)^2+(G245*M245)^2),0)</f>
        <v>24</v>
      </c>
      <c r="P245" s="41" t="n">
        <v>22.3030334587725</v>
      </c>
      <c r="Q245" s="42" t="n">
        <v>445</v>
      </c>
      <c r="R245" s="43" t="n">
        <f aca="false">MAX(0,MIN(1,P245/100+$D$5))</f>
        <v>0.758786696825524</v>
      </c>
      <c r="S245" s="43" t="n">
        <v>0.0610405690258335</v>
      </c>
      <c r="T245" s="44" t="s">
        <v>90</v>
      </c>
    </row>
    <row r="246" customFormat="false" ht="15" hidden="false" customHeight="false" outlineLevel="0" collapsed="false">
      <c r="A246" s="38" t="s">
        <v>344</v>
      </c>
      <c r="B246" s="38" t="s">
        <v>219</v>
      </c>
      <c r="C246" s="38" t="s">
        <v>367</v>
      </c>
      <c r="D246" s="21" t="n">
        <f aca="false">ROUND(Q246*R246,0)</f>
        <v>263</v>
      </c>
      <c r="E246" s="21" t="n">
        <f aca="false">ROUND(Q246,0)-D246</f>
        <v>91</v>
      </c>
      <c r="F246" s="21" t="n">
        <f aca="false">IF(COUNTA(D246:E246)=0,"",SUM(D246:E246))</f>
        <v>354</v>
      </c>
      <c r="G246" s="39" t="n">
        <f aca="false">IF(OR(F246="",F246=0),"",D246/F246)</f>
        <v>0.742937853107345</v>
      </c>
      <c r="H246" s="39" t="n">
        <f aca="false">IF(OR(F246="",F246=0),"",E246/F246)</f>
        <v>0.257062146892655</v>
      </c>
      <c r="I246" s="38" t="s">
        <v>89</v>
      </c>
      <c r="J246" s="40" t="n">
        <v>2.87480042420966</v>
      </c>
      <c r="K246" s="39" t="n">
        <f aca="false">IF(G246="","",MAX(0,G246-J246/100))</f>
        <v>0.714189848865248</v>
      </c>
      <c r="L246" s="39" t="n">
        <f aca="false">IF(G246="","",MIN(1,G246+J246/100))</f>
        <v>0.771685857349441</v>
      </c>
      <c r="M246" s="21" t="n">
        <f aca="false">ROUND(Q246*S246,0)</f>
        <v>22</v>
      </c>
      <c r="N246" s="21" t="n">
        <f aca="false">ROUND(SQRT((F246*J246/100)^2+(G246*M246)^2),0)</f>
        <v>19</v>
      </c>
      <c r="P246" s="41" t="n">
        <v>20.6759436877495</v>
      </c>
      <c r="Q246" s="42" t="n">
        <v>354</v>
      </c>
      <c r="R246" s="43" t="n">
        <f aca="false">MAX(0,MIN(1,P246/100+$D$5))</f>
        <v>0.742515799115293</v>
      </c>
      <c r="S246" s="43" t="n">
        <v>0.0610405690258335</v>
      </c>
      <c r="T246" s="44" t="s">
        <v>90</v>
      </c>
    </row>
    <row r="247" customFormat="false" ht="15" hidden="false" customHeight="false" outlineLevel="0" collapsed="false">
      <c r="A247" s="38" t="s">
        <v>344</v>
      </c>
      <c r="B247" s="38" t="s">
        <v>219</v>
      </c>
      <c r="C247" s="38" t="s">
        <v>368</v>
      </c>
      <c r="D247" s="21" t="n">
        <f aca="false">ROUND(Q247*R247,0)</f>
        <v>342</v>
      </c>
      <c r="E247" s="21" t="n">
        <f aca="false">ROUND(Q247,0)-D247</f>
        <v>99</v>
      </c>
      <c r="F247" s="21" t="n">
        <f aca="false">IF(COUNTA(D247:E247)=0,"",SUM(D247:E247))</f>
        <v>441</v>
      </c>
      <c r="G247" s="39" t="n">
        <f aca="false">IF(OR(F247="",F247=0),"",D247/F247)</f>
        <v>0.775510204081633</v>
      </c>
      <c r="H247" s="39" t="n">
        <f aca="false">IF(OR(F247="",F247=0),"",E247/F247)</f>
        <v>0.224489795918367</v>
      </c>
      <c r="I247" s="38" t="s">
        <v>89</v>
      </c>
      <c r="J247" s="40" t="n">
        <v>2.87480042420966</v>
      </c>
      <c r="K247" s="39" t="n">
        <f aca="false">IF(G247="","",MAX(0,G247-J247/100))</f>
        <v>0.746762199839536</v>
      </c>
      <c r="L247" s="39" t="n">
        <f aca="false">IF(G247="","",MIN(1,G247+J247/100))</f>
        <v>0.804258208323729</v>
      </c>
      <c r="M247" s="21" t="n">
        <f aca="false">ROUND(Q247*S247,0)</f>
        <v>27</v>
      </c>
      <c r="N247" s="21" t="n">
        <f aca="false">ROUND(SQRT((F247*J247/100)^2+(G247*M247)^2),0)</f>
        <v>24</v>
      </c>
      <c r="P247" s="41" t="n">
        <v>24.074044717328</v>
      </c>
      <c r="Q247" s="42" t="n">
        <v>441</v>
      </c>
      <c r="R247" s="43" t="n">
        <f aca="false">MAX(0,MIN(1,P247/100+$D$5))</f>
        <v>0.776496809411079</v>
      </c>
      <c r="S247" s="43" t="n">
        <v>0.0610405690258335</v>
      </c>
      <c r="T247" s="44" t="s">
        <v>90</v>
      </c>
    </row>
    <row r="248" customFormat="false" ht="15" hidden="false" customHeight="false" outlineLevel="0" collapsed="false">
      <c r="A248" s="38" t="s">
        <v>344</v>
      </c>
      <c r="B248" s="38" t="s">
        <v>219</v>
      </c>
      <c r="C248" s="38" t="s">
        <v>369</v>
      </c>
      <c r="D248" s="21" t="n">
        <f aca="false">ROUND(Q248*R248,0)</f>
        <v>627</v>
      </c>
      <c r="E248" s="21" t="n">
        <f aca="false">ROUND(Q248,0)-D248</f>
        <v>162</v>
      </c>
      <c r="F248" s="21" t="n">
        <f aca="false">IF(COUNTA(D248:E248)=0,"",SUM(D248:E248))</f>
        <v>789</v>
      </c>
      <c r="G248" s="39" t="n">
        <f aca="false">IF(OR(F248="",F248=0),"",D248/F248)</f>
        <v>0.79467680608365</v>
      </c>
      <c r="H248" s="39" t="n">
        <f aca="false">IF(OR(F248="",F248=0),"",E248/F248)</f>
        <v>0.20532319391635</v>
      </c>
      <c r="I248" s="38" t="s">
        <v>89</v>
      </c>
      <c r="J248" s="40" t="n">
        <v>1.92472098334064</v>
      </c>
      <c r="K248" s="39" t="n">
        <f aca="false">IF(G248="","",MAX(0,G248-J248/100))</f>
        <v>0.775429596250244</v>
      </c>
      <c r="L248" s="39" t="n">
        <f aca="false">IF(G248="","",MIN(1,G248+J248/100))</f>
        <v>0.813924015917057</v>
      </c>
      <c r="M248" s="21" t="n">
        <f aca="false">ROUND(Q248*S248,0)</f>
        <v>39</v>
      </c>
      <c r="N248" s="21" t="n">
        <f aca="false">ROUND(SQRT((F248*J248/100)^2+(G248*M248)^2),0)</f>
        <v>35</v>
      </c>
      <c r="P248" s="41" t="n">
        <v>25.9537151206736</v>
      </c>
      <c r="Q248" s="42" t="n">
        <v>789</v>
      </c>
      <c r="R248" s="43" t="n">
        <f aca="false">MAX(0,MIN(1,P248/100+$D$5))</f>
        <v>0.795293513444535</v>
      </c>
      <c r="S248" s="43" t="n">
        <v>0.0500321312575726</v>
      </c>
      <c r="T248" s="44" t="s">
        <v>99</v>
      </c>
    </row>
    <row r="249" customFormat="false" ht="15" hidden="false" customHeight="false" outlineLevel="0" collapsed="false">
      <c r="A249" s="38" t="s">
        <v>344</v>
      </c>
      <c r="B249" s="38" t="s">
        <v>219</v>
      </c>
      <c r="C249" s="38" t="s">
        <v>370</v>
      </c>
      <c r="D249" s="21" t="n">
        <f aca="false">ROUND(Q249*R249,0)</f>
        <v>356</v>
      </c>
      <c r="E249" s="21" t="n">
        <f aca="false">ROUND(Q249,0)-D249</f>
        <v>110</v>
      </c>
      <c r="F249" s="21" t="n">
        <f aca="false">IF(COUNTA(D249:E249)=0,"",SUM(D249:E249))</f>
        <v>466</v>
      </c>
      <c r="G249" s="39" t="n">
        <f aca="false">IF(OR(F249="",F249=0),"",D249/F249)</f>
        <v>0.763948497854077</v>
      </c>
      <c r="H249" s="39" t="n">
        <f aca="false">IF(OR(F249="",F249=0),"",E249/F249)</f>
        <v>0.236051502145923</v>
      </c>
      <c r="I249" s="38" t="s">
        <v>89</v>
      </c>
      <c r="J249" s="40" t="n">
        <v>2.87480042420966</v>
      </c>
      <c r="K249" s="39" t="n">
        <f aca="false">IF(G249="","",MAX(0,G249-J249/100))</f>
        <v>0.735200493611981</v>
      </c>
      <c r="L249" s="39" t="n">
        <f aca="false">IF(G249="","",MIN(1,G249+J249/100))</f>
        <v>0.792696502096174</v>
      </c>
      <c r="M249" s="21" t="n">
        <f aca="false">ROUND(Q249*S249,0)</f>
        <v>28</v>
      </c>
      <c r="N249" s="21" t="n">
        <f aca="false">ROUND(SQRT((F249*J249/100)^2+(G249*M249)^2),0)</f>
        <v>25</v>
      </c>
      <c r="P249" s="41" t="n">
        <v>22.7577246639381</v>
      </c>
      <c r="Q249" s="42" t="n">
        <v>466</v>
      </c>
      <c r="R249" s="43" t="n">
        <f aca="false">MAX(0,MIN(1,P249/100+$D$5))</f>
        <v>0.76333360887718</v>
      </c>
      <c r="S249" s="43" t="n">
        <v>0.0610405690258335</v>
      </c>
      <c r="T249" s="44" t="s">
        <v>90</v>
      </c>
    </row>
    <row r="250" customFormat="false" ht="15" hidden="false" customHeight="false" outlineLevel="0" collapsed="false">
      <c r="A250" s="38" t="s">
        <v>344</v>
      </c>
      <c r="B250" s="38" t="s">
        <v>219</v>
      </c>
      <c r="C250" s="38" t="s">
        <v>371</v>
      </c>
      <c r="D250" s="21" t="n">
        <f aca="false">ROUND(Q250*R250,0)</f>
        <v>371</v>
      </c>
      <c r="E250" s="21" t="n">
        <f aca="false">ROUND(Q250,0)-D250</f>
        <v>126</v>
      </c>
      <c r="F250" s="21" t="n">
        <f aca="false">IF(COUNTA(D250:E250)=0,"",SUM(D250:E250))</f>
        <v>497</v>
      </c>
      <c r="G250" s="39" t="n">
        <f aca="false">IF(OR(F250="",F250=0),"",D250/F250)</f>
        <v>0.746478873239437</v>
      </c>
      <c r="H250" s="39" t="n">
        <f aca="false">IF(OR(F250="",F250=0),"",E250/F250)</f>
        <v>0.253521126760563</v>
      </c>
      <c r="I250" s="38" t="s">
        <v>89</v>
      </c>
      <c r="J250" s="40" t="n">
        <v>2.87480042420966</v>
      </c>
      <c r="K250" s="39" t="n">
        <f aca="false">IF(G250="","",MAX(0,G250-J250/100))</f>
        <v>0.71773086899734</v>
      </c>
      <c r="L250" s="39" t="n">
        <f aca="false">IF(G250="","",MIN(1,G250+J250/100))</f>
        <v>0.775226877481533</v>
      </c>
      <c r="M250" s="21" t="n">
        <f aca="false">ROUND(Q250*S250,0)</f>
        <v>30</v>
      </c>
      <c r="N250" s="21" t="n">
        <f aca="false">ROUND(SQRT((F250*J250/100)^2+(G250*M250)^2),0)</f>
        <v>27</v>
      </c>
      <c r="P250" s="41" t="n">
        <v>21.1538525198</v>
      </c>
      <c r="Q250" s="42" t="n">
        <v>497</v>
      </c>
      <c r="R250" s="43" t="n">
        <f aca="false">MAX(0,MIN(1,P250/100+$D$5))</f>
        <v>0.747294887435799</v>
      </c>
      <c r="S250" s="43" t="n">
        <v>0.0610405690258335</v>
      </c>
      <c r="T250" s="44" t="s">
        <v>90</v>
      </c>
    </row>
    <row r="251" customFormat="false" ht="15" hidden="false" customHeight="false" outlineLevel="0" collapsed="false">
      <c r="A251" s="38" t="s">
        <v>344</v>
      </c>
      <c r="B251" s="38" t="s">
        <v>219</v>
      </c>
      <c r="C251" s="38" t="s">
        <v>372</v>
      </c>
      <c r="D251" s="21" t="n">
        <f aca="false">ROUND(Q251*R251,0)</f>
        <v>419</v>
      </c>
      <c r="E251" s="21" t="n">
        <f aca="false">ROUND(Q251,0)-D251</f>
        <v>145</v>
      </c>
      <c r="F251" s="21" t="n">
        <f aca="false">IF(COUNTA(D251:E251)=0,"",SUM(D251:E251))</f>
        <v>564</v>
      </c>
      <c r="G251" s="39" t="n">
        <f aca="false">IF(OR(F251="",F251=0),"",D251/F251)</f>
        <v>0.74290780141844</v>
      </c>
      <c r="H251" s="39" t="n">
        <f aca="false">IF(OR(F251="",F251=0),"",E251/F251)</f>
        <v>0.25709219858156</v>
      </c>
      <c r="I251" s="38" t="s">
        <v>89</v>
      </c>
      <c r="J251" s="40" t="n">
        <v>2.87480042420966</v>
      </c>
      <c r="K251" s="39" t="n">
        <f aca="false">IF(G251="","",MAX(0,G251-J251/100))</f>
        <v>0.714159797176343</v>
      </c>
      <c r="L251" s="39" t="n">
        <f aca="false">IF(G251="","",MIN(1,G251+J251/100))</f>
        <v>0.771655805660536</v>
      </c>
      <c r="M251" s="21" t="n">
        <f aca="false">ROUND(Q251*S251,0)</f>
        <v>34</v>
      </c>
      <c r="N251" s="21" t="n">
        <f aca="false">ROUND(SQRT((F251*J251/100)^2+(G251*M251)^2),0)</f>
        <v>30</v>
      </c>
      <c r="P251" s="41" t="n">
        <v>20.6627703590139</v>
      </c>
      <c r="Q251" s="42" t="n">
        <v>564</v>
      </c>
      <c r="R251" s="43" t="n">
        <f aca="false">MAX(0,MIN(1,P251/100+$D$5))</f>
        <v>0.742384065827938</v>
      </c>
      <c r="S251" s="43" t="n">
        <v>0.0610405690258335</v>
      </c>
      <c r="T251" s="44" t="s">
        <v>90</v>
      </c>
    </row>
    <row r="252" customFormat="false" ht="15" hidden="false" customHeight="false" outlineLevel="0" collapsed="false">
      <c r="A252" s="38" t="s">
        <v>344</v>
      </c>
      <c r="B252" s="38" t="s">
        <v>219</v>
      </c>
      <c r="C252" s="38" t="s">
        <v>373</v>
      </c>
      <c r="D252" s="21" t="n">
        <f aca="false">ROUND(Q252*R252,0)</f>
        <v>543</v>
      </c>
      <c r="E252" s="21" t="n">
        <f aca="false">ROUND(Q252,0)-D252</f>
        <v>193</v>
      </c>
      <c r="F252" s="21" t="n">
        <f aca="false">IF(COUNTA(D252:E252)=0,"",SUM(D252:E252))</f>
        <v>736</v>
      </c>
      <c r="G252" s="39" t="n">
        <f aca="false">IF(OR(F252="",F252=0),"",D252/F252)</f>
        <v>0.737771739130435</v>
      </c>
      <c r="H252" s="39" t="n">
        <f aca="false">IF(OR(F252="",F252=0),"",E252/F252)</f>
        <v>0.262228260869565</v>
      </c>
      <c r="I252" s="38" t="s">
        <v>89</v>
      </c>
      <c r="J252" s="40" t="n">
        <v>2.87480042420966</v>
      </c>
      <c r="K252" s="39" t="n">
        <f aca="false">IF(G252="","",MAX(0,G252-J252/100))</f>
        <v>0.709023734888338</v>
      </c>
      <c r="L252" s="39" t="n">
        <f aca="false">IF(G252="","",MIN(1,G252+J252/100))</f>
        <v>0.766519743372531</v>
      </c>
      <c r="M252" s="21" t="n">
        <f aca="false">ROUND(Q252*S252,0)</f>
        <v>45</v>
      </c>
      <c r="N252" s="21" t="n">
        <f aca="false">ROUND(SQRT((F252*J252/100)^2+(G252*M252)^2),0)</f>
        <v>39</v>
      </c>
      <c r="P252" s="41" t="n">
        <v>20.1939790035273</v>
      </c>
      <c r="Q252" s="42" t="n">
        <v>736</v>
      </c>
      <c r="R252" s="43" t="n">
        <f aca="false">MAX(0,MIN(1,P252/100+$D$5))</f>
        <v>0.737696152273072</v>
      </c>
      <c r="S252" s="43" t="n">
        <v>0.0610405690258335</v>
      </c>
      <c r="T252" s="44" t="s">
        <v>90</v>
      </c>
    </row>
    <row r="253" customFormat="false" ht="15" hidden="false" customHeight="false" outlineLevel="0" collapsed="false">
      <c r="A253" s="38" t="s">
        <v>344</v>
      </c>
      <c r="B253" s="38" t="s">
        <v>219</v>
      </c>
      <c r="C253" s="38" t="s">
        <v>374</v>
      </c>
      <c r="D253" s="21" t="n">
        <f aca="false">ROUND(Q253*R253,0)</f>
        <v>488</v>
      </c>
      <c r="E253" s="21" t="n">
        <f aca="false">ROUND(Q253,0)-D253</f>
        <v>187</v>
      </c>
      <c r="F253" s="21" t="n">
        <f aca="false">IF(COUNTA(D253:E253)=0,"",SUM(D253:E253))</f>
        <v>675</v>
      </c>
      <c r="G253" s="39" t="n">
        <f aca="false">IF(OR(F253="",F253=0),"",D253/F253)</f>
        <v>0.722962962962963</v>
      </c>
      <c r="H253" s="39" t="n">
        <f aca="false">IF(OR(F253="",F253=0),"",E253/F253)</f>
        <v>0.277037037037037</v>
      </c>
      <c r="I253" s="38" t="s">
        <v>89</v>
      </c>
      <c r="J253" s="40" t="n">
        <v>2.87480042420966</v>
      </c>
      <c r="K253" s="39" t="n">
        <f aca="false">IF(G253="","",MAX(0,G253-J253/100))</f>
        <v>0.694214958720866</v>
      </c>
      <c r="L253" s="39" t="n">
        <f aca="false">IF(G253="","",MIN(1,G253+J253/100))</f>
        <v>0.75171096720506</v>
      </c>
      <c r="M253" s="21" t="n">
        <f aca="false">ROUND(Q253*S253,0)</f>
        <v>41</v>
      </c>
      <c r="N253" s="21" t="n">
        <f aca="false">ROUND(SQRT((F253*J253/100)^2+(G253*M253)^2),0)</f>
        <v>35</v>
      </c>
      <c r="P253" s="41" t="n">
        <v>18.7627595641538</v>
      </c>
      <c r="Q253" s="42" t="n">
        <v>675</v>
      </c>
      <c r="R253" s="43" t="n">
        <f aca="false">MAX(0,MIN(1,P253/100+$D$5))</f>
        <v>0.723383957879337</v>
      </c>
      <c r="S253" s="43" t="n">
        <v>0.0610405690258335</v>
      </c>
      <c r="T253" s="44" t="s">
        <v>90</v>
      </c>
    </row>
    <row r="254" customFormat="false" ht="15" hidden="false" customHeight="false" outlineLevel="0" collapsed="false">
      <c r="A254" s="38" t="s">
        <v>344</v>
      </c>
      <c r="B254" s="38" t="s">
        <v>219</v>
      </c>
      <c r="C254" s="38" t="s">
        <v>375</v>
      </c>
      <c r="D254" s="21" t="n">
        <f aca="false">ROUND(Q254*R254,0)</f>
        <v>573</v>
      </c>
      <c r="E254" s="21" t="n">
        <f aca="false">ROUND(Q254,0)-D254</f>
        <v>221</v>
      </c>
      <c r="F254" s="21" t="n">
        <f aca="false">IF(COUNTA(D254:E254)=0,"",SUM(D254:E254))</f>
        <v>794</v>
      </c>
      <c r="G254" s="39" t="n">
        <f aca="false">IF(OR(F254="",F254=0),"",D254/F254)</f>
        <v>0.721662468513854</v>
      </c>
      <c r="H254" s="39" t="n">
        <f aca="false">IF(OR(F254="",F254=0),"",E254/F254)</f>
        <v>0.278337531486146</v>
      </c>
      <c r="I254" s="38" t="s">
        <v>89</v>
      </c>
      <c r="J254" s="40" t="n">
        <v>1.92472098334064</v>
      </c>
      <c r="K254" s="39" t="n">
        <f aca="false">IF(G254="","",MAX(0,G254-J254/100))</f>
        <v>0.702415258680448</v>
      </c>
      <c r="L254" s="39" t="n">
        <f aca="false">IF(G254="","",MIN(1,G254+J254/100))</f>
        <v>0.74090967834726</v>
      </c>
      <c r="M254" s="21" t="n">
        <f aca="false">ROUND(Q254*S254,0)</f>
        <v>40</v>
      </c>
      <c r="N254" s="21" t="n">
        <f aca="false">ROUND(SQRT((F254*J254/100)^2+(G254*M254)^2),0)</f>
        <v>33</v>
      </c>
      <c r="P254" s="41" t="n">
        <v>18.6317088448435</v>
      </c>
      <c r="Q254" s="42" t="n">
        <v>794</v>
      </c>
      <c r="R254" s="43" t="n">
        <f aca="false">MAX(0,MIN(1,P254/100+$D$5))</f>
        <v>0.722073450686234</v>
      </c>
      <c r="S254" s="43" t="n">
        <v>0.0500321312575726</v>
      </c>
      <c r="T254" s="44" t="s">
        <v>99</v>
      </c>
    </row>
    <row r="255" customFormat="false" ht="15" hidden="false" customHeight="false" outlineLevel="0" collapsed="false">
      <c r="A255" s="38" t="s">
        <v>344</v>
      </c>
      <c r="B255" s="38" t="s">
        <v>219</v>
      </c>
      <c r="C255" s="38" t="s">
        <v>376</v>
      </c>
      <c r="D255" s="21" t="n">
        <f aca="false">ROUND(Q255*R255,0)</f>
        <v>450</v>
      </c>
      <c r="E255" s="21" t="n">
        <f aca="false">ROUND(Q255,0)-D255</f>
        <v>221</v>
      </c>
      <c r="F255" s="21" t="n">
        <f aca="false">IF(COUNTA(D255:E255)=0,"",SUM(D255:E255))</f>
        <v>671</v>
      </c>
      <c r="G255" s="39" t="n">
        <f aca="false">IF(OR(F255="",F255=0),"",D255/F255)</f>
        <v>0.670640834575261</v>
      </c>
      <c r="H255" s="39" t="n">
        <f aca="false">IF(OR(F255="",F255=0),"",E255/F255)</f>
        <v>0.329359165424739</v>
      </c>
      <c r="I255" s="38" t="s">
        <v>190</v>
      </c>
      <c r="J255" s="40" t="n">
        <v>2.87480042420966</v>
      </c>
      <c r="K255" s="39" t="n">
        <f aca="false">IF(G255="","",MAX(0,G255-J255/100))</f>
        <v>0.641892830333164</v>
      </c>
      <c r="L255" s="39" t="n">
        <f aca="false">IF(G255="","",MIN(1,G255+J255/100))</f>
        <v>0.699388838817357</v>
      </c>
      <c r="M255" s="21" t="n">
        <f aca="false">ROUND(Q255*S255,0)</f>
        <v>41</v>
      </c>
      <c r="N255" s="21" t="n">
        <f aca="false">ROUND(SQRT((F255*J255/100)^2+(G255*M255)^2),0)</f>
        <v>34</v>
      </c>
      <c r="P255" s="41" t="n">
        <v>13.5122843505963</v>
      </c>
      <c r="Q255" s="42" t="n">
        <v>670.789561000511</v>
      </c>
      <c r="R255" s="43" t="n">
        <f aca="false">MAX(0,MIN(1,P255/100+$D$5))</f>
        <v>0.670879205743762</v>
      </c>
      <c r="S255" s="43" t="n">
        <v>0.0610405690258335</v>
      </c>
      <c r="T255" s="44" t="s">
        <v>90</v>
      </c>
    </row>
    <row r="256" customFormat="false" ht="15" hidden="false" customHeight="false" outlineLevel="0" collapsed="false">
      <c r="A256" s="38" t="s">
        <v>344</v>
      </c>
      <c r="B256" s="38" t="s">
        <v>377</v>
      </c>
      <c r="C256" s="38" t="s">
        <v>378</v>
      </c>
      <c r="D256" s="21" t="n">
        <f aca="false">ROUND(Q256*R256,0)</f>
        <v>408</v>
      </c>
      <c r="E256" s="21" t="n">
        <f aca="false">ROUND(Q256,0)-D256</f>
        <v>304</v>
      </c>
      <c r="F256" s="21" t="n">
        <f aca="false">IF(COUNTA(D256:E256)=0,"",SUM(D256:E256))</f>
        <v>712</v>
      </c>
      <c r="G256" s="39" t="n">
        <f aca="false">IF(OR(F256="",F256=0),"",D256/F256)</f>
        <v>0.573033707865169</v>
      </c>
      <c r="H256" s="39" t="n">
        <f aca="false">IF(OR(F256="",F256=0),"",E256/F256)</f>
        <v>0.426966292134831</v>
      </c>
      <c r="I256" s="38" t="s">
        <v>89</v>
      </c>
      <c r="J256" s="40" t="n">
        <v>2.87480042420966</v>
      </c>
      <c r="K256" s="39" t="n">
        <f aca="false">IF(G256="","",MAX(0,G256-J256/100))</f>
        <v>0.544285703623072</v>
      </c>
      <c r="L256" s="39" t="n">
        <f aca="false">IF(G256="","",MIN(1,G256+J256/100))</f>
        <v>0.601781712107265</v>
      </c>
      <c r="M256" s="21" t="n">
        <f aca="false">ROUND(Q256*S256,0)</f>
        <v>43</v>
      </c>
      <c r="N256" s="21" t="n">
        <f aca="false">ROUND(SQRT((F256*J256/100)^2+(G256*M256)^2),0)</f>
        <v>32</v>
      </c>
      <c r="P256" s="41" t="n">
        <v>3.70800027680817</v>
      </c>
      <c r="Q256" s="42" t="n">
        <v>712</v>
      </c>
      <c r="R256" s="43" t="n">
        <f aca="false">MAX(0,MIN(1,P256/100+$D$5))</f>
        <v>0.57283636500588</v>
      </c>
      <c r="S256" s="43" t="n">
        <v>0.0610405690258335</v>
      </c>
      <c r="T256" s="44" t="s">
        <v>90</v>
      </c>
    </row>
    <row r="257" customFormat="false" ht="15" hidden="false" customHeight="false" outlineLevel="0" collapsed="false">
      <c r="A257" s="38" t="s">
        <v>344</v>
      </c>
      <c r="B257" s="38" t="s">
        <v>377</v>
      </c>
      <c r="C257" s="38" t="s">
        <v>379</v>
      </c>
      <c r="D257" s="21" t="n">
        <f aca="false">ROUND(Q257*R257,0)</f>
        <v>511</v>
      </c>
      <c r="E257" s="21" t="n">
        <f aca="false">ROUND(Q257,0)-D257</f>
        <v>395</v>
      </c>
      <c r="F257" s="21" t="n">
        <f aca="false">IF(COUNTA(D257:E257)=0,"",SUM(D257:E257))</f>
        <v>906</v>
      </c>
      <c r="G257" s="39" t="n">
        <f aca="false">IF(OR(F257="",F257=0),"",D257/F257)</f>
        <v>0.56401766004415</v>
      </c>
      <c r="H257" s="39" t="n">
        <f aca="false">IF(OR(F257="",F257=0),"",E257/F257)</f>
        <v>0.43598233995585</v>
      </c>
      <c r="I257" s="38" t="s">
        <v>89</v>
      </c>
      <c r="J257" s="40" t="n">
        <v>1.92472098334064</v>
      </c>
      <c r="K257" s="39" t="n">
        <f aca="false">IF(G257="","",MAX(0,G257-J257/100))</f>
        <v>0.544770450210744</v>
      </c>
      <c r="L257" s="39" t="n">
        <f aca="false">IF(G257="","",MIN(1,G257+J257/100))</f>
        <v>0.583264869877556</v>
      </c>
      <c r="M257" s="21" t="n">
        <f aca="false">ROUND(Q257*S257,0)</f>
        <v>45</v>
      </c>
      <c r="N257" s="21" t="n">
        <f aca="false">ROUND(SQRT((F257*J257/100)^2+(G257*M257)^2),0)</f>
        <v>31</v>
      </c>
      <c r="P257" s="41" t="n">
        <v>2.77919169968921</v>
      </c>
      <c r="Q257" s="42" t="n">
        <v>906</v>
      </c>
      <c r="R257" s="43" t="n">
        <f aca="false">MAX(0,MIN(1,P257/100+$D$5))</f>
        <v>0.563548279234691</v>
      </c>
      <c r="S257" s="43" t="n">
        <v>0.0500321312575726</v>
      </c>
      <c r="T257" s="44" t="s">
        <v>99</v>
      </c>
    </row>
    <row r="258" customFormat="false" ht="15" hidden="false" customHeight="false" outlineLevel="0" collapsed="false">
      <c r="A258" s="38" t="s">
        <v>344</v>
      </c>
      <c r="B258" s="38" t="s">
        <v>377</v>
      </c>
      <c r="C258" s="38" t="s">
        <v>380</v>
      </c>
      <c r="D258" s="21" t="n">
        <f aca="false">ROUND(Q258*R258,0)</f>
        <v>535</v>
      </c>
      <c r="E258" s="21" t="n">
        <f aca="false">ROUND(Q258,0)-D258</f>
        <v>377</v>
      </c>
      <c r="F258" s="21" t="n">
        <f aca="false">IF(COUNTA(D258:E258)=0,"",SUM(D258:E258))</f>
        <v>912</v>
      </c>
      <c r="G258" s="39" t="n">
        <f aca="false">IF(OR(F258="",F258=0),"",D258/F258)</f>
        <v>0.586622807017544</v>
      </c>
      <c r="H258" s="39" t="n">
        <f aca="false">IF(OR(F258="",F258=0),"",E258/F258)</f>
        <v>0.413377192982456</v>
      </c>
      <c r="I258" s="38" t="s">
        <v>89</v>
      </c>
      <c r="J258" s="40" t="n">
        <v>1.92472098334064</v>
      </c>
      <c r="K258" s="39" t="n">
        <f aca="false">IF(G258="","",MAX(0,G258-J258/100))</f>
        <v>0.567375597184138</v>
      </c>
      <c r="L258" s="39" t="n">
        <f aca="false">IF(G258="","",MIN(1,G258+J258/100))</f>
        <v>0.60587001685095</v>
      </c>
      <c r="M258" s="21" t="n">
        <f aca="false">ROUND(Q258*S258,0)</f>
        <v>46</v>
      </c>
      <c r="N258" s="21" t="n">
        <f aca="false">ROUND(SQRT((F258*J258/100)^2+(G258*M258)^2),0)</f>
        <v>32</v>
      </c>
      <c r="P258" s="41" t="n">
        <v>5.07458150268719</v>
      </c>
      <c r="Q258" s="42" t="n">
        <v>912</v>
      </c>
      <c r="R258" s="43" t="n">
        <f aca="false">MAX(0,MIN(1,P258/100+$D$5))</f>
        <v>0.586502177264671</v>
      </c>
      <c r="S258" s="43" t="n">
        <v>0.0500321312575726</v>
      </c>
      <c r="T258" s="44" t="s">
        <v>99</v>
      </c>
    </row>
    <row r="259" customFormat="false" ht="15" hidden="false" customHeight="false" outlineLevel="0" collapsed="false">
      <c r="A259" s="38" t="s">
        <v>344</v>
      </c>
      <c r="B259" s="38" t="s">
        <v>377</v>
      </c>
      <c r="C259" s="38" t="s">
        <v>381</v>
      </c>
      <c r="D259" s="21" t="n">
        <f aca="false">ROUND(Q259*R259,0)</f>
        <v>261</v>
      </c>
      <c r="E259" s="21" t="n">
        <f aca="false">ROUND(Q259,0)-D259</f>
        <v>221</v>
      </c>
      <c r="F259" s="21" t="n">
        <f aca="false">IF(COUNTA(D259:E259)=0,"",SUM(D259:E259))</f>
        <v>482</v>
      </c>
      <c r="G259" s="39" t="n">
        <f aca="false">IF(OR(F259="",F259=0),"",D259/F259)</f>
        <v>0.54149377593361</v>
      </c>
      <c r="H259" s="39" t="n">
        <f aca="false">IF(OR(F259="",F259=0),"",E259/F259)</f>
        <v>0.45850622406639</v>
      </c>
      <c r="I259" s="38" t="s">
        <v>89</v>
      </c>
      <c r="J259" s="40" t="n">
        <v>2.87480042420966</v>
      </c>
      <c r="K259" s="39" t="n">
        <f aca="false">IF(G259="","",MAX(0,G259-J259/100))</f>
        <v>0.512745771691513</v>
      </c>
      <c r="L259" s="39" t="n">
        <f aca="false">IF(G259="","",MIN(1,G259+J259/100))</f>
        <v>0.570241780175707</v>
      </c>
      <c r="M259" s="21" t="n">
        <f aca="false">ROUND(Q259*S259,0)</f>
        <v>29</v>
      </c>
      <c r="N259" s="21" t="n">
        <f aca="false">ROUND(SQRT((F259*J259/100)^2+(G259*M259)^2),0)</f>
        <v>21</v>
      </c>
      <c r="P259" s="41" t="n">
        <v>0.653132667958542</v>
      </c>
      <c r="Q259" s="42" t="n">
        <v>482</v>
      </c>
      <c r="R259" s="43" t="n">
        <f aca="false">MAX(0,MIN(1,P259/100+$D$5))</f>
        <v>0.542287688917384</v>
      </c>
      <c r="S259" s="43" t="n">
        <v>0.0610405690258335</v>
      </c>
      <c r="T259" s="44" t="s">
        <v>90</v>
      </c>
    </row>
    <row r="260" customFormat="false" ht="15" hidden="false" customHeight="false" outlineLevel="0" collapsed="false">
      <c r="A260" s="38" t="s">
        <v>344</v>
      </c>
      <c r="B260" s="38" t="s">
        <v>377</v>
      </c>
      <c r="C260" s="38" t="s">
        <v>382</v>
      </c>
      <c r="D260" s="21" t="n">
        <f aca="false">ROUND(Q260*R260,0)</f>
        <v>452</v>
      </c>
      <c r="E260" s="21" t="n">
        <f aca="false">ROUND(Q260,0)-D260</f>
        <v>300</v>
      </c>
      <c r="F260" s="21" t="n">
        <f aca="false">IF(COUNTA(D260:E260)=0,"",SUM(D260:E260))</f>
        <v>752</v>
      </c>
      <c r="G260" s="39" t="n">
        <f aca="false">IF(OR(F260="",F260=0),"",D260/F260)</f>
        <v>0.601063829787234</v>
      </c>
      <c r="H260" s="39" t="n">
        <f aca="false">IF(OR(F260="",F260=0),"",E260/F260)</f>
        <v>0.398936170212766</v>
      </c>
      <c r="I260" s="38" t="s">
        <v>89</v>
      </c>
      <c r="J260" s="40" t="n">
        <v>2.87480042420966</v>
      </c>
      <c r="K260" s="39" t="n">
        <f aca="false">IF(G260="","",MAX(0,G260-J260/100))</f>
        <v>0.572315825545138</v>
      </c>
      <c r="L260" s="39" t="n">
        <f aca="false">IF(G260="","",MIN(1,G260+J260/100))</f>
        <v>0.629811834029331</v>
      </c>
      <c r="M260" s="21" t="n">
        <f aca="false">ROUND(Q260*S260,0)</f>
        <v>46</v>
      </c>
      <c r="N260" s="21" t="n">
        <f aca="false">ROUND(SQRT((F260*J260/100)^2+(G260*M260)^2),0)</f>
        <v>35</v>
      </c>
      <c r="P260" s="41" t="n">
        <v>6.47838022914352</v>
      </c>
      <c r="Q260" s="42" t="n">
        <v>752</v>
      </c>
      <c r="R260" s="43" t="n">
        <f aca="false">MAX(0,MIN(1,P260/100+$D$5))</f>
        <v>0.600540164529234</v>
      </c>
      <c r="S260" s="43" t="n">
        <v>0.0610405690258335</v>
      </c>
      <c r="T260" s="44" t="s">
        <v>90</v>
      </c>
    </row>
    <row r="261" customFormat="false" ht="15" hidden="false" customHeight="false" outlineLevel="0" collapsed="false">
      <c r="A261" s="38" t="s">
        <v>344</v>
      </c>
      <c r="B261" s="38" t="s">
        <v>377</v>
      </c>
      <c r="C261" s="38" t="s">
        <v>383</v>
      </c>
      <c r="D261" s="21" t="n">
        <f aca="false">ROUND(Q261*R261,0)</f>
        <v>452</v>
      </c>
      <c r="E261" s="21" t="n">
        <f aca="false">ROUND(Q261,0)-D261</f>
        <v>349</v>
      </c>
      <c r="F261" s="21" t="n">
        <f aca="false">IF(COUNTA(D261:E261)=0,"",SUM(D261:E261))</f>
        <v>801</v>
      </c>
      <c r="G261" s="39" t="n">
        <f aca="false">IF(OR(F261="",F261=0),"",D261/F261)</f>
        <v>0.564294631710362</v>
      </c>
      <c r="H261" s="39" t="n">
        <f aca="false">IF(OR(F261="",F261=0),"",E261/F261)</f>
        <v>0.435705368289638</v>
      </c>
      <c r="I261" s="38" t="s">
        <v>89</v>
      </c>
      <c r="J261" s="40" t="n">
        <v>1.92472098334064</v>
      </c>
      <c r="K261" s="39" t="n">
        <f aca="false">IF(G261="","",MAX(0,G261-J261/100))</f>
        <v>0.545047421876956</v>
      </c>
      <c r="L261" s="39" t="n">
        <f aca="false">IF(G261="","",MIN(1,G261+J261/100))</f>
        <v>0.583541841543768</v>
      </c>
      <c r="M261" s="21" t="n">
        <f aca="false">ROUND(Q261*S261,0)</f>
        <v>40</v>
      </c>
      <c r="N261" s="21" t="n">
        <f aca="false">ROUND(SQRT((F261*J261/100)^2+(G261*M261)^2),0)</f>
        <v>27</v>
      </c>
      <c r="P261" s="41" t="n">
        <v>2.83496941034044</v>
      </c>
      <c r="Q261" s="42" t="n">
        <v>801</v>
      </c>
      <c r="R261" s="43" t="n">
        <f aca="false">MAX(0,MIN(1,P261/100+$D$5))</f>
        <v>0.564106056341203</v>
      </c>
      <c r="S261" s="43" t="n">
        <v>0.0500321312575726</v>
      </c>
      <c r="T261" s="44" t="s">
        <v>99</v>
      </c>
    </row>
    <row r="262" customFormat="false" ht="15" hidden="false" customHeight="false" outlineLevel="0" collapsed="false">
      <c r="A262" s="38" t="s">
        <v>344</v>
      </c>
      <c r="B262" s="38" t="s">
        <v>377</v>
      </c>
      <c r="C262" s="38" t="s">
        <v>384</v>
      </c>
      <c r="D262" s="21" t="n">
        <f aca="false">ROUND(Q262*R262,0)</f>
        <v>293</v>
      </c>
      <c r="E262" s="21" t="n">
        <f aca="false">ROUND(Q262,0)-D262</f>
        <v>200</v>
      </c>
      <c r="F262" s="21" t="n">
        <f aca="false">IF(COUNTA(D262:E262)=0,"",SUM(D262:E262))</f>
        <v>493</v>
      </c>
      <c r="G262" s="39" t="n">
        <f aca="false">IF(OR(F262="",F262=0),"",D262/F262)</f>
        <v>0.594320486815416</v>
      </c>
      <c r="H262" s="39" t="n">
        <f aca="false">IF(OR(F262="",F262=0),"",E262/F262)</f>
        <v>0.405679513184584</v>
      </c>
      <c r="I262" s="38" t="s">
        <v>89</v>
      </c>
      <c r="J262" s="40" t="n">
        <v>2.87480042420966</v>
      </c>
      <c r="K262" s="39" t="n">
        <f aca="false">IF(G262="","",MAX(0,G262-J262/100))</f>
        <v>0.565572482573319</v>
      </c>
      <c r="L262" s="39" t="n">
        <f aca="false">IF(G262="","",MIN(1,G262+J262/100))</f>
        <v>0.623068491057512</v>
      </c>
      <c r="M262" s="21" t="n">
        <f aca="false">ROUND(Q262*S262,0)</f>
        <v>30</v>
      </c>
      <c r="N262" s="21" t="n">
        <f aca="false">ROUND(SQRT((F262*J262/100)^2+(G262*M262)^2),0)</f>
        <v>23</v>
      </c>
      <c r="P262" s="41" t="n">
        <v>5.86239677198517</v>
      </c>
      <c r="Q262" s="42" t="n">
        <v>493</v>
      </c>
      <c r="R262" s="43" t="n">
        <f aca="false">MAX(0,MIN(1,P262/100+$D$5))</f>
        <v>0.59438032995765</v>
      </c>
      <c r="S262" s="43" t="n">
        <v>0.0610405690258335</v>
      </c>
      <c r="T262" s="44" t="s">
        <v>90</v>
      </c>
    </row>
    <row r="263" customFormat="false" ht="15" hidden="false" customHeight="false" outlineLevel="0" collapsed="false">
      <c r="A263" s="38" t="s">
        <v>344</v>
      </c>
      <c r="B263" s="38" t="s">
        <v>377</v>
      </c>
      <c r="C263" s="38" t="s">
        <v>385</v>
      </c>
      <c r="D263" s="21" t="n">
        <f aca="false">ROUND(Q263*R263,0)</f>
        <v>379</v>
      </c>
      <c r="E263" s="21" t="n">
        <f aca="false">ROUND(Q263,0)-D263</f>
        <v>246</v>
      </c>
      <c r="F263" s="21" t="n">
        <f aca="false">IF(COUNTA(D263:E263)=0,"",SUM(D263:E263))</f>
        <v>625</v>
      </c>
      <c r="G263" s="39" t="n">
        <f aca="false">IF(OR(F263="",F263=0),"",D263/F263)</f>
        <v>0.6064</v>
      </c>
      <c r="H263" s="39" t="n">
        <f aca="false">IF(OR(F263="",F263=0),"",E263/F263)</f>
        <v>0.3936</v>
      </c>
      <c r="I263" s="38" t="s">
        <v>89</v>
      </c>
      <c r="J263" s="40" t="n">
        <v>2.87480042420966</v>
      </c>
      <c r="K263" s="39" t="n">
        <f aca="false">IF(G263="","",MAX(0,G263-J263/100))</f>
        <v>0.577651995757904</v>
      </c>
      <c r="L263" s="39" t="n">
        <f aca="false">IF(G263="","",MIN(1,G263+J263/100))</f>
        <v>0.635148004242097</v>
      </c>
      <c r="M263" s="21" t="n">
        <f aca="false">ROUND(Q263*S263,0)</f>
        <v>38</v>
      </c>
      <c r="N263" s="21" t="n">
        <f aca="false">ROUND(SQRT((F263*J263/100)^2+(G263*M263)^2),0)</f>
        <v>29</v>
      </c>
      <c r="P263" s="41" t="n">
        <v>7.12331543386832</v>
      </c>
      <c r="Q263" s="42" t="n">
        <v>625</v>
      </c>
      <c r="R263" s="43" t="n">
        <f aca="false">MAX(0,MIN(1,P263/100+$D$5))</f>
        <v>0.606989516576482</v>
      </c>
      <c r="S263" s="43" t="n">
        <v>0.0610405690258335</v>
      </c>
      <c r="T263" s="44" t="s">
        <v>90</v>
      </c>
    </row>
    <row r="264" customFormat="false" ht="15" hidden="false" customHeight="false" outlineLevel="0" collapsed="false">
      <c r="A264" s="38" t="s">
        <v>344</v>
      </c>
      <c r="B264" s="38" t="s">
        <v>377</v>
      </c>
      <c r="C264" s="38" t="s">
        <v>386</v>
      </c>
      <c r="D264" s="21" t="n">
        <f aca="false">ROUND(Q264*R264,0)</f>
        <v>251</v>
      </c>
      <c r="E264" s="21" t="n">
        <f aca="false">ROUND(Q264,0)-D264</f>
        <v>154</v>
      </c>
      <c r="F264" s="21" t="n">
        <f aca="false">IF(COUNTA(D264:E264)=0,"",SUM(D264:E264))</f>
        <v>405</v>
      </c>
      <c r="G264" s="39" t="n">
        <f aca="false">IF(OR(F264="",F264=0),"",D264/F264)</f>
        <v>0.619753086419753</v>
      </c>
      <c r="H264" s="39" t="n">
        <f aca="false">IF(OR(F264="",F264=0),"",E264/F264)</f>
        <v>0.380246913580247</v>
      </c>
      <c r="I264" s="38" t="s">
        <v>89</v>
      </c>
      <c r="J264" s="40" t="n">
        <v>2.87480042420966</v>
      </c>
      <c r="K264" s="39" t="n">
        <f aca="false">IF(G264="","",MAX(0,G264-J264/100))</f>
        <v>0.591005082177657</v>
      </c>
      <c r="L264" s="39" t="n">
        <f aca="false">IF(G264="","",MIN(1,G264+J264/100))</f>
        <v>0.64850109066185</v>
      </c>
      <c r="M264" s="21" t="n">
        <f aca="false">ROUND(Q264*S264,0)</f>
        <v>25</v>
      </c>
      <c r="N264" s="21" t="n">
        <f aca="false">ROUND(SQRT((F264*J264/100)^2+(G264*M264)^2),0)</f>
        <v>19</v>
      </c>
      <c r="P264" s="41" t="n">
        <v>8.39759133736655</v>
      </c>
      <c r="Q264" s="42" t="n">
        <v>405</v>
      </c>
      <c r="R264" s="43" t="n">
        <f aca="false">MAX(0,MIN(1,P264/100+$D$5))</f>
        <v>0.619732275611464</v>
      </c>
      <c r="S264" s="43" t="n">
        <v>0.0610405690258335</v>
      </c>
      <c r="T264" s="44" t="s">
        <v>90</v>
      </c>
    </row>
    <row r="265" customFormat="false" ht="15" hidden="false" customHeight="false" outlineLevel="0" collapsed="false">
      <c r="A265" s="38" t="s">
        <v>344</v>
      </c>
      <c r="B265" s="38" t="s">
        <v>377</v>
      </c>
      <c r="C265" s="38" t="s">
        <v>387</v>
      </c>
      <c r="D265" s="21" t="n">
        <f aca="false">ROUND(Q265*R265,0)</f>
        <v>301</v>
      </c>
      <c r="E265" s="21" t="n">
        <f aca="false">ROUND(Q265,0)-D265</f>
        <v>251</v>
      </c>
      <c r="F265" s="21" t="n">
        <f aca="false">IF(COUNTA(D265:E265)=0,"",SUM(D265:E265))</f>
        <v>552</v>
      </c>
      <c r="G265" s="39" t="n">
        <f aca="false">IF(OR(F265="",F265=0),"",D265/F265)</f>
        <v>0.545289855072464</v>
      </c>
      <c r="H265" s="39" t="n">
        <f aca="false">IF(OR(F265="",F265=0),"",E265/F265)</f>
        <v>0.454710144927536</v>
      </c>
      <c r="I265" s="38" t="s">
        <v>89</v>
      </c>
      <c r="J265" s="40" t="n">
        <v>2.87480042420966</v>
      </c>
      <c r="K265" s="39" t="n">
        <f aca="false">IF(G265="","",MAX(0,G265-J265/100))</f>
        <v>0.516541850830367</v>
      </c>
      <c r="L265" s="39" t="n">
        <f aca="false">IF(G265="","",MIN(1,G265+J265/100))</f>
        <v>0.57403785931456</v>
      </c>
      <c r="M265" s="21" t="n">
        <f aca="false">ROUND(Q265*S265,0)</f>
        <v>34</v>
      </c>
      <c r="N265" s="21" t="n">
        <f aca="false">ROUND(SQRT((F265*J265/100)^2+(G265*M265)^2),0)</f>
        <v>24</v>
      </c>
      <c r="P265" s="41" t="n">
        <v>0.970699873781199</v>
      </c>
      <c r="Q265" s="42" t="n">
        <v>552</v>
      </c>
      <c r="R265" s="43" t="n">
        <f aca="false">MAX(0,MIN(1,P265/100+$D$5))</f>
        <v>0.545463360975611</v>
      </c>
      <c r="S265" s="43" t="n">
        <v>0.0610405690258335</v>
      </c>
      <c r="T265" s="44" t="s">
        <v>90</v>
      </c>
    </row>
    <row r="266" customFormat="false" ht="15" hidden="false" customHeight="false" outlineLevel="0" collapsed="false">
      <c r="A266" s="38" t="s">
        <v>344</v>
      </c>
      <c r="B266" s="38" t="s">
        <v>377</v>
      </c>
      <c r="C266" s="38" t="s">
        <v>388</v>
      </c>
      <c r="D266" s="21" t="n">
        <f aca="false">ROUND(Q266*R266,0)</f>
        <v>368</v>
      </c>
      <c r="E266" s="21" t="n">
        <f aca="false">ROUND(Q266,0)-D266</f>
        <v>278</v>
      </c>
      <c r="F266" s="21" t="n">
        <f aca="false">IF(COUNTA(D266:E266)=0,"",SUM(D266:E266))</f>
        <v>646</v>
      </c>
      <c r="G266" s="39" t="n">
        <f aca="false">IF(OR(F266="",F266=0),"",D266/F266)</f>
        <v>0.569659442724458</v>
      </c>
      <c r="H266" s="39" t="n">
        <f aca="false">IF(OR(F266="",F266=0),"",E266/F266)</f>
        <v>0.430340557275542</v>
      </c>
      <c r="I266" s="38" t="s">
        <v>89</v>
      </c>
      <c r="J266" s="40" t="n">
        <v>2.87480042420966</v>
      </c>
      <c r="K266" s="39" t="n">
        <f aca="false">IF(G266="","",MAX(0,G266-J266/100))</f>
        <v>0.540911438482362</v>
      </c>
      <c r="L266" s="39" t="n">
        <f aca="false">IF(G266="","",MIN(1,G266+J266/100))</f>
        <v>0.598407446966555</v>
      </c>
      <c r="M266" s="21" t="n">
        <f aca="false">ROUND(Q266*S266,0)</f>
        <v>39</v>
      </c>
      <c r="N266" s="21" t="n">
        <f aca="false">ROUND(SQRT((F266*J266/100)^2+(G266*M266)^2),0)</f>
        <v>29</v>
      </c>
      <c r="P266" s="41" t="n">
        <v>3.43634108837958</v>
      </c>
      <c r="Q266" s="42" t="n">
        <v>646</v>
      </c>
      <c r="R266" s="43" t="n">
        <f aca="false">MAX(0,MIN(1,P266/100+$D$5))</f>
        <v>0.570119773121595</v>
      </c>
      <c r="S266" s="43" t="n">
        <v>0.0610405690258335</v>
      </c>
      <c r="T266" s="44" t="s">
        <v>90</v>
      </c>
    </row>
    <row r="267" customFormat="false" ht="15" hidden="false" customHeight="false" outlineLevel="0" collapsed="false">
      <c r="A267" s="38" t="s">
        <v>344</v>
      </c>
      <c r="B267" s="38" t="s">
        <v>377</v>
      </c>
      <c r="C267" s="38" t="s">
        <v>389</v>
      </c>
      <c r="D267" s="21" t="n">
        <f aca="false">ROUND(Q267*R267,0)</f>
        <v>425</v>
      </c>
      <c r="E267" s="21" t="n">
        <f aca="false">ROUND(Q267,0)-D267</f>
        <v>278</v>
      </c>
      <c r="F267" s="21" t="n">
        <f aca="false">IF(COUNTA(D267:E267)=0,"",SUM(D267:E267))</f>
        <v>703</v>
      </c>
      <c r="G267" s="39" t="n">
        <f aca="false">IF(OR(F267="",F267=0),"",D267/F267)</f>
        <v>0.604551920341394</v>
      </c>
      <c r="H267" s="39" t="n">
        <f aca="false">IF(OR(F267="",F267=0),"",E267/F267)</f>
        <v>0.395448079658606</v>
      </c>
      <c r="I267" s="38" t="s">
        <v>89</v>
      </c>
      <c r="J267" s="40" t="n">
        <v>2.87480042420966</v>
      </c>
      <c r="K267" s="39" t="n">
        <f aca="false">IF(G267="","",MAX(0,G267-J267/100))</f>
        <v>0.575803916099298</v>
      </c>
      <c r="L267" s="39" t="n">
        <f aca="false">IF(G267="","",MIN(1,G267+J267/100))</f>
        <v>0.633299924583491</v>
      </c>
      <c r="M267" s="21" t="n">
        <f aca="false">ROUND(Q267*S267,0)</f>
        <v>43</v>
      </c>
      <c r="N267" s="21" t="n">
        <f aca="false">ROUND(SQRT((F267*J267/100)^2+(G267*M267)^2),0)</f>
        <v>33</v>
      </c>
      <c r="P267" s="41" t="n">
        <v>6.92021477402215</v>
      </c>
      <c r="Q267" s="42" t="n">
        <v>703</v>
      </c>
      <c r="R267" s="43" t="n">
        <f aca="false">MAX(0,MIN(1,P267/100+$D$5))</f>
        <v>0.60495850997802</v>
      </c>
      <c r="S267" s="43" t="n">
        <v>0.0610405690258335</v>
      </c>
      <c r="T267" s="44" t="s">
        <v>90</v>
      </c>
    </row>
    <row r="268" customFormat="false" ht="15" hidden="false" customHeight="false" outlineLevel="0" collapsed="false">
      <c r="A268" s="38" t="s">
        <v>344</v>
      </c>
      <c r="B268" s="38" t="s">
        <v>377</v>
      </c>
      <c r="C268" s="38" t="s">
        <v>390</v>
      </c>
      <c r="D268" s="21" t="n">
        <f aca="false">ROUND(Q268*R268,0)</f>
        <v>373</v>
      </c>
      <c r="E268" s="21" t="n">
        <f aca="false">ROUND(Q268,0)-D268</f>
        <v>313</v>
      </c>
      <c r="F268" s="21" t="n">
        <f aca="false">IF(COUNTA(D268:E268)=0,"",SUM(D268:E268))</f>
        <v>686</v>
      </c>
      <c r="G268" s="39" t="n">
        <f aca="false">IF(OR(F268="",F268=0),"",D268/F268)</f>
        <v>0.543731778425656</v>
      </c>
      <c r="H268" s="39" t="n">
        <f aca="false">IF(OR(F268="",F268=0),"",E268/F268)</f>
        <v>0.456268221574344</v>
      </c>
      <c r="I268" s="38" t="s">
        <v>89</v>
      </c>
      <c r="J268" s="40" t="n">
        <v>2.87480042420966</v>
      </c>
      <c r="K268" s="39" t="n">
        <f aca="false">IF(G268="","",MAX(0,G268-J268/100))</f>
        <v>0.51498377418356</v>
      </c>
      <c r="L268" s="39" t="n">
        <f aca="false">IF(G268="","",MIN(1,G268+J268/100))</f>
        <v>0.572479782667753</v>
      </c>
      <c r="M268" s="21" t="n">
        <f aca="false">ROUND(Q268*S268,0)</f>
        <v>42</v>
      </c>
      <c r="N268" s="21" t="n">
        <f aca="false">ROUND(SQRT((F268*J268/100)^2+(G268*M268)^2),0)</f>
        <v>30</v>
      </c>
      <c r="P268" s="41" t="n">
        <v>0.803191515357434</v>
      </c>
      <c r="Q268" s="42" t="n">
        <v>686</v>
      </c>
      <c r="R268" s="43" t="n">
        <f aca="false">MAX(0,MIN(1,P268/100+$D$5))</f>
        <v>0.543788277391373</v>
      </c>
      <c r="S268" s="43" t="n">
        <v>0.0610405690258335</v>
      </c>
      <c r="T268" s="44" t="s">
        <v>90</v>
      </c>
    </row>
    <row r="269" customFormat="false" ht="15" hidden="false" customHeight="false" outlineLevel="0" collapsed="false">
      <c r="A269" s="38" t="s">
        <v>344</v>
      </c>
      <c r="B269" s="38" t="s">
        <v>377</v>
      </c>
      <c r="C269" s="38" t="s">
        <v>391</v>
      </c>
      <c r="D269" s="21" t="n">
        <f aca="false">ROUND(Q269*R269,0)</f>
        <v>753</v>
      </c>
      <c r="E269" s="21" t="n">
        <f aca="false">ROUND(Q269,0)-D269</f>
        <v>504</v>
      </c>
      <c r="F269" s="21" t="n">
        <f aca="false">IF(COUNTA(D269:E269)=0,"",SUM(D269:E269))</f>
        <v>1257</v>
      </c>
      <c r="G269" s="39" t="n">
        <f aca="false">IF(OR(F269="",F269=0),"",D269/F269)</f>
        <v>0.599045346062053</v>
      </c>
      <c r="H269" s="39" t="n">
        <f aca="false">IF(OR(F269="",F269=0),"",E269/F269)</f>
        <v>0.400954653937948</v>
      </c>
      <c r="I269" s="38" t="s">
        <v>89</v>
      </c>
      <c r="J269" s="40" t="n">
        <v>1.87117215961084</v>
      </c>
      <c r="K269" s="39" t="n">
        <f aca="false">IF(G269="","",MAX(0,G269-J269/100))</f>
        <v>0.580333624465944</v>
      </c>
      <c r="L269" s="39" t="n">
        <f aca="false">IF(G269="","",MIN(1,G269+J269/100))</f>
        <v>0.617757067658161</v>
      </c>
      <c r="M269" s="21" t="n">
        <f aca="false">ROUND(Q269*S269,0)</f>
        <v>164</v>
      </c>
      <c r="N269" s="21" t="n">
        <f aca="false">ROUND(SQRT((F269*J269/100)^2+(G269*M269)^2),0)</f>
        <v>101</v>
      </c>
      <c r="P269" s="41" t="n">
        <v>6.32031612747521</v>
      </c>
      <c r="Q269" s="42" t="n">
        <v>1257</v>
      </c>
      <c r="R269" s="43" t="n">
        <f aca="false">MAX(0,MIN(1,P269/100+$D$5))</f>
        <v>0.598959523512551</v>
      </c>
      <c r="S269" s="43" t="n">
        <v>0.130204099606216</v>
      </c>
      <c r="T269" s="44" t="s">
        <v>192</v>
      </c>
    </row>
    <row r="270" customFormat="false" ht="15" hidden="false" customHeight="false" outlineLevel="0" collapsed="false">
      <c r="A270" s="38" t="s">
        <v>344</v>
      </c>
      <c r="B270" s="38" t="s">
        <v>377</v>
      </c>
      <c r="C270" s="38" t="s">
        <v>392</v>
      </c>
      <c r="D270" s="21" t="n">
        <f aca="false">ROUND(Q270*R270,0)</f>
        <v>420</v>
      </c>
      <c r="E270" s="21" t="n">
        <f aca="false">ROUND(Q270,0)-D270</f>
        <v>355</v>
      </c>
      <c r="F270" s="21" t="n">
        <f aca="false">IF(COUNTA(D270:E270)=0,"",SUM(D270:E270))</f>
        <v>775</v>
      </c>
      <c r="G270" s="39" t="n">
        <f aca="false">IF(OR(F270="",F270=0),"",D270/F270)</f>
        <v>0.541935483870968</v>
      </c>
      <c r="H270" s="39" t="n">
        <f aca="false">IF(OR(F270="",F270=0),"",E270/F270)</f>
        <v>0.458064516129032</v>
      </c>
      <c r="I270" s="38" t="s">
        <v>89</v>
      </c>
      <c r="J270" s="40" t="n">
        <v>2.87480042420966</v>
      </c>
      <c r="K270" s="39" t="n">
        <f aca="false">IF(G270="","",MAX(0,G270-J270/100))</f>
        <v>0.513187479628871</v>
      </c>
      <c r="L270" s="39" t="n">
        <f aca="false">IF(G270="","",MIN(1,G270+J270/100))</f>
        <v>0.570683488113064</v>
      </c>
      <c r="M270" s="21" t="n">
        <f aca="false">ROUND(Q270*S270,0)</f>
        <v>47</v>
      </c>
      <c r="N270" s="21" t="n">
        <f aca="false">ROUND(SQRT((F270*J270/100)^2+(G270*M270)^2),0)</f>
        <v>34</v>
      </c>
      <c r="P270" s="41" t="n">
        <v>0.604028938648866</v>
      </c>
      <c r="Q270" s="42" t="n">
        <v>775</v>
      </c>
      <c r="R270" s="43" t="n">
        <f aca="false">MAX(0,MIN(1,P270/100+$D$5))</f>
        <v>0.541796651624288</v>
      </c>
      <c r="S270" s="43" t="n">
        <v>0.0610405690258335</v>
      </c>
      <c r="T270" s="44" t="s">
        <v>90</v>
      </c>
    </row>
    <row r="271" customFormat="false" ht="15" hidden="false" customHeight="false" outlineLevel="0" collapsed="false">
      <c r="A271" s="38" t="s">
        <v>344</v>
      </c>
      <c r="B271" s="38" t="s">
        <v>377</v>
      </c>
      <c r="C271" s="38" t="s">
        <v>393</v>
      </c>
      <c r="D271" s="21" t="n">
        <f aca="false">ROUND(Q271*R271,0)</f>
        <v>436</v>
      </c>
      <c r="E271" s="21" t="n">
        <f aca="false">ROUND(Q271,0)-D271</f>
        <v>346</v>
      </c>
      <c r="F271" s="21" t="n">
        <f aca="false">IF(COUNTA(D271:E271)=0,"",SUM(D271:E271))</f>
        <v>782</v>
      </c>
      <c r="G271" s="39" t="n">
        <f aca="false">IF(OR(F271="",F271=0),"",D271/F271)</f>
        <v>0.557544757033248</v>
      </c>
      <c r="H271" s="39" t="n">
        <f aca="false">IF(OR(F271="",F271=0),"",E271/F271)</f>
        <v>0.442455242966752</v>
      </c>
      <c r="I271" s="38" t="s">
        <v>89</v>
      </c>
      <c r="J271" s="40" t="n">
        <v>1.92472098334064</v>
      </c>
      <c r="K271" s="39" t="n">
        <f aca="false">IF(G271="","",MAX(0,G271-J271/100))</f>
        <v>0.538297547199842</v>
      </c>
      <c r="L271" s="39" t="n">
        <f aca="false">IF(G271="","",MIN(1,G271+J271/100))</f>
        <v>0.576791966866655</v>
      </c>
      <c r="M271" s="21" t="n">
        <f aca="false">ROUND(Q271*S271,0)</f>
        <v>39</v>
      </c>
      <c r="N271" s="21" t="n">
        <f aca="false">ROUND(SQRT((F271*J271/100)^2+(G271*M271)^2),0)</f>
        <v>26</v>
      </c>
      <c r="P271" s="41" t="n">
        <v>2.22967998173834</v>
      </c>
      <c r="Q271" s="42" t="n">
        <v>782</v>
      </c>
      <c r="R271" s="43" t="n">
        <f aca="false">MAX(0,MIN(1,P271/100+$D$5))</f>
        <v>0.558053162055182</v>
      </c>
      <c r="S271" s="43" t="n">
        <v>0.0500321312575726</v>
      </c>
      <c r="T271" s="44" t="s">
        <v>99</v>
      </c>
    </row>
    <row r="272" customFormat="false" ht="15" hidden="false" customHeight="false" outlineLevel="0" collapsed="false">
      <c r="A272" s="38" t="s">
        <v>344</v>
      </c>
      <c r="B272" s="38" t="s">
        <v>377</v>
      </c>
      <c r="C272" s="38" t="s">
        <v>394</v>
      </c>
      <c r="D272" s="21" t="n">
        <f aca="false">ROUND(Q272*R272,0)</f>
        <v>421</v>
      </c>
      <c r="E272" s="21" t="n">
        <f aca="false">ROUND(Q272,0)-D272</f>
        <v>333</v>
      </c>
      <c r="F272" s="21" t="n">
        <f aca="false">IF(COUNTA(D272:E272)=0,"",SUM(D272:E272))</f>
        <v>754</v>
      </c>
      <c r="G272" s="39" t="n">
        <f aca="false">IF(OR(F272="",F272=0),"",D272/F272)</f>
        <v>0.558355437665782</v>
      </c>
      <c r="H272" s="39" t="n">
        <f aca="false">IF(OR(F272="",F272=0),"",E272/F272)</f>
        <v>0.441644562334218</v>
      </c>
      <c r="I272" s="38" t="s">
        <v>89</v>
      </c>
      <c r="J272" s="40" t="n">
        <v>2.87480042420966</v>
      </c>
      <c r="K272" s="39" t="n">
        <f aca="false">IF(G272="","",MAX(0,G272-J272/100))</f>
        <v>0.529607433423686</v>
      </c>
      <c r="L272" s="39" t="n">
        <f aca="false">IF(G272="","",MIN(1,G272+J272/100))</f>
        <v>0.587103441907879</v>
      </c>
      <c r="M272" s="21" t="n">
        <f aca="false">ROUND(Q272*S272,0)</f>
        <v>46</v>
      </c>
      <c r="N272" s="21" t="n">
        <f aca="false">ROUND(SQRT((F272*J272/100)^2+(G272*M272)^2),0)</f>
        <v>34</v>
      </c>
      <c r="P272" s="41" t="n">
        <v>2.31443886660664</v>
      </c>
      <c r="Q272" s="42" t="n">
        <v>754</v>
      </c>
      <c r="R272" s="43" t="n">
        <f aca="false">MAX(0,MIN(1,P272/100+$D$5))</f>
        <v>0.558900750903865</v>
      </c>
      <c r="S272" s="43" t="n">
        <v>0.0610405690258335</v>
      </c>
      <c r="T272" s="44" t="s">
        <v>90</v>
      </c>
    </row>
    <row r="273" customFormat="false" ht="15" hidden="false" customHeight="false" outlineLevel="0" collapsed="false">
      <c r="A273" s="38" t="s">
        <v>344</v>
      </c>
      <c r="B273" s="38" t="s">
        <v>395</v>
      </c>
      <c r="C273" s="38" t="s">
        <v>396</v>
      </c>
      <c r="D273" s="21" t="n">
        <f aca="false">ROUND(Q273*R273,0)</f>
        <v>778</v>
      </c>
      <c r="E273" s="21" t="n">
        <f aca="false">ROUND(Q273,0)-D273</f>
        <v>1097</v>
      </c>
      <c r="F273" s="21" t="n">
        <f aca="false">IF(COUNTA(D273:E273)=0,"",SUM(D273:E273))</f>
        <v>1875</v>
      </c>
      <c r="G273" s="39" t="n">
        <f aca="false">IF(OR(F273="",F273=0),"",D273/F273)</f>
        <v>0.414933333333333</v>
      </c>
      <c r="H273" s="39" t="n">
        <f aca="false">IF(OR(F273="",F273=0),"",E273/F273)</f>
        <v>0.585066666666667</v>
      </c>
      <c r="I273" s="38" t="s">
        <v>89</v>
      </c>
      <c r="J273" s="40" t="n">
        <v>1.87117215961084</v>
      </c>
      <c r="K273" s="39" t="n">
        <f aca="false">IF(G273="","",MAX(0,G273-J273/100))</f>
        <v>0.396221611737225</v>
      </c>
      <c r="L273" s="39" t="n">
        <f aca="false">IF(G273="","",MIN(1,G273+J273/100))</f>
        <v>0.433645054929442</v>
      </c>
      <c r="M273" s="21" t="n">
        <f aca="false">ROUND(Q273*S273,0)</f>
        <v>244</v>
      </c>
      <c r="N273" s="21" t="n">
        <f aca="false">ROUND(SQRT((F273*J273/100)^2+(G273*M273)^2),0)</f>
        <v>107</v>
      </c>
      <c r="P273" s="41" t="n">
        <v>-12.0819760913821</v>
      </c>
      <c r="Q273" s="42" t="n">
        <v>1875</v>
      </c>
      <c r="R273" s="43" t="n">
        <f aca="false">MAX(0,MIN(1,P273/100+$D$5))</f>
        <v>0.414936601323978</v>
      </c>
      <c r="S273" s="43" t="n">
        <v>0.130204099606216</v>
      </c>
      <c r="T273" s="44" t="s">
        <v>192</v>
      </c>
    </row>
    <row r="274" customFormat="false" ht="15" hidden="false" customHeight="false" outlineLevel="0" collapsed="false">
      <c r="A274" s="38" t="s">
        <v>344</v>
      </c>
      <c r="B274" s="38" t="s">
        <v>395</v>
      </c>
      <c r="C274" s="38" t="s">
        <v>397</v>
      </c>
      <c r="D274" s="21" t="n">
        <f aca="false">ROUND(Q274*R274,0)</f>
        <v>697</v>
      </c>
      <c r="E274" s="21" t="n">
        <f aca="false">ROUND(Q274,0)-D274</f>
        <v>904</v>
      </c>
      <c r="F274" s="21" t="n">
        <f aca="false">IF(COUNTA(D274:E274)=0,"",SUM(D274:E274))</f>
        <v>1601</v>
      </c>
      <c r="G274" s="39" t="n">
        <f aca="false">IF(OR(F274="",F274=0),"",D274/F274)</f>
        <v>0.435352904434728</v>
      </c>
      <c r="H274" s="39" t="n">
        <f aca="false">IF(OR(F274="",F274=0),"",E274/F274)</f>
        <v>0.564647095565272</v>
      </c>
      <c r="I274" s="38" t="s">
        <v>89</v>
      </c>
      <c r="J274" s="40" t="n">
        <v>1.87117215961084</v>
      </c>
      <c r="K274" s="39" t="n">
        <f aca="false">IF(G274="","",MAX(0,G274-J274/100))</f>
        <v>0.41664118283862</v>
      </c>
      <c r="L274" s="39" t="n">
        <f aca="false">IF(G274="","",MIN(1,G274+J274/100))</f>
        <v>0.454064626030837</v>
      </c>
      <c r="M274" s="21" t="n">
        <f aca="false">ROUND(Q274*S274,0)</f>
        <v>208</v>
      </c>
      <c r="N274" s="21" t="n">
        <f aca="false">ROUND(SQRT((F274*J274/100)^2+(G274*M274)^2),0)</f>
        <v>95</v>
      </c>
      <c r="P274" s="41" t="n">
        <v>-10.0264198942896</v>
      </c>
      <c r="Q274" s="42" t="n">
        <v>1601</v>
      </c>
      <c r="R274" s="43" t="n">
        <f aca="false">MAX(0,MIN(1,P274/100+$D$5))</f>
        <v>0.435492163294903</v>
      </c>
      <c r="S274" s="43" t="n">
        <v>0.130204099606216</v>
      </c>
      <c r="T274" s="44" t="s">
        <v>192</v>
      </c>
    </row>
    <row r="275" customFormat="false" ht="15" hidden="false" customHeight="false" outlineLevel="0" collapsed="false">
      <c r="A275" s="38" t="s">
        <v>344</v>
      </c>
      <c r="B275" s="38" t="s">
        <v>395</v>
      </c>
      <c r="C275" s="38" t="s">
        <v>398</v>
      </c>
      <c r="D275" s="21" t="n">
        <f aca="false">ROUND(Q275*R275,0)</f>
        <v>357</v>
      </c>
      <c r="E275" s="21" t="n">
        <f aca="false">ROUND(Q275,0)-D275</f>
        <v>566</v>
      </c>
      <c r="F275" s="21" t="n">
        <f aca="false">IF(COUNTA(D275:E275)=0,"",SUM(D275:E275))</f>
        <v>923</v>
      </c>
      <c r="G275" s="39" t="n">
        <f aca="false">IF(OR(F275="",F275=0),"",D275/F275)</f>
        <v>0.386782231852654</v>
      </c>
      <c r="H275" s="39" t="n">
        <f aca="false">IF(OR(F275="",F275=0),"",E275/F275)</f>
        <v>0.613217768147346</v>
      </c>
      <c r="I275" s="38" t="s">
        <v>89</v>
      </c>
      <c r="J275" s="40" t="n">
        <v>1.92472098334064</v>
      </c>
      <c r="K275" s="39" t="n">
        <f aca="false">IF(G275="","",MAX(0,G275-J275/100))</f>
        <v>0.367535022019248</v>
      </c>
      <c r="L275" s="39" t="n">
        <f aca="false">IF(G275="","",MIN(1,G275+J275/100))</f>
        <v>0.406029441686061</v>
      </c>
      <c r="M275" s="21" t="n">
        <f aca="false">ROUND(Q275*S275,0)</f>
        <v>46</v>
      </c>
      <c r="N275" s="21" t="n">
        <f aca="false">ROUND(SQRT((F275*J275/100)^2+(G275*M275)^2),0)</f>
        <v>25</v>
      </c>
      <c r="P275" s="41" t="n">
        <v>-14.8524116713209</v>
      </c>
      <c r="Q275" s="42" t="n">
        <v>923</v>
      </c>
      <c r="R275" s="43" t="n">
        <f aca="false">MAX(0,MIN(1,P275/100+$D$5))</f>
        <v>0.38723224552459</v>
      </c>
      <c r="S275" s="43" t="n">
        <v>0.0500321312575726</v>
      </c>
      <c r="T275" s="44" t="s">
        <v>99</v>
      </c>
    </row>
    <row r="276" customFormat="false" ht="15" hidden="false" customHeight="false" outlineLevel="0" collapsed="false">
      <c r="A276" s="38" t="s">
        <v>344</v>
      </c>
      <c r="B276" s="38" t="s">
        <v>399</v>
      </c>
      <c r="C276" s="38" t="s">
        <v>399</v>
      </c>
      <c r="D276" s="21" t="n">
        <f aca="false">ROUND(Q276*R276,0)</f>
        <v>34</v>
      </c>
      <c r="E276" s="21" t="n">
        <f aca="false">ROUND(Q276,0)-D276</f>
        <v>52</v>
      </c>
      <c r="F276" s="21" t="n">
        <f aca="false">IF(COUNTA(D276:E276)=0,"",SUM(D276:E276))</f>
        <v>86</v>
      </c>
      <c r="G276" s="39" t="n">
        <f aca="false">IF(OR(F276="",F276=0),"",D276/F276)</f>
        <v>0.395348837209302</v>
      </c>
      <c r="H276" s="39" t="n">
        <f aca="false">IF(OR(F276="",F276=0),"",E276/F276)</f>
        <v>0.604651162790698</v>
      </c>
      <c r="I276" s="38" t="s">
        <v>89</v>
      </c>
      <c r="J276" s="40" t="n">
        <v>2.87480042420966</v>
      </c>
      <c r="K276" s="39" t="n">
        <f aca="false">IF(G276="","",MAX(0,G276-J276/100))</f>
        <v>0.366600832967206</v>
      </c>
      <c r="L276" s="39" t="n">
        <f aca="false">IF(G276="","",MIN(1,G276+J276/100))</f>
        <v>0.424096841451399</v>
      </c>
      <c r="M276" s="21" t="n">
        <f aca="false">ROUND(Q276*S276,0)</f>
        <v>5</v>
      </c>
      <c r="N276" s="21" t="n">
        <f aca="false">ROUND(SQRT((F276*J276/100)^2+(G276*M276)^2),0)</f>
        <v>3</v>
      </c>
      <c r="P276" s="41" t="n">
        <v>-14.4569686399679</v>
      </c>
      <c r="Q276" s="42" t="n">
        <v>86</v>
      </c>
      <c r="R276" s="43" t="n">
        <f aca="false">MAX(0,MIN(1,P276/100+$D$5))</f>
        <v>0.39118667583812</v>
      </c>
      <c r="S276" s="43" t="n">
        <v>0.0610405690258335</v>
      </c>
      <c r="T276" s="44" t="s">
        <v>90</v>
      </c>
    </row>
    <row r="277" customFormat="false" ht="15" hidden="false" customHeight="false" outlineLevel="0" collapsed="false">
      <c r="A277" s="38" t="s">
        <v>344</v>
      </c>
      <c r="B277" s="38" t="s">
        <v>400</v>
      </c>
      <c r="C277" s="38" t="s">
        <v>401</v>
      </c>
      <c r="D277" s="21" t="n">
        <f aca="false">ROUND(Q277*R277,0)</f>
        <v>584</v>
      </c>
      <c r="E277" s="21" t="n">
        <f aca="false">ROUND(Q277,0)-D277</f>
        <v>707</v>
      </c>
      <c r="F277" s="21" t="n">
        <f aca="false">IF(COUNTA(D277:E277)=0,"",SUM(D277:E277))</f>
        <v>1291</v>
      </c>
      <c r="G277" s="39" t="n">
        <f aca="false">IF(OR(F277="",F277=0),"",D277/F277)</f>
        <v>0.452362509682417</v>
      </c>
      <c r="H277" s="39" t="n">
        <f aca="false">IF(OR(F277="",F277=0),"",E277/F277)</f>
        <v>0.547637490317583</v>
      </c>
      <c r="I277" s="38" t="s">
        <v>89</v>
      </c>
      <c r="J277" s="40" t="n">
        <v>1.87117215961084</v>
      </c>
      <c r="K277" s="39" t="n">
        <f aca="false">IF(G277="","",MAX(0,G277-J277/100))</f>
        <v>0.433650788086308</v>
      </c>
      <c r="L277" s="39" t="n">
        <f aca="false">IF(G277="","",MIN(1,G277+J277/100))</f>
        <v>0.471074231278525</v>
      </c>
      <c r="M277" s="21" t="n">
        <f aca="false">ROUND(Q277*S277,0)</f>
        <v>168</v>
      </c>
      <c r="N277" s="21" t="n">
        <f aca="false">ROUND(SQRT((F277*J277/100)^2+(G277*M277)^2),0)</f>
        <v>80</v>
      </c>
      <c r="P277" s="41" t="n">
        <v>-8.32256449489621</v>
      </c>
      <c r="Q277" s="42" t="n">
        <v>1291</v>
      </c>
      <c r="R277" s="43" t="n">
        <f aca="false">MAX(0,MIN(1,P277/100+$D$5))</f>
        <v>0.452530717288837</v>
      </c>
      <c r="S277" s="43" t="n">
        <v>0.130204099606216</v>
      </c>
      <c r="T277" s="44" t="s">
        <v>192</v>
      </c>
    </row>
    <row r="278" customFormat="false" ht="15" hidden="false" customHeight="false" outlineLevel="0" collapsed="false">
      <c r="A278" s="38" t="s">
        <v>344</v>
      </c>
      <c r="B278" s="38" t="s">
        <v>400</v>
      </c>
      <c r="C278" s="38" t="s">
        <v>402</v>
      </c>
      <c r="D278" s="21" t="n">
        <f aca="false">ROUND(Q278*R278,0)</f>
        <v>600</v>
      </c>
      <c r="E278" s="21" t="n">
        <f aca="false">ROUND(Q278,0)-D278</f>
        <v>626</v>
      </c>
      <c r="F278" s="21" t="n">
        <f aca="false">IF(COUNTA(D278:E278)=0,"",SUM(D278:E278))</f>
        <v>1226</v>
      </c>
      <c r="G278" s="39" t="n">
        <f aca="false">IF(OR(F278="",F278=0),"",D278/F278)</f>
        <v>0.489396411092985</v>
      </c>
      <c r="H278" s="39" t="n">
        <f aca="false">IF(OR(F278="",F278=0),"",E278/F278)</f>
        <v>0.510603588907015</v>
      </c>
      <c r="I278" s="38" t="s">
        <v>89</v>
      </c>
      <c r="J278" s="40" t="n">
        <v>1.87117215961084</v>
      </c>
      <c r="K278" s="39" t="n">
        <f aca="false">IF(G278="","",MAX(0,G278-J278/100))</f>
        <v>0.470684689496877</v>
      </c>
      <c r="L278" s="39" t="n">
        <f aca="false">IF(G278="","",MIN(1,G278+J278/100))</f>
        <v>0.508108132689094</v>
      </c>
      <c r="M278" s="21" t="n">
        <f aca="false">ROUND(Q278*S278,0)</f>
        <v>160</v>
      </c>
      <c r="N278" s="21" t="n">
        <f aca="false">ROUND(SQRT((F278*J278/100)^2+(G278*M278)^2),0)</f>
        <v>82</v>
      </c>
      <c r="P278" s="41" t="n">
        <v>-4.66424061718463</v>
      </c>
      <c r="Q278" s="42" t="n">
        <v>1226</v>
      </c>
      <c r="R278" s="43" t="n">
        <f aca="false">MAX(0,MIN(1,P278/100+$D$5))</f>
        <v>0.489113956065953</v>
      </c>
      <c r="S278" s="43" t="n">
        <v>0.130204099606216</v>
      </c>
      <c r="T278" s="44" t="s">
        <v>192</v>
      </c>
    </row>
    <row r="279" customFormat="false" ht="15" hidden="false" customHeight="false" outlineLevel="0" collapsed="false">
      <c r="A279" s="38" t="s">
        <v>344</v>
      </c>
      <c r="B279" s="38" t="s">
        <v>403</v>
      </c>
      <c r="C279" s="38" t="s">
        <v>403</v>
      </c>
      <c r="D279" s="21" t="n">
        <f aca="false">ROUND(Q279*R279,0)</f>
        <v>155</v>
      </c>
      <c r="E279" s="21" t="n">
        <f aca="false">ROUND(Q279,0)-D279</f>
        <v>196</v>
      </c>
      <c r="F279" s="21" t="n">
        <f aca="false">IF(COUNTA(D279:E279)=0,"",SUM(D279:E279))</f>
        <v>351</v>
      </c>
      <c r="G279" s="39" t="n">
        <f aca="false">IF(OR(F279="",F279=0),"",D279/F279)</f>
        <v>0.441595441595442</v>
      </c>
      <c r="H279" s="39" t="n">
        <f aca="false">IF(OR(F279="",F279=0),"",E279/F279)</f>
        <v>0.558404558404558</v>
      </c>
      <c r="I279" s="38" t="s">
        <v>89</v>
      </c>
      <c r="J279" s="40" t="n">
        <v>2.87480042420966</v>
      </c>
      <c r="K279" s="39" t="n">
        <f aca="false">IF(G279="","",MAX(0,G279-J279/100))</f>
        <v>0.412847437353345</v>
      </c>
      <c r="L279" s="39" t="n">
        <f aca="false">IF(G279="","",MIN(1,G279+J279/100))</f>
        <v>0.470343445837538</v>
      </c>
      <c r="M279" s="21" t="n">
        <f aca="false">ROUND(Q279*S279,0)</f>
        <v>21</v>
      </c>
      <c r="N279" s="21" t="n">
        <f aca="false">ROUND(SQRT((F279*J279/100)^2+(G279*M279)^2),0)</f>
        <v>14</v>
      </c>
      <c r="P279" s="41" t="n">
        <v>-9.4365500736625</v>
      </c>
      <c r="Q279" s="42" t="n">
        <v>351</v>
      </c>
      <c r="R279" s="43" t="n">
        <f aca="false">MAX(0,MIN(1,P279/100+$D$5))</f>
        <v>0.441390861501174</v>
      </c>
      <c r="S279" s="43" t="n">
        <v>0.0610405690258335</v>
      </c>
      <c r="T279" s="44" t="s">
        <v>90</v>
      </c>
    </row>
    <row r="280" customFormat="false" ht="15" hidden="false" customHeight="false" outlineLevel="0" collapsed="false">
      <c r="A280" s="38" t="s">
        <v>344</v>
      </c>
      <c r="B280" s="38" t="s">
        <v>404</v>
      </c>
      <c r="C280" s="38" t="s">
        <v>405</v>
      </c>
      <c r="D280" s="21" t="n">
        <f aca="false">ROUND(Q280*R280,0)</f>
        <v>486</v>
      </c>
      <c r="E280" s="21" t="n">
        <f aca="false">ROUND(Q280,0)-D280</f>
        <v>243</v>
      </c>
      <c r="F280" s="21" t="n">
        <f aca="false">IF(COUNTA(D280:E280)=0,"",SUM(D280:E280))</f>
        <v>729</v>
      </c>
      <c r="G280" s="39" t="n">
        <f aca="false">IF(OR(F280="",F280=0),"",D280/F280)</f>
        <v>0.666666666666667</v>
      </c>
      <c r="H280" s="39" t="n">
        <f aca="false">IF(OR(F280="",F280=0),"",E280/F280)</f>
        <v>0.333333333333333</v>
      </c>
      <c r="I280" s="38" t="s">
        <v>190</v>
      </c>
      <c r="J280" s="40" t="n">
        <v>2.87480042420966</v>
      </c>
      <c r="K280" s="39" t="n">
        <f aca="false">IF(G280="","",MAX(0,G280-J280/100))</f>
        <v>0.63791866242457</v>
      </c>
      <c r="L280" s="39" t="n">
        <f aca="false">IF(G280="","",MIN(1,G280+J280/100))</f>
        <v>0.695414670908763</v>
      </c>
      <c r="M280" s="21" t="n">
        <f aca="false">ROUND(Q280*S280,0)</f>
        <v>44</v>
      </c>
      <c r="N280" s="21" t="n">
        <f aca="false">ROUND(SQRT((F280*J280/100)^2+(G280*M280)^2),0)</f>
        <v>36</v>
      </c>
      <c r="P280" s="41" t="n">
        <v>13.1649628234547</v>
      </c>
      <c r="Q280" s="42" t="n">
        <v>728.725186006016</v>
      </c>
      <c r="R280" s="43" t="n">
        <f aca="false">MAX(0,MIN(1,P280/100+$D$5))</f>
        <v>0.667405990472346</v>
      </c>
      <c r="S280" s="43" t="n">
        <v>0.0610405690258335</v>
      </c>
      <c r="T280" s="44" t="s">
        <v>90</v>
      </c>
    </row>
    <row r="281" customFormat="false" ht="15" hidden="false" customHeight="false" outlineLevel="0" collapsed="false">
      <c r="A281" s="38" t="s">
        <v>344</v>
      </c>
      <c r="B281" s="38" t="s">
        <v>404</v>
      </c>
      <c r="C281" s="38" t="s">
        <v>406</v>
      </c>
      <c r="D281" s="21" t="n">
        <f aca="false">ROUND(Q281*R281,0)</f>
        <v>316</v>
      </c>
      <c r="E281" s="21" t="n">
        <f aca="false">ROUND(Q281,0)-D281</f>
        <v>140</v>
      </c>
      <c r="F281" s="21" t="n">
        <f aca="false">IF(COUNTA(D281:E281)=0,"",SUM(D281:E281))</f>
        <v>456</v>
      </c>
      <c r="G281" s="39" t="n">
        <f aca="false">IF(OR(F281="",F281=0),"",D281/F281)</f>
        <v>0.692982456140351</v>
      </c>
      <c r="H281" s="39" t="n">
        <f aca="false">IF(OR(F281="",F281=0),"",E281/F281)</f>
        <v>0.307017543859649</v>
      </c>
      <c r="I281" s="38" t="s">
        <v>89</v>
      </c>
      <c r="J281" s="40" t="n">
        <v>2.87480042420966</v>
      </c>
      <c r="K281" s="39" t="n">
        <f aca="false">IF(G281="","",MAX(0,G281-J281/100))</f>
        <v>0.664234451898254</v>
      </c>
      <c r="L281" s="39" t="n">
        <f aca="false">IF(G281="","",MIN(1,G281+J281/100))</f>
        <v>0.721730460382448</v>
      </c>
      <c r="M281" s="21" t="n">
        <f aca="false">ROUND(Q281*S281,0)</f>
        <v>28</v>
      </c>
      <c r="N281" s="21" t="n">
        <f aca="false">ROUND(SQRT((F281*J281/100)^2+(G281*M281)^2),0)</f>
        <v>23</v>
      </c>
      <c r="P281" s="41" t="n">
        <v>15.830555658681</v>
      </c>
      <c r="Q281" s="42" t="n">
        <v>456</v>
      </c>
      <c r="R281" s="43" t="n">
        <f aca="false">MAX(0,MIN(1,P281/100+$D$5))</f>
        <v>0.694061918824609</v>
      </c>
      <c r="S281" s="43" t="n">
        <v>0.0610405690258335</v>
      </c>
      <c r="T281" s="44" t="s">
        <v>90</v>
      </c>
    </row>
    <row r="282" customFormat="false" ht="15" hidden="false" customHeight="false" outlineLevel="0" collapsed="false">
      <c r="A282" s="38" t="s">
        <v>344</v>
      </c>
      <c r="B282" s="38" t="s">
        <v>404</v>
      </c>
      <c r="C282" s="38" t="s">
        <v>407</v>
      </c>
      <c r="D282" s="21" t="n">
        <f aca="false">ROUND(Q282*R282,0)</f>
        <v>357</v>
      </c>
      <c r="E282" s="21" t="n">
        <f aca="false">ROUND(Q282,0)-D282</f>
        <v>133</v>
      </c>
      <c r="F282" s="21" t="n">
        <f aca="false">IF(COUNTA(D282:E282)=0,"",SUM(D282:E282))</f>
        <v>490</v>
      </c>
      <c r="G282" s="39" t="n">
        <f aca="false">IF(OR(F282="",F282=0),"",D282/F282)</f>
        <v>0.728571428571429</v>
      </c>
      <c r="H282" s="39" t="n">
        <f aca="false">IF(OR(F282="",F282=0),"",E282/F282)</f>
        <v>0.271428571428571</v>
      </c>
      <c r="I282" s="38" t="s">
        <v>89</v>
      </c>
      <c r="J282" s="40" t="n">
        <v>2.87480042420966</v>
      </c>
      <c r="K282" s="39" t="n">
        <f aca="false">IF(G282="","",MAX(0,G282-J282/100))</f>
        <v>0.699823424329332</v>
      </c>
      <c r="L282" s="39" t="n">
        <f aca="false">IF(G282="","",MIN(1,G282+J282/100))</f>
        <v>0.757319432813525</v>
      </c>
      <c r="M282" s="21" t="n">
        <f aca="false">ROUND(Q282*S282,0)</f>
        <v>30</v>
      </c>
      <c r="N282" s="21" t="n">
        <f aca="false">ROUND(SQRT((F282*J282/100)^2+(G282*M282)^2),0)</f>
        <v>26</v>
      </c>
      <c r="P282" s="41" t="n">
        <v>19.2344967561707</v>
      </c>
      <c r="Q282" s="42" t="n">
        <v>490</v>
      </c>
      <c r="R282" s="43" t="n">
        <f aca="false">MAX(0,MIN(1,P282/100+$D$5))</f>
        <v>0.728101329799506</v>
      </c>
      <c r="S282" s="43" t="n">
        <v>0.0610405690258335</v>
      </c>
      <c r="T282" s="44" t="s">
        <v>90</v>
      </c>
    </row>
    <row r="283" customFormat="false" ht="15" hidden="false" customHeight="false" outlineLevel="0" collapsed="false">
      <c r="A283" s="38" t="s">
        <v>344</v>
      </c>
      <c r="B283" s="38" t="s">
        <v>404</v>
      </c>
      <c r="C283" s="38" t="s">
        <v>408</v>
      </c>
      <c r="D283" s="21" t="n">
        <f aca="false">ROUND(Q283*R283,0)</f>
        <v>652</v>
      </c>
      <c r="E283" s="21" t="n">
        <f aca="false">ROUND(Q283,0)-D283</f>
        <v>214</v>
      </c>
      <c r="F283" s="21" t="n">
        <f aca="false">IF(COUNTA(D283:E283)=0,"",SUM(D283:E283))</f>
        <v>866</v>
      </c>
      <c r="G283" s="39" t="n">
        <f aca="false">IF(OR(F283="",F283=0),"",D283/F283)</f>
        <v>0.752886836027714</v>
      </c>
      <c r="H283" s="39" t="n">
        <f aca="false">IF(OR(F283="",F283=0),"",E283/F283)</f>
        <v>0.247113163972286</v>
      </c>
      <c r="I283" s="38" t="s">
        <v>89</v>
      </c>
      <c r="J283" s="40" t="n">
        <v>1.92472098334064</v>
      </c>
      <c r="K283" s="39" t="n">
        <f aca="false">IF(G283="","",MAX(0,G283-J283/100))</f>
        <v>0.733639626194307</v>
      </c>
      <c r="L283" s="39" t="n">
        <f aca="false">IF(G283="","",MIN(1,G283+J283/100))</f>
        <v>0.77213404586112</v>
      </c>
      <c r="M283" s="21" t="n">
        <f aca="false">ROUND(Q283*S283,0)</f>
        <v>43</v>
      </c>
      <c r="N283" s="21" t="n">
        <f aca="false">ROUND(SQRT((F283*J283/100)^2+(G283*M283)^2),0)</f>
        <v>36</v>
      </c>
      <c r="P283" s="41" t="n">
        <v>21.757708067566</v>
      </c>
      <c r="Q283" s="42" t="n">
        <v>866</v>
      </c>
      <c r="R283" s="43" t="n">
        <f aca="false">MAX(0,MIN(1,P283/100+$D$5))</f>
        <v>0.753333442913459</v>
      </c>
      <c r="S283" s="43" t="n">
        <v>0.0500321312575726</v>
      </c>
      <c r="T283" s="44" t="s">
        <v>99</v>
      </c>
    </row>
    <row r="284" customFormat="false" ht="15" hidden="false" customHeight="false" outlineLevel="0" collapsed="false">
      <c r="A284" s="38" t="s">
        <v>344</v>
      </c>
      <c r="B284" s="38" t="s">
        <v>404</v>
      </c>
      <c r="C284" s="38" t="s">
        <v>409</v>
      </c>
      <c r="D284" s="21" t="n">
        <f aca="false">ROUND(Q284*R284,0)</f>
        <v>424</v>
      </c>
      <c r="E284" s="21" t="n">
        <f aca="false">ROUND(Q284,0)-D284</f>
        <v>112</v>
      </c>
      <c r="F284" s="21" t="n">
        <f aca="false">IF(COUNTA(D284:E284)=0,"",SUM(D284:E284))</f>
        <v>536</v>
      </c>
      <c r="G284" s="39" t="n">
        <f aca="false">IF(OR(F284="",F284=0),"",D284/F284)</f>
        <v>0.791044776119403</v>
      </c>
      <c r="H284" s="39" t="n">
        <f aca="false">IF(OR(F284="",F284=0),"",E284/F284)</f>
        <v>0.208955223880597</v>
      </c>
      <c r="I284" s="38" t="s">
        <v>89</v>
      </c>
      <c r="J284" s="40" t="n">
        <v>2.87480042420966</v>
      </c>
      <c r="K284" s="39" t="n">
        <f aca="false">IF(G284="","",MAX(0,G284-J284/100))</f>
        <v>0.762296771877306</v>
      </c>
      <c r="L284" s="39" t="n">
        <f aca="false">IF(G284="","",MIN(1,G284+J284/100))</f>
        <v>0.8197927803615</v>
      </c>
      <c r="M284" s="21" t="n">
        <f aca="false">ROUND(Q284*S284,0)</f>
        <v>33</v>
      </c>
      <c r="N284" s="21" t="n">
        <f aca="false">ROUND(SQRT((F284*J284/100)^2+(G284*M284)^2),0)</f>
        <v>30</v>
      </c>
      <c r="P284" s="41" t="n">
        <v>25.5519221015498</v>
      </c>
      <c r="Q284" s="42" t="n">
        <v>536</v>
      </c>
      <c r="R284" s="43" t="n">
        <f aca="false">MAX(0,MIN(1,P284/100+$D$5))</f>
        <v>0.791275583253297</v>
      </c>
      <c r="S284" s="43" t="n">
        <v>0.0610405690258335</v>
      </c>
      <c r="T284" s="44" t="s">
        <v>90</v>
      </c>
    </row>
    <row r="285" customFormat="false" ht="15" hidden="false" customHeight="false" outlineLevel="0" collapsed="false">
      <c r="A285" s="38" t="s">
        <v>344</v>
      </c>
      <c r="B285" s="38" t="s">
        <v>404</v>
      </c>
      <c r="C285" s="38" t="s">
        <v>410</v>
      </c>
      <c r="D285" s="21" t="n">
        <f aca="false">ROUND(Q285*R285,0)</f>
        <v>482</v>
      </c>
      <c r="E285" s="21" t="n">
        <f aca="false">ROUND(Q285,0)-D285</f>
        <v>197</v>
      </c>
      <c r="F285" s="21" t="n">
        <f aca="false">IF(COUNTA(D285:E285)=0,"",SUM(D285:E285))</f>
        <v>679</v>
      </c>
      <c r="G285" s="39" t="n">
        <f aca="false">IF(OR(F285="",F285=0),"",D285/F285)</f>
        <v>0.709867452135493</v>
      </c>
      <c r="H285" s="39" t="n">
        <f aca="false">IF(OR(F285="",F285=0),"",E285/F285)</f>
        <v>0.290132547864507</v>
      </c>
      <c r="I285" s="38" t="s">
        <v>89</v>
      </c>
      <c r="J285" s="40" t="n">
        <v>2.87480042420966</v>
      </c>
      <c r="K285" s="39" t="n">
        <f aca="false">IF(G285="","",MAX(0,G285-J285/100))</f>
        <v>0.681119447893397</v>
      </c>
      <c r="L285" s="39" t="n">
        <f aca="false">IF(G285="","",MIN(1,G285+J285/100))</f>
        <v>0.73861545637759</v>
      </c>
      <c r="M285" s="21" t="n">
        <f aca="false">ROUND(Q285*S285,0)</f>
        <v>41</v>
      </c>
      <c r="N285" s="21" t="n">
        <f aca="false">ROUND(SQRT((F285*J285/100)^2+(G285*M285)^2),0)</f>
        <v>35</v>
      </c>
      <c r="P285" s="41" t="n">
        <v>17.387166102868</v>
      </c>
      <c r="Q285" s="42" t="n">
        <v>679</v>
      </c>
      <c r="R285" s="43" t="n">
        <f aca="false">MAX(0,MIN(1,P285/100+$D$5))</f>
        <v>0.709628023266479</v>
      </c>
      <c r="S285" s="43" t="n">
        <v>0.0610405690258335</v>
      </c>
      <c r="T285" s="44" t="s">
        <v>90</v>
      </c>
    </row>
    <row r="286" customFormat="false" ht="15" hidden="false" customHeight="false" outlineLevel="0" collapsed="false">
      <c r="A286" s="38" t="s">
        <v>344</v>
      </c>
      <c r="B286" s="38" t="s">
        <v>404</v>
      </c>
      <c r="C286" s="38" t="s">
        <v>411</v>
      </c>
      <c r="D286" s="21" t="n">
        <f aca="false">ROUND(Q286*R286,0)</f>
        <v>364</v>
      </c>
      <c r="E286" s="21" t="n">
        <f aca="false">ROUND(Q286,0)-D286</f>
        <v>155</v>
      </c>
      <c r="F286" s="21" t="n">
        <f aca="false">IF(COUNTA(D286:E286)=0,"",SUM(D286:E286))</f>
        <v>519</v>
      </c>
      <c r="G286" s="39" t="n">
        <f aca="false">IF(OR(F286="",F286=0),"",D286/F286)</f>
        <v>0.701348747591522</v>
      </c>
      <c r="H286" s="39" t="n">
        <f aca="false">IF(OR(F286="",F286=0),"",E286/F286)</f>
        <v>0.298651252408478</v>
      </c>
      <c r="I286" s="38" t="s">
        <v>89</v>
      </c>
      <c r="J286" s="40" t="n">
        <v>2.87480042420966</v>
      </c>
      <c r="K286" s="39" t="n">
        <f aca="false">IF(G286="","",MAX(0,G286-J286/100))</f>
        <v>0.672600743349426</v>
      </c>
      <c r="L286" s="39" t="n">
        <f aca="false">IF(G286="","",MIN(1,G286+J286/100))</f>
        <v>0.730096751833619</v>
      </c>
      <c r="M286" s="21" t="n">
        <f aca="false">ROUND(Q286*S286,0)</f>
        <v>32</v>
      </c>
      <c r="N286" s="21" t="n">
        <f aca="false">ROUND(SQRT((F286*J286/100)^2+(G286*M286)^2),0)</f>
        <v>27</v>
      </c>
      <c r="P286" s="41" t="n">
        <v>16.5585769458355</v>
      </c>
      <c r="Q286" s="42" t="n">
        <v>519</v>
      </c>
      <c r="R286" s="43" t="n">
        <f aca="false">MAX(0,MIN(1,P286/100+$D$5))</f>
        <v>0.701342131696153</v>
      </c>
      <c r="S286" s="43" t="n">
        <v>0.0610405690258335</v>
      </c>
      <c r="T286" s="44" t="s">
        <v>90</v>
      </c>
    </row>
    <row r="287" customFormat="false" ht="15" hidden="false" customHeight="false" outlineLevel="0" collapsed="false">
      <c r="A287" s="38" t="s">
        <v>344</v>
      </c>
      <c r="B287" s="38" t="s">
        <v>404</v>
      </c>
      <c r="C287" s="38" t="s">
        <v>412</v>
      </c>
      <c r="D287" s="21" t="n">
        <f aca="false">ROUND(Q287*R287,0)</f>
        <v>159</v>
      </c>
      <c r="E287" s="21" t="n">
        <f aca="false">ROUND(Q287,0)-D287</f>
        <v>53</v>
      </c>
      <c r="F287" s="21" t="n">
        <f aca="false">IF(COUNTA(D287:E287)=0,"",SUM(D287:E287))</f>
        <v>212</v>
      </c>
      <c r="G287" s="39" t="n">
        <f aca="false">IF(OR(F287="",F287=0),"",D287/F287)</f>
        <v>0.75</v>
      </c>
      <c r="H287" s="39" t="n">
        <f aca="false">IF(OR(F287="",F287=0),"",E287/F287)</f>
        <v>0.25</v>
      </c>
      <c r="I287" s="38" t="s">
        <v>89</v>
      </c>
      <c r="J287" s="40" t="n">
        <v>2.87480042420966</v>
      </c>
      <c r="K287" s="39" t="n">
        <f aca="false">IF(G287="","",MAX(0,G287-J287/100))</f>
        <v>0.721251995757903</v>
      </c>
      <c r="L287" s="39" t="n">
        <f aca="false">IF(G287="","",MIN(1,G287+J287/100))</f>
        <v>0.778748004242097</v>
      </c>
      <c r="M287" s="21" t="n">
        <f aca="false">ROUND(Q287*S287,0)</f>
        <v>13</v>
      </c>
      <c r="N287" s="21" t="n">
        <f aca="false">ROUND(SQRT((F287*J287/100)^2+(G287*M287)^2),0)</f>
        <v>11</v>
      </c>
      <c r="P287" s="41" t="n">
        <v>21.2286726176066</v>
      </c>
      <c r="Q287" s="42" t="n">
        <v>212</v>
      </c>
      <c r="R287" s="43" t="n">
        <f aca="false">MAX(0,MIN(1,P287/100+$D$5))</f>
        <v>0.748043088413865</v>
      </c>
      <c r="S287" s="43" t="n">
        <v>0.0610405690258335</v>
      </c>
      <c r="T287" s="44" t="s">
        <v>90</v>
      </c>
    </row>
    <row r="288" customFormat="false" ht="15" hidden="false" customHeight="false" outlineLevel="0" collapsed="false">
      <c r="A288" s="38" t="s">
        <v>344</v>
      </c>
      <c r="B288" s="38" t="s">
        <v>404</v>
      </c>
      <c r="C288" s="38" t="s">
        <v>413</v>
      </c>
      <c r="D288" s="21" t="n">
        <f aca="false">ROUND(Q288*R288,0)</f>
        <v>239</v>
      </c>
      <c r="E288" s="21" t="n">
        <f aca="false">ROUND(Q288,0)-D288</f>
        <v>85</v>
      </c>
      <c r="F288" s="21" t="n">
        <f aca="false">IF(COUNTA(D288:E288)=0,"",SUM(D288:E288))</f>
        <v>324</v>
      </c>
      <c r="G288" s="39" t="n">
        <f aca="false">IF(OR(F288="",F288=0),"",D288/F288)</f>
        <v>0.737654320987654</v>
      </c>
      <c r="H288" s="39" t="n">
        <f aca="false">IF(OR(F288="",F288=0),"",E288/F288)</f>
        <v>0.262345679012346</v>
      </c>
      <c r="I288" s="38" t="s">
        <v>89</v>
      </c>
      <c r="J288" s="40" t="n">
        <v>2.87480042420966</v>
      </c>
      <c r="K288" s="39" t="n">
        <f aca="false">IF(G288="","",MAX(0,G288-J288/100))</f>
        <v>0.708906316745558</v>
      </c>
      <c r="L288" s="39" t="n">
        <f aca="false">IF(G288="","",MIN(1,G288+J288/100))</f>
        <v>0.766402325229751</v>
      </c>
      <c r="M288" s="21" t="n">
        <f aca="false">ROUND(Q288*S288,0)</f>
        <v>20</v>
      </c>
      <c r="N288" s="21" t="n">
        <f aca="false">ROUND(SQRT((F288*J288/100)^2+(G288*M288)^2),0)</f>
        <v>17</v>
      </c>
      <c r="P288" s="41" t="n">
        <v>20.0628975131357</v>
      </c>
      <c r="Q288" s="42" t="n">
        <v>324</v>
      </c>
      <c r="R288" s="43" t="n">
        <f aca="false">MAX(0,MIN(1,P288/100+$D$5))</f>
        <v>0.736385337369155</v>
      </c>
      <c r="S288" s="43" t="n">
        <v>0.0610405690258335</v>
      </c>
      <c r="T288" s="44" t="s">
        <v>90</v>
      </c>
    </row>
    <row r="289" customFormat="false" ht="15" hidden="false" customHeight="false" outlineLevel="0" collapsed="false">
      <c r="A289" s="38" t="s">
        <v>344</v>
      </c>
      <c r="B289" s="38" t="s">
        <v>404</v>
      </c>
      <c r="C289" s="38" t="s">
        <v>414</v>
      </c>
      <c r="D289" s="21" t="n">
        <f aca="false">ROUND(Q289*R289,0)</f>
        <v>244</v>
      </c>
      <c r="E289" s="21" t="n">
        <f aca="false">ROUND(Q289,0)-D289</f>
        <v>100</v>
      </c>
      <c r="F289" s="21" t="n">
        <f aca="false">IF(COUNTA(D289:E289)=0,"",SUM(D289:E289))</f>
        <v>344</v>
      </c>
      <c r="G289" s="39" t="n">
        <f aca="false">IF(OR(F289="",F289=0),"",D289/F289)</f>
        <v>0.709302325581395</v>
      </c>
      <c r="H289" s="39" t="n">
        <f aca="false">IF(OR(F289="",F289=0),"",E289/F289)</f>
        <v>0.290697674418605</v>
      </c>
      <c r="I289" s="38" t="s">
        <v>89</v>
      </c>
      <c r="J289" s="40" t="n">
        <v>2.87480042420966</v>
      </c>
      <c r="K289" s="39" t="n">
        <f aca="false">IF(G289="","",MAX(0,G289-J289/100))</f>
        <v>0.680554321339299</v>
      </c>
      <c r="L289" s="39" t="n">
        <f aca="false">IF(G289="","",MIN(1,G289+J289/100))</f>
        <v>0.738050329823492</v>
      </c>
      <c r="M289" s="21" t="n">
        <f aca="false">ROUND(Q289*S289,0)</f>
        <v>21</v>
      </c>
      <c r="N289" s="21" t="n">
        <f aca="false">ROUND(SQRT((F289*J289/100)^2+(G289*M289)^2),0)</f>
        <v>18</v>
      </c>
      <c r="P289" s="41" t="n">
        <v>17.2160333623652</v>
      </c>
      <c r="Q289" s="42" t="n">
        <v>344</v>
      </c>
      <c r="R289" s="43" t="n">
        <f aca="false">MAX(0,MIN(1,P289/100+$D$5))</f>
        <v>0.707916695861451</v>
      </c>
      <c r="S289" s="43" t="n">
        <v>0.0610405690258335</v>
      </c>
      <c r="T289" s="44" t="s">
        <v>90</v>
      </c>
    </row>
    <row r="290" customFormat="false" ht="15" hidden="false" customHeight="false" outlineLevel="0" collapsed="false">
      <c r="A290" s="38" t="s">
        <v>344</v>
      </c>
      <c r="B290" s="38" t="s">
        <v>404</v>
      </c>
      <c r="C290" s="38" t="s">
        <v>415</v>
      </c>
      <c r="D290" s="21" t="n">
        <f aca="false">ROUND(Q290*R290,0)</f>
        <v>484</v>
      </c>
      <c r="E290" s="21" t="n">
        <f aca="false">ROUND(Q290,0)-D290</f>
        <v>248</v>
      </c>
      <c r="F290" s="21" t="n">
        <f aca="false">IF(COUNTA(D290:E290)=0,"",SUM(D290:E290))</f>
        <v>732</v>
      </c>
      <c r="G290" s="39" t="n">
        <f aca="false">IF(OR(F290="",F290=0),"",D290/F290)</f>
        <v>0.66120218579235</v>
      </c>
      <c r="H290" s="39" t="n">
        <f aca="false">IF(OR(F290="",F290=0),"",E290/F290)</f>
        <v>0.33879781420765</v>
      </c>
      <c r="I290" s="38" t="s">
        <v>190</v>
      </c>
      <c r="J290" s="40" t="n">
        <v>2.87480042420966</v>
      </c>
      <c r="K290" s="39" t="n">
        <f aca="false">IF(G290="","",MAX(0,G290-J290/100))</f>
        <v>0.632454181550253</v>
      </c>
      <c r="L290" s="39" t="n">
        <f aca="false">IF(G290="","",MIN(1,G290+J290/100))</f>
        <v>0.689950190034446</v>
      </c>
      <c r="M290" s="21" t="n">
        <f aca="false">ROUND(Q290*S290,0)</f>
        <v>45</v>
      </c>
      <c r="N290" s="21" t="n">
        <f aca="false">ROUND(SQRT((F290*J290/100)^2+(G290*M290)^2),0)</f>
        <v>36</v>
      </c>
      <c r="P290" s="41" t="n">
        <v>12.5573946171588</v>
      </c>
      <c r="Q290" s="42" t="n">
        <v>732.093715371221</v>
      </c>
      <c r="R290" s="43" t="n">
        <f aca="false">MAX(0,MIN(1,P290/100+$D$5))</f>
        <v>0.661330308409387</v>
      </c>
      <c r="S290" s="43" t="n">
        <v>0.0610405690258335</v>
      </c>
      <c r="T290" s="44" t="s">
        <v>90</v>
      </c>
    </row>
    <row r="291" customFormat="false" ht="15" hidden="false" customHeight="false" outlineLevel="0" collapsed="false">
      <c r="A291" s="38" t="s">
        <v>344</v>
      </c>
      <c r="B291" s="38" t="s">
        <v>404</v>
      </c>
      <c r="C291" s="38" t="s">
        <v>416</v>
      </c>
      <c r="D291" s="21" t="n">
        <f aca="false">ROUND(Q291*R291,0)</f>
        <v>659</v>
      </c>
      <c r="E291" s="21" t="n">
        <f aca="false">ROUND(Q291,0)-D291</f>
        <v>245</v>
      </c>
      <c r="F291" s="21" t="n">
        <f aca="false">IF(COUNTA(D291:E291)=0,"",SUM(D291:E291))</f>
        <v>904</v>
      </c>
      <c r="G291" s="39" t="n">
        <f aca="false">IF(OR(F291="",F291=0),"",D291/F291)</f>
        <v>0.728982300884956</v>
      </c>
      <c r="H291" s="39" t="n">
        <f aca="false">IF(OR(F291="",F291=0),"",E291/F291)</f>
        <v>0.271017699115044</v>
      </c>
      <c r="I291" s="38" t="s">
        <v>89</v>
      </c>
      <c r="J291" s="40" t="n">
        <v>1.92472098334064</v>
      </c>
      <c r="K291" s="39" t="n">
        <f aca="false">IF(G291="","",MAX(0,G291-J291/100))</f>
        <v>0.709735091051549</v>
      </c>
      <c r="L291" s="39" t="n">
        <f aca="false">IF(G291="","",MIN(1,G291+J291/100))</f>
        <v>0.748229510718362</v>
      </c>
      <c r="M291" s="21" t="n">
        <f aca="false">ROUND(Q291*S291,0)</f>
        <v>45</v>
      </c>
      <c r="N291" s="21" t="n">
        <f aca="false">ROUND(SQRT((F291*J291/100)^2+(G291*M291)^2),0)</f>
        <v>37</v>
      </c>
      <c r="P291" s="41" t="n">
        <v>19.3196660165835</v>
      </c>
      <c r="Q291" s="42" t="n">
        <v>904</v>
      </c>
      <c r="R291" s="43" t="n">
        <f aca="false">MAX(0,MIN(1,P291/100+$D$5))</f>
        <v>0.728953022403634</v>
      </c>
      <c r="S291" s="43" t="n">
        <v>0.0500321312575726</v>
      </c>
      <c r="T291" s="44" t="s">
        <v>99</v>
      </c>
    </row>
    <row r="292" customFormat="false" ht="15" hidden="false" customHeight="false" outlineLevel="0" collapsed="false">
      <c r="A292" s="38" t="s">
        <v>344</v>
      </c>
      <c r="B292" s="38" t="s">
        <v>417</v>
      </c>
      <c r="C292" s="38" t="s">
        <v>418</v>
      </c>
      <c r="D292" s="21" t="n">
        <f aca="false">ROUND(Q292*R292,0)</f>
        <v>1169</v>
      </c>
      <c r="E292" s="21" t="n">
        <f aca="false">ROUND(Q292,0)-D292</f>
        <v>988</v>
      </c>
      <c r="F292" s="21" t="n">
        <f aca="false">IF(COUNTA(D292:E292)=0,"",SUM(D292:E292))</f>
        <v>2157</v>
      </c>
      <c r="G292" s="39" t="n">
        <f aca="false">IF(OR(F292="",F292=0),"",D292/F292)</f>
        <v>0.54195642095503</v>
      </c>
      <c r="H292" s="39" t="n">
        <f aca="false">IF(OR(F292="",F292=0),"",E292/F292)</f>
        <v>0.45804357904497</v>
      </c>
      <c r="I292" s="38" t="s">
        <v>89</v>
      </c>
      <c r="J292" s="40" t="n">
        <v>1.87117215961084</v>
      </c>
      <c r="K292" s="39" t="n">
        <f aca="false">IF(G292="","",MAX(0,G292-J292/100))</f>
        <v>0.523244699358922</v>
      </c>
      <c r="L292" s="39" t="n">
        <f aca="false">IF(G292="","",MIN(1,G292+J292/100))</f>
        <v>0.560668142551139</v>
      </c>
      <c r="M292" s="21" t="n">
        <f aca="false">ROUND(Q292*S292,0)</f>
        <v>281</v>
      </c>
      <c r="N292" s="21" t="n">
        <f aca="false">ROUND(SQRT((F292*J292/100)^2+(G292*M292)^2),0)</f>
        <v>158</v>
      </c>
      <c r="P292" s="41" t="n">
        <v>0.622907682764887</v>
      </c>
      <c r="Q292" s="42" t="n">
        <v>2157</v>
      </c>
      <c r="R292" s="43" t="n">
        <f aca="false">MAX(0,MIN(1,P292/100+$D$5))</f>
        <v>0.541985439065448</v>
      </c>
      <c r="S292" s="43" t="n">
        <v>0.130204099606216</v>
      </c>
      <c r="T292" s="44" t="s">
        <v>192</v>
      </c>
    </row>
    <row r="293" customFormat="false" ht="15" hidden="false" customHeight="false" outlineLevel="0" collapsed="false">
      <c r="A293" s="38" t="s">
        <v>344</v>
      </c>
      <c r="B293" s="38" t="s">
        <v>417</v>
      </c>
      <c r="C293" s="38" t="s">
        <v>419</v>
      </c>
      <c r="D293" s="21" t="n">
        <f aca="false">ROUND(Q293*R293,0)</f>
        <v>565</v>
      </c>
      <c r="E293" s="21" t="n">
        <f aca="false">ROUND(Q293,0)-D293</f>
        <v>502</v>
      </c>
      <c r="F293" s="21" t="n">
        <f aca="false">IF(COUNTA(D293:E293)=0,"",SUM(D293:E293))</f>
        <v>1067</v>
      </c>
      <c r="G293" s="39" t="n">
        <f aca="false">IF(OR(F293="",F293=0),"",D293/F293)</f>
        <v>0.529522024367385</v>
      </c>
      <c r="H293" s="39" t="n">
        <f aca="false">IF(OR(F293="",F293=0),"",E293/F293)</f>
        <v>0.470477975632615</v>
      </c>
      <c r="I293" s="38" t="s">
        <v>190</v>
      </c>
      <c r="J293" s="40" t="n">
        <v>1.92472098334064</v>
      </c>
      <c r="K293" s="39" t="n">
        <f aca="false">IF(G293="","",MAX(0,G293-J293/100))</f>
        <v>0.510274814533979</v>
      </c>
      <c r="L293" s="39" t="n">
        <f aca="false">IF(G293="","",MIN(1,G293+J293/100))</f>
        <v>0.548769234200792</v>
      </c>
      <c r="M293" s="21" t="n">
        <f aca="false">ROUND(Q293*S293,0)</f>
        <v>53</v>
      </c>
      <c r="N293" s="21" t="n">
        <f aca="false">ROUND(SQRT((F293*J293/100)^2+(G293*M293)^2),0)</f>
        <v>35</v>
      </c>
      <c r="P293" s="41" t="n">
        <v>-0.61584048006452</v>
      </c>
      <c r="Q293" s="42" t="n">
        <v>1066.7283111232</v>
      </c>
      <c r="R293" s="43" t="n">
        <f aca="false">MAX(0,MIN(1,P293/100+$D$5))</f>
        <v>0.529597957437154</v>
      </c>
      <c r="S293" s="43" t="n">
        <v>0.0500321312575726</v>
      </c>
      <c r="T293" s="44" t="s">
        <v>99</v>
      </c>
    </row>
    <row r="294" customFormat="false" ht="15" hidden="false" customHeight="false" outlineLevel="0" collapsed="false">
      <c r="A294" s="38" t="s">
        <v>344</v>
      </c>
      <c r="B294" s="38" t="s">
        <v>417</v>
      </c>
      <c r="C294" s="38" t="s">
        <v>420</v>
      </c>
      <c r="D294" s="21" t="n">
        <f aca="false">ROUND(Q294*R294,0)</f>
        <v>607</v>
      </c>
      <c r="E294" s="21" t="n">
        <f aca="false">ROUND(Q294,0)-D294</f>
        <v>471</v>
      </c>
      <c r="F294" s="21" t="n">
        <f aca="false">IF(COUNTA(D294:E294)=0,"",SUM(D294:E294))</f>
        <v>1078</v>
      </c>
      <c r="G294" s="39" t="n">
        <f aca="false">IF(OR(F294="",F294=0),"",D294/F294)</f>
        <v>0.563079777365492</v>
      </c>
      <c r="H294" s="39" t="n">
        <f aca="false">IF(OR(F294="",F294=0),"",E294/F294)</f>
        <v>0.436920222634508</v>
      </c>
      <c r="I294" s="38" t="s">
        <v>190</v>
      </c>
      <c r="J294" s="40" t="n">
        <v>1.92472098334064</v>
      </c>
      <c r="K294" s="39" t="n">
        <f aca="false">IF(G294="","",MAX(0,G294-J294/100))</f>
        <v>0.543832567532085</v>
      </c>
      <c r="L294" s="39" t="n">
        <f aca="false">IF(G294="","",MIN(1,G294+J294/100))</f>
        <v>0.582326987198898</v>
      </c>
      <c r="M294" s="21" t="n">
        <f aca="false">ROUND(Q294*S294,0)</f>
        <v>54</v>
      </c>
      <c r="N294" s="21" t="n">
        <f aca="false">ROUND(SQRT((F294*J294/100)^2+(G294*M294)^2),0)</f>
        <v>37</v>
      </c>
      <c r="P294" s="41" t="n">
        <v>2.78261911651287</v>
      </c>
      <c r="Q294" s="42" t="n">
        <v>1077.52515637748</v>
      </c>
      <c r="R294" s="43" t="n">
        <f aca="false">MAX(0,MIN(1,P294/100+$D$5))</f>
        <v>0.563582553402927</v>
      </c>
      <c r="S294" s="43" t="n">
        <v>0.0500321312575726</v>
      </c>
      <c r="T294" s="44" t="s">
        <v>99</v>
      </c>
    </row>
    <row r="295" customFormat="false" ht="15" hidden="false" customHeight="false" outlineLevel="0" collapsed="false">
      <c r="A295" s="38" t="s">
        <v>344</v>
      </c>
      <c r="B295" s="38" t="s">
        <v>417</v>
      </c>
      <c r="C295" s="38" t="s">
        <v>421</v>
      </c>
      <c r="D295" s="21" t="n">
        <f aca="false">ROUND(Q295*R295,0)</f>
        <v>598</v>
      </c>
      <c r="E295" s="21" t="n">
        <f aca="false">ROUND(Q295,0)-D295</f>
        <v>502</v>
      </c>
      <c r="F295" s="21" t="n">
        <f aca="false">IF(COUNTA(D295:E295)=0,"",SUM(D295:E295))</f>
        <v>1100</v>
      </c>
      <c r="G295" s="39" t="n">
        <f aca="false">IF(OR(F295="",F295=0),"",D295/F295)</f>
        <v>0.543636363636364</v>
      </c>
      <c r="H295" s="39" t="n">
        <f aca="false">IF(OR(F295="",F295=0),"",E295/F295)</f>
        <v>0.456363636363636</v>
      </c>
      <c r="I295" s="38" t="s">
        <v>190</v>
      </c>
      <c r="J295" s="40" t="n">
        <v>1.92472098334064</v>
      </c>
      <c r="K295" s="39" t="n">
        <f aca="false">IF(G295="","",MAX(0,G295-J295/100))</f>
        <v>0.524389153802957</v>
      </c>
      <c r="L295" s="39" t="n">
        <f aca="false">IF(G295="","",MIN(1,G295+J295/100))</f>
        <v>0.56288357346977</v>
      </c>
      <c r="M295" s="21" t="n">
        <f aca="false">ROUND(Q295*S295,0)</f>
        <v>55</v>
      </c>
      <c r="N295" s="21" t="n">
        <f aca="false">ROUND(SQRT((F295*J295/100)^2+(G295*M295)^2),0)</f>
        <v>37</v>
      </c>
      <c r="P295" s="41" t="n">
        <v>0.787878898574458</v>
      </c>
      <c r="Q295" s="42" t="n">
        <v>1100.19853141148</v>
      </c>
      <c r="R295" s="43" t="n">
        <f aca="false">MAX(0,MIN(1,P295/100+$D$5))</f>
        <v>0.543635151223543</v>
      </c>
      <c r="S295" s="43" t="n">
        <v>0.0500321312575726</v>
      </c>
      <c r="T295" s="44" t="s">
        <v>99</v>
      </c>
    </row>
    <row r="296" customFormat="false" ht="15" hidden="false" customHeight="false" outlineLevel="0" collapsed="false">
      <c r="A296" s="38" t="s">
        <v>344</v>
      </c>
      <c r="B296" s="38" t="s">
        <v>417</v>
      </c>
      <c r="C296" s="38" t="s">
        <v>422</v>
      </c>
      <c r="D296" s="21" t="n">
        <f aca="false">ROUND(Q296*R296,0)</f>
        <v>822</v>
      </c>
      <c r="E296" s="21" t="n">
        <f aca="false">ROUND(Q296,0)-D296</f>
        <v>652</v>
      </c>
      <c r="F296" s="21" t="n">
        <f aca="false">IF(COUNTA(D296:E296)=0,"",SUM(D296:E296))</f>
        <v>1474</v>
      </c>
      <c r="G296" s="39" t="n">
        <f aca="false">IF(OR(F296="",F296=0),"",D296/F296)</f>
        <v>0.557666214382632</v>
      </c>
      <c r="H296" s="39" t="n">
        <f aca="false">IF(OR(F296="",F296=0),"",E296/F296)</f>
        <v>0.442333785617368</v>
      </c>
      <c r="I296" s="38" t="s">
        <v>89</v>
      </c>
      <c r="J296" s="40" t="n">
        <v>1.87117215961084</v>
      </c>
      <c r="K296" s="39" t="n">
        <f aca="false">IF(G296="","",MAX(0,G296-J296/100))</f>
        <v>0.538954492786524</v>
      </c>
      <c r="L296" s="39" t="n">
        <f aca="false">IF(G296="","",MIN(1,G296+J296/100))</f>
        <v>0.576377935978741</v>
      </c>
      <c r="M296" s="21" t="n">
        <f aca="false">ROUND(Q296*S296,0)</f>
        <v>192</v>
      </c>
      <c r="N296" s="21" t="n">
        <f aca="false">ROUND(SQRT((F296*J296/100)^2+(G296*M296)^2),0)</f>
        <v>111</v>
      </c>
      <c r="P296" s="41" t="n">
        <v>2.18141896435066</v>
      </c>
      <c r="Q296" s="42" t="n">
        <v>1474</v>
      </c>
      <c r="R296" s="43" t="n">
        <f aca="false">MAX(0,MIN(1,P296/100+$D$5))</f>
        <v>0.557570551881305</v>
      </c>
      <c r="S296" s="43" t="n">
        <v>0.130204099606216</v>
      </c>
      <c r="T296" s="44" t="s">
        <v>192</v>
      </c>
    </row>
    <row r="297" customFormat="false" ht="15" hidden="false" customHeight="false" outlineLevel="0" collapsed="false">
      <c r="A297" s="38" t="s">
        <v>344</v>
      </c>
      <c r="B297" s="38" t="s">
        <v>417</v>
      </c>
      <c r="C297" s="38" t="s">
        <v>423</v>
      </c>
      <c r="D297" s="21" t="n">
        <f aca="false">ROUND(Q297*R297,0)</f>
        <v>640</v>
      </c>
      <c r="E297" s="21" t="n">
        <f aca="false">ROUND(Q297,0)-D297</f>
        <v>561</v>
      </c>
      <c r="F297" s="21" t="n">
        <f aca="false">IF(COUNTA(D297:E297)=0,"",SUM(D297:E297))</f>
        <v>1201</v>
      </c>
      <c r="G297" s="39" t="n">
        <f aca="false">IF(OR(F297="",F297=0),"",D297/F297)</f>
        <v>0.532889258950874</v>
      </c>
      <c r="H297" s="39" t="n">
        <f aca="false">IF(OR(F297="",F297=0),"",E297/F297)</f>
        <v>0.467110741049126</v>
      </c>
      <c r="I297" s="38" t="s">
        <v>190</v>
      </c>
      <c r="J297" s="40" t="n">
        <v>1.87117215961084</v>
      </c>
      <c r="K297" s="39" t="n">
        <f aca="false">IF(G297="","",MAX(0,G297-J297/100))</f>
        <v>0.514177537354766</v>
      </c>
      <c r="L297" s="39" t="n">
        <f aca="false">IF(G297="","",MIN(1,G297+J297/100))</f>
        <v>0.551600980546983</v>
      </c>
      <c r="M297" s="21" t="n">
        <f aca="false">ROUND(Q297*S297,0)</f>
        <v>156</v>
      </c>
      <c r="N297" s="21" t="n">
        <f aca="false">ROUND(SQRT((F297*J297/100)^2+(G297*M297)^2),0)</f>
        <v>86</v>
      </c>
      <c r="P297" s="41" t="n">
        <v>-0.240715347458413</v>
      </c>
      <c r="Q297" s="42" t="n">
        <v>1200.60919227631</v>
      </c>
      <c r="R297" s="43" t="n">
        <f aca="false">MAX(0,MIN(1,P297/100+$D$5))</f>
        <v>0.533349208763215</v>
      </c>
      <c r="S297" s="43" t="n">
        <v>0.130204099606216</v>
      </c>
      <c r="T297" s="44" t="s">
        <v>192</v>
      </c>
    </row>
    <row r="298" customFormat="false" ht="15" hidden="false" customHeight="false" outlineLevel="0" collapsed="false">
      <c r="A298" s="38" t="s">
        <v>344</v>
      </c>
      <c r="B298" s="38" t="s">
        <v>417</v>
      </c>
      <c r="C298" s="38" t="s">
        <v>424</v>
      </c>
      <c r="D298" s="21" t="n">
        <f aca="false">ROUND(Q298*R298,0)</f>
        <v>556</v>
      </c>
      <c r="E298" s="21" t="n">
        <f aca="false">ROUND(Q298,0)-D298</f>
        <v>568</v>
      </c>
      <c r="F298" s="21" t="n">
        <f aca="false">IF(COUNTA(D298:E298)=0,"",SUM(D298:E298))</f>
        <v>1124</v>
      </c>
      <c r="G298" s="39" t="n">
        <f aca="false">IF(OR(F298="",F298=0),"",D298/F298)</f>
        <v>0.494661921708185</v>
      </c>
      <c r="H298" s="39" t="n">
        <f aca="false">IF(OR(F298="",F298=0),"",E298/F298)</f>
        <v>0.505338078291815</v>
      </c>
      <c r="I298" s="38" t="s">
        <v>190</v>
      </c>
      <c r="J298" s="40" t="n">
        <v>1.92472098334064</v>
      </c>
      <c r="K298" s="39" t="n">
        <f aca="false">IF(G298="","",MAX(0,G298-J298/100))</f>
        <v>0.475414711874779</v>
      </c>
      <c r="L298" s="39" t="n">
        <f aca="false">IF(G298="","",MIN(1,G298+J298/100))</f>
        <v>0.513909131541592</v>
      </c>
      <c r="M298" s="21" t="n">
        <f aca="false">ROUND(Q298*S298,0)</f>
        <v>56</v>
      </c>
      <c r="N298" s="21" t="n">
        <f aca="false">ROUND(SQRT((F298*J298/100)^2+(G298*M298)^2),0)</f>
        <v>35</v>
      </c>
      <c r="P298" s="41" t="n">
        <v>-4.13680692545878</v>
      </c>
      <c r="Q298" s="42" t="n">
        <v>1123.9515909709</v>
      </c>
      <c r="R298" s="43" t="n">
        <f aca="false">MAX(0,MIN(1,P298/100+$D$5))</f>
        <v>0.494388292983211</v>
      </c>
      <c r="S298" s="43" t="n">
        <v>0.0500321312575726</v>
      </c>
      <c r="T298" s="44" t="s">
        <v>99</v>
      </c>
    </row>
    <row r="299" customFormat="false" ht="15" hidden="false" customHeight="false" outlineLevel="0" collapsed="false">
      <c r="A299" s="38" t="s">
        <v>344</v>
      </c>
      <c r="B299" s="38" t="s">
        <v>425</v>
      </c>
      <c r="C299" s="38" t="s">
        <v>425</v>
      </c>
      <c r="D299" s="21" t="n">
        <f aca="false">ROUND(Q299*R299,0)</f>
        <v>516</v>
      </c>
      <c r="E299" s="21" t="n">
        <f aca="false">ROUND(Q299,0)-D299</f>
        <v>294</v>
      </c>
      <c r="F299" s="21" t="n">
        <f aca="false">IF(COUNTA(D299:E299)=0,"",SUM(D299:E299))</f>
        <v>810</v>
      </c>
      <c r="G299" s="39" t="n">
        <f aca="false">IF(OR(F299="",F299=0),"",D299/F299)</f>
        <v>0.637037037037037</v>
      </c>
      <c r="H299" s="39" t="n">
        <f aca="false">IF(OR(F299="",F299=0),"",E299/F299)</f>
        <v>0.362962962962963</v>
      </c>
      <c r="I299" s="38" t="s">
        <v>89</v>
      </c>
      <c r="J299" s="40" t="n">
        <v>1.92472098334064</v>
      </c>
      <c r="K299" s="39" t="n">
        <f aca="false">IF(G299="","",MAX(0,G299-J299/100))</f>
        <v>0.617789827203631</v>
      </c>
      <c r="L299" s="39" t="n">
        <f aca="false">IF(G299="","",MIN(1,G299+J299/100))</f>
        <v>0.656284246870443</v>
      </c>
      <c r="M299" s="21" t="n">
        <f aca="false">ROUND(Q299*S299,0)</f>
        <v>41</v>
      </c>
      <c r="N299" s="21" t="n">
        <f aca="false">ROUND(SQRT((F299*J299/100)^2+(G299*M299)^2),0)</f>
        <v>30</v>
      </c>
      <c r="P299" s="41" t="n">
        <v>10.1731118459281</v>
      </c>
      <c r="Q299" s="42" t="n">
        <v>810</v>
      </c>
      <c r="R299" s="43" t="n">
        <f aca="false">MAX(0,MIN(1,P299/100+$D$5))</f>
        <v>0.63748748069708</v>
      </c>
      <c r="S299" s="43" t="n">
        <v>0.0500321312575726</v>
      </c>
      <c r="T299" s="44" t="s">
        <v>99</v>
      </c>
    </row>
    <row r="300" customFormat="false" ht="15" hidden="false" customHeight="false" outlineLevel="0" collapsed="false">
      <c r="A300" s="38" t="s">
        <v>344</v>
      </c>
      <c r="B300" s="38" t="s">
        <v>426</v>
      </c>
      <c r="C300" s="38" t="s">
        <v>426</v>
      </c>
      <c r="D300" s="21" t="n">
        <f aca="false">ROUND(Q300*R300,0)</f>
        <v>78</v>
      </c>
      <c r="E300" s="21" t="n">
        <f aca="false">ROUND(Q300,0)-D300</f>
        <v>63</v>
      </c>
      <c r="F300" s="21" t="n">
        <f aca="false">IF(COUNTA(D300:E300)=0,"",SUM(D300:E300))</f>
        <v>141</v>
      </c>
      <c r="G300" s="39" t="n">
        <f aca="false">IF(OR(F300="",F300=0),"",D300/F300)</f>
        <v>0.553191489361702</v>
      </c>
      <c r="H300" s="39" t="n">
        <f aca="false">IF(OR(F300="",F300=0),"",E300/F300)</f>
        <v>0.446808510638298</v>
      </c>
      <c r="I300" s="38" t="s">
        <v>89</v>
      </c>
      <c r="J300" s="40" t="n">
        <v>2.87480042420966</v>
      </c>
      <c r="K300" s="39" t="n">
        <f aca="false">IF(G300="","",MAX(0,G300-J300/100))</f>
        <v>0.524443485119606</v>
      </c>
      <c r="L300" s="39" t="n">
        <f aca="false">IF(G300="","",MIN(1,G300+J300/100))</f>
        <v>0.581939493603799</v>
      </c>
      <c r="M300" s="21" t="n">
        <f aca="false">ROUND(Q300*S300,0)</f>
        <v>9</v>
      </c>
      <c r="N300" s="21" t="n">
        <f aca="false">ROUND(SQRT((F300*J300/100)^2+(G300*M300)^2),0)</f>
        <v>6</v>
      </c>
      <c r="P300" s="41" t="n">
        <v>1.87958098194543</v>
      </c>
      <c r="Q300" s="42" t="n">
        <v>141</v>
      </c>
      <c r="R300" s="43" t="n">
        <f aca="false">MAX(0,MIN(1,P300/100+$D$5))</f>
        <v>0.554552172057253</v>
      </c>
      <c r="S300" s="43" t="n">
        <v>0.0610405690258335</v>
      </c>
      <c r="T300" s="44" t="s">
        <v>90</v>
      </c>
    </row>
    <row r="301" customFormat="false" ht="15" hidden="false" customHeight="false" outlineLevel="0" collapsed="false">
      <c r="A301" s="38" t="s">
        <v>344</v>
      </c>
      <c r="B301" s="38" t="s">
        <v>251</v>
      </c>
      <c r="C301" s="38" t="s">
        <v>427</v>
      </c>
      <c r="D301" s="21" t="n">
        <f aca="false">ROUND(Q301*R301,0)</f>
        <v>807</v>
      </c>
      <c r="E301" s="21" t="n">
        <f aca="false">ROUND(Q301,0)-D301</f>
        <v>509</v>
      </c>
      <c r="F301" s="21" t="n">
        <f aca="false">IF(COUNTA(D301:E301)=0,"",SUM(D301:E301))</f>
        <v>1316</v>
      </c>
      <c r="G301" s="39" t="n">
        <f aca="false">IF(OR(F301="",F301=0),"",D301/F301)</f>
        <v>0.61322188449848</v>
      </c>
      <c r="H301" s="39" t="n">
        <f aca="false">IF(OR(F301="",F301=0),"",E301/F301)</f>
        <v>0.38677811550152</v>
      </c>
      <c r="I301" s="38" t="s">
        <v>89</v>
      </c>
      <c r="J301" s="40" t="n">
        <v>1.87117215961084</v>
      </c>
      <c r="K301" s="39" t="n">
        <f aca="false">IF(G301="","",MAX(0,G301-J301/100))</f>
        <v>0.594510162902372</v>
      </c>
      <c r="L301" s="39" t="n">
        <f aca="false">IF(G301="","",MIN(1,G301+J301/100))</f>
        <v>0.631933606094589</v>
      </c>
      <c r="M301" s="21" t="n">
        <f aca="false">ROUND(Q301*S301,0)</f>
        <v>171</v>
      </c>
      <c r="N301" s="21" t="n">
        <f aca="false">ROUND(SQRT((F301*J301/100)^2+(G301*M301)^2),0)</f>
        <v>108</v>
      </c>
      <c r="P301" s="41" t="n">
        <v>7.74627773818336</v>
      </c>
      <c r="Q301" s="42" t="n">
        <v>1316</v>
      </c>
      <c r="R301" s="43" t="n">
        <f aca="false">MAX(0,MIN(1,P301/100+$D$5))</f>
        <v>0.613219139619632</v>
      </c>
      <c r="S301" s="43" t="n">
        <v>0.130204099606216</v>
      </c>
      <c r="T301" s="44" t="s">
        <v>192</v>
      </c>
    </row>
    <row r="302" customFormat="false" ht="15" hidden="false" customHeight="false" outlineLevel="0" collapsed="false">
      <c r="A302" s="38" t="s">
        <v>344</v>
      </c>
      <c r="B302" s="38" t="s">
        <v>251</v>
      </c>
      <c r="C302" s="38" t="s">
        <v>428</v>
      </c>
      <c r="D302" s="21" t="n">
        <f aca="false">ROUND(Q302*R302,0)</f>
        <v>792</v>
      </c>
      <c r="E302" s="21" t="n">
        <f aca="false">ROUND(Q302,0)-D302</f>
        <v>547</v>
      </c>
      <c r="F302" s="21" t="n">
        <f aca="false">IF(COUNTA(D302:E302)=0,"",SUM(D302:E302))</f>
        <v>1339</v>
      </c>
      <c r="G302" s="39" t="n">
        <f aca="false">IF(OR(F302="",F302=0),"",D302/F302)</f>
        <v>0.591486183719194</v>
      </c>
      <c r="H302" s="39" t="n">
        <f aca="false">IF(OR(F302="",F302=0),"",E302/F302)</f>
        <v>0.408513816280807</v>
      </c>
      <c r="I302" s="38" t="s">
        <v>89</v>
      </c>
      <c r="J302" s="40" t="n">
        <v>1.87117215961084</v>
      </c>
      <c r="K302" s="39" t="n">
        <f aca="false">IF(G302="","",MAX(0,G302-J302/100))</f>
        <v>0.572774462123085</v>
      </c>
      <c r="L302" s="39" t="n">
        <f aca="false">IF(G302="","",MIN(1,G302+J302/100))</f>
        <v>0.610197905315302</v>
      </c>
      <c r="M302" s="21" t="n">
        <f aca="false">ROUND(Q302*S302,0)</f>
        <v>174</v>
      </c>
      <c r="N302" s="21" t="n">
        <f aca="false">ROUND(SQRT((F302*J302/100)^2+(G302*M302)^2),0)</f>
        <v>106</v>
      </c>
      <c r="P302" s="41" t="n">
        <v>5.54364634218321</v>
      </c>
      <c r="Q302" s="42" t="n">
        <v>1339</v>
      </c>
      <c r="R302" s="43" t="n">
        <f aca="false">MAX(0,MIN(1,P302/100+$D$5))</f>
        <v>0.591192825659631</v>
      </c>
      <c r="S302" s="43" t="n">
        <v>0.130204099606216</v>
      </c>
      <c r="T302" s="44" t="s">
        <v>192</v>
      </c>
    </row>
    <row r="303" customFormat="false" ht="15" hidden="false" customHeight="false" outlineLevel="0" collapsed="false">
      <c r="A303" s="38" t="s">
        <v>344</v>
      </c>
      <c r="B303" s="38" t="s">
        <v>251</v>
      </c>
      <c r="C303" s="38" t="s">
        <v>429</v>
      </c>
      <c r="D303" s="21" t="n">
        <f aca="false">ROUND(Q303*R303,0)</f>
        <v>402</v>
      </c>
      <c r="E303" s="21" t="n">
        <f aca="false">ROUND(Q303,0)-D303</f>
        <v>324</v>
      </c>
      <c r="F303" s="21" t="n">
        <f aca="false">IF(COUNTA(D303:E303)=0,"",SUM(D303:E303))</f>
        <v>726</v>
      </c>
      <c r="G303" s="39" t="n">
        <f aca="false">IF(OR(F303="",F303=0),"",D303/F303)</f>
        <v>0.553719008264463</v>
      </c>
      <c r="H303" s="39" t="n">
        <f aca="false">IF(OR(F303="",F303=0),"",E303/F303)</f>
        <v>0.446280991735537</v>
      </c>
      <c r="I303" s="38" t="s">
        <v>89</v>
      </c>
      <c r="J303" s="40" t="n">
        <v>2.87480042420966</v>
      </c>
      <c r="K303" s="39" t="n">
        <f aca="false">IF(G303="","",MAX(0,G303-J303/100))</f>
        <v>0.524971004022366</v>
      </c>
      <c r="L303" s="39" t="n">
        <f aca="false">IF(G303="","",MIN(1,G303+J303/100))</f>
        <v>0.582467012506559</v>
      </c>
      <c r="M303" s="21" t="n">
        <f aca="false">ROUND(Q303*S303,0)</f>
        <v>44</v>
      </c>
      <c r="N303" s="21" t="n">
        <f aca="false">ROUND(SQRT((F303*J303/100)^2+(G303*M303)^2),0)</f>
        <v>32</v>
      </c>
      <c r="P303" s="41" t="n">
        <v>1.79923479844101</v>
      </c>
      <c r="Q303" s="42" t="n">
        <v>726</v>
      </c>
      <c r="R303" s="43" t="n">
        <f aca="false">MAX(0,MIN(1,P303/100+$D$5))</f>
        <v>0.553748710222209</v>
      </c>
      <c r="S303" s="43" t="n">
        <v>0.0610405690258335</v>
      </c>
      <c r="T303" s="44" t="s">
        <v>90</v>
      </c>
    </row>
    <row r="304" customFormat="false" ht="15" hidden="false" customHeight="false" outlineLevel="0" collapsed="false">
      <c r="A304" s="38" t="s">
        <v>344</v>
      </c>
      <c r="B304" s="38" t="s">
        <v>251</v>
      </c>
      <c r="C304" s="38" t="s">
        <v>430</v>
      </c>
      <c r="D304" s="21" t="n">
        <f aca="false">ROUND(Q304*R304,0)</f>
        <v>636</v>
      </c>
      <c r="E304" s="21" t="n">
        <f aca="false">ROUND(Q304,0)-D304</f>
        <v>510</v>
      </c>
      <c r="F304" s="21" t="n">
        <f aca="false">IF(COUNTA(D304:E304)=0,"",SUM(D304:E304))</f>
        <v>1146</v>
      </c>
      <c r="G304" s="39" t="n">
        <f aca="false">IF(OR(F304="",F304=0),"",D304/F304)</f>
        <v>0.554973821989529</v>
      </c>
      <c r="H304" s="39" t="n">
        <f aca="false">IF(OR(F304="",F304=0),"",E304/F304)</f>
        <v>0.445026178010471</v>
      </c>
      <c r="I304" s="38" t="s">
        <v>89</v>
      </c>
      <c r="J304" s="40" t="n">
        <v>1.92472098334064</v>
      </c>
      <c r="K304" s="39" t="n">
        <f aca="false">IF(G304="","",MAX(0,G304-J304/100))</f>
        <v>0.535726612156123</v>
      </c>
      <c r="L304" s="39" t="n">
        <f aca="false">IF(G304="","",MIN(1,G304+J304/100))</f>
        <v>0.574221031822935</v>
      </c>
      <c r="M304" s="21" t="n">
        <f aca="false">ROUND(Q304*S304,0)</f>
        <v>57</v>
      </c>
      <c r="N304" s="21" t="n">
        <f aca="false">ROUND(SQRT((F304*J304/100)^2+(G304*M304)^2),0)</f>
        <v>39</v>
      </c>
      <c r="P304" s="41" t="n">
        <v>1.9088528081274</v>
      </c>
      <c r="Q304" s="42" t="n">
        <v>1146</v>
      </c>
      <c r="R304" s="43" t="n">
        <f aca="false">MAX(0,MIN(1,P304/100+$D$5))</f>
        <v>0.554844890319073</v>
      </c>
      <c r="S304" s="43" t="n">
        <v>0.0500321312575726</v>
      </c>
      <c r="T304" s="44" t="s">
        <v>99</v>
      </c>
    </row>
    <row r="305" customFormat="false" ht="15" hidden="false" customHeight="false" outlineLevel="0" collapsed="false">
      <c r="A305" s="38" t="s">
        <v>344</v>
      </c>
      <c r="B305" s="38" t="s">
        <v>251</v>
      </c>
      <c r="C305" s="38" t="s">
        <v>431</v>
      </c>
      <c r="D305" s="21" t="n">
        <f aca="false">ROUND(Q305*R305,0)</f>
        <v>679</v>
      </c>
      <c r="E305" s="21" t="n">
        <f aca="false">ROUND(Q305,0)-D305</f>
        <v>476</v>
      </c>
      <c r="F305" s="21" t="n">
        <f aca="false">IF(COUNTA(D305:E305)=0,"",SUM(D305:E305))</f>
        <v>1155</v>
      </c>
      <c r="G305" s="39" t="n">
        <f aca="false">IF(OR(F305="",F305=0),"",D305/F305)</f>
        <v>0.587878787878788</v>
      </c>
      <c r="H305" s="39" t="n">
        <f aca="false">IF(OR(F305="",F305=0),"",E305/F305)</f>
        <v>0.412121212121212</v>
      </c>
      <c r="I305" s="38" t="s">
        <v>89</v>
      </c>
      <c r="J305" s="40" t="n">
        <v>1.92472098334064</v>
      </c>
      <c r="K305" s="39" t="n">
        <f aca="false">IF(G305="","",MAX(0,G305-J305/100))</f>
        <v>0.568631578045382</v>
      </c>
      <c r="L305" s="39" t="n">
        <f aca="false">IF(G305="","",MIN(1,G305+J305/100))</f>
        <v>0.607125997712194</v>
      </c>
      <c r="M305" s="21" t="n">
        <f aca="false">ROUND(Q305*S305,0)</f>
        <v>58</v>
      </c>
      <c r="N305" s="21" t="n">
        <f aca="false">ROUND(SQRT((F305*J305/100)^2+(G305*M305)^2),0)</f>
        <v>41</v>
      </c>
      <c r="P305" s="41" t="n">
        <v>5.21846781191142</v>
      </c>
      <c r="Q305" s="42" t="n">
        <v>1155</v>
      </c>
      <c r="R305" s="43" t="n">
        <f aca="false">MAX(0,MIN(1,P305/100+$D$5))</f>
        <v>0.587941040356913</v>
      </c>
      <c r="S305" s="43" t="n">
        <v>0.0500321312575726</v>
      </c>
      <c r="T305" s="44" t="s">
        <v>99</v>
      </c>
    </row>
    <row r="306" customFormat="false" ht="15" hidden="false" customHeight="false" outlineLevel="0" collapsed="false">
      <c r="A306" s="38" t="s">
        <v>344</v>
      </c>
      <c r="B306" s="38" t="s">
        <v>251</v>
      </c>
      <c r="C306" s="38" t="s">
        <v>432</v>
      </c>
      <c r="D306" s="21" t="n">
        <f aca="false">ROUND(Q306*R306,0)</f>
        <v>435</v>
      </c>
      <c r="E306" s="21" t="n">
        <f aca="false">ROUND(Q306,0)-D306</f>
        <v>336</v>
      </c>
      <c r="F306" s="21" t="n">
        <f aca="false">IF(COUNTA(D306:E306)=0,"",SUM(D306:E306))</f>
        <v>771</v>
      </c>
      <c r="G306" s="39" t="n">
        <f aca="false">IF(OR(F306="",F306=0),"",D306/F306)</f>
        <v>0.56420233463035</v>
      </c>
      <c r="H306" s="39" t="n">
        <f aca="false">IF(OR(F306="",F306=0),"",E306/F306)</f>
        <v>0.43579766536965</v>
      </c>
      <c r="I306" s="38" t="s">
        <v>89</v>
      </c>
      <c r="J306" s="40" t="n">
        <v>2.87480042420966</v>
      </c>
      <c r="K306" s="39" t="n">
        <f aca="false">IF(G306="","",MAX(0,G306-J306/100))</f>
        <v>0.535454330388254</v>
      </c>
      <c r="L306" s="39" t="n">
        <f aca="false">IF(G306="","",MIN(1,G306+J306/100))</f>
        <v>0.592950338872447</v>
      </c>
      <c r="M306" s="21" t="n">
        <f aca="false">ROUND(Q306*S306,0)</f>
        <v>47</v>
      </c>
      <c r="N306" s="21" t="n">
        <f aca="false">ROUND(SQRT((F306*J306/100)^2+(G306*M306)^2),0)</f>
        <v>35</v>
      </c>
      <c r="P306" s="41" t="n">
        <v>2.79147596056002</v>
      </c>
      <c r="Q306" s="42" t="n">
        <v>771</v>
      </c>
      <c r="R306" s="43" t="n">
        <f aca="false">MAX(0,MIN(1,P306/100+$D$5))</f>
        <v>0.563671121843399</v>
      </c>
      <c r="S306" s="43" t="n">
        <v>0.0610405690258335</v>
      </c>
      <c r="T306" s="44" t="s">
        <v>90</v>
      </c>
    </row>
    <row r="307" customFormat="false" ht="15" hidden="false" customHeight="false" outlineLevel="0" collapsed="false">
      <c r="A307" s="38" t="s">
        <v>344</v>
      </c>
      <c r="B307" s="38" t="s">
        <v>433</v>
      </c>
      <c r="C307" s="38" t="s">
        <v>434</v>
      </c>
      <c r="D307" s="21" t="n">
        <f aca="false">ROUND(Q307*R307,0)</f>
        <v>477</v>
      </c>
      <c r="E307" s="21" t="n">
        <f aca="false">ROUND(Q307,0)-D307</f>
        <v>399</v>
      </c>
      <c r="F307" s="21" t="n">
        <f aca="false">IF(COUNTA(D307:E307)=0,"",SUM(D307:E307))</f>
        <v>876</v>
      </c>
      <c r="G307" s="39" t="n">
        <f aca="false">IF(OR(F307="",F307=0),"",D307/F307)</f>
        <v>0.544520547945205</v>
      </c>
      <c r="H307" s="39" t="n">
        <f aca="false">IF(OR(F307="",F307=0),"",E307/F307)</f>
        <v>0.455479452054795</v>
      </c>
      <c r="I307" s="38" t="s">
        <v>89</v>
      </c>
      <c r="J307" s="40" t="n">
        <v>1.92472098334064</v>
      </c>
      <c r="K307" s="39" t="n">
        <f aca="false">IF(G307="","",MAX(0,G307-J307/100))</f>
        <v>0.525273338111799</v>
      </c>
      <c r="L307" s="39" t="n">
        <f aca="false">IF(G307="","",MIN(1,G307+J307/100))</f>
        <v>0.563767757778612</v>
      </c>
      <c r="M307" s="21" t="n">
        <f aca="false">ROUND(Q307*S307,0)</f>
        <v>44</v>
      </c>
      <c r="N307" s="21" t="n">
        <f aca="false">ROUND(SQRT((F307*J307/100)^2+(G307*M307)^2),0)</f>
        <v>29</v>
      </c>
      <c r="P307" s="41" t="n">
        <v>0.836817655205815</v>
      </c>
      <c r="Q307" s="42" t="n">
        <v>876</v>
      </c>
      <c r="R307" s="43" t="n">
        <f aca="false">MAX(0,MIN(1,P307/100+$D$5))</f>
        <v>0.544124538789857</v>
      </c>
      <c r="S307" s="43" t="n">
        <v>0.0500321312575726</v>
      </c>
      <c r="T307" s="44" t="s">
        <v>99</v>
      </c>
    </row>
    <row r="308" customFormat="false" ht="15" hidden="false" customHeight="false" outlineLevel="0" collapsed="false">
      <c r="A308" s="38" t="s">
        <v>344</v>
      </c>
      <c r="B308" s="38" t="s">
        <v>433</v>
      </c>
      <c r="C308" s="38" t="s">
        <v>435</v>
      </c>
      <c r="D308" s="21" t="n">
        <f aca="false">ROUND(Q308*R308,0)</f>
        <v>379</v>
      </c>
      <c r="E308" s="21" t="n">
        <f aca="false">ROUND(Q308,0)-D308</f>
        <v>302</v>
      </c>
      <c r="F308" s="21" t="n">
        <f aca="false">IF(COUNTA(D308:E308)=0,"",SUM(D308:E308))</f>
        <v>681</v>
      </c>
      <c r="G308" s="39" t="n">
        <f aca="false">IF(OR(F308="",F308=0),"",D308/F308)</f>
        <v>0.556534508076358</v>
      </c>
      <c r="H308" s="39" t="n">
        <f aca="false">IF(OR(F308="",F308=0),"",E308/F308)</f>
        <v>0.443465491923642</v>
      </c>
      <c r="I308" s="38" t="s">
        <v>89</v>
      </c>
      <c r="J308" s="40" t="n">
        <v>2.87480042420966</v>
      </c>
      <c r="K308" s="39" t="n">
        <f aca="false">IF(G308="","",MAX(0,G308-J308/100))</f>
        <v>0.527786503834262</v>
      </c>
      <c r="L308" s="39" t="n">
        <f aca="false">IF(G308="","",MIN(1,G308+J308/100))</f>
        <v>0.585282512318455</v>
      </c>
      <c r="M308" s="21" t="n">
        <f aca="false">ROUND(Q308*S308,0)</f>
        <v>42</v>
      </c>
      <c r="N308" s="21" t="n">
        <f aca="false">ROUND(SQRT((F308*J308/100)^2+(G308*M308)^2),0)</f>
        <v>30</v>
      </c>
      <c r="P308" s="41" t="n">
        <v>2.08407361870348</v>
      </c>
      <c r="Q308" s="42" t="n">
        <v>681</v>
      </c>
      <c r="R308" s="43" t="n">
        <f aca="false">MAX(0,MIN(1,P308/100+$D$5))</f>
        <v>0.556597098424834</v>
      </c>
      <c r="S308" s="43" t="n">
        <v>0.0610405690258335</v>
      </c>
      <c r="T308" s="44" t="s">
        <v>90</v>
      </c>
    </row>
    <row r="309" customFormat="false" ht="15" hidden="false" customHeight="false" outlineLevel="0" collapsed="false">
      <c r="A309" s="38" t="s">
        <v>344</v>
      </c>
      <c r="B309" s="38" t="s">
        <v>433</v>
      </c>
      <c r="C309" s="38" t="s">
        <v>436</v>
      </c>
      <c r="D309" s="21" t="n">
        <f aca="false">ROUND(Q309*R309,0)</f>
        <v>576</v>
      </c>
      <c r="E309" s="21" t="n">
        <f aca="false">ROUND(Q309,0)-D309</f>
        <v>440</v>
      </c>
      <c r="F309" s="21" t="n">
        <f aca="false">IF(COUNTA(D309:E309)=0,"",SUM(D309:E309))</f>
        <v>1016</v>
      </c>
      <c r="G309" s="39" t="n">
        <f aca="false">IF(OR(F309="",F309=0),"",D309/F309)</f>
        <v>0.566929133858268</v>
      </c>
      <c r="H309" s="39" t="n">
        <f aca="false">IF(OR(F309="",F309=0),"",E309/F309)</f>
        <v>0.433070866141732</v>
      </c>
      <c r="I309" s="38" t="s">
        <v>89</v>
      </c>
      <c r="J309" s="40" t="n">
        <v>1.92472098334064</v>
      </c>
      <c r="K309" s="39" t="n">
        <f aca="false">IF(G309="","",MAX(0,G309-J309/100))</f>
        <v>0.547681924024861</v>
      </c>
      <c r="L309" s="39" t="n">
        <f aca="false">IF(G309="","",MIN(1,G309+J309/100))</f>
        <v>0.586176343691674</v>
      </c>
      <c r="M309" s="21" t="n">
        <f aca="false">ROUND(Q309*S309,0)</f>
        <v>51</v>
      </c>
      <c r="N309" s="21" t="n">
        <f aca="false">ROUND(SQRT((F309*J309/100)^2+(G309*M309)^2),0)</f>
        <v>35</v>
      </c>
      <c r="P309" s="41" t="n">
        <v>3.09693968604205</v>
      </c>
      <c r="Q309" s="42" t="n">
        <v>1016</v>
      </c>
      <c r="R309" s="43" t="n">
        <f aca="false">MAX(0,MIN(1,P309/100+$D$5))</f>
        <v>0.566725759098219</v>
      </c>
      <c r="S309" s="43" t="n">
        <v>0.0500321312575726</v>
      </c>
      <c r="T309" s="44" t="s">
        <v>99</v>
      </c>
    </row>
    <row r="310" customFormat="false" ht="15" hidden="false" customHeight="false" outlineLevel="0" collapsed="false">
      <c r="A310" s="38" t="s">
        <v>344</v>
      </c>
      <c r="B310" s="38" t="s">
        <v>437</v>
      </c>
      <c r="C310" s="38" t="s">
        <v>438</v>
      </c>
      <c r="D310" s="21" t="n">
        <f aca="false">ROUND(Q310*R310,0)</f>
        <v>494</v>
      </c>
      <c r="E310" s="21" t="n">
        <f aca="false">ROUND(Q310,0)-D310</f>
        <v>785</v>
      </c>
      <c r="F310" s="21" t="n">
        <f aca="false">IF(COUNTA(D310:E310)=0,"",SUM(D310:E310))</f>
        <v>1279</v>
      </c>
      <c r="G310" s="39" t="n">
        <f aca="false">IF(OR(F310="",F310=0),"",D310/F310)</f>
        <v>0.386239249413604</v>
      </c>
      <c r="H310" s="39" t="n">
        <f aca="false">IF(OR(F310="",F310=0),"",E310/F310)</f>
        <v>0.613760750586396</v>
      </c>
      <c r="I310" s="38" t="s">
        <v>89</v>
      </c>
      <c r="J310" s="40" t="n">
        <v>1.87117215961084</v>
      </c>
      <c r="K310" s="39" t="n">
        <f aca="false">IF(G310="","",MAX(0,G310-J310/100))</f>
        <v>0.367527527817496</v>
      </c>
      <c r="L310" s="39" t="n">
        <f aca="false">IF(G310="","",MIN(1,G310+J310/100))</f>
        <v>0.404950971009713</v>
      </c>
      <c r="M310" s="21" t="n">
        <f aca="false">ROUND(Q310*S310,0)</f>
        <v>167</v>
      </c>
      <c r="N310" s="21" t="n">
        <f aca="false">ROUND(SQRT((F310*J310/100)^2+(G310*M310)^2),0)</f>
        <v>69</v>
      </c>
      <c r="P310" s="41" t="n">
        <v>-14.9159782117664</v>
      </c>
      <c r="Q310" s="42" t="n">
        <v>1279</v>
      </c>
      <c r="R310" s="43" t="n">
        <f aca="false">MAX(0,MIN(1,P310/100+$D$5))</f>
        <v>0.386596580120135</v>
      </c>
      <c r="S310" s="43" t="n">
        <v>0.130204099606216</v>
      </c>
      <c r="T310" s="44" t="s">
        <v>192</v>
      </c>
    </row>
    <row r="311" customFormat="false" ht="15" hidden="false" customHeight="false" outlineLevel="0" collapsed="false">
      <c r="A311" s="38" t="s">
        <v>344</v>
      </c>
      <c r="B311" s="38" t="s">
        <v>437</v>
      </c>
      <c r="C311" s="38" t="s">
        <v>439</v>
      </c>
      <c r="D311" s="21" t="n">
        <f aca="false">ROUND(Q311*R311,0)</f>
        <v>560</v>
      </c>
      <c r="E311" s="21" t="n">
        <f aca="false">ROUND(Q311,0)-D311</f>
        <v>885</v>
      </c>
      <c r="F311" s="21" t="n">
        <f aca="false">IF(COUNTA(D311:E311)=0,"",SUM(D311:E311))</f>
        <v>1445</v>
      </c>
      <c r="G311" s="39" t="n">
        <f aca="false">IF(OR(F311="",F311=0),"",D311/F311)</f>
        <v>0.387543252595156</v>
      </c>
      <c r="H311" s="39" t="n">
        <f aca="false">IF(OR(F311="",F311=0),"",E311/F311)</f>
        <v>0.612456747404844</v>
      </c>
      <c r="I311" s="38" t="s">
        <v>89</v>
      </c>
      <c r="J311" s="40" t="n">
        <v>1.87117215961084</v>
      </c>
      <c r="K311" s="39" t="n">
        <f aca="false">IF(G311="","",MAX(0,G311-J311/100))</f>
        <v>0.368831530999047</v>
      </c>
      <c r="L311" s="39" t="n">
        <f aca="false">IF(G311="","",MIN(1,G311+J311/100))</f>
        <v>0.406254974191264</v>
      </c>
      <c r="M311" s="21" t="n">
        <f aca="false">ROUND(Q311*S311,0)</f>
        <v>188</v>
      </c>
      <c r="N311" s="21" t="n">
        <f aca="false">ROUND(SQRT((F311*J311/100)^2+(G311*M311)^2),0)</f>
        <v>78</v>
      </c>
      <c r="P311" s="41" t="n">
        <v>-14.8100522721084</v>
      </c>
      <c r="Q311" s="42" t="n">
        <v>1445</v>
      </c>
      <c r="R311" s="43" t="n">
        <f aca="false">MAX(0,MIN(1,P311/100+$D$5))</f>
        <v>0.387655839516715</v>
      </c>
      <c r="S311" s="43" t="n">
        <v>0.130204099606216</v>
      </c>
      <c r="T311" s="44" t="s">
        <v>192</v>
      </c>
    </row>
    <row r="312" customFormat="false" ht="15" hidden="false" customHeight="false" outlineLevel="0" collapsed="false">
      <c r="A312" s="38" t="s">
        <v>344</v>
      </c>
      <c r="B312" s="38" t="s">
        <v>437</v>
      </c>
      <c r="C312" s="38" t="s">
        <v>440</v>
      </c>
      <c r="D312" s="21" t="n">
        <f aca="false">ROUND(Q312*R312,0)</f>
        <v>176</v>
      </c>
      <c r="E312" s="21" t="n">
        <f aca="false">ROUND(Q312,0)-D312</f>
        <v>315</v>
      </c>
      <c r="F312" s="21" t="n">
        <f aca="false">IF(COUNTA(D312:E312)=0,"",SUM(D312:E312))</f>
        <v>491</v>
      </c>
      <c r="G312" s="39" t="n">
        <f aca="false">IF(OR(F312="",F312=0),"",D312/F312)</f>
        <v>0.358452138492872</v>
      </c>
      <c r="H312" s="39" t="n">
        <f aca="false">IF(OR(F312="",F312=0),"",E312/F312)</f>
        <v>0.641547861507128</v>
      </c>
      <c r="I312" s="38" t="s">
        <v>89</v>
      </c>
      <c r="J312" s="40" t="n">
        <v>2.87480042420966</v>
      </c>
      <c r="K312" s="39" t="n">
        <f aca="false">IF(G312="","",MAX(0,G312-J312/100))</f>
        <v>0.329704134250775</v>
      </c>
      <c r="L312" s="39" t="n">
        <f aca="false">IF(G312="","",MIN(1,G312+J312/100))</f>
        <v>0.387200142734968</v>
      </c>
      <c r="M312" s="21" t="n">
        <f aca="false">ROUND(Q312*S312,0)</f>
        <v>30</v>
      </c>
      <c r="N312" s="21" t="n">
        <f aca="false">ROUND(SQRT((F312*J312/100)^2+(G312*M312)^2),0)</f>
        <v>18</v>
      </c>
      <c r="P312" s="41" t="n">
        <v>-17.7750231840138</v>
      </c>
      <c r="Q312" s="42" t="n">
        <v>491</v>
      </c>
      <c r="R312" s="43" t="n">
        <f aca="false">MAX(0,MIN(1,P312/100+$D$5))</f>
        <v>0.358006130397661</v>
      </c>
      <c r="S312" s="43" t="n">
        <v>0.0610405690258335</v>
      </c>
      <c r="T312" s="44" t="s">
        <v>90</v>
      </c>
    </row>
    <row r="313" customFormat="false" ht="15" hidden="false" customHeight="false" outlineLevel="0" collapsed="false">
      <c r="A313" s="38" t="s">
        <v>344</v>
      </c>
      <c r="B313" s="38" t="s">
        <v>437</v>
      </c>
      <c r="C313" s="38" t="s">
        <v>441</v>
      </c>
      <c r="D313" s="21" t="n">
        <f aca="false">ROUND(Q313*R313,0)</f>
        <v>444</v>
      </c>
      <c r="E313" s="21" t="n">
        <f aca="false">ROUND(Q313,0)-D313</f>
        <v>687</v>
      </c>
      <c r="F313" s="21" t="n">
        <f aca="false">IF(COUNTA(D313:E313)=0,"",SUM(D313:E313))</f>
        <v>1131</v>
      </c>
      <c r="G313" s="39" t="n">
        <f aca="false">IF(OR(F313="",F313=0),"",D313/F313)</f>
        <v>0.392572944297082</v>
      </c>
      <c r="H313" s="39" t="n">
        <f aca="false">IF(OR(F313="",F313=0),"",E313/F313)</f>
        <v>0.607427055702918</v>
      </c>
      <c r="I313" s="38" t="s">
        <v>89</v>
      </c>
      <c r="J313" s="40" t="n">
        <v>1.92472098334064</v>
      </c>
      <c r="K313" s="39" t="n">
        <f aca="false">IF(G313="","",MAX(0,G313-J313/100))</f>
        <v>0.373325734463676</v>
      </c>
      <c r="L313" s="39" t="n">
        <f aca="false">IF(G313="","",MIN(1,G313+J313/100))</f>
        <v>0.411820154130489</v>
      </c>
      <c r="M313" s="21" t="n">
        <f aca="false">ROUND(Q313*S313,0)</f>
        <v>57</v>
      </c>
      <c r="N313" s="21" t="n">
        <f aca="false">ROUND(SQRT((F313*J313/100)^2+(G313*M313)^2),0)</f>
        <v>31</v>
      </c>
      <c r="P313" s="41" t="n">
        <v>-14.2862712542595</v>
      </c>
      <c r="Q313" s="42" t="n">
        <v>1131</v>
      </c>
      <c r="R313" s="43" t="n">
        <f aca="false">MAX(0,MIN(1,P313/100+$D$5))</f>
        <v>0.392893649695203</v>
      </c>
      <c r="S313" s="43" t="n">
        <v>0.0500321312575726</v>
      </c>
      <c r="T313" s="44" t="s">
        <v>99</v>
      </c>
    </row>
    <row r="314" customFormat="false" ht="15" hidden="false" customHeight="false" outlineLevel="0" collapsed="false">
      <c r="A314" s="38" t="s">
        <v>344</v>
      </c>
      <c r="B314" s="38" t="s">
        <v>437</v>
      </c>
      <c r="C314" s="38" t="s">
        <v>442</v>
      </c>
      <c r="D314" s="21" t="n">
        <f aca="false">ROUND(Q314*R314,0)</f>
        <v>301</v>
      </c>
      <c r="E314" s="21" t="n">
        <f aca="false">ROUND(Q314,0)-D314</f>
        <v>459</v>
      </c>
      <c r="F314" s="21" t="n">
        <f aca="false">IF(COUNTA(D314:E314)=0,"",SUM(D314:E314))</f>
        <v>760</v>
      </c>
      <c r="G314" s="39" t="n">
        <f aca="false">IF(OR(F314="",F314=0),"",D314/F314)</f>
        <v>0.396052631578947</v>
      </c>
      <c r="H314" s="39" t="n">
        <f aca="false">IF(OR(F314="",F314=0),"",E314/F314)</f>
        <v>0.603947368421053</v>
      </c>
      <c r="I314" s="38" t="s">
        <v>89</v>
      </c>
      <c r="J314" s="40" t="n">
        <v>2.87480042420966</v>
      </c>
      <c r="K314" s="39" t="n">
        <f aca="false">IF(G314="","",MAX(0,G314-J314/100))</f>
        <v>0.367304627336851</v>
      </c>
      <c r="L314" s="39" t="n">
        <f aca="false">IF(G314="","",MIN(1,G314+J314/100))</f>
        <v>0.424800635821044</v>
      </c>
      <c r="M314" s="21" t="n">
        <f aca="false">ROUND(Q314*S314,0)</f>
        <v>46</v>
      </c>
      <c r="N314" s="21" t="n">
        <f aca="false">ROUND(SQRT((F314*J314/100)^2+(G314*M314)^2),0)</f>
        <v>28</v>
      </c>
      <c r="P314" s="41" t="n">
        <v>-14.0171563808503</v>
      </c>
      <c r="Q314" s="42" t="n">
        <v>760</v>
      </c>
      <c r="R314" s="43" t="n">
        <f aca="false">MAX(0,MIN(1,P314/100+$D$5))</f>
        <v>0.395584798429296</v>
      </c>
      <c r="S314" s="43" t="n">
        <v>0.0610405690258335</v>
      </c>
      <c r="T314" s="44" t="s">
        <v>90</v>
      </c>
    </row>
    <row r="315" customFormat="false" ht="15" hidden="false" customHeight="false" outlineLevel="0" collapsed="false">
      <c r="A315" s="38" t="s">
        <v>344</v>
      </c>
      <c r="B315" s="38" t="s">
        <v>443</v>
      </c>
      <c r="C315" s="38" t="s">
        <v>444</v>
      </c>
      <c r="D315" s="21" t="n">
        <f aca="false">ROUND(Q315*R315,0)</f>
        <v>210</v>
      </c>
      <c r="E315" s="21" t="n">
        <f aca="false">ROUND(Q315,0)-D315</f>
        <v>324</v>
      </c>
      <c r="F315" s="21" t="n">
        <f aca="false">IF(COUNTA(D315:E315)=0,"",SUM(D315:E315))</f>
        <v>534</v>
      </c>
      <c r="G315" s="39" t="n">
        <f aca="false">IF(OR(F315="",F315=0),"",D315/F315)</f>
        <v>0.393258426966292</v>
      </c>
      <c r="H315" s="39" t="n">
        <f aca="false">IF(OR(F315="",F315=0),"",E315/F315)</f>
        <v>0.606741573033708</v>
      </c>
      <c r="I315" s="38" t="s">
        <v>89</v>
      </c>
      <c r="J315" s="40" t="n">
        <v>2.87480042420966</v>
      </c>
      <c r="K315" s="39" t="n">
        <f aca="false">IF(G315="","",MAX(0,G315-J315/100))</f>
        <v>0.364510422724196</v>
      </c>
      <c r="L315" s="39" t="n">
        <f aca="false">IF(G315="","",MIN(1,G315+J315/100))</f>
        <v>0.422006431208389</v>
      </c>
      <c r="M315" s="21" t="n">
        <f aca="false">ROUND(Q315*S315,0)</f>
        <v>33</v>
      </c>
      <c r="N315" s="21" t="n">
        <f aca="false">ROUND(SQRT((F315*J315/100)^2+(G315*M315)^2),0)</f>
        <v>20</v>
      </c>
      <c r="P315" s="41" t="n">
        <v>-14.1663345008177</v>
      </c>
      <c r="Q315" s="42" t="n">
        <v>534</v>
      </c>
      <c r="R315" s="43" t="n">
        <f aca="false">MAX(0,MIN(1,P315/100+$D$5))</f>
        <v>0.394093017229622</v>
      </c>
      <c r="S315" s="43" t="n">
        <v>0.0610405690258335</v>
      </c>
      <c r="T315" s="44" t="s">
        <v>90</v>
      </c>
    </row>
    <row r="316" customFormat="false" ht="15" hidden="false" customHeight="false" outlineLevel="0" collapsed="false">
      <c r="A316" s="38" t="s">
        <v>344</v>
      </c>
      <c r="B316" s="38" t="s">
        <v>443</v>
      </c>
      <c r="C316" s="38" t="s">
        <v>445</v>
      </c>
      <c r="D316" s="21" t="n">
        <f aca="false">ROUND(Q316*R316,0)</f>
        <v>322</v>
      </c>
      <c r="E316" s="21" t="n">
        <f aca="false">ROUND(Q316,0)-D316</f>
        <v>544</v>
      </c>
      <c r="F316" s="21" t="n">
        <f aca="false">IF(COUNTA(D316:E316)=0,"",SUM(D316:E316))</f>
        <v>866</v>
      </c>
      <c r="G316" s="39" t="n">
        <f aca="false">IF(OR(F316="",F316=0),"",D316/F316)</f>
        <v>0.371824480369515</v>
      </c>
      <c r="H316" s="39" t="n">
        <f aca="false">IF(OR(F316="",F316=0),"",E316/F316)</f>
        <v>0.628175519630485</v>
      </c>
      <c r="I316" s="38" t="s">
        <v>89</v>
      </c>
      <c r="J316" s="40" t="n">
        <v>1.92472098334064</v>
      </c>
      <c r="K316" s="39" t="n">
        <f aca="false">IF(G316="","",MAX(0,G316-J316/100))</f>
        <v>0.352577270536109</v>
      </c>
      <c r="L316" s="39" t="n">
        <f aca="false">IF(G316="","",MIN(1,G316+J316/100))</f>
        <v>0.391071690202921</v>
      </c>
      <c r="M316" s="21" t="n">
        <f aca="false">ROUND(Q316*S316,0)</f>
        <v>43</v>
      </c>
      <c r="N316" s="21" t="n">
        <f aca="false">ROUND(SQRT((F316*J316/100)^2+(G316*M316)^2),0)</f>
        <v>23</v>
      </c>
      <c r="P316" s="41" t="n">
        <v>-16.4122395400296</v>
      </c>
      <c r="Q316" s="42" t="n">
        <v>866</v>
      </c>
      <c r="R316" s="43" t="n">
        <f aca="false">MAX(0,MIN(1,P316/100+$D$5))</f>
        <v>0.371633966837503</v>
      </c>
      <c r="S316" s="43" t="n">
        <v>0.0500321312575726</v>
      </c>
      <c r="T316" s="44" t="s">
        <v>99</v>
      </c>
    </row>
    <row r="317" customFormat="false" ht="15" hidden="false" customHeight="false" outlineLevel="0" collapsed="false">
      <c r="A317" s="38" t="s">
        <v>344</v>
      </c>
      <c r="B317" s="38" t="s">
        <v>446</v>
      </c>
      <c r="C317" s="38" t="s">
        <v>447</v>
      </c>
      <c r="D317" s="21" t="n">
        <f aca="false">ROUND(Q317*R317,0)</f>
        <v>202</v>
      </c>
      <c r="E317" s="21" t="n">
        <f aca="false">ROUND(Q317,0)-D317</f>
        <v>245</v>
      </c>
      <c r="F317" s="21" t="n">
        <f aca="false">IF(COUNTA(D317:E317)=0,"",SUM(D317:E317))</f>
        <v>447</v>
      </c>
      <c r="G317" s="39" t="n">
        <f aca="false">IF(OR(F317="",F317=0),"",D317/F317)</f>
        <v>0.451901565995526</v>
      </c>
      <c r="H317" s="39" t="n">
        <f aca="false">IF(OR(F317="",F317=0),"",E317/F317)</f>
        <v>0.548098434004474</v>
      </c>
      <c r="I317" s="38" t="s">
        <v>190</v>
      </c>
      <c r="J317" s="40" t="n">
        <v>2.87480042420966</v>
      </c>
      <c r="K317" s="39" t="n">
        <f aca="false">IF(G317="","",MAX(0,G317-J317/100))</f>
        <v>0.423153561753429</v>
      </c>
      <c r="L317" s="39" t="n">
        <f aca="false">IF(G317="","",MIN(1,G317+J317/100))</f>
        <v>0.480649570237622</v>
      </c>
      <c r="M317" s="21" t="n">
        <f aca="false">ROUND(Q317*S317,0)</f>
        <v>27</v>
      </c>
      <c r="N317" s="21" t="n">
        <f aca="false">ROUND(SQRT((F317*J317/100)^2+(G317*M317)^2),0)</f>
        <v>18</v>
      </c>
      <c r="P317" s="41" t="n">
        <v>-8.43053322570035</v>
      </c>
      <c r="Q317" s="42" t="n">
        <v>446.989492119089</v>
      </c>
      <c r="R317" s="43" t="n">
        <f aca="false">MAX(0,MIN(1,P317/100+$D$5))</f>
        <v>0.451451029980795</v>
      </c>
      <c r="S317" s="43" t="n">
        <v>0.0610405690258335</v>
      </c>
      <c r="T317" s="44" t="s">
        <v>90</v>
      </c>
    </row>
    <row r="318" customFormat="false" ht="15" hidden="false" customHeight="false" outlineLevel="0" collapsed="false">
      <c r="A318" s="38" t="s">
        <v>344</v>
      </c>
      <c r="B318" s="38" t="s">
        <v>446</v>
      </c>
      <c r="C318" s="38" t="s">
        <v>448</v>
      </c>
      <c r="D318" s="21" t="n">
        <f aca="false">ROUND(Q318*R318,0)</f>
        <v>584</v>
      </c>
      <c r="E318" s="21" t="n">
        <f aca="false">ROUND(Q318,0)-D318</f>
        <v>545</v>
      </c>
      <c r="F318" s="21" t="n">
        <f aca="false">IF(COUNTA(D318:E318)=0,"",SUM(D318:E318))</f>
        <v>1129</v>
      </c>
      <c r="G318" s="39" t="n">
        <f aca="false">IF(OR(F318="",F318=0),"",D318/F318)</f>
        <v>0.517271922054916</v>
      </c>
      <c r="H318" s="39" t="n">
        <f aca="false">IF(OR(F318="",F318=0),"",E318/F318)</f>
        <v>0.482728077945084</v>
      </c>
      <c r="I318" s="38" t="s">
        <v>190</v>
      </c>
      <c r="J318" s="40" t="n">
        <v>1.92472098334064</v>
      </c>
      <c r="K318" s="39" t="n">
        <f aca="false">IF(G318="","",MAX(0,G318-J318/100))</f>
        <v>0.49802471222151</v>
      </c>
      <c r="L318" s="39" t="n">
        <f aca="false">IF(G318="","",MIN(1,G318+J318/100))</f>
        <v>0.536519131888322</v>
      </c>
      <c r="M318" s="21" t="n">
        <f aca="false">ROUND(Q318*S318,0)</f>
        <v>57</v>
      </c>
      <c r="N318" s="21" t="n">
        <f aca="false">ROUND(SQRT((F318*J318/100)^2+(G318*M318)^2),0)</f>
        <v>37</v>
      </c>
      <c r="P318" s="41" t="n">
        <v>-1.82836100051709</v>
      </c>
      <c r="Q318" s="42" t="n">
        <v>1129.35026269702</v>
      </c>
      <c r="R318" s="43" t="n">
        <f aca="false">MAX(0,MIN(1,P318/100+$D$5))</f>
        <v>0.517472752232628</v>
      </c>
      <c r="S318" s="43" t="n">
        <v>0.0500321312575726</v>
      </c>
      <c r="T318" s="44" t="s">
        <v>99</v>
      </c>
    </row>
    <row r="319" customFormat="false" ht="15" hidden="false" customHeight="false" outlineLevel="0" collapsed="false">
      <c r="A319" s="38" t="s">
        <v>344</v>
      </c>
      <c r="B319" s="38" t="s">
        <v>446</v>
      </c>
      <c r="C319" s="38" t="s">
        <v>449</v>
      </c>
      <c r="D319" s="21" t="n">
        <f aca="false">ROUND(Q319*R319,0)</f>
        <v>547</v>
      </c>
      <c r="E319" s="21" t="n">
        <f aca="false">ROUND(Q319,0)-D319</f>
        <v>601</v>
      </c>
      <c r="F319" s="21" t="n">
        <f aca="false">IF(COUNTA(D319:E319)=0,"",SUM(D319:E319))</f>
        <v>1148</v>
      </c>
      <c r="G319" s="39" t="n">
        <f aca="false">IF(OR(F319="",F319=0),"",D319/F319)</f>
        <v>0.476480836236934</v>
      </c>
      <c r="H319" s="39" t="n">
        <f aca="false">IF(OR(F319="",F319=0),"",E319/F319)</f>
        <v>0.523519163763066</v>
      </c>
      <c r="I319" s="38" t="s">
        <v>89</v>
      </c>
      <c r="J319" s="40" t="n">
        <v>1.92472098334064</v>
      </c>
      <c r="K319" s="39" t="n">
        <f aca="false">IF(G319="","",MAX(0,G319-J319/100))</f>
        <v>0.457233626403528</v>
      </c>
      <c r="L319" s="39" t="n">
        <f aca="false">IF(G319="","",MIN(1,G319+J319/100))</f>
        <v>0.49572804607034</v>
      </c>
      <c r="M319" s="21" t="n">
        <f aca="false">ROUND(Q319*S319,0)</f>
        <v>57</v>
      </c>
      <c r="N319" s="21" t="n">
        <f aca="false">ROUND(SQRT((F319*J319/100)^2+(G319*M319)^2),0)</f>
        <v>35</v>
      </c>
      <c r="P319" s="41" t="n">
        <v>-5.88972575149868</v>
      </c>
      <c r="Q319" s="42" t="n">
        <v>1148</v>
      </c>
      <c r="R319" s="43" t="n">
        <f aca="false">MAX(0,MIN(1,P319/100+$D$5))</f>
        <v>0.476859104722812</v>
      </c>
      <c r="S319" s="43" t="n">
        <v>0.0500321312575726</v>
      </c>
      <c r="T319" s="44" t="s">
        <v>99</v>
      </c>
    </row>
    <row r="320" customFormat="false" ht="15" hidden="false" customHeight="false" outlineLevel="0" collapsed="false">
      <c r="A320" s="38" t="s">
        <v>344</v>
      </c>
      <c r="B320" s="38" t="s">
        <v>446</v>
      </c>
      <c r="C320" s="38" t="s">
        <v>450</v>
      </c>
      <c r="D320" s="21" t="n">
        <f aca="false">ROUND(Q320*R320,0)</f>
        <v>549</v>
      </c>
      <c r="E320" s="21" t="n">
        <f aca="false">ROUND(Q320,0)-D320</f>
        <v>567</v>
      </c>
      <c r="F320" s="21" t="n">
        <f aca="false">IF(COUNTA(D320:E320)=0,"",SUM(D320:E320))</f>
        <v>1116</v>
      </c>
      <c r="G320" s="39" t="n">
        <f aca="false">IF(OR(F320="",F320=0),"",D320/F320)</f>
        <v>0.491935483870968</v>
      </c>
      <c r="H320" s="39" t="n">
        <f aca="false">IF(OR(F320="",F320=0),"",E320/F320)</f>
        <v>0.508064516129032</v>
      </c>
      <c r="I320" s="38" t="s">
        <v>190</v>
      </c>
      <c r="J320" s="40" t="n">
        <v>1.92472098334064</v>
      </c>
      <c r="K320" s="39" t="n">
        <f aca="false">IF(G320="","",MAX(0,G320-J320/100))</f>
        <v>0.472688274037561</v>
      </c>
      <c r="L320" s="39" t="n">
        <f aca="false">IF(G320="","",MIN(1,G320+J320/100))</f>
        <v>0.511182693704374</v>
      </c>
      <c r="M320" s="21" t="n">
        <f aca="false">ROUND(Q320*S320,0)</f>
        <v>56</v>
      </c>
      <c r="N320" s="21" t="n">
        <f aca="false">ROUND(SQRT((F320*J320/100)^2+(G320*M320)^2),0)</f>
        <v>35</v>
      </c>
      <c r="P320" s="41" t="n">
        <v>-4.3864733854449</v>
      </c>
      <c r="Q320" s="42" t="n">
        <v>1116.39404553415</v>
      </c>
      <c r="R320" s="43" t="n">
        <f aca="false">MAX(0,MIN(1,P320/100+$D$5))</f>
        <v>0.49189162838335</v>
      </c>
      <c r="S320" s="43" t="n">
        <v>0.0500321312575726</v>
      </c>
      <c r="T320" s="44" t="s">
        <v>99</v>
      </c>
    </row>
    <row r="321" customFormat="false" ht="15" hidden="false" customHeight="false" outlineLevel="0" collapsed="false">
      <c r="A321" s="38" t="s">
        <v>344</v>
      </c>
      <c r="B321" s="38" t="s">
        <v>451</v>
      </c>
      <c r="C321" s="38" t="s">
        <v>452</v>
      </c>
      <c r="D321" s="21" t="n">
        <f aca="false">ROUND(Q321*R321,0)</f>
        <v>515</v>
      </c>
      <c r="E321" s="21" t="n">
        <f aca="false">ROUND(Q321,0)-D321</f>
        <v>430</v>
      </c>
      <c r="F321" s="21" t="n">
        <f aca="false">IF(COUNTA(D321:E321)=0,"",SUM(D321:E321))</f>
        <v>945</v>
      </c>
      <c r="G321" s="39" t="n">
        <f aca="false">IF(OR(F321="",F321=0),"",D321/F321)</f>
        <v>0.544973544973545</v>
      </c>
      <c r="H321" s="39" t="n">
        <f aca="false">IF(OR(F321="",F321=0),"",E321/F321)</f>
        <v>0.455026455026455</v>
      </c>
      <c r="I321" s="38" t="s">
        <v>89</v>
      </c>
      <c r="J321" s="40" t="n">
        <v>1.92472098334064</v>
      </c>
      <c r="K321" s="39" t="n">
        <f aca="false">IF(G321="","",MAX(0,G321-J321/100))</f>
        <v>0.525726335140139</v>
      </c>
      <c r="L321" s="39" t="n">
        <f aca="false">IF(G321="","",MIN(1,G321+J321/100))</f>
        <v>0.564220754806951</v>
      </c>
      <c r="M321" s="21" t="n">
        <f aca="false">ROUND(Q321*S321,0)</f>
        <v>47</v>
      </c>
      <c r="N321" s="21" t="n">
        <f aca="false">ROUND(SQRT((F321*J321/100)^2+(G321*M321)^2),0)</f>
        <v>31</v>
      </c>
      <c r="P321" s="41" t="n">
        <v>0.973902100855307</v>
      </c>
      <c r="Q321" s="42" t="n">
        <v>945</v>
      </c>
      <c r="R321" s="43" t="n">
        <f aca="false">MAX(0,MIN(1,P321/100+$D$5))</f>
        <v>0.545495383246352</v>
      </c>
      <c r="S321" s="43" t="n">
        <v>0.0500321312575726</v>
      </c>
      <c r="T321" s="44" t="s">
        <v>99</v>
      </c>
    </row>
    <row r="322" customFormat="false" ht="15" hidden="false" customHeight="false" outlineLevel="0" collapsed="false">
      <c r="A322" s="38" t="s">
        <v>344</v>
      </c>
      <c r="B322" s="38" t="s">
        <v>451</v>
      </c>
      <c r="C322" s="38" t="s">
        <v>453</v>
      </c>
      <c r="D322" s="21" t="n">
        <f aca="false">ROUND(Q322*R322,0)</f>
        <v>564</v>
      </c>
      <c r="E322" s="21" t="n">
        <f aca="false">ROUND(Q322,0)-D322</f>
        <v>619</v>
      </c>
      <c r="F322" s="21" t="n">
        <f aca="false">IF(COUNTA(D322:E322)=0,"",SUM(D322:E322))</f>
        <v>1183</v>
      </c>
      <c r="G322" s="39" t="n">
        <f aca="false">IF(OR(F322="",F322=0),"",D322/F322)</f>
        <v>0.476754015215554</v>
      </c>
      <c r="H322" s="39" t="n">
        <f aca="false">IF(OR(F322="",F322=0),"",E322/F322)</f>
        <v>0.523245984784446</v>
      </c>
      <c r="I322" s="38" t="s">
        <v>89</v>
      </c>
      <c r="J322" s="40" t="n">
        <v>1.92472098334064</v>
      </c>
      <c r="K322" s="39" t="n">
        <f aca="false">IF(G322="","",MAX(0,G322-J322/100))</f>
        <v>0.457506805382147</v>
      </c>
      <c r="L322" s="39" t="n">
        <f aca="false">IF(G322="","",MIN(1,G322+J322/100))</f>
        <v>0.49600122504896</v>
      </c>
      <c r="M322" s="21" t="n">
        <f aca="false">ROUND(Q322*S322,0)</f>
        <v>59</v>
      </c>
      <c r="N322" s="21" t="n">
        <f aca="false">ROUND(SQRT((F322*J322/100)^2+(G322*M322)^2),0)</f>
        <v>36</v>
      </c>
      <c r="P322" s="41" t="n">
        <v>-5.92649742006227</v>
      </c>
      <c r="Q322" s="42" t="n">
        <v>1183</v>
      </c>
      <c r="R322" s="43" t="n">
        <f aca="false">MAX(0,MIN(1,P322/100+$D$5))</f>
        <v>0.476491388037176</v>
      </c>
      <c r="S322" s="43" t="n">
        <v>0.0500321312575726</v>
      </c>
      <c r="T322" s="44" t="s">
        <v>99</v>
      </c>
    </row>
    <row r="323" customFormat="false" ht="15" hidden="false" customHeight="false" outlineLevel="0" collapsed="false">
      <c r="A323" s="38" t="s">
        <v>344</v>
      </c>
      <c r="B323" s="38" t="s">
        <v>451</v>
      </c>
      <c r="C323" s="38" t="s">
        <v>454</v>
      </c>
      <c r="D323" s="21" t="n">
        <f aca="false">ROUND(Q323*R323,0)</f>
        <v>333</v>
      </c>
      <c r="E323" s="21" t="n">
        <f aca="false">ROUND(Q323,0)-D323</f>
        <v>423</v>
      </c>
      <c r="F323" s="21" t="n">
        <f aca="false">IF(COUNTA(D323:E323)=0,"",SUM(D323:E323))</f>
        <v>756</v>
      </c>
      <c r="G323" s="39" t="n">
        <f aca="false">IF(OR(F323="",F323=0),"",D323/F323)</f>
        <v>0.44047619047619</v>
      </c>
      <c r="H323" s="39" t="n">
        <f aca="false">IF(OR(F323="",F323=0),"",E323/F323)</f>
        <v>0.55952380952381</v>
      </c>
      <c r="I323" s="38" t="s">
        <v>190</v>
      </c>
      <c r="J323" s="40" t="n">
        <v>2.87480042420966</v>
      </c>
      <c r="K323" s="39" t="n">
        <f aca="false">IF(G323="","",MAX(0,G323-J323/100))</f>
        <v>0.411728186234094</v>
      </c>
      <c r="L323" s="39" t="n">
        <f aca="false">IF(G323="","",MIN(1,G323+J323/100))</f>
        <v>0.469224194718287</v>
      </c>
      <c r="M323" s="21" t="n">
        <f aca="false">ROUND(Q323*S323,0)</f>
        <v>46</v>
      </c>
      <c r="N323" s="21" t="n">
        <f aca="false">ROUND(SQRT((F323*J323/100)^2+(G323*M323)^2),0)</f>
        <v>30</v>
      </c>
      <c r="P323" s="41" t="n">
        <v>-9.61144468014463</v>
      </c>
      <c r="Q323" s="42" t="n">
        <v>756.309895833333</v>
      </c>
      <c r="R323" s="43" t="n">
        <f aca="false">MAX(0,MIN(1,P323/100+$D$5))</f>
        <v>0.439641915436352</v>
      </c>
      <c r="S323" s="43" t="n">
        <v>0.0610405690258335</v>
      </c>
      <c r="T323" s="44" t="s">
        <v>90</v>
      </c>
    </row>
    <row r="324" customFormat="false" ht="15" hidden="false" customHeight="false" outlineLevel="0" collapsed="false">
      <c r="A324" s="38" t="s">
        <v>344</v>
      </c>
      <c r="B324" s="38" t="s">
        <v>451</v>
      </c>
      <c r="C324" s="38" t="s">
        <v>455</v>
      </c>
      <c r="D324" s="21" t="n">
        <f aca="false">ROUND(Q324*R324,0)</f>
        <v>417</v>
      </c>
      <c r="E324" s="21" t="n">
        <f aca="false">ROUND(Q324,0)-D324</f>
        <v>337</v>
      </c>
      <c r="F324" s="21" t="n">
        <f aca="false">IF(COUNTA(D324:E324)=0,"",SUM(D324:E324))</f>
        <v>754</v>
      </c>
      <c r="G324" s="39" t="n">
        <f aca="false">IF(OR(F324="",F324=0),"",D324/F324)</f>
        <v>0.553050397877984</v>
      </c>
      <c r="H324" s="39" t="n">
        <f aca="false">IF(OR(F324="",F324=0),"",E324/F324)</f>
        <v>0.446949602122016</v>
      </c>
      <c r="I324" s="38" t="s">
        <v>89</v>
      </c>
      <c r="J324" s="40" t="n">
        <v>2.87480042420966</v>
      </c>
      <c r="K324" s="39" t="n">
        <f aca="false">IF(G324="","",MAX(0,G324-J324/100))</f>
        <v>0.524302393635888</v>
      </c>
      <c r="L324" s="39" t="n">
        <f aca="false">IF(G324="","",MIN(1,G324+J324/100))</f>
        <v>0.581798402120081</v>
      </c>
      <c r="M324" s="21" t="n">
        <f aca="false">ROUND(Q324*S324,0)</f>
        <v>46</v>
      </c>
      <c r="N324" s="21" t="n">
        <f aca="false">ROUND(SQRT((F324*J324/100)^2+(G324*M324)^2),0)</f>
        <v>33</v>
      </c>
      <c r="P324" s="41" t="n">
        <v>1.68301183758935</v>
      </c>
      <c r="Q324" s="42" t="n">
        <v>754</v>
      </c>
      <c r="R324" s="43" t="n">
        <f aca="false">MAX(0,MIN(1,P324/100+$D$5))</f>
        <v>0.552586480613692</v>
      </c>
      <c r="S324" s="43" t="n">
        <v>0.0610405690258335</v>
      </c>
      <c r="T324" s="44" t="s">
        <v>90</v>
      </c>
    </row>
    <row r="325" customFormat="false" ht="15" hidden="false" customHeight="false" outlineLevel="0" collapsed="false">
      <c r="A325" s="38" t="s">
        <v>344</v>
      </c>
      <c r="B325" s="38" t="s">
        <v>451</v>
      </c>
      <c r="C325" s="38" t="s">
        <v>456</v>
      </c>
      <c r="D325" s="21" t="n">
        <f aca="false">ROUND(Q325*R325,0)</f>
        <v>375</v>
      </c>
      <c r="E325" s="21" t="n">
        <f aca="false">ROUND(Q325,0)-D325</f>
        <v>450</v>
      </c>
      <c r="F325" s="21" t="n">
        <f aca="false">IF(COUNTA(D325:E325)=0,"",SUM(D325:E325))</f>
        <v>825</v>
      </c>
      <c r="G325" s="39" t="n">
        <f aca="false">IF(OR(F325="",F325=0),"",D325/F325)</f>
        <v>0.454545454545455</v>
      </c>
      <c r="H325" s="39" t="n">
        <f aca="false">IF(OR(F325="",F325=0),"",E325/F325)</f>
        <v>0.545454545454545</v>
      </c>
      <c r="I325" s="38" t="s">
        <v>89</v>
      </c>
      <c r="J325" s="40" t="n">
        <v>1.92472098334064</v>
      </c>
      <c r="K325" s="39" t="n">
        <f aca="false">IF(G325="","",MAX(0,G325-J325/100))</f>
        <v>0.435298244712048</v>
      </c>
      <c r="L325" s="39" t="n">
        <f aca="false">IF(G325="","",MIN(1,G325+J325/100))</f>
        <v>0.473792664378861</v>
      </c>
      <c r="M325" s="21" t="n">
        <f aca="false">ROUND(Q325*S325,0)</f>
        <v>41</v>
      </c>
      <c r="N325" s="21" t="n">
        <f aca="false">ROUND(SQRT((F325*J325/100)^2+(G325*M325)^2),0)</f>
        <v>24</v>
      </c>
      <c r="P325" s="41" t="n">
        <v>-8.13444482759967</v>
      </c>
      <c r="Q325" s="42" t="n">
        <v>825</v>
      </c>
      <c r="R325" s="43" t="n">
        <f aca="false">MAX(0,MIN(1,P325/100+$D$5))</f>
        <v>0.454411913961802</v>
      </c>
      <c r="S325" s="43" t="n">
        <v>0.0500321312575726</v>
      </c>
      <c r="T325" s="44" t="s">
        <v>99</v>
      </c>
    </row>
    <row r="326" customFormat="false" ht="15" hidden="false" customHeight="false" outlineLevel="0" collapsed="false">
      <c r="A326" s="38" t="s">
        <v>344</v>
      </c>
      <c r="B326" s="38" t="s">
        <v>451</v>
      </c>
      <c r="C326" s="38" t="s">
        <v>457</v>
      </c>
      <c r="D326" s="21" t="n">
        <f aca="false">ROUND(Q326*R326,0)</f>
        <v>710</v>
      </c>
      <c r="E326" s="21" t="n">
        <f aca="false">ROUND(Q326,0)-D326</f>
        <v>727</v>
      </c>
      <c r="F326" s="21" t="n">
        <f aca="false">IF(COUNTA(D326:E326)=0,"",SUM(D326:E326))</f>
        <v>1437</v>
      </c>
      <c r="G326" s="39" t="n">
        <f aca="false">IF(OR(F326="",F326=0),"",D326/F326)</f>
        <v>0.494084899095338</v>
      </c>
      <c r="H326" s="39" t="n">
        <f aca="false">IF(OR(F326="",F326=0),"",E326/F326)</f>
        <v>0.505915100904663</v>
      </c>
      <c r="I326" s="38" t="s">
        <v>190</v>
      </c>
      <c r="J326" s="40" t="n">
        <v>1.87117215961084</v>
      </c>
      <c r="K326" s="39" t="n">
        <f aca="false">IF(G326="","",MAX(0,G326-J326/100))</f>
        <v>0.475373177499229</v>
      </c>
      <c r="L326" s="39" t="n">
        <f aca="false">IF(G326="","",MIN(1,G326+J326/100))</f>
        <v>0.512796620691446</v>
      </c>
      <c r="M326" s="21" t="n">
        <f aca="false">ROUND(Q326*S326,0)</f>
        <v>187</v>
      </c>
      <c r="N326" s="21" t="n">
        <f aca="false">ROUND(SQRT((F326*J326/100)^2+(G326*M326)^2),0)</f>
        <v>96</v>
      </c>
      <c r="P326" s="41" t="n">
        <v>-4.15703503935749</v>
      </c>
      <c r="Q326" s="42" t="n">
        <v>1436.54780505952</v>
      </c>
      <c r="R326" s="43" t="n">
        <f aca="false">MAX(0,MIN(1,P326/100+$D$5))</f>
        <v>0.494186011844224</v>
      </c>
      <c r="S326" s="43" t="n">
        <v>0.130204099606216</v>
      </c>
      <c r="T326" s="44" t="s">
        <v>192</v>
      </c>
    </row>
    <row r="327" customFormat="false" ht="15" hidden="false" customHeight="false" outlineLevel="0" collapsed="false">
      <c r="A327" s="38" t="s">
        <v>344</v>
      </c>
      <c r="B327" s="38" t="s">
        <v>458</v>
      </c>
      <c r="C327" s="38" t="s">
        <v>459</v>
      </c>
      <c r="D327" s="21" t="n">
        <f aca="false">ROUND(Q327*R327,0)</f>
        <v>359</v>
      </c>
      <c r="E327" s="21" t="n">
        <f aca="false">ROUND(Q327,0)-D327</f>
        <v>578</v>
      </c>
      <c r="F327" s="21" t="n">
        <f aca="false">IF(COUNTA(D327:E327)=0,"",SUM(D327:E327))</f>
        <v>937</v>
      </c>
      <c r="G327" s="39" t="n">
        <f aca="false">IF(OR(F327="",F327=0),"",D327/F327)</f>
        <v>0.383137673425827</v>
      </c>
      <c r="H327" s="39" t="n">
        <f aca="false">IF(OR(F327="",F327=0),"",E327/F327)</f>
        <v>0.616862326574173</v>
      </c>
      <c r="I327" s="38" t="s">
        <v>89</v>
      </c>
      <c r="J327" s="40" t="n">
        <v>1.92472098334064</v>
      </c>
      <c r="K327" s="39" t="n">
        <f aca="false">IF(G327="","",MAX(0,G327-J327/100))</f>
        <v>0.363890463592421</v>
      </c>
      <c r="L327" s="39" t="n">
        <f aca="false">IF(G327="","",MIN(1,G327+J327/100))</f>
        <v>0.402384883259234</v>
      </c>
      <c r="M327" s="21" t="n">
        <f aca="false">ROUND(Q327*S327,0)</f>
        <v>47</v>
      </c>
      <c r="N327" s="21" t="n">
        <f aca="false">ROUND(SQRT((F327*J327/100)^2+(G327*M327)^2),0)</f>
        <v>25</v>
      </c>
      <c r="P327" s="41" t="n">
        <v>-15.2980786255072</v>
      </c>
      <c r="Q327" s="42" t="n">
        <v>937</v>
      </c>
      <c r="R327" s="43" t="n">
        <f aca="false">MAX(0,MIN(1,P327/100+$D$5))</f>
        <v>0.382775575982727</v>
      </c>
      <c r="S327" s="43" t="n">
        <v>0.0500321312575726</v>
      </c>
      <c r="T327" s="44" t="s">
        <v>99</v>
      </c>
    </row>
    <row r="328" customFormat="false" ht="15" hidden="false" customHeight="false" outlineLevel="0" collapsed="false">
      <c r="A328" s="38" t="s">
        <v>344</v>
      </c>
      <c r="B328" s="38" t="s">
        <v>458</v>
      </c>
      <c r="C328" s="38" t="s">
        <v>460</v>
      </c>
      <c r="D328" s="21" t="n">
        <f aca="false">ROUND(Q328*R328,0)</f>
        <v>709</v>
      </c>
      <c r="E328" s="21" t="n">
        <f aca="false">ROUND(Q328,0)-D328</f>
        <v>1130</v>
      </c>
      <c r="F328" s="21" t="n">
        <f aca="false">IF(COUNTA(D328:E328)=0,"",SUM(D328:E328))</f>
        <v>1839</v>
      </c>
      <c r="G328" s="39" t="n">
        <f aca="false">IF(OR(F328="",F328=0),"",D328/F328)</f>
        <v>0.385535617183252</v>
      </c>
      <c r="H328" s="39" t="n">
        <f aca="false">IF(OR(F328="",F328=0),"",E328/F328)</f>
        <v>0.614464382816748</v>
      </c>
      <c r="I328" s="38" t="s">
        <v>89</v>
      </c>
      <c r="J328" s="40" t="n">
        <v>1.87117215961084</v>
      </c>
      <c r="K328" s="39" t="n">
        <f aca="false">IF(G328="","",MAX(0,G328-J328/100))</f>
        <v>0.366823895587143</v>
      </c>
      <c r="L328" s="39" t="n">
        <f aca="false">IF(G328="","",MIN(1,G328+J328/100))</f>
        <v>0.40424733877936</v>
      </c>
      <c r="M328" s="21" t="n">
        <f aca="false">ROUND(Q328*S328,0)</f>
        <v>239</v>
      </c>
      <c r="N328" s="21" t="n">
        <f aca="false">ROUND(SQRT((F328*J328/100)^2+(G328*M328)^2),0)</f>
        <v>98</v>
      </c>
      <c r="P328" s="41" t="n">
        <v>-15.0432515425175</v>
      </c>
      <c r="Q328" s="42" t="n">
        <v>1839</v>
      </c>
      <c r="R328" s="43" t="n">
        <f aca="false">MAX(0,MIN(1,P328/100+$D$5))</f>
        <v>0.385323846812623</v>
      </c>
      <c r="S328" s="43" t="n">
        <v>0.130204099606216</v>
      </c>
      <c r="T328" s="44" t="s">
        <v>192</v>
      </c>
    </row>
    <row r="329" customFormat="false" ht="15" hidden="false" customHeight="false" outlineLevel="0" collapsed="false">
      <c r="A329" s="38" t="s">
        <v>344</v>
      </c>
      <c r="B329" s="38" t="s">
        <v>458</v>
      </c>
      <c r="C329" s="38" t="s">
        <v>461</v>
      </c>
      <c r="D329" s="21" t="n">
        <f aca="false">ROUND(Q329*R329,0)</f>
        <v>486</v>
      </c>
      <c r="E329" s="21" t="n">
        <f aca="false">ROUND(Q329,0)-D329</f>
        <v>861</v>
      </c>
      <c r="F329" s="21" t="n">
        <f aca="false">IF(COUNTA(D329:E329)=0,"",SUM(D329:E329))</f>
        <v>1347</v>
      </c>
      <c r="G329" s="39" t="n">
        <f aca="false">IF(OR(F329="",F329=0),"",D329/F329)</f>
        <v>0.360801781737194</v>
      </c>
      <c r="H329" s="39" t="n">
        <f aca="false">IF(OR(F329="",F329=0),"",E329/F329)</f>
        <v>0.639198218262806</v>
      </c>
      <c r="I329" s="38" t="s">
        <v>89</v>
      </c>
      <c r="J329" s="40" t="n">
        <v>1.87117215961084</v>
      </c>
      <c r="K329" s="39" t="n">
        <f aca="false">IF(G329="","",MAX(0,G329-J329/100))</f>
        <v>0.342090060141085</v>
      </c>
      <c r="L329" s="39" t="n">
        <f aca="false">IF(G329="","",MIN(1,G329+J329/100))</f>
        <v>0.379513503333302</v>
      </c>
      <c r="M329" s="21" t="n">
        <f aca="false">ROUND(Q329*S329,0)</f>
        <v>175</v>
      </c>
      <c r="N329" s="21" t="n">
        <f aca="false">ROUND(SQRT((F329*J329/100)^2+(G329*M329)^2),0)</f>
        <v>68</v>
      </c>
      <c r="P329" s="41" t="n">
        <v>-17.4674515409862</v>
      </c>
      <c r="Q329" s="42" t="n">
        <v>1347</v>
      </c>
      <c r="R329" s="43" t="n">
        <f aca="false">MAX(0,MIN(1,P329/100+$D$5))</f>
        <v>0.361081846827937</v>
      </c>
      <c r="S329" s="43" t="n">
        <v>0.130204099606216</v>
      </c>
      <c r="T329" s="44" t="s">
        <v>192</v>
      </c>
    </row>
    <row r="330" customFormat="false" ht="15" hidden="false" customHeight="false" outlineLevel="0" collapsed="false">
      <c r="A330" s="38" t="s">
        <v>344</v>
      </c>
      <c r="B330" s="38" t="s">
        <v>458</v>
      </c>
      <c r="C330" s="38" t="s">
        <v>462</v>
      </c>
      <c r="D330" s="21" t="n">
        <f aca="false">ROUND(Q330*R330,0)</f>
        <v>233</v>
      </c>
      <c r="E330" s="21" t="n">
        <f aca="false">ROUND(Q330,0)-D330</f>
        <v>396</v>
      </c>
      <c r="F330" s="21" t="n">
        <f aca="false">IF(COUNTA(D330:E330)=0,"",SUM(D330:E330))</f>
        <v>629</v>
      </c>
      <c r="G330" s="39" t="n">
        <f aca="false">IF(OR(F330="",F330=0),"",D330/F330)</f>
        <v>0.370429252782194</v>
      </c>
      <c r="H330" s="39" t="n">
        <f aca="false">IF(OR(F330="",F330=0),"",E330/F330)</f>
        <v>0.629570747217806</v>
      </c>
      <c r="I330" s="38" t="s">
        <v>89</v>
      </c>
      <c r="J330" s="40" t="n">
        <v>2.87480042420966</v>
      </c>
      <c r="K330" s="39" t="n">
        <f aca="false">IF(G330="","",MAX(0,G330-J330/100))</f>
        <v>0.341681248540097</v>
      </c>
      <c r="L330" s="39" t="n">
        <f aca="false">IF(G330="","",MIN(1,G330+J330/100))</f>
        <v>0.399177257024291</v>
      </c>
      <c r="M330" s="21" t="n">
        <f aca="false">ROUND(Q330*S330,0)</f>
        <v>38</v>
      </c>
      <c r="N330" s="21" t="n">
        <f aca="false">ROUND(SQRT((F330*J330/100)^2+(G330*M330)^2),0)</f>
        <v>23</v>
      </c>
      <c r="P330" s="41" t="n">
        <v>-16.5155245706091</v>
      </c>
      <c r="Q330" s="42" t="n">
        <v>629</v>
      </c>
      <c r="R330" s="43" t="n">
        <f aca="false">MAX(0,MIN(1,P330/100+$D$5))</f>
        <v>0.370601116531707</v>
      </c>
      <c r="S330" s="43" t="n">
        <v>0.0610405690258335</v>
      </c>
      <c r="T330" s="44" t="s">
        <v>90</v>
      </c>
    </row>
    <row r="331" customFormat="false" ht="15" hidden="false" customHeight="false" outlineLevel="0" collapsed="false">
      <c r="A331" s="38" t="s">
        <v>344</v>
      </c>
      <c r="B331" s="38" t="s">
        <v>463</v>
      </c>
      <c r="C331" s="38" t="s">
        <v>464</v>
      </c>
      <c r="D331" s="21" t="n">
        <f aca="false">ROUND(Q331*R331,0)</f>
        <v>513</v>
      </c>
      <c r="E331" s="21" t="n">
        <f aca="false">ROUND(Q331,0)-D331</f>
        <v>440</v>
      </c>
      <c r="F331" s="21" t="n">
        <f aca="false">IF(COUNTA(D331:E331)=0,"",SUM(D331:E331))</f>
        <v>953</v>
      </c>
      <c r="G331" s="39" t="n">
        <f aca="false">IF(OR(F331="",F331=0),"",D331/F331)</f>
        <v>0.538300104931794</v>
      </c>
      <c r="H331" s="39" t="n">
        <f aca="false">IF(OR(F331="",F331=0),"",E331/F331)</f>
        <v>0.461699895068206</v>
      </c>
      <c r="I331" s="38" t="s">
        <v>89</v>
      </c>
      <c r="J331" s="40" t="n">
        <v>1.92472098334064</v>
      </c>
      <c r="K331" s="39" t="n">
        <f aca="false">IF(G331="","",MAX(0,G331-J331/100))</f>
        <v>0.519052895098388</v>
      </c>
      <c r="L331" s="39" t="n">
        <f aca="false">IF(G331="","",MIN(1,G331+J331/100))</f>
        <v>0.557547314765201</v>
      </c>
      <c r="M331" s="21" t="n">
        <f aca="false">ROUND(Q331*S331,0)</f>
        <v>48</v>
      </c>
      <c r="N331" s="21" t="n">
        <f aca="false">ROUND(SQRT((F331*J331/100)^2+(G331*M331)^2),0)</f>
        <v>32</v>
      </c>
      <c r="P331" s="41" t="n">
        <v>0.219139232979906</v>
      </c>
      <c r="Q331" s="42" t="n">
        <v>953</v>
      </c>
      <c r="R331" s="43" t="n">
        <f aca="false">MAX(0,MIN(1,P331/100+$D$5))</f>
        <v>0.537947754567598</v>
      </c>
      <c r="S331" s="43" t="n">
        <v>0.0500321312575726</v>
      </c>
      <c r="T331" s="44" t="s">
        <v>99</v>
      </c>
    </row>
    <row r="332" customFormat="false" ht="15" hidden="false" customHeight="false" outlineLevel="0" collapsed="false">
      <c r="A332" s="38" t="s">
        <v>344</v>
      </c>
      <c r="B332" s="38" t="s">
        <v>463</v>
      </c>
      <c r="C332" s="38" t="s">
        <v>465</v>
      </c>
      <c r="D332" s="21" t="n">
        <f aca="false">ROUND(Q332*R332,0)</f>
        <v>431</v>
      </c>
      <c r="E332" s="21" t="n">
        <f aca="false">ROUND(Q332,0)-D332</f>
        <v>347</v>
      </c>
      <c r="F332" s="21" t="n">
        <f aca="false">IF(COUNTA(D332:E332)=0,"",SUM(D332:E332))</f>
        <v>778</v>
      </c>
      <c r="G332" s="39" t="n">
        <f aca="false">IF(OR(F332="",F332=0),"",D332/F332)</f>
        <v>0.553984575835476</v>
      </c>
      <c r="H332" s="39" t="n">
        <f aca="false">IF(OR(F332="",F332=0),"",E332/F332)</f>
        <v>0.446015424164524</v>
      </c>
      <c r="I332" s="38" t="s">
        <v>89</v>
      </c>
      <c r="J332" s="40" t="n">
        <v>1.92472098334064</v>
      </c>
      <c r="K332" s="39" t="n">
        <f aca="false">IF(G332="","",MAX(0,G332-J332/100))</f>
        <v>0.534737366002069</v>
      </c>
      <c r="L332" s="39" t="n">
        <f aca="false">IF(G332="","",MIN(1,G332+J332/100))</f>
        <v>0.573231785668882</v>
      </c>
      <c r="M332" s="21" t="n">
        <f aca="false">ROUND(Q332*S332,0)</f>
        <v>39</v>
      </c>
      <c r="N332" s="21" t="n">
        <f aca="false">ROUND(SQRT((F332*J332/100)^2+(G332*M332)^2),0)</f>
        <v>26</v>
      </c>
      <c r="P332" s="41" t="n">
        <v>1.77775752624774</v>
      </c>
      <c r="Q332" s="42" t="n">
        <v>778</v>
      </c>
      <c r="R332" s="43" t="n">
        <f aca="false">MAX(0,MIN(1,P332/100+$D$5))</f>
        <v>0.553533937500276</v>
      </c>
      <c r="S332" s="43" t="n">
        <v>0.0500321312575726</v>
      </c>
      <c r="T332" s="44" t="s">
        <v>99</v>
      </c>
    </row>
    <row r="333" customFormat="false" ht="15" hidden="false" customHeight="false" outlineLevel="0" collapsed="false">
      <c r="A333" s="38" t="s">
        <v>344</v>
      </c>
      <c r="B333" s="38" t="s">
        <v>463</v>
      </c>
      <c r="C333" s="38" t="s">
        <v>466</v>
      </c>
      <c r="D333" s="21" t="n">
        <f aca="false">ROUND(Q333*R333,0)</f>
        <v>390</v>
      </c>
      <c r="E333" s="21" t="n">
        <f aca="false">ROUND(Q333,0)-D333</f>
        <v>339</v>
      </c>
      <c r="F333" s="21" t="n">
        <f aca="false">IF(COUNTA(D333:E333)=0,"",SUM(D333:E333))</f>
        <v>729</v>
      </c>
      <c r="G333" s="39" t="n">
        <f aca="false">IF(OR(F333="",F333=0),"",D333/F333)</f>
        <v>0.534979423868313</v>
      </c>
      <c r="H333" s="39" t="n">
        <f aca="false">IF(OR(F333="",F333=0),"",E333/F333)</f>
        <v>0.465020576131687</v>
      </c>
      <c r="I333" s="38" t="s">
        <v>89</v>
      </c>
      <c r="J333" s="40" t="n">
        <v>2.87480042420966</v>
      </c>
      <c r="K333" s="39" t="n">
        <f aca="false">IF(G333="","",MAX(0,G333-J333/100))</f>
        <v>0.506231419626216</v>
      </c>
      <c r="L333" s="39" t="n">
        <f aca="false">IF(G333="","",MIN(1,G333+J333/100))</f>
        <v>0.563727428110409</v>
      </c>
      <c r="M333" s="21" t="n">
        <f aca="false">ROUND(Q333*S333,0)</f>
        <v>44</v>
      </c>
      <c r="N333" s="21" t="n">
        <f aca="false">ROUND(SQRT((F333*J333/100)^2+(G333*M333)^2),0)</f>
        <v>32</v>
      </c>
      <c r="P333" s="41" t="n">
        <v>-0.0421399081857693</v>
      </c>
      <c r="Q333" s="42" t="n">
        <v>729</v>
      </c>
      <c r="R333" s="43" t="n">
        <f aca="false">MAX(0,MIN(1,P333/100+$D$5))</f>
        <v>0.535334963155941</v>
      </c>
      <c r="S333" s="43" t="n">
        <v>0.0610405690258335</v>
      </c>
      <c r="T333" s="44" t="s">
        <v>90</v>
      </c>
    </row>
    <row r="334" customFormat="false" ht="15" hidden="false" customHeight="false" outlineLevel="0" collapsed="false">
      <c r="A334" s="38" t="s">
        <v>344</v>
      </c>
      <c r="B334" s="38" t="s">
        <v>467</v>
      </c>
      <c r="C334" s="38" t="s">
        <v>468</v>
      </c>
      <c r="D334" s="21" t="n">
        <f aca="false">ROUND(Q334*R334,0)</f>
        <v>187</v>
      </c>
      <c r="E334" s="21" t="n">
        <f aca="false">ROUND(Q334,0)-D334</f>
        <v>175</v>
      </c>
      <c r="F334" s="21" t="n">
        <f aca="false">IF(COUNTA(D334:E334)=0,"",SUM(D334:E334))</f>
        <v>362</v>
      </c>
      <c r="G334" s="39" t="n">
        <f aca="false">IF(OR(F334="",F334=0),"",D334/F334)</f>
        <v>0.516574585635359</v>
      </c>
      <c r="H334" s="39" t="n">
        <f aca="false">IF(OR(F334="",F334=0),"",E334/F334)</f>
        <v>0.483425414364641</v>
      </c>
      <c r="I334" s="38" t="s">
        <v>89</v>
      </c>
      <c r="J334" s="40" t="n">
        <v>2.87480042420966</v>
      </c>
      <c r="K334" s="39" t="n">
        <f aca="false">IF(G334="","",MAX(0,G334-J334/100))</f>
        <v>0.487826581393262</v>
      </c>
      <c r="L334" s="39" t="n">
        <f aca="false">IF(G334="","",MIN(1,G334+J334/100))</f>
        <v>0.545322589877456</v>
      </c>
      <c r="M334" s="21" t="n">
        <f aca="false">ROUND(Q334*S334,0)</f>
        <v>22</v>
      </c>
      <c r="N334" s="21" t="n">
        <f aca="false">ROUND(SQRT((F334*J334/100)^2+(G334*M334)^2),0)</f>
        <v>15</v>
      </c>
      <c r="P334" s="41" t="n">
        <v>-1.83324494916978</v>
      </c>
      <c r="Q334" s="42" t="n">
        <v>362</v>
      </c>
      <c r="R334" s="43" t="n">
        <f aca="false">MAX(0,MIN(1,P334/100+$D$5))</f>
        <v>0.517423912746101</v>
      </c>
      <c r="S334" s="43" t="n">
        <v>0.0610405690258335</v>
      </c>
      <c r="T334" s="44" t="s">
        <v>90</v>
      </c>
    </row>
    <row r="335" customFormat="false" ht="15" hidden="false" customHeight="false" outlineLevel="0" collapsed="false">
      <c r="A335" s="38" t="s">
        <v>344</v>
      </c>
      <c r="B335" s="38" t="s">
        <v>467</v>
      </c>
      <c r="C335" s="38" t="s">
        <v>469</v>
      </c>
      <c r="D335" s="21" t="n">
        <f aca="false">ROUND(Q335*R335,0)</f>
        <v>503</v>
      </c>
      <c r="E335" s="21" t="n">
        <f aca="false">ROUND(Q335,0)-D335</f>
        <v>413</v>
      </c>
      <c r="F335" s="21" t="n">
        <f aca="false">IF(COUNTA(D335:E335)=0,"",SUM(D335:E335))</f>
        <v>916</v>
      </c>
      <c r="G335" s="39" t="n">
        <f aca="false">IF(OR(F335="",F335=0),"",D335/F335)</f>
        <v>0.549126637554585</v>
      </c>
      <c r="H335" s="39" t="n">
        <f aca="false">IF(OR(F335="",F335=0),"",E335/F335)</f>
        <v>0.450873362445415</v>
      </c>
      <c r="I335" s="38" t="s">
        <v>89</v>
      </c>
      <c r="J335" s="40" t="n">
        <v>1.92472098334064</v>
      </c>
      <c r="K335" s="39" t="n">
        <f aca="false">IF(G335="","",MAX(0,G335-J335/100))</f>
        <v>0.529879427721179</v>
      </c>
      <c r="L335" s="39" t="n">
        <f aca="false">IF(G335="","",MIN(1,G335+J335/100))</f>
        <v>0.568373847387992</v>
      </c>
      <c r="M335" s="21" t="n">
        <f aca="false">ROUND(Q335*S335,0)</f>
        <v>46</v>
      </c>
      <c r="N335" s="21" t="n">
        <f aca="false">ROUND(SQRT((F335*J335/100)^2+(G335*M335)^2),0)</f>
        <v>31</v>
      </c>
      <c r="P335" s="41" t="n">
        <v>1.34935456291215</v>
      </c>
      <c r="Q335" s="42" t="n">
        <v>916</v>
      </c>
      <c r="R335" s="43" t="n">
        <f aca="false">MAX(0,MIN(1,P335/100+$D$5))</f>
        <v>0.54924990786692</v>
      </c>
      <c r="S335" s="43" t="n">
        <v>0.0500321312575726</v>
      </c>
      <c r="T335" s="44" t="s">
        <v>99</v>
      </c>
    </row>
    <row r="336" customFormat="false" ht="15" hidden="false" customHeight="false" outlineLevel="0" collapsed="false">
      <c r="A336" s="38" t="s">
        <v>344</v>
      </c>
      <c r="B336" s="38" t="s">
        <v>470</v>
      </c>
      <c r="C336" s="38" t="s">
        <v>471</v>
      </c>
      <c r="D336" s="21" t="n">
        <f aca="false">ROUND(Q336*R336,0)</f>
        <v>504</v>
      </c>
      <c r="E336" s="21" t="n">
        <f aca="false">ROUND(Q336,0)-D336</f>
        <v>451</v>
      </c>
      <c r="F336" s="21" t="n">
        <f aca="false">IF(COUNTA(D336:E336)=0,"",SUM(D336:E336))</f>
        <v>955</v>
      </c>
      <c r="G336" s="39" t="n">
        <f aca="false">IF(OR(F336="",F336=0),"",D336/F336)</f>
        <v>0.527748691099476</v>
      </c>
      <c r="H336" s="39" t="n">
        <f aca="false">IF(OR(F336="",F336=0),"",E336/F336)</f>
        <v>0.472251308900524</v>
      </c>
      <c r="I336" s="38" t="s">
        <v>89</v>
      </c>
      <c r="J336" s="40" t="n">
        <v>1.92472098334064</v>
      </c>
      <c r="K336" s="39" t="n">
        <f aca="false">IF(G336="","",MAX(0,G336-J336/100))</f>
        <v>0.50850148126607</v>
      </c>
      <c r="L336" s="39" t="n">
        <f aca="false">IF(G336="","",MIN(1,G336+J336/100))</f>
        <v>0.546995900932883</v>
      </c>
      <c r="M336" s="21" t="n">
        <f aca="false">ROUND(Q336*S336,0)</f>
        <v>48</v>
      </c>
      <c r="N336" s="21" t="n">
        <f aca="false">ROUND(SQRT((F336*J336/100)^2+(G336*M336)^2),0)</f>
        <v>31</v>
      </c>
      <c r="P336" s="41" t="n">
        <v>-0.782548953112303</v>
      </c>
      <c r="Q336" s="42" t="n">
        <v>955</v>
      </c>
      <c r="R336" s="43" t="n">
        <f aca="false">MAX(0,MIN(1,P336/100+$D$5))</f>
        <v>0.527930872706676</v>
      </c>
      <c r="S336" s="43" t="n">
        <v>0.0500321312575726</v>
      </c>
      <c r="T336" s="44" t="s">
        <v>99</v>
      </c>
    </row>
    <row r="337" customFormat="false" ht="15" hidden="false" customHeight="false" outlineLevel="0" collapsed="false">
      <c r="A337" s="38" t="s">
        <v>344</v>
      </c>
      <c r="B337" s="38" t="s">
        <v>470</v>
      </c>
      <c r="C337" s="38" t="s">
        <v>472</v>
      </c>
      <c r="D337" s="21" t="n">
        <f aca="false">ROUND(Q337*R337,0)</f>
        <v>453</v>
      </c>
      <c r="E337" s="21" t="n">
        <f aca="false">ROUND(Q337,0)-D337</f>
        <v>381</v>
      </c>
      <c r="F337" s="21" t="n">
        <f aca="false">IF(COUNTA(D337:E337)=0,"",SUM(D337:E337))</f>
        <v>834</v>
      </c>
      <c r="G337" s="39" t="n">
        <f aca="false">IF(OR(F337="",F337=0),"",D337/F337)</f>
        <v>0.543165467625899</v>
      </c>
      <c r="H337" s="39" t="n">
        <f aca="false">IF(OR(F337="",F337=0),"",E337/F337)</f>
        <v>0.456834532374101</v>
      </c>
      <c r="I337" s="38" t="s">
        <v>89</v>
      </c>
      <c r="J337" s="40" t="n">
        <v>1.92472098334064</v>
      </c>
      <c r="K337" s="39" t="n">
        <f aca="false">IF(G337="","",MAX(0,G337-J337/100))</f>
        <v>0.523918257792493</v>
      </c>
      <c r="L337" s="39" t="n">
        <f aca="false">IF(G337="","",MIN(1,G337+J337/100))</f>
        <v>0.562412677459306</v>
      </c>
      <c r="M337" s="21" t="n">
        <f aca="false">ROUND(Q337*S337,0)</f>
        <v>42</v>
      </c>
      <c r="N337" s="21" t="n">
        <f aca="false">ROUND(SQRT((F337*J337/100)^2+(G337*M337)^2),0)</f>
        <v>28</v>
      </c>
      <c r="P337" s="41" t="n">
        <v>0.797808438259507</v>
      </c>
      <c r="Q337" s="42" t="n">
        <v>834</v>
      </c>
      <c r="R337" s="43" t="n">
        <f aca="false">MAX(0,MIN(1,P337/100+$D$5))</f>
        <v>0.543734446620394</v>
      </c>
      <c r="S337" s="43" t="n">
        <v>0.0500321312575726</v>
      </c>
      <c r="T337" s="44" t="s">
        <v>99</v>
      </c>
    </row>
    <row r="338" customFormat="false" ht="15" hidden="false" customHeight="false" outlineLevel="0" collapsed="false">
      <c r="A338" s="38" t="s">
        <v>344</v>
      </c>
      <c r="B338" s="38" t="s">
        <v>470</v>
      </c>
      <c r="C338" s="38" t="s">
        <v>473</v>
      </c>
      <c r="D338" s="21" t="n">
        <f aca="false">ROUND(Q338*R338,0)</f>
        <v>927</v>
      </c>
      <c r="E338" s="21" t="n">
        <f aca="false">ROUND(Q338,0)-D338</f>
        <v>833</v>
      </c>
      <c r="F338" s="21" t="n">
        <f aca="false">IF(COUNTA(D338:E338)=0,"",SUM(D338:E338))</f>
        <v>1760</v>
      </c>
      <c r="G338" s="39" t="n">
        <f aca="false">IF(OR(F338="",F338=0),"",D338/F338)</f>
        <v>0.526704545454546</v>
      </c>
      <c r="H338" s="39" t="n">
        <f aca="false">IF(OR(F338="",F338=0),"",E338/F338)</f>
        <v>0.473295454545455</v>
      </c>
      <c r="I338" s="38" t="s">
        <v>89</v>
      </c>
      <c r="J338" s="40" t="n">
        <v>1.87117215961084</v>
      </c>
      <c r="K338" s="39" t="n">
        <f aca="false">IF(G338="","",MAX(0,G338-J338/100))</f>
        <v>0.507992823858437</v>
      </c>
      <c r="L338" s="39" t="n">
        <f aca="false">IF(G338="","",MIN(1,G338+J338/100))</f>
        <v>0.545416267050654</v>
      </c>
      <c r="M338" s="21" t="n">
        <f aca="false">ROUND(Q338*S338,0)</f>
        <v>229</v>
      </c>
      <c r="N338" s="21" t="n">
        <f aca="false">ROUND(SQRT((F338*J338/100)^2+(G338*M338)^2),0)</f>
        <v>125</v>
      </c>
      <c r="P338" s="41" t="n">
        <v>-0.89702732460598</v>
      </c>
      <c r="Q338" s="42" t="n">
        <v>1760</v>
      </c>
      <c r="R338" s="43" t="n">
        <f aca="false">MAX(0,MIN(1,P338/100+$D$5))</f>
        <v>0.526786088991739</v>
      </c>
      <c r="S338" s="43" t="n">
        <v>0.130204099606216</v>
      </c>
      <c r="T338" s="44" t="s">
        <v>192</v>
      </c>
    </row>
    <row r="339" customFormat="false" ht="15" hidden="false" customHeight="false" outlineLevel="0" collapsed="false">
      <c r="A339" s="38" t="s">
        <v>344</v>
      </c>
      <c r="B339" s="38" t="s">
        <v>470</v>
      </c>
      <c r="C339" s="38" t="s">
        <v>474</v>
      </c>
      <c r="D339" s="21" t="n">
        <f aca="false">ROUND(Q339*R339,0)</f>
        <v>193</v>
      </c>
      <c r="E339" s="21" t="n">
        <f aca="false">ROUND(Q339,0)-D339</f>
        <v>185</v>
      </c>
      <c r="F339" s="21" t="n">
        <f aca="false">IF(COUNTA(D339:E339)=0,"",SUM(D339:E339))</f>
        <v>378</v>
      </c>
      <c r="G339" s="39" t="n">
        <f aca="false">IF(OR(F339="",F339=0),"",D339/F339)</f>
        <v>0.510582010582011</v>
      </c>
      <c r="H339" s="39" t="n">
        <f aca="false">IF(OR(F339="",F339=0),"",E339/F339)</f>
        <v>0.489417989417989</v>
      </c>
      <c r="I339" s="38" t="s">
        <v>89</v>
      </c>
      <c r="J339" s="40" t="n">
        <v>2.87480042420966</v>
      </c>
      <c r="K339" s="39" t="n">
        <f aca="false">IF(G339="","",MAX(0,G339-J339/100))</f>
        <v>0.481834006339914</v>
      </c>
      <c r="L339" s="39" t="n">
        <f aca="false">IF(G339="","",MIN(1,G339+J339/100))</f>
        <v>0.539330014824107</v>
      </c>
      <c r="M339" s="21" t="n">
        <f aca="false">ROUND(Q339*S339,0)</f>
        <v>23</v>
      </c>
      <c r="N339" s="21" t="n">
        <f aca="false">ROUND(SQRT((F339*J339/100)^2+(G339*M339)^2),0)</f>
        <v>16</v>
      </c>
      <c r="P339" s="41" t="n">
        <v>-2.64396904650007</v>
      </c>
      <c r="Q339" s="42" t="n">
        <v>378</v>
      </c>
      <c r="R339" s="43" t="n">
        <f aca="false">MAX(0,MIN(1,P339/100+$D$5))</f>
        <v>0.509316671772798</v>
      </c>
      <c r="S339" s="43" t="n">
        <v>0.0610405690258335</v>
      </c>
      <c r="T339" s="44" t="s">
        <v>90</v>
      </c>
    </row>
    <row r="340" customFormat="false" ht="15" hidden="false" customHeight="false" outlineLevel="0" collapsed="false">
      <c r="A340" s="38" t="s">
        <v>344</v>
      </c>
      <c r="B340" s="38" t="s">
        <v>475</v>
      </c>
      <c r="C340" s="38" t="s">
        <v>476</v>
      </c>
      <c r="D340" s="21" t="n">
        <f aca="false">ROUND(Q340*R340,0)</f>
        <v>535</v>
      </c>
      <c r="E340" s="21" t="n">
        <f aca="false">ROUND(Q340,0)-D340</f>
        <v>467</v>
      </c>
      <c r="F340" s="21" t="n">
        <f aca="false">IF(COUNTA(D340:E340)=0,"",SUM(D340:E340))</f>
        <v>1002</v>
      </c>
      <c r="G340" s="39" t="n">
        <f aca="false">IF(OR(F340="",F340=0),"",D340/F340)</f>
        <v>0.533932135728543</v>
      </c>
      <c r="H340" s="39" t="n">
        <f aca="false">IF(OR(F340="",F340=0),"",E340/F340)</f>
        <v>0.466067864271457</v>
      </c>
      <c r="I340" s="38" t="s">
        <v>89</v>
      </c>
      <c r="J340" s="40" t="n">
        <v>1.92472098334064</v>
      </c>
      <c r="K340" s="39" t="n">
        <f aca="false">IF(G340="","",MAX(0,G340-J340/100))</f>
        <v>0.514684925895137</v>
      </c>
      <c r="L340" s="39" t="n">
        <f aca="false">IF(G340="","",MIN(1,G340+J340/100))</f>
        <v>0.553179345561949</v>
      </c>
      <c r="M340" s="21" t="n">
        <f aca="false">ROUND(Q340*S340,0)</f>
        <v>50</v>
      </c>
      <c r="N340" s="21" t="n">
        <f aca="false">ROUND(SQRT((F340*J340/100)^2+(G340*M340)^2),0)</f>
        <v>33</v>
      </c>
      <c r="P340" s="41" t="n">
        <v>-0.147442249065581</v>
      </c>
      <c r="Q340" s="42" t="n">
        <v>1002</v>
      </c>
      <c r="R340" s="43" t="n">
        <f aca="false">MAX(0,MIN(1,P340/100+$D$5))</f>
        <v>0.534281939747143</v>
      </c>
      <c r="S340" s="43" t="n">
        <v>0.0500321312575726</v>
      </c>
      <c r="T340" s="44" t="s">
        <v>99</v>
      </c>
    </row>
    <row r="341" customFormat="false" ht="15" hidden="false" customHeight="false" outlineLevel="0" collapsed="false">
      <c r="A341" s="38" t="s">
        <v>344</v>
      </c>
      <c r="B341" s="38" t="s">
        <v>475</v>
      </c>
      <c r="C341" s="38" t="s">
        <v>477</v>
      </c>
      <c r="D341" s="21" t="n">
        <f aca="false">ROUND(Q341*R341,0)</f>
        <v>384</v>
      </c>
      <c r="E341" s="21" t="n">
        <f aca="false">ROUND(Q341,0)-D341</f>
        <v>320</v>
      </c>
      <c r="F341" s="21" t="n">
        <f aca="false">IF(COUNTA(D341:E341)=0,"",SUM(D341:E341))</f>
        <v>704</v>
      </c>
      <c r="G341" s="39" t="n">
        <f aca="false">IF(OR(F341="",F341=0),"",D341/F341)</f>
        <v>0.545454545454545</v>
      </c>
      <c r="H341" s="39" t="n">
        <f aca="false">IF(OR(F341="",F341=0),"",E341/F341)</f>
        <v>0.454545454545455</v>
      </c>
      <c r="I341" s="38" t="s">
        <v>190</v>
      </c>
      <c r="J341" s="40" t="n">
        <v>2.87480042420966</v>
      </c>
      <c r="K341" s="39" t="n">
        <f aca="false">IF(G341="","",MAX(0,G341-J341/100))</f>
        <v>0.516706541212449</v>
      </c>
      <c r="L341" s="39" t="n">
        <f aca="false">IF(G341="","",MIN(1,G341+J341/100))</f>
        <v>0.574202549696642</v>
      </c>
      <c r="M341" s="21" t="n">
        <f aca="false">ROUND(Q341*S341,0)</f>
        <v>43</v>
      </c>
      <c r="N341" s="21" t="n">
        <f aca="false">ROUND(SQRT((F341*J341/100)^2+(G341*M341)^2),0)</f>
        <v>31</v>
      </c>
      <c r="P341" s="41" t="n">
        <v>0.969113847234698</v>
      </c>
      <c r="Q341" s="42" t="n">
        <v>704.413282971357</v>
      </c>
      <c r="R341" s="43" t="n">
        <f aca="false">MAX(0,MIN(1,P341/100+$D$5))</f>
        <v>0.545447500710146</v>
      </c>
      <c r="S341" s="43" t="n">
        <v>0.0610405690258335</v>
      </c>
      <c r="T341" s="44" t="s">
        <v>90</v>
      </c>
    </row>
    <row r="342" customFormat="false" ht="15" hidden="false" customHeight="false" outlineLevel="0" collapsed="false">
      <c r="A342" s="38" t="s">
        <v>344</v>
      </c>
      <c r="B342" s="38" t="s">
        <v>475</v>
      </c>
      <c r="C342" s="38" t="s">
        <v>478</v>
      </c>
      <c r="D342" s="21" t="n">
        <f aca="false">ROUND(Q342*R342,0)</f>
        <v>606</v>
      </c>
      <c r="E342" s="21" t="n">
        <f aca="false">ROUND(Q342,0)-D342</f>
        <v>536</v>
      </c>
      <c r="F342" s="21" t="n">
        <f aca="false">IF(COUNTA(D342:E342)=0,"",SUM(D342:E342))</f>
        <v>1142</v>
      </c>
      <c r="G342" s="39" t="n">
        <f aca="false">IF(OR(F342="",F342=0),"",D342/F342)</f>
        <v>0.530647985989492</v>
      </c>
      <c r="H342" s="39" t="n">
        <f aca="false">IF(OR(F342="",F342=0),"",E342/F342)</f>
        <v>0.469352014010508</v>
      </c>
      <c r="I342" s="38" t="s">
        <v>190</v>
      </c>
      <c r="J342" s="40" t="n">
        <v>1.92472098334064</v>
      </c>
      <c r="K342" s="39" t="n">
        <f aca="false">IF(G342="","",MAX(0,G342-J342/100))</f>
        <v>0.511400776156086</v>
      </c>
      <c r="L342" s="39" t="n">
        <f aca="false">IF(G342="","",MIN(1,G342+J342/100))</f>
        <v>0.549895195822899</v>
      </c>
      <c r="M342" s="21" t="n">
        <f aca="false">ROUND(Q342*S342,0)</f>
        <v>57</v>
      </c>
      <c r="N342" s="21" t="n">
        <f aca="false">ROUND(SQRT((F342*J342/100)^2+(G342*M342)^2),0)</f>
        <v>37</v>
      </c>
      <c r="P342" s="41" t="n">
        <v>-0.467164662562038</v>
      </c>
      <c r="Q342" s="42" t="n">
        <v>1141.56069667401</v>
      </c>
      <c r="R342" s="43" t="n">
        <f aca="false">MAX(0,MIN(1,P342/100+$D$5))</f>
        <v>0.531084715612178</v>
      </c>
      <c r="S342" s="43" t="n">
        <v>0.0500321312575726</v>
      </c>
      <c r="T342" s="44" t="s">
        <v>99</v>
      </c>
    </row>
    <row r="343" customFormat="false" ht="15" hidden="false" customHeight="false" outlineLevel="0" collapsed="false">
      <c r="A343" s="38" t="s">
        <v>344</v>
      </c>
      <c r="B343" s="38" t="s">
        <v>475</v>
      </c>
      <c r="C343" s="38" t="s">
        <v>479</v>
      </c>
      <c r="D343" s="21" t="n">
        <f aca="false">ROUND(Q343*R343,0)</f>
        <v>656</v>
      </c>
      <c r="E343" s="21" t="n">
        <f aca="false">ROUND(Q343,0)-D343</f>
        <v>501</v>
      </c>
      <c r="F343" s="21" t="n">
        <f aca="false">IF(COUNTA(D343:E343)=0,"",SUM(D343:E343))</f>
        <v>1157</v>
      </c>
      <c r="G343" s="39" t="n">
        <f aca="false">IF(OR(F343="",F343=0),"",D343/F343)</f>
        <v>0.566983578219533</v>
      </c>
      <c r="H343" s="39" t="n">
        <f aca="false">IF(OR(F343="",F343=0),"",E343/F343)</f>
        <v>0.433016421780467</v>
      </c>
      <c r="I343" s="38" t="s">
        <v>89</v>
      </c>
      <c r="J343" s="40" t="n">
        <v>1.92472098334064</v>
      </c>
      <c r="K343" s="39" t="n">
        <f aca="false">IF(G343="","",MAX(0,G343-J343/100))</f>
        <v>0.547736368386127</v>
      </c>
      <c r="L343" s="39" t="n">
        <f aca="false">IF(G343="","",MIN(1,G343+J343/100))</f>
        <v>0.58623078805294</v>
      </c>
      <c r="M343" s="21" t="n">
        <f aca="false">ROUND(Q343*S343,0)</f>
        <v>58</v>
      </c>
      <c r="N343" s="21" t="n">
        <f aca="false">ROUND(SQRT((F343*J343/100)^2+(G343*M343)^2),0)</f>
        <v>40</v>
      </c>
      <c r="P343" s="41" t="n">
        <v>3.13558692280916</v>
      </c>
      <c r="Q343" s="42" t="n">
        <v>1157</v>
      </c>
      <c r="R343" s="43" t="n">
        <f aca="false">MAX(0,MIN(1,P343/100+$D$5))</f>
        <v>0.56711223146589</v>
      </c>
      <c r="S343" s="43" t="n">
        <v>0.0500321312575726</v>
      </c>
      <c r="T343" s="44" t="s">
        <v>99</v>
      </c>
    </row>
    <row r="344" customFormat="false" ht="15" hidden="false" customHeight="false" outlineLevel="0" collapsed="false">
      <c r="A344" s="38" t="s">
        <v>344</v>
      </c>
      <c r="B344" s="38" t="s">
        <v>475</v>
      </c>
      <c r="C344" s="38" t="s">
        <v>480</v>
      </c>
      <c r="D344" s="21" t="n">
        <f aca="false">ROUND(Q344*R344,0)</f>
        <v>984</v>
      </c>
      <c r="E344" s="21" t="n">
        <f aca="false">ROUND(Q344,0)-D344</f>
        <v>846</v>
      </c>
      <c r="F344" s="21" t="n">
        <f aca="false">IF(COUNTA(D344:E344)=0,"",SUM(D344:E344))</f>
        <v>1830</v>
      </c>
      <c r="G344" s="39" t="n">
        <f aca="false">IF(OR(F344="",F344=0),"",D344/F344)</f>
        <v>0.537704918032787</v>
      </c>
      <c r="H344" s="39" t="n">
        <f aca="false">IF(OR(F344="",F344=0),"",E344/F344)</f>
        <v>0.462295081967213</v>
      </c>
      <c r="I344" s="38" t="s">
        <v>89</v>
      </c>
      <c r="J344" s="40" t="n">
        <v>1.87117215961084</v>
      </c>
      <c r="K344" s="39" t="n">
        <f aca="false">IF(G344="","",MAX(0,G344-J344/100))</f>
        <v>0.518993196436678</v>
      </c>
      <c r="L344" s="39" t="n">
        <f aca="false">IF(G344="","",MIN(1,G344+J344/100))</f>
        <v>0.556416639628895</v>
      </c>
      <c r="M344" s="21" t="n">
        <f aca="false">ROUND(Q344*S344,0)</f>
        <v>238</v>
      </c>
      <c r="N344" s="21" t="n">
        <f aca="false">ROUND(SQRT((F344*J344/100)^2+(G344*M344)^2),0)</f>
        <v>132</v>
      </c>
      <c r="P344" s="41" t="n">
        <v>0.181947926551772</v>
      </c>
      <c r="Q344" s="42" t="n">
        <v>1830</v>
      </c>
      <c r="R344" s="43" t="n">
        <f aca="false">MAX(0,MIN(1,P344/100+$D$5))</f>
        <v>0.537575841503317</v>
      </c>
      <c r="S344" s="43" t="n">
        <v>0.130204099606216</v>
      </c>
      <c r="T344" s="44" t="s">
        <v>192</v>
      </c>
    </row>
    <row r="345" customFormat="false" ht="15" hidden="false" customHeight="false" outlineLevel="0" collapsed="false">
      <c r="A345" s="38" t="s">
        <v>344</v>
      </c>
      <c r="B345" s="38" t="s">
        <v>475</v>
      </c>
      <c r="C345" s="38" t="s">
        <v>481</v>
      </c>
      <c r="D345" s="21" t="n">
        <f aca="false">ROUND(Q345*R345,0)</f>
        <v>697</v>
      </c>
      <c r="E345" s="21" t="n">
        <f aca="false">ROUND(Q345,0)-D345</f>
        <v>604</v>
      </c>
      <c r="F345" s="21" t="n">
        <f aca="false">IF(COUNTA(D345:E345)=0,"",SUM(D345:E345))</f>
        <v>1301</v>
      </c>
      <c r="G345" s="39" t="n">
        <f aca="false">IF(OR(F345="",F345=0),"",D345/F345)</f>
        <v>0.535741737125288</v>
      </c>
      <c r="H345" s="39" t="n">
        <f aca="false">IF(OR(F345="",F345=0),"",E345/F345)</f>
        <v>0.464258262874712</v>
      </c>
      <c r="I345" s="38" t="s">
        <v>89</v>
      </c>
      <c r="J345" s="40" t="n">
        <v>1.87117215961084</v>
      </c>
      <c r="K345" s="39" t="n">
        <f aca="false">IF(G345="","",MAX(0,G345-J345/100))</f>
        <v>0.51703001552918</v>
      </c>
      <c r="L345" s="39" t="n">
        <f aca="false">IF(G345="","",MIN(1,G345+J345/100))</f>
        <v>0.554453458721397</v>
      </c>
      <c r="M345" s="21" t="n">
        <f aca="false">ROUND(Q345*S345,0)</f>
        <v>169</v>
      </c>
      <c r="N345" s="21" t="n">
        <f aca="false">ROUND(SQRT((F345*J345/100)^2+(G345*M345)^2),0)</f>
        <v>94</v>
      </c>
      <c r="P345" s="41" t="n">
        <v>-0.0311193084846799</v>
      </c>
      <c r="Q345" s="42" t="n">
        <v>1301</v>
      </c>
      <c r="R345" s="43" t="n">
        <f aca="false">MAX(0,MIN(1,P345/100+$D$5))</f>
        <v>0.535445169152952</v>
      </c>
      <c r="S345" s="43" t="n">
        <v>0.130204099606216</v>
      </c>
      <c r="T345" s="44" t="s">
        <v>192</v>
      </c>
    </row>
    <row r="346" customFormat="false" ht="15" hidden="false" customHeight="false" outlineLevel="0" collapsed="false">
      <c r="A346" s="38" t="s">
        <v>344</v>
      </c>
      <c r="B346" s="38" t="s">
        <v>475</v>
      </c>
      <c r="C346" s="38" t="s">
        <v>482</v>
      </c>
      <c r="D346" s="21" t="n">
        <f aca="false">ROUND(Q346*R346,0)</f>
        <v>563</v>
      </c>
      <c r="E346" s="21" t="n">
        <f aca="false">ROUND(Q346,0)-D346</f>
        <v>445</v>
      </c>
      <c r="F346" s="21" t="n">
        <f aca="false">IF(COUNTA(D346:E346)=0,"",SUM(D346:E346))</f>
        <v>1008</v>
      </c>
      <c r="G346" s="39" t="n">
        <f aca="false">IF(OR(F346="",F346=0),"",D346/F346)</f>
        <v>0.558531746031746</v>
      </c>
      <c r="H346" s="39" t="n">
        <f aca="false">IF(OR(F346="",F346=0),"",E346/F346)</f>
        <v>0.441468253968254</v>
      </c>
      <c r="I346" s="38" t="s">
        <v>190</v>
      </c>
      <c r="J346" s="40" t="n">
        <v>1.92472098334064</v>
      </c>
      <c r="K346" s="39" t="n">
        <f aca="false">IF(G346="","",MAX(0,G346-J346/100))</f>
        <v>0.53928453619834</v>
      </c>
      <c r="L346" s="39" t="n">
        <f aca="false">IF(G346="","",MIN(1,G346+J346/100))</f>
        <v>0.577778955865152</v>
      </c>
      <c r="M346" s="21" t="n">
        <f aca="false">ROUND(Q346*S346,0)</f>
        <v>50</v>
      </c>
      <c r="N346" s="21" t="n">
        <f aca="false">ROUND(SQRT((F346*J346/100)^2+(G346*M346)^2),0)</f>
        <v>34</v>
      </c>
      <c r="P346" s="41" t="n">
        <v>2.30013133897737</v>
      </c>
      <c r="Q346" s="42" t="n">
        <v>1008.46878606652</v>
      </c>
      <c r="R346" s="43" t="n">
        <f aca="false">MAX(0,MIN(1,P346/100+$D$5))</f>
        <v>0.558757675627573</v>
      </c>
      <c r="S346" s="43" t="n">
        <v>0.0500321312575726</v>
      </c>
      <c r="T346" s="44" t="s">
        <v>99</v>
      </c>
    </row>
    <row r="347" customFormat="false" ht="15" hidden="false" customHeight="false" outlineLevel="0" collapsed="false">
      <c r="A347" s="38" t="s">
        <v>344</v>
      </c>
      <c r="B347" s="38" t="s">
        <v>475</v>
      </c>
      <c r="C347" s="38" t="s">
        <v>483</v>
      </c>
      <c r="D347" s="21" t="n">
        <f aca="false">ROUND(Q347*R347,0)</f>
        <v>544</v>
      </c>
      <c r="E347" s="21" t="n">
        <f aca="false">ROUND(Q347,0)-D347</f>
        <v>534</v>
      </c>
      <c r="F347" s="21" t="n">
        <f aca="false">IF(COUNTA(D347:E347)=0,"",SUM(D347:E347))</f>
        <v>1078</v>
      </c>
      <c r="G347" s="39" t="n">
        <f aca="false">IF(OR(F347="",F347=0),"",D347/F347)</f>
        <v>0.504638218923933</v>
      </c>
      <c r="H347" s="39" t="n">
        <f aca="false">IF(OR(F347="",F347=0),"",E347/F347)</f>
        <v>0.495361781076067</v>
      </c>
      <c r="I347" s="38" t="s">
        <v>190</v>
      </c>
      <c r="J347" s="40" t="n">
        <v>1.92472098334064</v>
      </c>
      <c r="K347" s="39" t="n">
        <f aca="false">IF(G347="","",MAX(0,G347-J347/100))</f>
        <v>0.485391009090527</v>
      </c>
      <c r="L347" s="39" t="n">
        <f aca="false">IF(G347="","",MIN(1,G347+J347/100))</f>
        <v>0.52388542875734</v>
      </c>
      <c r="M347" s="21" t="n">
        <f aca="false">ROUND(Q347*S347,0)</f>
        <v>54</v>
      </c>
      <c r="N347" s="21" t="n">
        <f aca="false">ROUND(SQRT((F347*J347/100)^2+(G347*M347)^2),0)</f>
        <v>34</v>
      </c>
      <c r="P347" s="41" t="n">
        <v>-3.07879049051747</v>
      </c>
      <c r="Q347" s="42" t="n">
        <v>1077.71986150456</v>
      </c>
      <c r="R347" s="43" t="n">
        <f aca="false">MAX(0,MIN(1,P347/100+$D$5))</f>
        <v>0.504968457332624</v>
      </c>
      <c r="S347" s="43" t="n">
        <v>0.0500321312575726</v>
      </c>
      <c r="T347" s="44" t="s">
        <v>99</v>
      </c>
    </row>
    <row r="348" customFormat="false" ht="15" hidden="false" customHeight="false" outlineLevel="0" collapsed="false">
      <c r="A348" s="38" t="s">
        <v>344</v>
      </c>
      <c r="B348" s="38" t="s">
        <v>475</v>
      </c>
      <c r="C348" s="38" t="s">
        <v>484</v>
      </c>
      <c r="D348" s="21" t="n">
        <f aca="false">ROUND(Q348*R348,0)</f>
        <v>624</v>
      </c>
      <c r="E348" s="21" t="n">
        <f aca="false">ROUND(Q348,0)-D348</f>
        <v>630</v>
      </c>
      <c r="F348" s="21" t="n">
        <f aca="false">IF(COUNTA(D348:E348)=0,"",SUM(D348:E348))</f>
        <v>1254</v>
      </c>
      <c r="G348" s="39" t="n">
        <f aca="false">IF(OR(F348="",F348=0),"",D348/F348)</f>
        <v>0.497607655502392</v>
      </c>
      <c r="H348" s="39" t="n">
        <f aca="false">IF(OR(F348="",F348=0),"",E348/F348)</f>
        <v>0.502392344497608</v>
      </c>
      <c r="I348" s="38" t="s">
        <v>190</v>
      </c>
      <c r="J348" s="40" t="n">
        <v>1.87117215961084</v>
      </c>
      <c r="K348" s="39" t="n">
        <f aca="false">IF(G348="","",MAX(0,G348-J348/100))</f>
        <v>0.478895933906284</v>
      </c>
      <c r="L348" s="39" t="n">
        <f aca="false">IF(G348="","",MIN(1,G348+J348/100))</f>
        <v>0.516319377098501</v>
      </c>
      <c r="M348" s="21" t="n">
        <f aca="false">ROUND(Q348*S348,0)</f>
        <v>163</v>
      </c>
      <c r="N348" s="21" t="n">
        <f aca="false">ROUND(SQRT((F348*J348/100)^2+(G348*M348)^2),0)</f>
        <v>84</v>
      </c>
      <c r="P348" s="41" t="n">
        <v>-3.78197488795173</v>
      </c>
      <c r="Q348" s="42" t="n">
        <v>1254.09369426083</v>
      </c>
      <c r="R348" s="43" t="n">
        <f aca="false">MAX(0,MIN(1,P348/100+$D$5))</f>
        <v>0.497936613358282</v>
      </c>
      <c r="S348" s="43" t="n">
        <v>0.130204099606216</v>
      </c>
      <c r="T348" s="44" t="s">
        <v>192</v>
      </c>
    </row>
    <row r="349" customFormat="false" ht="15" hidden="false" customHeight="false" outlineLevel="0" collapsed="false">
      <c r="A349" s="38" t="s">
        <v>344</v>
      </c>
      <c r="B349" s="38" t="s">
        <v>485</v>
      </c>
      <c r="C349" s="38" t="s">
        <v>486</v>
      </c>
      <c r="D349" s="21" t="n">
        <f aca="false">ROUND(Q349*R349,0)</f>
        <v>81</v>
      </c>
      <c r="E349" s="21" t="n">
        <f aca="false">ROUND(Q349,0)-D349</f>
        <v>112</v>
      </c>
      <c r="F349" s="21" t="n">
        <f aca="false">IF(COUNTA(D349:E349)=0,"",SUM(D349:E349))</f>
        <v>193</v>
      </c>
      <c r="G349" s="39" t="n">
        <f aca="false">IF(OR(F349="",F349=0),"",D349/F349)</f>
        <v>0.419689119170984</v>
      </c>
      <c r="H349" s="39" t="n">
        <f aca="false">IF(OR(F349="",F349=0),"",E349/F349)</f>
        <v>0.580310880829016</v>
      </c>
      <c r="I349" s="38" t="s">
        <v>89</v>
      </c>
      <c r="J349" s="40" t="n">
        <v>2.87480042420966</v>
      </c>
      <c r="K349" s="39" t="n">
        <f aca="false">IF(G349="","",MAX(0,G349-J349/100))</f>
        <v>0.390941114928888</v>
      </c>
      <c r="L349" s="39" t="n">
        <f aca="false">IF(G349="","",MIN(1,G349+J349/100))</f>
        <v>0.448437123413081</v>
      </c>
      <c r="M349" s="21" t="n">
        <f aca="false">ROUND(Q349*S349,0)</f>
        <v>12</v>
      </c>
      <c r="N349" s="21" t="n">
        <f aca="false">ROUND(SQRT((F349*J349/100)^2+(G349*M349)^2),0)</f>
        <v>7</v>
      </c>
      <c r="P349" s="41" t="n">
        <v>-11.3889386863541</v>
      </c>
      <c r="Q349" s="42" t="n">
        <v>193</v>
      </c>
      <c r="R349" s="43" t="n">
        <f aca="false">MAX(0,MIN(1,P349/100+$D$5))</f>
        <v>0.421866975374258</v>
      </c>
      <c r="S349" s="43" t="n">
        <v>0.0610405690258335</v>
      </c>
      <c r="T349" s="44" t="s">
        <v>90</v>
      </c>
    </row>
    <row r="350" customFormat="false" ht="15" hidden="false" customHeight="false" outlineLevel="0" collapsed="false">
      <c r="A350" s="38" t="s">
        <v>344</v>
      </c>
      <c r="B350" s="38" t="s">
        <v>485</v>
      </c>
      <c r="C350" s="38" t="s">
        <v>487</v>
      </c>
      <c r="D350" s="21" t="n">
        <f aca="false">ROUND(Q350*R350,0)</f>
        <v>226</v>
      </c>
      <c r="E350" s="21" t="n">
        <f aca="false">ROUND(Q350,0)-D350</f>
        <v>335</v>
      </c>
      <c r="F350" s="21" t="n">
        <f aca="false">IF(COUNTA(D350:E350)=0,"",SUM(D350:E350))</f>
        <v>561</v>
      </c>
      <c r="G350" s="39" t="n">
        <f aca="false">IF(OR(F350="",F350=0),"",D350/F350)</f>
        <v>0.402852049910873</v>
      </c>
      <c r="H350" s="39" t="n">
        <f aca="false">IF(OR(F350="",F350=0),"",E350/F350)</f>
        <v>0.597147950089127</v>
      </c>
      <c r="I350" s="38" t="s">
        <v>89</v>
      </c>
      <c r="J350" s="40" t="n">
        <v>2.87480042420966</v>
      </c>
      <c r="K350" s="39" t="n">
        <f aca="false">IF(G350="","",MAX(0,G350-J350/100))</f>
        <v>0.374104045668777</v>
      </c>
      <c r="L350" s="39" t="n">
        <f aca="false">IF(G350="","",MIN(1,G350+J350/100))</f>
        <v>0.43160005415297</v>
      </c>
      <c r="M350" s="21" t="n">
        <f aca="false">ROUND(Q350*S350,0)</f>
        <v>34</v>
      </c>
      <c r="N350" s="21" t="n">
        <f aca="false">ROUND(SQRT((F350*J350/100)^2+(G350*M350)^2),0)</f>
        <v>21</v>
      </c>
      <c r="P350" s="41" t="n">
        <v>-13.2061633748861</v>
      </c>
      <c r="Q350" s="42" t="n">
        <v>561</v>
      </c>
      <c r="R350" s="43" t="n">
        <f aca="false">MAX(0,MIN(1,P350/100+$D$5))</f>
        <v>0.403694728488937</v>
      </c>
      <c r="S350" s="43" t="n">
        <v>0.0610405690258335</v>
      </c>
      <c r="T350" s="44" t="s">
        <v>90</v>
      </c>
    </row>
    <row r="351" customFormat="false" ht="15" hidden="false" customHeight="false" outlineLevel="0" collapsed="false">
      <c r="A351" s="38" t="s">
        <v>344</v>
      </c>
      <c r="B351" s="38" t="s">
        <v>485</v>
      </c>
      <c r="C351" s="38" t="s">
        <v>488</v>
      </c>
      <c r="D351" s="21" t="n">
        <f aca="false">ROUND(Q351*R351,0)</f>
        <v>150</v>
      </c>
      <c r="E351" s="21" t="n">
        <f aca="false">ROUND(Q351,0)-D351</f>
        <v>189</v>
      </c>
      <c r="F351" s="21" t="n">
        <f aca="false">IF(COUNTA(D351:E351)=0,"",SUM(D351:E351))</f>
        <v>339</v>
      </c>
      <c r="G351" s="39" t="n">
        <f aca="false">IF(OR(F351="",F351=0),"",D351/F351)</f>
        <v>0.442477876106195</v>
      </c>
      <c r="H351" s="39" t="n">
        <f aca="false">IF(OR(F351="",F351=0),"",E351/F351)</f>
        <v>0.557522123893805</v>
      </c>
      <c r="I351" s="38" t="s">
        <v>89</v>
      </c>
      <c r="J351" s="40" t="n">
        <v>2.87480042420966</v>
      </c>
      <c r="K351" s="39" t="n">
        <f aca="false">IF(G351="","",MAX(0,G351-J351/100))</f>
        <v>0.413729871864098</v>
      </c>
      <c r="L351" s="39" t="n">
        <f aca="false">IF(G351="","",MIN(1,G351+J351/100))</f>
        <v>0.471225880348291</v>
      </c>
      <c r="M351" s="21" t="n">
        <f aca="false">ROUND(Q351*S351,0)</f>
        <v>21</v>
      </c>
      <c r="N351" s="21" t="n">
        <f aca="false">ROUND(SQRT((F351*J351/100)^2+(G351*M351)^2),0)</f>
        <v>13</v>
      </c>
      <c r="P351" s="41" t="n">
        <v>-9.29780905978275</v>
      </c>
      <c r="Q351" s="42" t="n">
        <v>339</v>
      </c>
      <c r="R351" s="43" t="n">
        <f aca="false">MAX(0,MIN(1,P351/100+$D$5))</f>
        <v>0.442778271639971</v>
      </c>
      <c r="S351" s="43" t="n">
        <v>0.0610405690258335</v>
      </c>
      <c r="T351" s="44" t="s">
        <v>90</v>
      </c>
    </row>
    <row r="352" customFormat="false" ht="15" hidden="false" customHeight="false" outlineLevel="0" collapsed="false">
      <c r="A352" s="38" t="s">
        <v>344</v>
      </c>
      <c r="B352" s="38" t="s">
        <v>485</v>
      </c>
      <c r="C352" s="38" t="s">
        <v>489</v>
      </c>
      <c r="D352" s="21" t="n">
        <f aca="false">ROUND(Q352*R352,0)</f>
        <v>87</v>
      </c>
      <c r="E352" s="21" t="n">
        <f aca="false">ROUND(Q352,0)-D352</f>
        <v>109</v>
      </c>
      <c r="F352" s="21" t="n">
        <f aca="false">IF(COUNTA(D352:E352)=0,"",SUM(D352:E352))</f>
        <v>196</v>
      </c>
      <c r="G352" s="39" t="n">
        <f aca="false">IF(OR(F352="",F352=0),"",D352/F352)</f>
        <v>0.443877551020408</v>
      </c>
      <c r="H352" s="39" t="n">
        <f aca="false">IF(OR(F352="",F352=0),"",E352/F352)</f>
        <v>0.556122448979592</v>
      </c>
      <c r="I352" s="38" t="s">
        <v>89</v>
      </c>
      <c r="J352" s="40" t="n">
        <v>2.87480042420966</v>
      </c>
      <c r="K352" s="39" t="n">
        <f aca="false">IF(G352="","",MAX(0,G352-J352/100))</f>
        <v>0.415129546778312</v>
      </c>
      <c r="L352" s="39" t="n">
        <f aca="false">IF(G352="","",MIN(1,G352+J352/100))</f>
        <v>0.472625555262505</v>
      </c>
      <c r="M352" s="21" t="n">
        <f aca="false">ROUND(Q352*S352,0)</f>
        <v>12</v>
      </c>
      <c r="N352" s="21" t="n">
        <f aca="false">ROUND(SQRT((F352*J352/100)^2+(G352*M352)^2),0)</f>
        <v>8</v>
      </c>
      <c r="P352" s="41" t="n">
        <v>-8.94785534954753</v>
      </c>
      <c r="Q352" s="42" t="n">
        <v>196</v>
      </c>
      <c r="R352" s="43" t="n">
        <f aca="false">MAX(0,MIN(1,P352/100+$D$5))</f>
        <v>0.446277808742324</v>
      </c>
      <c r="S352" s="43" t="n">
        <v>0.0610405690258335</v>
      </c>
      <c r="T352" s="44" t="s">
        <v>90</v>
      </c>
    </row>
    <row r="353" customFormat="false" ht="15" hidden="false" customHeight="false" outlineLevel="0" collapsed="false">
      <c r="A353" s="38" t="s">
        <v>344</v>
      </c>
      <c r="B353" s="38" t="s">
        <v>490</v>
      </c>
      <c r="C353" s="38" t="s">
        <v>491</v>
      </c>
      <c r="D353" s="21" t="n">
        <f aca="false">ROUND(Q353*R353,0)</f>
        <v>362</v>
      </c>
      <c r="E353" s="21" t="n">
        <f aca="false">ROUND(Q353,0)-D353</f>
        <v>558</v>
      </c>
      <c r="F353" s="21" t="n">
        <f aca="false">IF(COUNTA(D353:E353)=0,"",SUM(D353:E353))</f>
        <v>920</v>
      </c>
      <c r="G353" s="39" t="n">
        <f aca="false">IF(OR(F353="",F353=0),"",D353/F353)</f>
        <v>0.393478260869565</v>
      </c>
      <c r="H353" s="39" t="n">
        <f aca="false">IF(OR(F353="",F353=0),"",E353/F353)</f>
        <v>0.606521739130435</v>
      </c>
      <c r="I353" s="38" t="s">
        <v>89</v>
      </c>
      <c r="J353" s="40" t="n">
        <v>1.92472098334064</v>
      </c>
      <c r="K353" s="39" t="n">
        <f aca="false">IF(G353="","",MAX(0,G353-J353/100))</f>
        <v>0.374231051036159</v>
      </c>
      <c r="L353" s="39" t="n">
        <f aca="false">IF(G353="","",MIN(1,G353+J353/100))</f>
        <v>0.412725470702972</v>
      </c>
      <c r="M353" s="21" t="n">
        <f aca="false">ROUND(Q353*S353,0)</f>
        <v>46</v>
      </c>
      <c r="N353" s="21" t="n">
        <f aca="false">ROUND(SQRT((F353*J353/100)^2+(G353*M353)^2),0)</f>
        <v>25</v>
      </c>
      <c r="P353" s="41" t="n">
        <v>-14.2695548694548</v>
      </c>
      <c r="Q353" s="42" t="n">
        <v>920</v>
      </c>
      <c r="R353" s="43" t="n">
        <f aca="false">MAX(0,MIN(1,P353/100+$D$5))</f>
        <v>0.393060813543251</v>
      </c>
      <c r="S353" s="43" t="n">
        <v>0.0500321312575726</v>
      </c>
      <c r="T353" s="44" t="s">
        <v>99</v>
      </c>
    </row>
    <row r="354" customFormat="false" ht="15" hidden="false" customHeight="false" outlineLevel="0" collapsed="false">
      <c r="A354" s="38" t="s">
        <v>344</v>
      </c>
      <c r="B354" s="38" t="s">
        <v>490</v>
      </c>
      <c r="C354" s="38" t="s">
        <v>492</v>
      </c>
      <c r="D354" s="21" t="n">
        <f aca="false">ROUND(Q354*R354,0)</f>
        <v>296</v>
      </c>
      <c r="E354" s="21" t="n">
        <f aca="false">ROUND(Q354,0)-D354</f>
        <v>446</v>
      </c>
      <c r="F354" s="21" t="n">
        <f aca="false">IF(COUNTA(D354:E354)=0,"",SUM(D354:E354))</f>
        <v>742</v>
      </c>
      <c r="G354" s="39" t="n">
        <f aca="false">IF(OR(F354="",F354=0),"",D354/F354)</f>
        <v>0.398921832884097</v>
      </c>
      <c r="H354" s="39" t="n">
        <f aca="false">IF(OR(F354="",F354=0),"",E354/F354)</f>
        <v>0.601078167115903</v>
      </c>
      <c r="I354" s="38" t="s">
        <v>89</v>
      </c>
      <c r="J354" s="40" t="n">
        <v>2.87480042420966</v>
      </c>
      <c r="K354" s="39" t="n">
        <f aca="false">IF(G354="","",MAX(0,G354-J354/100))</f>
        <v>0.370173828642</v>
      </c>
      <c r="L354" s="39" t="n">
        <f aca="false">IF(G354="","",MIN(1,G354+J354/100))</f>
        <v>0.427669837126194</v>
      </c>
      <c r="M354" s="21" t="n">
        <f aca="false">ROUND(Q354*S354,0)</f>
        <v>45</v>
      </c>
      <c r="N354" s="21" t="n">
        <f aca="false">ROUND(SQRT((F354*J354/100)^2+(G354*M354)^2),0)</f>
        <v>28</v>
      </c>
      <c r="P354" s="41" t="n">
        <v>-13.66784812387</v>
      </c>
      <c r="Q354" s="42" t="n">
        <v>742</v>
      </c>
      <c r="R354" s="43" t="n">
        <f aca="false">MAX(0,MIN(1,P354/100+$D$5))</f>
        <v>0.399077880999099</v>
      </c>
      <c r="S354" s="43" t="n">
        <v>0.0610405690258335</v>
      </c>
      <c r="T354" s="44" t="s">
        <v>90</v>
      </c>
    </row>
    <row r="355" customFormat="false" ht="15" hidden="false" customHeight="false" outlineLevel="0" collapsed="false">
      <c r="A355" s="38" t="s">
        <v>344</v>
      </c>
      <c r="B355" s="38" t="s">
        <v>490</v>
      </c>
      <c r="C355" s="38" t="s">
        <v>493</v>
      </c>
      <c r="D355" s="21" t="n">
        <f aca="false">ROUND(Q355*R355,0)</f>
        <v>268</v>
      </c>
      <c r="E355" s="21" t="n">
        <f aca="false">ROUND(Q355,0)-D355</f>
        <v>437</v>
      </c>
      <c r="F355" s="21" t="n">
        <f aca="false">IF(COUNTA(D355:E355)=0,"",SUM(D355:E355))</f>
        <v>705</v>
      </c>
      <c r="G355" s="39" t="n">
        <f aca="false">IF(OR(F355="",F355=0),"",D355/F355)</f>
        <v>0.380141843971631</v>
      </c>
      <c r="H355" s="39" t="n">
        <f aca="false">IF(OR(F355="",F355=0),"",E355/F355)</f>
        <v>0.619858156028369</v>
      </c>
      <c r="I355" s="38" t="s">
        <v>89</v>
      </c>
      <c r="J355" s="40" t="n">
        <v>2.87480042420966</v>
      </c>
      <c r="K355" s="39" t="n">
        <f aca="false">IF(G355="","",MAX(0,G355-J355/100))</f>
        <v>0.351393839729535</v>
      </c>
      <c r="L355" s="39" t="n">
        <f aca="false">IF(G355="","",MIN(1,G355+J355/100))</f>
        <v>0.408889848213728</v>
      </c>
      <c r="M355" s="21" t="n">
        <f aca="false">ROUND(Q355*S355,0)</f>
        <v>43</v>
      </c>
      <c r="N355" s="21" t="n">
        <f aca="false">ROUND(SQRT((F355*J355/100)^2+(G355*M355)^2),0)</f>
        <v>26</v>
      </c>
      <c r="P355" s="41" t="n">
        <v>-15.5037128140293</v>
      </c>
      <c r="Q355" s="42" t="n">
        <v>705</v>
      </c>
      <c r="R355" s="43" t="n">
        <f aca="false">MAX(0,MIN(1,P355/100+$D$5))</f>
        <v>0.380719234097506</v>
      </c>
      <c r="S355" s="43" t="n">
        <v>0.0610405690258335</v>
      </c>
      <c r="T355" s="44" t="s">
        <v>90</v>
      </c>
    </row>
    <row r="356" customFormat="false" ht="15" hidden="false" customHeight="false" outlineLevel="0" collapsed="false">
      <c r="A356" s="38" t="s">
        <v>344</v>
      </c>
      <c r="B356" s="38" t="s">
        <v>490</v>
      </c>
      <c r="C356" s="38" t="s">
        <v>494</v>
      </c>
      <c r="D356" s="21" t="n">
        <f aca="false">ROUND(Q356*R356,0)</f>
        <v>270</v>
      </c>
      <c r="E356" s="21" t="n">
        <f aca="false">ROUND(Q356,0)-D356</f>
        <v>437</v>
      </c>
      <c r="F356" s="21" t="n">
        <f aca="false">IF(COUNTA(D356:E356)=0,"",SUM(D356:E356))</f>
        <v>707</v>
      </c>
      <c r="G356" s="39" t="n">
        <f aca="false">IF(OR(F356="",F356=0),"",D356/F356)</f>
        <v>0.381895332390382</v>
      </c>
      <c r="H356" s="39" t="n">
        <f aca="false">IF(OR(F356="",F356=0),"",E356/F356)</f>
        <v>0.618104667609618</v>
      </c>
      <c r="I356" s="38" t="s">
        <v>89</v>
      </c>
      <c r="J356" s="40" t="n">
        <v>2.87480042420966</v>
      </c>
      <c r="K356" s="39" t="n">
        <f aca="false">IF(G356="","",MAX(0,G356-J356/100))</f>
        <v>0.353147328148285</v>
      </c>
      <c r="L356" s="39" t="n">
        <f aca="false">IF(G356="","",MIN(1,G356+J356/100))</f>
        <v>0.410643336632479</v>
      </c>
      <c r="M356" s="21" t="n">
        <f aca="false">ROUND(Q356*S356,0)</f>
        <v>43</v>
      </c>
      <c r="N356" s="21" t="n">
        <f aca="false">ROUND(SQRT((F356*J356/100)^2+(G356*M356)^2),0)</f>
        <v>26</v>
      </c>
      <c r="P356" s="41" t="n">
        <v>-15.3307297860698</v>
      </c>
      <c r="Q356" s="42" t="n">
        <v>707</v>
      </c>
      <c r="R356" s="43" t="n">
        <f aca="false">MAX(0,MIN(1,P356/100+$D$5))</f>
        <v>0.3824490643771</v>
      </c>
      <c r="S356" s="43" t="n">
        <v>0.0610405690258335</v>
      </c>
      <c r="T356" s="44" t="s">
        <v>90</v>
      </c>
    </row>
    <row r="357" customFormat="false" ht="15" hidden="false" customHeight="false" outlineLevel="0" collapsed="false">
      <c r="A357" s="38" t="s">
        <v>344</v>
      </c>
      <c r="B357" s="38" t="s">
        <v>495</v>
      </c>
      <c r="C357" s="38" t="s">
        <v>496</v>
      </c>
      <c r="D357" s="21" t="n">
        <f aca="false">ROUND(Q357*R357,0)</f>
        <v>74</v>
      </c>
      <c r="E357" s="21" t="n">
        <f aca="false">ROUND(Q357,0)-D357</f>
        <v>120</v>
      </c>
      <c r="F357" s="21" t="n">
        <f aca="false">IF(COUNTA(D357:E357)=0,"",SUM(D357:E357))</f>
        <v>194</v>
      </c>
      <c r="G357" s="39" t="n">
        <f aca="false">IF(OR(F357="",F357=0),"",D357/F357)</f>
        <v>0.381443298969072</v>
      </c>
      <c r="H357" s="39" t="n">
        <f aca="false">IF(OR(F357="",F357=0),"",E357/F357)</f>
        <v>0.618556701030928</v>
      </c>
      <c r="I357" s="38" t="s">
        <v>89</v>
      </c>
      <c r="J357" s="40" t="n">
        <v>2.87480042420966</v>
      </c>
      <c r="K357" s="39" t="n">
        <f aca="false">IF(G357="","",MAX(0,G357-J357/100))</f>
        <v>0.352695294726976</v>
      </c>
      <c r="L357" s="39" t="n">
        <f aca="false">IF(G357="","",MIN(1,G357+J357/100))</f>
        <v>0.410191303211169</v>
      </c>
      <c r="M357" s="21" t="n">
        <f aca="false">ROUND(Q357*S357,0)</f>
        <v>12</v>
      </c>
      <c r="N357" s="21" t="n">
        <f aca="false">ROUND(SQRT((F357*J357/100)^2+(G357*M357)^2),0)</f>
        <v>7</v>
      </c>
      <c r="P357" s="41" t="n">
        <v>-15.3844733295649</v>
      </c>
      <c r="Q357" s="42" t="n">
        <v>194</v>
      </c>
      <c r="R357" s="43" t="n">
        <f aca="false">MAX(0,MIN(1,P357/100+$D$5))</f>
        <v>0.38191162894215</v>
      </c>
      <c r="S357" s="43" t="n">
        <v>0.0610405690258335</v>
      </c>
      <c r="T357" s="44" t="s">
        <v>90</v>
      </c>
    </row>
    <row r="358" customFormat="false" ht="15" hidden="false" customHeight="false" outlineLevel="0" collapsed="false">
      <c r="A358" s="38" t="s">
        <v>344</v>
      </c>
      <c r="B358" s="38" t="s">
        <v>497</v>
      </c>
      <c r="C358" s="38" t="s">
        <v>498</v>
      </c>
      <c r="D358" s="21" t="n">
        <f aca="false">ROUND(Q358*R358,0)</f>
        <v>287</v>
      </c>
      <c r="E358" s="21" t="n">
        <f aca="false">ROUND(Q358,0)-D358</f>
        <v>389</v>
      </c>
      <c r="F358" s="21" t="n">
        <f aca="false">IF(COUNTA(D358:E358)=0,"",SUM(D358:E358))</f>
        <v>676</v>
      </c>
      <c r="G358" s="39" t="n">
        <f aca="false">IF(OR(F358="",F358=0),"",D358/F358)</f>
        <v>0.424556213017752</v>
      </c>
      <c r="H358" s="39" t="n">
        <f aca="false">IF(OR(F358="",F358=0),"",E358/F358)</f>
        <v>0.575443786982249</v>
      </c>
      <c r="I358" s="38" t="s">
        <v>89</v>
      </c>
      <c r="J358" s="40" t="n">
        <v>2.87480042420966</v>
      </c>
      <c r="K358" s="39" t="n">
        <f aca="false">IF(G358="","",MAX(0,G358-J358/100))</f>
        <v>0.395808208775655</v>
      </c>
      <c r="L358" s="39" t="n">
        <f aca="false">IF(G358="","",MIN(1,G358+J358/100))</f>
        <v>0.453304217259848</v>
      </c>
      <c r="M358" s="21" t="n">
        <f aca="false">ROUND(Q358*S358,0)</f>
        <v>41</v>
      </c>
      <c r="N358" s="21" t="n">
        <f aca="false">ROUND(SQRT((F358*J358/100)^2+(G358*M358)^2),0)</f>
        <v>26</v>
      </c>
      <c r="P358" s="41" t="n">
        <v>-11.1005324634087</v>
      </c>
      <c r="Q358" s="42" t="n">
        <v>676</v>
      </c>
      <c r="R358" s="43" t="n">
        <f aca="false">MAX(0,MIN(1,P358/100+$D$5))</f>
        <v>0.424751037603712</v>
      </c>
      <c r="S358" s="43" t="n">
        <v>0.0610405690258335</v>
      </c>
      <c r="T358" s="44" t="s">
        <v>90</v>
      </c>
    </row>
    <row r="359" customFormat="false" ht="15" hidden="false" customHeight="false" outlineLevel="0" collapsed="false">
      <c r="A359" s="38" t="s">
        <v>344</v>
      </c>
      <c r="B359" s="38" t="s">
        <v>499</v>
      </c>
      <c r="C359" s="38" t="s">
        <v>500</v>
      </c>
      <c r="D359" s="21" t="n">
        <f aca="false">ROUND(Q359*R359,0)</f>
        <v>173</v>
      </c>
      <c r="E359" s="21" t="n">
        <f aca="false">ROUND(Q359,0)-D359</f>
        <v>214</v>
      </c>
      <c r="F359" s="21" t="n">
        <f aca="false">IF(COUNTA(D359:E359)=0,"",SUM(D359:E359))</f>
        <v>387</v>
      </c>
      <c r="G359" s="39" t="n">
        <f aca="false">IF(OR(F359="",F359=0),"",D359/F359)</f>
        <v>0.44702842377261</v>
      </c>
      <c r="H359" s="39" t="n">
        <f aca="false">IF(OR(F359="",F359=0),"",E359/F359)</f>
        <v>0.55297157622739</v>
      </c>
      <c r="I359" s="38" t="s">
        <v>89</v>
      </c>
      <c r="J359" s="40" t="n">
        <v>2.87480042420966</v>
      </c>
      <c r="K359" s="39" t="n">
        <f aca="false">IF(G359="","",MAX(0,G359-J359/100))</f>
        <v>0.418280419530513</v>
      </c>
      <c r="L359" s="39" t="n">
        <f aca="false">IF(G359="","",MIN(1,G359+J359/100))</f>
        <v>0.475776428014706</v>
      </c>
      <c r="M359" s="21" t="n">
        <f aca="false">ROUND(Q359*S359,0)</f>
        <v>24</v>
      </c>
      <c r="N359" s="21" t="n">
        <f aca="false">ROUND(SQRT((F359*J359/100)^2+(G359*M359)^2),0)</f>
        <v>15</v>
      </c>
      <c r="P359" s="41" t="n">
        <v>-8.85414102488992</v>
      </c>
      <c r="Q359" s="42" t="n">
        <v>387</v>
      </c>
      <c r="R359" s="43" t="n">
        <f aca="false">MAX(0,MIN(1,P359/100+$D$5))</f>
        <v>0.4472149519889</v>
      </c>
      <c r="S359" s="43" t="n">
        <v>0.0610405690258335</v>
      </c>
      <c r="T359" s="44" t="s">
        <v>90</v>
      </c>
    </row>
    <row r="360" customFormat="false" ht="15" hidden="false" customHeight="false" outlineLevel="0" collapsed="false">
      <c r="A360" s="38" t="s">
        <v>344</v>
      </c>
      <c r="B360" s="38" t="s">
        <v>501</v>
      </c>
      <c r="C360" s="38" t="s">
        <v>502</v>
      </c>
      <c r="D360" s="21" t="n">
        <f aca="false">ROUND(Q360*R360,0)</f>
        <v>264</v>
      </c>
      <c r="E360" s="21" t="n">
        <f aca="false">ROUND(Q360,0)-D360</f>
        <v>297</v>
      </c>
      <c r="F360" s="21" t="n">
        <f aca="false">IF(COUNTA(D360:E360)=0,"",SUM(D360:E360))</f>
        <v>561</v>
      </c>
      <c r="G360" s="39" t="n">
        <f aca="false">IF(OR(F360="",F360=0),"",D360/F360)</f>
        <v>0.470588235294118</v>
      </c>
      <c r="H360" s="39" t="n">
        <f aca="false">IF(OR(F360="",F360=0),"",E360/F360)</f>
        <v>0.529411764705882</v>
      </c>
      <c r="I360" s="38" t="s">
        <v>89</v>
      </c>
      <c r="J360" s="40" t="n">
        <v>2.87480042420966</v>
      </c>
      <c r="K360" s="39" t="n">
        <f aca="false">IF(G360="","",MAX(0,G360-J360/100))</f>
        <v>0.441840231052021</v>
      </c>
      <c r="L360" s="39" t="n">
        <f aca="false">IF(G360="","",MIN(1,G360+J360/100))</f>
        <v>0.499336239536214</v>
      </c>
      <c r="M360" s="21" t="n">
        <f aca="false">ROUND(Q360*S360,0)</f>
        <v>34</v>
      </c>
      <c r="N360" s="21" t="n">
        <f aca="false">ROUND(SQRT((F360*J360/100)^2+(G360*M360)^2),0)</f>
        <v>23</v>
      </c>
      <c r="P360" s="41" t="n">
        <v>-6.53770367273076</v>
      </c>
      <c r="Q360" s="42" t="n">
        <v>561</v>
      </c>
      <c r="R360" s="43" t="n">
        <f aca="false">MAX(0,MIN(1,P360/100+$D$5))</f>
        <v>0.470379325510491</v>
      </c>
      <c r="S360" s="43" t="n">
        <v>0.0610405690258335</v>
      </c>
      <c r="T360" s="44" t="s">
        <v>90</v>
      </c>
    </row>
    <row r="361" customFormat="false" ht="15" hidden="false" customHeight="false" outlineLevel="0" collapsed="false">
      <c r="A361" s="38" t="s">
        <v>344</v>
      </c>
      <c r="B361" s="38" t="s">
        <v>503</v>
      </c>
      <c r="C361" s="38" t="s">
        <v>504</v>
      </c>
      <c r="D361" s="21" t="n">
        <f aca="false">ROUND(Q361*R361,0)</f>
        <v>270</v>
      </c>
      <c r="E361" s="21" t="n">
        <f aca="false">ROUND(Q361,0)-D361</f>
        <v>559</v>
      </c>
      <c r="F361" s="21" t="n">
        <f aca="false">IF(COUNTA(D361:E361)=0,"",SUM(D361:E361))</f>
        <v>829</v>
      </c>
      <c r="G361" s="39" t="n">
        <f aca="false">IF(OR(F361="",F361=0),"",D361/F361)</f>
        <v>0.325693606755127</v>
      </c>
      <c r="H361" s="39" t="n">
        <f aca="false">IF(OR(F361="",F361=0),"",E361/F361)</f>
        <v>0.674306393244873</v>
      </c>
      <c r="I361" s="38" t="s">
        <v>89</v>
      </c>
      <c r="J361" s="40" t="n">
        <v>1.92472098334064</v>
      </c>
      <c r="K361" s="39" t="n">
        <f aca="false">IF(G361="","",MAX(0,G361-J361/100))</f>
        <v>0.30644639692172</v>
      </c>
      <c r="L361" s="39" t="n">
        <f aca="false">IF(G361="","",MIN(1,G361+J361/100))</f>
        <v>0.344940816588533</v>
      </c>
      <c r="M361" s="21" t="n">
        <f aca="false">ROUND(Q361*S361,0)</f>
        <v>41</v>
      </c>
      <c r="N361" s="21" t="n">
        <f aca="false">ROUND(SQRT((F361*J361/100)^2+(G361*M361)^2),0)</f>
        <v>21</v>
      </c>
      <c r="P361" s="41" t="n">
        <v>-20.9576894017461</v>
      </c>
      <c r="Q361" s="42" t="n">
        <v>829</v>
      </c>
      <c r="R361" s="43" t="n">
        <f aca="false">MAX(0,MIN(1,P361/100+$D$5))</f>
        <v>0.326179468220338</v>
      </c>
      <c r="S361" s="43" t="n">
        <v>0.0500321312575726</v>
      </c>
      <c r="T361" s="44" t="s">
        <v>99</v>
      </c>
    </row>
    <row r="362" customFormat="false" ht="15" hidden="false" customHeight="false" outlineLevel="0" collapsed="false">
      <c r="A362" s="38" t="s">
        <v>344</v>
      </c>
      <c r="B362" s="38" t="s">
        <v>503</v>
      </c>
      <c r="C362" s="38" t="s">
        <v>505</v>
      </c>
      <c r="D362" s="21" t="n">
        <f aca="false">ROUND(Q362*R362,0)</f>
        <v>217</v>
      </c>
      <c r="E362" s="21" t="n">
        <f aca="false">ROUND(Q362,0)-D362</f>
        <v>371</v>
      </c>
      <c r="F362" s="21" t="n">
        <f aca="false">IF(COUNTA(D362:E362)=0,"",SUM(D362:E362))</f>
        <v>588</v>
      </c>
      <c r="G362" s="39" t="n">
        <f aca="false">IF(OR(F362="",F362=0),"",D362/F362)</f>
        <v>0.369047619047619</v>
      </c>
      <c r="H362" s="39" t="n">
        <f aca="false">IF(OR(F362="",F362=0),"",E362/F362)</f>
        <v>0.630952380952381</v>
      </c>
      <c r="I362" s="38" t="s">
        <v>89</v>
      </c>
      <c r="J362" s="40" t="n">
        <v>2.87480042420966</v>
      </c>
      <c r="K362" s="39" t="n">
        <f aca="false">IF(G362="","",MAX(0,G362-J362/100))</f>
        <v>0.340299614805522</v>
      </c>
      <c r="L362" s="39" t="n">
        <f aca="false">IF(G362="","",MIN(1,G362+J362/100))</f>
        <v>0.397795623289716</v>
      </c>
      <c r="M362" s="21" t="n">
        <f aca="false">ROUND(Q362*S362,0)</f>
        <v>36</v>
      </c>
      <c r="N362" s="21" t="n">
        <f aca="false">ROUND(SQRT((F362*J362/100)^2+(G362*M362)^2),0)</f>
        <v>21</v>
      </c>
      <c r="P362" s="41" t="n">
        <v>-16.6116533576665</v>
      </c>
      <c r="Q362" s="42" t="n">
        <v>588</v>
      </c>
      <c r="R362" s="43" t="n">
        <f aca="false">MAX(0,MIN(1,P362/100+$D$5))</f>
        <v>0.369639828661133</v>
      </c>
      <c r="S362" s="43" t="n">
        <v>0.0610405690258335</v>
      </c>
      <c r="T362" s="44" t="s">
        <v>90</v>
      </c>
    </row>
    <row r="363" customFormat="false" ht="15" hidden="false" customHeight="false" outlineLevel="0" collapsed="false">
      <c r="A363" s="38" t="s">
        <v>344</v>
      </c>
      <c r="B363" s="38" t="s">
        <v>503</v>
      </c>
      <c r="C363" s="38" t="s">
        <v>506</v>
      </c>
      <c r="D363" s="21" t="n">
        <f aca="false">ROUND(Q363*R363,0)</f>
        <v>170</v>
      </c>
      <c r="E363" s="21" t="n">
        <f aca="false">ROUND(Q363,0)-D363</f>
        <v>339</v>
      </c>
      <c r="F363" s="21" t="n">
        <f aca="false">IF(COUNTA(D363:E363)=0,"",SUM(D363:E363))</f>
        <v>509</v>
      </c>
      <c r="G363" s="39" t="n">
        <f aca="false">IF(OR(F363="",F363=0),"",D363/F363)</f>
        <v>0.333988212180747</v>
      </c>
      <c r="H363" s="39" t="n">
        <f aca="false">IF(OR(F363="",F363=0),"",E363/F363)</f>
        <v>0.666011787819253</v>
      </c>
      <c r="I363" s="38" t="s">
        <v>89</v>
      </c>
      <c r="J363" s="40" t="n">
        <v>2.87480042420966</v>
      </c>
      <c r="K363" s="39" t="n">
        <f aca="false">IF(G363="","",MAX(0,G363-J363/100))</f>
        <v>0.30524020793865</v>
      </c>
      <c r="L363" s="39" t="n">
        <f aca="false">IF(G363="","",MIN(1,G363+J363/100))</f>
        <v>0.362736216422843</v>
      </c>
      <c r="M363" s="21" t="n">
        <f aca="false">ROUND(Q363*S363,0)</f>
        <v>31</v>
      </c>
      <c r="N363" s="21" t="n">
        <f aca="false">ROUND(SQRT((F363*J363/100)^2+(G363*M363)^2),0)</f>
        <v>18</v>
      </c>
      <c r="P363" s="41" t="n">
        <v>-20.094114468637</v>
      </c>
      <c r="Q363" s="42" t="n">
        <v>509</v>
      </c>
      <c r="R363" s="43" t="n">
        <f aca="false">MAX(0,MIN(1,P363/100+$D$5))</f>
        <v>0.334815217551428</v>
      </c>
      <c r="S363" s="43" t="n">
        <v>0.0610405690258335</v>
      </c>
      <c r="T363" s="44" t="s">
        <v>90</v>
      </c>
    </row>
    <row r="364" customFormat="false" ht="15" hidden="false" customHeight="false" outlineLevel="0" collapsed="false">
      <c r="A364" s="38" t="s">
        <v>344</v>
      </c>
      <c r="B364" s="38" t="s">
        <v>503</v>
      </c>
      <c r="C364" s="38" t="s">
        <v>507</v>
      </c>
      <c r="D364" s="21" t="n">
        <f aca="false">ROUND(Q364*R364,0)</f>
        <v>158</v>
      </c>
      <c r="E364" s="21" t="n">
        <f aca="false">ROUND(Q364,0)-D364</f>
        <v>317</v>
      </c>
      <c r="F364" s="21" t="n">
        <f aca="false">IF(COUNTA(D364:E364)=0,"",SUM(D364:E364))</f>
        <v>475</v>
      </c>
      <c r="G364" s="39" t="n">
        <f aca="false">IF(OR(F364="",F364=0),"",D364/F364)</f>
        <v>0.332631578947368</v>
      </c>
      <c r="H364" s="39" t="n">
        <f aca="false">IF(OR(F364="",F364=0),"",E364/F364)</f>
        <v>0.667368421052632</v>
      </c>
      <c r="I364" s="38" t="s">
        <v>89</v>
      </c>
      <c r="J364" s="40" t="n">
        <v>2.87480042420966</v>
      </c>
      <c r="K364" s="39" t="n">
        <f aca="false">IF(G364="","",MAX(0,G364-J364/100))</f>
        <v>0.303883574705272</v>
      </c>
      <c r="L364" s="39" t="n">
        <f aca="false">IF(G364="","",MIN(1,G364+J364/100))</f>
        <v>0.361379583189465</v>
      </c>
      <c r="M364" s="21" t="n">
        <f aca="false">ROUND(Q364*S364,0)</f>
        <v>29</v>
      </c>
      <c r="N364" s="21" t="n">
        <f aca="false">ROUND(SQRT((F364*J364/100)^2+(G364*M364)^2),0)</f>
        <v>17</v>
      </c>
      <c r="P364" s="41" t="n">
        <v>-20.2830726077331</v>
      </c>
      <c r="Q364" s="42" t="n">
        <v>475</v>
      </c>
      <c r="R364" s="43" t="n">
        <f aca="false">MAX(0,MIN(1,P364/100+$D$5))</f>
        <v>0.332925636160468</v>
      </c>
      <c r="S364" s="43" t="n">
        <v>0.0610405690258335</v>
      </c>
      <c r="T364" s="44" t="s">
        <v>90</v>
      </c>
    </row>
    <row r="365" customFormat="false" ht="15" hidden="false" customHeight="false" outlineLevel="0" collapsed="false">
      <c r="A365" s="38" t="s">
        <v>344</v>
      </c>
      <c r="B365" s="38" t="s">
        <v>503</v>
      </c>
      <c r="C365" s="38" t="s">
        <v>508</v>
      </c>
      <c r="D365" s="21" t="n">
        <f aca="false">ROUND(Q365*R365,0)</f>
        <v>288</v>
      </c>
      <c r="E365" s="21" t="n">
        <f aca="false">ROUND(Q365,0)-D365</f>
        <v>436</v>
      </c>
      <c r="F365" s="21" t="n">
        <f aca="false">IF(COUNTA(D365:E365)=0,"",SUM(D365:E365))</f>
        <v>724</v>
      </c>
      <c r="G365" s="39" t="n">
        <f aca="false">IF(OR(F365="",F365=0),"",D365/F365)</f>
        <v>0.397790055248619</v>
      </c>
      <c r="H365" s="39" t="n">
        <f aca="false">IF(OR(F365="",F365=0),"",E365/F365)</f>
        <v>0.602209944751381</v>
      </c>
      <c r="I365" s="38" t="s">
        <v>89</v>
      </c>
      <c r="J365" s="40" t="n">
        <v>2.87480042420966</v>
      </c>
      <c r="K365" s="39" t="n">
        <f aca="false">IF(G365="","",MAX(0,G365-J365/100))</f>
        <v>0.369042051006522</v>
      </c>
      <c r="L365" s="39" t="n">
        <f aca="false">IF(G365="","",MIN(1,G365+J365/100))</f>
        <v>0.426538059490715</v>
      </c>
      <c r="M365" s="21" t="n">
        <f aca="false">ROUND(Q365*S365,0)</f>
        <v>44</v>
      </c>
      <c r="N365" s="21" t="n">
        <f aca="false">ROUND(SQRT((F365*J365/100)^2+(G365*M365)^2),0)</f>
        <v>27</v>
      </c>
      <c r="P365" s="41" t="n">
        <v>-13.8251374919099</v>
      </c>
      <c r="Q365" s="42" t="n">
        <v>724</v>
      </c>
      <c r="R365" s="43" t="n">
        <f aca="false">MAX(0,MIN(1,P365/100+$D$5))</f>
        <v>0.397504987318699</v>
      </c>
      <c r="S365" s="43" t="n">
        <v>0.0610405690258335</v>
      </c>
      <c r="T365" s="44" t="s">
        <v>90</v>
      </c>
    </row>
    <row r="366" customFormat="false" ht="15" hidden="false" customHeight="false" outlineLevel="0" collapsed="false">
      <c r="A366" s="38" t="s">
        <v>344</v>
      </c>
      <c r="B366" s="38" t="s">
        <v>509</v>
      </c>
      <c r="C366" s="38" t="s">
        <v>510</v>
      </c>
      <c r="D366" s="21" t="n">
        <f aca="false">ROUND(Q366*R366,0)</f>
        <v>957</v>
      </c>
      <c r="E366" s="21" t="n">
        <f aca="false">ROUND(Q366,0)-D366</f>
        <v>859</v>
      </c>
      <c r="F366" s="21" t="n">
        <f aca="false">IF(COUNTA(D366:E366)=0,"",SUM(D366:E366))</f>
        <v>1816</v>
      </c>
      <c r="G366" s="39" t="n">
        <f aca="false">IF(OR(F366="",F366=0),"",D366/F366)</f>
        <v>0.526982378854626</v>
      </c>
      <c r="H366" s="39" t="n">
        <f aca="false">IF(OR(F366="",F366=0),"",E366/F366)</f>
        <v>0.473017621145374</v>
      </c>
      <c r="I366" s="38" t="s">
        <v>89</v>
      </c>
      <c r="J366" s="40" t="n">
        <v>1.87117215961084</v>
      </c>
      <c r="K366" s="39" t="n">
        <f aca="false">IF(G366="","",MAX(0,G366-J366/100))</f>
        <v>0.508270657258517</v>
      </c>
      <c r="L366" s="39" t="n">
        <f aca="false">IF(G366="","",MIN(1,G366+J366/100))</f>
        <v>0.545694100450734</v>
      </c>
      <c r="M366" s="21" t="n">
        <f aca="false">ROUND(Q366*S366,0)</f>
        <v>236</v>
      </c>
      <c r="N366" s="21" t="n">
        <f aca="false">ROUND(SQRT((F366*J366/100)^2+(G366*M366)^2),0)</f>
        <v>129</v>
      </c>
      <c r="P366" s="41" t="n">
        <v>-0.886901636755961</v>
      </c>
      <c r="Q366" s="42" t="n">
        <v>1816</v>
      </c>
      <c r="R366" s="43" t="n">
        <f aca="false">MAX(0,MIN(1,P366/100+$D$5))</f>
        <v>0.526887345870239</v>
      </c>
      <c r="S366" s="43" t="n">
        <v>0.130204099606216</v>
      </c>
      <c r="T366" s="44" t="s">
        <v>192</v>
      </c>
    </row>
    <row r="367" customFormat="false" ht="15" hidden="false" customHeight="false" outlineLevel="0" collapsed="false">
      <c r="A367" s="38" t="s">
        <v>344</v>
      </c>
      <c r="B367" s="38" t="s">
        <v>509</v>
      </c>
      <c r="C367" s="38" t="s">
        <v>511</v>
      </c>
      <c r="D367" s="21" t="n">
        <f aca="false">ROUND(Q367*R367,0)</f>
        <v>298</v>
      </c>
      <c r="E367" s="21" t="n">
        <f aca="false">ROUND(Q367,0)-D367</f>
        <v>272</v>
      </c>
      <c r="F367" s="21" t="n">
        <f aca="false">IF(COUNTA(D367:E367)=0,"",SUM(D367:E367))</f>
        <v>570</v>
      </c>
      <c r="G367" s="39" t="n">
        <f aca="false">IF(OR(F367="",F367=0),"",D367/F367)</f>
        <v>0.52280701754386</v>
      </c>
      <c r="H367" s="39" t="n">
        <f aca="false">IF(OR(F367="",F367=0),"",E367/F367)</f>
        <v>0.47719298245614</v>
      </c>
      <c r="I367" s="38" t="s">
        <v>190</v>
      </c>
      <c r="J367" s="40" t="n">
        <v>2.87480042420966</v>
      </c>
      <c r="K367" s="39" t="n">
        <f aca="false">IF(G367="","",MAX(0,G367-J367/100))</f>
        <v>0.494059013301763</v>
      </c>
      <c r="L367" s="39" t="n">
        <f aca="false">IF(G367="","",MIN(1,G367+J367/100))</f>
        <v>0.551555021785956</v>
      </c>
      <c r="M367" s="21" t="n">
        <f aca="false">ROUND(Q367*S367,0)</f>
        <v>35</v>
      </c>
      <c r="N367" s="21" t="n">
        <f aca="false">ROUND(SQRT((F367*J367/100)^2+(G367*M367)^2),0)</f>
        <v>25</v>
      </c>
      <c r="P367" s="41" t="n">
        <v>-1.28066371911557</v>
      </c>
      <c r="Q367" s="42" t="n">
        <v>570.288684389911</v>
      </c>
      <c r="R367" s="43" t="n">
        <f aca="false">MAX(0,MIN(1,P367/100+$D$5))</f>
        <v>0.522949725046643</v>
      </c>
      <c r="S367" s="43" t="n">
        <v>0.0610405690258335</v>
      </c>
      <c r="T367" s="44" t="s">
        <v>90</v>
      </c>
    </row>
    <row r="368" customFormat="false" ht="15" hidden="false" customHeight="false" outlineLevel="0" collapsed="false">
      <c r="A368" s="38" t="s">
        <v>344</v>
      </c>
      <c r="B368" s="38" t="s">
        <v>509</v>
      </c>
      <c r="C368" s="38" t="s">
        <v>512</v>
      </c>
      <c r="D368" s="21" t="n">
        <f aca="false">ROUND(Q368*R368,0)</f>
        <v>711</v>
      </c>
      <c r="E368" s="21" t="n">
        <f aca="false">ROUND(Q368,0)-D368</f>
        <v>636</v>
      </c>
      <c r="F368" s="21" t="n">
        <f aca="false">IF(COUNTA(D368:E368)=0,"",SUM(D368:E368))</f>
        <v>1347</v>
      </c>
      <c r="G368" s="39" t="n">
        <f aca="false">IF(OR(F368="",F368=0),"",D368/F368)</f>
        <v>0.527839643652561</v>
      </c>
      <c r="H368" s="39" t="n">
        <f aca="false">IF(OR(F368="",F368=0),"",E368/F368)</f>
        <v>0.472160356347439</v>
      </c>
      <c r="I368" s="38" t="s">
        <v>89</v>
      </c>
      <c r="J368" s="40" t="n">
        <v>1.87117215961084</v>
      </c>
      <c r="K368" s="39" t="n">
        <f aca="false">IF(G368="","",MAX(0,G368-J368/100))</f>
        <v>0.509127922056453</v>
      </c>
      <c r="L368" s="39" t="n">
        <f aca="false">IF(G368="","",MIN(1,G368+J368/100))</f>
        <v>0.54655136524867</v>
      </c>
      <c r="M368" s="21" t="n">
        <f aca="false">ROUND(Q368*S368,0)</f>
        <v>175</v>
      </c>
      <c r="N368" s="21" t="n">
        <f aca="false">ROUND(SQRT((F368*J368/100)^2+(G368*M368)^2),0)</f>
        <v>96</v>
      </c>
      <c r="P368" s="41" t="n">
        <v>-0.794345698942394</v>
      </c>
      <c r="Q368" s="42" t="n">
        <v>1347</v>
      </c>
      <c r="R368" s="43" t="n">
        <f aca="false">MAX(0,MIN(1,P368/100+$D$5))</f>
        <v>0.527812905248375</v>
      </c>
      <c r="S368" s="43" t="n">
        <v>0.130204099606216</v>
      </c>
      <c r="T368" s="44" t="s">
        <v>192</v>
      </c>
    </row>
    <row r="369" customFormat="false" ht="15" hidden="false" customHeight="false" outlineLevel="0" collapsed="false">
      <c r="A369" s="38" t="s">
        <v>344</v>
      </c>
      <c r="B369" s="38" t="s">
        <v>509</v>
      </c>
      <c r="C369" s="38" t="s">
        <v>513</v>
      </c>
      <c r="D369" s="21" t="n">
        <f aca="false">ROUND(Q369*R369,0)</f>
        <v>225</v>
      </c>
      <c r="E369" s="21" t="n">
        <f aca="false">ROUND(Q369,0)-D369</f>
        <v>206</v>
      </c>
      <c r="F369" s="21" t="n">
        <f aca="false">IF(COUNTA(D369:E369)=0,"",SUM(D369:E369))</f>
        <v>431</v>
      </c>
      <c r="G369" s="39" t="n">
        <f aca="false">IF(OR(F369="",F369=0),"",D369/F369)</f>
        <v>0.522041763341067</v>
      </c>
      <c r="H369" s="39" t="n">
        <f aca="false">IF(OR(F369="",F369=0),"",E369/F369)</f>
        <v>0.477958236658933</v>
      </c>
      <c r="I369" s="38" t="s">
        <v>190</v>
      </c>
      <c r="J369" s="40" t="n">
        <v>2.87480042420966</v>
      </c>
      <c r="K369" s="39" t="n">
        <f aca="false">IF(G369="","",MAX(0,G369-J369/100))</f>
        <v>0.493293759098971</v>
      </c>
      <c r="L369" s="39" t="n">
        <f aca="false">IF(G369="","",MIN(1,G369+J369/100))</f>
        <v>0.550789767583164</v>
      </c>
      <c r="M369" s="21" t="n">
        <f aca="false">ROUND(Q369*S369,0)</f>
        <v>26</v>
      </c>
      <c r="N369" s="21" t="n">
        <f aca="false">ROUND(SQRT((F369*J369/100)^2+(G369*M369)^2),0)</f>
        <v>18</v>
      </c>
      <c r="P369" s="41" t="n">
        <v>-1.40859008274281</v>
      </c>
      <c r="Q369" s="42" t="n">
        <v>431.220177232447</v>
      </c>
      <c r="R369" s="43" t="n">
        <f aca="false">MAX(0,MIN(1,P369/100+$D$5))</f>
        <v>0.521670461410371</v>
      </c>
      <c r="S369" s="43" t="n">
        <v>0.0610405690258335</v>
      </c>
      <c r="T369" s="44" t="s">
        <v>90</v>
      </c>
    </row>
    <row r="370" customFormat="false" ht="15" hidden="false" customHeight="false" outlineLevel="0" collapsed="false">
      <c r="A370" s="38" t="s">
        <v>344</v>
      </c>
      <c r="B370" s="38" t="s">
        <v>514</v>
      </c>
      <c r="C370" s="38" t="s">
        <v>515</v>
      </c>
      <c r="D370" s="21" t="n">
        <f aca="false">ROUND(Q370*R370,0)</f>
        <v>316</v>
      </c>
      <c r="E370" s="21" t="n">
        <f aca="false">ROUND(Q370,0)-D370</f>
        <v>408</v>
      </c>
      <c r="F370" s="21" t="n">
        <f aca="false">IF(COUNTA(D370:E370)=0,"",SUM(D370:E370))</f>
        <v>724</v>
      </c>
      <c r="G370" s="39" t="n">
        <f aca="false">IF(OR(F370="",F370=0),"",D370/F370)</f>
        <v>0.43646408839779</v>
      </c>
      <c r="H370" s="39" t="n">
        <f aca="false">IF(OR(F370="",F370=0),"",E370/F370)</f>
        <v>0.56353591160221</v>
      </c>
      <c r="I370" s="38" t="s">
        <v>89</v>
      </c>
      <c r="J370" s="40" t="n">
        <v>2.87480042420966</v>
      </c>
      <c r="K370" s="39" t="n">
        <f aca="false">IF(G370="","",MAX(0,G370-J370/100))</f>
        <v>0.407716084155693</v>
      </c>
      <c r="L370" s="39" t="n">
        <f aca="false">IF(G370="","",MIN(1,G370+J370/100))</f>
        <v>0.465212092639887</v>
      </c>
      <c r="M370" s="21" t="n">
        <f aca="false">ROUND(Q370*S370,0)</f>
        <v>44</v>
      </c>
      <c r="N370" s="21" t="n">
        <f aca="false">ROUND(SQRT((F370*J370/100)^2+(G370*M370)^2),0)</f>
        <v>28</v>
      </c>
      <c r="P370" s="41" t="n">
        <v>-9.88611226872865</v>
      </c>
      <c r="Q370" s="42" t="n">
        <v>724</v>
      </c>
      <c r="R370" s="43" t="n">
        <f aca="false">MAX(0,MIN(1,P370/100+$D$5))</f>
        <v>0.436895239550512</v>
      </c>
      <c r="S370" s="43" t="n">
        <v>0.0610405690258335</v>
      </c>
      <c r="T370" s="44" t="s">
        <v>90</v>
      </c>
    </row>
    <row r="371" customFormat="false" ht="15" hidden="false" customHeight="false" outlineLevel="0" collapsed="false">
      <c r="A371" s="38" t="s">
        <v>344</v>
      </c>
      <c r="B371" s="38" t="s">
        <v>319</v>
      </c>
      <c r="C371" s="38" t="s">
        <v>516</v>
      </c>
      <c r="D371" s="21" t="n">
        <f aca="false">ROUND(Q371*R371,0)</f>
        <v>684</v>
      </c>
      <c r="E371" s="21" t="n">
        <f aca="false">ROUND(Q371,0)-D371</f>
        <v>1114</v>
      </c>
      <c r="F371" s="21" t="n">
        <f aca="false">IF(COUNTA(D371:E371)=0,"",SUM(D371:E371))</f>
        <v>1798</v>
      </c>
      <c r="G371" s="39" t="n">
        <f aca="false">IF(OR(F371="",F371=0),"",D371/F371)</f>
        <v>0.380422691879867</v>
      </c>
      <c r="H371" s="39" t="n">
        <f aca="false">IF(OR(F371="",F371=0),"",E371/F371)</f>
        <v>0.619577308120134</v>
      </c>
      <c r="I371" s="38" t="s">
        <v>89</v>
      </c>
      <c r="J371" s="40" t="n">
        <v>1.87117215961084</v>
      </c>
      <c r="K371" s="39" t="n">
        <f aca="false">IF(G371="","",MAX(0,G371-J371/100))</f>
        <v>0.361710970283758</v>
      </c>
      <c r="L371" s="39" t="n">
        <f aca="false">IF(G371="","",MIN(1,G371+J371/100))</f>
        <v>0.399134413475975</v>
      </c>
      <c r="M371" s="21" t="n">
        <f aca="false">ROUND(Q371*S371,0)</f>
        <v>234</v>
      </c>
      <c r="N371" s="21" t="n">
        <f aca="false">ROUND(SQRT((F371*J371/100)^2+(G371*M371)^2),0)</f>
        <v>95</v>
      </c>
      <c r="P371" s="41" t="n">
        <v>-15.5218481466311</v>
      </c>
      <c r="Q371" s="42" t="n">
        <v>1798</v>
      </c>
      <c r="R371" s="43" t="n">
        <f aca="false">MAX(0,MIN(1,P371/100+$D$5))</f>
        <v>0.380537880771488</v>
      </c>
      <c r="S371" s="43" t="n">
        <v>0.130204099606216</v>
      </c>
      <c r="T371" s="44" t="s">
        <v>192</v>
      </c>
    </row>
    <row r="372" customFormat="false" ht="15" hidden="false" customHeight="false" outlineLevel="0" collapsed="false">
      <c r="A372" s="38" t="s">
        <v>344</v>
      </c>
      <c r="B372" s="38" t="s">
        <v>319</v>
      </c>
      <c r="C372" s="38" t="s">
        <v>517</v>
      </c>
      <c r="D372" s="21" t="n">
        <f aca="false">ROUND(Q372*R372,0)</f>
        <v>415</v>
      </c>
      <c r="E372" s="21" t="n">
        <f aca="false">ROUND(Q372,0)-D372</f>
        <v>703</v>
      </c>
      <c r="F372" s="21" t="n">
        <f aca="false">IF(COUNTA(D372:E372)=0,"",SUM(D372:E372))</f>
        <v>1118</v>
      </c>
      <c r="G372" s="39" t="n">
        <f aca="false">IF(OR(F372="",F372=0),"",D372/F372)</f>
        <v>0.371198568872987</v>
      </c>
      <c r="H372" s="39" t="n">
        <f aca="false">IF(OR(F372="",F372=0),"",E372/F372)</f>
        <v>0.628801431127013</v>
      </c>
      <c r="I372" s="38" t="s">
        <v>518</v>
      </c>
      <c r="J372" s="40" t="n">
        <v>1.92472098334064</v>
      </c>
      <c r="K372" s="39" t="n">
        <f aca="false">IF(G372="","",MAX(0,G372-J372/100))</f>
        <v>0.351951359039581</v>
      </c>
      <c r="L372" s="39" t="n">
        <f aca="false">IF(G372="","",MIN(1,G372+J372/100))</f>
        <v>0.390445778706394</v>
      </c>
      <c r="M372" s="21" t="n">
        <f aca="false">ROUND(Q372*S372,0)</f>
        <v>56</v>
      </c>
      <c r="N372" s="21" t="n">
        <f aca="false">ROUND(SQRT((F372*J372/100)^2+(G372*M372)^2),0)</f>
        <v>30</v>
      </c>
      <c r="P372" s="41" t="n">
        <v>-16.4453235597454</v>
      </c>
      <c r="Q372" s="42" t="n">
        <v>1118.45698924731</v>
      </c>
      <c r="R372" s="43" t="n">
        <f aca="false">MAX(0,MIN(1,P372/100+$D$5))</f>
        <v>0.371303126640345</v>
      </c>
      <c r="S372" s="43" t="n">
        <v>0.0500321312575726</v>
      </c>
      <c r="T372" s="44" t="s">
        <v>99</v>
      </c>
    </row>
    <row r="373" customFormat="false" ht="15" hidden="false" customHeight="false" outlineLevel="0" collapsed="false">
      <c r="A373" s="38" t="s">
        <v>344</v>
      </c>
      <c r="B373" s="38" t="s">
        <v>519</v>
      </c>
      <c r="C373" s="38" t="s">
        <v>519</v>
      </c>
      <c r="D373" s="21" t="n">
        <f aca="false">ROUND(Q373*R373,0)</f>
        <v>220</v>
      </c>
      <c r="E373" s="21" t="n">
        <f aca="false">ROUND(Q373,0)-D373</f>
        <v>194</v>
      </c>
      <c r="F373" s="21" t="n">
        <f aca="false">IF(COUNTA(D373:E373)=0,"",SUM(D373:E373))</f>
        <v>414</v>
      </c>
      <c r="G373" s="39" t="n">
        <f aca="false">IF(OR(F373="",F373=0),"",D373/F373)</f>
        <v>0.531400966183575</v>
      </c>
      <c r="H373" s="39" t="n">
        <f aca="false">IF(OR(F373="",F373=0),"",E373/F373)</f>
        <v>0.468599033816425</v>
      </c>
      <c r="I373" s="38" t="s">
        <v>89</v>
      </c>
      <c r="J373" s="40" t="n">
        <v>2.87480042420966</v>
      </c>
      <c r="K373" s="39" t="n">
        <f aca="false">IF(G373="","",MAX(0,G373-J373/100))</f>
        <v>0.502652961941478</v>
      </c>
      <c r="L373" s="39" t="n">
        <f aca="false">IF(G373="","",MIN(1,G373+J373/100))</f>
        <v>0.560148970425672</v>
      </c>
      <c r="M373" s="21" t="n">
        <f aca="false">ROUND(Q373*S373,0)</f>
        <v>25</v>
      </c>
      <c r="N373" s="21" t="n">
        <f aca="false">ROUND(SQRT((F373*J373/100)^2+(G373*M373)^2),0)</f>
        <v>18</v>
      </c>
      <c r="P373" s="41" t="n">
        <v>-0.460659372603536</v>
      </c>
      <c r="Q373" s="42" t="n">
        <v>414</v>
      </c>
      <c r="R373" s="43" t="n">
        <f aca="false">MAX(0,MIN(1,P373/100+$D$5))</f>
        <v>0.531149768511763</v>
      </c>
      <c r="S373" s="43" t="n">
        <v>0.0610405690258335</v>
      </c>
      <c r="T373" s="44" t="s">
        <v>90</v>
      </c>
    </row>
    <row r="374" customFormat="false" ht="15" hidden="false" customHeight="false" outlineLevel="0" collapsed="false">
      <c r="A374" s="38" t="s">
        <v>344</v>
      </c>
      <c r="B374" s="38" t="s">
        <v>520</v>
      </c>
      <c r="C374" s="38" t="s">
        <v>521</v>
      </c>
      <c r="D374" s="21" t="n">
        <f aca="false">ROUND(Q374*R374,0)</f>
        <v>461</v>
      </c>
      <c r="E374" s="21" t="n">
        <f aca="false">ROUND(Q374,0)-D374</f>
        <v>519</v>
      </c>
      <c r="F374" s="21" t="n">
        <f aca="false">IF(COUNTA(D374:E374)=0,"",SUM(D374:E374))</f>
        <v>980</v>
      </c>
      <c r="G374" s="39" t="n">
        <f aca="false">IF(OR(F374="",F374=0),"",D374/F374)</f>
        <v>0.470408163265306</v>
      </c>
      <c r="H374" s="39" t="n">
        <f aca="false">IF(OR(F374="",F374=0),"",E374/F374)</f>
        <v>0.529591836734694</v>
      </c>
      <c r="I374" s="38" t="s">
        <v>89</v>
      </c>
      <c r="J374" s="40" t="n">
        <v>1.92472098334064</v>
      </c>
      <c r="K374" s="39" t="n">
        <f aca="false">IF(G374="","",MAX(0,G374-J374/100))</f>
        <v>0.4511609534319</v>
      </c>
      <c r="L374" s="39" t="n">
        <f aca="false">IF(G374="","",MIN(1,G374+J374/100))</f>
        <v>0.489655373098712</v>
      </c>
      <c r="M374" s="21" t="n">
        <f aca="false">ROUND(Q374*S374,0)</f>
        <v>49</v>
      </c>
      <c r="N374" s="21" t="n">
        <f aca="false">ROUND(SQRT((F374*J374/100)^2+(G374*M374)^2),0)</f>
        <v>30</v>
      </c>
      <c r="P374" s="41" t="n">
        <v>-6.51884967158295</v>
      </c>
      <c r="Q374" s="42" t="n">
        <v>980</v>
      </c>
      <c r="R374" s="43" t="n">
        <f aca="false">MAX(0,MIN(1,P374/100+$D$5))</f>
        <v>0.470567865521969</v>
      </c>
      <c r="S374" s="43" t="n">
        <v>0.0500321312575726</v>
      </c>
      <c r="T374" s="44" t="s">
        <v>99</v>
      </c>
    </row>
    <row r="375" customFormat="false" ht="15" hidden="false" customHeight="false" outlineLevel="0" collapsed="false">
      <c r="A375" s="38" t="s">
        <v>344</v>
      </c>
      <c r="B375" s="38" t="s">
        <v>520</v>
      </c>
      <c r="C375" s="38" t="s">
        <v>522</v>
      </c>
      <c r="D375" s="21" t="n">
        <f aca="false">ROUND(Q375*R375,0)</f>
        <v>363</v>
      </c>
      <c r="E375" s="21" t="n">
        <f aca="false">ROUND(Q375,0)-D375</f>
        <v>482</v>
      </c>
      <c r="F375" s="21" t="n">
        <f aca="false">IF(COUNTA(D375:E375)=0,"",SUM(D375:E375))</f>
        <v>845</v>
      </c>
      <c r="G375" s="39" t="n">
        <f aca="false">IF(OR(F375="",F375=0),"",D375/F375)</f>
        <v>0.429585798816568</v>
      </c>
      <c r="H375" s="39" t="n">
        <f aca="false">IF(OR(F375="",F375=0),"",E375/F375)</f>
        <v>0.570414201183432</v>
      </c>
      <c r="I375" s="38" t="s">
        <v>89</v>
      </c>
      <c r="J375" s="40" t="n">
        <v>1.92472098334064</v>
      </c>
      <c r="K375" s="39" t="n">
        <f aca="false">IF(G375="","",MAX(0,G375-J375/100))</f>
        <v>0.410338588983162</v>
      </c>
      <c r="L375" s="39" t="n">
        <f aca="false">IF(G375="","",MIN(1,G375+J375/100))</f>
        <v>0.448833008649974</v>
      </c>
      <c r="M375" s="21" t="n">
        <f aca="false">ROUND(Q375*S375,0)</f>
        <v>42</v>
      </c>
      <c r="N375" s="21" t="n">
        <f aca="false">ROUND(SQRT((F375*J375/100)^2+(G375*M375)^2),0)</f>
        <v>24</v>
      </c>
      <c r="P375" s="41" t="n">
        <v>-10.6599163540443</v>
      </c>
      <c r="Q375" s="42" t="n">
        <v>845</v>
      </c>
      <c r="R375" s="43" t="n">
        <f aca="false">MAX(0,MIN(1,P375/100+$D$5))</f>
        <v>0.429157198697356</v>
      </c>
      <c r="S375" s="43" t="n">
        <v>0.0500321312575726</v>
      </c>
      <c r="T375" s="44" t="s">
        <v>99</v>
      </c>
    </row>
    <row r="376" customFormat="false" ht="15" hidden="false" customHeight="false" outlineLevel="0" collapsed="false">
      <c r="A376" s="38" t="s">
        <v>344</v>
      </c>
      <c r="B376" s="38" t="s">
        <v>520</v>
      </c>
      <c r="C376" s="38" t="s">
        <v>523</v>
      </c>
      <c r="D376" s="21" t="n">
        <f aca="false">ROUND(Q376*R376,0)</f>
        <v>477</v>
      </c>
      <c r="E376" s="21" t="n">
        <f aca="false">ROUND(Q376,0)-D376</f>
        <v>434</v>
      </c>
      <c r="F376" s="21" t="n">
        <f aca="false">IF(COUNTA(D376:E376)=0,"",SUM(D376:E376))</f>
        <v>911</v>
      </c>
      <c r="G376" s="39" t="n">
        <f aca="false">IF(OR(F376="",F376=0),"",D376/F376)</f>
        <v>0.523600439077936</v>
      </c>
      <c r="H376" s="39" t="n">
        <f aca="false">IF(OR(F376="",F376=0),"",E376/F376)</f>
        <v>0.476399560922064</v>
      </c>
      <c r="I376" s="38" t="s">
        <v>89</v>
      </c>
      <c r="J376" s="40" t="n">
        <v>1.92472098334064</v>
      </c>
      <c r="K376" s="39" t="n">
        <f aca="false">IF(G376="","",MAX(0,G376-J376/100))</f>
        <v>0.50435322924453</v>
      </c>
      <c r="L376" s="39" t="n">
        <f aca="false">IF(G376="","",MIN(1,G376+J376/100))</f>
        <v>0.542847648911343</v>
      </c>
      <c r="M376" s="21" t="n">
        <f aca="false">ROUND(Q376*S376,0)</f>
        <v>46</v>
      </c>
      <c r="N376" s="21" t="n">
        <f aca="false">ROUND(SQRT((F376*J376/100)^2+(G376*M376)^2),0)</f>
        <v>30</v>
      </c>
      <c r="P376" s="41" t="n">
        <v>-1.16722069556522</v>
      </c>
      <c r="Q376" s="42" t="n">
        <v>911</v>
      </c>
      <c r="R376" s="43" t="n">
        <f aca="false">MAX(0,MIN(1,P376/100+$D$5))</f>
        <v>0.524084155282147</v>
      </c>
      <c r="S376" s="43" t="n">
        <v>0.0500321312575726</v>
      </c>
      <c r="T376" s="44" t="s">
        <v>99</v>
      </c>
    </row>
    <row r="377" customFormat="false" ht="15" hidden="false" customHeight="false" outlineLevel="0" collapsed="false">
      <c r="A377" s="38" t="s">
        <v>344</v>
      </c>
      <c r="B377" s="38" t="s">
        <v>520</v>
      </c>
      <c r="C377" s="38" t="s">
        <v>524</v>
      </c>
      <c r="D377" s="21" t="n">
        <f aca="false">ROUND(Q377*R377,0)</f>
        <v>269</v>
      </c>
      <c r="E377" s="21" t="n">
        <f aca="false">ROUND(Q377,0)-D377</f>
        <v>311</v>
      </c>
      <c r="F377" s="21" t="n">
        <f aca="false">IF(COUNTA(D377:E377)=0,"",SUM(D377:E377))</f>
        <v>580</v>
      </c>
      <c r="G377" s="39" t="n">
        <f aca="false">IF(OR(F377="",F377=0),"",D377/F377)</f>
        <v>0.463793103448276</v>
      </c>
      <c r="H377" s="39" t="n">
        <f aca="false">IF(OR(F377="",F377=0),"",E377/F377)</f>
        <v>0.536206896551724</v>
      </c>
      <c r="I377" s="38" t="s">
        <v>89</v>
      </c>
      <c r="J377" s="40" t="n">
        <v>2.87480042420966</v>
      </c>
      <c r="K377" s="39" t="n">
        <f aca="false">IF(G377="","",MAX(0,G377-J377/100))</f>
        <v>0.435045099206179</v>
      </c>
      <c r="L377" s="39" t="n">
        <f aca="false">IF(G377="","",MIN(1,G377+J377/100))</f>
        <v>0.492541107690372</v>
      </c>
      <c r="M377" s="21" t="n">
        <f aca="false">ROUND(Q377*S377,0)</f>
        <v>35</v>
      </c>
      <c r="N377" s="21" t="n">
        <f aca="false">ROUND(SQRT((F377*J377/100)^2+(G377*M377)^2),0)</f>
        <v>23</v>
      </c>
      <c r="P377" s="41" t="n">
        <v>-7.20899073149821</v>
      </c>
      <c r="Q377" s="42" t="n">
        <v>580</v>
      </c>
      <c r="R377" s="43" t="n">
        <f aca="false">MAX(0,MIN(1,P377/100+$D$5))</f>
        <v>0.463666454922817</v>
      </c>
      <c r="S377" s="43" t="n">
        <v>0.0610405690258335</v>
      </c>
      <c r="T377" s="44" t="s">
        <v>90</v>
      </c>
    </row>
    <row r="378" customFormat="false" ht="15" hidden="false" customHeight="false" outlineLevel="0" collapsed="false">
      <c r="A378" s="38" t="s">
        <v>344</v>
      </c>
      <c r="B378" s="38" t="s">
        <v>525</v>
      </c>
      <c r="C378" s="38" t="s">
        <v>526</v>
      </c>
      <c r="D378" s="21" t="n">
        <f aca="false">ROUND(Q378*R378,0)</f>
        <v>463</v>
      </c>
      <c r="E378" s="21" t="n">
        <f aca="false">ROUND(Q378,0)-D378</f>
        <v>280</v>
      </c>
      <c r="F378" s="21" t="n">
        <f aca="false">IF(COUNTA(D378:E378)=0,"",SUM(D378:E378))</f>
        <v>743</v>
      </c>
      <c r="G378" s="39" t="n">
        <f aca="false">IF(OR(F378="",F378=0),"",D378/F378)</f>
        <v>0.623149394347241</v>
      </c>
      <c r="H378" s="39" t="n">
        <f aca="false">IF(OR(F378="",F378=0),"",E378/F378)</f>
        <v>0.376850605652759</v>
      </c>
      <c r="I378" s="38" t="s">
        <v>89</v>
      </c>
      <c r="J378" s="40" t="n">
        <v>2.87480042420966</v>
      </c>
      <c r="K378" s="39" t="n">
        <f aca="false">IF(G378="","",MAX(0,G378-J378/100))</f>
        <v>0.594401390105144</v>
      </c>
      <c r="L378" s="39" t="n">
        <f aca="false">IF(G378="","",MIN(1,G378+J378/100))</f>
        <v>0.651897398589338</v>
      </c>
      <c r="M378" s="21" t="n">
        <f aca="false">ROUND(Q378*S378,0)</f>
        <v>45</v>
      </c>
      <c r="N378" s="21" t="n">
        <f aca="false">ROUND(SQRT((F378*J378/100)^2+(G378*M378)^2),0)</f>
        <v>35</v>
      </c>
      <c r="P378" s="41" t="n">
        <v>8.77368716869717</v>
      </c>
      <c r="Q378" s="42" t="n">
        <v>743</v>
      </c>
      <c r="R378" s="43" t="n">
        <f aca="false">MAX(0,MIN(1,P378/100+$D$5))</f>
        <v>0.623493233924771</v>
      </c>
      <c r="S378" s="43" t="n">
        <v>0.0610405690258335</v>
      </c>
      <c r="T378" s="44" t="s">
        <v>90</v>
      </c>
    </row>
    <row r="379" customFormat="false" ht="15" hidden="false" customHeight="false" outlineLevel="0" collapsed="false">
      <c r="A379" s="38" t="s">
        <v>344</v>
      </c>
      <c r="B379" s="38" t="s">
        <v>525</v>
      </c>
      <c r="C379" s="38" t="s">
        <v>527</v>
      </c>
      <c r="D379" s="21" t="n">
        <f aca="false">ROUND(Q379*R379,0)</f>
        <v>364</v>
      </c>
      <c r="E379" s="21" t="n">
        <f aca="false">ROUND(Q379,0)-D379</f>
        <v>240</v>
      </c>
      <c r="F379" s="21" t="n">
        <f aca="false">IF(COUNTA(D379:E379)=0,"",SUM(D379:E379))</f>
        <v>604</v>
      </c>
      <c r="G379" s="39" t="n">
        <f aca="false">IF(OR(F379="",F379=0),"",D379/F379)</f>
        <v>0.602649006622517</v>
      </c>
      <c r="H379" s="39" t="n">
        <f aca="false">IF(OR(F379="",F379=0),"",E379/F379)</f>
        <v>0.397350993377483</v>
      </c>
      <c r="I379" s="38" t="s">
        <v>89</v>
      </c>
      <c r="J379" s="40" t="n">
        <v>2.87480042420966</v>
      </c>
      <c r="K379" s="39" t="n">
        <f aca="false">IF(G379="","",MAX(0,G379-J379/100))</f>
        <v>0.57390100238042</v>
      </c>
      <c r="L379" s="39" t="n">
        <f aca="false">IF(G379="","",MIN(1,G379+J379/100))</f>
        <v>0.631397010864613</v>
      </c>
      <c r="M379" s="21" t="n">
        <f aca="false">ROUND(Q379*S379,0)</f>
        <v>37</v>
      </c>
      <c r="N379" s="21" t="n">
        <f aca="false">ROUND(SQRT((F379*J379/100)^2+(G379*M379)^2),0)</f>
        <v>28</v>
      </c>
      <c r="P379" s="41" t="n">
        <v>6.67146965831986</v>
      </c>
      <c r="Q379" s="42" t="n">
        <v>604</v>
      </c>
      <c r="R379" s="43" t="n">
        <f aca="false">MAX(0,MIN(1,P379/100+$D$5))</f>
        <v>0.602471058820997</v>
      </c>
      <c r="S379" s="43" t="n">
        <v>0.0610405690258335</v>
      </c>
      <c r="T379" s="44" t="s">
        <v>90</v>
      </c>
    </row>
    <row r="380" customFormat="false" ht="15" hidden="false" customHeight="false" outlineLevel="0" collapsed="false">
      <c r="A380" s="38" t="s">
        <v>344</v>
      </c>
      <c r="B380" s="38" t="s">
        <v>525</v>
      </c>
      <c r="C380" s="38" t="s">
        <v>528</v>
      </c>
      <c r="D380" s="21" t="n">
        <f aca="false">ROUND(Q380*R380,0)</f>
        <v>555</v>
      </c>
      <c r="E380" s="21" t="n">
        <f aca="false">ROUND(Q380,0)-D380</f>
        <v>391</v>
      </c>
      <c r="F380" s="21" t="n">
        <f aca="false">IF(COUNTA(D380:E380)=0,"",SUM(D380:E380))</f>
        <v>946</v>
      </c>
      <c r="G380" s="39" t="n">
        <f aca="false">IF(OR(F380="",F380=0),"",D380/F380)</f>
        <v>0.586680761099366</v>
      </c>
      <c r="H380" s="39" t="n">
        <f aca="false">IF(OR(F380="",F380=0),"",E380/F380)</f>
        <v>0.413319238900634</v>
      </c>
      <c r="I380" s="38" t="s">
        <v>89</v>
      </c>
      <c r="J380" s="40" t="n">
        <v>1.92472098334064</v>
      </c>
      <c r="K380" s="39" t="n">
        <f aca="false">IF(G380="","",MAX(0,G380-J380/100))</f>
        <v>0.567433551265959</v>
      </c>
      <c r="L380" s="39" t="n">
        <f aca="false">IF(G380="","",MIN(1,G380+J380/100))</f>
        <v>0.605927970932772</v>
      </c>
      <c r="M380" s="21" t="n">
        <f aca="false">ROUND(Q380*S380,0)</f>
        <v>47</v>
      </c>
      <c r="N380" s="21" t="n">
        <f aca="false">ROUND(SQRT((F380*J380/100)^2+(G380*M380)^2),0)</f>
        <v>33</v>
      </c>
      <c r="P380" s="41" t="n">
        <v>5.07940893753921</v>
      </c>
      <c r="Q380" s="42" t="n">
        <v>946</v>
      </c>
      <c r="R380" s="43" t="n">
        <f aca="false">MAX(0,MIN(1,P380/100+$D$5))</f>
        <v>0.586550451613191</v>
      </c>
      <c r="S380" s="43" t="n">
        <v>0.0500321312575726</v>
      </c>
      <c r="T380" s="44" t="s">
        <v>99</v>
      </c>
    </row>
    <row r="381" customFormat="false" ht="15" hidden="false" customHeight="false" outlineLevel="0" collapsed="false">
      <c r="A381" s="38" t="s">
        <v>344</v>
      </c>
      <c r="B381" s="38" t="s">
        <v>529</v>
      </c>
      <c r="C381" s="38" t="s">
        <v>529</v>
      </c>
      <c r="D381" s="21" t="n">
        <f aca="false">ROUND(Q381*R381,0)</f>
        <v>520</v>
      </c>
      <c r="E381" s="21" t="n">
        <f aca="false">ROUND(Q381,0)-D381</f>
        <v>575</v>
      </c>
      <c r="F381" s="21" t="n">
        <f aca="false">IF(COUNTA(D381:E381)=0,"",SUM(D381:E381))</f>
        <v>1095</v>
      </c>
      <c r="G381" s="39" t="n">
        <f aca="false">IF(OR(F381="",F381=0),"",D381/F381)</f>
        <v>0.474885844748858</v>
      </c>
      <c r="H381" s="39" t="n">
        <f aca="false">IF(OR(F381="",F381=0),"",E381/F381)</f>
        <v>0.525114155251142</v>
      </c>
      <c r="I381" s="38" t="s">
        <v>89</v>
      </c>
      <c r="J381" s="40" t="n">
        <v>1.92472098334064</v>
      </c>
      <c r="K381" s="39" t="n">
        <f aca="false">IF(G381="","",MAX(0,G381-J381/100))</f>
        <v>0.455638634915452</v>
      </c>
      <c r="L381" s="39" t="n">
        <f aca="false">IF(G381="","",MIN(1,G381+J381/100))</f>
        <v>0.494133054582265</v>
      </c>
      <c r="M381" s="21" t="n">
        <f aca="false">ROUND(Q381*S381,0)</f>
        <v>55</v>
      </c>
      <c r="N381" s="21" t="n">
        <f aca="false">ROUND(SQRT((F381*J381/100)^2+(G381*M381)^2),0)</f>
        <v>34</v>
      </c>
      <c r="P381" s="41" t="n">
        <v>-6.12396844014468</v>
      </c>
      <c r="Q381" s="42" t="n">
        <v>1095</v>
      </c>
      <c r="R381" s="43" t="n">
        <f aca="false">MAX(0,MIN(1,P381/100+$D$5))</f>
        <v>0.474516677836352</v>
      </c>
      <c r="S381" s="43" t="n">
        <v>0.0500321312575726</v>
      </c>
      <c r="T381" s="44" t="s">
        <v>99</v>
      </c>
    </row>
  </sheetData>
  <mergeCells count="4">
    <mergeCell ref="A3:I3"/>
    <mergeCell ref="A6:N6"/>
    <mergeCell ref="A9:N9"/>
    <mergeCell ref="A10:N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532</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533</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B5-SUMPRODUCT(P12:P381,Q12:Q381)/SUM(Q12:Q381)/100</f>
        <v>0.525218444726965</v>
      </c>
      <c r="E5" s="2" t="s">
        <v>63</v>
      </c>
      <c r="F5" s="31" t="n">
        <v>2.23303589483125</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SUM(D12:D381)</f>
        <v>158260</v>
      </c>
      <c r="E8" s="32" t="n">
        <f aca="false">SUM(E12:E381)</f>
        <v>141363</v>
      </c>
      <c r="F8" s="32" t="n">
        <f aca="false">D8+E8</f>
        <v>299623</v>
      </c>
      <c r="G8" s="33" t="n">
        <f aca="false">IF(F8=0,"",D8/F8)</f>
        <v>0.52819710102362</v>
      </c>
      <c r="H8" s="33" t="n">
        <f aca="false">IF(F8=0,"",E8/F8)</f>
        <v>0.47180289897638</v>
      </c>
      <c r="I8" s="11" t="s">
        <v>77</v>
      </c>
      <c r="J8" s="34" t="n">
        <v>2.23303589483125</v>
      </c>
      <c r="K8" s="33" t="n">
        <f aca="false">G8-J8/100</f>
        <v>0.505866742075307</v>
      </c>
      <c r="L8" s="33" t="n">
        <f aca="false">G8+J8/100</f>
        <v>0.550527459971932</v>
      </c>
      <c r="M8" s="32" t="n">
        <f aca="false">ROUND(F8*0.0291,0)</f>
        <v>8719</v>
      </c>
      <c r="N8" s="32" t="n">
        <f aca="false">ROUND(SQRT((F8*J8/100)^2+(G8*M8)^2),0)</f>
        <v>8122</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88</v>
      </c>
      <c r="D12" s="21" t="n">
        <f aca="false">ROUND(Q12*R12,0)</f>
        <v>169</v>
      </c>
      <c r="E12" s="21" t="n">
        <f aca="false">ROUND(Q12,0)-D12</f>
        <v>217</v>
      </c>
      <c r="F12" s="21" t="n">
        <f aca="false">IF(COUNTA(D12:E12)=0,"",SUM(D12:E12))</f>
        <v>386</v>
      </c>
      <c r="G12" s="39" t="n">
        <f aca="false">IF(OR(F12="",F12=0),"",D12/F12)</f>
        <v>0.437823834196891</v>
      </c>
      <c r="H12" s="39" t="n">
        <f aca="false">IF(OR(F12="",F12=0),"",E12/F12)</f>
        <v>0.562176165803109</v>
      </c>
      <c r="I12" s="38" t="s">
        <v>89</v>
      </c>
      <c r="J12" s="40" t="n">
        <v>3.45317612968717</v>
      </c>
      <c r="K12" s="39" t="n">
        <f aca="false">IF(G12="","",MAX(0,G12-J12/100))</f>
        <v>0.40329207290002</v>
      </c>
      <c r="L12" s="39" t="n">
        <f aca="false">IF(G12="","",MIN(1,G12+J12/100))</f>
        <v>0.472355595493763</v>
      </c>
      <c r="M12" s="21" t="n">
        <f aca="false">ROUND(Q12*S12,0)</f>
        <v>24</v>
      </c>
      <c r="N12" s="21" t="n">
        <f aca="false">ROUND(SQRT((F12*J12/100)^2+(G12*M12)^2),0)</f>
        <v>17</v>
      </c>
      <c r="P12" s="41" t="n">
        <v>-8.80152705169945</v>
      </c>
      <c r="Q12" s="42" t="n">
        <v>386</v>
      </c>
      <c r="R12" s="43" t="n">
        <f aca="false">MAX(0,MIN(1,P12/100+$D$5))</f>
        <v>0.43720317420997</v>
      </c>
      <c r="S12" s="43" t="n">
        <v>0.0610405690258335</v>
      </c>
      <c r="T12" s="44" t="s">
        <v>90</v>
      </c>
    </row>
    <row r="13" customFormat="false" ht="15" hidden="false" customHeight="false" outlineLevel="0" collapsed="false">
      <c r="A13" s="38" t="s">
        <v>87</v>
      </c>
      <c r="B13" s="38" t="s">
        <v>91</v>
      </c>
      <c r="C13" s="38" t="s">
        <v>91</v>
      </c>
      <c r="D13" s="21" t="n">
        <f aca="false">ROUND(Q13*R13,0)</f>
        <v>99</v>
      </c>
      <c r="E13" s="21" t="n">
        <f aca="false">ROUND(Q13,0)-D13</f>
        <v>215</v>
      </c>
      <c r="F13" s="21" t="n">
        <f aca="false">IF(COUNTA(D13:E13)=0,"",SUM(D13:E13))</f>
        <v>314</v>
      </c>
      <c r="G13" s="39" t="n">
        <f aca="false">IF(OR(F13="",F13=0),"",D13/F13)</f>
        <v>0.315286624203822</v>
      </c>
      <c r="H13" s="39" t="n">
        <f aca="false">IF(OR(F13="",F13=0),"",E13/F13)</f>
        <v>0.684713375796178</v>
      </c>
      <c r="I13" s="38" t="s">
        <v>89</v>
      </c>
      <c r="J13" s="40" t="n">
        <v>3.45317612968717</v>
      </c>
      <c r="K13" s="39" t="n">
        <f aca="false">IF(G13="","",MAX(0,G13-J13/100))</f>
        <v>0.28075486290695</v>
      </c>
      <c r="L13" s="39" t="n">
        <f aca="false">IF(G13="","",MIN(1,G13+J13/100))</f>
        <v>0.349818385500693</v>
      </c>
      <c r="M13" s="21" t="n">
        <f aca="false">ROUND(Q13*S13,0)</f>
        <v>19</v>
      </c>
      <c r="N13" s="21" t="n">
        <f aca="false">ROUND(SQRT((F13*J13/100)^2+(G13*M13)^2),0)</f>
        <v>12</v>
      </c>
      <c r="P13" s="41" t="n">
        <v>-21.0599191008202</v>
      </c>
      <c r="Q13" s="42" t="n">
        <v>314</v>
      </c>
      <c r="R13" s="43" t="n">
        <f aca="false">MAX(0,MIN(1,P13/100+$D$5))</f>
        <v>0.314619253718763</v>
      </c>
      <c r="S13" s="43" t="n">
        <v>0.0610405690258335</v>
      </c>
      <c r="T13" s="44" t="s">
        <v>90</v>
      </c>
    </row>
    <row r="14" customFormat="false" ht="15" hidden="false" customHeight="false" outlineLevel="0" collapsed="false">
      <c r="A14" s="38" t="s">
        <v>87</v>
      </c>
      <c r="B14" s="38" t="s">
        <v>92</v>
      </c>
      <c r="C14" s="38" t="s">
        <v>92</v>
      </c>
      <c r="D14" s="21" t="n">
        <f aca="false">ROUND(Q14*R14,0)</f>
        <v>123</v>
      </c>
      <c r="E14" s="21" t="n">
        <f aca="false">ROUND(Q14,0)-D14</f>
        <v>225</v>
      </c>
      <c r="F14" s="21" t="n">
        <f aca="false">IF(COUNTA(D14:E14)=0,"",SUM(D14:E14))</f>
        <v>348</v>
      </c>
      <c r="G14" s="39" t="n">
        <f aca="false">IF(OR(F14="",F14=0),"",D14/F14)</f>
        <v>0.353448275862069</v>
      </c>
      <c r="H14" s="39" t="n">
        <f aca="false">IF(OR(F14="",F14=0),"",E14/F14)</f>
        <v>0.646551724137931</v>
      </c>
      <c r="I14" s="38" t="s">
        <v>89</v>
      </c>
      <c r="J14" s="40" t="n">
        <v>3.45317612968717</v>
      </c>
      <c r="K14" s="39" t="n">
        <f aca="false">IF(G14="","",MAX(0,G14-J14/100))</f>
        <v>0.318916514565197</v>
      </c>
      <c r="L14" s="39" t="n">
        <f aca="false">IF(G14="","",MIN(1,G14+J14/100))</f>
        <v>0.387980037158941</v>
      </c>
      <c r="M14" s="21" t="n">
        <f aca="false">ROUND(Q14*S14,0)</f>
        <v>21</v>
      </c>
      <c r="N14" s="21" t="n">
        <f aca="false">ROUND(SQRT((F14*J14/100)^2+(G14*M14)^2),0)</f>
        <v>14</v>
      </c>
      <c r="P14" s="41" t="n">
        <v>-17.2165092559815</v>
      </c>
      <c r="Q14" s="42" t="n">
        <v>348</v>
      </c>
      <c r="R14" s="43" t="n">
        <f aca="false">MAX(0,MIN(1,P14/100+$D$5))</f>
        <v>0.353053352167149</v>
      </c>
      <c r="S14" s="43" t="n">
        <v>0.0610405690258335</v>
      </c>
      <c r="T14" s="44" t="s">
        <v>90</v>
      </c>
    </row>
    <row r="15" customFormat="false" ht="15" hidden="false" customHeight="false" outlineLevel="0" collapsed="false">
      <c r="A15" s="38" t="s">
        <v>87</v>
      </c>
      <c r="B15" s="38" t="s">
        <v>93</v>
      </c>
      <c r="C15" s="38" t="s">
        <v>94</v>
      </c>
      <c r="D15" s="21" t="n">
        <f aca="false">ROUND(Q15*R15,0)</f>
        <v>197</v>
      </c>
      <c r="E15" s="21" t="n">
        <f aca="false">ROUND(Q15,0)-D15</f>
        <v>501</v>
      </c>
      <c r="F15" s="21" t="n">
        <f aca="false">IF(COUNTA(D15:E15)=0,"",SUM(D15:E15))</f>
        <v>698</v>
      </c>
      <c r="G15" s="39" t="n">
        <f aca="false">IF(OR(F15="",F15=0),"",D15/F15)</f>
        <v>0.282234957020057</v>
      </c>
      <c r="H15" s="39" t="n">
        <f aca="false">IF(OR(F15="",F15=0),"",E15/F15)</f>
        <v>0.717765042979943</v>
      </c>
      <c r="I15" s="38" t="s">
        <v>89</v>
      </c>
      <c r="J15" s="40" t="n">
        <v>3.45317612968717</v>
      </c>
      <c r="K15" s="39" t="n">
        <f aca="false">IF(G15="","",MAX(0,G15-J15/100))</f>
        <v>0.247703195723186</v>
      </c>
      <c r="L15" s="39" t="n">
        <f aca="false">IF(G15="","",MIN(1,G15+J15/100))</f>
        <v>0.316766718316929</v>
      </c>
      <c r="M15" s="21" t="n">
        <f aca="false">ROUND(Q15*S15,0)</f>
        <v>43</v>
      </c>
      <c r="N15" s="21" t="n">
        <f aca="false">ROUND(SQRT((F15*J15/100)^2+(G15*M15)^2),0)</f>
        <v>27</v>
      </c>
      <c r="P15" s="41" t="n">
        <v>-24.3697989929166</v>
      </c>
      <c r="Q15" s="42" t="n">
        <v>698</v>
      </c>
      <c r="R15" s="43" t="n">
        <f aca="false">MAX(0,MIN(1,P15/100+$D$5))</f>
        <v>0.281520454797798</v>
      </c>
      <c r="S15" s="43" t="n">
        <v>0.0610405690258335</v>
      </c>
      <c r="T15" s="44" t="s">
        <v>90</v>
      </c>
    </row>
    <row r="16" customFormat="false" ht="15" hidden="false" customHeight="false" outlineLevel="0" collapsed="false">
      <c r="A16" s="38" t="s">
        <v>87</v>
      </c>
      <c r="B16" s="38" t="s">
        <v>93</v>
      </c>
      <c r="C16" s="38" t="s">
        <v>95</v>
      </c>
      <c r="D16" s="21" t="n">
        <f aca="false">ROUND(Q16*R16,0)</f>
        <v>187</v>
      </c>
      <c r="E16" s="21" t="n">
        <f aca="false">ROUND(Q16,0)-D16</f>
        <v>412</v>
      </c>
      <c r="F16" s="21" t="n">
        <f aca="false">IF(COUNTA(D16:E16)=0,"",SUM(D16:E16))</f>
        <v>599</v>
      </c>
      <c r="G16" s="39" t="n">
        <f aca="false">IF(OR(F16="",F16=0),"",D16/F16)</f>
        <v>0.312186978297162</v>
      </c>
      <c r="H16" s="39" t="n">
        <f aca="false">IF(OR(F16="",F16=0),"",E16/F16)</f>
        <v>0.687813021702838</v>
      </c>
      <c r="I16" s="38" t="s">
        <v>89</v>
      </c>
      <c r="J16" s="40" t="n">
        <v>3.45317612968717</v>
      </c>
      <c r="K16" s="39" t="n">
        <f aca="false">IF(G16="","",MAX(0,G16-J16/100))</f>
        <v>0.27765521700029</v>
      </c>
      <c r="L16" s="39" t="n">
        <f aca="false">IF(G16="","",MIN(1,G16+J16/100))</f>
        <v>0.346718739594034</v>
      </c>
      <c r="M16" s="21" t="n">
        <f aca="false">ROUND(Q16*S16,0)</f>
        <v>37</v>
      </c>
      <c r="N16" s="21" t="n">
        <f aca="false">ROUND(SQRT((F16*J16/100)^2+(G16*M16)^2),0)</f>
        <v>24</v>
      </c>
      <c r="P16" s="41" t="n">
        <v>-21.3611169820684</v>
      </c>
      <c r="Q16" s="42" t="n">
        <v>599</v>
      </c>
      <c r="R16" s="43" t="n">
        <f aca="false">MAX(0,MIN(1,P16/100+$D$5))</f>
        <v>0.311607274906281</v>
      </c>
      <c r="S16" s="43" t="n">
        <v>0.0610405690258335</v>
      </c>
      <c r="T16" s="44" t="s">
        <v>90</v>
      </c>
    </row>
    <row r="17" customFormat="false" ht="15" hidden="false" customHeight="false" outlineLevel="0" collapsed="false">
      <c r="A17" s="38" t="s">
        <v>87</v>
      </c>
      <c r="B17" s="38" t="s">
        <v>96</v>
      </c>
      <c r="C17" s="38" t="s">
        <v>96</v>
      </c>
      <c r="D17" s="21" t="n">
        <f aca="false">ROUND(Q17*R17,0)</f>
        <v>35</v>
      </c>
      <c r="E17" s="21" t="n">
        <f aca="false">ROUND(Q17,0)-D17</f>
        <v>59</v>
      </c>
      <c r="F17" s="21" t="n">
        <f aca="false">IF(COUNTA(D17:E17)=0,"",SUM(D17:E17))</f>
        <v>94</v>
      </c>
      <c r="G17" s="39" t="n">
        <f aca="false">IF(OR(F17="",F17=0),"",D17/F17)</f>
        <v>0.372340425531915</v>
      </c>
      <c r="H17" s="39" t="n">
        <f aca="false">IF(OR(F17="",F17=0),"",E17/F17)</f>
        <v>0.627659574468085</v>
      </c>
      <c r="I17" s="38" t="s">
        <v>89</v>
      </c>
      <c r="J17" s="40" t="n">
        <v>3.45317612968717</v>
      </c>
      <c r="K17" s="39" t="n">
        <f aca="false">IF(G17="","",MAX(0,G17-J17/100))</f>
        <v>0.337808664235043</v>
      </c>
      <c r="L17" s="39" t="n">
        <f aca="false">IF(G17="","",MIN(1,G17+J17/100))</f>
        <v>0.406872186828787</v>
      </c>
      <c r="M17" s="21" t="n">
        <f aca="false">ROUND(Q17*S17,0)</f>
        <v>6</v>
      </c>
      <c r="N17" s="21" t="n">
        <f aca="false">ROUND(SQRT((F17*J17/100)^2+(G17*M17)^2),0)</f>
        <v>4</v>
      </c>
      <c r="P17" s="41" t="n">
        <v>-15.0197640998559</v>
      </c>
      <c r="Q17" s="42" t="n">
        <v>94</v>
      </c>
      <c r="R17" s="43" t="n">
        <f aca="false">MAX(0,MIN(1,P17/100+$D$5))</f>
        <v>0.375020803728406</v>
      </c>
      <c r="S17" s="43" t="n">
        <v>0.0610405690258335</v>
      </c>
      <c r="T17" s="44" t="s">
        <v>90</v>
      </c>
    </row>
    <row r="18" customFormat="false" ht="15" hidden="false" customHeight="false" outlineLevel="0" collapsed="false">
      <c r="A18" s="38" t="s">
        <v>87</v>
      </c>
      <c r="B18" s="38" t="s">
        <v>97</v>
      </c>
      <c r="C18" s="38" t="s">
        <v>98</v>
      </c>
      <c r="D18" s="21" t="n">
        <f aca="false">ROUND(Q18*R18,0)</f>
        <v>263</v>
      </c>
      <c r="E18" s="21" t="n">
        <f aca="false">ROUND(Q18,0)-D18</f>
        <v>576</v>
      </c>
      <c r="F18" s="21" t="n">
        <f aca="false">IF(COUNTA(D18:E18)=0,"",SUM(D18:E18))</f>
        <v>839</v>
      </c>
      <c r="G18" s="39" t="n">
        <f aca="false">IF(OR(F18="",F18=0),"",D18/F18)</f>
        <v>0.313468414779499</v>
      </c>
      <c r="H18" s="39" t="n">
        <f aca="false">IF(OR(F18="",F18=0),"",E18/F18)</f>
        <v>0.686531585220501</v>
      </c>
      <c r="I18" s="38" t="s">
        <v>89</v>
      </c>
      <c r="J18" s="40" t="n">
        <v>2.05025038892674</v>
      </c>
      <c r="K18" s="39" t="n">
        <f aca="false">IF(G18="","",MAX(0,G18-J18/100))</f>
        <v>0.292965910890232</v>
      </c>
      <c r="L18" s="39" t="n">
        <f aca="false">IF(G18="","",MIN(1,G18+J18/100))</f>
        <v>0.333970918668767</v>
      </c>
      <c r="M18" s="21" t="n">
        <f aca="false">ROUND(Q18*S18,0)</f>
        <v>42</v>
      </c>
      <c r="N18" s="21" t="n">
        <f aca="false">ROUND(SQRT((F18*J18/100)^2+(G18*M18)^2),0)</f>
        <v>22</v>
      </c>
      <c r="P18" s="41" t="n">
        <v>-21.1434102692817</v>
      </c>
      <c r="Q18" s="42" t="n">
        <v>839</v>
      </c>
      <c r="R18" s="43" t="n">
        <f aca="false">MAX(0,MIN(1,P18/100+$D$5))</f>
        <v>0.313784342034148</v>
      </c>
      <c r="S18" s="43" t="n">
        <v>0.0500321312575726</v>
      </c>
      <c r="T18" s="44" t="s">
        <v>99</v>
      </c>
    </row>
    <row r="19" customFormat="false" ht="15" hidden="false" customHeight="false" outlineLevel="0" collapsed="false">
      <c r="A19" s="38" t="s">
        <v>87</v>
      </c>
      <c r="B19" s="38" t="s">
        <v>97</v>
      </c>
      <c r="C19" s="38" t="s">
        <v>100</v>
      </c>
      <c r="D19" s="21" t="n">
        <f aca="false">ROUND(Q19*R19,0)</f>
        <v>138</v>
      </c>
      <c r="E19" s="21" t="n">
        <f aca="false">ROUND(Q19,0)-D19</f>
        <v>316</v>
      </c>
      <c r="F19" s="21" t="n">
        <f aca="false">IF(COUNTA(D19:E19)=0,"",SUM(D19:E19))</f>
        <v>454</v>
      </c>
      <c r="G19" s="39" t="n">
        <f aca="false">IF(OR(F19="",F19=0),"",D19/F19)</f>
        <v>0.303964757709251</v>
      </c>
      <c r="H19" s="39" t="n">
        <f aca="false">IF(OR(F19="",F19=0),"",E19/F19)</f>
        <v>0.696035242290749</v>
      </c>
      <c r="I19" s="38" t="s">
        <v>89</v>
      </c>
      <c r="J19" s="40" t="n">
        <v>3.45317612968717</v>
      </c>
      <c r="K19" s="39" t="n">
        <f aca="false">IF(G19="","",MAX(0,G19-J19/100))</f>
        <v>0.269432996412379</v>
      </c>
      <c r="L19" s="39" t="n">
        <f aca="false">IF(G19="","",MIN(1,G19+J19/100))</f>
        <v>0.338496519006123</v>
      </c>
      <c r="M19" s="21" t="n">
        <f aca="false">ROUND(Q19*S19,0)</f>
        <v>28</v>
      </c>
      <c r="N19" s="21" t="n">
        <f aca="false">ROUND(SQRT((F19*J19/100)^2+(G19*M19)^2),0)</f>
        <v>18</v>
      </c>
      <c r="P19" s="41" t="n">
        <v>-22.222719656151</v>
      </c>
      <c r="Q19" s="42" t="n">
        <v>454</v>
      </c>
      <c r="R19" s="43" t="n">
        <f aca="false">MAX(0,MIN(1,P19/100+$D$5))</f>
        <v>0.302991248165455</v>
      </c>
      <c r="S19" s="43" t="n">
        <v>0.0610405690258335</v>
      </c>
      <c r="T19" s="44" t="s">
        <v>90</v>
      </c>
    </row>
    <row r="20" customFormat="false" ht="15" hidden="false" customHeight="false" outlineLevel="0" collapsed="false">
      <c r="A20" s="38" t="s">
        <v>87</v>
      </c>
      <c r="B20" s="38" t="s">
        <v>97</v>
      </c>
      <c r="C20" s="38" t="s">
        <v>101</v>
      </c>
      <c r="D20" s="21" t="n">
        <f aca="false">ROUND(Q20*R20,0)</f>
        <v>201</v>
      </c>
      <c r="E20" s="21" t="n">
        <f aca="false">ROUND(Q20,0)-D20</f>
        <v>464</v>
      </c>
      <c r="F20" s="21" t="n">
        <f aca="false">IF(COUNTA(D20:E20)=0,"",SUM(D20:E20))</f>
        <v>665</v>
      </c>
      <c r="G20" s="39" t="n">
        <f aca="false">IF(OR(F20="",F20=0),"",D20/F20)</f>
        <v>0.302255639097744</v>
      </c>
      <c r="H20" s="39" t="n">
        <f aca="false">IF(OR(F20="",F20=0),"",E20/F20)</f>
        <v>0.697744360902256</v>
      </c>
      <c r="I20" s="38" t="s">
        <v>89</v>
      </c>
      <c r="J20" s="40" t="n">
        <v>3.45317612968717</v>
      </c>
      <c r="K20" s="39" t="n">
        <f aca="false">IF(G20="","",MAX(0,G20-J20/100))</f>
        <v>0.267723877800873</v>
      </c>
      <c r="L20" s="39" t="n">
        <f aca="false">IF(G20="","",MIN(1,G20+J20/100))</f>
        <v>0.336787400394616</v>
      </c>
      <c r="M20" s="21" t="n">
        <f aca="false">ROUND(Q20*S20,0)</f>
        <v>41</v>
      </c>
      <c r="N20" s="21" t="n">
        <f aca="false">ROUND(SQRT((F20*J20/100)^2+(G20*M20)^2),0)</f>
        <v>26</v>
      </c>
      <c r="P20" s="41" t="n">
        <v>-22.3505795963494</v>
      </c>
      <c r="Q20" s="42" t="n">
        <v>665</v>
      </c>
      <c r="R20" s="43" t="n">
        <f aca="false">MAX(0,MIN(1,P20/100+$D$5))</f>
        <v>0.301712648763471</v>
      </c>
      <c r="S20" s="43" t="n">
        <v>0.0610405690258335</v>
      </c>
      <c r="T20" s="44" t="s">
        <v>90</v>
      </c>
    </row>
    <row r="21" customFormat="false" ht="15" hidden="false" customHeight="false" outlineLevel="0" collapsed="false">
      <c r="A21" s="38" t="s">
        <v>87</v>
      </c>
      <c r="B21" s="38" t="s">
        <v>102</v>
      </c>
      <c r="C21" s="38" t="s">
        <v>103</v>
      </c>
      <c r="D21" s="21" t="n">
        <f aca="false">ROUND(Q21*R21,0)</f>
        <v>215</v>
      </c>
      <c r="E21" s="21" t="n">
        <f aca="false">ROUND(Q21,0)-D21</f>
        <v>225</v>
      </c>
      <c r="F21" s="21" t="n">
        <f aca="false">IF(COUNTA(D21:E21)=0,"",SUM(D21:E21))</f>
        <v>440</v>
      </c>
      <c r="G21" s="39" t="n">
        <f aca="false">IF(OR(F21="",F21=0),"",D21/F21)</f>
        <v>0.488636363636364</v>
      </c>
      <c r="H21" s="39" t="n">
        <f aca="false">IF(OR(F21="",F21=0),"",E21/F21)</f>
        <v>0.511363636363636</v>
      </c>
      <c r="I21" s="38" t="s">
        <v>89</v>
      </c>
      <c r="J21" s="40" t="n">
        <v>3.45317612968717</v>
      </c>
      <c r="K21" s="39" t="n">
        <f aca="false">IF(G21="","",MAX(0,G21-J21/100))</f>
        <v>0.454104602339492</v>
      </c>
      <c r="L21" s="39" t="n">
        <f aca="false">IF(G21="","",MIN(1,G21+J21/100))</f>
        <v>0.523168124933235</v>
      </c>
      <c r="M21" s="21" t="n">
        <f aca="false">ROUND(Q21*S21,0)</f>
        <v>27</v>
      </c>
      <c r="N21" s="21" t="n">
        <f aca="false">ROUND(SQRT((F21*J21/100)^2+(G21*M21)^2),0)</f>
        <v>20</v>
      </c>
      <c r="P21" s="41" t="n">
        <v>-3.64131479846973</v>
      </c>
      <c r="Q21" s="42" t="n">
        <v>440</v>
      </c>
      <c r="R21" s="43" t="n">
        <f aca="false">MAX(0,MIN(1,P21/100+$D$5))</f>
        <v>0.488805296742267</v>
      </c>
      <c r="S21" s="43" t="n">
        <v>0.0610405690258335</v>
      </c>
      <c r="T21" s="44" t="s">
        <v>90</v>
      </c>
    </row>
    <row r="22" customFormat="false" ht="15" hidden="false" customHeight="false" outlineLevel="0" collapsed="false">
      <c r="A22" s="38" t="s">
        <v>87</v>
      </c>
      <c r="B22" s="38" t="s">
        <v>102</v>
      </c>
      <c r="C22" s="38" t="s">
        <v>104</v>
      </c>
      <c r="D22" s="21" t="n">
        <f aca="false">ROUND(Q22*R22,0)</f>
        <v>140</v>
      </c>
      <c r="E22" s="21" t="n">
        <f aca="false">ROUND(Q22,0)-D22</f>
        <v>157</v>
      </c>
      <c r="F22" s="21" t="n">
        <f aca="false">IF(COUNTA(D22:E22)=0,"",SUM(D22:E22))</f>
        <v>297</v>
      </c>
      <c r="G22" s="39" t="n">
        <f aca="false">IF(OR(F22="",F22=0),"",D22/F22)</f>
        <v>0.471380471380471</v>
      </c>
      <c r="H22" s="39" t="n">
        <f aca="false">IF(OR(F22="",F22=0),"",E22/F22)</f>
        <v>0.528619528619529</v>
      </c>
      <c r="I22" s="38" t="s">
        <v>89</v>
      </c>
      <c r="J22" s="40" t="n">
        <v>3.45317612968717</v>
      </c>
      <c r="K22" s="39" t="n">
        <f aca="false">IF(G22="","",MAX(0,G22-J22/100))</f>
        <v>0.4368487100836</v>
      </c>
      <c r="L22" s="39" t="n">
        <f aca="false">IF(G22="","",MIN(1,G22+J22/100))</f>
        <v>0.505912232677343</v>
      </c>
      <c r="M22" s="21" t="n">
        <f aca="false">ROUND(Q22*S22,0)</f>
        <v>18</v>
      </c>
      <c r="N22" s="21" t="n">
        <f aca="false">ROUND(SQRT((F22*J22/100)^2+(G22*M22)^2),0)</f>
        <v>13</v>
      </c>
      <c r="P22" s="41" t="n">
        <v>-5.44574670166437</v>
      </c>
      <c r="Q22" s="42" t="n">
        <v>297</v>
      </c>
      <c r="R22" s="43" t="n">
        <f aca="false">MAX(0,MIN(1,P22/100+$D$5))</f>
        <v>0.470760977710321</v>
      </c>
      <c r="S22" s="43" t="n">
        <v>0.0610405690258335</v>
      </c>
      <c r="T22" s="44" t="s">
        <v>90</v>
      </c>
    </row>
    <row r="23" customFormat="false" ht="15" hidden="false" customHeight="false" outlineLevel="0" collapsed="false">
      <c r="A23" s="38" t="s">
        <v>87</v>
      </c>
      <c r="B23" s="38" t="s">
        <v>102</v>
      </c>
      <c r="C23" s="38" t="s">
        <v>105</v>
      </c>
      <c r="D23" s="21" t="n">
        <f aca="false">ROUND(Q23*R23,0)</f>
        <v>264</v>
      </c>
      <c r="E23" s="21" t="n">
        <f aca="false">ROUND(Q23,0)-D23</f>
        <v>361</v>
      </c>
      <c r="F23" s="21" t="n">
        <f aca="false">IF(COUNTA(D23:E23)=0,"",SUM(D23:E23))</f>
        <v>625</v>
      </c>
      <c r="G23" s="39" t="n">
        <f aca="false">IF(OR(F23="",F23=0),"",D23/F23)</f>
        <v>0.4224</v>
      </c>
      <c r="H23" s="39" t="n">
        <f aca="false">IF(OR(F23="",F23=0),"",E23/F23)</f>
        <v>0.5776</v>
      </c>
      <c r="I23" s="38" t="s">
        <v>89</v>
      </c>
      <c r="J23" s="40" t="n">
        <v>3.45317612968717</v>
      </c>
      <c r="K23" s="39" t="n">
        <f aca="false">IF(G23="","",MAX(0,G23-J23/100))</f>
        <v>0.387868238703128</v>
      </c>
      <c r="L23" s="39" t="n">
        <f aca="false">IF(G23="","",MIN(1,G23+J23/100))</f>
        <v>0.456931761296872</v>
      </c>
      <c r="M23" s="21" t="n">
        <f aca="false">ROUND(Q23*S23,0)</f>
        <v>38</v>
      </c>
      <c r="N23" s="21" t="n">
        <f aca="false">ROUND(SQRT((F23*J23/100)^2+(G23*M23)^2),0)</f>
        <v>27</v>
      </c>
      <c r="P23" s="41" t="n">
        <v>-10.2385457897066</v>
      </c>
      <c r="Q23" s="42" t="n">
        <v>625</v>
      </c>
      <c r="R23" s="43" t="n">
        <f aca="false">MAX(0,MIN(1,P23/100+$D$5))</f>
        <v>0.422832986829898</v>
      </c>
      <c r="S23" s="43" t="n">
        <v>0.0610405690258335</v>
      </c>
      <c r="T23" s="44" t="s">
        <v>90</v>
      </c>
    </row>
    <row r="24" customFormat="false" ht="15" hidden="false" customHeight="false" outlineLevel="0" collapsed="false">
      <c r="A24" s="38" t="s">
        <v>87</v>
      </c>
      <c r="B24" s="38" t="s">
        <v>102</v>
      </c>
      <c r="C24" s="38" t="s">
        <v>106</v>
      </c>
      <c r="D24" s="21" t="n">
        <f aca="false">ROUND(Q24*R24,0)</f>
        <v>138</v>
      </c>
      <c r="E24" s="21" t="n">
        <f aca="false">ROUND(Q24,0)-D24</f>
        <v>111</v>
      </c>
      <c r="F24" s="21" t="n">
        <f aca="false">IF(COUNTA(D24:E24)=0,"",SUM(D24:E24))</f>
        <v>249</v>
      </c>
      <c r="G24" s="39" t="n">
        <f aca="false">IF(OR(F24="",F24=0),"",D24/F24)</f>
        <v>0.55421686746988</v>
      </c>
      <c r="H24" s="39" t="n">
        <f aca="false">IF(OR(F24="",F24=0),"",E24/F24)</f>
        <v>0.445783132530121</v>
      </c>
      <c r="I24" s="38" t="s">
        <v>89</v>
      </c>
      <c r="J24" s="40" t="n">
        <v>3.45317612968717</v>
      </c>
      <c r="K24" s="39" t="n">
        <f aca="false">IF(G24="","",MAX(0,G24-J24/100))</f>
        <v>0.519685106173008</v>
      </c>
      <c r="L24" s="39" t="n">
        <f aca="false">IF(G24="","",MIN(1,G24+J24/100))</f>
        <v>0.588748628766751</v>
      </c>
      <c r="M24" s="21" t="n">
        <f aca="false">ROUND(Q24*S24,0)</f>
        <v>15</v>
      </c>
      <c r="N24" s="21" t="n">
        <f aca="false">ROUND(SQRT((F24*J24/100)^2+(G24*M24)^2),0)</f>
        <v>12</v>
      </c>
      <c r="P24" s="41" t="n">
        <v>2.87998205265929</v>
      </c>
      <c r="Q24" s="42" t="n">
        <v>249</v>
      </c>
      <c r="R24" s="43" t="n">
        <f aca="false">MAX(0,MIN(1,P24/100+$D$5))</f>
        <v>0.554018265253558</v>
      </c>
      <c r="S24" s="43" t="n">
        <v>0.0610405690258335</v>
      </c>
      <c r="T24" s="44" t="s">
        <v>90</v>
      </c>
    </row>
    <row r="25" customFormat="false" ht="15" hidden="false" customHeight="false" outlineLevel="0" collapsed="false">
      <c r="A25" s="38" t="s">
        <v>87</v>
      </c>
      <c r="B25" s="38" t="s">
        <v>102</v>
      </c>
      <c r="C25" s="38" t="s">
        <v>107</v>
      </c>
      <c r="D25" s="21" t="n">
        <f aca="false">ROUND(Q25*R25,0)</f>
        <v>259</v>
      </c>
      <c r="E25" s="21" t="n">
        <f aca="false">ROUND(Q25,0)-D25</f>
        <v>266</v>
      </c>
      <c r="F25" s="21" t="n">
        <f aca="false">IF(COUNTA(D25:E25)=0,"",SUM(D25:E25))</f>
        <v>525</v>
      </c>
      <c r="G25" s="39" t="n">
        <f aca="false">IF(OR(F25="",F25=0),"",D25/F25)</f>
        <v>0.493333333333333</v>
      </c>
      <c r="H25" s="39" t="n">
        <f aca="false">IF(OR(F25="",F25=0),"",E25/F25)</f>
        <v>0.506666666666667</v>
      </c>
      <c r="I25" s="38" t="s">
        <v>89</v>
      </c>
      <c r="J25" s="40" t="n">
        <v>3.45317612968717</v>
      </c>
      <c r="K25" s="39" t="n">
        <f aca="false">IF(G25="","",MAX(0,G25-J25/100))</f>
        <v>0.458801572036462</v>
      </c>
      <c r="L25" s="39" t="n">
        <f aca="false">IF(G25="","",MIN(1,G25+J25/100))</f>
        <v>0.527865094630205</v>
      </c>
      <c r="M25" s="21" t="n">
        <f aca="false">ROUND(Q25*S25,0)</f>
        <v>32</v>
      </c>
      <c r="N25" s="21" t="n">
        <f aca="false">ROUND(SQRT((F25*J25/100)^2+(G25*M25)^2),0)</f>
        <v>24</v>
      </c>
      <c r="P25" s="41" t="n">
        <v>-3.13599003558893</v>
      </c>
      <c r="Q25" s="42" t="n">
        <v>525</v>
      </c>
      <c r="R25" s="43" t="n">
        <f aca="false">MAX(0,MIN(1,P25/100+$D$5))</f>
        <v>0.493858544371075</v>
      </c>
      <c r="S25" s="43" t="n">
        <v>0.0610405690258335</v>
      </c>
      <c r="T25" s="44" t="s">
        <v>90</v>
      </c>
    </row>
    <row r="26" customFormat="false" ht="15" hidden="false" customHeight="false" outlineLevel="0" collapsed="false">
      <c r="A26" s="38" t="s">
        <v>87</v>
      </c>
      <c r="B26" s="38" t="s">
        <v>108</v>
      </c>
      <c r="C26" s="38" t="s">
        <v>109</v>
      </c>
      <c r="D26" s="21" t="n">
        <f aca="false">ROUND(Q26*R26,0)</f>
        <v>98</v>
      </c>
      <c r="E26" s="21" t="n">
        <f aca="false">ROUND(Q26,0)-D26</f>
        <v>152</v>
      </c>
      <c r="F26" s="21" t="n">
        <f aca="false">IF(COUNTA(D26:E26)=0,"",SUM(D26:E26))</f>
        <v>250</v>
      </c>
      <c r="G26" s="39" t="n">
        <f aca="false">IF(OR(F26="",F26=0),"",D26/F26)</f>
        <v>0.392</v>
      </c>
      <c r="H26" s="39" t="n">
        <f aca="false">IF(OR(F26="",F26=0),"",E26/F26)</f>
        <v>0.608</v>
      </c>
      <c r="I26" s="38" t="s">
        <v>89</v>
      </c>
      <c r="J26" s="40" t="n">
        <v>3.45317612968717</v>
      </c>
      <c r="K26" s="39" t="n">
        <f aca="false">IF(G26="","",MAX(0,G26-J26/100))</f>
        <v>0.357468238703128</v>
      </c>
      <c r="L26" s="39" t="n">
        <f aca="false">IF(G26="","",MIN(1,G26+J26/100))</f>
        <v>0.426531761296872</v>
      </c>
      <c r="M26" s="21" t="n">
        <f aca="false">ROUND(Q26*S26,0)</f>
        <v>15</v>
      </c>
      <c r="N26" s="21" t="n">
        <f aca="false">ROUND(SQRT((F26*J26/100)^2+(G26*M26)^2),0)</f>
        <v>10</v>
      </c>
      <c r="P26" s="41" t="n">
        <v>-13.4535926449599</v>
      </c>
      <c r="Q26" s="42" t="n">
        <v>250</v>
      </c>
      <c r="R26" s="43" t="n">
        <f aca="false">MAX(0,MIN(1,P26/100+$D$5))</f>
        <v>0.390682518277366</v>
      </c>
      <c r="S26" s="43" t="n">
        <v>0.0610405690258335</v>
      </c>
      <c r="T26" s="44" t="s">
        <v>90</v>
      </c>
    </row>
    <row r="27" customFormat="false" ht="15" hidden="false" customHeight="false" outlineLevel="0" collapsed="false">
      <c r="A27" s="38" t="s">
        <v>87</v>
      </c>
      <c r="B27" s="38" t="s">
        <v>108</v>
      </c>
      <c r="C27" s="38" t="s">
        <v>110</v>
      </c>
      <c r="D27" s="21" t="n">
        <f aca="false">ROUND(Q27*R27,0)</f>
        <v>209</v>
      </c>
      <c r="E27" s="21" t="n">
        <f aca="false">ROUND(Q27,0)-D27</f>
        <v>378</v>
      </c>
      <c r="F27" s="21" t="n">
        <f aca="false">IF(COUNTA(D27:E27)=0,"",SUM(D27:E27))</f>
        <v>587</v>
      </c>
      <c r="G27" s="39" t="n">
        <f aca="false">IF(OR(F27="",F27=0),"",D27/F27)</f>
        <v>0.356047700170358</v>
      </c>
      <c r="H27" s="39" t="n">
        <f aca="false">IF(OR(F27="",F27=0),"",E27/F27)</f>
        <v>0.643952299829642</v>
      </c>
      <c r="I27" s="38" t="s">
        <v>89</v>
      </c>
      <c r="J27" s="40" t="n">
        <v>3.45317612968717</v>
      </c>
      <c r="K27" s="39" t="n">
        <f aca="false">IF(G27="","",MAX(0,G27-J27/100))</f>
        <v>0.321515938873486</v>
      </c>
      <c r="L27" s="39" t="n">
        <f aca="false">IF(G27="","",MIN(1,G27+J27/100))</f>
        <v>0.390579461467229</v>
      </c>
      <c r="M27" s="21" t="n">
        <f aca="false">ROUND(Q27*S27,0)</f>
        <v>36</v>
      </c>
      <c r="N27" s="21" t="n">
        <f aca="false">ROUND(SQRT((F27*J27/100)^2+(G27*M27)^2),0)</f>
        <v>24</v>
      </c>
      <c r="P27" s="41" t="n">
        <v>-16.9266816925478</v>
      </c>
      <c r="Q27" s="42" t="n">
        <v>587</v>
      </c>
      <c r="R27" s="43" t="n">
        <f aca="false">MAX(0,MIN(1,P27/100+$D$5))</f>
        <v>0.355951627801487</v>
      </c>
      <c r="S27" s="43" t="n">
        <v>0.0610405690258335</v>
      </c>
      <c r="T27" s="44" t="s">
        <v>90</v>
      </c>
    </row>
    <row r="28" customFormat="false" ht="15" hidden="false" customHeight="false" outlineLevel="0" collapsed="false">
      <c r="A28" s="38" t="s">
        <v>87</v>
      </c>
      <c r="B28" s="38" t="s">
        <v>111</v>
      </c>
      <c r="C28" s="38" t="s">
        <v>112</v>
      </c>
      <c r="D28" s="21" t="n">
        <f aca="false">ROUND(Q28*R28,0)</f>
        <v>211</v>
      </c>
      <c r="E28" s="21" t="n">
        <f aca="false">ROUND(Q28,0)-D28</f>
        <v>272</v>
      </c>
      <c r="F28" s="21" t="n">
        <f aca="false">IF(COUNTA(D28:E28)=0,"",SUM(D28:E28))</f>
        <v>483</v>
      </c>
      <c r="G28" s="39" t="n">
        <f aca="false">IF(OR(F28="",F28=0),"",D28/F28)</f>
        <v>0.436853002070393</v>
      </c>
      <c r="H28" s="39" t="n">
        <f aca="false">IF(OR(F28="",F28=0),"",E28/F28)</f>
        <v>0.563146997929607</v>
      </c>
      <c r="I28" s="38" t="s">
        <v>89</v>
      </c>
      <c r="J28" s="40" t="n">
        <v>3.45317612968717</v>
      </c>
      <c r="K28" s="39" t="n">
        <f aca="false">IF(G28="","",MAX(0,G28-J28/100))</f>
        <v>0.402321240773522</v>
      </c>
      <c r="L28" s="39" t="n">
        <f aca="false">IF(G28="","",MIN(1,G28+J28/100))</f>
        <v>0.471384763367265</v>
      </c>
      <c r="M28" s="21" t="n">
        <f aca="false">ROUND(Q28*S28,0)</f>
        <v>29</v>
      </c>
      <c r="N28" s="21" t="n">
        <f aca="false">ROUND(SQRT((F28*J28/100)^2+(G28*M28)^2),0)</f>
        <v>21</v>
      </c>
      <c r="P28" s="41" t="n">
        <v>-8.80720258617316</v>
      </c>
      <c r="Q28" s="42" t="n">
        <v>483</v>
      </c>
      <c r="R28" s="43" t="n">
        <f aca="false">MAX(0,MIN(1,P28/100+$D$5))</f>
        <v>0.437146418865233</v>
      </c>
      <c r="S28" s="43" t="n">
        <v>0.0610405690258335</v>
      </c>
      <c r="T28" s="44" t="s">
        <v>90</v>
      </c>
    </row>
    <row r="29" customFormat="false" ht="15" hidden="false" customHeight="false" outlineLevel="0" collapsed="false">
      <c r="A29" s="38" t="s">
        <v>87</v>
      </c>
      <c r="B29" s="38" t="s">
        <v>111</v>
      </c>
      <c r="C29" s="38" t="s">
        <v>113</v>
      </c>
      <c r="D29" s="21" t="n">
        <f aca="false">ROUND(Q29*R29,0)</f>
        <v>124</v>
      </c>
      <c r="E29" s="21" t="n">
        <f aca="false">ROUND(Q29,0)-D29</f>
        <v>163</v>
      </c>
      <c r="F29" s="21" t="n">
        <f aca="false">IF(COUNTA(D29:E29)=0,"",SUM(D29:E29))</f>
        <v>287</v>
      </c>
      <c r="G29" s="39" t="n">
        <f aca="false">IF(OR(F29="",F29=0),"",D29/F29)</f>
        <v>0.43205574912892</v>
      </c>
      <c r="H29" s="39" t="n">
        <f aca="false">IF(OR(F29="",F29=0),"",E29/F29)</f>
        <v>0.56794425087108</v>
      </c>
      <c r="I29" s="38" t="s">
        <v>89</v>
      </c>
      <c r="J29" s="40" t="n">
        <v>3.45317612968717</v>
      </c>
      <c r="K29" s="39" t="n">
        <f aca="false">IF(G29="","",MAX(0,G29-J29/100))</f>
        <v>0.397523987832048</v>
      </c>
      <c r="L29" s="39" t="n">
        <f aca="false">IF(G29="","",MIN(1,G29+J29/100))</f>
        <v>0.466587510425792</v>
      </c>
      <c r="M29" s="21" t="n">
        <f aca="false">ROUND(Q29*S29,0)</f>
        <v>18</v>
      </c>
      <c r="N29" s="21" t="n">
        <f aca="false">ROUND(SQRT((F29*J29/100)^2+(G29*M29)^2),0)</f>
        <v>13</v>
      </c>
      <c r="P29" s="41" t="n">
        <v>-9.23885696531137</v>
      </c>
      <c r="Q29" s="42" t="n">
        <v>287</v>
      </c>
      <c r="R29" s="43" t="n">
        <f aca="false">MAX(0,MIN(1,P29/100+$D$5))</f>
        <v>0.432829875073851</v>
      </c>
      <c r="S29" s="43" t="n">
        <v>0.0610405690258335</v>
      </c>
      <c r="T29" s="44" t="s">
        <v>90</v>
      </c>
    </row>
    <row r="30" customFormat="false" ht="15" hidden="false" customHeight="false" outlineLevel="0" collapsed="false">
      <c r="A30" s="38" t="s">
        <v>87</v>
      </c>
      <c r="B30" s="38" t="s">
        <v>111</v>
      </c>
      <c r="C30" s="38" t="s">
        <v>114</v>
      </c>
      <c r="D30" s="21" t="n">
        <f aca="false">ROUND(Q30*R30,0)</f>
        <v>105</v>
      </c>
      <c r="E30" s="21" t="n">
        <f aca="false">ROUND(Q30,0)-D30</f>
        <v>125</v>
      </c>
      <c r="F30" s="21" t="n">
        <f aca="false">IF(COUNTA(D30:E30)=0,"",SUM(D30:E30))</f>
        <v>230</v>
      </c>
      <c r="G30" s="39" t="n">
        <f aca="false">IF(OR(F30="",F30=0),"",D30/F30)</f>
        <v>0.456521739130435</v>
      </c>
      <c r="H30" s="39" t="n">
        <f aca="false">IF(OR(F30="",F30=0),"",E30/F30)</f>
        <v>0.543478260869565</v>
      </c>
      <c r="I30" s="38" t="s">
        <v>89</v>
      </c>
      <c r="J30" s="40" t="n">
        <v>3.45317612968717</v>
      </c>
      <c r="K30" s="39" t="n">
        <f aca="false">IF(G30="","",MAX(0,G30-J30/100))</f>
        <v>0.421989977833563</v>
      </c>
      <c r="L30" s="39" t="n">
        <f aca="false">IF(G30="","",MIN(1,G30+J30/100))</f>
        <v>0.491053500427306</v>
      </c>
      <c r="M30" s="21" t="n">
        <f aca="false">ROUND(Q30*S30,0)</f>
        <v>14</v>
      </c>
      <c r="N30" s="21" t="n">
        <f aca="false">ROUND(SQRT((F30*J30/100)^2+(G30*M30)^2),0)</f>
        <v>10</v>
      </c>
      <c r="P30" s="41" t="n">
        <v>-6.95011448391853</v>
      </c>
      <c r="Q30" s="42" t="n">
        <v>230</v>
      </c>
      <c r="R30" s="43" t="n">
        <f aca="false">MAX(0,MIN(1,P30/100+$D$5))</f>
        <v>0.455717299887779</v>
      </c>
      <c r="S30" s="43" t="n">
        <v>0.0610405690258335</v>
      </c>
      <c r="T30" s="44" t="s">
        <v>90</v>
      </c>
    </row>
    <row r="31" customFormat="false" ht="15" hidden="false" customHeight="false" outlineLevel="0" collapsed="false">
      <c r="A31" s="38" t="s">
        <v>87</v>
      </c>
      <c r="B31" s="38" t="s">
        <v>115</v>
      </c>
      <c r="C31" s="38" t="s">
        <v>115</v>
      </c>
      <c r="D31" s="21" t="n">
        <f aca="false">ROUND(Q31*R31,0)</f>
        <v>34</v>
      </c>
      <c r="E31" s="21" t="n">
        <f aca="false">ROUND(Q31,0)-D31</f>
        <v>81</v>
      </c>
      <c r="F31" s="21" t="n">
        <f aca="false">IF(COUNTA(D31:E31)=0,"",SUM(D31:E31))</f>
        <v>115</v>
      </c>
      <c r="G31" s="39" t="n">
        <f aca="false">IF(OR(F31="",F31=0),"",D31/F31)</f>
        <v>0.295652173913044</v>
      </c>
      <c r="H31" s="39" t="n">
        <f aca="false">IF(OR(F31="",F31=0),"",E31/F31)</f>
        <v>0.704347826086957</v>
      </c>
      <c r="I31" s="38" t="s">
        <v>89</v>
      </c>
      <c r="J31" s="40" t="n">
        <v>3.45317612968717</v>
      </c>
      <c r="K31" s="39" t="n">
        <f aca="false">IF(G31="","",MAX(0,G31-J31/100))</f>
        <v>0.261120412616172</v>
      </c>
      <c r="L31" s="39" t="n">
        <f aca="false">IF(G31="","",MIN(1,G31+J31/100))</f>
        <v>0.330183935209915</v>
      </c>
      <c r="M31" s="21" t="n">
        <f aca="false">ROUND(Q31*S31,0)</f>
        <v>7</v>
      </c>
      <c r="N31" s="21" t="n">
        <f aca="false">ROUND(SQRT((F31*J31/100)^2+(G31*M31)^2),0)</f>
        <v>4</v>
      </c>
      <c r="P31" s="41" t="n">
        <v>-22.7934093157282</v>
      </c>
      <c r="Q31" s="42" t="n">
        <v>115</v>
      </c>
      <c r="R31" s="43" t="n">
        <f aca="false">MAX(0,MIN(1,P31/100+$D$5))</f>
        <v>0.297284351569682</v>
      </c>
      <c r="S31" s="43" t="n">
        <v>0.0610405690258335</v>
      </c>
      <c r="T31" s="44" t="s">
        <v>90</v>
      </c>
    </row>
    <row r="32" customFormat="false" ht="15" hidden="false" customHeight="false" outlineLevel="0" collapsed="false">
      <c r="A32" s="38" t="s">
        <v>87</v>
      </c>
      <c r="B32" s="38" t="s">
        <v>116</v>
      </c>
      <c r="C32" s="38" t="s">
        <v>116</v>
      </c>
      <c r="D32" s="21" t="n">
        <f aca="false">ROUND(Q32*R32,0)</f>
        <v>58</v>
      </c>
      <c r="E32" s="21" t="n">
        <f aca="false">ROUND(Q32,0)-D32</f>
        <v>183</v>
      </c>
      <c r="F32" s="21" t="n">
        <f aca="false">IF(COUNTA(D32:E32)=0,"",SUM(D32:E32))</f>
        <v>241</v>
      </c>
      <c r="G32" s="39" t="n">
        <f aca="false">IF(OR(F32="",F32=0),"",D32/F32)</f>
        <v>0.240663900414938</v>
      </c>
      <c r="H32" s="39" t="n">
        <f aca="false">IF(OR(F32="",F32=0),"",E32/F32)</f>
        <v>0.759336099585062</v>
      </c>
      <c r="I32" s="38" t="s">
        <v>89</v>
      </c>
      <c r="J32" s="40" t="n">
        <v>3.45317612968717</v>
      </c>
      <c r="K32" s="39" t="n">
        <f aca="false">IF(G32="","",MAX(0,G32-J32/100))</f>
        <v>0.206132139118066</v>
      </c>
      <c r="L32" s="39" t="n">
        <f aca="false">IF(G32="","",MIN(1,G32+J32/100))</f>
        <v>0.275195661711809</v>
      </c>
      <c r="M32" s="21" t="n">
        <f aca="false">ROUND(Q32*S32,0)</f>
        <v>15</v>
      </c>
      <c r="N32" s="21" t="n">
        <f aca="false">ROUND(SQRT((F32*J32/100)^2+(G32*M32)^2),0)</f>
        <v>9</v>
      </c>
      <c r="P32" s="41" t="n">
        <v>-28.6548804615942</v>
      </c>
      <c r="Q32" s="42" t="n">
        <v>241</v>
      </c>
      <c r="R32" s="43" t="n">
        <f aca="false">MAX(0,MIN(1,P32/100+$D$5))</f>
        <v>0.238669640111023</v>
      </c>
      <c r="S32" s="43" t="n">
        <v>0.0610405690258335</v>
      </c>
      <c r="T32" s="44" t="s">
        <v>90</v>
      </c>
    </row>
    <row r="33" customFormat="false" ht="15" hidden="false" customHeight="false" outlineLevel="0" collapsed="false">
      <c r="A33" s="38" t="s">
        <v>87</v>
      </c>
      <c r="B33" s="38" t="s">
        <v>117</v>
      </c>
      <c r="C33" s="38" t="s">
        <v>118</v>
      </c>
      <c r="D33" s="21" t="n">
        <f aca="false">ROUND(Q33*R33,0)</f>
        <v>243</v>
      </c>
      <c r="E33" s="21" t="n">
        <f aca="false">ROUND(Q33,0)-D33</f>
        <v>323</v>
      </c>
      <c r="F33" s="21" t="n">
        <f aca="false">IF(COUNTA(D33:E33)=0,"",SUM(D33:E33))</f>
        <v>566</v>
      </c>
      <c r="G33" s="39" t="n">
        <f aca="false">IF(OR(F33="",F33=0),"",D33/F33)</f>
        <v>0.429328621908127</v>
      </c>
      <c r="H33" s="39" t="n">
        <f aca="false">IF(OR(F33="",F33=0),"",E33/F33)</f>
        <v>0.570671378091873</v>
      </c>
      <c r="I33" s="38" t="s">
        <v>89</v>
      </c>
      <c r="J33" s="40" t="n">
        <v>3.45317612968717</v>
      </c>
      <c r="K33" s="39" t="n">
        <f aca="false">IF(G33="","",MAX(0,G33-J33/100))</f>
        <v>0.394796860611256</v>
      </c>
      <c r="L33" s="39" t="n">
        <f aca="false">IF(G33="","",MIN(1,G33+J33/100))</f>
        <v>0.463860383204999</v>
      </c>
      <c r="M33" s="21" t="n">
        <f aca="false">ROUND(Q33*S33,0)</f>
        <v>35</v>
      </c>
      <c r="N33" s="21" t="n">
        <f aca="false">ROUND(SQRT((F33*J33/100)^2+(G33*M33)^2),0)</f>
        <v>25</v>
      </c>
      <c r="P33" s="41" t="n">
        <v>-9.63232224460964</v>
      </c>
      <c r="Q33" s="42" t="n">
        <v>566</v>
      </c>
      <c r="R33" s="43" t="n">
        <f aca="false">MAX(0,MIN(1,P33/100+$D$5))</f>
        <v>0.428895222280868</v>
      </c>
      <c r="S33" s="43" t="n">
        <v>0.0610405690258335</v>
      </c>
      <c r="T33" s="44" t="s">
        <v>90</v>
      </c>
    </row>
    <row r="34" customFormat="false" ht="15" hidden="false" customHeight="false" outlineLevel="0" collapsed="false">
      <c r="A34" s="38" t="s">
        <v>87</v>
      </c>
      <c r="B34" s="38" t="s">
        <v>117</v>
      </c>
      <c r="C34" s="38" t="s">
        <v>119</v>
      </c>
      <c r="D34" s="21" t="n">
        <f aca="false">ROUND(Q34*R34,0)</f>
        <v>222</v>
      </c>
      <c r="E34" s="21" t="n">
        <f aca="false">ROUND(Q34,0)-D34</f>
        <v>305</v>
      </c>
      <c r="F34" s="21" t="n">
        <f aca="false">IF(COUNTA(D34:E34)=0,"",SUM(D34:E34))</f>
        <v>527</v>
      </c>
      <c r="G34" s="39" t="n">
        <f aca="false">IF(OR(F34="",F34=0),"",D34/F34)</f>
        <v>0.421252371916509</v>
      </c>
      <c r="H34" s="39" t="n">
        <f aca="false">IF(OR(F34="",F34=0),"",E34/F34)</f>
        <v>0.578747628083491</v>
      </c>
      <c r="I34" s="38" t="s">
        <v>89</v>
      </c>
      <c r="J34" s="40" t="n">
        <v>3.45317612968717</v>
      </c>
      <c r="K34" s="39" t="n">
        <f aca="false">IF(G34="","",MAX(0,G34-J34/100))</f>
        <v>0.386720610619637</v>
      </c>
      <c r="L34" s="39" t="n">
        <f aca="false">IF(G34="","",MIN(1,G34+J34/100))</f>
        <v>0.45578413321338</v>
      </c>
      <c r="M34" s="21" t="n">
        <f aca="false">ROUND(Q34*S34,0)</f>
        <v>32</v>
      </c>
      <c r="N34" s="21" t="n">
        <f aca="false">ROUND(SQRT((F34*J34/100)^2+(G34*M34)^2),0)</f>
        <v>23</v>
      </c>
      <c r="P34" s="41" t="n">
        <v>-10.3998286228793</v>
      </c>
      <c r="Q34" s="42" t="n">
        <v>527</v>
      </c>
      <c r="R34" s="43" t="n">
        <f aca="false">MAX(0,MIN(1,P34/100+$D$5))</f>
        <v>0.421220158498172</v>
      </c>
      <c r="S34" s="43" t="n">
        <v>0.0610405690258335</v>
      </c>
      <c r="T34" s="44" t="s">
        <v>90</v>
      </c>
    </row>
    <row r="35" customFormat="false" ht="15" hidden="false" customHeight="false" outlineLevel="0" collapsed="false">
      <c r="A35" s="38" t="s">
        <v>87</v>
      </c>
      <c r="B35" s="38" t="s">
        <v>117</v>
      </c>
      <c r="C35" s="38" t="s">
        <v>120</v>
      </c>
      <c r="D35" s="21" t="n">
        <f aca="false">ROUND(Q35*R35,0)</f>
        <v>241</v>
      </c>
      <c r="E35" s="21" t="n">
        <f aca="false">ROUND(Q35,0)-D35</f>
        <v>333</v>
      </c>
      <c r="F35" s="21" t="n">
        <f aca="false">IF(COUNTA(D35:E35)=0,"",SUM(D35:E35))</f>
        <v>574</v>
      </c>
      <c r="G35" s="39" t="n">
        <f aca="false">IF(OR(F35="",F35=0),"",D35/F35)</f>
        <v>0.4198606271777</v>
      </c>
      <c r="H35" s="39" t="n">
        <f aca="false">IF(OR(F35="",F35=0),"",E35/F35)</f>
        <v>0.5801393728223</v>
      </c>
      <c r="I35" s="38" t="s">
        <v>89</v>
      </c>
      <c r="J35" s="40" t="n">
        <v>3.45317612968717</v>
      </c>
      <c r="K35" s="39" t="n">
        <f aca="false">IF(G35="","",MAX(0,G35-J35/100))</f>
        <v>0.385328865880829</v>
      </c>
      <c r="L35" s="39" t="n">
        <f aca="false">IF(G35="","",MIN(1,G35+J35/100))</f>
        <v>0.454392388474572</v>
      </c>
      <c r="M35" s="21" t="n">
        <f aca="false">ROUND(Q35*S35,0)</f>
        <v>35</v>
      </c>
      <c r="N35" s="21" t="n">
        <f aca="false">ROUND(SQRT((F35*J35/100)^2+(G35*M35)^2),0)</f>
        <v>25</v>
      </c>
      <c r="P35" s="41" t="n">
        <v>-10.4704556903662</v>
      </c>
      <c r="Q35" s="42" t="n">
        <v>574</v>
      </c>
      <c r="R35" s="43" t="n">
        <f aca="false">MAX(0,MIN(1,P35/100+$D$5))</f>
        <v>0.420513887823302</v>
      </c>
      <c r="S35" s="43" t="n">
        <v>0.0610405690258335</v>
      </c>
      <c r="T35" s="44" t="s">
        <v>90</v>
      </c>
    </row>
    <row r="36" customFormat="false" ht="15" hidden="false" customHeight="false" outlineLevel="0" collapsed="false">
      <c r="A36" s="38" t="s">
        <v>87</v>
      </c>
      <c r="B36" s="38" t="s">
        <v>121</v>
      </c>
      <c r="C36" s="38" t="s">
        <v>122</v>
      </c>
      <c r="D36" s="21" t="n">
        <f aca="false">ROUND(Q36*R36,0)</f>
        <v>255</v>
      </c>
      <c r="E36" s="21" t="n">
        <f aca="false">ROUND(Q36,0)-D36</f>
        <v>544</v>
      </c>
      <c r="F36" s="21" t="n">
        <f aca="false">IF(COUNTA(D36:E36)=0,"",SUM(D36:E36))</f>
        <v>799</v>
      </c>
      <c r="G36" s="39" t="n">
        <f aca="false">IF(OR(F36="",F36=0),"",D36/F36)</f>
        <v>0.319148936170213</v>
      </c>
      <c r="H36" s="39" t="n">
        <f aca="false">IF(OR(F36="",F36=0),"",E36/F36)</f>
        <v>0.680851063829787</v>
      </c>
      <c r="I36" s="38" t="s">
        <v>89</v>
      </c>
      <c r="J36" s="40" t="n">
        <v>2.05025038892674</v>
      </c>
      <c r="K36" s="39" t="n">
        <f aca="false">IF(G36="","",MAX(0,G36-J36/100))</f>
        <v>0.298646432280945</v>
      </c>
      <c r="L36" s="39" t="n">
        <f aca="false">IF(G36="","",MIN(1,G36+J36/100))</f>
        <v>0.33965144005948</v>
      </c>
      <c r="M36" s="21" t="n">
        <f aca="false">ROUND(Q36*S36,0)</f>
        <v>40</v>
      </c>
      <c r="N36" s="21" t="n">
        <f aca="false">ROUND(SQRT((F36*J36/100)^2+(G36*M36)^2),0)</f>
        <v>21</v>
      </c>
      <c r="P36" s="41" t="n">
        <v>-20.6524338847204</v>
      </c>
      <c r="Q36" s="42" t="n">
        <v>799</v>
      </c>
      <c r="R36" s="43" t="n">
        <f aca="false">MAX(0,MIN(1,P36/100+$D$5))</f>
        <v>0.318694105879761</v>
      </c>
      <c r="S36" s="43" t="n">
        <v>0.0500321312575726</v>
      </c>
      <c r="T36" s="44" t="s">
        <v>99</v>
      </c>
    </row>
    <row r="37" customFormat="false" ht="15" hidden="false" customHeight="false" outlineLevel="0" collapsed="false">
      <c r="A37" s="38" t="s">
        <v>87</v>
      </c>
      <c r="B37" s="38" t="s">
        <v>121</v>
      </c>
      <c r="C37" s="38" t="s">
        <v>123</v>
      </c>
      <c r="D37" s="21" t="n">
        <f aca="false">ROUND(Q37*R37,0)</f>
        <v>182</v>
      </c>
      <c r="E37" s="21" t="n">
        <f aca="false">ROUND(Q37,0)-D37</f>
        <v>365</v>
      </c>
      <c r="F37" s="21" t="n">
        <f aca="false">IF(COUNTA(D37:E37)=0,"",SUM(D37:E37))</f>
        <v>547</v>
      </c>
      <c r="G37" s="39" t="n">
        <f aca="false">IF(OR(F37="",F37=0),"",D37/F37)</f>
        <v>0.3327239488117</v>
      </c>
      <c r="H37" s="39" t="n">
        <f aca="false">IF(OR(F37="",F37=0),"",E37/F37)</f>
        <v>0.6672760511883</v>
      </c>
      <c r="I37" s="38" t="s">
        <v>89</v>
      </c>
      <c r="J37" s="40" t="n">
        <v>3.45317612968717</v>
      </c>
      <c r="K37" s="39" t="n">
        <f aca="false">IF(G37="","",MAX(0,G37-J37/100))</f>
        <v>0.298192187514829</v>
      </c>
      <c r="L37" s="39" t="n">
        <f aca="false">IF(G37="","",MIN(1,G37+J37/100))</f>
        <v>0.367255710108572</v>
      </c>
      <c r="M37" s="21" t="n">
        <f aca="false">ROUND(Q37*S37,0)</f>
        <v>33</v>
      </c>
      <c r="N37" s="21" t="n">
        <f aca="false">ROUND(SQRT((F37*J37/100)^2+(G37*M37)^2),0)</f>
        <v>22</v>
      </c>
      <c r="P37" s="41" t="n">
        <v>-19.1946953029867</v>
      </c>
      <c r="Q37" s="42" t="n">
        <v>547</v>
      </c>
      <c r="R37" s="43" t="n">
        <f aca="false">MAX(0,MIN(1,P37/100+$D$5))</f>
        <v>0.333271491697097</v>
      </c>
      <c r="S37" s="43" t="n">
        <v>0.0610405690258335</v>
      </c>
      <c r="T37" s="44" t="s">
        <v>90</v>
      </c>
    </row>
    <row r="38" customFormat="false" ht="15" hidden="false" customHeight="false" outlineLevel="0" collapsed="false">
      <c r="A38" s="38" t="s">
        <v>87</v>
      </c>
      <c r="B38" s="38" t="s">
        <v>124</v>
      </c>
      <c r="C38" s="38" t="s">
        <v>125</v>
      </c>
      <c r="D38" s="21" t="n">
        <f aca="false">ROUND(Q38*R38,0)</f>
        <v>109</v>
      </c>
      <c r="E38" s="21" t="n">
        <f aca="false">ROUND(Q38,0)-D38</f>
        <v>280</v>
      </c>
      <c r="F38" s="21" t="n">
        <f aca="false">IF(COUNTA(D38:E38)=0,"",SUM(D38:E38))</f>
        <v>389</v>
      </c>
      <c r="G38" s="39" t="n">
        <f aca="false">IF(OR(F38="",F38=0),"",D38/F38)</f>
        <v>0.280205655526992</v>
      </c>
      <c r="H38" s="39" t="n">
        <f aca="false">IF(OR(F38="",F38=0),"",E38/F38)</f>
        <v>0.719794344473008</v>
      </c>
      <c r="I38" s="38" t="s">
        <v>89</v>
      </c>
      <c r="J38" s="40" t="n">
        <v>3.45317612968717</v>
      </c>
      <c r="K38" s="39" t="n">
        <f aca="false">IF(G38="","",MAX(0,G38-J38/100))</f>
        <v>0.245673894230121</v>
      </c>
      <c r="L38" s="39" t="n">
        <f aca="false">IF(G38="","",MIN(1,G38+J38/100))</f>
        <v>0.314737416823864</v>
      </c>
      <c r="M38" s="21" t="n">
        <f aca="false">ROUND(Q38*S38,0)</f>
        <v>24</v>
      </c>
      <c r="N38" s="21" t="n">
        <f aca="false">ROUND(SQRT((F38*J38/100)^2+(G38*M38)^2),0)</f>
        <v>15</v>
      </c>
      <c r="P38" s="41" t="n">
        <v>-24.5279965646288</v>
      </c>
      <c r="Q38" s="42" t="n">
        <v>389</v>
      </c>
      <c r="R38" s="43" t="n">
        <f aca="false">MAX(0,MIN(1,P38/100+$D$5))</f>
        <v>0.279938479080677</v>
      </c>
      <c r="S38" s="43" t="n">
        <v>0.0610405690258335</v>
      </c>
      <c r="T38" s="44" t="s">
        <v>90</v>
      </c>
    </row>
    <row r="39" customFormat="false" ht="15" hidden="false" customHeight="false" outlineLevel="0" collapsed="false">
      <c r="A39" s="38" t="s">
        <v>87</v>
      </c>
      <c r="B39" s="38" t="s">
        <v>124</v>
      </c>
      <c r="C39" s="38" t="s">
        <v>126</v>
      </c>
      <c r="D39" s="21" t="n">
        <f aca="false">ROUND(Q39*R39,0)</f>
        <v>101</v>
      </c>
      <c r="E39" s="21" t="n">
        <f aca="false">ROUND(Q39,0)-D39</f>
        <v>205</v>
      </c>
      <c r="F39" s="21" t="n">
        <f aca="false">IF(COUNTA(D39:E39)=0,"",SUM(D39:E39))</f>
        <v>306</v>
      </c>
      <c r="G39" s="39" t="n">
        <f aca="false">IF(OR(F39="",F39=0),"",D39/F39)</f>
        <v>0.330065359477124</v>
      </c>
      <c r="H39" s="39" t="n">
        <f aca="false">IF(OR(F39="",F39=0),"",E39/F39)</f>
        <v>0.669934640522876</v>
      </c>
      <c r="I39" s="38" t="s">
        <v>89</v>
      </c>
      <c r="J39" s="40" t="n">
        <v>3.45317612968717</v>
      </c>
      <c r="K39" s="39" t="n">
        <f aca="false">IF(G39="","",MAX(0,G39-J39/100))</f>
        <v>0.295533598180253</v>
      </c>
      <c r="L39" s="39" t="n">
        <f aca="false">IF(G39="","",MIN(1,G39+J39/100))</f>
        <v>0.364597120773996</v>
      </c>
      <c r="M39" s="21" t="n">
        <f aca="false">ROUND(Q39*S39,0)</f>
        <v>19</v>
      </c>
      <c r="N39" s="21" t="n">
        <f aca="false">ROUND(SQRT((F39*J39/100)^2+(G39*M39)^2),0)</f>
        <v>12</v>
      </c>
      <c r="P39" s="41" t="n">
        <v>-19.4129103009536</v>
      </c>
      <c r="Q39" s="42" t="n">
        <v>306</v>
      </c>
      <c r="R39" s="43" t="n">
        <f aca="false">MAX(0,MIN(1,P39/100+$D$5))</f>
        <v>0.331089341717429</v>
      </c>
      <c r="S39" s="43" t="n">
        <v>0.0610405690258335</v>
      </c>
      <c r="T39" s="44" t="s">
        <v>90</v>
      </c>
    </row>
    <row r="40" customFormat="false" ht="15" hidden="false" customHeight="false" outlineLevel="0" collapsed="false">
      <c r="A40" s="38" t="s">
        <v>87</v>
      </c>
      <c r="B40" s="38" t="s">
        <v>124</v>
      </c>
      <c r="C40" s="38" t="s">
        <v>127</v>
      </c>
      <c r="D40" s="21" t="n">
        <f aca="false">ROUND(Q40*R40,0)</f>
        <v>354</v>
      </c>
      <c r="E40" s="21" t="n">
        <f aca="false">ROUND(Q40,0)-D40</f>
        <v>724</v>
      </c>
      <c r="F40" s="21" t="n">
        <f aca="false">IF(COUNTA(D40:E40)=0,"",SUM(D40:E40))</f>
        <v>1078</v>
      </c>
      <c r="G40" s="39" t="n">
        <f aca="false">IF(OR(F40="",F40=0),"",D40/F40)</f>
        <v>0.328385899814471</v>
      </c>
      <c r="H40" s="39" t="n">
        <f aca="false">IF(OR(F40="",F40=0),"",E40/F40)</f>
        <v>0.671614100185529</v>
      </c>
      <c r="I40" s="38" t="s">
        <v>89</v>
      </c>
      <c r="J40" s="40" t="n">
        <v>2.05025038892674</v>
      </c>
      <c r="K40" s="39" t="n">
        <f aca="false">IF(G40="","",MAX(0,G40-J40/100))</f>
        <v>0.307883395925204</v>
      </c>
      <c r="L40" s="39" t="n">
        <f aca="false">IF(G40="","",MIN(1,G40+J40/100))</f>
        <v>0.348888403703739</v>
      </c>
      <c r="M40" s="21" t="n">
        <f aca="false">ROUND(Q40*S40,0)</f>
        <v>54</v>
      </c>
      <c r="N40" s="21" t="n">
        <f aca="false">ROUND(SQRT((F40*J40/100)^2+(G40*M40)^2),0)</f>
        <v>28</v>
      </c>
      <c r="P40" s="41" t="n">
        <v>-19.6622312254062</v>
      </c>
      <c r="Q40" s="42" t="n">
        <v>1078</v>
      </c>
      <c r="R40" s="43" t="n">
        <f aca="false">MAX(0,MIN(1,P40/100+$D$5))</f>
        <v>0.328596132472903</v>
      </c>
      <c r="S40" s="43" t="n">
        <v>0.0500321312575726</v>
      </c>
      <c r="T40" s="44" t="s">
        <v>99</v>
      </c>
    </row>
    <row r="41" customFormat="false" ht="15" hidden="false" customHeight="false" outlineLevel="0" collapsed="false">
      <c r="A41" s="38" t="s">
        <v>87</v>
      </c>
      <c r="B41" s="38" t="s">
        <v>128</v>
      </c>
      <c r="C41" s="38" t="s">
        <v>129</v>
      </c>
      <c r="D41" s="21" t="n">
        <f aca="false">ROUND(Q41*R41,0)</f>
        <v>246</v>
      </c>
      <c r="E41" s="21" t="n">
        <f aca="false">ROUND(Q41,0)-D41</f>
        <v>316</v>
      </c>
      <c r="F41" s="21" t="n">
        <f aca="false">IF(COUNTA(D41:E41)=0,"",SUM(D41:E41))</f>
        <v>562</v>
      </c>
      <c r="G41" s="39" t="n">
        <f aca="false">IF(OR(F41="",F41=0),"",D41/F41)</f>
        <v>0.437722419928826</v>
      </c>
      <c r="H41" s="39" t="n">
        <f aca="false">IF(OR(F41="",F41=0),"",E41/F41)</f>
        <v>0.562277580071174</v>
      </c>
      <c r="I41" s="38" t="s">
        <v>89</v>
      </c>
      <c r="J41" s="40" t="n">
        <v>3.45317612968717</v>
      </c>
      <c r="K41" s="39" t="n">
        <f aca="false">IF(G41="","",MAX(0,G41-J41/100))</f>
        <v>0.403190658631954</v>
      </c>
      <c r="L41" s="39" t="n">
        <f aca="false">IF(G41="","",MIN(1,G41+J41/100))</f>
        <v>0.472254181225697</v>
      </c>
      <c r="M41" s="21" t="n">
        <f aca="false">ROUND(Q41*S41,0)</f>
        <v>34</v>
      </c>
      <c r="N41" s="21" t="n">
        <f aca="false">ROUND(SQRT((F41*J41/100)^2+(G41*M41)^2),0)</f>
        <v>24</v>
      </c>
      <c r="P41" s="41" t="n">
        <v>-8.79919231884331</v>
      </c>
      <c r="Q41" s="42" t="n">
        <v>562</v>
      </c>
      <c r="R41" s="43" t="n">
        <f aca="false">MAX(0,MIN(1,P41/100+$D$5))</f>
        <v>0.437226521538532</v>
      </c>
      <c r="S41" s="43" t="n">
        <v>0.0610405690258335</v>
      </c>
      <c r="T41" s="44" t="s">
        <v>90</v>
      </c>
    </row>
    <row r="42" customFormat="false" ht="15" hidden="false" customHeight="false" outlineLevel="0" collapsed="false">
      <c r="A42" s="38" t="s">
        <v>87</v>
      </c>
      <c r="B42" s="38" t="s">
        <v>128</v>
      </c>
      <c r="C42" s="38" t="s">
        <v>130</v>
      </c>
      <c r="D42" s="21" t="n">
        <f aca="false">ROUND(Q42*R42,0)</f>
        <v>269</v>
      </c>
      <c r="E42" s="21" t="n">
        <f aca="false">ROUND(Q42,0)-D42</f>
        <v>363</v>
      </c>
      <c r="F42" s="21" t="n">
        <f aca="false">IF(COUNTA(D42:E42)=0,"",SUM(D42:E42))</f>
        <v>632</v>
      </c>
      <c r="G42" s="39" t="n">
        <f aca="false">IF(OR(F42="",F42=0),"",D42/F42)</f>
        <v>0.425632911392405</v>
      </c>
      <c r="H42" s="39" t="n">
        <f aca="false">IF(OR(F42="",F42=0),"",E42/F42)</f>
        <v>0.574367088607595</v>
      </c>
      <c r="I42" s="38" t="s">
        <v>89</v>
      </c>
      <c r="J42" s="40" t="n">
        <v>3.45317612968717</v>
      </c>
      <c r="K42" s="39" t="n">
        <f aca="false">IF(G42="","",MAX(0,G42-J42/100))</f>
        <v>0.391101150095533</v>
      </c>
      <c r="L42" s="39" t="n">
        <f aca="false">IF(G42="","",MIN(1,G42+J42/100))</f>
        <v>0.460164672689277</v>
      </c>
      <c r="M42" s="21" t="n">
        <f aca="false">ROUND(Q42*S42,0)</f>
        <v>39</v>
      </c>
      <c r="N42" s="21" t="n">
        <f aca="false">ROUND(SQRT((F42*J42/100)^2+(G42*M42)^2),0)</f>
        <v>27</v>
      </c>
      <c r="P42" s="41" t="n">
        <v>-9.92815086097814</v>
      </c>
      <c r="Q42" s="42" t="n">
        <v>632</v>
      </c>
      <c r="R42" s="43" t="n">
        <f aca="false">MAX(0,MIN(1,P42/100+$D$5))</f>
        <v>0.425936936117183</v>
      </c>
      <c r="S42" s="43" t="n">
        <v>0.0610405690258335</v>
      </c>
      <c r="T42" s="44" t="s">
        <v>90</v>
      </c>
    </row>
    <row r="43" customFormat="false" ht="15" hidden="false" customHeight="false" outlineLevel="0" collapsed="false">
      <c r="A43" s="38" t="s">
        <v>87</v>
      </c>
      <c r="B43" s="38" t="s">
        <v>131</v>
      </c>
      <c r="C43" s="38" t="s">
        <v>131</v>
      </c>
      <c r="D43" s="21" t="n">
        <f aca="false">ROUND(Q43*R43,0)</f>
        <v>123</v>
      </c>
      <c r="E43" s="21" t="n">
        <f aca="false">ROUND(Q43,0)-D43</f>
        <v>417</v>
      </c>
      <c r="F43" s="21" t="n">
        <f aca="false">IF(COUNTA(D43:E43)=0,"",SUM(D43:E43))</f>
        <v>540</v>
      </c>
      <c r="G43" s="39" t="n">
        <f aca="false">IF(OR(F43="",F43=0),"",D43/F43)</f>
        <v>0.227777777777778</v>
      </c>
      <c r="H43" s="39" t="n">
        <f aca="false">IF(OR(F43="",F43=0),"",E43/F43)</f>
        <v>0.772222222222222</v>
      </c>
      <c r="I43" s="38" t="s">
        <v>89</v>
      </c>
      <c r="J43" s="40" t="n">
        <v>3.45317612968717</v>
      </c>
      <c r="K43" s="39" t="n">
        <f aca="false">IF(G43="","",MAX(0,G43-J43/100))</f>
        <v>0.193246016480906</v>
      </c>
      <c r="L43" s="39" t="n">
        <f aca="false">IF(G43="","",MIN(1,G43+J43/100))</f>
        <v>0.262309539074649</v>
      </c>
      <c r="M43" s="21" t="n">
        <f aca="false">ROUND(Q43*S43,0)</f>
        <v>33</v>
      </c>
      <c r="N43" s="21" t="n">
        <f aca="false">ROUND(SQRT((F43*J43/100)^2+(G43*M43)^2),0)</f>
        <v>20</v>
      </c>
      <c r="P43" s="41" t="n">
        <v>-29.7584837291525</v>
      </c>
      <c r="Q43" s="42" t="n">
        <v>540</v>
      </c>
      <c r="R43" s="43" t="n">
        <f aca="false">MAX(0,MIN(1,P43/100+$D$5))</f>
        <v>0.22763360743544</v>
      </c>
      <c r="S43" s="43" t="n">
        <v>0.0610405690258335</v>
      </c>
      <c r="T43" s="44" t="s">
        <v>90</v>
      </c>
    </row>
    <row r="44" customFormat="false" ht="15" hidden="false" customHeight="false" outlineLevel="0" collapsed="false">
      <c r="A44" s="38" t="s">
        <v>87</v>
      </c>
      <c r="B44" s="38" t="s">
        <v>132</v>
      </c>
      <c r="C44" s="38" t="s">
        <v>133</v>
      </c>
      <c r="D44" s="21" t="n">
        <f aca="false">ROUND(Q44*R44,0)</f>
        <v>257</v>
      </c>
      <c r="E44" s="21" t="n">
        <f aca="false">ROUND(Q44,0)-D44</f>
        <v>422</v>
      </c>
      <c r="F44" s="21" t="n">
        <f aca="false">IF(COUNTA(D44:E44)=0,"",SUM(D44:E44))</f>
        <v>679</v>
      </c>
      <c r="G44" s="39" t="n">
        <f aca="false">IF(OR(F44="",F44=0),"",D44/F44)</f>
        <v>0.378497790868925</v>
      </c>
      <c r="H44" s="39" t="n">
        <f aca="false">IF(OR(F44="",F44=0),"",E44/F44)</f>
        <v>0.621502209131075</v>
      </c>
      <c r="I44" s="38" t="s">
        <v>89</v>
      </c>
      <c r="J44" s="40" t="n">
        <v>3.45317612968717</v>
      </c>
      <c r="K44" s="39" t="n">
        <f aca="false">IF(G44="","",MAX(0,G44-J44/100))</f>
        <v>0.343966029572053</v>
      </c>
      <c r="L44" s="39" t="n">
        <f aca="false">IF(G44="","",MIN(1,G44+J44/100))</f>
        <v>0.413029552165797</v>
      </c>
      <c r="M44" s="21" t="n">
        <f aca="false">ROUND(Q44*S44,0)</f>
        <v>41</v>
      </c>
      <c r="N44" s="21" t="n">
        <f aca="false">ROUND(SQRT((F44*J44/100)^2+(G44*M44)^2),0)</f>
        <v>28</v>
      </c>
      <c r="P44" s="41" t="n">
        <v>-14.719075895271</v>
      </c>
      <c r="Q44" s="42" t="n">
        <v>679</v>
      </c>
      <c r="R44" s="43" t="n">
        <f aca="false">MAX(0,MIN(1,P44/100+$D$5))</f>
        <v>0.378027685774255</v>
      </c>
      <c r="S44" s="43" t="n">
        <v>0.0610405690258335</v>
      </c>
      <c r="T44" s="44" t="s">
        <v>90</v>
      </c>
    </row>
    <row r="45" customFormat="false" ht="15" hidden="false" customHeight="false" outlineLevel="0" collapsed="false">
      <c r="A45" s="38" t="s">
        <v>87</v>
      </c>
      <c r="B45" s="38" t="s">
        <v>132</v>
      </c>
      <c r="C45" s="38" t="s">
        <v>134</v>
      </c>
      <c r="D45" s="21" t="n">
        <f aca="false">ROUND(Q45*R45,0)</f>
        <v>400</v>
      </c>
      <c r="E45" s="21" t="n">
        <f aca="false">ROUND(Q45,0)-D45</f>
        <v>536</v>
      </c>
      <c r="F45" s="21" t="n">
        <f aca="false">IF(COUNTA(D45:E45)=0,"",SUM(D45:E45))</f>
        <v>936</v>
      </c>
      <c r="G45" s="39" t="n">
        <f aca="false">IF(OR(F45="",F45=0),"",D45/F45)</f>
        <v>0.427350427350427</v>
      </c>
      <c r="H45" s="39" t="n">
        <f aca="false">IF(OR(F45="",F45=0),"",E45/F45)</f>
        <v>0.572649572649573</v>
      </c>
      <c r="I45" s="38" t="s">
        <v>89</v>
      </c>
      <c r="J45" s="40" t="n">
        <v>2.05025038892674</v>
      </c>
      <c r="K45" s="39" t="n">
        <f aca="false">IF(G45="","",MAX(0,G45-J45/100))</f>
        <v>0.40684792346116</v>
      </c>
      <c r="L45" s="39" t="n">
        <f aca="false">IF(G45="","",MIN(1,G45+J45/100))</f>
        <v>0.447852931239695</v>
      </c>
      <c r="M45" s="21" t="n">
        <f aca="false">ROUND(Q45*S45,0)</f>
        <v>47</v>
      </c>
      <c r="N45" s="21" t="n">
        <f aca="false">ROUND(SQRT((F45*J45/100)^2+(G45*M45)^2),0)</f>
        <v>28</v>
      </c>
      <c r="P45" s="41" t="n">
        <v>-9.82273329870011</v>
      </c>
      <c r="Q45" s="42" t="n">
        <v>936</v>
      </c>
      <c r="R45" s="43" t="n">
        <f aca="false">MAX(0,MIN(1,P45/100+$D$5))</f>
        <v>0.426991111739964</v>
      </c>
      <c r="S45" s="43" t="n">
        <v>0.0500321312575726</v>
      </c>
      <c r="T45" s="44" t="s">
        <v>99</v>
      </c>
    </row>
    <row r="46" customFormat="false" ht="15" hidden="false" customHeight="false" outlineLevel="0" collapsed="false">
      <c r="A46" s="38" t="s">
        <v>87</v>
      </c>
      <c r="B46" s="38" t="s">
        <v>132</v>
      </c>
      <c r="C46" s="38" t="s">
        <v>135</v>
      </c>
      <c r="D46" s="21" t="n">
        <f aca="false">ROUND(Q46*R46,0)</f>
        <v>115</v>
      </c>
      <c r="E46" s="21" t="n">
        <f aca="false">ROUND(Q46,0)-D46</f>
        <v>179</v>
      </c>
      <c r="F46" s="21" t="n">
        <f aca="false">IF(COUNTA(D46:E46)=0,"",SUM(D46:E46))</f>
        <v>294</v>
      </c>
      <c r="G46" s="39" t="n">
        <f aca="false">IF(OR(F46="",F46=0),"",D46/F46)</f>
        <v>0.391156462585034</v>
      </c>
      <c r="H46" s="39" t="n">
        <f aca="false">IF(OR(F46="",F46=0),"",E46/F46)</f>
        <v>0.608843537414966</v>
      </c>
      <c r="I46" s="38" t="s">
        <v>89</v>
      </c>
      <c r="J46" s="40" t="n">
        <v>3.45317612968717</v>
      </c>
      <c r="K46" s="39" t="n">
        <f aca="false">IF(G46="","",MAX(0,G46-J46/100))</f>
        <v>0.356624701288162</v>
      </c>
      <c r="L46" s="39" t="n">
        <f aca="false">IF(G46="","",MIN(1,G46+J46/100))</f>
        <v>0.425688223881906</v>
      </c>
      <c r="M46" s="21" t="n">
        <f aca="false">ROUND(Q46*S46,0)</f>
        <v>18</v>
      </c>
      <c r="N46" s="21" t="n">
        <f aca="false">ROUND(SQRT((F46*J46/100)^2+(G46*M46)^2),0)</f>
        <v>12</v>
      </c>
      <c r="P46" s="41" t="n">
        <v>-13.3488267023351</v>
      </c>
      <c r="Q46" s="42" t="n">
        <v>294</v>
      </c>
      <c r="R46" s="43" t="n">
        <f aca="false">MAX(0,MIN(1,P46/100+$D$5))</f>
        <v>0.391730177703614</v>
      </c>
      <c r="S46" s="43" t="n">
        <v>0.0610405690258335</v>
      </c>
      <c r="T46" s="44" t="s">
        <v>90</v>
      </c>
    </row>
    <row r="47" customFormat="false" ht="15" hidden="false" customHeight="false" outlineLevel="0" collapsed="false">
      <c r="A47" s="38" t="s">
        <v>87</v>
      </c>
      <c r="B47" s="38" t="s">
        <v>136</v>
      </c>
      <c r="C47" s="38" t="s">
        <v>136</v>
      </c>
      <c r="D47" s="21" t="n">
        <f aca="false">ROUND(Q47*R47,0)</f>
        <v>65</v>
      </c>
      <c r="E47" s="21" t="n">
        <f aca="false">ROUND(Q47,0)-D47</f>
        <v>122</v>
      </c>
      <c r="F47" s="21" t="n">
        <f aca="false">IF(COUNTA(D47:E47)=0,"",SUM(D47:E47))</f>
        <v>187</v>
      </c>
      <c r="G47" s="39" t="n">
        <f aca="false">IF(OR(F47="",F47=0),"",D47/F47)</f>
        <v>0.347593582887701</v>
      </c>
      <c r="H47" s="39" t="n">
        <f aca="false">IF(OR(F47="",F47=0),"",E47/F47)</f>
        <v>0.6524064171123</v>
      </c>
      <c r="I47" s="38" t="s">
        <v>89</v>
      </c>
      <c r="J47" s="40" t="n">
        <v>3.45317612968717</v>
      </c>
      <c r="K47" s="39" t="n">
        <f aca="false">IF(G47="","",MAX(0,G47-J47/100))</f>
        <v>0.313061821590829</v>
      </c>
      <c r="L47" s="39" t="n">
        <f aca="false">IF(G47="","",MIN(1,G47+J47/100))</f>
        <v>0.382125344184572</v>
      </c>
      <c r="M47" s="21" t="n">
        <f aca="false">ROUND(Q47*S47,0)</f>
        <v>11</v>
      </c>
      <c r="N47" s="21" t="n">
        <f aca="false">ROUND(SQRT((F47*J47/100)^2+(G47*M47)^2),0)</f>
        <v>8</v>
      </c>
      <c r="P47" s="41" t="n">
        <v>-17.977887701335</v>
      </c>
      <c r="Q47" s="42" t="n">
        <v>187</v>
      </c>
      <c r="R47" s="43" t="n">
        <f aca="false">MAX(0,MIN(1,P47/100+$D$5))</f>
        <v>0.345439567713615</v>
      </c>
      <c r="S47" s="43" t="n">
        <v>0.0610405690258335</v>
      </c>
      <c r="T47" s="44" t="s">
        <v>90</v>
      </c>
    </row>
    <row r="48" customFormat="false" ht="15" hidden="false" customHeight="false" outlineLevel="0" collapsed="false">
      <c r="A48" s="38" t="s">
        <v>87</v>
      </c>
      <c r="B48" s="38" t="s">
        <v>137</v>
      </c>
      <c r="C48" s="38" t="s">
        <v>138</v>
      </c>
      <c r="D48" s="21" t="n">
        <f aca="false">ROUND(Q48*R48,0)</f>
        <v>339</v>
      </c>
      <c r="E48" s="21" t="n">
        <f aca="false">ROUND(Q48,0)-D48</f>
        <v>487</v>
      </c>
      <c r="F48" s="21" t="n">
        <f aca="false">IF(COUNTA(D48:E48)=0,"",SUM(D48:E48))</f>
        <v>826</v>
      </c>
      <c r="G48" s="39" t="n">
        <f aca="false">IF(OR(F48="",F48=0),"",D48/F48)</f>
        <v>0.410411622276029</v>
      </c>
      <c r="H48" s="39" t="n">
        <f aca="false">IF(OR(F48="",F48=0),"",E48/F48)</f>
        <v>0.589588377723971</v>
      </c>
      <c r="I48" s="38" t="s">
        <v>89</v>
      </c>
      <c r="J48" s="40" t="n">
        <v>2.05025038892674</v>
      </c>
      <c r="K48" s="39" t="n">
        <f aca="false">IF(G48="","",MAX(0,G48-J48/100))</f>
        <v>0.389909118386762</v>
      </c>
      <c r="L48" s="39" t="n">
        <f aca="false">IF(G48="","",MIN(1,G48+J48/100))</f>
        <v>0.430914126165296</v>
      </c>
      <c r="M48" s="21" t="n">
        <f aca="false">ROUND(Q48*S48,0)</f>
        <v>41</v>
      </c>
      <c r="N48" s="21" t="n">
        <f aca="false">ROUND(SQRT((F48*J48/100)^2+(G48*M48)^2),0)</f>
        <v>24</v>
      </c>
      <c r="P48" s="41" t="n">
        <v>-11.44617177274</v>
      </c>
      <c r="Q48" s="42" t="n">
        <v>826</v>
      </c>
      <c r="R48" s="43" t="n">
        <f aca="false">MAX(0,MIN(1,P48/100+$D$5))</f>
        <v>0.410756726999565</v>
      </c>
      <c r="S48" s="43" t="n">
        <v>0.0500321312575726</v>
      </c>
      <c r="T48" s="44" t="s">
        <v>99</v>
      </c>
    </row>
    <row r="49" customFormat="false" ht="15" hidden="false" customHeight="false" outlineLevel="0" collapsed="false">
      <c r="A49" s="38" t="s">
        <v>87</v>
      </c>
      <c r="B49" s="38" t="s">
        <v>137</v>
      </c>
      <c r="C49" s="38" t="s">
        <v>139</v>
      </c>
      <c r="D49" s="21" t="n">
        <f aca="false">ROUND(Q49*R49,0)</f>
        <v>250</v>
      </c>
      <c r="E49" s="21" t="n">
        <f aca="false">ROUND(Q49,0)-D49</f>
        <v>368</v>
      </c>
      <c r="F49" s="21" t="n">
        <f aca="false">IF(COUNTA(D49:E49)=0,"",SUM(D49:E49))</f>
        <v>618</v>
      </c>
      <c r="G49" s="39" t="n">
        <f aca="false">IF(OR(F49="",F49=0),"",D49/F49)</f>
        <v>0.40453074433657</v>
      </c>
      <c r="H49" s="39" t="n">
        <f aca="false">IF(OR(F49="",F49=0),"",E49/F49)</f>
        <v>0.595469255663431</v>
      </c>
      <c r="I49" s="38" t="s">
        <v>89</v>
      </c>
      <c r="J49" s="40" t="n">
        <v>3.45317612968717</v>
      </c>
      <c r="K49" s="39" t="n">
        <f aca="false">IF(G49="","",MAX(0,G49-J49/100))</f>
        <v>0.369998983039698</v>
      </c>
      <c r="L49" s="39" t="n">
        <f aca="false">IF(G49="","",MIN(1,G49+J49/100))</f>
        <v>0.439062505633441</v>
      </c>
      <c r="M49" s="21" t="n">
        <f aca="false">ROUND(Q49*S49,0)</f>
        <v>38</v>
      </c>
      <c r="N49" s="21" t="n">
        <f aca="false">ROUND(SQRT((F49*J49/100)^2+(G49*M49)^2),0)</f>
        <v>26</v>
      </c>
      <c r="P49" s="41" t="n">
        <v>-12.1185892051384</v>
      </c>
      <c r="Q49" s="42" t="n">
        <v>618</v>
      </c>
      <c r="R49" s="43" t="n">
        <f aca="false">MAX(0,MIN(1,P49/100+$D$5))</f>
        <v>0.404032552675581</v>
      </c>
      <c r="S49" s="43" t="n">
        <v>0.0610405690258335</v>
      </c>
      <c r="T49" s="44" t="s">
        <v>90</v>
      </c>
    </row>
    <row r="50" customFormat="false" ht="15" hidden="false" customHeight="false" outlineLevel="0" collapsed="false">
      <c r="A50" s="38" t="s">
        <v>87</v>
      </c>
      <c r="B50" s="38" t="s">
        <v>137</v>
      </c>
      <c r="C50" s="38" t="s">
        <v>140</v>
      </c>
      <c r="D50" s="21" t="n">
        <f aca="false">ROUND(Q50*R50,0)</f>
        <v>395</v>
      </c>
      <c r="E50" s="21" t="n">
        <f aca="false">ROUND(Q50,0)-D50</f>
        <v>557</v>
      </c>
      <c r="F50" s="21" t="n">
        <f aca="false">IF(COUNTA(D50:E50)=0,"",SUM(D50:E50))</f>
        <v>952</v>
      </c>
      <c r="G50" s="39" t="n">
        <f aca="false">IF(OR(F50="",F50=0),"",D50/F50)</f>
        <v>0.414915966386555</v>
      </c>
      <c r="H50" s="39" t="n">
        <f aca="false">IF(OR(F50="",F50=0),"",E50/F50)</f>
        <v>0.585084033613445</v>
      </c>
      <c r="I50" s="38" t="s">
        <v>89</v>
      </c>
      <c r="J50" s="40" t="n">
        <v>2.05025038892674</v>
      </c>
      <c r="K50" s="39" t="n">
        <f aca="false">IF(G50="","",MAX(0,G50-J50/100))</f>
        <v>0.394413462497287</v>
      </c>
      <c r="L50" s="39" t="n">
        <f aca="false">IF(G50="","",MIN(1,G50+J50/100))</f>
        <v>0.435418470275822</v>
      </c>
      <c r="M50" s="21" t="n">
        <f aca="false">ROUND(Q50*S50,0)</f>
        <v>48</v>
      </c>
      <c r="N50" s="21" t="n">
        <f aca="false">ROUND(SQRT((F50*J50/100)^2+(G50*M50)^2),0)</f>
        <v>28</v>
      </c>
      <c r="P50" s="41" t="n">
        <v>-11.0281811031191</v>
      </c>
      <c r="Q50" s="42" t="n">
        <v>952</v>
      </c>
      <c r="R50" s="43" t="n">
        <f aca="false">MAX(0,MIN(1,P50/100+$D$5))</f>
        <v>0.414936633695773</v>
      </c>
      <c r="S50" s="43" t="n">
        <v>0.0500321312575726</v>
      </c>
      <c r="T50" s="44" t="s">
        <v>99</v>
      </c>
    </row>
    <row r="51" customFormat="false" ht="15" hidden="false" customHeight="false" outlineLevel="0" collapsed="false">
      <c r="A51" s="38" t="s">
        <v>87</v>
      </c>
      <c r="B51" s="38" t="s">
        <v>137</v>
      </c>
      <c r="C51" s="38" t="s">
        <v>141</v>
      </c>
      <c r="D51" s="21" t="n">
        <f aca="false">ROUND(Q51*R51,0)</f>
        <v>362</v>
      </c>
      <c r="E51" s="21" t="n">
        <f aca="false">ROUND(Q51,0)-D51</f>
        <v>670</v>
      </c>
      <c r="F51" s="21" t="n">
        <f aca="false">IF(COUNTA(D51:E51)=0,"",SUM(D51:E51))</f>
        <v>1032</v>
      </c>
      <c r="G51" s="39" t="n">
        <f aca="false">IF(OR(F51="",F51=0),"",D51/F51)</f>
        <v>0.35077519379845</v>
      </c>
      <c r="H51" s="39" t="n">
        <f aca="false">IF(OR(F51="",F51=0),"",E51/F51)</f>
        <v>0.64922480620155</v>
      </c>
      <c r="I51" s="38" t="s">
        <v>89</v>
      </c>
      <c r="J51" s="40" t="n">
        <v>2.05025038892674</v>
      </c>
      <c r="K51" s="39" t="n">
        <f aca="false">IF(G51="","",MAX(0,G51-J51/100))</f>
        <v>0.330272689909182</v>
      </c>
      <c r="L51" s="39" t="n">
        <f aca="false">IF(G51="","",MIN(1,G51+J51/100))</f>
        <v>0.371277697687717</v>
      </c>
      <c r="M51" s="21" t="n">
        <f aca="false">ROUND(Q51*S51,0)</f>
        <v>52</v>
      </c>
      <c r="N51" s="21" t="n">
        <f aca="false">ROUND(SQRT((F51*J51/100)^2+(G51*M51)^2),0)</f>
        <v>28</v>
      </c>
      <c r="P51" s="41" t="n">
        <v>-17.4872005313822</v>
      </c>
      <c r="Q51" s="42" t="n">
        <v>1032</v>
      </c>
      <c r="R51" s="43" t="n">
        <f aca="false">MAX(0,MIN(1,P51/100+$D$5))</f>
        <v>0.350346439413143</v>
      </c>
      <c r="S51" s="43" t="n">
        <v>0.0500321312575726</v>
      </c>
      <c r="T51" s="44" t="s">
        <v>99</v>
      </c>
    </row>
    <row r="52" customFormat="false" ht="15" hidden="false" customHeight="false" outlineLevel="0" collapsed="false">
      <c r="A52" s="38" t="s">
        <v>87</v>
      </c>
      <c r="B52" s="38" t="s">
        <v>137</v>
      </c>
      <c r="C52" s="38" t="s">
        <v>142</v>
      </c>
      <c r="D52" s="21" t="n">
        <f aca="false">ROUND(Q52*R52,0)</f>
        <v>354</v>
      </c>
      <c r="E52" s="21" t="n">
        <f aca="false">ROUND(Q52,0)-D52</f>
        <v>542</v>
      </c>
      <c r="F52" s="21" t="n">
        <f aca="false">IF(COUNTA(D52:E52)=0,"",SUM(D52:E52))</f>
        <v>896</v>
      </c>
      <c r="G52" s="39" t="n">
        <f aca="false">IF(OR(F52="",F52=0),"",D52/F52)</f>
        <v>0.395089285714286</v>
      </c>
      <c r="H52" s="39" t="n">
        <f aca="false">IF(OR(F52="",F52=0),"",E52/F52)</f>
        <v>0.604910714285714</v>
      </c>
      <c r="I52" s="38" t="s">
        <v>89</v>
      </c>
      <c r="J52" s="40" t="n">
        <v>2.05025038892674</v>
      </c>
      <c r="K52" s="39" t="n">
        <f aca="false">IF(G52="","",MAX(0,G52-J52/100))</f>
        <v>0.374586781825018</v>
      </c>
      <c r="L52" s="39" t="n">
        <f aca="false">IF(G52="","",MIN(1,G52+J52/100))</f>
        <v>0.415591789603553</v>
      </c>
      <c r="M52" s="21" t="n">
        <f aca="false">ROUND(Q52*S52,0)</f>
        <v>45</v>
      </c>
      <c r="N52" s="21" t="n">
        <f aca="false">ROUND(SQRT((F52*J52/100)^2+(G52*M52)^2),0)</f>
        <v>26</v>
      </c>
      <c r="P52" s="41" t="n">
        <v>-13.0510152079667</v>
      </c>
      <c r="Q52" s="42" t="n">
        <v>896</v>
      </c>
      <c r="R52" s="43" t="n">
        <f aca="false">MAX(0,MIN(1,P52/100+$D$5))</f>
        <v>0.394708292647298</v>
      </c>
      <c r="S52" s="43" t="n">
        <v>0.0500321312575726</v>
      </c>
      <c r="T52" s="44" t="s">
        <v>99</v>
      </c>
    </row>
    <row r="53" customFormat="false" ht="15" hidden="false" customHeight="false" outlineLevel="0" collapsed="false">
      <c r="A53" s="38" t="s">
        <v>87</v>
      </c>
      <c r="B53" s="38" t="s">
        <v>143</v>
      </c>
      <c r="C53" s="38" t="s">
        <v>144</v>
      </c>
      <c r="D53" s="21" t="n">
        <f aca="false">ROUND(Q53*R53,0)</f>
        <v>145</v>
      </c>
      <c r="E53" s="21" t="n">
        <f aca="false">ROUND(Q53,0)-D53</f>
        <v>143</v>
      </c>
      <c r="F53" s="21" t="n">
        <f aca="false">IF(COUNTA(D53:E53)=0,"",SUM(D53:E53))</f>
        <v>288</v>
      </c>
      <c r="G53" s="39" t="n">
        <f aca="false">IF(OR(F53="",F53=0),"",D53/F53)</f>
        <v>0.503472222222222</v>
      </c>
      <c r="H53" s="39" t="n">
        <f aca="false">IF(OR(F53="",F53=0),"",E53/F53)</f>
        <v>0.496527777777778</v>
      </c>
      <c r="I53" s="38" t="s">
        <v>89</v>
      </c>
      <c r="J53" s="40" t="n">
        <v>3.45317612968717</v>
      </c>
      <c r="K53" s="39" t="n">
        <f aca="false">IF(G53="","",MAX(0,G53-J53/100))</f>
        <v>0.468940460925351</v>
      </c>
      <c r="L53" s="39" t="n">
        <f aca="false">IF(G53="","",MIN(1,G53+J53/100))</f>
        <v>0.538003983519094</v>
      </c>
      <c r="M53" s="21" t="n">
        <f aca="false">ROUND(Q53*S53,0)</f>
        <v>18</v>
      </c>
      <c r="N53" s="21" t="n">
        <f aca="false">ROUND(SQRT((F53*J53/100)^2+(G53*M53)^2),0)</f>
        <v>13</v>
      </c>
      <c r="P53" s="41" t="n">
        <v>-2.00782084734919</v>
      </c>
      <c r="Q53" s="42" t="n">
        <v>288</v>
      </c>
      <c r="R53" s="43" t="n">
        <f aca="false">MAX(0,MIN(1,P53/100+$D$5))</f>
        <v>0.505140236253473</v>
      </c>
      <c r="S53" s="43" t="n">
        <v>0.0610405690258335</v>
      </c>
      <c r="T53" s="44" t="s">
        <v>90</v>
      </c>
    </row>
    <row r="54" customFormat="false" ht="15" hidden="false" customHeight="false" outlineLevel="0" collapsed="false">
      <c r="A54" s="38" t="s">
        <v>87</v>
      </c>
      <c r="B54" s="38" t="s">
        <v>143</v>
      </c>
      <c r="C54" s="38" t="s">
        <v>145</v>
      </c>
      <c r="D54" s="21" t="n">
        <f aca="false">ROUND(Q54*R54,0)</f>
        <v>161</v>
      </c>
      <c r="E54" s="21" t="n">
        <f aca="false">ROUND(Q54,0)-D54</f>
        <v>151</v>
      </c>
      <c r="F54" s="21" t="n">
        <f aca="false">IF(COUNTA(D54:E54)=0,"",SUM(D54:E54))</f>
        <v>312</v>
      </c>
      <c r="G54" s="39" t="n">
        <f aca="false">IF(OR(F54="",F54=0),"",D54/F54)</f>
        <v>0.516025641025641</v>
      </c>
      <c r="H54" s="39" t="n">
        <f aca="false">IF(OR(F54="",F54=0),"",E54/F54)</f>
        <v>0.483974358974359</v>
      </c>
      <c r="I54" s="38" t="s">
        <v>89</v>
      </c>
      <c r="J54" s="40" t="n">
        <v>3.45317612968717</v>
      </c>
      <c r="K54" s="39" t="n">
        <f aca="false">IF(G54="","",MAX(0,G54-J54/100))</f>
        <v>0.481493879728769</v>
      </c>
      <c r="L54" s="39" t="n">
        <f aca="false">IF(G54="","",MIN(1,G54+J54/100))</f>
        <v>0.550557402322513</v>
      </c>
      <c r="M54" s="21" t="n">
        <f aca="false">ROUND(Q54*S54,0)</f>
        <v>19</v>
      </c>
      <c r="N54" s="21" t="n">
        <f aca="false">ROUND(SQRT((F54*J54/100)^2+(G54*M54)^2),0)</f>
        <v>15</v>
      </c>
      <c r="P54" s="41" t="n">
        <v>-1.06502023508276</v>
      </c>
      <c r="Q54" s="42" t="n">
        <v>312</v>
      </c>
      <c r="R54" s="43" t="n">
        <f aca="false">MAX(0,MIN(1,P54/100+$D$5))</f>
        <v>0.514568242376137</v>
      </c>
      <c r="S54" s="43" t="n">
        <v>0.0610405690258335</v>
      </c>
      <c r="T54" s="44" t="s">
        <v>90</v>
      </c>
    </row>
    <row r="55" customFormat="false" ht="15" hidden="false" customHeight="false" outlineLevel="0" collapsed="false">
      <c r="A55" s="38" t="s">
        <v>87</v>
      </c>
      <c r="B55" s="38" t="s">
        <v>143</v>
      </c>
      <c r="C55" s="38" t="s">
        <v>146</v>
      </c>
      <c r="D55" s="21" t="n">
        <f aca="false">ROUND(Q55*R55,0)</f>
        <v>103</v>
      </c>
      <c r="E55" s="21" t="n">
        <f aca="false">ROUND(Q55,0)-D55</f>
        <v>148</v>
      </c>
      <c r="F55" s="21" t="n">
        <f aca="false">IF(COUNTA(D55:E55)=0,"",SUM(D55:E55))</f>
        <v>251</v>
      </c>
      <c r="G55" s="39" t="n">
        <f aca="false">IF(OR(F55="",F55=0),"",D55/F55)</f>
        <v>0.410358565737052</v>
      </c>
      <c r="H55" s="39" t="n">
        <f aca="false">IF(OR(F55="",F55=0),"",E55/F55)</f>
        <v>0.589641434262948</v>
      </c>
      <c r="I55" s="38" t="s">
        <v>89</v>
      </c>
      <c r="J55" s="40" t="n">
        <v>3.45317612968717</v>
      </c>
      <c r="K55" s="39" t="n">
        <f aca="false">IF(G55="","",MAX(0,G55-J55/100))</f>
        <v>0.37582680444018</v>
      </c>
      <c r="L55" s="39" t="n">
        <f aca="false">IF(G55="","",MIN(1,G55+J55/100))</f>
        <v>0.444890327033924</v>
      </c>
      <c r="M55" s="21" t="n">
        <f aca="false">ROUND(Q55*S55,0)</f>
        <v>15</v>
      </c>
      <c r="N55" s="21" t="n">
        <f aca="false">ROUND(SQRT((F55*J55/100)^2+(G55*M55)^2),0)</f>
        <v>11</v>
      </c>
      <c r="P55" s="41" t="n">
        <v>-11.5436596663541</v>
      </c>
      <c r="Q55" s="42" t="n">
        <v>251</v>
      </c>
      <c r="R55" s="43" t="n">
        <f aca="false">MAX(0,MIN(1,P55/100+$D$5))</f>
        <v>0.409781848063424</v>
      </c>
      <c r="S55" s="43" t="n">
        <v>0.0610405690258335</v>
      </c>
      <c r="T55" s="44" t="s">
        <v>90</v>
      </c>
    </row>
    <row r="56" customFormat="false" ht="15" hidden="false" customHeight="false" outlineLevel="0" collapsed="false">
      <c r="A56" s="38" t="s">
        <v>87</v>
      </c>
      <c r="B56" s="38" t="s">
        <v>143</v>
      </c>
      <c r="C56" s="38" t="s">
        <v>147</v>
      </c>
      <c r="D56" s="21" t="n">
        <f aca="false">ROUND(Q56*R56,0)</f>
        <v>171</v>
      </c>
      <c r="E56" s="21" t="n">
        <f aca="false">ROUND(Q56,0)-D56</f>
        <v>213</v>
      </c>
      <c r="F56" s="21" t="n">
        <f aca="false">IF(COUNTA(D56:E56)=0,"",SUM(D56:E56))</f>
        <v>384</v>
      </c>
      <c r="G56" s="39" t="n">
        <f aca="false">IF(OR(F56="",F56=0),"",D56/F56)</f>
        <v>0.4453125</v>
      </c>
      <c r="H56" s="39" t="n">
        <f aca="false">IF(OR(F56="",F56=0),"",E56/F56)</f>
        <v>0.5546875</v>
      </c>
      <c r="I56" s="38" t="s">
        <v>89</v>
      </c>
      <c r="J56" s="40" t="n">
        <v>3.45317612968717</v>
      </c>
      <c r="K56" s="39" t="n">
        <f aca="false">IF(G56="","",MAX(0,G56-J56/100))</f>
        <v>0.410780738703128</v>
      </c>
      <c r="L56" s="39" t="n">
        <f aca="false">IF(G56="","",MIN(1,G56+J56/100))</f>
        <v>0.479844261296872</v>
      </c>
      <c r="M56" s="21" t="n">
        <f aca="false">ROUND(Q56*S56,0)</f>
        <v>23</v>
      </c>
      <c r="N56" s="21" t="n">
        <f aca="false">ROUND(SQRT((F56*J56/100)^2+(G56*M56)^2),0)</f>
        <v>17</v>
      </c>
      <c r="P56" s="41" t="n">
        <v>-8.05624701221457</v>
      </c>
      <c r="Q56" s="42" t="n">
        <v>384</v>
      </c>
      <c r="R56" s="43" t="n">
        <f aca="false">MAX(0,MIN(1,P56/100+$D$5))</f>
        <v>0.444655974604819</v>
      </c>
      <c r="S56" s="43" t="n">
        <v>0.0610405690258335</v>
      </c>
      <c r="T56" s="44" t="s">
        <v>90</v>
      </c>
    </row>
    <row r="57" customFormat="false" ht="15" hidden="false" customHeight="false" outlineLevel="0" collapsed="false">
      <c r="A57" s="38" t="s">
        <v>87</v>
      </c>
      <c r="B57" s="38" t="s">
        <v>148</v>
      </c>
      <c r="C57" s="38" t="s">
        <v>149</v>
      </c>
      <c r="D57" s="21" t="n">
        <f aca="false">ROUND(Q57*R57,0)</f>
        <v>238</v>
      </c>
      <c r="E57" s="21" t="n">
        <f aca="false">ROUND(Q57,0)-D57</f>
        <v>469</v>
      </c>
      <c r="F57" s="21" t="n">
        <f aca="false">IF(COUNTA(D57:E57)=0,"",SUM(D57:E57))</f>
        <v>707</v>
      </c>
      <c r="G57" s="39" t="n">
        <f aca="false">IF(OR(F57="",F57=0),"",D57/F57)</f>
        <v>0.336633663366337</v>
      </c>
      <c r="H57" s="39" t="n">
        <f aca="false">IF(OR(F57="",F57=0),"",E57/F57)</f>
        <v>0.663366336633663</v>
      </c>
      <c r="I57" s="38" t="s">
        <v>89</v>
      </c>
      <c r="J57" s="40" t="n">
        <v>3.45317612968717</v>
      </c>
      <c r="K57" s="39" t="n">
        <f aca="false">IF(G57="","",MAX(0,G57-J57/100))</f>
        <v>0.302101902069465</v>
      </c>
      <c r="L57" s="39" t="n">
        <f aca="false">IF(G57="","",MIN(1,G57+J57/100))</f>
        <v>0.371165424663208</v>
      </c>
      <c r="M57" s="21" t="n">
        <f aca="false">ROUND(Q57*S57,0)</f>
        <v>43</v>
      </c>
      <c r="N57" s="21" t="n">
        <f aca="false">ROUND(SQRT((F57*J57/100)^2+(G57*M57)^2),0)</f>
        <v>28</v>
      </c>
      <c r="P57" s="41" t="n">
        <v>-18.9016457143896</v>
      </c>
      <c r="Q57" s="42" t="n">
        <v>707</v>
      </c>
      <c r="R57" s="43" t="n">
        <f aca="false">MAX(0,MIN(1,P57/100+$D$5))</f>
        <v>0.336201987583068</v>
      </c>
      <c r="S57" s="43" t="n">
        <v>0.0610405690258335</v>
      </c>
      <c r="T57" s="44" t="s">
        <v>90</v>
      </c>
    </row>
    <row r="58" customFormat="false" ht="15" hidden="false" customHeight="false" outlineLevel="0" collapsed="false">
      <c r="A58" s="38" t="s">
        <v>87</v>
      </c>
      <c r="B58" s="38" t="s">
        <v>148</v>
      </c>
      <c r="C58" s="38" t="s">
        <v>150</v>
      </c>
      <c r="D58" s="21" t="n">
        <f aca="false">ROUND(Q58*R58,0)</f>
        <v>226</v>
      </c>
      <c r="E58" s="21" t="n">
        <f aca="false">ROUND(Q58,0)-D58</f>
        <v>520</v>
      </c>
      <c r="F58" s="21" t="n">
        <f aca="false">IF(COUNTA(D58:E58)=0,"",SUM(D58:E58))</f>
        <v>746</v>
      </c>
      <c r="G58" s="39" t="n">
        <f aca="false">IF(OR(F58="",F58=0),"",D58/F58)</f>
        <v>0.302949061662198</v>
      </c>
      <c r="H58" s="39" t="n">
        <f aca="false">IF(OR(F58="",F58=0),"",E58/F58)</f>
        <v>0.697050938337802</v>
      </c>
      <c r="I58" s="38" t="s">
        <v>89</v>
      </c>
      <c r="J58" s="40" t="n">
        <v>3.45317612968717</v>
      </c>
      <c r="K58" s="39" t="n">
        <f aca="false">IF(G58="","",MAX(0,G58-J58/100))</f>
        <v>0.268417300365327</v>
      </c>
      <c r="L58" s="39" t="n">
        <f aca="false">IF(G58="","",MIN(1,G58+J58/100))</f>
        <v>0.33748082295907</v>
      </c>
      <c r="M58" s="21" t="n">
        <f aca="false">ROUND(Q58*S58,0)</f>
        <v>46</v>
      </c>
      <c r="N58" s="21" t="n">
        <f aca="false">ROUND(SQRT((F58*J58/100)^2+(G58*M58)^2),0)</f>
        <v>29</v>
      </c>
      <c r="P58" s="41" t="n">
        <v>-22.2226322140185</v>
      </c>
      <c r="Q58" s="42" t="n">
        <v>746</v>
      </c>
      <c r="R58" s="43" t="n">
        <f aca="false">MAX(0,MIN(1,P58/100+$D$5))</f>
        <v>0.30299212258678</v>
      </c>
      <c r="S58" s="43" t="n">
        <v>0.0610405690258335</v>
      </c>
      <c r="T58" s="44" t="s">
        <v>90</v>
      </c>
    </row>
    <row r="59" customFormat="false" ht="15" hidden="false" customHeight="false" outlineLevel="0" collapsed="false">
      <c r="A59" s="38" t="s">
        <v>87</v>
      </c>
      <c r="B59" s="38" t="s">
        <v>148</v>
      </c>
      <c r="C59" s="38" t="s">
        <v>151</v>
      </c>
      <c r="D59" s="21" t="n">
        <f aca="false">ROUND(Q59*R59,0)</f>
        <v>215</v>
      </c>
      <c r="E59" s="21" t="n">
        <f aca="false">ROUND(Q59,0)-D59</f>
        <v>463</v>
      </c>
      <c r="F59" s="21" t="n">
        <f aca="false">IF(COUNTA(D59:E59)=0,"",SUM(D59:E59))</f>
        <v>678</v>
      </c>
      <c r="G59" s="39" t="n">
        <f aca="false">IF(OR(F59="",F59=0),"",D59/F59)</f>
        <v>0.317109144542773</v>
      </c>
      <c r="H59" s="39" t="n">
        <f aca="false">IF(OR(F59="",F59=0),"",E59/F59)</f>
        <v>0.682890855457227</v>
      </c>
      <c r="I59" s="38" t="s">
        <v>89</v>
      </c>
      <c r="J59" s="40" t="n">
        <v>3.45317612968717</v>
      </c>
      <c r="K59" s="39" t="n">
        <f aca="false">IF(G59="","",MAX(0,G59-J59/100))</f>
        <v>0.282577383245901</v>
      </c>
      <c r="L59" s="39" t="n">
        <f aca="false">IF(G59="","",MIN(1,G59+J59/100))</f>
        <v>0.351640905839645</v>
      </c>
      <c r="M59" s="21" t="n">
        <f aca="false">ROUND(Q59*S59,0)</f>
        <v>41</v>
      </c>
      <c r="N59" s="21" t="n">
        <f aca="false">ROUND(SQRT((F59*J59/100)^2+(G59*M59)^2),0)</f>
        <v>27</v>
      </c>
      <c r="P59" s="41" t="n">
        <v>-20.8837805570201</v>
      </c>
      <c r="Q59" s="42" t="n">
        <v>678</v>
      </c>
      <c r="R59" s="43" t="n">
        <f aca="false">MAX(0,MIN(1,P59/100+$D$5))</f>
        <v>0.316380639156764</v>
      </c>
      <c r="S59" s="43" t="n">
        <v>0.0610405690258335</v>
      </c>
      <c r="T59" s="44" t="s">
        <v>90</v>
      </c>
    </row>
    <row r="60" customFormat="false" ht="15" hidden="false" customHeight="false" outlineLevel="0" collapsed="false">
      <c r="A60" s="38" t="s">
        <v>87</v>
      </c>
      <c r="B60" s="38" t="s">
        <v>152</v>
      </c>
      <c r="C60" s="38" t="s">
        <v>153</v>
      </c>
      <c r="D60" s="21" t="n">
        <f aca="false">ROUND(Q60*R60,0)</f>
        <v>195</v>
      </c>
      <c r="E60" s="21" t="n">
        <f aca="false">ROUND(Q60,0)-D60</f>
        <v>407</v>
      </c>
      <c r="F60" s="21" t="n">
        <f aca="false">IF(COUNTA(D60:E60)=0,"",SUM(D60:E60))</f>
        <v>602</v>
      </c>
      <c r="G60" s="39" t="n">
        <f aca="false">IF(OR(F60="",F60=0),"",D60/F60)</f>
        <v>0.323920265780731</v>
      </c>
      <c r="H60" s="39" t="n">
        <f aca="false">IF(OR(F60="",F60=0),"",E60/F60)</f>
        <v>0.676079734219269</v>
      </c>
      <c r="I60" s="38" t="s">
        <v>89</v>
      </c>
      <c r="J60" s="40" t="n">
        <v>3.45317612968717</v>
      </c>
      <c r="K60" s="39" t="n">
        <f aca="false">IF(G60="","",MAX(0,G60-J60/100))</f>
        <v>0.289388504483859</v>
      </c>
      <c r="L60" s="39" t="n">
        <f aca="false">IF(G60="","",MIN(1,G60+J60/100))</f>
        <v>0.358452027077603</v>
      </c>
      <c r="M60" s="21" t="n">
        <f aca="false">ROUND(Q60*S60,0)</f>
        <v>37</v>
      </c>
      <c r="N60" s="21" t="n">
        <f aca="false">ROUND(SQRT((F60*J60/100)^2+(G60*M60)^2),0)</f>
        <v>24</v>
      </c>
      <c r="P60" s="41" t="n">
        <v>-20.0603622542214</v>
      </c>
      <c r="Q60" s="42" t="n">
        <v>602</v>
      </c>
      <c r="R60" s="43" t="n">
        <f aca="false">MAX(0,MIN(1,P60/100+$D$5))</f>
        <v>0.32461482218475</v>
      </c>
      <c r="S60" s="43" t="n">
        <v>0.0610405690258335</v>
      </c>
      <c r="T60" s="44" t="s">
        <v>90</v>
      </c>
    </row>
    <row r="61" customFormat="false" ht="15" hidden="false" customHeight="false" outlineLevel="0" collapsed="false">
      <c r="A61" s="38" t="s">
        <v>87</v>
      </c>
      <c r="B61" s="38" t="s">
        <v>152</v>
      </c>
      <c r="C61" s="38" t="s">
        <v>154</v>
      </c>
      <c r="D61" s="21" t="n">
        <f aca="false">ROUND(Q61*R61,0)</f>
        <v>90</v>
      </c>
      <c r="E61" s="21" t="n">
        <f aca="false">ROUND(Q61,0)-D61</f>
        <v>209</v>
      </c>
      <c r="F61" s="21" t="n">
        <f aca="false">IF(COUNTA(D61:E61)=0,"",SUM(D61:E61))</f>
        <v>299</v>
      </c>
      <c r="G61" s="39" t="n">
        <f aca="false">IF(OR(F61="",F61=0),"",D61/F61)</f>
        <v>0.301003344481605</v>
      </c>
      <c r="H61" s="39" t="n">
        <f aca="false">IF(OR(F61="",F61=0),"",E61/F61)</f>
        <v>0.698996655518395</v>
      </c>
      <c r="I61" s="38" t="s">
        <v>89</v>
      </c>
      <c r="J61" s="40" t="n">
        <v>3.45317612968717</v>
      </c>
      <c r="K61" s="39" t="n">
        <f aca="false">IF(G61="","",MAX(0,G61-J61/100))</f>
        <v>0.266471583184734</v>
      </c>
      <c r="L61" s="39" t="n">
        <f aca="false">IF(G61="","",MIN(1,G61+J61/100))</f>
        <v>0.335535105778477</v>
      </c>
      <c r="M61" s="21" t="n">
        <f aca="false">ROUND(Q61*S61,0)</f>
        <v>18</v>
      </c>
      <c r="N61" s="21" t="n">
        <f aca="false">ROUND(SQRT((F61*J61/100)^2+(G61*M61)^2),0)</f>
        <v>12</v>
      </c>
      <c r="P61" s="41" t="n">
        <v>-22.4029114618055</v>
      </c>
      <c r="Q61" s="42" t="n">
        <v>299</v>
      </c>
      <c r="R61" s="43" t="n">
        <f aca="false">MAX(0,MIN(1,P61/100+$D$5))</f>
        <v>0.30118933010891</v>
      </c>
      <c r="S61" s="43" t="n">
        <v>0.0610405690258335</v>
      </c>
      <c r="T61" s="44" t="s">
        <v>90</v>
      </c>
    </row>
    <row r="62" customFormat="false" ht="15" hidden="false" customHeight="false" outlineLevel="0" collapsed="false">
      <c r="A62" s="38" t="s">
        <v>87</v>
      </c>
      <c r="B62" s="38" t="s">
        <v>155</v>
      </c>
      <c r="C62" s="38" t="s">
        <v>155</v>
      </c>
      <c r="D62" s="21" t="n">
        <f aca="false">ROUND(Q62*R62,0)</f>
        <v>40</v>
      </c>
      <c r="E62" s="21" t="n">
        <f aca="false">ROUND(Q62,0)-D62</f>
        <v>60</v>
      </c>
      <c r="F62" s="21" t="n">
        <f aca="false">IF(COUNTA(D62:E62)=0,"",SUM(D62:E62))</f>
        <v>100</v>
      </c>
      <c r="G62" s="39" t="n">
        <f aca="false">IF(OR(F62="",F62=0),"",D62/F62)</f>
        <v>0.4</v>
      </c>
      <c r="H62" s="39" t="n">
        <f aca="false">IF(OR(F62="",F62=0),"",E62/F62)</f>
        <v>0.6</v>
      </c>
      <c r="I62" s="38" t="s">
        <v>89</v>
      </c>
      <c r="J62" s="40" t="n">
        <v>3.45317612968717</v>
      </c>
      <c r="K62" s="39" t="n">
        <f aca="false">IF(G62="","",MAX(0,G62-J62/100))</f>
        <v>0.365468238703128</v>
      </c>
      <c r="L62" s="39" t="n">
        <f aca="false">IF(G62="","",MIN(1,G62+J62/100))</f>
        <v>0.434531761296872</v>
      </c>
      <c r="M62" s="21" t="n">
        <f aca="false">ROUND(Q62*S62,0)</f>
        <v>6</v>
      </c>
      <c r="N62" s="21" t="n">
        <f aca="false">ROUND(SQRT((F62*J62/100)^2+(G62*M62)^2),0)</f>
        <v>4</v>
      </c>
      <c r="P62" s="41" t="n">
        <v>-12.2797404696779</v>
      </c>
      <c r="Q62" s="42" t="n">
        <v>100</v>
      </c>
      <c r="R62" s="43" t="n">
        <f aca="false">MAX(0,MIN(1,P62/100+$D$5))</f>
        <v>0.402421040030186</v>
      </c>
      <c r="S62" s="43" t="n">
        <v>0.0610405690258335</v>
      </c>
      <c r="T62" s="44" t="s">
        <v>90</v>
      </c>
    </row>
    <row r="63" customFormat="false" ht="15" hidden="false" customHeight="false" outlineLevel="0" collapsed="false">
      <c r="A63" s="38" t="s">
        <v>156</v>
      </c>
      <c r="B63" s="38" t="s">
        <v>157</v>
      </c>
      <c r="C63" s="38" t="s">
        <v>157</v>
      </c>
      <c r="D63" s="21" t="n">
        <f aca="false">ROUND(Q63*R63,0)</f>
        <v>504</v>
      </c>
      <c r="E63" s="21" t="n">
        <f aca="false">ROUND(Q63,0)-D63</f>
        <v>509</v>
      </c>
      <c r="F63" s="21" t="n">
        <f aca="false">IF(COUNTA(D63:E63)=0,"",SUM(D63:E63))</f>
        <v>1013</v>
      </c>
      <c r="G63" s="39" t="n">
        <f aca="false">IF(OR(F63="",F63=0),"",D63/F63)</f>
        <v>0.497532082922014</v>
      </c>
      <c r="H63" s="39" t="n">
        <f aca="false">IF(OR(F63="",F63=0),"",E63/F63)</f>
        <v>0.502467917077986</v>
      </c>
      <c r="I63" s="38" t="s">
        <v>89</v>
      </c>
      <c r="J63" s="40" t="n">
        <v>2.05025038892674</v>
      </c>
      <c r="K63" s="39" t="n">
        <f aca="false">IF(G63="","",MAX(0,G63-J63/100))</f>
        <v>0.477029579032746</v>
      </c>
      <c r="L63" s="39" t="n">
        <f aca="false">IF(G63="","",MIN(1,G63+J63/100))</f>
        <v>0.518034586811281</v>
      </c>
      <c r="M63" s="21" t="n">
        <f aca="false">ROUND(Q63*S63,0)</f>
        <v>51</v>
      </c>
      <c r="N63" s="21" t="n">
        <f aca="false">ROUND(SQRT((F63*J63/100)^2+(G63*M63)^2),0)</f>
        <v>33</v>
      </c>
      <c r="P63" s="41" t="n">
        <v>-2.78139044078126</v>
      </c>
      <c r="Q63" s="42" t="n">
        <v>1013</v>
      </c>
      <c r="R63" s="43" t="n">
        <f aca="false">MAX(0,MIN(1,P63/100+$D$5))</f>
        <v>0.497404540319152</v>
      </c>
      <c r="S63" s="43" t="n">
        <v>0.0500321312575726</v>
      </c>
      <c r="T63" s="44" t="s">
        <v>99</v>
      </c>
    </row>
    <row r="64" customFormat="false" ht="15" hidden="false" customHeight="false" outlineLevel="0" collapsed="false">
      <c r="A64" s="38" t="s">
        <v>156</v>
      </c>
      <c r="B64" s="38" t="s">
        <v>158</v>
      </c>
      <c r="C64" s="38" t="s">
        <v>159</v>
      </c>
      <c r="D64" s="21" t="n">
        <f aca="false">ROUND(Q64*R64,0)</f>
        <v>256</v>
      </c>
      <c r="E64" s="21" t="n">
        <f aca="false">ROUND(Q64,0)-D64</f>
        <v>79</v>
      </c>
      <c r="F64" s="21" t="n">
        <f aca="false">IF(COUNTA(D64:E64)=0,"",SUM(D64:E64))</f>
        <v>335</v>
      </c>
      <c r="G64" s="39" t="n">
        <f aca="false">IF(OR(F64="",F64=0),"",D64/F64)</f>
        <v>0.764179104477612</v>
      </c>
      <c r="H64" s="39" t="n">
        <f aca="false">IF(OR(F64="",F64=0),"",E64/F64)</f>
        <v>0.235820895522388</v>
      </c>
      <c r="I64" s="38" t="s">
        <v>89</v>
      </c>
      <c r="J64" s="40" t="n">
        <v>3.45317612968717</v>
      </c>
      <c r="K64" s="39" t="n">
        <f aca="false">IF(G64="","",MAX(0,G64-J64/100))</f>
        <v>0.72964734318074</v>
      </c>
      <c r="L64" s="39" t="n">
        <f aca="false">IF(G64="","",MIN(1,G64+J64/100))</f>
        <v>0.798710865774484</v>
      </c>
      <c r="M64" s="21" t="n">
        <f aca="false">ROUND(Q64*S64,0)</f>
        <v>20</v>
      </c>
      <c r="N64" s="21" t="n">
        <f aca="false">ROUND(SQRT((F64*J64/100)^2+(G64*M64)^2),0)</f>
        <v>19</v>
      </c>
      <c r="P64" s="41" t="n">
        <v>23.9464702664406</v>
      </c>
      <c r="Q64" s="42" t="n">
        <v>335</v>
      </c>
      <c r="R64" s="43" t="n">
        <f aca="false">MAX(0,MIN(1,P64/100+$D$5))</f>
        <v>0.76468314739137</v>
      </c>
      <c r="S64" s="43" t="n">
        <v>0.0610405690258335</v>
      </c>
      <c r="T64" s="44" t="s">
        <v>90</v>
      </c>
    </row>
    <row r="65" customFormat="false" ht="15" hidden="false" customHeight="false" outlineLevel="0" collapsed="false">
      <c r="A65" s="38" t="s">
        <v>156</v>
      </c>
      <c r="B65" s="38" t="s">
        <v>158</v>
      </c>
      <c r="C65" s="38" t="s">
        <v>160</v>
      </c>
      <c r="D65" s="21" t="n">
        <f aca="false">ROUND(Q65*R65,0)</f>
        <v>148</v>
      </c>
      <c r="E65" s="21" t="n">
        <f aca="false">ROUND(Q65,0)-D65</f>
        <v>61</v>
      </c>
      <c r="F65" s="21" t="n">
        <f aca="false">IF(COUNTA(D65:E65)=0,"",SUM(D65:E65))</f>
        <v>209</v>
      </c>
      <c r="G65" s="39" t="n">
        <f aca="false">IF(OR(F65="",F65=0),"",D65/F65)</f>
        <v>0.708133971291866</v>
      </c>
      <c r="H65" s="39" t="n">
        <f aca="false">IF(OR(F65="",F65=0),"",E65/F65)</f>
        <v>0.291866028708134</v>
      </c>
      <c r="I65" s="38" t="s">
        <v>89</v>
      </c>
      <c r="J65" s="40" t="n">
        <v>3.45317612968717</v>
      </c>
      <c r="K65" s="39" t="n">
        <f aca="false">IF(G65="","",MAX(0,G65-J65/100))</f>
        <v>0.673602209994994</v>
      </c>
      <c r="L65" s="39" t="n">
        <f aca="false">IF(G65="","",MIN(1,G65+J65/100))</f>
        <v>0.742665732588738</v>
      </c>
      <c r="M65" s="21" t="n">
        <f aca="false">ROUND(Q65*S65,0)</f>
        <v>13</v>
      </c>
      <c r="N65" s="21" t="n">
        <f aca="false">ROUND(SQRT((F65*J65/100)^2+(G65*M65)^2),0)</f>
        <v>12</v>
      </c>
      <c r="P65" s="41" t="n">
        <v>18.2800072361935</v>
      </c>
      <c r="Q65" s="42" t="n">
        <v>209</v>
      </c>
      <c r="R65" s="43" t="n">
        <f aca="false">MAX(0,MIN(1,P65/100+$D$5))</f>
        <v>0.7080185170889</v>
      </c>
      <c r="S65" s="43" t="n">
        <v>0.0610405690258335</v>
      </c>
      <c r="T65" s="44" t="s">
        <v>90</v>
      </c>
    </row>
    <row r="66" customFormat="false" ht="15" hidden="false" customHeight="false" outlineLevel="0" collapsed="false">
      <c r="A66" s="38" t="s">
        <v>156</v>
      </c>
      <c r="B66" s="38" t="s">
        <v>158</v>
      </c>
      <c r="C66" s="38" t="s">
        <v>161</v>
      </c>
      <c r="D66" s="21" t="n">
        <f aca="false">ROUND(Q66*R66,0)</f>
        <v>178</v>
      </c>
      <c r="E66" s="21" t="n">
        <f aca="false">ROUND(Q66,0)-D66</f>
        <v>61</v>
      </c>
      <c r="F66" s="21" t="n">
        <f aca="false">IF(COUNTA(D66:E66)=0,"",SUM(D66:E66))</f>
        <v>239</v>
      </c>
      <c r="G66" s="39" t="n">
        <f aca="false">IF(OR(F66="",F66=0),"",D66/F66)</f>
        <v>0.744769874476987</v>
      </c>
      <c r="H66" s="39" t="n">
        <f aca="false">IF(OR(F66="",F66=0),"",E66/F66)</f>
        <v>0.255230125523013</v>
      </c>
      <c r="I66" s="38" t="s">
        <v>89</v>
      </c>
      <c r="J66" s="40" t="n">
        <v>3.45317612968717</v>
      </c>
      <c r="K66" s="39" t="n">
        <f aca="false">IF(G66="","",MAX(0,G66-J66/100))</f>
        <v>0.710238113180116</v>
      </c>
      <c r="L66" s="39" t="n">
        <f aca="false">IF(G66="","",MIN(1,G66+J66/100))</f>
        <v>0.779301635773859</v>
      </c>
      <c r="M66" s="21" t="n">
        <f aca="false">ROUND(Q66*S66,0)</f>
        <v>15</v>
      </c>
      <c r="N66" s="21" t="n">
        <f aca="false">ROUND(SQRT((F66*J66/100)^2+(G66*M66)^2),0)</f>
        <v>14</v>
      </c>
      <c r="P66" s="41" t="n">
        <v>21.7479551520497</v>
      </c>
      <c r="Q66" s="42" t="n">
        <v>239</v>
      </c>
      <c r="R66" s="43" t="n">
        <f aca="false">MAX(0,MIN(1,P66/100+$D$5))</f>
        <v>0.742697996247462</v>
      </c>
      <c r="S66" s="43" t="n">
        <v>0.0610405690258335</v>
      </c>
      <c r="T66" s="44" t="s">
        <v>90</v>
      </c>
    </row>
    <row r="67" customFormat="false" ht="15" hidden="false" customHeight="false" outlineLevel="0" collapsed="false">
      <c r="A67" s="38" t="s">
        <v>156</v>
      </c>
      <c r="B67" s="38" t="s">
        <v>158</v>
      </c>
      <c r="C67" s="38" t="s">
        <v>162</v>
      </c>
      <c r="D67" s="21" t="n">
        <f aca="false">ROUND(Q67*R67,0)</f>
        <v>172</v>
      </c>
      <c r="E67" s="21" t="n">
        <f aca="false">ROUND(Q67,0)-D67</f>
        <v>66</v>
      </c>
      <c r="F67" s="21" t="n">
        <f aca="false">IF(COUNTA(D67:E67)=0,"",SUM(D67:E67))</f>
        <v>238</v>
      </c>
      <c r="G67" s="39" t="n">
        <f aca="false">IF(OR(F67="",F67=0),"",D67/F67)</f>
        <v>0.722689075630252</v>
      </c>
      <c r="H67" s="39" t="n">
        <f aca="false">IF(OR(F67="",F67=0),"",E67/F67)</f>
        <v>0.277310924369748</v>
      </c>
      <c r="I67" s="38" t="s">
        <v>89</v>
      </c>
      <c r="J67" s="40" t="n">
        <v>3.45317612968717</v>
      </c>
      <c r="K67" s="39" t="n">
        <f aca="false">IF(G67="","",MAX(0,G67-J67/100))</f>
        <v>0.688157314333381</v>
      </c>
      <c r="L67" s="39" t="n">
        <f aca="false">IF(G67="","",MIN(1,G67+J67/100))</f>
        <v>0.757220836927124</v>
      </c>
      <c r="M67" s="21" t="n">
        <f aca="false">ROUND(Q67*S67,0)</f>
        <v>15</v>
      </c>
      <c r="N67" s="21" t="n">
        <f aca="false">ROUND(SQRT((F67*J67/100)^2+(G67*M67)^2),0)</f>
        <v>14</v>
      </c>
      <c r="P67" s="41" t="n">
        <v>19.6038972266823</v>
      </c>
      <c r="Q67" s="42" t="n">
        <v>238</v>
      </c>
      <c r="R67" s="43" t="n">
        <f aca="false">MAX(0,MIN(1,P67/100+$D$5))</f>
        <v>0.721257416993788</v>
      </c>
      <c r="S67" s="43" t="n">
        <v>0.0610405690258335</v>
      </c>
      <c r="T67" s="44" t="s">
        <v>90</v>
      </c>
    </row>
    <row r="68" customFormat="false" ht="15" hidden="false" customHeight="false" outlineLevel="0" collapsed="false">
      <c r="A68" s="38" t="s">
        <v>156</v>
      </c>
      <c r="B68" s="38" t="s">
        <v>158</v>
      </c>
      <c r="C68" s="38" t="s">
        <v>163</v>
      </c>
      <c r="D68" s="21" t="n">
        <f aca="false">ROUND(Q68*R68,0)</f>
        <v>182</v>
      </c>
      <c r="E68" s="21" t="n">
        <f aca="false">ROUND(Q68,0)-D68</f>
        <v>50</v>
      </c>
      <c r="F68" s="21" t="n">
        <f aca="false">IF(COUNTA(D68:E68)=0,"",SUM(D68:E68))</f>
        <v>232</v>
      </c>
      <c r="G68" s="39" t="n">
        <f aca="false">IF(OR(F68="",F68=0),"",D68/F68)</f>
        <v>0.78448275862069</v>
      </c>
      <c r="H68" s="39" t="n">
        <f aca="false">IF(OR(F68="",F68=0),"",E68/F68)</f>
        <v>0.21551724137931</v>
      </c>
      <c r="I68" s="38" t="s">
        <v>89</v>
      </c>
      <c r="J68" s="40" t="n">
        <v>3.45317612968717</v>
      </c>
      <c r="K68" s="39" t="n">
        <f aca="false">IF(G68="","",MAX(0,G68-J68/100))</f>
        <v>0.749950997323818</v>
      </c>
      <c r="L68" s="39" t="n">
        <f aca="false">IF(G68="","",MIN(1,G68+J68/100))</f>
        <v>0.819014519917561</v>
      </c>
      <c r="M68" s="21" t="n">
        <f aca="false">ROUND(Q68*S68,0)</f>
        <v>14</v>
      </c>
      <c r="N68" s="21" t="n">
        <f aca="false">ROUND(SQRT((F68*J68/100)^2+(G68*M68)^2),0)</f>
        <v>14</v>
      </c>
      <c r="P68" s="41" t="n">
        <v>25.7250687520981</v>
      </c>
      <c r="Q68" s="42" t="n">
        <v>232</v>
      </c>
      <c r="R68" s="43" t="n">
        <f aca="false">MAX(0,MIN(1,P68/100+$D$5))</f>
        <v>0.782469132247946</v>
      </c>
      <c r="S68" s="43" t="n">
        <v>0.0610405690258335</v>
      </c>
      <c r="T68" s="44" t="s">
        <v>90</v>
      </c>
    </row>
    <row r="69" customFormat="false" ht="15" hidden="false" customHeight="false" outlineLevel="0" collapsed="false">
      <c r="A69" s="38" t="s">
        <v>156</v>
      </c>
      <c r="B69" s="38" t="s">
        <v>158</v>
      </c>
      <c r="C69" s="38" t="s">
        <v>164</v>
      </c>
      <c r="D69" s="21" t="n">
        <f aca="false">ROUND(Q69*R69,0)</f>
        <v>261</v>
      </c>
      <c r="E69" s="21" t="n">
        <f aca="false">ROUND(Q69,0)-D69</f>
        <v>97</v>
      </c>
      <c r="F69" s="21" t="n">
        <f aca="false">IF(COUNTA(D69:E69)=0,"",SUM(D69:E69))</f>
        <v>358</v>
      </c>
      <c r="G69" s="39" t="n">
        <f aca="false">IF(OR(F69="",F69=0),"",D69/F69)</f>
        <v>0.729050279329609</v>
      </c>
      <c r="H69" s="39" t="n">
        <f aca="false">IF(OR(F69="",F69=0),"",E69/F69)</f>
        <v>0.270949720670391</v>
      </c>
      <c r="I69" s="38" t="s">
        <v>89</v>
      </c>
      <c r="J69" s="40" t="n">
        <v>3.45317612968717</v>
      </c>
      <c r="K69" s="39" t="n">
        <f aca="false">IF(G69="","",MAX(0,G69-J69/100))</f>
        <v>0.694518518032737</v>
      </c>
      <c r="L69" s="39" t="n">
        <f aca="false">IF(G69="","",MIN(1,G69+J69/100))</f>
        <v>0.763582040626481</v>
      </c>
      <c r="M69" s="21" t="n">
        <f aca="false">ROUND(Q69*S69,0)</f>
        <v>22</v>
      </c>
      <c r="N69" s="21" t="n">
        <f aca="false">ROUND(SQRT((F69*J69/100)^2+(G69*M69)^2),0)</f>
        <v>20</v>
      </c>
      <c r="P69" s="41" t="n">
        <v>20.3459593580035</v>
      </c>
      <c r="Q69" s="42" t="n">
        <v>358</v>
      </c>
      <c r="R69" s="43" t="n">
        <f aca="false">MAX(0,MIN(1,P69/100+$D$5))</f>
        <v>0.728678038307</v>
      </c>
      <c r="S69" s="43" t="n">
        <v>0.0610405690258335</v>
      </c>
      <c r="T69" s="44" t="s">
        <v>90</v>
      </c>
    </row>
    <row r="70" customFormat="false" ht="15" hidden="false" customHeight="false" outlineLevel="0" collapsed="false">
      <c r="A70" s="38" t="s">
        <v>156</v>
      </c>
      <c r="B70" s="38" t="s">
        <v>158</v>
      </c>
      <c r="C70" s="38" t="s">
        <v>165</v>
      </c>
      <c r="D70" s="21" t="n">
        <f aca="false">ROUND(Q70*R70,0)</f>
        <v>617</v>
      </c>
      <c r="E70" s="21" t="n">
        <f aca="false">ROUND(Q70,0)-D70</f>
        <v>148</v>
      </c>
      <c r="F70" s="21" t="n">
        <f aca="false">IF(COUNTA(D70:E70)=0,"",SUM(D70:E70))</f>
        <v>765</v>
      </c>
      <c r="G70" s="39" t="n">
        <f aca="false">IF(OR(F70="",F70=0),"",D70/F70)</f>
        <v>0.806535947712418</v>
      </c>
      <c r="H70" s="39" t="n">
        <f aca="false">IF(OR(F70="",F70=0),"",E70/F70)</f>
        <v>0.193464052287582</v>
      </c>
      <c r="I70" s="38" t="s">
        <v>89</v>
      </c>
      <c r="J70" s="40" t="n">
        <v>3.45317612968717</v>
      </c>
      <c r="K70" s="39" t="n">
        <f aca="false">IF(G70="","",MAX(0,G70-J70/100))</f>
        <v>0.772004186415547</v>
      </c>
      <c r="L70" s="39" t="n">
        <f aca="false">IF(G70="","",MIN(1,G70+J70/100))</f>
        <v>0.84106770900929</v>
      </c>
      <c r="M70" s="21" t="n">
        <f aca="false">ROUND(Q70*S70,0)</f>
        <v>47</v>
      </c>
      <c r="N70" s="21" t="n">
        <f aca="false">ROUND(SQRT((F70*J70/100)^2+(G70*M70)^2),0)</f>
        <v>46</v>
      </c>
      <c r="P70" s="41" t="n">
        <v>28.121289847475</v>
      </c>
      <c r="Q70" s="42" t="n">
        <v>765</v>
      </c>
      <c r="R70" s="43" t="n">
        <f aca="false">MAX(0,MIN(1,P70/100+$D$5))</f>
        <v>0.806431343201715</v>
      </c>
      <c r="S70" s="43" t="n">
        <v>0.0610405690258335</v>
      </c>
      <c r="T70" s="44" t="s">
        <v>90</v>
      </c>
    </row>
    <row r="71" customFormat="false" ht="15" hidden="false" customHeight="false" outlineLevel="0" collapsed="false">
      <c r="A71" s="38" t="s">
        <v>156</v>
      </c>
      <c r="B71" s="38" t="s">
        <v>158</v>
      </c>
      <c r="C71" s="38" t="s">
        <v>166</v>
      </c>
      <c r="D71" s="21" t="n">
        <f aca="false">ROUND(Q71*R71,0)</f>
        <v>278</v>
      </c>
      <c r="E71" s="21" t="n">
        <f aca="false">ROUND(Q71,0)-D71</f>
        <v>121</v>
      </c>
      <c r="F71" s="21" t="n">
        <f aca="false">IF(COUNTA(D71:E71)=0,"",SUM(D71:E71))</f>
        <v>399</v>
      </c>
      <c r="G71" s="39" t="n">
        <f aca="false">IF(OR(F71="",F71=0),"",D71/F71)</f>
        <v>0.696741854636591</v>
      </c>
      <c r="H71" s="39" t="n">
        <f aca="false">IF(OR(F71="",F71=0),"",E71/F71)</f>
        <v>0.303258145363409</v>
      </c>
      <c r="I71" s="38" t="s">
        <v>89</v>
      </c>
      <c r="J71" s="40" t="n">
        <v>3.45317612968717</v>
      </c>
      <c r="K71" s="39" t="n">
        <f aca="false">IF(G71="","",MAX(0,G71-J71/100))</f>
        <v>0.66221009333972</v>
      </c>
      <c r="L71" s="39" t="n">
        <f aca="false">IF(G71="","",MIN(1,G71+J71/100))</f>
        <v>0.731273615933463</v>
      </c>
      <c r="M71" s="21" t="n">
        <f aca="false">ROUND(Q71*S71,0)</f>
        <v>24</v>
      </c>
      <c r="N71" s="21" t="n">
        <f aca="false">ROUND(SQRT((F71*J71/100)^2+(G71*M71)^2),0)</f>
        <v>22</v>
      </c>
      <c r="P71" s="41" t="n">
        <v>17.2579849013797</v>
      </c>
      <c r="Q71" s="42" t="n">
        <v>399</v>
      </c>
      <c r="R71" s="43" t="n">
        <f aca="false">MAX(0,MIN(1,P71/100+$D$5))</f>
        <v>0.697798293740762</v>
      </c>
      <c r="S71" s="43" t="n">
        <v>0.0610405690258335</v>
      </c>
      <c r="T71" s="44" t="s">
        <v>90</v>
      </c>
    </row>
    <row r="72" customFormat="false" ht="15" hidden="false" customHeight="false" outlineLevel="0" collapsed="false">
      <c r="A72" s="38" t="s">
        <v>156</v>
      </c>
      <c r="B72" s="38" t="s">
        <v>158</v>
      </c>
      <c r="C72" s="38" t="s">
        <v>167</v>
      </c>
      <c r="D72" s="21" t="n">
        <f aca="false">ROUND(Q72*R72,0)</f>
        <v>448</v>
      </c>
      <c r="E72" s="21" t="n">
        <f aca="false">ROUND(Q72,0)-D72</f>
        <v>241</v>
      </c>
      <c r="F72" s="21" t="n">
        <f aca="false">IF(COUNTA(D72:E72)=0,"",SUM(D72:E72))</f>
        <v>689</v>
      </c>
      <c r="G72" s="39" t="n">
        <f aca="false">IF(OR(F72="",F72=0),"",D72/F72)</f>
        <v>0.65021770682148</v>
      </c>
      <c r="H72" s="39" t="n">
        <f aca="false">IF(OR(F72="",F72=0),"",E72/F72)</f>
        <v>0.34978229317852</v>
      </c>
      <c r="I72" s="38" t="s">
        <v>89</v>
      </c>
      <c r="J72" s="40" t="n">
        <v>3.45317612968717</v>
      </c>
      <c r="K72" s="39" t="n">
        <f aca="false">IF(G72="","",MAX(0,G72-J72/100))</f>
        <v>0.615685945524609</v>
      </c>
      <c r="L72" s="39" t="n">
        <f aca="false">IF(G72="","",MIN(1,G72+J72/100))</f>
        <v>0.684749468118352</v>
      </c>
      <c r="M72" s="21" t="n">
        <f aca="false">ROUND(Q72*S72,0)</f>
        <v>42</v>
      </c>
      <c r="N72" s="21" t="n">
        <f aca="false">ROUND(SQRT((F72*J72/100)^2+(G72*M72)^2),0)</f>
        <v>36</v>
      </c>
      <c r="P72" s="41" t="n">
        <v>12.4859637363369</v>
      </c>
      <c r="Q72" s="42" t="n">
        <v>689</v>
      </c>
      <c r="R72" s="43" t="n">
        <f aca="false">MAX(0,MIN(1,P72/100+$D$5))</f>
        <v>0.650078082090334</v>
      </c>
      <c r="S72" s="43" t="n">
        <v>0.0610405690258335</v>
      </c>
      <c r="T72" s="44" t="s">
        <v>90</v>
      </c>
    </row>
    <row r="73" customFormat="false" ht="15" hidden="false" customHeight="false" outlineLevel="0" collapsed="false">
      <c r="A73" s="38" t="s">
        <v>156</v>
      </c>
      <c r="B73" s="38" t="s">
        <v>158</v>
      </c>
      <c r="C73" s="38" t="s">
        <v>168</v>
      </c>
      <c r="D73" s="21" t="n">
        <f aca="false">ROUND(Q73*R73,0)</f>
        <v>365</v>
      </c>
      <c r="E73" s="21" t="n">
        <f aca="false">ROUND(Q73,0)-D73</f>
        <v>179</v>
      </c>
      <c r="F73" s="21" t="n">
        <f aca="false">IF(COUNTA(D73:E73)=0,"",SUM(D73:E73))</f>
        <v>544</v>
      </c>
      <c r="G73" s="39" t="n">
        <f aca="false">IF(OR(F73="",F73=0),"",D73/F73)</f>
        <v>0.670955882352941</v>
      </c>
      <c r="H73" s="39" t="n">
        <f aca="false">IF(OR(F73="",F73=0),"",E73/F73)</f>
        <v>0.329044117647059</v>
      </c>
      <c r="I73" s="38" t="s">
        <v>89</v>
      </c>
      <c r="J73" s="40" t="n">
        <v>3.45317612968717</v>
      </c>
      <c r="K73" s="39" t="n">
        <f aca="false">IF(G73="","",MAX(0,G73-J73/100))</f>
        <v>0.63642412105607</v>
      </c>
      <c r="L73" s="39" t="n">
        <f aca="false">IF(G73="","",MIN(1,G73+J73/100))</f>
        <v>0.705487643649813</v>
      </c>
      <c r="M73" s="21" t="n">
        <f aca="false">ROUND(Q73*S73,0)</f>
        <v>33</v>
      </c>
      <c r="N73" s="21" t="n">
        <f aca="false">ROUND(SQRT((F73*J73/100)^2+(G73*M73)^2),0)</f>
        <v>29</v>
      </c>
      <c r="P73" s="41" t="n">
        <v>14.615764586672</v>
      </c>
      <c r="Q73" s="42" t="n">
        <v>544</v>
      </c>
      <c r="R73" s="43" t="n">
        <f aca="false">MAX(0,MIN(1,P73/100+$D$5))</f>
        <v>0.671376090593684</v>
      </c>
      <c r="S73" s="43" t="n">
        <v>0.0610405690258335</v>
      </c>
      <c r="T73" s="44" t="s">
        <v>90</v>
      </c>
    </row>
    <row r="74" customFormat="false" ht="15" hidden="false" customHeight="false" outlineLevel="0" collapsed="false">
      <c r="A74" s="38" t="s">
        <v>156</v>
      </c>
      <c r="B74" s="38" t="s">
        <v>158</v>
      </c>
      <c r="C74" s="38" t="s">
        <v>169</v>
      </c>
      <c r="D74" s="21" t="n">
        <f aca="false">ROUND(Q74*R74,0)</f>
        <v>278</v>
      </c>
      <c r="E74" s="21" t="n">
        <f aca="false">ROUND(Q74,0)-D74</f>
        <v>106</v>
      </c>
      <c r="F74" s="21" t="n">
        <f aca="false">IF(COUNTA(D74:E74)=0,"",SUM(D74:E74))</f>
        <v>384</v>
      </c>
      <c r="G74" s="39" t="n">
        <f aca="false">IF(OR(F74="",F74=0),"",D74/F74)</f>
        <v>0.723958333333333</v>
      </c>
      <c r="H74" s="39" t="n">
        <f aca="false">IF(OR(F74="",F74=0),"",E74/F74)</f>
        <v>0.276041666666667</v>
      </c>
      <c r="I74" s="38" t="s">
        <v>89</v>
      </c>
      <c r="J74" s="40" t="n">
        <v>3.45317612968717</v>
      </c>
      <c r="K74" s="39" t="n">
        <f aca="false">IF(G74="","",MAX(0,G74-J74/100))</f>
        <v>0.689426572036462</v>
      </c>
      <c r="L74" s="39" t="n">
        <f aca="false">IF(G74="","",MIN(1,G74+J74/100))</f>
        <v>0.758490094630205</v>
      </c>
      <c r="M74" s="21" t="n">
        <f aca="false">ROUND(Q74*S74,0)</f>
        <v>23</v>
      </c>
      <c r="N74" s="21" t="n">
        <f aca="false">ROUND(SQRT((F74*J74/100)^2+(G74*M74)^2),0)</f>
        <v>21</v>
      </c>
      <c r="P74" s="41" t="n">
        <v>19.8179660595523</v>
      </c>
      <c r="Q74" s="42" t="n">
        <v>384</v>
      </c>
      <c r="R74" s="43" t="n">
        <f aca="false">MAX(0,MIN(1,P74/100+$D$5))</f>
        <v>0.723398105322488</v>
      </c>
      <c r="S74" s="43" t="n">
        <v>0.0610405690258335</v>
      </c>
      <c r="T74" s="44" t="s">
        <v>90</v>
      </c>
    </row>
    <row r="75" customFormat="false" ht="15" hidden="false" customHeight="false" outlineLevel="0" collapsed="false">
      <c r="A75" s="38" t="s">
        <v>156</v>
      </c>
      <c r="B75" s="38" t="s">
        <v>158</v>
      </c>
      <c r="C75" s="38" t="s">
        <v>170</v>
      </c>
      <c r="D75" s="21" t="n">
        <f aca="false">ROUND(Q75*R75,0)</f>
        <v>327</v>
      </c>
      <c r="E75" s="21" t="n">
        <f aca="false">ROUND(Q75,0)-D75</f>
        <v>159</v>
      </c>
      <c r="F75" s="21" t="n">
        <f aca="false">IF(COUNTA(D75:E75)=0,"",SUM(D75:E75))</f>
        <v>486</v>
      </c>
      <c r="G75" s="39" t="n">
        <f aca="false">IF(OR(F75="",F75=0),"",D75/F75)</f>
        <v>0.67283950617284</v>
      </c>
      <c r="H75" s="39" t="n">
        <f aca="false">IF(OR(F75="",F75=0),"",E75/F75)</f>
        <v>0.327160493827161</v>
      </c>
      <c r="I75" s="38" t="s">
        <v>89</v>
      </c>
      <c r="J75" s="40" t="n">
        <v>3.45317612968717</v>
      </c>
      <c r="K75" s="39" t="n">
        <f aca="false">IF(G75="","",MAX(0,G75-J75/100))</f>
        <v>0.638307744875968</v>
      </c>
      <c r="L75" s="39" t="n">
        <f aca="false">IF(G75="","",MIN(1,G75+J75/100))</f>
        <v>0.707371267469711</v>
      </c>
      <c r="M75" s="21" t="n">
        <f aca="false">ROUND(Q75*S75,0)</f>
        <v>30</v>
      </c>
      <c r="N75" s="21" t="n">
        <f aca="false">ROUND(SQRT((F75*J75/100)^2+(G75*M75)^2),0)</f>
        <v>26</v>
      </c>
      <c r="P75" s="41" t="n">
        <v>14.743398633349</v>
      </c>
      <c r="Q75" s="42" t="n">
        <v>486</v>
      </c>
      <c r="R75" s="43" t="n">
        <f aca="false">MAX(0,MIN(1,P75/100+$D$5))</f>
        <v>0.672652431060455</v>
      </c>
      <c r="S75" s="43" t="n">
        <v>0.0610405690258335</v>
      </c>
      <c r="T75" s="44" t="s">
        <v>90</v>
      </c>
    </row>
    <row r="76" customFormat="false" ht="15" hidden="false" customHeight="false" outlineLevel="0" collapsed="false">
      <c r="A76" s="38" t="s">
        <v>156</v>
      </c>
      <c r="B76" s="38" t="s">
        <v>158</v>
      </c>
      <c r="C76" s="38" t="s">
        <v>171</v>
      </c>
      <c r="D76" s="21" t="n">
        <f aca="false">ROUND(Q76*R76,0)</f>
        <v>331</v>
      </c>
      <c r="E76" s="21" t="n">
        <f aca="false">ROUND(Q76,0)-D76</f>
        <v>165</v>
      </c>
      <c r="F76" s="21" t="n">
        <f aca="false">IF(COUNTA(D76:E76)=0,"",SUM(D76:E76))</f>
        <v>496</v>
      </c>
      <c r="G76" s="39" t="n">
        <f aca="false">IF(OR(F76="",F76=0),"",D76/F76)</f>
        <v>0.667338709677419</v>
      </c>
      <c r="H76" s="39" t="n">
        <f aca="false">IF(OR(F76="",F76=0),"",E76/F76)</f>
        <v>0.332661290322581</v>
      </c>
      <c r="I76" s="38" t="s">
        <v>89</v>
      </c>
      <c r="J76" s="40" t="n">
        <v>3.45317612968717</v>
      </c>
      <c r="K76" s="39" t="n">
        <f aca="false">IF(G76="","",MAX(0,G76-J76/100))</f>
        <v>0.632806948380548</v>
      </c>
      <c r="L76" s="39" t="n">
        <f aca="false">IF(G76="","",MIN(1,G76+J76/100))</f>
        <v>0.701870470974291</v>
      </c>
      <c r="M76" s="21" t="n">
        <f aca="false">ROUND(Q76*S76,0)</f>
        <v>30</v>
      </c>
      <c r="N76" s="21" t="n">
        <f aca="false">ROUND(SQRT((F76*J76/100)^2+(G76*M76)^2),0)</f>
        <v>26</v>
      </c>
      <c r="P76" s="41" t="n">
        <v>14.1169551914376</v>
      </c>
      <c r="Q76" s="42" t="n">
        <v>496</v>
      </c>
      <c r="R76" s="43" t="n">
        <f aca="false">MAX(0,MIN(1,P76/100+$D$5))</f>
        <v>0.666387996641341</v>
      </c>
      <c r="S76" s="43" t="n">
        <v>0.0610405690258335</v>
      </c>
      <c r="T76" s="44" t="s">
        <v>90</v>
      </c>
    </row>
    <row r="77" customFormat="false" ht="15" hidden="false" customHeight="false" outlineLevel="0" collapsed="false">
      <c r="A77" s="38" t="s">
        <v>156</v>
      </c>
      <c r="B77" s="38" t="s">
        <v>158</v>
      </c>
      <c r="C77" s="38" t="s">
        <v>172</v>
      </c>
      <c r="D77" s="21" t="n">
        <f aca="false">ROUND(Q77*R77,0)</f>
        <v>348</v>
      </c>
      <c r="E77" s="21" t="n">
        <f aca="false">ROUND(Q77,0)-D77</f>
        <v>218</v>
      </c>
      <c r="F77" s="21" t="n">
        <f aca="false">IF(COUNTA(D77:E77)=0,"",SUM(D77:E77))</f>
        <v>566</v>
      </c>
      <c r="G77" s="39" t="n">
        <f aca="false">IF(OR(F77="",F77=0),"",D77/F77)</f>
        <v>0.614840989399293</v>
      </c>
      <c r="H77" s="39" t="n">
        <f aca="false">IF(OR(F77="",F77=0),"",E77/F77)</f>
        <v>0.385159010600707</v>
      </c>
      <c r="I77" s="38" t="s">
        <v>89</v>
      </c>
      <c r="J77" s="40" t="n">
        <v>3.45317612968717</v>
      </c>
      <c r="K77" s="39" t="n">
        <f aca="false">IF(G77="","",MAX(0,G77-J77/100))</f>
        <v>0.580309228102422</v>
      </c>
      <c r="L77" s="39" t="n">
        <f aca="false">IF(G77="","",MIN(1,G77+J77/100))</f>
        <v>0.649372750696165</v>
      </c>
      <c r="M77" s="21" t="n">
        <f aca="false">ROUND(Q77*S77,0)</f>
        <v>35</v>
      </c>
      <c r="N77" s="21" t="n">
        <f aca="false">ROUND(SQRT((F77*J77/100)^2+(G77*M77)^2),0)</f>
        <v>29</v>
      </c>
      <c r="P77" s="41" t="n">
        <v>9.01978384810723</v>
      </c>
      <c r="Q77" s="42" t="n">
        <v>566</v>
      </c>
      <c r="R77" s="43" t="n">
        <f aca="false">MAX(0,MIN(1,P77/100+$D$5))</f>
        <v>0.615416283208037</v>
      </c>
      <c r="S77" s="43" t="n">
        <v>0.0610405690258335</v>
      </c>
      <c r="T77" s="44" t="s">
        <v>90</v>
      </c>
    </row>
    <row r="78" customFormat="false" ht="15" hidden="false" customHeight="false" outlineLevel="0" collapsed="false">
      <c r="A78" s="38" t="s">
        <v>156</v>
      </c>
      <c r="B78" s="38" t="s">
        <v>158</v>
      </c>
      <c r="C78" s="38" t="s">
        <v>173</v>
      </c>
      <c r="D78" s="21" t="n">
        <f aca="false">ROUND(Q78*R78,0)</f>
        <v>265</v>
      </c>
      <c r="E78" s="21" t="n">
        <f aca="false">ROUND(Q78,0)-D78</f>
        <v>145</v>
      </c>
      <c r="F78" s="21" t="n">
        <f aca="false">IF(COUNTA(D78:E78)=0,"",SUM(D78:E78))</f>
        <v>410</v>
      </c>
      <c r="G78" s="39" t="n">
        <f aca="false">IF(OR(F78="",F78=0),"",D78/F78)</f>
        <v>0.646341463414634</v>
      </c>
      <c r="H78" s="39" t="n">
        <f aca="false">IF(OR(F78="",F78=0),"",E78/F78)</f>
        <v>0.353658536585366</v>
      </c>
      <c r="I78" s="38" t="s">
        <v>89</v>
      </c>
      <c r="J78" s="40" t="n">
        <v>3.45317612968717</v>
      </c>
      <c r="K78" s="39" t="n">
        <f aca="false">IF(G78="","",MAX(0,G78-J78/100))</f>
        <v>0.611809702117763</v>
      </c>
      <c r="L78" s="39" t="n">
        <f aca="false">IF(G78="","",MIN(1,G78+J78/100))</f>
        <v>0.680873224711506</v>
      </c>
      <c r="M78" s="21" t="n">
        <f aca="false">ROUND(Q78*S78,0)</f>
        <v>25</v>
      </c>
      <c r="N78" s="21" t="n">
        <f aca="false">ROUND(SQRT((F78*J78/100)^2+(G78*M78)^2),0)</f>
        <v>21</v>
      </c>
      <c r="P78" s="41" t="n">
        <v>12.0379988707004</v>
      </c>
      <c r="Q78" s="42" t="n">
        <v>410</v>
      </c>
      <c r="R78" s="43" t="n">
        <f aca="false">MAX(0,MIN(1,P78/100+$D$5))</f>
        <v>0.645598433433969</v>
      </c>
      <c r="S78" s="43" t="n">
        <v>0.0610405690258335</v>
      </c>
      <c r="T78" s="44" t="s">
        <v>90</v>
      </c>
    </row>
    <row r="79" customFormat="false" ht="15" hidden="false" customHeight="false" outlineLevel="0" collapsed="false">
      <c r="A79" s="38" t="s">
        <v>156</v>
      </c>
      <c r="B79" s="38" t="s">
        <v>158</v>
      </c>
      <c r="C79" s="38" t="s">
        <v>174</v>
      </c>
      <c r="D79" s="21" t="n">
        <f aca="false">ROUND(Q79*R79,0)</f>
        <v>255</v>
      </c>
      <c r="E79" s="21" t="n">
        <f aca="false">ROUND(Q79,0)-D79</f>
        <v>93</v>
      </c>
      <c r="F79" s="21" t="n">
        <f aca="false">IF(COUNTA(D79:E79)=0,"",SUM(D79:E79))</f>
        <v>348</v>
      </c>
      <c r="G79" s="39" t="n">
        <f aca="false">IF(OR(F79="",F79=0),"",D79/F79)</f>
        <v>0.732758620689655</v>
      </c>
      <c r="H79" s="39" t="n">
        <f aca="false">IF(OR(F79="",F79=0),"",E79/F79)</f>
        <v>0.267241379310345</v>
      </c>
      <c r="I79" s="38" t="s">
        <v>89</v>
      </c>
      <c r="J79" s="40" t="n">
        <v>3.45317612968717</v>
      </c>
      <c r="K79" s="39" t="n">
        <f aca="false">IF(G79="","",MAX(0,G79-J79/100))</f>
        <v>0.698226859392784</v>
      </c>
      <c r="L79" s="39" t="n">
        <f aca="false">IF(G79="","",MIN(1,G79+J79/100))</f>
        <v>0.767290381986527</v>
      </c>
      <c r="M79" s="21" t="n">
        <f aca="false">ROUND(Q79*S79,0)</f>
        <v>21</v>
      </c>
      <c r="N79" s="21" t="n">
        <f aca="false">ROUND(SQRT((F79*J79/100)^2+(G79*M79)^2),0)</f>
        <v>20</v>
      </c>
      <c r="P79" s="41" t="n">
        <v>20.7850028533835</v>
      </c>
      <c r="Q79" s="42" t="n">
        <v>348</v>
      </c>
      <c r="R79" s="43" t="n">
        <f aca="false">MAX(0,MIN(1,P79/100+$D$5))</f>
        <v>0.733068473260799</v>
      </c>
      <c r="S79" s="43" t="n">
        <v>0.0610405690258335</v>
      </c>
      <c r="T79" s="44" t="s">
        <v>90</v>
      </c>
    </row>
    <row r="80" customFormat="false" ht="15" hidden="false" customHeight="false" outlineLevel="0" collapsed="false">
      <c r="A80" s="38" t="s">
        <v>156</v>
      </c>
      <c r="B80" s="38" t="s">
        <v>158</v>
      </c>
      <c r="C80" s="38" t="s">
        <v>175</v>
      </c>
      <c r="D80" s="21" t="n">
        <f aca="false">ROUND(Q80*R80,0)</f>
        <v>201</v>
      </c>
      <c r="E80" s="21" t="n">
        <f aca="false">ROUND(Q80,0)-D80</f>
        <v>93</v>
      </c>
      <c r="F80" s="21" t="n">
        <f aca="false">IF(COUNTA(D80:E80)=0,"",SUM(D80:E80))</f>
        <v>294</v>
      </c>
      <c r="G80" s="39" t="n">
        <f aca="false">IF(OR(F80="",F80=0),"",D80/F80)</f>
        <v>0.683673469387755</v>
      </c>
      <c r="H80" s="39" t="n">
        <f aca="false">IF(OR(F80="",F80=0),"",E80/F80)</f>
        <v>0.316326530612245</v>
      </c>
      <c r="I80" s="38" t="s">
        <v>89</v>
      </c>
      <c r="J80" s="40" t="n">
        <v>3.45317612968717</v>
      </c>
      <c r="K80" s="39" t="n">
        <f aca="false">IF(G80="","",MAX(0,G80-J80/100))</f>
        <v>0.649141708090884</v>
      </c>
      <c r="L80" s="39" t="n">
        <f aca="false">IF(G80="","",MIN(1,G80+J80/100))</f>
        <v>0.718205230684627</v>
      </c>
      <c r="M80" s="21" t="n">
        <f aca="false">ROUND(Q80*S80,0)</f>
        <v>18</v>
      </c>
      <c r="N80" s="21" t="n">
        <f aca="false">ROUND(SQRT((F80*J80/100)^2+(G80*M80)^2),0)</f>
        <v>16</v>
      </c>
      <c r="P80" s="41" t="n">
        <v>15.9386169241842</v>
      </c>
      <c r="Q80" s="42" t="n">
        <v>294</v>
      </c>
      <c r="R80" s="43" t="n">
        <f aca="false">MAX(0,MIN(1,P80/100+$D$5))</f>
        <v>0.684604613968807</v>
      </c>
      <c r="S80" s="43" t="n">
        <v>0.0610405690258335</v>
      </c>
      <c r="T80" s="44" t="s">
        <v>90</v>
      </c>
    </row>
    <row r="81" customFormat="false" ht="15" hidden="false" customHeight="false" outlineLevel="0" collapsed="false">
      <c r="A81" s="38" t="s">
        <v>156</v>
      </c>
      <c r="B81" s="38" t="s">
        <v>158</v>
      </c>
      <c r="C81" s="38" t="s">
        <v>176</v>
      </c>
      <c r="D81" s="21" t="n">
        <f aca="false">ROUND(Q81*R81,0)</f>
        <v>260</v>
      </c>
      <c r="E81" s="21" t="n">
        <f aca="false">ROUND(Q81,0)-D81</f>
        <v>119</v>
      </c>
      <c r="F81" s="21" t="n">
        <f aca="false">IF(COUNTA(D81:E81)=0,"",SUM(D81:E81))</f>
        <v>379</v>
      </c>
      <c r="G81" s="39" t="n">
        <f aca="false">IF(OR(F81="",F81=0),"",D81/F81)</f>
        <v>0.686015831134565</v>
      </c>
      <c r="H81" s="39" t="n">
        <f aca="false">IF(OR(F81="",F81=0),"",E81/F81)</f>
        <v>0.313984168865435</v>
      </c>
      <c r="I81" s="38" t="s">
        <v>89</v>
      </c>
      <c r="J81" s="40" t="n">
        <v>3.45317612968717</v>
      </c>
      <c r="K81" s="39" t="n">
        <f aca="false">IF(G81="","",MAX(0,G81-J81/100))</f>
        <v>0.651484069837693</v>
      </c>
      <c r="L81" s="39" t="n">
        <f aca="false">IF(G81="","",MIN(1,G81+J81/100))</f>
        <v>0.720547592431436</v>
      </c>
      <c r="M81" s="21" t="n">
        <f aca="false">ROUND(Q81*S81,0)</f>
        <v>23</v>
      </c>
      <c r="N81" s="21" t="n">
        <f aca="false">ROUND(SQRT((F81*J81/100)^2+(G81*M81)^2),0)</f>
        <v>20</v>
      </c>
      <c r="P81" s="41" t="n">
        <v>16.199468584242</v>
      </c>
      <c r="Q81" s="42" t="n">
        <v>379</v>
      </c>
      <c r="R81" s="43" t="n">
        <f aca="false">MAX(0,MIN(1,P81/100+$D$5))</f>
        <v>0.687213130569385</v>
      </c>
      <c r="S81" s="43" t="n">
        <v>0.0610405690258335</v>
      </c>
      <c r="T81" s="44" t="s">
        <v>90</v>
      </c>
    </row>
    <row r="82" customFormat="false" ht="15" hidden="false" customHeight="false" outlineLevel="0" collapsed="false">
      <c r="A82" s="38" t="s">
        <v>156</v>
      </c>
      <c r="B82" s="38" t="s">
        <v>158</v>
      </c>
      <c r="C82" s="38" t="s">
        <v>177</v>
      </c>
      <c r="D82" s="21" t="n">
        <f aca="false">ROUND(Q82*R82,0)</f>
        <v>208</v>
      </c>
      <c r="E82" s="21" t="n">
        <f aca="false">ROUND(Q82,0)-D82</f>
        <v>83</v>
      </c>
      <c r="F82" s="21" t="n">
        <f aca="false">IF(COUNTA(D82:E82)=0,"",SUM(D82:E82))</f>
        <v>291</v>
      </c>
      <c r="G82" s="39" t="n">
        <f aca="false">IF(OR(F82="",F82=0),"",D82/F82)</f>
        <v>0.714776632302406</v>
      </c>
      <c r="H82" s="39" t="n">
        <f aca="false">IF(OR(F82="",F82=0),"",E82/F82)</f>
        <v>0.285223367697595</v>
      </c>
      <c r="I82" s="38" t="s">
        <v>89</v>
      </c>
      <c r="J82" s="40" t="n">
        <v>3.45317612968717</v>
      </c>
      <c r="K82" s="39" t="n">
        <f aca="false">IF(G82="","",MAX(0,G82-J82/100))</f>
        <v>0.680244871005534</v>
      </c>
      <c r="L82" s="39" t="n">
        <f aca="false">IF(G82="","",MIN(1,G82+J82/100))</f>
        <v>0.749308393599277</v>
      </c>
      <c r="M82" s="21" t="n">
        <f aca="false">ROUND(Q82*S82,0)</f>
        <v>18</v>
      </c>
      <c r="N82" s="21" t="n">
        <f aca="false">ROUND(SQRT((F82*J82/100)^2+(G82*M82)^2),0)</f>
        <v>16</v>
      </c>
      <c r="P82" s="41" t="n">
        <v>19.1113691523396</v>
      </c>
      <c r="Q82" s="42" t="n">
        <v>291</v>
      </c>
      <c r="R82" s="43" t="n">
        <f aca="false">MAX(0,MIN(1,P82/100+$D$5))</f>
        <v>0.716332136250361</v>
      </c>
      <c r="S82" s="43" t="n">
        <v>0.0610405690258335</v>
      </c>
      <c r="T82" s="44" t="s">
        <v>90</v>
      </c>
    </row>
    <row r="83" customFormat="false" ht="15" hidden="false" customHeight="false" outlineLevel="0" collapsed="false">
      <c r="A83" s="38" t="s">
        <v>156</v>
      </c>
      <c r="B83" s="38" t="s">
        <v>158</v>
      </c>
      <c r="C83" s="38" t="s">
        <v>178</v>
      </c>
      <c r="D83" s="21" t="n">
        <f aca="false">ROUND(Q83*R83,0)</f>
        <v>387</v>
      </c>
      <c r="E83" s="21" t="n">
        <f aca="false">ROUND(Q83,0)-D83</f>
        <v>187</v>
      </c>
      <c r="F83" s="21" t="n">
        <f aca="false">IF(COUNTA(D83:E83)=0,"",SUM(D83:E83))</f>
        <v>574</v>
      </c>
      <c r="G83" s="39" t="n">
        <f aca="false">IF(OR(F83="",F83=0),"",D83/F83)</f>
        <v>0.674216027874565</v>
      </c>
      <c r="H83" s="39" t="n">
        <f aca="false">IF(OR(F83="",F83=0),"",E83/F83)</f>
        <v>0.325783972125436</v>
      </c>
      <c r="I83" s="38" t="s">
        <v>89</v>
      </c>
      <c r="J83" s="40" t="n">
        <v>3.45317612968717</v>
      </c>
      <c r="K83" s="39" t="n">
        <f aca="false">IF(G83="","",MAX(0,G83-J83/100))</f>
        <v>0.639684266577693</v>
      </c>
      <c r="L83" s="39" t="n">
        <f aca="false">IF(G83="","",MIN(1,G83+J83/100))</f>
        <v>0.708747789171436</v>
      </c>
      <c r="M83" s="21" t="n">
        <f aca="false">ROUND(Q83*S83,0)</f>
        <v>35</v>
      </c>
      <c r="N83" s="21" t="n">
        <f aca="false">ROUND(SQRT((F83*J83/100)^2+(G83*M83)^2),0)</f>
        <v>31</v>
      </c>
      <c r="P83" s="41" t="n">
        <v>14.9396142824646</v>
      </c>
      <c r="Q83" s="42" t="n">
        <v>574</v>
      </c>
      <c r="R83" s="43" t="n">
        <f aca="false">MAX(0,MIN(1,P83/100+$D$5))</f>
        <v>0.674614587551611</v>
      </c>
      <c r="S83" s="43" t="n">
        <v>0.0610405690258335</v>
      </c>
      <c r="T83" s="44" t="s">
        <v>90</v>
      </c>
    </row>
    <row r="84" customFormat="false" ht="15" hidden="false" customHeight="false" outlineLevel="0" collapsed="false">
      <c r="A84" s="38" t="s">
        <v>156</v>
      </c>
      <c r="B84" s="38" t="s">
        <v>158</v>
      </c>
      <c r="C84" s="38" t="s">
        <v>179</v>
      </c>
      <c r="D84" s="21" t="n">
        <f aca="false">ROUND(Q84*R84,0)</f>
        <v>375</v>
      </c>
      <c r="E84" s="21" t="n">
        <f aca="false">ROUND(Q84,0)-D84</f>
        <v>178</v>
      </c>
      <c r="F84" s="21" t="n">
        <f aca="false">IF(COUNTA(D84:E84)=0,"",SUM(D84:E84))</f>
        <v>553</v>
      </c>
      <c r="G84" s="39" t="n">
        <f aca="false">IF(OR(F84="",F84=0),"",D84/F84)</f>
        <v>0.678119349005425</v>
      </c>
      <c r="H84" s="39" t="n">
        <f aca="false">IF(OR(F84="",F84=0),"",E84/F84)</f>
        <v>0.321880650994575</v>
      </c>
      <c r="I84" s="38" t="s">
        <v>89</v>
      </c>
      <c r="J84" s="40" t="n">
        <v>3.45317612968717</v>
      </c>
      <c r="K84" s="39" t="n">
        <f aca="false">IF(G84="","",MAX(0,G84-J84/100))</f>
        <v>0.643587587708553</v>
      </c>
      <c r="L84" s="39" t="n">
        <f aca="false">IF(G84="","",MIN(1,G84+J84/100))</f>
        <v>0.712651110302297</v>
      </c>
      <c r="M84" s="21" t="n">
        <f aca="false">ROUND(Q84*S84,0)</f>
        <v>34</v>
      </c>
      <c r="N84" s="21" t="n">
        <f aca="false">ROUND(SQRT((F84*J84/100)^2+(G84*M84)^2),0)</f>
        <v>30</v>
      </c>
      <c r="P84" s="41" t="n">
        <v>15.2995556265129</v>
      </c>
      <c r="Q84" s="42" t="n">
        <v>553</v>
      </c>
      <c r="R84" s="43" t="n">
        <f aca="false">MAX(0,MIN(1,P84/100+$D$5))</f>
        <v>0.678214000992094</v>
      </c>
      <c r="S84" s="43" t="n">
        <v>0.0610405690258335</v>
      </c>
      <c r="T84" s="44" t="s">
        <v>90</v>
      </c>
    </row>
    <row r="85" customFormat="false" ht="15" hidden="false" customHeight="false" outlineLevel="0" collapsed="false">
      <c r="A85" s="38" t="s">
        <v>156</v>
      </c>
      <c r="B85" s="38" t="s">
        <v>158</v>
      </c>
      <c r="C85" s="38" t="s">
        <v>180</v>
      </c>
      <c r="D85" s="21" t="n">
        <f aca="false">ROUND(Q85*R85,0)</f>
        <v>316</v>
      </c>
      <c r="E85" s="21" t="n">
        <f aca="false">ROUND(Q85,0)-D85</f>
        <v>207</v>
      </c>
      <c r="F85" s="21" t="n">
        <f aca="false">IF(COUNTA(D85:E85)=0,"",SUM(D85:E85))</f>
        <v>523</v>
      </c>
      <c r="G85" s="39" t="n">
        <f aca="false">IF(OR(F85="",F85=0),"",D85/F85)</f>
        <v>0.604206500956023</v>
      </c>
      <c r="H85" s="39" t="n">
        <f aca="false">IF(OR(F85="",F85=0),"",E85/F85)</f>
        <v>0.395793499043977</v>
      </c>
      <c r="I85" s="38" t="s">
        <v>89</v>
      </c>
      <c r="J85" s="40" t="n">
        <v>3.45317612968717</v>
      </c>
      <c r="K85" s="39" t="n">
        <f aca="false">IF(G85="","",MAX(0,G85-J85/100))</f>
        <v>0.569674739659151</v>
      </c>
      <c r="L85" s="39" t="n">
        <f aca="false">IF(G85="","",MIN(1,G85+J85/100))</f>
        <v>0.638738262252895</v>
      </c>
      <c r="M85" s="21" t="n">
        <f aca="false">ROUND(Q85*S85,0)</f>
        <v>32</v>
      </c>
      <c r="N85" s="21" t="n">
        <f aca="false">ROUND(SQRT((F85*J85/100)^2+(G85*M85)^2),0)</f>
        <v>26</v>
      </c>
      <c r="P85" s="41" t="n">
        <v>7.91902328457001</v>
      </c>
      <c r="Q85" s="42" t="n">
        <v>523</v>
      </c>
      <c r="R85" s="43" t="n">
        <f aca="false">MAX(0,MIN(1,P85/100+$D$5))</f>
        <v>0.604408677572665</v>
      </c>
      <c r="S85" s="43" t="n">
        <v>0.0610405690258335</v>
      </c>
      <c r="T85" s="44" t="s">
        <v>90</v>
      </c>
    </row>
    <row r="86" customFormat="false" ht="15" hidden="false" customHeight="false" outlineLevel="0" collapsed="false">
      <c r="A86" s="38" t="s">
        <v>156</v>
      </c>
      <c r="B86" s="38" t="s">
        <v>158</v>
      </c>
      <c r="C86" s="38" t="s">
        <v>181</v>
      </c>
      <c r="D86" s="21" t="n">
        <f aca="false">ROUND(Q86*R86,0)</f>
        <v>393</v>
      </c>
      <c r="E86" s="21" t="n">
        <f aca="false">ROUND(Q86,0)-D86</f>
        <v>207</v>
      </c>
      <c r="F86" s="21" t="n">
        <f aca="false">IF(COUNTA(D86:E86)=0,"",SUM(D86:E86))</f>
        <v>600</v>
      </c>
      <c r="G86" s="39" t="n">
        <f aca="false">IF(OR(F86="",F86=0),"",D86/F86)</f>
        <v>0.655</v>
      </c>
      <c r="H86" s="39" t="n">
        <f aca="false">IF(OR(F86="",F86=0),"",E86/F86)</f>
        <v>0.345</v>
      </c>
      <c r="I86" s="38" t="s">
        <v>89</v>
      </c>
      <c r="J86" s="40" t="n">
        <v>3.45317612968717</v>
      </c>
      <c r="K86" s="39" t="n">
        <f aca="false">IF(G86="","",MAX(0,G86-J86/100))</f>
        <v>0.620468238703128</v>
      </c>
      <c r="L86" s="39" t="n">
        <f aca="false">IF(G86="","",MIN(1,G86+J86/100))</f>
        <v>0.689531761296872</v>
      </c>
      <c r="M86" s="21" t="n">
        <f aca="false">ROUND(Q86*S86,0)</f>
        <v>37</v>
      </c>
      <c r="N86" s="21" t="n">
        <f aca="false">ROUND(SQRT((F86*J86/100)^2+(G86*M86)^2),0)</f>
        <v>32</v>
      </c>
      <c r="P86" s="41" t="n">
        <v>12.907906482835</v>
      </c>
      <c r="Q86" s="42" t="n">
        <v>600</v>
      </c>
      <c r="R86" s="43" t="n">
        <f aca="false">MAX(0,MIN(1,P86/100+$D$5))</f>
        <v>0.654297509555315</v>
      </c>
      <c r="S86" s="43" t="n">
        <v>0.0610405690258335</v>
      </c>
      <c r="T86" s="44" t="s">
        <v>90</v>
      </c>
    </row>
    <row r="87" customFormat="false" ht="15" hidden="false" customHeight="false" outlineLevel="0" collapsed="false">
      <c r="A87" s="38" t="s">
        <v>156</v>
      </c>
      <c r="B87" s="38" t="s">
        <v>158</v>
      </c>
      <c r="C87" s="38" t="s">
        <v>182</v>
      </c>
      <c r="D87" s="21" t="n">
        <f aca="false">ROUND(Q87*R87,0)</f>
        <v>439</v>
      </c>
      <c r="E87" s="21" t="n">
        <f aca="false">ROUND(Q87,0)-D87</f>
        <v>230</v>
      </c>
      <c r="F87" s="21" t="n">
        <f aca="false">IF(COUNTA(D87:E87)=0,"",SUM(D87:E87))</f>
        <v>669</v>
      </c>
      <c r="G87" s="39" t="n">
        <f aca="false">IF(OR(F87="",F87=0),"",D87/F87)</f>
        <v>0.656203288490284</v>
      </c>
      <c r="H87" s="39" t="n">
        <f aca="false">IF(OR(F87="",F87=0),"",E87/F87)</f>
        <v>0.343796711509716</v>
      </c>
      <c r="I87" s="38" t="s">
        <v>89</v>
      </c>
      <c r="J87" s="40" t="n">
        <v>3.45317612968717</v>
      </c>
      <c r="K87" s="39" t="n">
        <f aca="false">IF(G87="","",MAX(0,G87-J87/100))</f>
        <v>0.621671527193412</v>
      </c>
      <c r="L87" s="39" t="n">
        <f aca="false">IF(G87="","",MIN(1,G87+J87/100))</f>
        <v>0.690735049787156</v>
      </c>
      <c r="M87" s="21" t="n">
        <f aca="false">ROUND(Q87*S87,0)</f>
        <v>41</v>
      </c>
      <c r="N87" s="21" t="n">
        <f aca="false">ROUND(SQRT((F87*J87/100)^2+(G87*M87)^2),0)</f>
        <v>35</v>
      </c>
      <c r="P87" s="41" t="n">
        <v>13.1502854630597</v>
      </c>
      <c r="Q87" s="42" t="n">
        <v>669</v>
      </c>
      <c r="R87" s="43" t="n">
        <f aca="false">MAX(0,MIN(1,P87/100+$D$5))</f>
        <v>0.656721299357562</v>
      </c>
      <c r="S87" s="43" t="n">
        <v>0.0610405690258335</v>
      </c>
      <c r="T87" s="44" t="s">
        <v>90</v>
      </c>
    </row>
    <row r="88" customFormat="false" ht="15" hidden="false" customHeight="false" outlineLevel="0" collapsed="false">
      <c r="A88" s="38" t="s">
        <v>156</v>
      </c>
      <c r="B88" s="38" t="s">
        <v>158</v>
      </c>
      <c r="C88" s="38" t="s">
        <v>183</v>
      </c>
      <c r="D88" s="21" t="n">
        <f aca="false">ROUND(Q88*R88,0)</f>
        <v>286</v>
      </c>
      <c r="E88" s="21" t="n">
        <f aca="false">ROUND(Q88,0)-D88</f>
        <v>178</v>
      </c>
      <c r="F88" s="21" t="n">
        <f aca="false">IF(COUNTA(D88:E88)=0,"",SUM(D88:E88))</f>
        <v>464</v>
      </c>
      <c r="G88" s="39" t="n">
        <f aca="false">IF(OR(F88="",F88=0),"",D88/F88)</f>
        <v>0.616379310344828</v>
      </c>
      <c r="H88" s="39" t="n">
        <f aca="false">IF(OR(F88="",F88=0),"",E88/F88)</f>
        <v>0.383620689655172</v>
      </c>
      <c r="I88" s="38" t="s">
        <v>89</v>
      </c>
      <c r="J88" s="40" t="n">
        <v>3.45317612968717</v>
      </c>
      <c r="K88" s="39" t="n">
        <f aca="false">IF(G88="","",MAX(0,G88-J88/100))</f>
        <v>0.581847549047956</v>
      </c>
      <c r="L88" s="39" t="n">
        <f aca="false">IF(G88="","",MIN(1,G88+J88/100))</f>
        <v>0.650911071641699</v>
      </c>
      <c r="M88" s="21" t="n">
        <f aca="false">ROUND(Q88*S88,0)</f>
        <v>28</v>
      </c>
      <c r="N88" s="21" t="n">
        <f aca="false">ROUND(SQRT((F88*J88/100)^2+(G88*M88)^2),0)</f>
        <v>24</v>
      </c>
      <c r="P88" s="41" t="n">
        <v>9.12339366190288</v>
      </c>
      <c r="Q88" s="42" t="n">
        <v>464</v>
      </c>
      <c r="R88" s="43" t="n">
        <f aca="false">MAX(0,MIN(1,P88/100+$D$5))</f>
        <v>0.616452381345993</v>
      </c>
      <c r="S88" s="43" t="n">
        <v>0.0610405690258335</v>
      </c>
      <c r="T88" s="44" t="s">
        <v>90</v>
      </c>
    </row>
    <row r="89" customFormat="false" ht="15" hidden="false" customHeight="false" outlineLevel="0" collapsed="false">
      <c r="A89" s="38" t="s">
        <v>156</v>
      </c>
      <c r="B89" s="38" t="s">
        <v>158</v>
      </c>
      <c r="C89" s="38" t="s">
        <v>184</v>
      </c>
      <c r="D89" s="21" t="n">
        <f aca="false">ROUND(Q89*R89,0)</f>
        <v>289</v>
      </c>
      <c r="E89" s="21" t="n">
        <f aca="false">ROUND(Q89,0)-D89</f>
        <v>152</v>
      </c>
      <c r="F89" s="21" t="n">
        <f aca="false">IF(COUNTA(D89:E89)=0,"",SUM(D89:E89))</f>
        <v>441</v>
      </c>
      <c r="G89" s="39" t="n">
        <f aca="false">IF(OR(F89="",F89=0),"",D89/F89)</f>
        <v>0.655328798185941</v>
      </c>
      <c r="H89" s="39" t="n">
        <f aca="false">IF(OR(F89="",F89=0),"",E89/F89)</f>
        <v>0.344671201814059</v>
      </c>
      <c r="I89" s="38" t="s">
        <v>89</v>
      </c>
      <c r="J89" s="40" t="n">
        <v>3.45317612968717</v>
      </c>
      <c r="K89" s="39" t="n">
        <f aca="false">IF(G89="","",MAX(0,G89-J89/100))</f>
        <v>0.620797036889069</v>
      </c>
      <c r="L89" s="39" t="n">
        <f aca="false">IF(G89="","",MIN(1,G89+J89/100))</f>
        <v>0.689860559482813</v>
      </c>
      <c r="M89" s="21" t="n">
        <f aca="false">ROUND(Q89*S89,0)</f>
        <v>27</v>
      </c>
      <c r="N89" s="21" t="n">
        <f aca="false">ROUND(SQRT((F89*J89/100)^2+(G89*M89)^2),0)</f>
        <v>23</v>
      </c>
      <c r="P89" s="41" t="n">
        <v>13.1234880109319</v>
      </c>
      <c r="Q89" s="42" t="n">
        <v>441</v>
      </c>
      <c r="R89" s="43" t="n">
        <f aca="false">MAX(0,MIN(1,P89/100+$D$5))</f>
        <v>0.656453324836284</v>
      </c>
      <c r="S89" s="43" t="n">
        <v>0.0610405690258335</v>
      </c>
      <c r="T89" s="44" t="s">
        <v>90</v>
      </c>
    </row>
    <row r="90" customFormat="false" ht="15" hidden="false" customHeight="false" outlineLevel="0" collapsed="false">
      <c r="A90" s="38" t="s">
        <v>156</v>
      </c>
      <c r="B90" s="38" t="s">
        <v>158</v>
      </c>
      <c r="C90" s="38" t="s">
        <v>185</v>
      </c>
      <c r="D90" s="21" t="n">
        <f aca="false">ROUND(Q90*R90,0)</f>
        <v>485</v>
      </c>
      <c r="E90" s="21" t="n">
        <f aca="false">ROUND(Q90,0)-D90</f>
        <v>289</v>
      </c>
      <c r="F90" s="21" t="n">
        <f aca="false">IF(COUNTA(D90:E90)=0,"",SUM(D90:E90))</f>
        <v>774</v>
      </c>
      <c r="G90" s="39" t="n">
        <f aca="false">IF(OR(F90="",F90=0),"",D90/F90)</f>
        <v>0.626614987080103</v>
      </c>
      <c r="H90" s="39" t="n">
        <f aca="false">IF(OR(F90="",F90=0),"",E90/F90)</f>
        <v>0.373385012919897</v>
      </c>
      <c r="I90" s="38" t="s">
        <v>89</v>
      </c>
      <c r="J90" s="40" t="n">
        <v>3.45317612968717</v>
      </c>
      <c r="K90" s="39" t="n">
        <f aca="false">IF(G90="","",MAX(0,G90-J90/100))</f>
        <v>0.592083225783232</v>
      </c>
      <c r="L90" s="39" t="n">
        <f aca="false">IF(G90="","",MIN(1,G90+J90/100))</f>
        <v>0.661146748376975</v>
      </c>
      <c r="M90" s="21" t="n">
        <f aca="false">ROUND(Q90*S90,0)</f>
        <v>47</v>
      </c>
      <c r="N90" s="21" t="n">
        <f aca="false">ROUND(SQRT((F90*J90/100)^2+(G90*M90)^2),0)</f>
        <v>40</v>
      </c>
      <c r="P90" s="41" t="n">
        <v>10.1750284050613</v>
      </c>
      <c r="Q90" s="42" t="n">
        <v>774</v>
      </c>
      <c r="R90" s="43" t="n">
        <f aca="false">MAX(0,MIN(1,P90/100+$D$5))</f>
        <v>0.626968728777577</v>
      </c>
      <c r="S90" s="43" t="n">
        <v>0.0610405690258335</v>
      </c>
      <c r="T90" s="44" t="s">
        <v>90</v>
      </c>
    </row>
    <row r="91" customFormat="false" ht="15" hidden="false" customHeight="false" outlineLevel="0" collapsed="false">
      <c r="A91" s="38" t="s">
        <v>156</v>
      </c>
      <c r="B91" s="38" t="s">
        <v>158</v>
      </c>
      <c r="C91" s="38" t="s">
        <v>186</v>
      </c>
      <c r="D91" s="21" t="n">
        <f aca="false">ROUND(Q91*R91,0)</f>
        <v>352</v>
      </c>
      <c r="E91" s="21" t="n">
        <f aca="false">ROUND(Q91,0)-D91</f>
        <v>140</v>
      </c>
      <c r="F91" s="21" t="n">
        <f aca="false">IF(COUNTA(D91:E91)=0,"",SUM(D91:E91))</f>
        <v>492</v>
      </c>
      <c r="G91" s="39" t="n">
        <f aca="false">IF(OR(F91="",F91=0),"",D91/F91)</f>
        <v>0.715447154471545</v>
      </c>
      <c r="H91" s="39" t="n">
        <f aca="false">IF(OR(F91="",F91=0),"",E91/F91)</f>
        <v>0.284552845528455</v>
      </c>
      <c r="I91" s="38" t="s">
        <v>89</v>
      </c>
      <c r="J91" s="40" t="n">
        <v>3.45317612968717</v>
      </c>
      <c r="K91" s="39" t="n">
        <f aca="false">IF(G91="","",MAX(0,G91-J91/100))</f>
        <v>0.680915393174673</v>
      </c>
      <c r="L91" s="39" t="n">
        <f aca="false">IF(G91="","",MIN(1,G91+J91/100))</f>
        <v>0.749978915768416</v>
      </c>
      <c r="M91" s="21" t="n">
        <f aca="false">ROUND(Q91*S91,0)</f>
        <v>30</v>
      </c>
      <c r="N91" s="21" t="n">
        <f aca="false">ROUND(SQRT((F91*J91/100)^2+(G91*M91)^2),0)</f>
        <v>27</v>
      </c>
      <c r="P91" s="41" t="n">
        <v>19.1046608028304</v>
      </c>
      <c r="Q91" s="42" t="n">
        <v>492</v>
      </c>
      <c r="R91" s="43" t="n">
        <f aca="false">MAX(0,MIN(1,P91/100+$D$5))</f>
        <v>0.716265052755269</v>
      </c>
      <c r="S91" s="43" t="n">
        <v>0.0610405690258335</v>
      </c>
      <c r="T91" s="44" t="s">
        <v>90</v>
      </c>
    </row>
    <row r="92" customFormat="false" ht="15" hidden="false" customHeight="false" outlineLevel="0" collapsed="false">
      <c r="A92" s="38" t="s">
        <v>156</v>
      </c>
      <c r="B92" s="38" t="s">
        <v>158</v>
      </c>
      <c r="C92" s="38" t="s">
        <v>187</v>
      </c>
      <c r="D92" s="21" t="n">
        <f aca="false">ROUND(Q92*R92,0)</f>
        <v>426</v>
      </c>
      <c r="E92" s="21" t="n">
        <f aca="false">ROUND(Q92,0)-D92</f>
        <v>196</v>
      </c>
      <c r="F92" s="21" t="n">
        <f aca="false">IF(COUNTA(D92:E92)=0,"",SUM(D92:E92))</f>
        <v>622</v>
      </c>
      <c r="G92" s="39" t="n">
        <f aca="false">IF(OR(F92="",F92=0),"",D92/F92)</f>
        <v>0.684887459807074</v>
      </c>
      <c r="H92" s="39" t="n">
        <f aca="false">IF(OR(F92="",F92=0),"",E92/F92)</f>
        <v>0.315112540192926</v>
      </c>
      <c r="I92" s="38" t="s">
        <v>89</v>
      </c>
      <c r="J92" s="40" t="n">
        <v>3.45317612968717</v>
      </c>
      <c r="K92" s="39" t="n">
        <f aca="false">IF(G92="","",MAX(0,G92-J92/100))</f>
        <v>0.650355698510202</v>
      </c>
      <c r="L92" s="39" t="n">
        <f aca="false">IF(G92="","",MIN(1,G92+J92/100))</f>
        <v>0.719419221103946</v>
      </c>
      <c r="M92" s="21" t="n">
        <f aca="false">ROUND(Q92*S92,0)</f>
        <v>38</v>
      </c>
      <c r="N92" s="21" t="n">
        <f aca="false">ROUND(SQRT((F92*J92/100)^2+(G92*M92)^2),0)</f>
        <v>34</v>
      </c>
      <c r="P92" s="41" t="n">
        <v>15.8959610751525</v>
      </c>
      <c r="Q92" s="42" t="n">
        <v>622</v>
      </c>
      <c r="R92" s="43" t="n">
        <f aca="false">MAX(0,MIN(1,P92/100+$D$5))</f>
        <v>0.684178055478489</v>
      </c>
      <c r="S92" s="43" t="n">
        <v>0.0610405690258335</v>
      </c>
      <c r="T92" s="44" t="s">
        <v>90</v>
      </c>
    </row>
    <row r="93" customFormat="false" ht="15" hidden="false" customHeight="false" outlineLevel="0" collapsed="false">
      <c r="A93" s="38" t="s">
        <v>156</v>
      </c>
      <c r="B93" s="38" t="s">
        <v>158</v>
      </c>
      <c r="C93" s="38" t="s">
        <v>188</v>
      </c>
      <c r="D93" s="21" t="n">
        <f aca="false">ROUND(Q93*R93,0)</f>
        <v>464</v>
      </c>
      <c r="E93" s="21" t="n">
        <f aca="false">ROUND(Q93,0)-D93</f>
        <v>221</v>
      </c>
      <c r="F93" s="21" t="n">
        <f aca="false">IF(COUNTA(D93:E93)=0,"",SUM(D93:E93))</f>
        <v>685</v>
      </c>
      <c r="G93" s="39" t="n">
        <f aca="false">IF(OR(F93="",F93=0),"",D93/F93)</f>
        <v>0.677372262773723</v>
      </c>
      <c r="H93" s="39" t="n">
        <f aca="false">IF(OR(F93="",F93=0),"",E93/F93)</f>
        <v>0.322627737226277</v>
      </c>
      <c r="I93" s="38" t="s">
        <v>89</v>
      </c>
      <c r="J93" s="40" t="n">
        <v>3.45317612968717</v>
      </c>
      <c r="K93" s="39" t="n">
        <f aca="false">IF(G93="","",MAX(0,G93-J93/100))</f>
        <v>0.642840501476851</v>
      </c>
      <c r="L93" s="39" t="n">
        <f aca="false">IF(G93="","",MIN(1,G93+J93/100))</f>
        <v>0.711904024070594</v>
      </c>
      <c r="M93" s="21" t="n">
        <f aca="false">ROUND(Q93*S93,0)</f>
        <v>42</v>
      </c>
      <c r="N93" s="21" t="n">
        <f aca="false">ROUND(SQRT((F93*J93/100)^2+(G93*M93)^2),0)</f>
        <v>37</v>
      </c>
      <c r="P93" s="41" t="n">
        <v>15.1905593894141</v>
      </c>
      <c r="Q93" s="42" t="n">
        <v>685</v>
      </c>
      <c r="R93" s="43" t="n">
        <f aca="false">MAX(0,MIN(1,P93/100+$D$5))</f>
        <v>0.677124038621106</v>
      </c>
      <c r="S93" s="43" t="n">
        <v>0.0610405690258335</v>
      </c>
      <c r="T93" s="44" t="s">
        <v>90</v>
      </c>
    </row>
    <row r="94" customFormat="false" ht="15" hidden="false" customHeight="false" outlineLevel="0" collapsed="false">
      <c r="A94" s="38" t="s">
        <v>156</v>
      </c>
      <c r="B94" s="38" t="s">
        <v>158</v>
      </c>
      <c r="C94" s="38" t="s">
        <v>189</v>
      </c>
      <c r="D94" s="21" t="n">
        <f aca="false">ROUND(Q94*R94,0)</f>
        <v>318</v>
      </c>
      <c r="E94" s="21" t="n">
        <f aca="false">ROUND(Q94,0)-D94</f>
        <v>218</v>
      </c>
      <c r="F94" s="21" t="n">
        <f aca="false">IF(COUNTA(D94:E94)=0,"",SUM(D94:E94))</f>
        <v>536</v>
      </c>
      <c r="G94" s="39" t="n">
        <f aca="false">IF(OR(F94="",F94=0),"",D94/F94)</f>
        <v>0.593283582089552</v>
      </c>
      <c r="H94" s="39" t="n">
        <f aca="false">IF(OR(F94="",F94=0),"",E94/F94)</f>
        <v>0.406716417910448</v>
      </c>
      <c r="I94" s="38" t="s">
        <v>190</v>
      </c>
      <c r="J94" s="40" t="n">
        <v>3.45317612968717</v>
      </c>
      <c r="K94" s="39" t="n">
        <f aca="false">IF(G94="","",MAX(0,G94-J94/100))</f>
        <v>0.558751820792681</v>
      </c>
      <c r="L94" s="39" t="n">
        <f aca="false">IF(G94="","",MIN(1,G94+J94/100))</f>
        <v>0.627815343386424</v>
      </c>
      <c r="M94" s="21" t="n">
        <f aca="false">ROUND(Q94*S94,0)</f>
        <v>33</v>
      </c>
      <c r="N94" s="21" t="n">
        <f aca="false">ROUND(SQRT((F94*J94/100)^2+(G94*M94)^2),0)</f>
        <v>27</v>
      </c>
      <c r="P94" s="41" t="n">
        <v>6.7859322712348</v>
      </c>
      <c r="Q94" s="42" t="n">
        <v>536.140392485119</v>
      </c>
      <c r="R94" s="43" t="n">
        <f aca="false">MAX(0,MIN(1,P94/100+$D$5))</f>
        <v>0.593077767439313</v>
      </c>
      <c r="S94" s="43" t="n">
        <v>0.0610405690258335</v>
      </c>
      <c r="T94" s="44" t="s">
        <v>90</v>
      </c>
    </row>
    <row r="95" customFormat="false" ht="15" hidden="false" customHeight="false" outlineLevel="0" collapsed="false">
      <c r="A95" s="38" t="s">
        <v>156</v>
      </c>
      <c r="B95" s="38" t="s">
        <v>158</v>
      </c>
      <c r="C95" s="38" t="s">
        <v>191</v>
      </c>
      <c r="D95" s="21" t="n">
        <f aca="false">ROUND(Q95*R95,0)</f>
        <v>745</v>
      </c>
      <c r="E95" s="21" t="n">
        <f aca="false">ROUND(Q95,0)-D95</f>
        <v>513</v>
      </c>
      <c r="F95" s="21" t="n">
        <f aca="false">IF(COUNTA(D95:E95)=0,"",SUM(D95:E95))</f>
        <v>1258</v>
      </c>
      <c r="G95" s="39" t="n">
        <f aca="false">IF(OR(F95="",F95=0),"",D95/F95)</f>
        <v>0.592209856915739</v>
      </c>
      <c r="H95" s="39" t="n">
        <f aca="false">IF(OR(F95="",F95=0),"",E95/F95)</f>
        <v>0.407790143084261</v>
      </c>
      <c r="I95" s="38" t="s">
        <v>190</v>
      </c>
      <c r="J95" s="40" t="n">
        <v>1.25589305869883</v>
      </c>
      <c r="K95" s="39" t="n">
        <f aca="false">IF(G95="","",MAX(0,G95-J95/100))</f>
        <v>0.579650926328751</v>
      </c>
      <c r="L95" s="39" t="n">
        <f aca="false">IF(G95="","",MIN(1,G95+J95/100))</f>
        <v>0.604768787502728</v>
      </c>
      <c r="M95" s="21" t="n">
        <f aca="false">ROUND(Q95*S95,0)</f>
        <v>164</v>
      </c>
      <c r="N95" s="21" t="n">
        <f aca="false">ROUND(SQRT((F95*J95/100)^2+(G95*M95)^2),0)</f>
        <v>98</v>
      </c>
      <c r="P95" s="41" t="n">
        <v>6.69187640588338</v>
      </c>
      <c r="Q95" s="42" t="n">
        <v>1257.55608258929</v>
      </c>
      <c r="R95" s="43" t="n">
        <f aca="false">MAX(0,MIN(1,P95/100+$D$5))</f>
        <v>0.592137208785799</v>
      </c>
      <c r="S95" s="43" t="n">
        <v>0.130204099606216</v>
      </c>
      <c r="T95" s="44" t="s">
        <v>192</v>
      </c>
    </row>
    <row r="96" customFormat="false" ht="15" hidden="false" customHeight="false" outlineLevel="0" collapsed="false">
      <c r="A96" s="38" t="s">
        <v>156</v>
      </c>
      <c r="B96" s="38" t="s">
        <v>158</v>
      </c>
      <c r="C96" s="38" t="s">
        <v>193</v>
      </c>
      <c r="D96" s="21" t="n">
        <f aca="false">ROUND(Q96*R96,0)</f>
        <v>412</v>
      </c>
      <c r="E96" s="21" t="n">
        <f aca="false">ROUND(Q96,0)-D96</f>
        <v>163</v>
      </c>
      <c r="F96" s="21" t="n">
        <f aca="false">IF(COUNTA(D96:E96)=0,"",SUM(D96:E96))</f>
        <v>575</v>
      </c>
      <c r="G96" s="39" t="n">
        <f aca="false">IF(OR(F96="",F96=0),"",D96/F96)</f>
        <v>0.716521739130435</v>
      </c>
      <c r="H96" s="39" t="n">
        <f aca="false">IF(OR(F96="",F96=0),"",E96/F96)</f>
        <v>0.283478260869565</v>
      </c>
      <c r="I96" s="38" t="s">
        <v>89</v>
      </c>
      <c r="J96" s="40" t="n">
        <v>3.45317612968717</v>
      </c>
      <c r="K96" s="39" t="n">
        <f aca="false">IF(G96="","",MAX(0,G96-J96/100))</f>
        <v>0.681989977833563</v>
      </c>
      <c r="L96" s="39" t="n">
        <f aca="false">IF(G96="","",MIN(1,G96+J96/100))</f>
        <v>0.751053500427307</v>
      </c>
      <c r="M96" s="21" t="n">
        <f aca="false">ROUND(Q96*S96,0)</f>
        <v>35</v>
      </c>
      <c r="N96" s="21" t="n">
        <f aca="false">ROUND(SQRT((F96*J96/100)^2+(G96*M96)^2),0)</f>
        <v>32</v>
      </c>
      <c r="P96" s="41" t="n">
        <v>19.1258681974886</v>
      </c>
      <c r="Q96" s="42" t="n">
        <v>575</v>
      </c>
      <c r="R96" s="43" t="n">
        <f aca="false">MAX(0,MIN(1,P96/100+$D$5))</f>
        <v>0.716477126701851</v>
      </c>
      <c r="S96" s="43" t="n">
        <v>0.0610405690258335</v>
      </c>
      <c r="T96" s="44" t="s">
        <v>90</v>
      </c>
    </row>
    <row r="97" customFormat="false" ht="15" hidden="false" customHeight="false" outlineLevel="0" collapsed="false">
      <c r="A97" s="38" t="s">
        <v>156</v>
      </c>
      <c r="B97" s="38" t="s">
        <v>158</v>
      </c>
      <c r="C97" s="38" t="s">
        <v>194</v>
      </c>
      <c r="D97" s="21" t="n">
        <f aca="false">ROUND(Q97*R97,0)</f>
        <v>501</v>
      </c>
      <c r="E97" s="21" t="n">
        <f aca="false">ROUND(Q97,0)-D97</f>
        <v>260</v>
      </c>
      <c r="F97" s="21" t="n">
        <f aca="false">IF(COUNTA(D97:E97)=0,"",SUM(D97:E97))</f>
        <v>761</v>
      </c>
      <c r="G97" s="39" t="n">
        <f aca="false">IF(OR(F97="",F97=0),"",D97/F97)</f>
        <v>0.658344283837057</v>
      </c>
      <c r="H97" s="39" t="n">
        <f aca="false">IF(OR(F97="",F97=0),"",E97/F97)</f>
        <v>0.341655716162944</v>
      </c>
      <c r="I97" s="38" t="s">
        <v>89</v>
      </c>
      <c r="J97" s="40" t="n">
        <v>3.45317612968717</v>
      </c>
      <c r="K97" s="39" t="n">
        <f aca="false">IF(G97="","",MAX(0,G97-J97/100))</f>
        <v>0.623812522540185</v>
      </c>
      <c r="L97" s="39" t="n">
        <f aca="false">IF(G97="","",MIN(1,G97+J97/100))</f>
        <v>0.692876045133928</v>
      </c>
      <c r="M97" s="21" t="n">
        <f aca="false">ROUND(Q97*S97,0)</f>
        <v>46</v>
      </c>
      <c r="N97" s="21" t="n">
        <f aca="false">ROUND(SQRT((F97*J97/100)^2+(G97*M97)^2),0)</f>
        <v>40</v>
      </c>
      <c r="P97" s="41" t="n">
        <v>13.3444506603929</v>
      </c>
      <c r="Q97" s="42" t="n">
        <v>761</v>
      </c>
      <c r="R97" s="43" t="n">
        <f aca="false">MAX(0,MIN(1,P97/100+$D$5))</f>
        <v>0.658662951330894</v>
      </c>
      <c r="S97" s="43" t="n">
        <v>0.0610405690258335</v>
      </c>
      <c r="T97" s="44" t="s">
        <v>90</v>
      </c>
    </row>
    <row r="98" customFormat="false" ht="15" hidden="false" customHeight="false" outlineLevel="0" collapsed="false">
      <c r="A98" s="38" t="s">
        <v>156</v>
      </c>
      <c r="B98" s="38" t="s">
        <v>158</v>
      </c>
      <c r="C98" s="38" t="s">
        <v>195</v>
      </c>
      <c r="D98" s="21" t="n">
        <f aca="false">ROUND(Q98*R98,0)</f>
        <v>12</v>
      </c>
      <c r="E98" s="21" t="n">
        <f aca="false">ROUND(Q98,0)-D98</f>
        <v>10</v>
      </c>
      <c r="F98" s="21" t="n">
        <f aca="false">IF(COUNTA(D98:E98)=0,"",SUM(D98:E98))</f>
        <v>22</v>
      </c>
      <c r="G98" s="39" t="n">
        <f aca="false">IF(OR(F98="",F98=0),"",D98/F98)</f>
        <v>0.545454545454545</v>
      </c>
      <c r="H98" s="39" t="n">
        <f aca="false">IF(OR(F98="",F98=0),"",E98/F98)</f>
        <v>0.454545454545455</v>
      </c>
      <c r="I98" s="38" t="s">
        <v>190</v>
      </c>
      <c r="J98" s="40" t="n">
        <v>3.45317612968717</v>
      </c>
      <c r="K98" s="39" t="n">
        <f aca="false">IF(G98="","",MAX(0,G98-J98/100))</f>
        <v>0.510922784157674</v>
      </c>
      <c r="L98" s="39" t="n">
        <f aca="false">IF(G98="","",MIN(1,G98+J98/100))</f>
        <v>0.579986306751417</v>
      </c>
      <c r="M98" s="21" t="n">
        <f aca="false">ROUND(Q98*S98,0)</f>
        <v>1</v>
      </c>
      <c r="N98" s="21" t="n">
        <f aca="false">ROUND(SQRT((F98*J98/100)^2+(G98*M98)^2),0)</f>
        <v>1</v>
      </c>
      <c r="P98" s="41" t="n">
        <v>3.05988332381404</v>
      </c>
      <c r="Q98" s="42" t="n">
        <v>22.0014415922619</v>
      </c>
      <c r="R98" s="43" t="n">
        <f aca="false">MAX(0,MIN(1,P98/100+$D$5))</f>
        <v>0.555817277965105</v>
      </c>
      <c r="S98" s="43" t="n">
        <v>0.0610405690258335</v>
      </c>
      <c r="T98" s="44" t="s">
        <v>90</v>
      </c>
    </row>
    <row r="99" customFormat="false" ht="15" hidden="false" customHeight="false" outlineLevel="0" collapsed="false">
      <c r="A99" s="38" t="s">
        <v>156</v>
      </c>
      <c r="B99" s="38" t="s">
        <v>158</v>
      </c>
      <c r="C99" s="38" t="s">
        <v>196</v>
      </c>
      <c r="D99" s="21" t="n">
        <f aca="false">ROUND(Q99*R99,0)</f>
        <v>223</v>
      </c>
      <c r="E99" s="21" t="n">
        <f aca="false">ROUND(Q99,0)-D99</f>
        <v>144</v>
      </c>
      <c r="F99" s="21" t="n">
        <f aca="false">IF(COUNTA(D99:E99)=0,"",SUM(D99:E99))</f>
        <v>367</v>
      </c>
      <c r="G99" s="39" t="n">
        <f aca="false">IF(OR(F99="",F99=0),"",D99/F99)</f>
        <v>0.607629427792916</v>
      </c>
      <c r="H99" s="39" t="n">
        <f aca="false">IF(OR(F99="",F99=0),"",E99/F99)</f>
        <v>0.392370572207085</v>
      </c>
      <c r="I99" s="38" t="s">
        <v>89</v>
      </c>
      <c r="J99" s="40" t="n">
        <v>3.45317612968717</v>
      </c>
      <c r="K99" s="39" t="n">
        <f aca="false">IF(G99="","",MAX(0,G99-J99/100))</f>
        <v>0.573097666496044</v>
      </c>
      <c r="L99" s="39" t="n">
        <f aca="false">IF(G99="","",MIN(1,G99+J99/100))</f>
        <v>0.642161189089787</v>
      </c>
      <c r="M99" s="21" t="n">
        <f aca="false">ROUND(Q99*S99,0)</f>
        <v>22</v>
      </c>
      <c r="N99" s="21" t="n">
        <f aca="false">ROUND(SQRT((F99*J99/100)^2+(G99*M99)^2),0)</f>
        <v>18</v>
      </c>
      <c r="P99" s="41" t="n">
        <v>8.20985086040081</v>
      </c>
      <c r="Q99" s="42" t="n">
        <v>367</v>
      </c>
      <c r="R99" s="43" t="n">
        <f aca="false">MAX(0,MIN(1,P99/100+$D$5))</f>
        <v>0.607316953330973</v>
      </c>
      <c r="S99" s="43" t="n">
        <v>0.0610405690258335</v>
      </c>
      <c r="T99" s="44" t="s">
        <v>90</v>
      </c>
    </row>
    <row r="100" customFormat="false" ht="15" hidden="false" customHeight="false" outlineLevel="0" collapsed="false">
      <c r="A100" s="38" t="s">
        <v>156</v>
      </c>
      <c r="B100" s="38" t="s">
        <v>158</v>
      </c>
      <c r="C100" s="38" t="s">
        <v>197</v>
      </c>
      <c r="D100" s="21" t="n">
        <f aca="false">ROUND(Q100*R100,0)</f>
        <v>374</v>
      </c>
      <c r="E100" s="21" t="n">
        <f aca="false">ROUND(Q100,0)-D100</f>
        <v>176</v>
      </c>
      <c r="F100" s="21" t="n">
        <f aca="false">IF(COUNTA(D100:E100)=0,"",SUM(D100:E100))</f>
        <v>550</v>
      </c>
      <c r="G100" s="39" t="n">
        <f aca="false">IF(OR(F100="",F100=0),"",D100/F100)</f>
        <v>0.68</v>
      </c>
      <c r="H100" s="39" t="n">
        <f aca="false">IF(OR(F100="",F100=0),"",E100/F100)</f>
        <v>0.32</v>
      </c>
      <c r="I100" s="38" t="s">
        <v>89</v>
      </c>
      <c r="J100" s="40" t="n">
        <v>3.45317612968717</v>
      </c>
      <c r="K100" s="39" t="n">
        <f aca="false">IF(G100="","",MAX(0,G100-J100/100))</f>
        <v>0.645468238703128</v>
      </c>
      <c r="L100" s="39" t="n">
        <f aca="false">IF(G100="","",MIN(1,G100+J100/100))</f>
        <v>0.714531761296872</v>
      </c>
      <c r="M100" s="21" t="n">
        <f aca="false">ROUND(Q100*S100,0)</f>
        <v>34</v>
      </c>
      <c r="N100" s="21" t="n">
        <f aca="false">ROUND(SQRT((F100*J100/100)^2+(G100*M100)^2),0)</f>
        <v>30</v>
      </c>
      <c r="P100" s="41" t="n">
        <v>15.400255902232</v>
      </c>
      <c r="Q100" s="42" t="n">
        <v>550</v>
      </c>
      <c r="R100" s="43" t="n">
        <f aca="false">MAX(0,MIN(1,P100/100+$D$5))</f>
        <v>0.679221003749285</v>
      </c>
      <c r="S100" s="43" t="n">
        <v>0.0610405690258335</v>
      </c>
      <c r="T100" s="44" t="s">
        <v>90</v>
      </c>
    </row>
    <row r="101" customFormat="false" ht="15" hidden="false" customHeight="false" outlineLevel="0" collapsed="false">
      <c r="A101" s="38" t="s">
        <v>156</v>
      </c>
      <c r="B101" s="38" t="s">
        <v>158</v>
      </c>
      <c r="C101" s="38" t="s">
        <v>198</v>
      </c>
      <c r="D101" s="21" t="n">
        <f aca="false">ROUND(Q101*R101,0)</f>
        <v>268</v>
      </c>
      <c r="E101" s="21" t="n">
        <f aca="false">ROUND(Q101,0)-D101</f>
        <v>153</v>
      </c>
      <c r="F101" s="21" t="n">
        <f aca="false">IF(COUNTA(D101:E101)=0,"",SUM(D101:E101))</f>
        <v>421</v>
      </c>
      <c r="G101" s="39" t="n">
        <f aca="false">IF(OR(F101="",F101=0),"",D101/F101)</f>
        <v>0.636579572446556</v>
      </c>
      <c r="H101" s="39" t="n">
        <f aca="false">IF(OR(F101="",F101=0),"",E101/F101)</f>
        <v>0.363420427553444</v>
      </c>
      <c r="I101" s="38" t="s">
        <v>89</v>
      </c>
      <c r="J101" s="40" t="n">
        <v>3.45317612968717</v>
      </c>
      <c r="K101" s="39" t="n">
        <f aca="false">IF(G101="","",MAX(0,G101-J101/100))</f>
        <v>0.602047811149684</v>
      </c>
      <c r="L101" s="39" t="n">
        <f aca="false">IF(G101="","",MIN(1,G101+J101/100))</f>
        <v>0.671111333743428</v>
      </c>
      <c r="M101" s="21" t="n">
        <f aca="false">ROUND(Q101*S101,0)</f>
        <v>26</v>
      </c>
      <c r="N101" s="21" t="n">
        <f aca="false">ROUND(SQRT((F101*J101/100)^2+(G101*M101)^2),0)</f>
        <v>22</v>
      </c>
      <c r="P101" s="41" t="n">
        <v>11.2165320601191</v>
      </c>
      <c r="Q101" s="42" t="n">
        <v>421</v>
      </c>
      <c r="R101" s="43" t="n">
        <f aca="false">MAX(0,MIN(1,P101/100+$D$5))</f>
        <v>0.637383765328155</v>
      </c>
      <c r="S101" s="43" t="n">
        <v>0.0610405690258335</v>
      </c>
      <c r="T101" s="44" t="s">
        <v>90</v>
      </c>
    </row>
    <row r="102" customFormat="false" ht="15" hidden="false" customHeight="false" outlineLevel="0" collapsed="false">
      <c r="A102" s="38" t="s">
        <v>156</v>
      </c>
      <c r="B102" s="38" t="s">
        <v>158</v>
      </c>
      <c r="C102" s="38" t="s">
        <v>199</v>
      </c>
      <c r="D102" s="21" t="n">
        <f aca="false">ROUND(Q102*R102,0)</f>
        <v>259</v>
      </c>
      <c r="E102" s="21" t="n">
        <f aca="false">ROUND(Q102,0)-D102</f>
        <v>127</v>
      </c>
      <c r="F102" s="21" t="n">
        <f aca="false">IF(COUNTA(D102:E102)=0,"",SUM(D102:E102))</f>
        <v>386</v>
      </c>
      <c r="G102" s="39" t="n">
        <f aca="false">IF(OR(F102="",F102=0),"",D102/F102)</f>
        <v>0.670984455958549</v>
      </c>
      <c r="H102" s="39" t="n">
        <f aca="false">IF(OR(F102="",F102=0),"",E102/F102)</f>
        <v>0.329015544041451</v>
      </c>
      <c r="I102" s="38" t="s">
        <v>89</v>
      </c>
      <c r="J102" s="40" t="n">
        <v>3.45317612968717</v>
      </c>
      <c r="K102" s="39" t="n">
        <f aca="false">IF(G102="","",MAX(0,G102-J102/100))</f>
        <v>0.636452694661678</v>
      </c>
      <c r="L102" s="39" t="n">
        <f aca="false">IF(G102="","",MIN(1,G102+J102/100))</f>
        <v>0.705516217255421</v>
      </c>
      <c r="M102" s="21" t="n">
        <f aca="false">ROUND(Q102*S102,0)</f>
        <v>24</v>
      </c>
      <c r="N102" s="21" t="n">
        <f aca="false">ROUND(SQRT((F102*J102/100)^2+(G102*M102)^2),0)</f>
        <v>21</v>
      </c>
      <c r="P102" s="41" t="n">
        <v>14.6089767129724</v>
      </c>
      <c r="Q102" s="42" t="n">
        <v>386</v>
      </c>
      <c r="R102" s="43" t="n">
        <f aca="false">MAX(0,MIN(1,P102/100+$D$5))</f>
        <v>0.671308211856689</v>
      </c>
      <c r="S102" s="43" t="n">
        <v>0.0610405690258335</v>
      </c>
      <c r="T102" s="44" t="s">
        <v>90</v>
      </c>
    </row>
    <row r="103" customFormat="false" ht="15" hidden="false" customHeight="false" outlineLevel="0" collapsed="false">
      <c r="A103" s="38" t="s">
        <v>156</v>
      </c>
      <c r="B103" s="38" t="s">
        <v>158</v>
      </c>
      <c r="C103" s="38" t="s">
        <v>200</v>
      </c>
      <c r="D103" s="21" t="n">
        <f aca="false">ROUND(Q103*R103,0)</f>
        <v>388</v>
      </c>
      <c r="E103" s="21" t="n">
        <f aca="false">ROUND(Q103,0)-D103</f>
        <v>216</v>
      </c>
      <c r="F103" s="21" t="n">
        <f aca="false">IF(COUNTA(D103:E103)=0,"",SUM(D103:E103))</f>
        <v>604</v>
      </c>
      <c r="G103" s="39" t="n">
        <f aca="false">IF(OR(F103="",F103=0),"",D103/F103)</f>
        <v>0.642384105960265</v>
      </c>
      <c r="H103" s="39" t="n">
        <f aca="false">IF(OR(F103="",F103=0),"",E103/F103)</f>
        <v>0.357615894039735</v>
      </c>
      <c r="I103" s="38" t="s">
        <v>89</v>
      </c>
      <c r="J103" s="40" t="n">
        <v>3.45317612968717</v>
      </c>
      <c r="K103" s="39" t="n">
        <f aca="false">IF(G103="","",MAX(0,G103-J103/100))</f>
        <v>0.607852344663393</v>
      </c>
      <c r="L103" s="39" t="n">
        <f aca="false">IF(G103="","",MIN(1,G103+J103/100))</f>
        <v>0.676915867257137</v>
      </c>
      <c r="M103" s="21" t="n">
        <f aca="false">ROUND(Q103*S103,0)</f>
        <v>37</v>
      </c>
      <c r="N103" s="21" t="n">
        <f aca="false">ROUND(SQRT((F103*J103/100)^2+(G103*M103)^2),0)</f>
        <v>32</v>
      </c>
      <c r="P103" s="41" t="n">
        <v>11.6746358519603</v>
      </c>
      <c r="Q103" s="42" t="n">
        <v>604</v>
      </c>
      <c r="R103" s="43" t="n">
        <f aca="false">MAX(0,MIN(1,P103/100+$D$5))</f>
        <v>0.641964803246568</v>
      </c>
      <c r="S103" s="43" t="n">
        <v>0.0610405690258335</v>
      </c>
      <c r="T103" s="44" t="s">
        <v>90</v>
      </c>
    </row>
    <row r="104" customFormat="false" ht="15" hidden="false" customHeight="false" outlineLevel="0" collapsed="false">
      <c r="A104" s="38" t="s">
        <v>156</v>
      </c>
      <c r="B104" s="38" t="s">
        <v>158</v>
      </c>
      <c r="C104" s="38" t="s">
        <v>201</v>
      </c>
      <c r="D104" s="21" t="n">
        <f aca="false">ROUND(Q104*R104,0)</f>
        <v>1</v>
      </c>
      <c r="E104" s="21" t="n">
        <f aca="false">ROUND(Q104,0)-D104</f>
        <v>1</v>
      </c>
      <c r="F104" s="21" t="n">
        <f aca="false">IF(COUNTA(D104:E104)=0,"",SUM(D104:E104))</f>
        <v>2</v>
      </c>
      <c r="G104" s="39" t="n">
        <f aca="false">IF(OR(F104="",F104=0),"",D104/F104)</f>
        <v>0.5</v>
      </c>
      <c r="H104" s="39" t="n">
        <f aca="false">IF(OR(F104="",F104=0),"",E104/F104)</f>
        <v>0.5</v>
      </c>
      <c r="I104" s="38" t="s">
        <v>190</v>
      </c>
      <c r="J104" s="40" t="n">
        <v>3.45317612968717</v>
      </c>
      <c r="K104" s="39" t="n">
        <f aca="false">IF(G104="","",MAX(0,G104-J104/100))</f>
        <v>0.465468238703128</v>
      </c>
      <c r="L104" s="39" t="n">
        <f aca="false">IF(G104="","",MIN(1,G104+J104/100))</f>
        <v>0.534531761296872</v>
      </c>
      <c r="M104" s="21" t="n">
        <f aca="false">ROUND(Q104*S104,0)</f>
        <v>0</v>
      </c>
      <c r="N104" s="21" t="n">
        <f aca="false">ROUND(SQRT((F104*J104/100)^2+(G104*M104)^2),0)</f>
        <v>0</v>
      </c>
      <c r="P104" s="41" t="n">
        <v>-1.04527361498052</v>
      </c>
      <c r="Q104" s="42" t="n">
        <v>2.3159412202381</v>
      </c>
      <c r="R104" s="43" t="n">
        <f aca="false">MAX(0,MIN(1,P104/100+$D$5))</f>
        <v>0.51476570857716</v>
      </c>
      <c r="S104" s="43" t="n">
        <v>0.0610405690258335</v>
      </c>
      <c r="T104" s="44" t="s">
        <v>90</v>
      </c>
    </row>
    <row r="105" customFormat="false" ht="15" hidden="false" customHeight="false" outlineLevel="0" collapsed="false">
      <c r="A105" s="38" t="s">
        <v>156</v>
      </c>
      <c r="B105" s="38" t="s">
        <v>158</v>
      </c>
      <c r="C105" s="38" t="s">
        <v>202</v>
      </c>
      <c r="D105" s="21" t="n">
        <f aca="false">ROUND(Q105*R105,0)</f>
        <v>507</v>
      </c>
      <c r="E105" s="21" t="n">
        <f aca="false">ROUND(Q105,0)-D105</f>
        <v>263</v>
      </c>
      <c r="F105" s="21" t="n">
        <f aca="false">IF(COUNTA(D105:E105)=0,"",SUM(D105:E105))</f>
        <v>770</v>
      </c>
      <c r="G105" s="39" t="n">
        <f aca="false">IF(OR(F105="",F105=0),"",D105/F105)</f>
        <v>0.658441558441559</v>
      </c>
      <c r="H105" s="39" t="n">
        <f aca="false">IF(OR(F105="",F105=0),"",E105/F105)</f>
        <v>0.341558441558442</v>
      </c>
      <c r="I105" s="38" t="s">
        <v>89</v>
      </c>
      <c r="J105" s="40" t="n">
        <v>3.45317612968717</v>
      </c>
      <c r="K105" s="39" t="n">
        <f aca="false">IF(G105="","",MAX(0,G105-J105/100))</f>
        <v>0.623909797144687</v>
      </c>
      <c r="L105" s="39" t="n">
        <f aca="false">IF(G105="","",MIN(1,G105+J105/100))</f>
        <v>0.69297331973843</v>
      </c>
      <c r="M105" s="21" t="n">
        <f aca="false">ROUND(Q105*S105,0)</f>
        <v>47</v>
      </c>
      <c r="N105" s="21" t="n">
        <f aca="false">ROUND(SQRT((F105*J105/100)^2+(G105*M105)^2),0)</f>
        <v>41</v>
      </c>
      <c r="P105" s="41" t="n">
        <v>13.258617863872</v>
      </c>
      <c r="Q105" s="42" t="n">
        <v>770</v>
      </c>
      <c r="R105" s="43" t="n">
        <f aca="false">MAX(0,MIN(1,P105/100+$D$5))</f>
        <v>0.657804623365685</v>
      </c>
      <c r="S105" s="43" t="n">
        <v>0.0610405690258335</v>
      </c>
      <c r="T105" s="44" t="s">
        <v>90</v>
      </c>
    </row>
    <row r="106" customFormat="false" ht="15" hidden="false" customHeight="false" outlineLevel="0" collapsed="false">
      <c r="A106" s="38" t="s">
        <v>156</v>
      </c>
      <c r="B106" s="38" t="s">
        <v>158</v>
      </c>
      <c r="C106" s="38" t="s">
        <v>203</v>
      </c>
      <c r="D106" s="21" t="n">
        <f aca="false">ROUND(Q106*R106,0)</f>
        <v>233</v>
      </c>
      <c r="E106" s="21" t="n">
        <f aca="false">ROUND(Q106,0)-D106</f>
        <v>70</v>
      </c>
      <c r="F106" s="21" t="n">
        <f aca="false">IF(COUNTA(D106:E106)=0,"",SUM(D106:E106))</f>
        <v>303</v>
      </c>
      <c r="G106" s="39" t="n">
        <f aca="false">IF(OR(F106="",F106=0),"",D106/F106)</f>
        <v>0.768976897689769</v>
      </c>
      <c r="H106" s="39" t="n">
        <f aca="false">IF(OR(F106="",F106=0),"",E106/F106)</f>
        <v>0.231023102310231</v>
      </c>
      <c r="I106" s="38" t="s">
        <v>89</v>
      </c>
      <c r="J106" s="40" t="n">
        <v>3.45317612968717</v>
      </c>
      <c r="K106" s="39" t="n">
        <f aca="false">IF(G106="","",MAX(0,G106-J106/100))</f>
        <v>0.734445136392897</v>
      </c>
      <c r="L106" s="39" t="n">
        <f aca="false">IF(G106="","",MIN(1,G106+J106/100))</f>
        <v>0.803508658986641</v>
      </c>
      <c r="M106" s="21" t="n">
        <f aca="false">ROUND(Q106*S106,0)</f>
        <v>18</v>
      </c>
      <c r="N106" s="21" t="n">
        <f aca="false">ROUND(SQRT((F106*J106/100)^2+(G106*M106)^2),0)</f>
        <v>17</v>
      </c>
      <c r="P106" s="41" t="n">
        <v>24.4678545000732</v>
      </c>
      <c r="Q106" s="42" t="n">
        <v>303</v>
      </c>
      <c r="R106" s="43" t="n">
        <f aca="false">MAX(0,MIN(1,P106/100+$D$5))</f>
        <v>0.769896989727697</v>
      </c>
      <c r="S106" s="43" t="n">
        <v>0.0610405690258335</v>
      </c>
      <c r="T106" s="44" t="s">
        <v>90</v>
      </c>
    </row>
    <row r="107" customFormat="false" ht="15" hidden="false" customHeight="false" outlineLevel="0" collapsed="false">
      <c r="A107" s="38" t="s">
        <v>156</v>
      </c>
      <c r="B107" s="38" t="s">
        <v>158</v>
      </c>
      <c r="C107" s="38" t="s">
        <v>204</v>
      </c>
      <c r="D107" s="21" t="n">
        <f aca="false">ROUND(Q107*R107,0)</f>
        <v>225</v>
      </c>
      <c r="E107" s="21" t="n">
        <f aca="false">ROUND(Q107,0)-D107</f>
        <v>79</v>
      </c>
      <c r="F107" s="21" t="n">
        <f aca="false">IF(COUNTA(D107:E107)=0,"",SUM(D107:E107))</f>
        <v>304</v>
      </c>
      <c r="G107" s="39" t="n">
        <f aca="false">IF(OR(F107="",F107=0),"",D107/F107)</f>
        <v>0.740131578947369</v>
      </c>
      <c r="H107" s="39" t="n">
        <f aca="false">IF(OR(F107="",F107=0),"",E107/F107)</f>
        <v>0.259868421052632</v>
      </c>
      <c r="I107" s="38" t="s">
        <v>89</v>
      </c>
      <c r="J107" s="40" t="n">
        <v>3.45317612968717</v>
      </c>
      <c r="K107" s="39" t="n">
        <f aca="false">IF(G107="","",MAX(0,G107-J107/100))</f>
        <v>0.705599817650497</v>
      </c>
      <c r="L107" s="39" t="n">
        <f aca="false">IF(G107="","",MIN(1,G107+J107/100))</f>
        <v>0.77466334024424</v>
      </c>
      <c r="M107" s="21" t="n">
        <f aca="false">ROUND(Q107*S107,0)</f>
        <v>19</v>
      </c>
      <c r="N107" s="21" t="n">
        <f aca="false">ROUND(SQRT((F107*J107/100)^2+(G107*M107)^2),0)</f>
        <v>18</v>
      </c>
      <c r="P107" s="41" t="n">
        <v>21.3829328997003</v>
      </c>
      <c r="Q107" s="42" t="n">
        <v>304</v>
      </c>
      <c r="R107" s="43" t="n">
        <f aca="false">MAX(0,MIN(1,P107/100+$D$5))</f>
        <v>0.739047773723967</v>
      </c>
      <c r="S107" s="43" t="n">
        <v>0.0610405690258335</v>
      </c>
      <c r="T107" s="44" t="s">
        <v>90</v>
      </c>
    </row>
    <row r="108" customFormat="false" ht="15" hidden="false" customHeight="false" outlineLevel="0" collapsed="false">
      <c r="A108" s="38" t="s">
        <v>156</v>
      </c>
      <c r="B108" s="38" t="s">
        <v>158</v>
      </c>
      <c r="C108" s="38" t="s">
        <v>205</v>
      </c>
      <c r="D108" s="21" t="n">
        <f aca="false">ROUND(Q108*R108,0)</f>
        <v>334</v>
      </c>
      <c r="E108" s="21" t="n">
        <f aca="false">ROUND(Q108,0)-D108</f>
        <v>103</v>
      </c>
      <c r="F108" s="21" t="n">
        <f aca="false">IF(COUNTA(D108:E108)=0,"",SUM(D108:E108))</f>
        <v>437</v>
      </c>
      <c r="G108" s="39" t="n">
        <f aca="false">IF(OR(F108="",F108=0),"",D108/F108)</f>
        <v>0.764302059496568</v>
      </c>
      <c r="H108" s="39" t="n">
        <f aca="false">IF(OR(F108="",F108=0),"",E108/F108)</f>
        <v>0.235697940503432</v>
      </c>
      <c r="I108" s="38" t="s">
        <v>89</v>
      </c>
      <c r="J108" s="40" t="n">
        <v>3.45317612968717</v>
      </c>
      <c r="K108" s="39" t="n">
        <f aca="false">IF(G108="","",MAX(0,G108-J108/100))</f>
        <v>0.729770298199696</v>
      </c>
      <c r="L108" s="39" t="n">
        <f aca="false">IF(G108="","",MIN(1,G108+J108/100))</f>
        <v>0.798833820793439</v>
      </c>
      <c r="M108" s="21" t="n">
        <f aca="false">ROUND(Q108*S108,0)</f>
        <v>27</v>
      </c>
      <c r="N108" s="21" t="n">
        <f aca="false">ROUND(SQRT((F108*J108/100)^2+(G108*M108)^2),0)</f>
        <v>26</v>
      </c>
      <c r="P108" s="41" t="n">
        <v>23.8437511660081</v>
      </c>
      <c r="Q108" s="42" t="n">
        <v>437</v>
      </c>
      <c r="R108" s="43" t="n">
        <f aca="false">MAX(0,MIN(1,P108/100+$D$5))</f>
        <v>0.763655956387045</v>
      </c>
      <c r="S108" s="43" t="n">
        <v>0.0610405690258335</v>
      </c>
      <c r="T108" s="44" t="s">
        <v>90</v>
      </c>
    </row>
    <row r="109" customFormat="false" ht="15" hidden="false" customHeight="false" outlineLevel="0" collapsed="false">
      <c r="A109" s="38" t="s">
        <v>156</v>
      </c>
      <c r="B109" s="38" t="s">
        <v>158</v>
      </c>
      <c r="C109" s="38" t="s">
        <v>206</v>
      </c>
      <c r="D109" s="21" t="n">
        <f aca="false">ROUND(Q109*R109,0)</f>
        <v>169</v>
      </c>
      <c r="E109" s="21" t="n">
        <f aca="false">ROUND(Q109,0)-D109</f>
        <v>63</v>
      </c>
      <c r="F109" s="21" t="n">
        <f aca="false">IF(COUNTA(D109:E109)=0,"",SUM(D109:E109))</f>
        <v>232</v>
      </c>
      <c r="G109" s="39" t="n">
        <f aca="false">IF(OR(F109="",F109=0),"",D109/F109)</f>
        <v>0.728448275862069</v>
      </c>
      <c r="H109" s="39" t="n">
        <f aca="false">IF(OR(F109="",F109=0),"",E109/F109)</f>
        <v>0.271551724137931</v>
      </c>
      <c r="I109" s="38" t="s">
        <v>89</v>
      </c>
      <c r="J109" s="40" t="n">
        <v>3.45317612968717</v>
      </c>
      <c r="K109" s="39" t="n">
        <f aca="false">IF(G109="","",MAX(0,G109-J109/100))</f>
        <v>0.693916514565197</v>
      </c>
      <c r="L109" s="39" t="n">
        <f aca="false">IF(G109="","",MIN(1,G109+J109/100))</f>
        <v>0.762980037158941</v>
      </c>
      <c r="M109" s="21" t="n">
        <f aca="false">ROUND(Q109*S109,0)</f>
        <v>14</v>
      </c>
      <c r="N109" s="21" t="n">
        <f aca="false">ROUND(SQRT((F109*J109/100)^2+(G109*M109)^2),0)</f>
        <v>13</v>
      </c>
      <c r="P109" s="41" t="n">
        <v>20.2487450225779</v>
      </c>
      <c r="Q109" s="42" t="n">
        <v>232</v>
      </c>
      <c r="R109" s="43" t="n">
        <f aca="false">MAX(0,MIN(1,P109/100+$D$5))</f>
        <v>0.727705894952744</v>
      </c>
      <c r="S109" s="43" t="n">
        <v>0.0610405690258335</v>
      </c>
      <c r="T109" s="44" t="s">
        <v>90</v>
      </c>
    </row>
    <row r="110" customFormat="false" ht="15" hidden="false" customHeight="false" outlineLevel="0" collapsed="false">
      <c r="A110" s="38" t="s">
        <v>156</v>
      </c>
      <c r="B110" s="38" t="s">
        <v>158</v>
      </c>
      <c r="C110" s="38" t="s">
        <v>207</v>
      </c>
      <c r="D110" s="21" t="n">
        <f aca="false">ROUND(Q110*R110,0)</f>
        <v>222</v>
      </c>
      <c r="E110" s="21" t="n">
        <f aca="false">ROUND(Q110,0)-D110</f>
        <v>59</v>
      </c>
      <c r="F110" s="21" t="n">
        <f aca="false">IF(COUNTA(D110:E110)=0,"",SUM(D110:E110))</f>
        <v>281</v>
      </c>
      <c r="G110" s="39" t="n">
        <f aca="false">IF(OR(F110="",F110=0),"",D110/F110)</f>
        <v>0.790035587188612</v>
      </c>
      <c r="H110" s="39" t="n">
        <f aca="false">IF(OR(F110="",F110=0),"",E110/F110)</f>
        <v>0.209964412811388</v>
      </c>
      <c r="I110" s="38" t="s">
        <v>89</v>
      </c>
      <c r="J110" s="40" t="n">
        <v>3.45317612968717</v>
      </c>
      <c r="K110" s="39" t="n">
        <f aca="false">IF(G110="","",MAX(0,G110-J110/100))</f>
        <v>0.755503825891741</v>
      </c>
      <c r="L110" s="39" t="n">
        <f aca="false">IF(G110="","",MIN(1,G110+J110/100))</f>
        <v>0.824567348485484</v>
      </c>
      <c r="M110" s="21" t="n">
        <f aca="false">ROUND(Q110*S110,0)</f>
        <v>17</v>
      </c>
      <c r="N110" s="21" t="n">
        <f aca="false">ROUND(SQRT((F110*J110/100)^2+(G110*M110)^2),0)</f>
        <v>17</v>
      </c>
      <c r="P110" s="41" t="n">
        <v>26.3447691504978</v>
      </c>
      <c r="Q110" s="42" t="n">
        <v>281</v>
      </c>
      <c r="R110" s="43" t="n">
        <f aca="false">MAX(0,MIN(1,P110/100+$D$5))</f>
        <v>0.788666136231943</v>
      </c>
      <c r="S110" s="43" t="n">
        <v>0.0610405690258335</v>
      </c>
      <c r="T110" s="44" t="s">
        <v>90</v>
      </c>
    </row>
    <row r="111" customFormat="false" ht="15" hidden="false" customHeight="false" outlineLevel="0" collapsed="false">
      <c r="A111" s="38" t="s">
        <v>156</v>
      </c>
      <c r="B111" s="38" t="s">
        <v>158</v>
      </c>
      <c r="C111" s="38" t="s">
        <v>208</v>
      </c>
      <c r="D111" s="21" t="n">
        <f aca="false">ROUND(Q111*R111,0)</f>
        <v>84</v>
      </c>
      <c r="E111" s="21" t="n">
        <f aca="false">ROUND(Q111,0)-D111</f>
        <v>39</v>
      </c>
      <c r="F111" s="21" t="n">
        <f aca="false">IF(COUNTA(D111:E111)=0,"",SUM(D111:E111))</f>
        <v>123</v>
      </c>
      <c r="G111" s="39" t="n">
        <f aca="false">IF(OR(F111="",F111=0),"",D111/F111)</f>
        <v>0.682926829268293</v>
      </c>
      <c r="H111" s="39" t="n">
        <f aca="false">IF(OR(F111="",F111=0),"",E111/F111)</f>
        <v>0.317073170731707</v>
      </c>
      <c r="I111" s="38" t="s">
        <v>89</v>
      </c>
      <c r="J111" s="40" t="n">
        <v>3.45317612968717</v>
      </c>
      <c r="K111" s="39" t="n">
        <f aca="false">IF(G111="","",MAX(0,G111-J111/100))</f>
        <v>0.648395067971421</v>
      </c>
      <c r="L111" s="39" t="n">
        <f aca="false">IF(G111="","",MIN(1,G111+J111/100))</f>
        <v>0.717458590565164</v>
      </c>
      <c r="M111" s="21" t="n">
        <f aca="false">ROUND(Q111*S111,0)</f>
        <v>8</v>
      </c>
      <c r="N111" s="21" t="n">
        <f aca="false">ROUND(SQRT((F111*J111/100)^2+(G111*M111)^2),0)</f>
        <v>7</v>
      </c>
      <c r="P111" s="41" t="n">
        <v>15.8343808035611</v>
      </c>
      <c r="Q111" s="42" t="n">
        <v>123</v>
      </c>
      <c r="R111" s="43" t="n">
        <f aca="false">MAX(0,MIN(1,P111/100+$D$5))</f>
        <v>0.683562252762575</v>
      </c>
      <c r="S111" s="43" t="n">
        <v>0.0610405690258335</v>
      </c>
      <c r="T111" s="44" t="s">
        <v>90</v>
      </c>
    </row>
    <row r="112" customFormat="false" ht="15" hidden="false" customHeight="false" outlineLevel="0" collapsed="false">
      <c r="A112" s="38" t="s">
        <v>156</v>
      </c>
      <c r="B112" s="38" t="s">
        <v>158</v>
      </c>
      <c r="C112" s="38" t="s">
        <v>209</v>
      </c>
      <c r="D112" s="21" t="n">
        <f aca="false">ROUND(Q112*R112,0)</f>
        <v>194</v>
      </c>
      <c r="E112" s="21" t="n">
        <f aca="false">ROUND(Q112,0)-D112</f>
        <v>96</v>
      </c>
      <c r="F112" s="21" t="n">
        <f aca="false">IF(COUNTA(D112:E112)=0,"",SUM(D112:E112))</f>
        <v>290</v>
      </c>
      <c r="G112" s="39" t="n">
        <f aca="false">IF(OR(F112="",F112=0),"",D112/F112)</f>
        <v>0.668965517241379</v>
      </c>
      <c r="H112" s="39" t="n">
        <f aca="false">IF(OR(F112="",F112=0),"",E112/F112)</f>
        <v>0.331034482758621</v>
      </c>
      <c r="I112" s="38" t="s">
        <v>89</v>
      </c>
      <c r="J112" s="40" t="n">
        <v>3.45317612968717</v>
      </c>
      <c r="K112" s="39" t="n">
        <f aca="false">IF(G112="","",MAX(0,G112-J112/100))</f>
        <v>0.634433755944508</v>
      </c>
      <c r="L112" s="39" t="n">
        <f aca="false">IF(G112="","",MIN(1,G112+J112/100))</f>
        <v>0.703497278538251</v>
      </c>
      <c r="M112" s="21" t="n">
        <f aca="false">ROUND(Q112*S112,0)</f>
        <v>18</v>
      </c>
      <c r="N112" s="21" t="n">
        <f aca="false">ROUND(SQRT((F112*J112/100)^2+(G112*M112)^2),0)</f>
        <v>16</v>
      </c>
      <c r="P112" s="41" t="n">
        <v>14.3443032070178</v>
      </c>
      <c r="Q112" s="42" t="n">
        <v>290</v>
      </c>
      <c r="R112" s="43" t="n">
        <f aca="false">MAX(0,MIN(1,P112/100+$D$5))</f>
        <v>0.668661476797143</v>
      </c>
      <c r="S112" s="43" t="n">
        <v>0.0610405690258335</v>
      </c>
      <c r="T112" s="44" t="s">
        <v>90</v>
      </c>
    </row>
    <row r="113" customFormat="false" ht="15" hidden="false" customHeight="false" outlineLevel="0" collapsed="false">
      <c r="A113" s="38" t="s">
        <v>156</v>
      </c>
      <c r="B113" s="38" t="s">
        <v>158</v>
      </c>
      <c r="C113" s="38" t="s">
        <v>210</v>
      </c>
      <c r="D113" s="21" t="n">
        <f aca="false">ROUND(Q113*R113,0)</f>
        <v>307</v>
      </c>
      <c r="E113" s="21" t="n">
        <f aca="false">ROUND(Q113,0)-D113</f>
        <v>92</v>
      </c>
      <c r="F113" s="21" t="n">
        <f aca="false">IF(COUNTA(D113:E113)=0,"",SUM(D113:E113))</f>
        <v>399</v>
      </c>
      <c r="G113" s="39" t="n">
        <f aca="false">IF(OR(F113="",F113=0),"",D113/F113)</f>
        <v>0.769423558897243</v>
      </c>
      <c r="H113" s="39" t="n">
        <f aca="false">IF(OR(F113="",F113=0),"",E113/F113)</f>
        <v>0.230576441102757</v>
      </c>
      <c r="I113" s="38" t="s">
        <v>89</v>
      </c>
      <c r="J113" s="40" t="n">
        <v>3.45317612968717</v>
      </c>
      <c r="K113" s="39" t="n">
        <f aca="false">IF(G113="","",MAX(0,G113-J113/100))</f>
        <v>0.734891797600372</v>
      </c>
      <c r="L113" s="39" t="n">
        <f aca="false">IF(G113="","",MIN(1,G113+J113/100))</f>
        <v>0.803955320194115</v>
      </c>
      <c r="M113" s="21" t="n">
        <f aca="false">ROUND(Q113*S113,0)</f>
        <v>24</v>
      </c>
      <c r="N113" s="21" t="n">
        <f aca="false">ROUND(SQRT((F113*J113/100)^2+(G113*M113)^2),0)</f>
        <v>23</v>
      </c>
      <c r="P113" s="41" t="n">
        <v>24.4216777188219</v>
      </c>
      <c r="Q113" s="42" t="n">
        <v>399</v>
      </c>
      <c r="R113" s="43" t="n">
        <f aca="false">MAX(0,MIN(1,P113/100+$D$5))</f>
        <v>0.769435221915184</v>
      </c>
      <c r="S113" s="43" t="n">
        <v>0.0610405690258335</v>
      </c>
      <c r="T113" s="44" t="s">
        <v>90</v>
      </c>
    </row>
    <row r="114" customFormat="false" ht="15" hidden="false" customHeight="false" outlineLevel="0" collapsed="false">
      <c r="A114" s="38" t="s">
        <v>156</v>
      </c>
      <c r="B114" s="38" t="s">
        <v>158</v>
      </c>
      <c r="C114" s="38" t="s">
        <v>211</v>
      </c>
      <c r="D114" s="21" t="n">
        <f aca="false">ROUND(Q114*R114,0)</f>
        <v>109</v>
      </c>
      <c r="E114" s="21" t="n">
        <f aca="false">ROUND(Q114,0)-D114</f>
        <v>32</v>
      </c>
      <c r="F114" s="21" t="n">
        <f aca="false">IF(COUNTA(D114:E114)=0,"",SUM(D114:E114))</f>
        <v>141</v>
      </c>
      <c r="G114" s="39" t="n">
        <f aca="false">IF(OR(F114="",F114=0),"",D114/F114)</f>
        <v>0.773049645390071</v>
      </c>
      <c r="H114" s="39" t="n">
        <f aca="false">IF(OR(F114="",F114=0),"",E114/F114)</f>
        <v>0.226950354609929</v>
      </c>
      <c r="I114" s="38" t="s">
        <v>89</v>
      </c>
      <c r="J114" s="40" t="n">
        <v>3.45317612968717</v>
      </c>
      <c r="K114" s="39" t="n">
        <f aca="false">IF(G114="","",MAX(0,G114-J114/100))</f>
        <v>0.738517884093199</v>
      </c>
      <c r="L114" s="39" t="n">
        <f aca="false">IF(G114="","",MIN(1,G114+J114/100))</f>
        <v>0.807581406686943</v>
      </c>
      <c r="M114" s="21" t="n">
        <f aca="false">ROUND(Q114*S114,0)</f>
        <v>9</v>
      </c>
      <c r="N114" s="21" t="n">
        <f aca="false">ROUND(SQRT((F114*J114/100)^2+(G114*M114)^2),0)</f>
        <v>8</v>
      </c>
      <c r="P114" s="41" t="n">
        <v>24.8866468669666</v>
      </c>
      <c r="Q114" s="42" t="n">
        <v>141</v>
      </c>
      <c r="R114" s="43" t="n">
        <f aca="false">MAX(0,MIN(1,P114/100+$D$5))</f>
        <v>0.774084913396631</v>
      </c>
      <c r="S114" s="43" t="n">
        <v>0.0610405690258335</v>
      </c>
      <c r="T114" s="44" t="s">
        <v>90</v>
      </c>
    </row>
    <row r="115" customFormat="false" ht="15" hidden="false" customHeight="false" outlineLevel="0" collapsed="false">
      <c r="A115" s="38" t="s">
        <v>156</v>
      </c>
      <c r="B115" s="38" t="s">
        <v>158</v>
      </c>
      <c r="C115" s="38" t="s">
        <v>212</v>
      </c>
      <c r="D115" s="21" t="n">
        <f aca="false">ROUND(Q115*R115,0)</f>
        <v>132</v>
      </c>
      <c r="E115" s="21" t="n">
        <f aca="false">ROUND(Q115,0)-D115</f>
        <v>41</v>
      </c>
      <c r="F115" s="21" t="n">
        <f aca="false">IF(COUNTA(D115:E115)=0,"",SUM(D115:E115))</f>
        <v>173</v>
      </c>
      <c r="G115" s="39" t="n">
        <f aca="false">IF(OR(F115="",F115=0),"",D115/F115)</f>
        <v>0.763005780346821</v>
      </c>
      <c r="H115" s="39" t="n">
        <f aca="false">IF(OR(F115="",F115=0),"",E115/F115)</f>
        <v>0.236994219653179</v>
      </c>
      <c r="I115" s="38" t="s">
        <v>89</v>
      </c>
      <c r="J115" s="40" t="n">
        <v>3.45317612968717</v>
      </c>
      <c r="K115" s="39" t="n">
        <f aca="false">IF(G115="","",MAX(0,G115-J115/100))</f>
        <v>0.728474019049949</v>
      </c>
      <c r="L115" s="39" t="n">
        <f aca="false">IF(G115="","",MIN(1,G115+J115/100))</f>
        <v>0.797537541643692</v>
      </c>
      <c r="M115" s="21" t="n">
        <f aca="false">ROUND(Q115*S115,0)</f>
        <v>11</v>
      </c>
      <c r="N115" s="21" t="n">
        <f aca="false">ROUND(SQRT((F115*J115/100)^2+(G115*M115)^2),0)</f>
        <v>10</v>
      </c>
      <c r="P115" s="41" t="n">
        <v>24.0095125775776</v>
      </c>
      <c r="Q115" s="42" t="n">
        <v>173</v>
      </c>
      <c r="R115" s="43" t="n">
        <f aca="false">MAX(0,MIN(1,P115/100+$D$5))</f>
        <v>0.765313570502741</v>
      </c>
      <c r="S115" s="43" t="n">
        <v>0.0610405690258335</v>
      </c>
      <c r="T115" s="44" t="s">
        <v>90</v>
      </c>
    </row>
    <row r="116" customFormat="false" ht="15" hidden="false" customHeight="false" outlineLevel="0" collapsed="false">
      <c r="A116" s="38" t="s">
        <v>156</v>
      </c>
      <c r="B116" s="38" t="s">
        <v>158</v>
      </c>
      <c r="C116" s="38" t="s">
        <v>213</v>
      </c>
      <c r="D116" s="21" t="n">
        <f aca="false">ROUND(Q116*R116,0)</f>
        <v>211</v>
      </c>
      <c r="E116" s="21" t="n">
        <f aca="false">ROUND(Q116,0)-D116</f>
        <v>64</v>
      </c>
      <c r="F116" s="21" t="n">
        <f aca="false">IF(COUNTA(D116:E116)=0,"",SUM(D116:E116))</f>
        <v>275</v>
      </c>
      <c r="G116" s="39" t="n">
        <f aca="false">IF(OR(F116="",F116=0),"",D116/F116)</f>
        <v>0.767272727272727</v>
      </c>
      <c r="H116" s="39" t="n">
        <f aca="false">IF(OR(F116="",F116=0),"",E116/F116)</f>
        <v>0.232727272727273</v>
      </c>
      <c r="I116" s="38" t="s">
        <v>89</v>
      </c>
      <c r="J116" s="40" t="n">
        <v>3.45317612968717</v>
      </c>
      <c r="K116" s="39" t="n">
        <f aca="false">IF(G116="","",MAX(0,G116-J116/100))</f>
        <v>0.732740965975856</v>
      </c>
      <c r="L116" s="39" t="n">
        <f aca="false">IF(G116="","",MIN(1,G116+J116/100))</f>
        <v>0.801804488569599</v>
      </c>
      <c r="M116" s="21" t="n">
        <f aca="false">ROUND(Q116*S116,0)</f>
        <v>17</v>
      </c>
      <c r="N116" s="21" t="n">
        <f aca="false">ROUND(SQRT((F116*J116/100)^2+(G116*M116)^2),0)</f>
        <v>16</v>
      </c>
      <c r="P116" s="41" t="n">
        <v>24.3349870917683</v>
      </c>
      <c r="Q116" s="42" t="n">
        <v>275</v>
      </c>
      <c r="R116" s="43" t="n">
        <f aca="false">MAX(0,MIN(1,P116/100+$D$5))</f>
        <v>0.768568315644648</v>
      </c>
      <c r="S116" s="43" t="n">
        <v>0.0610405690258335</v>
      </c>
      <c r="T116" s="44" t="s">
        <v>90</v>
      </c>
    </row>
    <row r="117" customFormat="false" ht="15" hidden="false" customHeight="false" outlineLevel="0" collapsed="false">
      <c r="A117" s="38" t="s">
        <v>156</v>
      </c>
      <c r="B117" s="38" t="s">
        <v>158</v>
      </c>
      <c r="C117" s="38" t="s">
        <v>214</v>
      </c>
      <c r="D117" s="21" t="n">
        <f aca="false">ROUND(Q117*R117,0)</f>
        <v>349</v>
      </c>
      <c r="E117" s="21" t="n">
        <f aca="false">ROUND(Q117,0)-D117</f>
        <v>148</v>
      </c>
      <c r="F117" s="21" t="n">
        <f aca="false">IF(COUNTA(D117:E117)=0,"",SUM(D117:E117))</f>
        <v>497</v>
      </c>
      <c r="G117" s="39" t="n">
        <f aca="false">IF(OR(F117="",F117=0),"",D117/F117)</f>
        <v>0.702213279678069</v>
      </c>
      <c r="H117" s="39" t="n">
        <f aca="false">IF(OR(F117="",F117=0),"",E117/F117)</f>
        <v>0.297786720321932</v>
      </c>
      <c r="I117" s="38" t="s">
        <v>89</v>
      </c>
      <c r="J117" s="40" t="n">
        <v>3.45317612968717</v>
      </c>
      <c r="K117" s="39" t="n">
        <f aca="false">IF(G117="","",MAX(0,G117-J117/100))</f>
        <v>0.667681518381197</v>
      </c>
      <c r="L117" s="39" t="n">
        <f aca="false">IF(G117="","",MIN(1,G117+J117/100))</f>
        <v>0.73674504097494</v>
      </c>
      <c r="M117" s="21" t="n">
        <f aca="false">ROUND(Q117*S117,0)</f>
        <v>30</v>
      </c>
      <c r="N117" s="21" t="n">
        <f aca="false">ROUND(SQRT((F117*J117/100)^2+(G117*M117)^2),0)</f>
        <v>27</v>
      </c>
      <c r="P117" s="41" t="n">
        <v>17.6609937809614</v>
      </c>
      <c r="Q117" s="42" t="n">
        <v>497</v>
      </c>
      <c r="R117" s="43" t="n">
        <f aca="false">MAX(0,MIN(1,P117/100+$D$5))</f>
        <v>0.701828382536578</v>
      </c>
      <c r="S117" s="43" t="n">
        <v>0.0610405690258335</v>
      </c>
      <c r="T117" s="44" t="s">
        <v>90</v>
      </c>
    </row>
    <row r="118" customFormat="false" ht="15" hidden="false" customHeight="false" outlineLevel="0" collapsed="false">
      <c r="A118" s="38" t="s">
        <v>156</v>
      </c>
      <c r="B118" s="38" t="s">
        <v>158</v>
      </c>
      <c r="C118" s="38" t="s">
        <v>215</v>
      </c>
      <c r="D118" s="21" t="n">
        <f aca="false">ROUND(Q118*R118,0)</f>
        <v>157</v>
      </c>
      <c r="E118" s="21" t="n">
        <f aca="false">ROUND(Q118,0)-D118</f>
        <v>61</v>
      </c>
      <c r="F118" s="21" t="n">
        <f aca="false">IF(COUNTA(D118:E118)=0,"",SUM(D118:E118))</f>
        <v>218</v>
      </c>
      <c r="G118" s="39" t="n">
        <f aca="false">IF(OR(F118="",F118=0),"",D118/F118)</f>
        <v>0.720183486238532</v>
      </c>
      <c r="H118" s="39" t="n">
        <f aca="false">IF(OR(F118="",F118=0),"",E118/F118)</f>
        <v>0.279816513761468</v>
      </c>
      <c r="I118" s="38" t="s">
        <v>89</v>
      </c>
      <c r="J118" s="40" t="n">
        <v>3.45317612968717</v>
      </c>
      <c r="K118" s="39" t="n">
        <f aca="false">IF(G118="","",MAX(0,G118-J118/100))</f>
        <v>0.685651724941661</v>
      </c>
      <c r="L118" s="39" t="n">
        <f aca="false">IF(G118="","",MIN(1,G118+J118/100))</f>
        <v>0.754715247535404</v>
      </c>
      <c r="M118" s="21" t="n">
        <f aca="false">ROUND(Q118*S118,0)</f>
        <v>13</v>
      </c>
      <c r="N118" s="21" t="n">
        <f aca="false">ROUND(SQRT((F118*J118/100)^2+(G118*M118)^2),0)</f>
        <v>12</v>
      </c>
      <c r="P118" s="41" t="n">
        <v>19.3028751773343</v>
      </c>
      <c r="Q118" s="42" t="n">
        <v>218</v>
      </c>
      <c r="R118" s="43" t="n">
        <f aca="false">MAX(0,MIN(1,P118/100+$D$5))</f>
        <v>0.718247196500307</v>
      </c>
      <c r="S118" s="43" t="n">
        <v>0.0610405690258335</v>
      </c>
      <c r="T118" s="44" t="s">
        <v>90</v>
      </c>
    </row>
    <row r="119" customFormat="false" ht="15" hidden="false" customHeight="false" outlineLevel="0" collapsed="false">
      <c r="A119" s="38" t="s">
        <v>156</v>
      </c>
      <c r="B119" s="38" t="s">
        <v>158</v>
      </c>
      <c r="C119" s="38" t="s">
        <v>216</v>
      </c>
      <c r="D119" s="21" t="n">
        <f aca="false">ROUND(Q119*R119,0)</f>
        <v>173</v>
      </c>
      <c r="E119" s="21" t="n">
        <f aca="false">ROUND(Q119,0)-D119</f>
        <v>65</v>
      </c>
      <c r="F119" s="21" t="n">
        <f aca="false">IF(COUNTA(D119:E119)=0,"",SUM(D119:E119))</f>
        <v>238</v>
      </c>
      <c r="G119" s="39" t="n">
        <f aca="false">IF(OR(F119="",F119=0),"",D119/F119)</f>
        <v>0.726890756302521</v>
      </c>
      <c r="H119" s="39" t="n">
        <f aca="false">IF(OR(F119="",F119=0),"",E119/F119)</f>
        <v>0.273109243697479</v>
      </c>
      <c r="I119" s="38" t="s">
        <v>89</v>
      </c>
      <c r="J119" s="40" t="n">
        <v>3.45317612968717</v>
      </c>
      <c r="K119" s="39" t="n">
        <f aca="false">IF(G119="","",MAX(0,G119-J119/100))</f>
        <v>0.692358995005649</v>
      </c>
      <c r="L119" s="39" t="n">
        <f aca="false">IF(G119="","",MIN(1,G119+J119/100))</f>
        <v>0.761422517599393</v>
      </c>
      <c r="M119" s="21" t="n">
        <f aca="false">ROUND(Q119*S119,0)</f>
        <v>15</v>
      </c>
      <c r="N119" s="21" t="n">
        <f aca="false">ROUND(SQRT((F119*J119/100)^2+(G119*M119)^2),0)</f>
        <v>14</v>
      </c>
      <c r="P119" s="41" t="n">
        <v>20.0174187657089</v>
      </c>
      <c r="Q119" s="42" t="n">
        <v>238</v>
      </c>
      <c r="R119" s="43" t="n">
        <f aca="false">MAX(0,MIN(1,P119/100+$D$5))</f>
        <v>0.725392632384053</v>
      </c>
      <c r="S119" s="43" t="n">
        <v>0.0610405690258335</v>
      </c>
      <c r="T119" s="44" t="s">
        <v>90</v>
      </c>
    </row>
    <row r="120" customFormat="false" ht="15" hidden="false" customHeight="false" outlineLevel="0" collapsed="false">
      <c r="A120" s="38" t="s">
        <v>156</v>
      </c>
      <c r="B120" s="38" t="s">
        <v>158</v>
      </c>
      <c r="C120" s="38" t="s">
        <v>217</v>
      </c>
      <c r="D120" s="21" t="n">
        <f aca="false">ROUND(Q120*R120,0)</f>
        <v>279</v>
      </c>
      <c r="E120" s="21" t="n">
        <f aca="false">ROUND(Q120,0)-D120</f>
        <v>143</v>
      </c>
      <c r="F120" s="21" t="n">
        <f aca="false">IF(COUNTA(D120:E120)=0,"",SUM(D120:E120))</f>
        <v>422</v>
      </c>
      <c r="G120" s="39" t="n">
        <f aca="false">IF(OR(F120="",F120=0),"",D120/F120)</f>
        <v>0.661137440758294</v>
      </c>
      <c r="H120" s="39" t="n">
        <f aca="false">IF(OR(F120="",F120=0),"",E120/F120)</f>
        <v>0.338862559241706</v>
      </c>
      <c r="I120" s="38" t="s">
        <v>89</v>
      </c>
      <c r="J120" s="40" t="n">
        <v>3.45317612968717</v>
      </c>
      <c r="K120" s="39" t="n">
        <f aca="false">IF(G120="","",MAX(0,G120-J120/100))</f>
        <v>0.626605679461422</v>
      </c>
      <c r="L120" s="39" t="n">
        <f aca="false">IF(G120="","",MIN(1,G120+J120/100))</f>
        <v>0.695669202055166</v>
      </c>
      <c r="M120" s="21" t="n">
        <f aca="false">ROUND(Q120*S120,0)</f>
        <v>26</v>
      </c>
      <c r="N120" s="21" t="n">
        <f aca="false">ROUND(SQRT((F120*J120/100)^2+(G120*M120)^2),0)</f>
        <v>23</v>
      </c>
      <c r="P120" s="41" t="n">
        <v>13.6810631974728</v>
      </c>
      <c r="Q120" s="42" t="n">
        <v>422</v>
      </c>
      <c r="R120" s="43" t="n">
        <f aca="false">MAX(0,MIN(1,P120/100+$D$5))</f>
        <v>0.662029076701692</v>
      </c>
      <c r="S120" s="43" t="n">
        <v>0.0610405690258335</v>
      </c>
      <c r="T120" s="44" t="s">
        <v>90</v>
      </c>
    </row>
    <row r="121" customFormat="false" ht="15" hidden="false" customHeight="false" outlineLevel="0" collapsed="false">
      <c r="A121" s="38" t="s">
        <v>156</v>
      </c>
      <c r="B121" s="38" t="s">
        <v>158</v>
      </c>
      <c r="C121" s="38" t="s">
        <v>218</v>
      </c>
      <c r="D121" s="21" t="n">
        <f aca="false">ROUND(Q121*R121,0)</f>
        <v>224</v>
      </c>
      <c r="E121" s="21" t="n">
        <f aca="false">ROUND(Q121,0)-D121</f>
        <v>77</v>
      </c>
      <c r="F121" s="21" t="n">
        <f aca="false">IF(COUNTA(D121:E121)=0,"",SUM(D121:E121))</f>
        <v>301</v>
      </c>
      <c r="G121" s="39" t="n">
        <f aca="false">IF(OR(F121="",F121=0),"",D121/F121)</f>
        <v>0.744186046511628</v>
      </c>
      <c r="H121" s="39" t="n">
        <f aca="false">IF(OR(F121="",F121=0),"",E121/F121)</f>
        <v>0.255813953488372</v>
      </c>
      <c r="I121" s="38" t="s">
        <v>89</v>
      </c>
      <c r="J121" s="40" t="n">
        <v>3.45317612968717</v>
      </c>
      <c r="K121" s="39" t="n">
        <f aca="false">IF(G121="","",MAX(0,G121-J121/100))</f>
        <v>0.709654285214756</v>
      </c>
      <c r="L121" s="39" t="n">
        <f aca="false">IF(G121="","",MIN(1,G121+J121/100))</f>
        <v>0.7787178078085</v>
      </c>
      <c r="M121" s="21" t="n">
        <f aca="false">ROUND(Q121*S121,0)</f>
        <v>18</v>
      </c>
      <c r="N121" s="21" t="n">
        <f aca="false">ROUND(SQRT((F121*J121/100)^2+(G121*M121)^2),0)</f>
        <v>17</v>
      </c>
      <c r="P121" s="41" t="n">
        <v>21.9337778325665</v>
      </c>
      <c r="Q121" s="42" t="n">
        <v>301</v>
      </c>
      <c r="R121" s="43" t="n">
        <f aca="false">MAX(0,MIN(1,P121/100+$D$5))</f>
        <v>0.74455622305263</v>
      </c>
      <c r="S121" s="43" t="n">
        <v>0.0610405690258335</v>
      </c>
      <c r="T121" s="44" t="s">
        <v>90</v>
      </c>
    </row>
    <row r="122" customFormat="false" ht="15" hidden="false" customHeight="false" outlineLevel="0" collapsed="false">
      <c r="A122" s="38" t="s">
        <v>156</v>
      </c>
      <c r="B122" s="38" t="s">
        <v>219</v>
      </c>
      <c r="C122" s="38" t="s">
        <v>220</v>
      </c>
      <c r="D122" s="21" t="n">
        <f aca="false">ROUND(Q122*R122,0)</f>
        <v>470</v>
      </c>
      <c r="E122" s="21" t="n">
        <f aca="false">ROUND(Q122,0)-D122</f>
        <v>162</v>
      </c>
      <c r="F122" s="21" t="n">
        <f aca="false">IF(COUNTA(D122:E122)=0,"",SUM(D122:E122))</f>
        <v>632</v>
      </c>
      <c r="G122" s="39" t="n">
        <f aca="false">IF(OR(F122="",F122=0),"",D122/F122)</f>
        <v>0.743670886075949</v>
      </c>
      <c r="H122" s="39" t="n">
        <f aca="false">IF(OR(F122="",F122=0),"",E122/F122)</f>
        <v>0.256329113924051</v>
      </c>
      <c r="I122" s="38" t="s">
        <v>89</v>
      </c>
      <c r="J122" s="40" t="n">
        <v>3.45317612968717</v>
      </c>
      <c r="K122" s="39" t="n">
        <f aca="false">IF(G122="","",MAX(0,G122-J122/100))</f>
        <v>0.709139124779078</v>
      </c>
      <c r="L122" s="39" t="n">
        <f aca="false">IF(G122="","",MIN(1,G122+J122/100))</f>
        <v>0.778202647372821</v>
      </c>
      <c r="M122" s="21" t="n">
        <f aca="false">ROUND(Q122*S122,0)</f>
        <v>39</v>
      </c>
      <c r="N122" s="21" t="n">
        <f aca="false">ROUND(SQRT((F122*J122/100)^2+(G122*M122)^2),0)</f>
        <v>36</v>
      </c>
      <c r="P122" s="41" t="n">
        <v>21.8083860416209</v>
      </c>
      <c r="Q122" s="42" t="n">
        <v>632</v>
      </c>
      <c r="R122" s="43" t="n">
        <f aca="false">MAX(0,MIN(1,P122/100+$D$5))</f>
        <v>0.743302305143174</v>
      </c>
      <c r="S122" s="43" t="n">
        <v>0.0610405690258335</v>
      </c>
      <c r="T122" s="44" t="s">
        <v>90</v>
      </c>
    </row>
    <row r="123" customFormat="false" ht="15" hidden="false" customHeight="false" outlineLevel="0" collapsed="false">
      <c r="A123" s="38" t="s">
        <v>156</v>
      </c>
      <c r="B123" s="38" t="s">
        <v>219</v>
      </c>
      <c r="C123" s="38" t="s">
        <v>221</v>
      </c>
      <c r="D123" s="21" t="n">
        <f aca="false">ROUND(Q123*R123,0)</f>
        <v>329</v>
      </c>
      <c r="E123" s="21" t="n">
        <f aca="false">ROUND(Q123,0)-D123</f>
        <v>133</v>
      </c>
      <c r="F123" s="21" t="n">
        <f aca="false">IF(COUNTA(D123:E123)=0,"",SUM(D123:E123))</f>
        <v>462</v>
      </c>
      <c r="G123" s="39" t="n">
        <f aca="false">IF(OR(F123="",F123=0),"",D123/F123)</f>
        <v>0.712121212121212</v>
      </c>
      <c r="H123" s="39" t="n">
        <f aca="false">IF(OR(F123="",F123=0),"",E123/F123)</f>
        <v>0.287878787878788</v>
      </c>
      <c r="I123" s="38" t="s">
        <v>89</v>
      </c>
      <c r="J123" s="40" t="n">
        <v>3.45317612968717</v>
      </c>
      <c r="K123" s="39" t="n">
        <f aca="false">IF(G123="","",MAX(0,G123-J123/100))</f>
        <v>0.677589450824341</v>
      </c>
      <c r="L123" s="39" t="n">
        <f aca="false">IF(G123="","",MIN(1,G123+J123/100))</f>
        <v>0.746652973418084</v>
      </c>
      <c r="M123" s="21" t="n">
        <f aca="false">ROUND(Q123*S123,0)</f>
        <v>28</v>
      </c>
      <c r="N123" s="21" t="n">
        <f aca="false">ROUND(SQRT((F123*J123/100)^2+(G123*M123)^2),0)</f>
        <v>26</v>
      </c>
      <c r="P123" s="41" t="n">
        <v>18.7885818562367</v>
      </c>
      <c r="Q123" s="42" t="n">
        <v>462</v>
      </c>
      <c r="R123" s="43" t="n">
        <f aca="false">MAX(0,MIN(1,P123/100+$D$5))</f>
        <v>0.713104263289332</v>
      </c>
      <c r="S123" s="43" t="n">
        <v>0.0610405690258335</v>
      </c>
      <c r="T123" s="44" t="s">
        <v>90</v>
      </c>
    </row>
    <row r="124" customFormat="false" ht="15" hidden="false" customHeight="false" outlineLevel="0" collapsed="false">
      <c r="A124" s="38" t="s">
        <v>156</v>
      </c>
      <c r="B124" s="38" t="s">
        <v>219</v>
      </c>
      <c r="C124" s="38" t="s">
        <v>222</v>
      </c>
      <c r="D124" s="21" t="n">
        <f aca="false">ROUND(Q124*R124,0)</f>
        <v>367</v>
      </c>
      <c r="E124" s="21" t="n">
        <f aca="false">ROUND(Q124,0)-D124</f>
        <v>123</v>
      </c>
      <c r="F124" s="21" t="n">
        <f aca="false">IF(COUNTA(D124:E124)=0,"",SUM(D124:E124))</f>
        <v>490</v>
      </c>
      <c r="G124" s="39" t="n">
        <f aca="false">IF(OR(F124="",F124=0),"",D124/F124)</f>
        <v>0.748979591836735</v>
      </c>
      <c r="H124" s="39" t="n">
        <f aca="false">IF(OR(F124="",F124=0),"",E124/F124)</f>
        <v>0.251020408163265</v>
      </c>
      <c r="I124" s="38" t="s">
        <v>89</v>
      </c>
      <c r="J124" s="40" t="n">
        <v>3.45317612968717</v>
      </c>
      <c r="K124" s="39" t="n">
        <f aca="false">IF(G124="","",MAX(0,G124-J124/100))</f>
        <v>0.714447830539863</v>
      </c>
      <c r="L124" s="39" t="n">
        <f aca="false">IF(G124="","",MIN(1,G124+J124/100))</f>
        <v>0.783511353133606</v>
      </c>
      <c r="M124" s="21" t="n">
        <f aca="false">ROUND(Q124*S124,0)</f>
        <v>30</v>
      </c>
      <c r="N124" s="21" t="n">
        <f aca="false">ROUND(SQRT((F124*J124/100)^2+(G124*M124)^2),0)</f>
        <v>28</v>
      </c>
      <c r="P124" s="41" t="n">
        <v>22.3875895027015</v>
      </c>
      <c r="Q124" s="42" t="n">
        <v>490</v>
      </c>
      <c r="R124" s="43" t="n">
        <f aca="false">MAX(0,MIN(1,P124/100+$D$5))</f>
        <v>0.74909433975398</v>
      </c>
      <c r="S124" s="43" t="n">
        <v>0.0610405690258335</v>
      </c>
      <c r="T124" s="44" t="s">
        <v>90</v>
      </c>
    </row>
    <row r="125" customFormat="false" ht="15" hidden="false" customHeight="false" outlineLevel="0" collapsed="false">
      <c r="A125" s="38" t="s">
        <v>156</v>
      </c>
      <c r="B125" s="38" t="s">
        <v>219</v>
      </c>
      <c r="C125" s="38" t="s">
        <v>223</v>
      </c>
      <c r="D125" s="21" t="n">
        <f aca="false">ROUND(Q125*R125,0)</f>
        <v>423</v>
      </c>
      <c r="E125" s="21" t="n">
        <f aca="false">ROUND(Q125,0)-D125</f>
        <v>158</v>
      </c>
      <c r="F125" s="21" t="n">
        <f aca="false">IF(COUNTA(D125:E125)=0,"",SUM(D125:E125))</f>
        <v>581</v>
      </c>
      <c r="G125" s="39" t="n">
        <f aca="false">IF(OR(F125="",F125=0),"",D125/F125)</f>
        <v>0.728055077452668</v>
      </c>
      <c r="H125" s="39" t="n">
        <f aca="false">IF(OR(F125="",F125=0),"",E125/F125)</f>
        <v>0.271944922547332</v>
      </c>
      <c r="I125" s="38" t="s">
        <v>89</v>
      </c>
      <c r="J125" s="40" t="n">
        <v>3.45317612968717</v>
      </c>
      <c r="K125" s="39" t="n">
        <f aca="false">IF(G125="","",MAX(0,G125-J125/100))</f>
        <v>0.693523316155796</v>
      </c>
      <c r="L125" s="39" t="n">
        <f aca="false">IF(G125="","",MIN(1,G125+J125/100))</f>
        <v>0.76258683874954</v>
      </c>
      <c r="M125" s="21" t="n">
        <f aca="false">ROUND(Q125*S125,0)</f>
        <v>35</v>
      </c>
      <c r="N125" s="21" t="n">
        <f aca="false">ROUND(SQRT((F125*J125/100)^2+(G125*M125)^2),0)</f>
        <v>32</v>
      </c>
      <c r="P125" s="41" t="n">
        <v>20.2250879898058</v>
      </c>
      <c r="Q125" s="42" t="n">
        <v>581</v>
      </c>
      <c r="R125" s="43" t="n">
        <f aca="false">MAX(0,MIN(1,P125/100+$D$5))</f>
        <v>0.727469324625023</v>
      </c>
      <c r="S125" s="43" t="n">
        <v>0.0610405690258335</v>
      </c>
      <c r="T125" s="44" t="s">
        <v>90</v>
      </c>
    </row>
    <row r="126" customFormat="false" ht="15" hidden="false" customHeight="false" outlineLevel="0" collapsed="false">
      <c r="A126" s="38" t="s">
        <v>156</v>
      </c>
      <c r="B126" s="38" t="s">
        <v>219</v>
      </c>
      <c r="C126" s="38" t="s">
        <v>224</v>
      </c>
      <c r="D126" s="21" t="n">
        <f aca="false">ROUND(Q126*R126,0)</f>
        <v>596</v>
      </c>
      <c r="E126" s="21" t="n">
        <f aca="false">ROUND(Q126,0)-D126</f>
        <v>268</v>
      </c>
      <c r="F126" s="21" t="n">
        <f aca="false">IF(COUNTA(D126:E126)=0,"",SUM(D126:E126))</f>
        <v>864</v>
      </c>
      <c r="G126" s="39" t="n">
        <f aca="false">IF(OR(F126="",F126=0),"",D126/F126)</f>
        <v>0.689814814814815</v>
      </c>
      <c r="H126" s="39" t="n">
        <f aca="false">IF(OR(F126="",F126=0),"",E126/F126)</f>
        <v>0.310185185185185</v>
      </c>
      <c r="I126" s="38" t="s">
        <v>89</v>
      </c>
      <c r="J126" s="40" t="n">
        <v>2.05025038892674</v>
      </c>
      <c r="K126" s="39" t="n">
        <f aca="false">IF(G126="","",MAX(0,G126-J126/100))</f>
        <v>0.669312310925547</v>
      </c>
      <c r="L126" s="39" t="n">
        <f aca="false">IF(G126="","",MIN(1,G126+J126/100))</f>
        <v>0.710317318704082</v>
      </c>
      <c r="M126" s="21" t="n">
        <f aca="false">ROUND(Q126*S126,0)</f>
        <v>43</v>
      </c>
      <c r="N126" s="21" t="n">
        <f aca="false">ROUND(SQRT((F126*J126/100)^2+(G126*M126)^2),0)</f>
        <v>35</v>
      </c>
      <c r="P126" s="41" t="n">
        <v>16.4599244503731</v>
      </c>
      <c r="Q126" s="42" t="n">
        <v>864</v>
      </c>
      <c r="R126" s="43" t="n">
        <f aca="false">MAX(0,MIN(1,P126/100+$D$5))</f>
        <v>0.689817689230695</v>
      </c>
      <c r="S126" s="43" t="n">
        <v>0.0500321312575726</v>
      </c>
      <c r="T126" s="44" t="s">
        <v>99</v>
      </c>
    </row>
    <row r="127" customFormat="false" ht="15" hidden="false" customHeight="false" outlineLevel="0" collapsed="false">
      <c r="A127" s="38" t="s">
        <v>156</v>
      </c>
      <c r="B127" s="38" t="s">
        <v>219</v>
      </c>
      <c r="C127" s="38" t="s">
        <v>225</v>
      </c>
      <c r="D127" s="21" t="n">
        <f aca="false">ROUND(Q127*R127,0)</f>
        <v>410</v>
      </c>
      <c r="E127" s="21" t="n">
        <f aca="false">ROUND(Q127,0)-D127</f>
        <v>210</v>
      </c>
      <c r="F127" s="21" t="n">
        <f aca="false">IF(COUNTA(D127:E127)=0,"",SUM(D127:E127))</f>
        <v>620</v>
      </c>
      <c r="G127" s="39" t="n">
        <f aca="false">IF(OR(F127="",F127=0),"",D127/F127)</f>
        <v>0.661290322580645</v>
      </c>
      <c r="H127" s="39" t="n">
        <f aca="false">IF(OR(F127="",F127=0),"",E127/F127)</f>
        <v>0.338709677419355</v>
      </c>
      <c r="I127" s="38" t="s">
        <v>89</v>
      </c>
      <c r="J127" s="40" t="n">
        <v>3.45317612968717</v>
      </c>
      <c r="K127" s="39" t="n">
        <f aca="false">IF(G127="","",MAX(0,G127-J127/100))</f>
        <v>0.626758561283774</v>
      </c>
      <c r="L127" s="39" t="n">
        <f aca="false">IF(G127="","",MIN(1,G127+J127/100))</f>
        <v>0.695822083877517</v>
      </c>
      <c r="M127" s="21" t="n">
        <f aca="false">ROUND(Q127*S127,0)</f>
        <v>38</v>
      </c>
      <c r="N127" s="21" t="n">
        <f aca="false">ROUND(SQRT((F127*J127/100)^2+(G127*M127)^2),0)</f>
        <v>33</v>
      </c>
      <c r="P127" s="41" t="n">
        <v>13.5705240496529</v>
      </c>
      <c r="Q127" s="42" t="n">
        <v>620</v>
      </c>
      <c r="R127" s="43" t="n">
        <f aca="false">MAX(0,MIN(1,P127/100+$D$5))</f>
        <v>0.660923685223494</v>
      </c>
      <c r="S127" s="43" t="n">
        <v>0.0610405690258335</v>
      </c>
      <c r="T127" s="44" t="s">
        <v>90</v>
      </c>
    </row>
    <row r="128" customFormat="false" ht="15" hidden="false" customHeight="false" outlineLevel="0" collapsed="false">
      <c r="A128" s="38" t="s">
        <v>156</v>
      </c>
      <c r="B128" s="38" t="s">
        <v>219</v>
      </c>
      <c r="C128" s="38" t="s">
        <v>226</v>
      </c>
      <c r="D128" s="21" t="n">
        <f aca="false">ROUND(Q128*R128,0)</f>
        <v>481</v>
      </c>
      <c r="E128" s="21" t="n">
        <f aca="false">ROUND(Q128,0)-D128</f>
        <v>267</v>
      </c>
      <c r="F128" s="21" t="n">
        <f aca="false">IF(COUNTA(D128:E128)=0,"",SUM(D128:E128))</f>
        <v>748</v>
      </c>
      <c r="G128" s="39" t="n">
        <f aca="false">IF(OR(F128="",F128=0),"",D128/F128)</f>
        <v>0.643048128342246</v>
      </c>
      <c r="H128" s="39" t="n">
        <f aca="false">IF(OR(F128="",F128=0),"",E128/F128)</f>
        <v>0.356951871657754</v>
      </c>
      <c r="I128" s="38" t="s">
        <v>89</v>
      </c>
      <c r="J128" s="40" t="n">
        <v>3.45317612968717</v>
      </c>
      <c r="K128" s="39" t="n">
        <f aca="false">IF(G128="","",MAX(0,G128-J128/100))</f>
        <v>0.608516367045374</v>
      </c>
      <c r="L128" s="39" t="n">
        <f aca="false">IF(G128="","",MIN(1,G128+J128/100))</f>
        <v>0.677579889639118</v>
      </c>
      <c r="M128" s="21" t="n">
        <f aca="false">ROUND(Q128*S128,0)</f>
        <v>46</v>
      </c>
      <c r="N128" s="21" t="n">
        <f aca="false">ROUND(SQRT((F128*J128/100)^2+(G128*M128)^2),0)</f>
        <v>39</v>
      </c>
      <c r="P128" s="41" t="n">
        <v>11.780828330569</v>
      </c>
      <c r="Q128" s="42" t="n">
        <v>748</v>
      </c>
      <c r="R128" s="43" t="n">
        <f aca="false">MAX(0,MIN(1,P128/100+$D$5))</f>
        <v>0.643026728032654</v>
      </c>
      <c r="S128" s="43" t="n">
        <v>0.0610405690258335</v>
      </c>
      <c r="T128" s="44" t="s">
        <v>90</v>
      </c>
    </row>
    <row r="129" customFormat="false" ht="15" hidden="false" customHeight="false" outlineLevel="0" collapsed="false">
      <c r="A129" s="38" t="s">
        <v>156</v>
      </c>
      <c r="B129" s="38" t="s">
        <v>219</v>
      </c>
      <c r="C129" s="38" t="s">
        <v>227</v>
      </c>
      <c r="D129" s="21" t="n">
        <f aca="false">ROUND(Q129*R129,0)</f>
        <v>599</v>
      </c>
      <c r="E129" s="21" t="n">
        <f aca="false">ROUND(Q129,0)-D129</f>
        <v>319</v>
      </c>
      <c r="F129" s="21" t="n">
        <f aca="false">IF(COUNTA(D129:E129)=0,"",SUM(D129:E129))</f>
        <v>918</v>
      </c>
      <c r="G129" s="39" t="n">
        <f aca="false">IF(OR(F129="",F129=0),"",D129/F129)</f>
        <v>0.652505446623094</v>
      </c>
      <c r="H129" s="39" t="n">
        <f aca="false">IF(OR(F129="",F129=0),"",E129/F129)</f>
        <v>0.347494553376906</v>
      </c>
      <c r="I129" s="38" t="s">
        <v>89</v>
      </c>
      <c r="J129" s="40" t="n">
        <v>2.05025038892674</v>
      </c>
      <c r="K129" s="39" t="n">
        <f aca="false">IF(G129="","",MAX(0,G129-J129/100))</f>
        <v>0.632002942733826</v>
      </c>
      <c r="L129" s="39" t="n">
        <f aca="false">IF(G129="","",MIN(1,G129+J129/100))</f>
        <v>0.673007950512361</v>
      </c>
      <c r="M129" s="21" t="n">
        <f aca="false">ROUND(Q129*S129,0)</f>
        <v>46</v>
      </c>
      <c r="N129" s="21" t="n">
        <f aca="false">ROUND(SQRT((F129*J129/100)^2+(G129*M129)^2),0)</f>
        <v>35</v>
      </c>
      <c r="P129" s="41" t="n">
        <v>12.6867085305306</v>
      </c>
      <c r="Q129" s="42" t="n">
        <v>918</v>
      </c>
      <c r="R129" s="43" t="n">
        <f aca="false">MAX(0,MIN(1,P129/100+$D$5))</f>
        <v>0.652085530032271</v>
      </c>
      <c r="S129" s="43" t="n">
        <v>0.0500321312575726</v>
      </c>
      <c r="T129" s="44" t="s">
        <v>99</v>
      </c>
    </row>
    <row r="130" customFormat="false" ht="15" hidden="false" customHeight="false" outlineLevel="0" collapsed="false">
      <c r="A130" s="38" t="s">
        <v>156</v>
      </c>
      <c r="B130" s="38" t="s">
        <v>219</v>
      </c>
      <c r="C130" s="38" t="s">
        <v>228</v>
      </c>
      <c r="D130" s="21" t="n">
        <f aca="false">ROUND(Q130*R130,0)</f>
        <v>428</v>
      </c>
      <c r="E130" s="21" t="n">
        <f aca="false">ROUND(Q130,0)-D130</f>
        <v>225</v>
      </c>
      <c r="F130" s="21" t="n">
        <f aca="false">IF(COUNTA(D130:E130)=0,"",SUM(D130:E130))</f>
        <v>653</v>
      </c>
      <c r="G130" s="39" t="n">
        <f aca="false">IF(OR(F130="",F130=0),"",D130/F130)</f>
        <v>0.655436447166922</v>
      </c>
      <c r="H130" s="39" t="n">
        <f aca="false">IF(OR(F130="",F130=0),"",E130/F130)</f>
        <v>0.344563552833078</v>
      </c>
      <c r="I130" s="38" t="s">
        <v>89</v>
      </c>
      <c r="J130" s="40" t="n">
        <v>3.45317612968717</v>
      </c>
      <c r="K130" s="39" t="n">
        <f aca="false">IF(G130="","",MAX(0,G130-J130/100))</f>
        <v>0.62090468587005</v>
      </c>
      <c r="L130" s="39" t="n">
        <f aca="false">IF(G130="","",MIN(1,G130+J130/100))</f>
        <v>0.689968208463794</v>
      </c>
      <c r="M130" s="21" t="n">
        <f aca="false">ROUND(Q130*S130,0)</f>
        <v>40</v>
      </c>
      <c r="N130" s="21" t="n">
        <f aca="false">ROUND(SQRT((F130*J130/100)^2+(G130*M130)^2),0)</f>
        <v>35</v>
      </c>
      <c r="P130" s="41" t="n">
        <v>13.0712049596765</v>
      </c>
      <c r="Q130" s="42" t="n">
        <v>653</v>
      </c>
      <c r="R130" s="43" t="n">
        <f aca="false">MAX(0,MIN(1,P130/100+$D$5))</f>
        <v>0.655930494323729</v>
      </c>
      <c r="S130" s="43" t="n">
        <v>0.0610405690258335</v>
      </c>
      <c r="T130" s="44" t="s">
        <v>90</v>
      </c>
    </row>
    <row r="131" customFormat="false" ht="15" hidden="false" customHeight="false" outlineLevel="0" collapsed="false">
      <c r="A131" s="38" t="s">
        <v>156</v>
      </c>
      <c r="B131" s="38" t="s">
        <v>219</v>
      </c>
      <c r="C131" s="38" t="s">
        <v>229</v>
      </c>
      <c r="D131" s="21" t="n">
        <f aca="false">ROUND(Q131*R131,0)</f>
        <v>361</v>
      </c>
      <c r="E131" s="21" t="n">
        <f aca="false">ROUND(Q131,0)-D131</f>
        <v>226</v>
      </c>
      <c r="F131" s="21" t="n">
        <f aca="false">IF(COUNTA(D131:E131)=0,"",SUM(D131:E131))</f>
        <v>587</v>
      </c>
      <c r="G131" s="39" t="n">
        <f aca="false">IF(OR(F131="",F131=0),"",D131/F131)</f>
        <v>0.614991482112436</v>
      </c>
      <c r="H131" s="39" t="n">
        <f aca="false">IF(OR(F131="",F131=0),"",E131/F131)</f>
        <v>0.385008517887564</v>
      </c>
      <c r="I131" s="38" t="s">
        <v>89</v>
      </c>
      <c r="J131" s="40" t="n">
        <v>3.45317612968717</v>
      </c>
      <c r="K131" s="39" t="n">
        <f aca="false">IF(G131="","",MAX(0,G131-J131/100))</f>
        <v>0.580459720815565</v>
      </c>
      <c r="L131" s="39" t="n">
        <f aca="false">IF(G131="","",MIN(1,G131+J131/100))</f>
        <v>0.649523243409308</v>
      </c>
      <c r="M131" s="21" t="n">
        <f aca="false">ROUND(Q131*S131,0)</f>
        <v>36</v>
      </c>
      <c r="N131" s="21" t="n">
        <f aca="false">ROUND(SQRT((F131*J131/100)^2+(G131*M131)^2),0)</f>
        <v>30</v>
      </c>
      <c r="P131" s="41" t="n">
        <v>8.90555605235505</v>
      </c>
      <c r="Q131" s="42" t="n">
        <v>587</v>
      </c>
      <c r="R131" s="43" t="n">
        <f aca="false">MAX(0,MIN(1,P131/100+$D$5))</f>
        <v>0.614274005250515</v>
      </c>
      <c r="S131" s="43" t="n">
        <v>0.0610405690258335</v>
      </c>
      <c r="T131" s="44" t="s">
        <v>90</v>
      </c>
    </row>
    <row r="132" customFormat="false" ht="15" hidden="false" customHeight="false" outlineLevel="0" collapsed="false">
      <c r="A132" s="38" t="s">
        <v>156</v>
      </c>
      <c r="B132" s="38" t="s">
        <v>219</v>
      </c>
      <c r="C132" s="38" t="s">
        <v>230</v>
      </c>
      <c r="D132" s="21" t="n">
        <f aca="false">ROUND(Q132*R132,0)</f>
        <v>428</v>
      </c>
      <c r="E132" s="21" t="n">
        <f aca="false">ROUND(Q132,0)-D132</f>
        <v>212</v>
      </c>
      <c r="F132" s="21" t="n">
        <f aca="false">IF(COUNTA(D132:E132)=0,"",SUM(D132:E132))</f>
        <v>640</v>
      </c>
      <c r="G132" s="39" t="n">
        <f aca="false">IF(OR(F132="",F132=0),"",D132/F132)</f>
        <v>0.66875</v>
      </c>
      <c r="H132" s="39" t="n">
        <f aca="false">IF(OR(F132="",F132=0),"",E132/F132)</f>
        <v>0.33125</v>
      </c>
      <c r="I132" s="38" t="s">
        <v>89</v>
      </c>
      <c r="J132" s="40" t="n">
        <v>3.45317612968717</v>
      </c>
      <c r="K132" s="39" t="n">
        <f aca="false">IF(G132="","",MAX(0,G132-J132/100))</f>
        <v>0.634218238703128</v>
      </c>
      <c r="L132" s="39" t="n">
        <f aca="false">IF(G132="","",MIN(1,G132+J132/100))</f>
        <v>0.703281761296872</v>
      </c>
      <c r="M132" s="21" t="n">
        <f aca="false">ROUND(Q132*S132,0)</f>
        <v>39</v>
      </c>
      <c r="N132" s="21" t="n">
        <f aca="false">ROUND(SQRT((F132*J132/100)^2+(G132*M132)^2),0)</f>
        <v>34</v>
      </c>
      <c r="P132" s="41" t="n">
        <v>14.4123846690741</v>
      </c>
      <c r="Q132" s="42" t="n">
        <v>640</v>
      </c>
      <c r="R132" s="43" t="n">
        <f aca="false">MAX(0,MIN(1,P132/100+$D$5))</f>
        <v>0.669342291417705</v>
      </c>
      <c r="S132" s="43" t="n">
        <v>0.0610405690258335</v>
      </c>
      <c r="T132" s="44" t="s">
        <v>90</v>
      </c>
    </row>
    <row r="133" customFormat="false" ht="15" hidden="false" customHeight="false" outlineLevel="0" collapsed="false">
      <c r="A133" s="38" t="s">
        <v>156</v>
      </c>
      <c r="B133" s="38" t="s">
        <v>219</v>
      </c>
      <c r="C133" s="38" t="s">
        <v>231</v>
      </c>
      <c r="D133" s="21" t="n">
        <f aca="false">ROUND(Q133*R133,0)</f>
        <v>451</v>
      </c>
      <c r="E133" s="21" t="n">
        <f aca="false">ROUND(Q133,0)-D133</f>
        <v>245</v>
      </c>
      <c r="F133" s="21" t="n">
        <f aca="false">IF(COUNTA(D133:E133)=0,"",SUM(D133:E133))</f>
        <v>696</v>
      </c>
      <c r="G133" s="39" t="n">
        <f aca="false">IF(OR(F133="",F133=0),"",D133/F133)</f>
        <v>0.647988505747126</v>
      </c>
      <c r="H133" s="39" t="n">
        <f aca="false">IF(OR(F133="",F133=0),"",E133/F133)</f>
        <v>0.352011494252874</v>
      </c>
      <c r="I133" s="38" t="s">
        <v>89</v>
      </c>
      <c r="J133" s="40" t="n">
        <v>3.45317612968717</v>
      </c>
      <c r="K133" s="39" t="n">
        <f aca="false">IF(G133="","",MAX(0,G133-J133/100))</f>
        <v>0.613456744450255</v>
      </c>
      <c r="L133" s="39" t="n">
        <f aca="false">IF(G133="","",MIN(1,G133+J133/100))</f>
        <v>0.682520267043998</v>
      </c>
      <c r="M133" s="21" t="n">
        <f aca="false">ROUND(Q133*S133,0)</f>
        <v>42</v>
      </c>
      <c r="N133" s="21" t="n">
        <f aca="false">ROUND(SQRT((F133*J133/100)^2+(G133*M133)^2),0)</f>
        <v>36</v>
      </c>
      <c r="P133" s="41" t="n">
        <v>12.2266970343131</v>
      </c>
      <c r="Q133" s="42" t="n">
        <v>696</v>
      </c>
      <c r="R133" s="43" t="n">
        <f aca="false">MAX(0,MIN(1,P133/100+$D$5))</f>
        <v>0.647485415070096</v>
      </c>
      <c r="S133" s="43" t="n">
        <v>0.0610405690258335</v>
      </c>
      <c r="T133" s="44" t="s">
        <v>90</v>
      </c>
    </row>
    <row r="134" customFormat="false" ht="15" hidden="false" customHeight="false" outlineLevel="0" collapsed="false">
      <c r="A134" s="38" t="s">
        <v>156</v>
      </c>
      <c r="B134" s="38" t="s">
        <v>232</v>
      </c>
      <c r="C134" s="38" t="s">
        <v>233</v>
      </c>
      <c r="D134" s="21" t="n">
        <f aca="false">ROUND(Q134*R134,0)</f>
        <v>402</v>
      </c>
      <c r="E134" s="21" t="n">
        <f aca="false">ROUND(Q134,0)-D134</f>
        <v>271</v>
      </c>
      <c r="F134" s="21" t="n">
        <f aca="false">IF(COUNTA(D134:E134)=0,"",SUM(D134:E134))</f>
        <v>673</v>
      </c>
      <c r="G134" s="39" t="n">
        <f aca="false">IF(OR(F134="",F134=0),"",D134/F134)</f>
        <v>0.597325408618128</v>
      </c>
      <c r="H134" s="39" t="n">
        <f aca="false">IF(OR(F134="",F134=0),"",E134/F134)</f>
        <v>0.402674591381872</v>
      </c>
      <c r="I134" s="38" t="s">
        <v>89</v>
      </c>
      <c r="J134" s="40" t="n">
        <v>3.45317612968717</v>
      </c>
      <c r="K134" s="39" t="n">
        <f aca="false">IF(G134="","",MAX(0,G134-J134/100))</f>
        <v>0.562793647321256</v>
      </c>
      <c r="L134" s="39" t="n">
        <f aca="false">IF(G134="","",MIN(1,G134+J134/100))</f>
        <v>0.631857169914999</v>
      </c>
      <c r="M134" s="21" t="n">
        <f aca="false">ROUND(Q134*S134,0)</f>
        <v>41</v>
      </c>
      <c r="N134" s="21" t="n">
        <f aca="false">ROUND(SQRT((F134*J134/100)^2+(G134*M134)^2),0)</f>
        <v>34</v>
      </c>
      <c r="P134" s="41" t="n">
        <v>7.20267883113274</v>
      </c>
      <c r="Q134" s="42" t="n">
        <v>673</v>
      </c>
      <c r="R134" s="43" t="n">
        <f aca="false">MAX(0,MIN(1,P134/100+$D$5))</f>
        <v>0.597245233038292</v>
      </c>
      <c r="S134" s="43" t="n">
        <v>0.0610405690258335</v>
      </c>
      <c r="T134" s="44" t="s">
        <v>90</v>
      </c>
    </row>
    <row r="135" customFormat="false" ht="15" hidden="false" customHeight="false" outlineLevel="0" collapsed="false">
      <c r="A135" s="38" t="s">
        <v>156</v>
      </c>
      <c r="B135" s="38" t="s">
        <v>232</v>
      </c>
      <c r="C135" s="38" t="s">
        <v>234</v>
      </c>
      <c r="D135" s="21" t="n">
        <f aca="false">ROUND(Q135*R135,0)</f>
        <v>356</v>
      </c>
      <c r="E135" s="21" t="n">
        <f aca="false">ROUND(Q135,0)-D135</f>
        <v>311</v>
      </c>
      <c r="F135" s="21" t="n">
        <f aca="false">IF(COUNTA(D135:E135)=0,"",SUM(D135:E135))</f>
        <v>667</v>
      </c>
      <c r="G135" s="39" t="n">
        <f aca="false">IF(OR(F135="",F135=0),"",D135/F135)</f>
        <v>0.533733133433283</v>
      </c>
      <c r="H135" s="39" t="n">
        <f aca="false">IF(OR(F135="",F135=0),"",E135/F135)</f>
        <v>0.466266866566717</v>
      </c>
      <c r="I135" s="38" t="s">
        <v>89</v>
      </c>
      <c r="J135" s="40" t="n">
        <v>3.45317612968717</v>
      </c>
      <c r="K135" s="39" t="n">
        <f aca="false">IF(G135="","",MAX(0,G135-J135/100))</f>
        <v>0.499201372136412</v>
      </c>
      <c r="L135" s="39" t="n">
        <f aca="false">IF(G135="","",MIN(1,G135+J135/100))</f>
        <v>0.568264894730155</v>
      </c>
      <c r="M135" s="21" t="n">
        <f aca="false">ROUND(Q135*S135,0)</f>
        <v>41</v>
      </c>
      <c r="N135" s="21" t="n">
        <f aca="false">ROUND(SQRT((F135*J135/100)^2+(G135*M135)^2),0)</f>
        <v>32</v>
      </c>
      <c r="P135" s="41" t="n">
        <v>0.896313669580405</v>
      </c>
      <c r="Q135" s="42" t="n">
        <v>667</v>
      </c>
      <c r="R135" s="43" t="n">
        <f aca="false">MAX(0,MIN(1,P135/100+$D$5))</f>
        <v>0.534181581422769</v>
      </c>
      <c r="S135" s="43" t="n">
        <v>0.0610405690258335</v>
      </c>
      <c r="T135" s="44" t="s">
        <v>90</v>
      </c>
    </row>
    <row r="136" customFormat="false" ht="15" hidden="false" customHeight="false" outlineLevel="0" collapsed="false">
      <c r="A136" s="38" t="s">
        <v>156</v>
      </c>
      <c r="B136" s="38" t="s">
        <v>232</v>
      </c>
      <c r="C136" s="38" t="s">
        <v>235</v>
      </c>
      <c r="D136" s="21" t="n">
        <f aca="false">ROUND(Q136*R136,0)</f>
        <v>421</v>
      </c>
      <c r="E136" s="21" t="n">
        <f aca="false">ROUND(Q136,0)-D136</f>
        <v>349</v>
      </c>
      <c r="F136" s="21" t="n">
        <f aca="false">IF(COUNTA(D136:E136)=0,"",SUM(D136:E136))</f>
        <v>770</v>
      </c>
      <c r="G136" s="39" t="n">
        <f aca="false">IF(OR(F136="",F136=0),"",D136/F136)</f>
        <v>0.546753246753247</v>
      </c>
      <c r="H136" s="39" t="n">
        <f aca="false">IF(OR(F136="",F136=0),"",E136/F136)</f>
        <v>0.453246753246753</v>
      </c>
      <c r="I136" s="38" t="s">
        <v>89</v>
      </c>
      <c r="J136" s="40" t="n">
        <v>3.45317612968717</v>
      </c>
      <c r="K136" s="39" t="n">
        <f aca="false">IF(G136="","",MAX(0,G136-J136/100))</f>
        <v>0.512221485456375</v>
      </c>
      <c r="L136" s="39" t="n">
        <f aca="false">IF(G136="","",MIN(1,G136+J136/100))</f>
        <v>0.581285008050118</v>
      </c>
      <c r="M136" s="21" t="n">
        <f aca="false">ROUND(Q136*S136,0)</f>
        <v>47</v>
      </c>
      <c r="N136" s="21" t="n">
        <f aca="false">ROUND(SQRT((F136*J136/100)^2+(G136*M136)^2),0)</f>
        <v>37</v>
      </c>
      <c r="P136" s="41" t="n">
        <v>2.16086285668416</v>
      </c>
      <c r="Q136" s="42" t="n">
        <v>770</v>
      </c>
      <c r="R136" s="43" t="n">
        <f aca="false">MAX(0,MIN(1,P136/100+$D$5))</f>
        <v>0.546827073293806</v>
      </c>
      <c r="S136" s="43" t="n">
        <v>0.0610405690258335</v>
      </c>
      <c r="T136" s="44" t="s">
        <v>90</v>
      </c>
    </row>
    <row r="137" customFormat="false" ht="15" hidden="false" customHeight="false" outlineLevel="0" collapsed="false">
      <c r="A137" s="38" t="s">
        <v>156</v>
      </c>
      <c r="B137" s="38" t="s">
        <v>236</v>
      </c>
      <c r="C137" s="38" t="s">
        <v>236</v>
      </c>
      <c r="D137" s="21" t="n">
        <f aca="false">ROUND(Q137*R137,0)</f>
        <v>652</v>
      </c>
      <c r="E137" s="21" t="n">
        <f aca="false">ROUND(Q137,0)-D137</f>
        <v>567</v>
      </c>
      <c r="F137" s="21" t="n">
        <f aca="false">IF(COUNTA(D137:E137)=0,"",SUM(D137:E137))</f>
        <v>1219</v>
      </c>
      <c r="G137" s="39" t="n">
        <f aca="false">IF(OR(F137="",F137=0),"",D137/F137)</f>
        <v>0.534864643150123</v>
      </c>
      <c r="H137" s="39" t="n">
        <f aca="false">IF(OR(F137="",F137=0),"",E137/F137)</f>
        <v>0.465135356849877</v>
      </c>
      <c r="I137" s="38" t="s">
        <v>89</v>
      </c>
      <c r="J137" s="40" t="n">
        <v>1.25589305869883</v>
      </c>
      <c r="K137" s="39" t="n">
        <f aca="false">IF(G137="","",MAX(0,G137-J137/100))</f>
        <v>0.522305712563135</v>
      </c>
      <c r="L137" s="39" t="n">
        <f aca="false">IF(G137="","",MIN(1,G137+J137/100))</f>
        <v>0.547423573737111</v>
      </c>
      <c r="M137" s="21" t="n">
        <f aca="false">ROUND(Q137*S137,0)</f>
        <v>159</v>
      </c>
      <c r="N137" s="21" t="n">
        <f aca="false">ROUND(SQRT((F137*J137/100)^2+(G137*M137)^2),0)</f>
        <v>86</v>
      </c>
      <c r="P137" s="41" t="n">
        <v>0.924542943131998</v>
      </c>
      <c r="Q137" s="42" t="n">
        <v>1219</v>
      </c>
      <c r="R137" s="43" t="n">
        <f aca="false">MAX(0,MIN(1,P137/100+$D$5))</f>
        <v>0.534463874158285</v>
      </c>
      <c r="S137" s="43" t="n">
        <v>0.130204099606216</v>
      </c>
      <c r="T137" s="44" t="s">
        <v>192</v>
      </c>
    </row>
    <row r="138" customFormat="false" ht="15" hidden="false" customHeight="false" outlineLevel="0" collapsed="false">
      <c r="A138" s="38" t="s">
        <v>156</v>
      </c>
      <c r="B138" s="38" t="s">
        <v>237</v>
      </c>
      <c r="C138" s="38" t="s">
        <v>238</v>
      </c>
      <c r="D138" s="21" t="n">
        <f aca="false">ROUND(Q138*R138,0)</f>
        <v>301</v>
      </c>
      <c r="E138" s="21" t="n">
        <f aca="false">ROUND(Q138,0)-D138</f>
        <v>249</v>
      </c>
      <c r="F138" s="21" t="n">
        <f aca="false">IF(COUNTA(D138:E138)=0,"",SUM(D138:E138))</f>
        <v>550</v>
      </c>
      <c r="G138" s="39" t="n">
        <f aca="false">IF(OR(F138="",F138=0),"",D138/F138)</f>
        <v>0.547272727272727</v>
      </c>
      <c r="H138" s="39" t="n">
        <f aca="false">IF(OR(F138="",F138=0),"",E138/F138)</f>
        <v>0.452727272727273</v>
      </c>
      <c r="I138" s="38" t="s">
        <v>89</v>
      </c>
      <c r="J138" s="40" t="n">
        <v>3.45317612968717</v>
      </c>
      <c r="K138" s="39" t="n">
        <f aca="false">IF(G138="","",MAX(0,G138-J138/100))</f>
        <v>0.512740965975856</v>
      </c>
      <c r="L138" s="39" t="n">
        <f aca="false">IF(G138="","",MIN(1,G138+J138/100))</f>
        <v>0.581804488569599</v>
      </c>
      <c r="M138" s="21" t="n">
        <f aca="false">ROUND(Q138*S138,0)</f>
        <v>34</v>
      </c>
      <c r="N138" s="21" t="n">
        <f aca="false">ROUND(SQRT((F138*J138/100)^2+(G138*M138)^2),0)</f>
        <v>27</v>
      </c>
      <c r="P138" s="41" t="n">
        <v>2.19322402559025</v>
      </c>
      <c r="Q138" s="42" t="n">
        <v>550</v>
      </c>
      <c r="R138" s="43" t="n">
        <f aca="false">MAX(0,MIN(1,P138/100+$D$5))</f>
        <v>0.547150684982867</v>
      </c>
      <c r="S138" s="43" t="n">
        <v>0.0610405690258335</v>
      </c>
      <c r="T138" s="44" t="s">
        <v>90</v>
      </c>
    </row>
    <row r="139" customFormat="false" ht="15" hidden="false" customHeight="false" outlineLevel="0" collapsed="false">
      <c r="A139" s="38" t="s">
        <v>156</v>
      </c>
      <c r="B139" s="38" t="s">
        <v>237</v>
      </c>
      <c r="C139" s="38" t="s">
        <v>239</v>
      </c>
      <c r="D139" s="21" t="n">
        <f aca="false">ROUND(Q139*R139,0)</f>
        <v>415</v>
      </c>
      <c r="E139" s="21" t="n">
        <f aca="false">ROUND(Q139,0)-D139</f>
        <v>332</v>
      </c>
      <c r="F139" s="21" t="n">
        <f aca="false">IF(COUNTA(D139:E139)=0,"",SUM(D139:E139))</f>
        <v>747</v>
      </c>
      <c r="G139" s="39" t="n">
        <f aca="false">IF(OR(F139="",F139=0),"",D139/F139)</f>
        <v>0.555555555555556</v>
      </c>
      <c r="H139" s="39" t="n">
        <f aca="false">IF(OR(F139="",F139=0),"",E139/F139)</f>
        <v>0.444444444444444</v>
      </c>
      <c r="I139" s="38" t="s">
        <v>89</v>
      </c>
      <c r="J139" s="40" t="n">
        <v>3.45317612968717</v>
      </c>
      <c r="K139" s="39" t="n">
        <f aca="false">IF(G139="","",MAX(0,G139-J139/100))</f>
        <v>0.521023794258684</v>
      </c>
      <c r="L139" s="39" t="n">
        <f aca="false">IF(G139="","",MIN(1,G139+J139/100))</f>
        <v>0.590087316852427</v>
      </c>
      <c r="M139" s="21" t="n">
        <f aca="false">ROUND(Q139*S139,0)</f>
        <v>46</v>
      </c>
      <c r="N139" s="21" t="n">
        <f aca="false">ROUND(SQRT((F139*J139/100)^2+(G139*M139)^2),0)</f>
        <v>36</v>
      </c>
      <c r="P139" s="41" t="n">
        <v>3.06170790666262</v>
      </c>
      <c r="Q139" s="42" t="n">
        <v>747</v>
      </c>
      <c r="R139" s="43" t="n">
        <f aca="false">MAX(0,MIN(1,P139/100+$D$5))</f>
        <v>0.555835523793591</v>
      </c>
      <c r="S139" s="43" t="n">
        <v>0.0610405690258335</v>
      </c>
      <c r="T139" s="44" t="s">
        <v>90</v>
      </c>
    </row>
    <row r="140" customFormat="false" ht="15" hidden="false" customHeight="false" outlineLevel="0" collapsed="false">
      <c r="A140" s="38" t="s">
        <v>156</v>
      </c>
      <c r="B140" s="38" t="s">
        <v>240</v>
      </c>
      <c r="C140" s="38" t="s">
        <v>241</v>
      </c>
      <c r="D140" s="21" t="n">
        <f aca="false">ROUND(Q140*R140,0)</f>
        <v>470</v>
      </c>
      <c r="E140" s="21" t="n">
        <f aca="false">ROUND(Q140,0)-D140</f>
        <v>348</v>
      </c>
      <c r="F140" s="21" t="n">
        <f aca="false">IF(COUNTA(D140:E140)=0,"",SUM(D140:E140))</f>
        <v>818</v>
      </c>
      <c r="G140" s="39" t="n">
        <f aca="false">IF(OR(F140="",F140=0),"",D140/F140)</f>
        <v>0.574572127139364</v>
      </c>
      <c r="H140" s="39" t="n">
        <f aca="false">IF(OR(F140="",F140=0),"",E140/F140)</f>
        <v>0.425427872860636</v>
      </c>
      <c r="I140" s="38" t="s">
        <v>89</v>
      </c>
      <c r="J140" s="40" t="n">
        <v>2.05025038892674</v>
      </c>
      <c r="K140" s="39" t="n">
        <f aca="false">IF(G140="","",MAX(0,G140-J140/100))</f>
        <v>0.554069623250097</v>
      </c>
      <c r="L140" s="39" t="n">
        <f aca="false">IF(G140="","",MIN(1,G140+J140/100))</f>
        <v>0.595074631028632</v>
      </c>
      <c r="M140" s="21" t="n">
        <f aca="false">ROUND(Q140*S140,0)</f>
        <v>41</v>
      </c>
      <c r="N140" s="21" t="n">
        <f aca="false">ROUND(SQRT((F140*J140/100)^2+(G140*M140)^2),0)</f>
        <v>29</v>
      </c>
      <c r="P140" s="41" t="n">
        <v>4.90293042313221</v>
      </c>
      <c r="Q140" s="42" t="n">
        <v>818</v>
      </c>
      <c r="R140" s="43" t="n">
        <f aca="false">MAX(0,MIN(1,P140/100+$D$5))</f>
        <v>0.574247748958287</v>
      </c>
      <c r="S140" s="43" t="n">
        <v>0.0500321312575726</v>
      </c>
      <c r="T140" s="44" t="s">
        <v>99</v>
      </c>
    </row>
    <row r="141" customFormat="false" ht="15" hidden="false" customHeight="false" outlineLevel="0" collapsed="false">
      <c r="A141" s="38" t="s">
        <v>156</v>
      </c>
      <c r="B141" s="38" t="s">
        <v>240</v>
      </c>
      <c r="C141" s="38" t="s">
        <v>242</v>
      </c>
      <c r="D141" s="21" t="n">
        <f aca="false">ROUND(Q141*R141,0)</f>
        <v>456</v>
      </c>
      <c r="E141" s="21" t="n">
        <f aca="false">ROUND(Q141,0)-D141</f>
        <v>349</v>
      </c>
      <c r="F141" s="21" t="n">
        <f aca="false">IF(COUNTA(D141:E141)=0,"",SUM(D141:E141))</f>
        <v>805</v>
      </c>
      <c r="G141" s="39" t="n">
        <f aca="false">IF(OR(F141="",F141=0),"",D141/F141)</f>
        <v>0.566459627329193</v>
      </c>
      <c r="H141" s="39" t="n">
        <f aca="false">IF(OR(F141="",F141=0),"",E141/F141)</f>
        <v>0.433540372670808</v>
      </c>
      <c r="I141" s="38" t="s">
        <v>89</v>
      </c>
      <c r="J141" s="40" t="n">
        <v>2.05025038892674</v>
      </c>
      <c r="K141" s="39" t="n">
        <f aca="false">IF(G141="","",MAX(0,G141-J141/100))</f>
        <v>0.545957123439925</v>
      </c>
      <c r="L141" s="39" t="n">
        <f aca="false">IF(G141="","",MIN(1,G141+J141/100))</f>
        <v>0.58696213121846</v>
      </c>
      <c r="M141" s="21" t="n">
        <f aca="false">ROUND(Q141*S141,0)</f>
        <v>40</v>
      </c>
      <c r="N141" s="21" t="n">
        <f aca="false">ROUND(SQRT((F141*J141/100)^2+(G141*M141)^2),0)</f>
        <v>28</v>
      </c>
      <c r="P141" s="41" t="n">
        <v>4.16634940733963</v>
      </c>
      <c r="Q141" s="42" t="n">
        <v>805</v>
      </c>
      <c r="R141" s="43" t="n">
        <f aca="false">MAX(0,MIN(1,P141/100+$D$5))</f>
        <v>0.566881938800361</v>
      </c>
      <c r="S141" s="43" t="n">
        <v>0.0500321312575726</v>
      </c>
      <c r="T141" s="44" t="s">
        <v>99</v>
      </c>
    </row>
    <row r="142" customFormat="false" ht="15" hidden="false" customHeight="false" outlineLevel="0" collapsed="false">
      <c r="A142" s="38" t="s">
        <v>156</v>
      </c>
      <c r="B142" s="38" t="s">
        <v>240</v>
      </c>
      <c r="C142" s="38" t="s">
        <v>243</v>
      </c>
      <c r="D142" s="21" t="n">
        <f aca="false">ROUND(Q142*R142,0)</f>
        <v>561</v>
      </c>
      <c r="E142" s="21" t="n">
        <f aca="false">ROUND(Q142,0)-D142</f>
        <v>461</v>
      </c>
      <c r="F142" s="21" t="n">
        <f aca="false">IF(COUNTA(D142:E142)=0,"",SUM(D142:E142))</f>
        <v>1022</v>
      </c>
      <c r="G142" s="39" t="n">
        <f aca="false">IF(OR(F142="",F142=0),"",D142/F142)</f>
        <v>0.548923679060665</v>
      </c>
      <c r="H142" s="39" t="n">
        <f aca="false">IF(OR(F142="",F142=0),"",E142/F142)</f>
        <v>0.451076320939335</v>
      </c>
      <c r="I142" s="38" t="s">
        <v>89</v>
      </c>
      <c r="J142" s="40" t="n">
        <v>2.05025038892674</v>
      </c>
      <c r="K142" s="39" t="n">
        <f aca="false">IF(G142="","",MAX(0,G142-J142/100))</f>
        <v>0.528421175171398</v>
      </c>
      <c r="L142" s="39" t="n">
        <f aca="false">IF(G142="","",MIN(1,G142+J142/100))</f>
        <v>0.569426182949933</v>
      </c>
      <c r="M142" s="21" t="n">
        <f aca="false">ROUND(Q142*S142,0)</f>
        <v>51</v>
      </c>
      <c r="N142" s="21" t="n">
        <f aca="false">ROUND(SQRT((F142*J142/100)^2+(G142*M142)^2),0)</f>
        <v>35</v>
      </c>
      <c r="P142" s="41" t="n">
        <v>2.40595439481611</v>
      </c>
      <c r="Q142" s="42" t="n">
        <v>1022</v>
      </c>
      <c r="R142" s="43" t="n">
        <f aca="false">MAX(0,MIN(1,P142/100+$D$5))</f>
        <v>0.549277988675126</v>
      </c>
      <c r="S142" s="43" t="n">
        <v>0.0500321312575726</v>
      </c>
      <c r="T142" s="44" t="s">
        <v>99</v>
      </c>
    </row>
    <row r="143" customFormat="false" ht="15" hidden="false" customHeight="false" outlineLevel="0" collapsed="false">
      <c r="A143" s="38" t="s">
        <v>156</v>
      </c>
      <c r="B143" s="38" t="s">
        <v>240</v>
      </c>
      <c r="C143" s="38" t="s">
        <v>244</v>
      </c>
      <c r="D143" s="21" t="n">
        <f aca="false">ROUND(Q143*R143,0)</f>
        <v>519</v>
      </c>
      <c r="E143" s="21" t="n">
        <f aca="false">ROUND(Q143,0)-D143</f>
        <v>360</v>
      </c>
      <c r="F143" s="21" t="n">
        <f aca="false">IF(COUNTA(D143:E143)=0,"",SUM(D143:E143))</f>
        <v>879</v>
      </c>
      <c r="G143" s="39" t="n">
        <f aca="false">IF(OR(F143="",F143=0),"",D143/F143)</f>
        <v>0.590443686006826</v>
      </c>
      <c r="H143" s="39" t="n">
        <f aca="false">IF(OR(F143="",F143=0),"",E143/F143)</f>
        <v>0.409556313993174</v>
      </c>
      <c r="I143" s="38" t="s">
        <v>89</v>
      </c>
      <c r="J143" s="40" t="n">
        <v>2.05025038892674</v>
      </c>
      <c r="K143" s="39" t="n">
        <f aca="false">IF(G143="","",MAX(0,G143-J143/100))</f>
        <v>0.569941182117559</v>
      </c>
      <c r="L143" s="39" t="n">
        <f aca="false">IF(G143="","",MIN(1,G143+J143/100))</f>
        <v>0.610946189896093</v>
      </c>
      <c r="M143" s="21" t="n">
        <f aca="false">ROUND(Q143*S143,0)</f>
        <v>44</v>
      </c>
      <c r="N143" s="21" t="n">
        <f aca="false">ROUND(SQRT((F143*J143/100)^2+(G143*M143)^2),0)</f>
        <v>32</v>
      </c>
      <c r="P143" s="41" t="n">
        <v>6.52466376024714</v>
      </c>
      <c r="Q143" s="42" t="n">
        <v>879</v>
      </c>
      <c r="R143" s="43" t="n">
        <f aca="false">MAX(0,MIN(1,P143/100+$D$5))</f>
        <v>0.590465082329436</v>
      </c>
      <c r="S143" s="43" t="n">
        <v>0.0500321312575726</v>
      </c>
      <c r="T143" s="44" t="s">
        <v>99</v>
      </c>
    </row>
    <row r="144" customFormat="false" ht="15" hidden="false" customHeight="false" outlineLevel="0" collapsed="false">
      <c r="A144" s="38" t="s">
        <v>156</v>
      </c>
      <c r="B144" s="38" t="s">
        <v>240</v>
      </c>
      <c r="C144" s="38" t="s">
        <v>245</v>
      </c>
      <c r="D144" s="21" t="n">
        <f aca="false">ROUND(Q144*R144,0)</f>
        <v>302</v>
      </c>
      <c r="E144" s="21" t="n">
        <f aca="false">ROUND(Q144,0)-D144</f>
        <v>252</v>
      </c>
      <c r="F144" s="21" t="n">
        <f aca="false">IF(COUNTA(D144:E144)=0,"",SUM(D144:E144))</f>
        <v>554</v>
      </c>
      <c r="G144" s="39" t="n">
        <f aca="false">IF(OR(F144="",F144=0),"",D144/F144)</f>
        <v>0.545126353790614</v>
      </c>
      <c r="H144" s="39" t="n">
        <f aca="false">IF(OR(F144="",F144=0),"",E144/F144)</f>
        <v>0.454873646209386</v>
      </c>
      <c r="I144" s="38" t="s">
        <v>89</v>
      </c>
      <c r="J144" s="40" t="n">
        <v>3.45317612968717</v>
      </c>
      <c r="K144" s="39" t="n">
        <f aca="false">IF(G144="","",MAX(0,G144-J144/100))</f>
        <v>0.510594592493742</v>
      </c>
      <c r="L144" s="39" t="n">
        <f aca="false">IF(G144="","",MIN(1,G144+J144/100))</f>
        <v>0.579658115087485</v>
      </c>
      <c r="M144" s="21" t="n">
        <f aca="false">ROUND(Q144*S144,0)</f>
        <v>34</v>
      </c>
      <c r="N144" s="21" t="n">
        <f aca="false">ROUND(SQRT((F144*J144/100)^2+(G144*M144)^2),0)</f>
        <v>27</v>
      </c>
      <c r="P144" s="41" t="n">
        <v>1.91405184833395</v>
      </c>
      <c r="Q144" s="42" t="n">
        <v>554</v>
      </c>
      <c r="R144" s="43" t="n">
        <f aca="false">MAX(0,MIN(1,P144/100+$D$5))</f>
        <v>0.544358963210304</v>
      </c>
      <c r="S144" s="43" t="n">
        <v>0.0610405690258335</v>
      </c>
      <c r="T144" s="44" t="s">
        <v>90</v>
      </c>
    </row>
    <row r="145" customFormat="false" ht="15" hidden="false" customHeight="false" outlineLevel="0" collapsed="false">
      <c r="A145" s="38" t="s">
        <v>156</v>
      </c>
      <c r="B145" s="38" t="s">
        <v>240</v>
      </c>
      <c r="C145" s="38" t="s">
        <v>246</v>
      </c>
      <c r="D145" s="21" t="n">
        <f aca="false">ROUND(Q145*R145,0)</f>
        <v>616</v>
      </c>
      <c r="E145" s="21" t="n">
        <f aca="false">ROUND(Q145,0)-D145</f>
        <v>390</v>
      </c>
      <c r="F145" s="21" t="n">
        <f aca="false">IF(COUNTA(D145:E145)=0,"",SUM(D145:E145))</f>
        <v>1006</v>
      </c>
      <c r="G145" s="39" t="n">
        <f aca="false">IF(OR(F145="",F145=0),"",D145/F145)</f>
        <v>0.612326043737575</v>
      </c>
      <c r="H145" s="39" t="n">
        <f aca="false">IF(OR(F145="",F145=0),"",E145/F145)</f>
        <v>0.387673956262425</v>
      </c>
      <c r="I145" s="38" t="s">
        <v>89</v>
      </c>
      <c r="J145" s="40" t="n">
        <v>2.05025038892674</v>
      </c>
      <c r="K145" s="39" t="n">
        <f aca="false">IF(G145="","",MAX(0,G145-J145/100))</f>
        <v>0.591823539848307</v>
      </c>
      <c r="L145" s="39" t="n">
        <f aca="false">IF(G145="","",MIN(1,G145+J145/100))</f>
        <v>0.632828547626842</v>
      </c>
      <c r="M145" s="21" t="n">
        <f aca="false">ROUND(Q145*S145,0)</f>
        <v>50</v>
      </c>
      <c r="N145" s="21" t="n">
        <f aca="false">ROUND(SQRT((F145*J145/100)^2+(G145*M145)^2),0)</f>
        <v>37</v>
      </c>
      <c r="P145" s="41" t="n">
        <v>8.74985234544396</v>
      </c>
      <c r="Q145" s="42" t="n">
        <v>1006</v>
      </c>
      <c r="R145" s="43" t="n">
        <f aca="false">MAX(0,MIN(1,P145/100+$D$5))</f>
        <v>0.612716968181404</v>
      </c>
      <c r="S145" s="43" t="n">
        <v>0.0500321312575726</v>
      </c>
      <c r="T145" s="44" t="s">
        <v>99</v>
      </c>
    </row>
    <row r="146" customFormat="false" ht="15" hidden="false" customHeight="false" outlineLevel="0" collapsed="false">
      <c r="A146" s="38" t="s">
        <v>156</v>
      </c>
      <c r="B146" s="38" t="s">
        <v>247</v>
      </c>
      <c r="C146" s="38" t="s">
        <v>248</v>
      </c>
      <c r="D146" s="21" t="n">
        <f aca="false">ROUND(Q146*R146,0)</f>
        <v>406</v>
      </c>
      <c r="E146" s="21" t="n">
        <f aca="false">ROUND(Q146,0)-D146</f>
        <v>165</v>
      </c>
      <c r="F146" s="21" t="n">
        <f aca="false">IF(COUNTA(D146:E146)=0,"",SUM(D146:E146))</f>
        <v>571</v>
      </c>
      <c r="G146" s="39" t="n">
        <f aca="false">IF(OR(F146="",F146=0),"",D146/F146)</f>
        <v>0.711033274956217</v>
      </c>
      <c r="H146" s="39" t="n">
        <f aca="false">IF(OR(F146="",F146=0),"",E146/F146)</f>
        <v>0.288966725043783</v>
      </c>
      <c r="I146" s="38" t="s">
        <v>89</v>
      </c>
      <c r="J146" s="40" t="n">
        <v>3.45317612968717</v>
      </c>
      <c r="K146" s="39" t="n">
        <f aca="false">IF(G146="","",MAX(0,G146-J146/100))</f>
        <v>0.676501513659346</v>
      </c>
      <c r="L146" s="39" t="n">
        <f aca="false">IF(G146="","",MIN(1,G146+J146/100))</f>
        <v>0.745565036253089</v>
      </c>
      <c r="M146" s="21" t="n">
        <f aca="false">ROUND(Q146*S146,0)</f>
        <v>35</v>
      </c>
      <c r="N146" s="21" t="n">
        <f aca="false">ROUND(SQRT((F146*J146/100)^2+(G146*M146)^2),0)</f>
        <v>32</v>
      </c>
      <c r="P146" s="41" t="n">
        <v>18.5016144800161</v>
      </c>
      <c r="Q146" s="42" t="n">
        <v>571</v>
      </c>
      <c r="R146" s="43" t="n">
        <f aca="false">MAX(0,MIN(1,P146/100+$D$5))</f>
        <v>0.710234589527125</v>
      </c>
      <c r="S146" s="43" t="n">
        <v>0.0610405690258335</v>
      </c>
      <c r="T146" s="44" t="s">
        <v>90</v>
      </c>
    </row>
    <row r="147" customFormat="false" ht="15" hidden="false" customHeight="false" outlineLevel="0" collapsed="false">
      <c r="A147" s="38" t="s">
        <v>156</v>
      </c>
      <c r="B147" s="38" t="s">
        <v>247</v>
      </c>
      <c r="C147" s="38" t="s">
        <v>249</v>
      </c>
      <c r="D147" s="21" t="n">
        <f aca="false">ROUND(Q147*R147,0)</f>
        <v>320</v>
      </c>
      <c r="E147" s="21" t="n">
        <f aca="false">ROUND(Q147,0)-D147</f>
        <v>152</v>
      </c>
      <c r="F147" s="21" t="n">
        <f aca="false">IF(COUNTA(D147:E147)=0,"",SUM(D147:E147))</f>
        <v>472</v>
      </c>
      <c r="G147" s="39" t="n">
        <f aca="false">IF(OR(F147="",F147=0),"",D147/F147)</f>
        <v>0.677966101694915</v>
      </c>
      <c r="H147" s="39" t="n">
        <f aca="false">IF(OR(F147="",F147=0),"",E147/F147)</f>
        <v>0.322033898305085</v>
      </c>
      <c r="I147" s="38" t="s">
        <v>89</v>
      </c>
      <c r="J147" s="40" t="n">
        <v>3.45317612968717</v>
      </c>
      <c r="K147" s="39" t="n">
        <f aca="false">IF(G147="","",MAX(0,G147-J147/100))</f>
        <v>0.643434340398044</v>
      </c>
      <c r="L147" s="39" t="n">
        <f aca="false">IF(G147="","",MIN(1,G147+J147/100))</f>
        <v>0.712497862991787</v>
      </c>
      <c r="M147" s="21" t="n">
        <f aca="false">ROUND(Q147*S147,0)</f>
        <v>29</v>
      </c>
      <c r="N147" s="21" t="n">
        <f aca="false">ROUND(SQRT((F147*J147/100)^2+(G147*M147)^2),0)</f>
        <v>26</v>
      </c>
      <c r="P147" s="41" t="n">
        <v>15.3537681385685</v>
      </c>
      <c r="Q147" s="42" t="n">
        <v>472</v>
      </c>
      <c r="R147" s="43" t="n">
        <f aca="false">MAX(0,MIN(1,P147/100+$D$5))</f>
        <v>0.67875612611265</v>
      </c>
      <c r="S147" s="43" t="n">
        <v>0.0610405690258335</v>
      </c>
      <c r="T147" s="44" t="s">
        <v>90</v>
      </c>
    </row>
    <row r="148" customFormat="false" ht="15" hidden="false" customHeight="false" outlineLevel="0" collapsed="false">
      <c r="A148" s="38" t="s">
        <v>156</v>
      </c>
      <c r="B148" s="38" t="s">
        <v>247</v>
      </c>
      <c r="C148" s="38" t="s">
        <v>250</v>
      </c>
      <c r="D148" s="21" t="n">
        <f aca="false">ROUND(Q148*R148,0)</f>
        <v>353</v>
      </c>
      <c r="E148" s="21" t="n">
        <f aca="false">ROUND(Q148,0)-D148</f>
        <v>153</v>
      </c>
      <c r="F148" s="21" t="n">
        <f aca="false">IF(COUNTA(D148:E148)=0,"",SUM(D148:E148))</f>
        <v>506</v>
      </c>
      <c r="G148" s="39" t="n">
        <f aca="false">IF(OR(F148="",F148=0),"",D148/F148)</f>
        <v>0.697628458498024</v>
      </c>
      <c r="H148" s="39" t="n">
        <f aca="false">IF(OR(F148="",F148=0),"",E148/F148)</f>
        <v>0.302371541501976</v>
      </c>
      <c r="I148" s="38" t="s">
        <v>89</v>
      </c>
      <c r="J148" s="40" t="n">
        <v>3.45317612968717</v>
      </c>
      <c r="K148" s="39" t="n">
        <f aca="false">IF(G148="","",MAX(0,G148-J148/100))</f>
        <v>0.663096697201152</v>
      </c>
      <c r="L148" s="39" t="n">
        <f aca="false">IF(G148="","",MIN(1,G148+J148/100))</f>
        <v>0.732160219794895</v>
      </c>
      <c r="M148" s="21" t="n">
        <f aca="false">ROUND(Q148*S148,0)</f>
        <v>31</v>
      </c>
      <c r="N148" s="21" t="n">
        <f aca="false">ROUND(SQRT((F148*J148/100)^2+(G148*M148)^2),0)</f>
        <v>28</v>
      </c>
      <c r="P148" s="41" t="n">
        <v>17.2000307321371</v>
      </c>
      <c r="Q148" s="42" t="n">
        <v>506</v>
      </c>
      <c r="R148" s="43" t="n">
        <f aca="false">MAX(0,MIN(1,P148/100+$D$5))</f>
        <v>0.697218752048336</v>
      </c>
      <c r="S148" s="43" t="n">
        <v>0.0610405690258335</v>
      </c>
      <c r="T148" s="44" t="s">
        <v>90</v>
      </c>
    </row>
    <row r="149" customFormat="false" ht="15" hidden="false" customHeight="false" outlineLevel="0" collapsed="false">
      <c r="A149" s="38" t="s">
        <v>156</v>
      </c>
      <c r="B149" s="38" t="s">
        <v>251</v>
      </c>
      <c r="C149" s="38" t="s">
        <v>251</v>
      </c>
      <c r="D149" s="21" t="n">
        <f aca="false">ROUND(Q149*R149,0)</f>
        <v>273</v>
      </c>
      <c r="E149" s="21" t="n">
        <f aca="false">ROUND(Q149,0)-D149</f>
        <v>194</v>
      </c>
      <c r="F149" s="21" t="n">
        <f aca="false">IF(COUNTA(D149:E149)=0,"",SUM(D149:E149))</f>
        <v>467</v>
      </c>
      <c r="G149" s="39" t="n">
        <f aca="false">IF(OR(F149="",F149=0),"",D149/F149)</f>
        <v>0.58458244111349</v>
      </c>
      <c r="H149" s="39" t="n">
        <f aca="false">IF(OR(F149="",F149=0),"",E149/F149)</f>
        <v>0.41541755888651</v>
      </c>
      <c r="I149" s="38" t="s">
        <v>89</v>
      </c>
      <c r="J149" s="40" t="n">
        <v>3.45317612968717</v>
      </c>
      <c r="K149" s="39" t="n">
        <f aca="false">IF(G149="","",MAX(0,G149-J149/100))</f>
        <v>0.550050679816619</v>
      </c>
      <c r="L149" s="39" t="n">
        <f aca="false">IF(G149="","",MIN(1,G149+J149/100))</f>
        <v>0.619114202410362</v>
      </c>
      <c r="M149" s="21" t="n">
        <f aca="false">ROUND(Q149*S149,0)</f>
        <v>29</v>
      </c>
      <c r="N149" s="21" t="n">
        <f aca="false">ROUND(SQRT((F149*J149/100)^2+(G149*M149)^2),0)</f>
        <v>23</v>
      </c>
      <c r="P149" s="41" t="n">
        <v>5.86023339287647</v>
      </c>
      <c r="Q149" s="42" t="n">
        <v>467</v>
      </c>
      <c r="R149" s="43" t="n">
        <f aca="false">MAX(0,MIN(1,P149/100+$D$5))</f>
        <v>0.583820778655729</v>
      </c>
      <c r="S149" s="43" t="n">
        <v>0.0610405690258335</v>
      </c>
      <c r="T149" s="44" t="s">
        <v>90</v>
      </c>
    </row>
    <row r="150" customFormat="false" ht="15" hidden="false" customHeight="false" outlineLevel="0" collapsed="false">
      <c r="A150" s="38" t="s">
        <v>156</v>
      </c>
      <c r="B150" s="38" t="s">
        <v>252</v>
      </c>
      <c r="C150" s="38" t="s">
        <v>252</v>
      </c>
      <c r="D150" s="21" t="n">
        <f aca="false">ROUND(Q150*R150,0)</f>
        <v>548</v>
      </c>
      <c r="E150" s="21" t="n">
        <f aca="false">ROUND(Q150,0)-D150</f>
        <v>1052</v>
      </c>
      <c r="F150" s="21" t="n">
        <f aca="false">IF(COUNTA(D150:E150)=0,"",SUM(D150:E150))</f>
        <v>1600</v>
      </c>
      <c r="G150" s="39" t="n">
        <f aca="false">IF(OR(F150="",F150=0),"",D150/F150)</f>
        <v>0.3425</v>
      </c>
      <c r="H150" s="39" t="n">
        <f aca="false">IF(OR(F150="",F150=0),"",E150/F150)</f>
        <v>0.6575</v>
      </c>
      <c r="I150" s="38" t="s">
        <v>89</v>
      </c>
      <c r="J150" s="40" t="n">
        <v>1.25589305869883</v>
      </c>
      <c r="K150" s="39" t="n">
        <f aca="false">IF(G150="","",MAX(0,G150-J150/100))</f>
        <v>0.329941069413012</v>
      </c>
      <c r="L150" s="39" t="n">
        <f aca="false">IF(G150="","",MIN(1,G150+J150/100))</f>
        <v>0.355058930586988</v>
      </c>
      <c r="M150" s="21" t="n">
        <f aca="false">ROUND(Q150*S150,0)</f>
        <v>208</v>
      </c>
      <c r="N150" s="21" t="n">
        <f aca="false">ROUND(SQRT((F150*J150/100)^2+(G150*M150)^2),0)</f>
        <v>74</v>
      </c>
      <c r="P150" s="41" t="n">
        <v>-18.2896370318561</v>
      </c>
      <c r="Q150" s="42" t="n">
        <v>1600</v>
      </c>
      <c r="R150" s="43" t="n">
        <f aca="false">MAX(0,MIN(1,P150/100+$D$5))</f>
        <v>0.342322074408404</v>
      </c>
      <c r="S150" s="43" t="n">
        <v>0.130204099606216</v>
      </c>
      <c r="T150" s="44" t="s">
        <v>192</v>
      </c>
    </row>
    <row r="151" customFormat="false" ht="15" hidden="false" customHeight="false" outlineLevel="0" collapsed="false">
      <c r="A151" s="38" t="s">
        <v>156</v>
      </c>
      <c r="B151" s="38" t="s">
        <v>253</v>
      </c>
      <c r="C151" s="38" t="s">
        <v>254</v>
      </c>
      <c r="D151" s="21" t="n">
        <f aca="false">ROUND(Q151*R151,0)</f>
        <v>814</v>
      </c>
      <c r="E151" s="21" t="n">
        <f aca="false">ROUND(Q151,0)-D151</f>
        <v>695</v>
      </c>
      <c r="F151" s="21" t="n">
        <f aca="false">IF(COUNTA(D151:E151)=0,"",SUM(D151:E151))</f>
        <v>1509</v>
      </c>
      <c r="G151" s="39" t="n">
        <f aca="false">IF(OR(F151="",F151=0),"",D151/F151)</f>
        <v>0.539430086149768</v>
      </c>
      <c r="H151" s="39" t="n">
        <f aca="false">IF(OR(F151="",F151=0),"",E151/F151)</f>
        <v>0.460569913850232</v>
      </c>
      <c r="I151" s="38" t="s">
        <v>89</v>
      </c>
      <c r="J151" s="40" t="n">
        <v>1.25589305869883</v>
      </c>
      <c r="K151" s="39" t="n">
        <f aca="false">IF(G151="","",MAX(0,G151-J151/100))</f>
        <v>0.52687115556278</v>
      </c>
      <c r="L151" s="39" t="n">
        <f aca="false">IF(G151="","",MIN(1,G151+J151/100))</f>
        <v>0.551989016736756</v>
      </c>
      <c r="M151" s="21" t="n">
        <f aca="false">ROUND(Q151*S151,0)</f>
        <v>196</v>
      </c>
      <c r="N151" s="21" t="n">
        <f aca="false">ROUND(SQRT((F151*J151/100)^2+(G151*M151)^2),0)</f>
        <v>107</v>
      </c>
      <c r="P151" s="41" t="n">
        <v>1.44520202344739</v>
      </c>
      <c r="Q151" s="42" t="n">
        <v>1509</v>
      </c>
      <c r="R151" s="43" t="n">
        <f aca="false">MAX(0,MIN(1,P151/100+$D$5))</f>
        <v>0.539670464961439</v>
      </c>
      <c r="S151" s="43" t="n">
        <v>0.130204099606216</v>
      </c>
      <c r="T151" s="44" t="s">
        <v>192</v>
      </c>
    </row>
    <row r="152" customFormat="false" ht="15" hidden="false" customHeight="false" outlineLevel="0" collapsed="false">
      <c r="A152" s="38" t="s">
        <v>156</v>
      </c>
      <c r="B152" s="38" t="s">
        <v>253</v>
      </c>
      <c r="C152" s="38" t="s">
        <v>255</v>
      </c>
      <c r="D152" s="21" t="n">
        <f aca="false">ROUND(Q152*R152,0)</f>
        <v>920</v>
      </c>
      <c r="E152" s="21" t="n">
        <f aca="false">ROUND(Q152,0)-D152</f>
        <v>768</v>
      </c>
      <c r="F152" s="21" t="n">
        <f aca="false">IF(COUNTA(D152:E152)=0,"",SUM(D152:E152))</f>
        <v>1688</v>
      </c>
      <c r="G152" s="39" t="n">
        <f aca="false">IF(OR(F152="",F152=0),"",D152/F152)</f>
        <v>0.545023696682464</v>
      </c>
      <c r="H152" s="39" t="n">
        <f aca="false">IF(OR(F152="",F152=0),"",E152/F152)</f>
        <v>0.454976303317536</v>
      </c>
      <c r="I152" s="38" t="s">
        <v>89</v>
      </c>
      <c r="J152" s="40" t="n">
        <v>1.25589305869883</v>
      </c>
      <c r="K152" s="39" t="n">
        <f aca="false">IF(G152="","",MAX(0,G152-J152/100))</f>
        <v>0.532464766095476</v>
      </c>
      <c r="L152" s="39" t="n">
        <f aca="false">IF(G152="","",MIN(1,G152+J152/100))</f>
        <v>0.557582627269453</v>
      </c>
      <c r="M152" s="21" t="n">
        <f aca="false">ROUND(Q152*S152,0)</f>
        <v>220</v>
      </c>
      <c r="N152" s="21" t="n">
        <f aca="false">ROUND(SQRT((F152*J152/100)^2+(G152*M152)^2),0)</f>
        <v>122</v>
      </c>
      <c r="P152" s="41" t="n">
        <v>1.99864825297063</v>
      </c>
      <c r="Q152" s="42" t="n">
        <v>1688</v>
      </c>
      <c r="R152" s="43" t="n">
        <f aca="false">MAX(0,MIN(1,P152/100+$D$5))</f>
        <v>0.545204927256671</v>
      </c>
      <c r="S152" s="43" t="n">
        <v>0.130204099606216</v>
      </c>
      <c r="T152" s="44" t="s">
        <v>192</v>
      </c>
    </row>
    <row r="153" customFormat="false" ht="15" hidden="false" customHeight="false" outlineLevel="0" collapsed="false">
      <c r="A153" s="38" t="s">
        <v>156</v>
      </c>
      <c r="B153" s="38" t="s">
        <v>253</v>
      </c>
      <c r="C153" s="38" t="s">
        <v>256</v>
      </c>
      <c r="D153" s="21" t="n">
        <f aca="false">ROUND(Q153*R153,0)</f>
        <v>1603</v>
      </c>
      <c r="E153" s="21" t="n">
        <f aca="false">ROUND(Q153,0)-D153</f>
        <v>1345</v>
      </c>
      <c r="F153" s="21" t="n">
        <f aca="false">IF(COUNTA(D153:E153)=0,"",SUM(D153:E153))</f>
        <v>2948</v>
      </c>
      <c r="G153" s="39" t="n">
        <f aca="false">IF(OR(F153="",F153=0),"",D153/F153)</f>
        <v>0.543758480325645</v>
      </c>
      <c r="H153" s="39" t="n">
        <f aca="false">IF(OR(F153="",F153=0),"",E153/F153)</f>
        <v>0.456241519674356</v>
      </c>
      <c r="I153" s="38" t="s">
        <v>89</v>
      </c>
      <c r="J153" s="40" t="n">
        <v>1.25589305869883</v>
      </c>
      <c r="K153" s="39" t="n">
        <f aca="false">IF(G153="","",MAX(0,G153-J153/100))</f>
        <v>0.531199549738656</v>
      </c>
      <c r="L153" s="39" t="n">
        <f aca="false">IF(G153="","",MIN(1,G153+J153/100))</f>
        <v>0.556317410912633</v>
      </c>
      <c r="M153" s="21" t="n">
        <f aca="false">ROUND(Q153*S153,0)</f>
        <v>384</v>
      </c>
      <c r="N153" s="21" t="n">
        <f aca="false">ROUND(SQRT((F153*J153/100)^2+(G153*M153)^2),0)</f>
        <v>212</v>
      </c>
      <c r="P153" s="41" t="n">
        <v>1.84696730731116</v>
      </c>
      <c r="Q153" s="42" t="n">
        <v>2948</v>
      </c>
      <c r="R153" s="43" t="n">
        <f aca="false">MAX(0,MIN(1,P153/100+$D$5))</f>
        <v>0.543688117800076</v>
      </c>
      <c r="S153" s="43" t="n">
        <v>0.130204099606216</v>
      </c>
      <c r="T153" s="44" t="s">
        <v>192</v>
      </c>
    </row>
    <row r="154" customFormat="false" ht="15" hidden="false" customHeight="false" outlineLevel="0" collapsed="false">
      <c r="A154" s="38" t="s">
        <v>156</v>
      </c>
      <c r="B154" s="38" t="s">
        <v>253</v>
      </c>
      <c r="C154" s="38" t="s">
        <v>257</v>
      </c>
      <c r="D154" s="21" t="n">
        <f aca="false">ROUND(Q154*R154,0)</f>
        <v>803</v>
      </c>
      <c r="E154" s="21" t="n">
        <f aca="false">ROUND(Q154,0)-D154</f>
        <v>689</v>
      </c>
      <c r="F154" s="21" t="n">
        <f aca="false">IF(COUNTA(D154:E154)=0,"",SUM(D154:E154))</f>
        <v>1492</v>
      </c>
      <c r="G154" s="39" t="n">
        <f aca="false">IF(OR(F154="",F154=0),"",D154/F154)</f>
        <v>0.538203753351206</v>
      </c>
      <c r="H154" s="39" t="n">
        <f aca="false">IF(OR(F154="",F154=0),"",E154/F154)</f>
        <v>0.461796246648794</v>
      </c>
      <c r="I154" s="38" t="s">
        <v>89</v>
      </c>
      <c r="J154" s="40" t="n">
        <v>1.25589305869883</v>
      </c>
      <c r="K154" s="39" t="n">
        <f aca="false">IF(G154="","",MAX(0,G154-J154/100))</f>
        <v>0.525644822764218</v>
      </c>
      <c r="L154" s="39" t="n">
        <f aca="false">IF(G154="","",MIN(1,G154+J154/100))</f>
        <v>0.550762683938195</v>
      </c>
      <c r="M154" s="21" t="n">
        <f aca="false">ROUND(Q154*S154,0)</f>
        <v>194</v>
      </c>
      <c r="N154" s="21" t="n">
        <f aca="false">ROUND(SQRT((F154*J154/100)^2+(G154*M154)^2),0)</f>
        <v>106</v>
      </c>
      <c r="P154" s="41" t="n">
        <v>1.26876498870643</v>
      </c>
      <c r="Q154" s="42" t="n">
        <v>1492</v>
      </c>
      <c r="R154" s="43" t="n">
        <f aca="false">MAX(0,MIN(1,P154/100+$D$5))</f>
        <v>0.537906094614029</v>
      </c>
      <c r="S154" s="43" t="n">
        <v>0.130204099606216</v>
      </c>
      <c r="T154" s="44" t="s">
        <v>192</v>
      </c>
    </row>
    <row r="155" customFormat="false" ht="15" hidden="false" customHeight="false" outlineLevel="0" collapsed="false">
      <c r="A155" s="38" t="s">
        <v>156</v>
      </c>
      <c r="B155" s="38" t="s">
        <v>253</v>
      </c>
      <c r="C155" s="38" t="s">
        <v>258</v>
      </c>
      <c r="D155" s="21" t="n">
        <f aca="false">ROUND(Q155*R155,0)</f>
        <v>729</v>
      </c>
      <c r="E155" s="21" t="n">
        <f aca="false">ROUND(Q155,0)-D155</f>
        <v>626</v>
      </c>
      <c r="F155" s="21" t="n">
        <f aca="false">IF(COUNTA(D155:E155)=0,"",SUM(D155:E155))</f>
        <v>1355</v>
      </c>
      <c r="G155" s="39" t="n">
        <f aca="false">IF(OR(F155="",F155=0),"",D155/F155)</f>
        <v>0.538007380073801</v>
      </c>
      <c r="H155" s="39" t="n">
        <f aca="false">IF(OR(F155="",F155=0),"",E155/F155)</f>
        <v>0.461992619926199</v>
      </c>
      <c r="I155" s="38" t="s">
        <v>89</v>
      </c>
      <c r="J155" s="40" t="n">
        <v>1.25589305869883</v>
      </c>
      <c r="K155" s="39" t="n">
        <f aca="false">IF(G155="","",MAX(0,G155-J155/100))</f>
        <v>0.525448449486813</v>
      </c>
      <c r="L155" s="39" t="n">
        <f aca="false">IF(G155="","",MIN(1,G155+J155/100))</f>
        <v>0.550566310660789</v>
      </c>
      <c r="M155" s="21" t="n">
        <f aca="false">ROUND(Q155*S155,0)</f>
        <v>176</v>
      </c>
      <c r="N155" s="21" t="n">
        <f aca="false">ROUND(SQRT((F155*J155/100)^2+(G155*M155)^2),0)</f>
        <v>96</v>
      </c>
      <c r="P155" s="41" t="n">
        <v>1.25058721451009</v>
      </c>
      <c r="Q155" s="42" t="n">
        <v>1355</v>
      </c>
      <c r="R155" s="43" t="n">
        <f aca="false">MAX(0,MIN(1,P155/100+$D$5))</f>
        <v>0.537724316872066</v>
      </c>
      <c r="S155" s="43" t="n">
        <v>0.130204099606216</v>
      </c>
      <c r="T155" s="44" t="s">
        <v>192</v>
      </c>
    </row>
    <row r="156" customFormat="false" ht="15" hidden="false" customHeight="false" outlineLevel="0" collapsed="false">
      <c r="A156" s="38" t="s">
        <v>156</v>
      </c>
      <c r="B156" s="38" t="s">
        <v>253</v>
      </c>
      <c r="C156" s="38" t="s">
        <v>259</v>
      </c>
      <c r="D156" s="21" t="n">
        <f aca="false">ROUND(Q156*R156,0)</f>
        <v>669</v>
      </c>
      <c r="E156" s="21" t="n">
        <f aca="false">ROUND(Q156,0)-D156</f>
        <v>537</v>
      </c>
      <c r="F156" s="21" t="n">
        <f aca="false">IF(COUNTA(D156:E156)=0,"",SUM(D156:E156))</f>
        <v>1206</v>
      </c>
      <c r="G156" s="39" t="n">
        <f aca="false">IF(OR(F156="",F156=0),"",D156/F156)</f>
        <v>0.554726368159204</v>
      </c>
      <c r="H156" s="39" t="n">
        <f aca="false">IF(OR(F156="",F156=0),"",E156/F156)</f>
        <v>0.445273631840796</v>
      </c>
      <c r="I156" s="38" t="s">
        <v>89</v>
      </c>
      <c r="J156" s="40" t="n">
        <v>1.25589305869883</v>
      </c>
      <c r="K156" s="39" t="n">
        <f aca="false">IF(G156="","",MAX(0,G156-J156/100))</f>
        <v>0.542167437572216</v>
      </c>
      <c r="L156" s="39" t="n">
        <f aca="false">IF(G156="","",MIN(1,G156+J156/100))</f>
        <v>0.567285298746192</v>
      </c>
      <c r="M156" s="21" t="n">
        <f aca="false">ROUND(Q156*S156,0)</f>
        <v>157</v>
      </c>
      <c r="N156" s="21" t="n">
        <f aca="false">ROUND(SQRT((F156*J156/100)^2+(G156*M156)^2),0)</f>
        <v>88</v>
      </c>
      <c r="P156" s="41" t="n">
        <v>2.97022940081512</v>
      </c>
      <c r="Q156" s="42" t="n">
        <v>1206</v>
      </c>
      <c r="R156" s="43" t="n">
        <f aca="false">MAX(0,MIN(1,P156/100+$D$5))</f>
        <v>0.554920738735116</v>
      </c>
      <c r="S156" s="43" t="n">
        <v>0.130204099606216</v>
      </c>
      <c r="T156" s="44" t="s">
        <v>192</v>
      </c>
    </row>
    <row r="157" customFormat="false" ht="15" hidden="false" customHeight="false" outlineLevel="0" collapsed="false">
      <c r="A157" s="38" t="s">
        <v>156</v>
      </c>
      <c r="B157" s="38" t="s">
        <v>253</v>
      </c>
      <c r="C157" s="38" t="s">
        <v>260</v>
      </c>
      <c r="D157" s="21" t="n">
        <f aca="false">ROUND(Q157*R157,0)</f>
        <v>1189</v>
      </c>
      <c r="E157" s="21" t="n">
        <f aca="false">ROUND(Q157,0)-D157</f>
        <v>1023</v>
      </c>
      <c r="F157" s="21" t="n">
        <f aca="false">IF(COUNTA(D157:E157)=0,"",SUM(D157:E157))</f>
        <v>2212</v>
      </c>
      <c r="G157" s="39" t="n">
        <f aca="false">IF(OR(F157="",F157=0),"",D157/F157)</f>
        <v>0.5375226039783</v>
      </c>
      <c r="H157" s="39" t="n">
        <f aca="false">IF(OR(F157="",F157=0),"",E157/F157)</f>
        <v>0.4624773960217</v>
      </c>
      <c r="I157" s="38" t="s">
        <v>89</v>
      </c>
      <c r="J157" s="40" t="n">
        <v>1.25589305869883</v>
      </c>
      <c r="K157" s="39" t="n">
        <f aca="false">IF(G157="","",MAX(0,G157-J157/100))</f>
        <v>0.524963673391312</v>
      </c>
      <c r="L157" s="39" t="n">
        <f aca="false">IF(G157="","",MIN(1,G157+J157/100))</f>
        <v>0.550081534565289</v>
      </c>
      <c r="M157" s="21" t="n">
        <f aca="false">ROUND(Q157*S157,0)</f>
        <v>288</v>
      </c>
      <c r="N157" s="21" t="n">
        <f aca="false">ROUND(SQRT((F157*J157/100)^2+(G157*M157)^2),0)</f>
        <v>157</v>
      </c>
      <c r="P157" s="41" t="n">
        <v>1.24116553255729</v>
      </c>
      <c r="Q157" s="42" t="n">
        <v>2212</v>
      </c>
      <c r="R157" s="43" t="n">
        <f aca="false">MAX(0,MIN(1,P157/100+$D$5))</f>
        <v>0.537630100052538</v>
      </c>
      <c r="S157" s="43" t="n">
        <v>0.130204099606216</v>
      </c>
      <c r="T157" s="44" t="s">
        <v>192</v>
      </c>
    </row>
    <row r="158" customFormat="false" ht="15" hidden="false" customHeight="false" outlineLevel="0" collapsed="false">
      <c r="A158" s="38" t="s">
        <v>156</v>
      </c>
      <c r="B158" s="38" t="s">
        <v>253</v>
      </c>
      <c r="C158" s="38" t="s">
        <v>261</v>
      </c>
      <c r="D158" s="21" t="n">
        <f aca="false">ROUND(Q158*R158,0)</f>
        <v>751</v>
      </c>
      <c r="E158" s="21" t="n">
        <f aca="false">ROUND(Q158,0)-D158</f>
        <v>565</v>
      </c>
      <c r="F158" s="21" t="n">
        <f aca="false">IF(COUNTA(D158:E158)=0,"",SUM(D158:E158))</f>
        <v>1316</v>
      </c>
      <c r="G158" s="39" t="n">
        <f aca="false">IF(OR(F158="",F158=0),"",D158/F158)</f>
        <v>0.570668693009119</v>
      </c>
      <c r="H158" s="39" t="n">
        <f aca="false">IF(OR(F158="",F158=0),"",E158/F158)</f>
        <v>0.429331306990881</v>
      </c>
      <c r="I158" s="38" t="s">
        <v>89</v>
      </c>
      <c r="J158" s="40" t="n">
        <v>1.25589305869883</v>
      </c>
      <c r="K158" s="39" t="n">
        <f aca="false">IF(G158="","",MAX(0,G158-J158/100))</f>
        <v>0.55810976242213</v>
      </c>
      <c r="L158" s="39" t="n">
        <f aca="false">IF(G158="","",MIN(1,G158+J158/100))</f>
        <v>0.583227623596107</v>
      </c>
      <c r="M158" s="21" t="n">
        <f aca="false">ROUND(Q158*S158,0)</f>
        <v>171</v>
      </c>
      <c r="N158" s="21" t="n">
        <f aca="false">ROUND(SQRT((F158*J158/100)^2+(G158*M158)^2),0)</f>
        <v>99</v>
      </c>
      <c r="P158" s="41" t="n">
        <v>4.51647187307979</v>
      </c>
      <c r="Q158" s="42" t="n">
        <v>1316</v>
      </c>
      <c r="R158" s="43" t="n">
        <f aca="false">MAX(0,MIN(1,P158/100+$D$5))</f>
        <v>0.570383163457763</v>
      </c>
      <c r="S158" s="43" t="n">
        <v>0.130204099606216</v>
      </c>
      <c r="T158" s="44" t="s">
        <v>192</v>
      </c>
    </row>
    <row r="159" customFormat="false" ht="15" hidden="false" customHeight="false" outlineLevel="0" collapsed="false">
      <c r="A159" s="38" t="s">
        <v>156</v>
      </c>
      <c r="B159" s="38" t="s">
        <v>253</v>
      </c>
      <c r="C159" s="38" t="s">
        <v>262</v>
      </c>
      <c r="D159" s="21" t="n">
        <f aca="false">ROUND(Q159*R159,0)</f>
        <v>733</v>
      </c>
      <c r="E159" s="21" t="n">
        <f aca="false">ROUND(Q159,0)-D159</f>
        <v>600</v>
      </c>
      <c r="F159" s="21" t="n">
        <f aca="false">IF(COUNTA(D159:E159)=0,"",SUM(D159:E159))</f>
        <v>1333</v>
      </c>
      <c r="G159" s="39" t="n">
        <f aca="false">IF(OR(F159="",F159=0),"",D159/F159)</f>
        <v>0.549887471867967</v>
      </c>
      <c r="H159" s="39" t="n">
        <f aca="false">IF(OR(F159="",F159=0),"",E159/F159)</f>
        <v>0.450112528132033</v>
      </c>
      <c r="I159" s="38" t="s">
        <v>89</v>
      </c>
      <c r="J159" s="40" t="n">
        <v>1.25589305869883</v>
      </c>
      <c r="K159" s="39" t="n">
        <f aca="false">IF(G159="","",MAX(0,G159-J159/100))</f>
        <v>0.537328541280979</v>
      </c>
      <c r="L159" s="39" t="n">
        <f aca="false">IF(G159="","",MIN(1,G159+J159/100))</f>
        <v>0.562446402454955</v>
      </c>
      <c r="M159" s="21" t="n">
        <f aca="false">ROUND(Q159*S159,0)</f>
        <v>174</v>
      </c>
      <c r="N159" s="21" t="n">
        <f aca="false">ROUND(SQRT((F159*J159/100)^2+(G159*M159)^2),0)</f>
        <v>97</v>
      </c>
      <c r="P159" s="41" t="n">
        <v>2.47764878609195</v>
      </c>
      <c r="Q159" s="42" t="n">
        <v>1333</v>
      </c>
      <c r="R159" s="43" t="n">
        <f aca="false">MAX(0,MIN(1,P159/100+$D$5))</f>
        <v>0.549994932587884</v>
      </c>
      <c r="S159" s="43" t="n">
        <v>0.130204099606216</v>
      </c>
      <c r="T159" s="44" t="s">
        <v>192</v>
      </c>
    </row>
    <row r="160" customFormat="false" ht="15" hidden="false" customHeight="false" outlineLevel="0" collapsed="false">
      <c r="A160" s="38" t="s">
        <v>156</v>
      </c>
      <c r="B160" s="38" t="s">
        <v>253</v>
      </c>
      <c r="C160" s="38" t="s">
        <v>263</v>
      </c>
      <c r="D160" s="21" t="n">
        <f aca="false">ROUND(Q160*R160,0)</f>
        <v>491</v>
      </c>
      <c r="E160" s="21" t="n">
        <f aca="false">ROUND(Q160,0)-D160</f>
        <v>403</v>
      </c>
      <c r="F160" s="21" t="n">
        <f aca="false">IF(COUNTA(D160:E160)=0,"",SUM(D160:E160))</f>
        <v>894</v>
      </c>
      <c r="G160" s="39" t="n">
        <f aca="false">IF(OR(F160="",F160=0),"",D160/F160)</f>
        <v>0.549217002237136</v>
      </c>
      <c r="H160" s="39" t="n">
        <f aca="false">IF(OR(F160="",F160=0),"",E160/F160)</f>
        <v>0.450782997762864</v>
      </c>
      <c r="I160" s="38" t="s">
        <v>89</v>
      </c>
      <c r="J160" s="40" t="n">
        <v>2.05025038892674</v>
      </c>
      <c r="K160" s="39" t="n">
        <f aca="false">IF(G160="","",MAX(0,G160-J160/100))</f>
        <v>0.528714498347869</v>
      </c>
      <c r="L160" s="39" t="n">
        <f aca="false">IF(G160="","",MIN(1,G160+J160/100))</f>
        <v>0.569719506126404</v>
      </c>
      <c r="M160" s="21" t="n">
        <f aca="false">ROUND(Q160*S160,0)</f>
        <v>45</v>
      </c>
      <c r="N160" s="21" t="n">
        <f aca="false">ROUND(SQRT((F160*J160/100)^2+(G160*M160)^2),0)</f>
        <v>31</v>
      </c>
      <c r="P160" s="41" t="n">
        <v>2.39048407650277</v>
      </c>
      <c r="Q160" s="42" t="n">
        <v>894</v>
      </c>
      <c r="R160" s="43" t="n">
        <f aca="false">MAX(0,MIN(1,P160/100+$D$5))</f>
        <v>0.549123285491992</v>
      </c>
      <c r="S160" s="43" t="n">
        <v>0.0500321312575726</v>
      </c>
      <c r="T160" s="44" t="s">
        <v>99</v>
      </c>
    </row>
    <row r="161" customFormat="false" ht="15" hidden="false" customHeight="false" outlineLevel="0" collapsed="false">
      <c r="A161" s="38" t="s">
        <v>156</v>
      </c>
      <c r="B161" s="38" t="s">
        <v>264</v>
      </c>
      <c r="C161" s="38" t="s">
        <v>264</v>
      </c>
      <c r="D161" s="21" t="n">
        <f aca="false">ROUND(Q161*R161,0)</f>
        <v>894</v>
      </c>
      <c r="E161" s="21" t="n">
        <f aca="false">ROUND(Q161,0)-D161</f>
        <v>1267</v>
      </c>
      <c r="F161" s="21" t="n">
        <f aca="false">IF(COUNTA(D161:E161)=0,"",SUM(D161:E161))</f>
        <v>2161</v>
      </c>
      <c r="G161" s="39" t="n">
        <f aca="false">IF(OR(F161="",F161=0),"",D161/F161)</f>
        <v>0.413697362332254</v>
      </c>
      <c r="H161" s="39" t="n">
        <f aca="false">IF(OR(F161="",F161=0),"",E161/F161)</f>
        <v>0.586302637667746</v>
      </c>
      <c r="I161" s="38" t="s">
        <v>89</v>
      </c>
      <c r="J161" s="40" t="n">
        <v>1.25589305869883</v>
      </c>
      <c r="K161" s="39" t="n">
        <f aca="false">IF(G161="","",MAX(0,G161-J161/100))</f>
        <v>0.401138431745265</v>
      </c>
      <c r="L161" s="39" t="n">
        <f aca="false">IF(G161="","",MIN(1,G161+J161/100))</f>
        <v>0.426256292919242</v>
      </c>
      <c r="M161" s="21" t="n">
        <f aca="false">ROUND(Q161*S161,0)</f>
        <v>281</v>
      </c>
      <c r="N161" s="21" t="n">
        <f aca="false">ROUND(SQRT((F161*J161/100)^2+(G161*M161)^2),0)</f>
        <v>119</v>
      </c>
      <c r="P161" s="41" t="n">
        <v>-11.1666492145747</v>
      </c>
      <c r="Q161" s="42" t="n">
        <v>2161</v>
      </c>
      <c r="R161" s="43" t="n">
        <f aca="false">MAX(0,MIN(1,P161/100+$D$5))</f>
        <v>0.413551952581218</v>
      </c>
      <c r="S161" s="43" t="n">
        <v>0.130204099606216</v>
      </c>
      <c r="T161" s="44" t="s">
        <v>192</v>
      </c>
    </row>
    <row r="162" customFormat="false" ht="15" hidden="false" customHeight="false" outlineLevel="0" collapsed="false">
      <c r="A162" s="38" t="s">
        <v>156</v>
      </c>
      <c r="B162" s="38" t="s">
        <v>265</v>
      </c>
      <c r="C162" s="38" t="s">
        <v>265</v>
      </c>
      <c r="D162" s="21" t="n">
        <f aca="false">ROUND(Q162*R162,0)</f>
        <v>480</v>
      </c>
      <c r="E162" s="21" t="n">
        <f aca="false">ROUND(Q162,0)-D162</f>
        <v>737</v>
      </c>
      <c r="F162" s="21" t="n">
        <f aca="false">IF(COUNTA(D162:E162)=0,"",SUM(D162:E162))</f>
        <v>1217</v>
      </c>
      <c r="G162" s="39" t="n">
        <f aca="false">IF(OR(F162="",F162=0),"",D162/F162)</f>
        <v>0.394412489728841</v>
      </c>
      <c r="H162" s="39" t="n">
        <f aca="false">IF(OR(F162="",F162=0),"",E162/F162)</f>
        <v>0.605587510271159</v>
      </c>
      <c r="I162" s="38" t="s">
        <v>89</v>
      </c>
      <c r="J162" s="40" t="n">
        <v>1.25589305869883</v>
      </c>
      <c r="K162" s="39" t="n">
        <f aca="false">IF(G162="","",MAX(0,G162-J162/100))</f>
        <v>0.381853559141853</v>
      </c>
      <c r="L162" s="39" t="n">
        <f aca="false">IF(G162="","",MIN(1,G162+J162/100))</f>
        <v>0.40697142031583</v>
      </c>
      <c r="M162" s="21" t="n">
        <f aca="false">ROUND(Q162*S162,0)</f>
        <v>158</v>
      </c>
      <c r="N162" s="21" t="n">
        <f aca="false">ROUND(SQRT((F162*J162/100)^2+(G162*M162)^2),0)</f>
        <v>64</v>
      </c>
      <c r="P162" s="41" t="n">
        <v>-13.0938183309912</v>
      </c>
      <c r="Q162" s="42" t="n">
        <v>1217</v>
      </c>
      <c r="R162" s="43" t="n">
        <f aca="false">MAX(0,MIN(1,P162/100+$D$5))</f>
        <v>0.394280261417053</v>
      </c>
      <c r="S162" s="43" t="n">
        <v>0.130204099606216</v>
      </c>
      <c r="T162" s="44" t="s">
        <v>192</v>
      </c>
    </row>
    <row r="163" customFormat="false" ht="15" hidden="false" customHeight="false" outlineLevel="0" collapsed="false">
      <c r="A163" s="38" t="s">
        <v>156</v>
      </c>
      <c r="B163" s="38" t="s">
        <v>266</v>
      </c>
      <c r="C163" s="38" t="s">
        <v>267</v>
      </c>
      <c r="D163" s="21" t="n">
        <f aca="false">ROUND(Q163*R163,0)</f>
        <v>165</v>
      </c>
      <c r="E163" s="21" t="n">
        <f aca="false">ROUND(Q163,0)-D163</f>
        <v>375</v>
      </c>
      <c r="F163" s="21" t="n">
        <f aca="false">IF(COUNTA(D163:E163)=0,"",SUM(D163:E163))</f>
        <v>540</v>
      </c>
      <c r="G163" s="39" t="n">
        <f aca="false">IF(OR(F163="",F163=0),"",D163/F163)</f>
        <v>0.305555555555556</v>
      </c>
      <c r="H163" s="39" t="n">
        <f aca="false">IF(OR(F163="",F163=0),"",E163/F163)</f>
        <v>0.694444444444444</v>
      </c>
      <c r="I163" s="38" t="s">
        <v>89</v>
      </c>
      <c r="J163" s="40" t="n">
        <v>3.45317612968717</v>
      </c>
      <c r="K163" s="39" t="n">
        <f aca="false">IF(G163="","",MAX(0,G163-J163/100))</f>
        <v>0.271023794258684</v>
      </c>
      <c r="L163" s="39" t="n">
        <f aca="false">IF(G163="","",MIN(1,G163+J163/100))</f>
        <v>0.340087316852427</v>
      </c>
      <c r="M163" s="21" t="n">
        <f aca="false">ROUND(Q163*S163,0)</f>
        <v>33</v>
      </c>
      <c r="N163" s="21" t="n">
        <f aca="false">ROUND(SQRT((F163*J163/100)^2+(G163*M163)^2),0)</f>
        <v>21</v>
      </c>
      <c r="P163" s="41" t="n">
        <v>-21.8948250703239</v>
      </c>
      <c r="Q163" s="42" t="n">
        <v>540</v>
      </c>
      <c r="R163" s="43" t="n">
        <f aca="false">MAX(0,MIN(1,P163/100+$D$5))</f>
        <v>0.306270194023726</v>
      </c>
      <c r="S163" s="43" t="n">
        <v>0.0610405690258335</v>
      </c>
      <c r="T163" s="44" t="s">
        <v>90</v>
      </c>
    </row>
    <row r="164" customFormat="false" ht="15" hidden="false" customHeight="false" outlineLevel="0" collapsed="false">
      <c r="A164" s="38" t="s">
        <v>156</v>
      </c>
      <c r="B164" s="38" t="s">
        <v>266</v>
      </c>
      <c r="C164" s="38" t="s">
        <v>268</v>
      </c>
      <c r="D164" s="21" t="n">
        <f aca="false">ROUND(Q164*R164,0)</f>
        <v>126</v>
      </c>
      <c r="E164" s="21" t="n">
        <f aca="false">ROUND(Q164,0)-D164</f>
        <v>234</v>
      </c>
      <c r="F164" s="21" t="n">
        <f aca="false">IF(COUNTA(D164:E164)=0,"",SUM(D164:E164))</f>
        <v>360</v>
      </c>
      <c r="G164" s="39" t="n">
        <f aca="false">IF(OR(F164="",F164=0),"",D164/F164)</f>
        <v>0.35</v>
      </c>
      <c r="H164" s="39" t="n">
        <f aca="false">IF(OR(F164="",F164=0),"",E164/F164)</f>
        <v>0.65</v>
      </c>
      <c r="I164" s="38" t="s">
        <v>89</v>
      </c>
      <c r="J164" s="40" t="n">
        <v>3.45317612968717</v>
      </c>
      <c r="K164" s="39" t="n">
        <f aca="false">IF(G164="","",MAX(0,G164-J164/100))</f>
        <v>0.315468238703128</v>
      </c>
      <c r="L164" s="39" t="n">
        <f aca="false">IF(G164="","",MIN(1,G164+J164/100))</f>
        <v>0.384531761296872</v>
      </c>
      <c r="M164" s="21" t="n">
        <f aca="false">ROUND(Q164*S164,0)</f>
        <v>22</v>
      </c>
      <c r="N164" s="21" t="n">
        <f aca="false">ROUND(SQRT((F164*J164/100)^2+(G164*M164)^2),0)</f>
        <v>15</v>
      </c>
      <c r="P164" s="41" t="n">
        <v>-17.4707551621774</v>
      </c>
      <c r="Q164" s="42" t="n">
        <v>360</v>
      </c>
      <c r="R164" s="43" t="n">
        <f aca="false">MAX(0,MIN(1,P164/100+$D$5))</f>
        <v>0.35051089310519</v>
      </c>
      <c r="S164" s="43" t="n">
        <v>0.0610405690258335</v>
      </c>
      <c r="T164" s="44" t="s">
        <v>90</v>
      </c>
    </row>
    <row r="165" customFormat="false" ht="15" hidden="false" customHeight="false" outlineLevel="0" collapsed="false">
      <c r="A165" s="38" t="s">
        <v>156</v>
      </c>
      <c r="B165" s="38" t="s">
        <v>266</v>
      </c>
      <c r="C165" s="38" t="s">
        <v>269</v>
      </c>
      <c r="D165" s="21" t="n">
        <f aca="false">ROUND(Q165*R165,0)</f>
        <v>458</v>
      </c>
      <c r="E165" s="21" t="n">
        <f aca="false">ROUND(Q165,0)-D165</f>
        <v>795</v>
      </c>
      <c r="F165" s="21" t="n">
        <f aca="false">IF(COUNTA(D165:E165)=0,"",SUM(D165:E165))</f>
        <v>1253</v>
      </c>
      <c r="G165" s="39" t="n">
        <f aca="false">IF(OR(F165="",F165=0),"",D165/F165)</f>
        <v>0.365522745411014</v>
      </c>
      <c r="H165" s="39" t="n">
        <f aca="false">IF(OR(F165="",F165=0),"",E165/F165)</f>
        <v>0.634477254588986</v>
      </c>
      <c r="I165" s="38" t="s">
        <v>89</v>
      </c>
      <c r="J165" s="40" t="n">
        <v>1.25589305869883</v>
      </c>
      <c r="K165" s="39" t="n">
        <f aca="false">IF(G165="","",MAX(0,G165-J165/100))</f>
        <v>0.352963814824025</v>
      </c>
      <c r="L165" s="39" t="n">
        <f aca="false">IF(G165="","",MIN(1,G165+J165/100))</f>
        <v>0.378081675998002</v>
      </c>
      <c r="M165" s="21" t="n">
        <f aca="false">ROUND(Q165*S165,0)</f>
        <v>163</v>
      </c>
      <c r="N165" s="21" t="n">
        <f aca="false">ROUND(SQRT((F165*J165/100)^2+(G165*M165)^2),0)</f>
        <v>62</v>
      </c>
      <c r="P165" s="41" t="n">
        <v>-15.9720705337791</v>
      </c>
      <c r="Q165" s="42" t="n">
        <v>1253</v>
      </c>
      <c r="R165" s="43" t="n">
        <f aca="false">MAX(0,MIN(1,P165/100+$D$5))</f>
        <v>0.365497739389174</v>
      </c>
      <c r="S165" s="43" t="n">
        <v>0.130204099606216</v>
      </c>
      <c r="T165" s="44" t="s">
        <v>192</v>
      </c>
    </row>
    <row r="166" customFormat="false" ht="15" hidden="false" customHeight="false" outlineLevel="0" collapsed="false">
      <c r="A166" s="38" t="s">
        <v>156</v>
      </c>
      <c r="B166" s="38" t="s">
        <v>270</v>
      </c>
      <c r="C166" s="38" t="s">
        <v>270</v>
      </c>
      <c r="D166" s="21" t="n">
        <f aca="false">ROUND(Q166*R166,0)</f>
        <v>800</v>
      </c>
      <c r="E166" s="21" t="n">
        <f aca="false">ROUND(Q166,0)-D166</f>
        <v>616</v>
      </c>
      <c r="F166" s="21" t="n">
        <f aca="false">IF(COUNTA(D166:E166)=0,"",SUM(D166:E166))</f>
        <v>1416</v>
      </c>
      <c r="G166" s="39" t="n">
        <f aca="false">IF(OR(F166="",F166=0),"",D166/F166)</f>
        <v>0.564971751412429</v>
      </c>
      <c r="H166" s="39" t="n">
        <f aca="false">IF(OR(F166="",F166=0),"",E166/F166)</f>
        <v>0.435028248587571</v>
      </c>
      <c r="I166" s="38" t="s">
        <v>89</v>
      </c>
      <c r="J166" s="40" t="n">
        <v>1.25589305869883</v>
      </c>
      <c r="K166" s="39" t="n">
        <f aca="false">IF(G166="","",MAX(0,G166-J166/100))</f>
        <v>0.552412820825441</v>
      </c>
      <c r="L166" s="39" t="n">
        <f aca="false">IF(G166="","",MIN(1,G166+J166/100))</f>
        <v>0.577530681999418</v>
      </c>
      <c r="M166" s="21" t="n">
        <f aca="false">ROUND(Q166*S166,0)</f>
        <v>184</v>
      </c>
      <c r="N166" s="21" t="n">
        <f aca="false">ROUND(SQRT((F166*J166/100)^2+(G166*M166)^2),0)</f>
        <v>105</v>
      </c>
      <c r="P166" s="41" t="n">
        <v>3.99033216429141</v>
      </c>
      <c r="Q166" s="42" t="n">
        <v>1416</v>
      </c>
      <c r="R166" s="43" t="n">
        <f aca="false">MAX(0,MIN(1,P166/100+$D$5))</f>
        <v>0.565121766369879</v>
      </c>
      <c r="S166" s="43" t="n">
        <v>0.130204099606216</v>
      </c>
      <c r="T166" s="44" t="s">
        <v>192</v>
      </c>
    </row>
    <row r="167" customFormat="false" ht="15" hidden="false" customHeight="false" outlineLevel="0" collapsed="false">
      <c r="A167" s="38" t="s">
        <v>156</v>
      </c>
      <c r="B167" s="38" t="s">
        <v>271</v>
      </c>
      <c r="C167" s="38" t="s">
        <v>272</v>
      </c>
      <c r="D167" s="21" t="n">
        <f aca="false">ROUND(Q167*R167,0)</f>
        <v>882</v>
      </c>
      <c r="E167" s="21" t="n">
        <f aca="false">ROUND(Q167,0)-D167</f>
        <v>991</v>
      </c>
      <c r="F167" s="21" t="n">
        <f aca="false">IF(COUNTA(D167:E167)=0,"",SUM(D167:E167))</f>
        <v>1873</v>
      </c>
      <c r="G167" s="39" t="n">
        <f aca="false">IF(OR(F167="",F167=0),"",D167/F167)</f>
        <v>0.470902295782168</v>
      </c>
      <c r="H167" s="39" t="n">
        <f aca="false">IF(OR(F167="",F167=0),"",E167/F167)</f>
        <v>0.529097704217832</v>
      </c>
      <c r="I167" s="38" t="s">
        <v>89</v>
      </c>
      <c r="J167" s="40" t="n">
        <v>1.25589305869883</v>
      </c>
      <c r="K167" s="39" t="n">
        <f aca="false">IF(G167="","",MAX(0,G167-J167/100))</f>
        <v>0.458343365195179</v>
      </c>
      <c r="L167" s="39" t="n">
        <f aca="false">IF(G167="","",MIN(1,G167+J167/100))</f>
        <v>0.483461226369156</v>
      </c>
      <c r="M167" s="21" t="n">
        <f aca="false">ROUND(Q167*S167,0)</f>
        <v>244</v>
      </c>
      <c r="N167" s="21" t="n">
        <f aca="false">ROUND(SQRT((F167*J167/100)^2+(G167*M167)^2),0)</f>
        <v>117</v>
      </c>
      <c r="P167" s="41" t="n">
        <v>-5.40496731756267</v>
      </c>
      <c r="Q167" s="42" t="n">
        <v>1873</v>
      </c>
      <c r="R167" s="43" t="n">
        <f aca="false">MAX(0,MIN(1,P167/100+$D$5))</f>
        <v>0.471168771551338</v>
      </c>
      <c r="S167" s="43" t="n">
        <v>0.130204099606216</v>
      </c>
      <c r="T167" s="44" t="s">
        <v>192</v>
      </c>
    </row>
    <row r="168" customFormat="false" ht="15" hidden="false" customHeight="false" outlineLevel="0" collapsed="false">
      <c r="A168" s="38" t="s">
        <v>156</v>
      </c>
      <c r="B168" s="38" t="s">
        <v>271</v>
      </c>
      <c r="C168" s="38" t="s">
        <v>273</v>
      </c>
      <c r="D168" s="21" t="n">
        <f aca="false">ROUND(Q168*R168,0)</f>
        <v>721</v>
      </c>
      <c r="E168" s="21" t="n">
        <f aca="false">ROUND(Q168,0)-D168</f>
        <v>946</v>
      </c>
      <c r="F168" s="21" t="n">
        <f aca="false">IF(COUNTA(D168:E168)=0,"",SUM(D168:E168))</f>
        <v>1667</v>
      </c>
      <c r="G168" s="39" t="n">
        <f aca="false">IF(OR(F168="",F168=0),"",D168/F168)</f>
        <v>0.43251349730054</v>
      </c>
      <c r="H168" s="39" t="n">
        <f aca="false">IF(OR(F168="",F168=0),"",E168/F168)</f>
        <v>0.56748650269946</v>
      </c>
      <c r="I168" s="38" t="s">
        <v>89</v>
      </c>
      <c r="J168" s="40" t="n">
        <v>1.25589305869883</v>
      </c>
      <c r="K168" s="39" t="n">
        <f aca="false">IF(G168="","",MAX(0,G168-J168/100))</f>
        <v>0.419954566713552</v>
      </c>
      <c r="L168" s="39" t="n">
        <f aca="false">IF(G168="","",MIN(1,G168+J168/100))</f>
        <v>0.445072427887528</v>
      </c>
      <c r="M168" s="21" t="n">
        <f aca="false">ROUND(Q168*S168,0)</f>
        <v>217</v>
      </c>
      <c r="N168" s="21" t="n">
        <f aca="false">ROUND(SQRT((F168*J168/100)^2+(G168*M168)^2),0)</f>
        <v>96</v>
      </c>
      <c r="P168" s="41" t="n">
        <v>-9.2853380946267</v>
      </c>
      <c r="Q168" s="42" t="n">
        <v>1667</v>
      </c>
      <c r="R168" s="43" t="n">
        <f aca="false">MAX(0,MIN(1,P168/100+$D$5))</f>
        <v>0.432365063780698</v>
      </c>
      <c r="S168" s="43" t="n">
        <v>0.130204099606216</v>
      </c>
      <c r="T168" s="44" t="s">
        <v>192</v>
      </c>
    </row>
    <row r="169" customFormat="false" ht="15" hidden="false" customHeight="false" outlineLevel="0" collapsed="false">
      <c r="A169" s="38" t="s">
        <v>156</v>
      </c>
      <c r="B169" s="38" t="s">
        <v>271</v>
      </c>
      <c r="C169" s="38" t="s">
        <v>274</v>
      </c>
      <c r="D169" s="21" t="n">
        <f aca="false">ROUND(Q169*R169,0)</f>
        <v>383</v>
      </c>
      <c r="E169" s="21" t="n">
        <f aca="false">ROUND(Q169,0)-D169</f>
        <v>506</v>
      </c>
      <c r="F169" s="21" t="n">
        <f aca="false">IF(COUNTA(D169:E169)=0,"",SUM(D169:E169))</f>
        <v>889</v>
      </c>
      <c r="G169" s="39" t="n">
        <f aca="false">IF(OR(F169="",F169=0),"",D169/F169)</f>
        <v>0.43082114735658</v>
      </c>
      <c r="H169" s="39" t="n">
        <f aca="false">IF(OR(F169="",F169=0),"",E169/F169)</f>
        <v>0.56917885264342</v>
      </c>
      <c r="I169" s="38" t="s">
        <v>89</v>
      </c>
      <c r="J169" s="40" t="n">
        <v>2.05025038892674</v>
      </c>
      <c r="K169" s="39" t="n">
        <f aca="false">IF(G169="","",MAX(0,G169-J169/100))</f>
        <v>0.410318643467313</v>
      </c>
      <c r="L169" s="39" t="n">
        <f aca="false">IF(G169="","",MIN(1,G169+J169/100))</f>
        <v>0.451323651245848</v>
      </c>
      <c r="M169" s="21" t="n">
        <f aca="false">ROUND(Q169*S169,0)</f>
        <v>44</v>
      </c>
      <c r="N169" s="21" t="n">
        <f aca="false">ROUND(SQRT((F169*J169/100)^2+(G169*M169)^2),0)</f>
        <v>26</v>
      </c>
      <c r="P169" s="41" t="n">
        <v>-9.44481675716803</v>
      </c>
      <c r="Q169" s="42" t="n">
        <v>889</v>
      </c>
      <c r="R169" s="43" t="n">
        <f aca="false">MAX(0,MIN(1,P169/100+$D$5))</f>
        <v>0.430770277155284</v>
      </c>
      <c r="S169" s="43" t="n">
        <v>0.0500321312575726</v>
      </c>
      <c r="T169" s="44" t="s">
        <v>99</v>
      </c>
    </row>
    <row r="170" customFormat="false" ht="15" hidden="false" customHeight="false" outlineLevel="0" collapsed="false">
      <c r="A170" s="38" t="s">
        <v>156</v>
      </c>
      <c r="B170" s="38" t="s">
        <v>271</v>
      </c>
      <c r="C170" s="38" t="s">
        <v>275</v>
      </c>
      <c r="D170" s="21" t="n">
        <f aca="false">ROUND(Q170*R170,0)</f>
        <v>565</v>
      </c>
      <c r="E170" s="21" t="n">
        <f aca="false">ROUND(Q170,0)-D170</f>
        <v>714</v>
      </c>
      <c r="F170" s="21" t="n">
        <f aca="false">IF(COUNTA(D170:E170)=0,"",SUM(D170:E170))</f>
        <v>1279</v>
      </c>
      <c r="G170" s="39" t="n">
        <f aca="false">IF(OR(F170="",F170=0),"",D170/F170)</f>
        <v>0.44175136825645</v>
      </c>
      <c r="H170" s="39" t="n">
        <f aca="false">IF(OR(F170="",F170=0),"",E170/F170)</f>
        <v>0.55824863174355</v>
      </c>
      <c r="I170" s="38" t="s">
        <v>89</v>
      </c>
      <c r="J170" s="40" t="n">
        <v>1.25589305869883</v>
      </c>
      <c r="K170" s="39" t="n">
        <f aca="false">IF(G170="","",MAX(0,G170-J170/100))</f>
        <v>0.429192437669462</v>
      </c>
      <c r="L170" s="39" t="n">
        <f aca="false">IF(G170="","",MIN(1,G170+J170/100))</f>
        <v>0.454310298843439</v>
      </c>
      <c r="M170" s="21" t="n">
        <f aca="false">ROUND(Q170*S170,0)</f>
        <v>167</v>
      </c>
      <c r="N170" s="21" t="n">
        <f aca="false">ROUND(SQRT((F170*J170/100)^2+(G170*M170)^2),0)</f>
        <v>76</v>
      </c>
      <c r="P170" s="41" t="n">
        <v>-8.31142085452264</v>
      </c>
      <c r="Q170" s="42" t="n">
        <v>1279</v>
      </c>
      <c r="R170" s="43" t="n">
        <f aca="false">MAX(0,MIN(1,P170/100+$D$5))</f>
        <v>0.442104236181738</v>
      </c>
      <c r="S170" s="43" t="n">
        <v>0.130204099606216</v>
      </c>
      <c r="T170" s="44" t="s">
        <v>192</v>
      </c>
    </row>
    <row r="171" customFormat="false" ht="15" hidden="false" customHeight="false" outlineLevel="0" collapsed="false">
      <c r="A171" s="38" t="s">
        <v>156</v>
      </c>
      <c r="B171" s="38" t="s">
        <v>271</v>
      </c>
      <c r="C171" s="38" t="s">
        <v>276</v>
      </c>
      <c r="D171" s="21" t="n">
        <f aca="false">ROUND(Q171*R171,0)</f>
        <v>495</v>
      </c>
      <c r="E171" s="21" t="n">
        <f aca="false">ROUND(Q171,0)-D171</f>
        <v>683</v>
      </c>
      <c r="F171" s="21" t="n">
        <f aca="false">IF(COUNTA(D171:E171)=0,"",SUM(D171:E171))</f>
        <v>1178</v>
      </c>
      <c r="G171" s="39" t="n">
        <f aca="false">IF(OR(F171="",F171=0),"",D171/F171)</f>
        <v>0.420203735144312</v>
      </c>
      <c r="H171" s="39" t="n">
        <f aca="false">IF(OR(F171="",F171=0),"",E171/F171)</f>
        <v>0.579796264855688</v>
      </c>
      <c r="I171" s="38" t="s">
        <v>89</v>
      </c>
      <c r="J171" s="40" t="n">
        <v>2.05025038892674</v>
      </c>
      <c r="K171" s="39" t="n">
        <f aca="false">IF(G171="","",MAX(0,G171-J171/100))</f>
        <v>0.399701231255045</v>
      </c>
      <c r="L171" s="39" t="n">
        <f aca="false">IF(G171="","",MIN(1,G171+J171/100))</f>
        <v>0.44070623903358</v>
      </c>
      <c r="M171" s="21" t="n">
        <f aca="false">ROUND(Q171*S171,0)</f>
        <v>59</v>
      </c>
      <c r="N171" s="21" t="n">
        <f aca="false">ROUND(SQRT((F171*J171/100)^2+(G171*M171)^2),0)</f>
        <v>35</v>
      </c>
      <c r="P171" s="41" t="n">
        <v>-10.5114723323289</v>
      </c>
      <c r="Q171" s="42" t="n">
        <v>1178</v>
      </c>
      <c r="R171" s="43" t="n">
        <f aca="false">MAX(0,MIN(1,P171/100+$D$5))</f>
        <v>0.420103721403676</v>
      </c>
      <c r="S171" s="43" t="n">
        <v>0.0500321312575726</v>
      </c>
      <c r="T171" s="44" t="s">
        <v>99</v>
      </c>
    </row>
    <row r="172" customFormat="false" ht="15" hidden="false" customHeight="false" outlineLevel="0" collapsed="false">
      <c r="A172" s="38" t="s">
        <v>156</v>
      </c>
      <c r="B172" s="38" t="s">
        <v>271</v>
      </c>
      <c r="C172" s="38" t="s">
        <v>277</v>
      </c>
      <c r="D172" s="21" t="n">
        <f aca="false">ROUND(Q172*R172,0)</f>
        <v>391</v>
      </c>
      <c r="E172" s="21" t="n">
        <f aca="false">ROUND(Q172,0)-D172</f>
        <v>440</v>
      </c>
      <c r="F172" s="21" t="n">
        <f aca="false">IF(COUNTA(D172:E172)=0,"",SUM(D172:E172))</f>
        <v>831</v>
      </c>
      <c r="G172" s="39" t="n">
        <f aca="false">IF(OR(F172="",F172=0),"",D172/F172)</f>
        <v>0.470517448856799</v>
      </c>
      <c r="H172" s="39" t="n">
        <f aca="false">IF(OR(F172="",F172=0),"",E172/F172)</f>
        <v>0.529482551143201</v>
      </c>
      <c r="I172" s="38" t="s">
        <v>89</v>
      </c>
      <c r="J172" s="40" t="n">
        <v>2.05025038892674</v>
      </c>
      <c r="K172" s="39" t="n">
        <f aca="false">IF(G172="","",MAX(0,G172-J172/100))</f>
        <v>0.450014944967532</v>
      </c>
      <c r="L172" s="39" t="n">
        <f aca="false">IF(G172="","",MIN(1,G172+J172/100))</f>
        <v>0.491019952746066</v>
      </c>
      <c r="M172" s="21" t="n">
        <f aca="false">ROUND(Q172*S172,0)</f>
        <v>42</v>
      </c>
      <c r="N172" s="21" t="n">
        <f aca="false">ROUND(SQRT((F172*J172/100)^2+(G172*M172)^2),0)</f>
        <v>26</v>
      </c>
      <c r="P172" s="41" t="n">
        <v>-5.44643244666057</v>
      </c>
      <c r="Q172" s="42" t="n">
        <v>831</v>
      </c>
      <c r="R172" s="43" t="n">
        <f aca="false">MAX(0,MIN(1,P172/100+$D$5))</f>
        <v>0.470754120260359</v>
      </c>
      <c r="S172" s="43" t="n">
        <v>0.0500321312575726</v>
      </c>
      <c r="T172" s="44" t="s">
        <v>99</v>
      </c>
    </row>
    <row r="173" customFormat="false" ht="15" hidden="false" customHeight="false" outlineLevel="0" collapsed="false">
      <c r="A173" s="38" t="s">
        <v>156</v>
      </c>
      <c r="B173" s="38" t="s">
        <v>278</v>
      </c>
      <c r="C173" s="38" t="s">
        <v>279</v>
      </c>
      <c r="D173" s="21" t="n">
        <f aca="false">ROUND(Q173*R173,0)</f>
        <v>544</v>
      </c>
      <c r="E173" s="21" t="n">
        <f aca="false">ROUND(Q173,0)-D173</f>
        <v>461</v>
      </c>
      <c r="F173" s="21" t="n">
        <f aca="false">IF(COUNTA(D173:E173)=0,"",SUM(D173:E173))</f>
        <v>1005</v>
      </c>
      <c r="G173" s="39" t="n">
        <f aca="false">IF(OR(F173="",F173=0),"",D173/F173)</f>
        <v>0.541293532338309</v>
      </c>
      <c r="H173" s="39" t="n">
        <f aca="false">IF(OR(F173="",F173=0),"",E173/F173)</f>
        <v>0.458706467661692</v>
      </c>
      <c r="I173" s="38" t="s">
        <v>89</v>
      </c>
      <c r="J173" s="40" t="n">
        <v>2.05025038892674</v>
      </c>
      <c r="K173" s="39" t="n">
        <f aca="false">IF(G173="","",MAX(0,G173-J173/100))</f>
        <v>0.520791028449041</v>
      </c>
      <c r="L173" s="39" t="n">
        <f aca="false">IF(G173="","",MIN(1,G173+J173/100))</f>
        <v>0.561796036227576</v>
      </c>
      <c r="M173" s="21" t="n">
        <f aca="false">ROUND(Q173*S173,0)</f>
        <v>50</v>
      </c>
      <c r="N173" s="21" t="n">
        <f aca="false">ROUND(SQRT((F173*J173/100)^2+(G173*M173)^2),0)</f>
        <v>34</v>
      </c>
      <c r="P173" s="41" t="n">
        <v>1.62814915491768</v>
      </c>
      <c r="Q173" s="42" t="n">
        <v>1005</v>
      </c>
      <c r="R173" s="43" t="n">
        <f aca="false">MAX(0,MIN(1,P173/100+$D$5))</f>
        <v>0.541499936276142</v>
      </c>
      <c r="S173" s="43" t="n">
        <v>0.0500321312575726</v>
      </c>
      <c r="T173" s="44" t="s">
        <v>99</v>
      </c>
    </row>
    <row r="174" customFormat="false" ht="15" hidden="false" customHeight="false" outlineLevel="0" collapsed="false">
      <c r="A174" s="38" t="s">
        <v>156</v>
      </c>
      <c r="B174" s="38" t="s">
        <v>278</v>
      </c>
      <c r="C174" s="38" t="s">
        <v>280</v>
      </c>
      <c r="D174" s="21" t="n">
        <f aca="false">ROUND(Q174*R174,0)</f>
        <v>648</v>
      </c>
      <c r="E174" s="21" t="n">
        <f aca="false">ROUND(Q174,0)-D174</f>
        <v>531</v>
      </c>
      <c r="F174" s="21" t="n">
        <f aca="false">IF(COUNTA(D174:E174)=0,"",SUM(D174:E174))</f>
        <v>1179</v>
      </c>
      <c r="G174" s="39" t="n">
        <f aca="false">IF(OR(F174="",F174=0),"",D174/F174)</f>
        <v>0.549618320610687</v>
      </c>
      <c r="H174" s="39" t="n">
        <f aca="false">IF(OR(F174="",F174=0),"",E174/F174)</f>
        <v>0.450381679389313</v>
      </c>
      <c r="I174" s="38" t="s">
        <v>89</v>
      </c>
      <c r="J174" s="40" t="n">
        <v>2.05025038892674</v>
      </c>
      <c r="K174" s="39" t="n">
        <f aca="false">IF(G174="","",MAX(0,G174-J174/100))</f>
        <v>0.52911581672142</v>
      </c>
      <c r="L174" s="39" t="n">
        <f aca="false">IF(G174="","",MIN(1,G174+J174/100))</f>
        <v>0.570120824499954</v>
      </c>
      <c r="M174" s="21" t="n">
        <f aca="false">ROUND(Q174*S174,0)</f>
        <v>59</v>
      </c>
      <c r="N174" s="21" t="n">
        <f aca="false">ROUND(SQRT((F174*J174/100)^2+(G174*M174)^2),0)</f>
        <v>40</v>
      </c>
      <c r="P174" s="41" t="n">
        <v>2.45789956206802</v>
      </c>
      <c r="Q174" s="42" t="n">
        <v>1179</v>
      </c>
      <c r="R174" s="43" t="n">
        <f aca="false">MAX(0,MIN(1,P174/100+$D$5))</f>
        <v>0.549797440347645</v>
      </c>
      <c r="S174" s="43" t="n">
        <v>0.0500321312575726</v>
      </c>
      <c r="T174" s="44" t="s">
        <v>99</v>
      </c>
    </row>
    <row r="175" customFormat="false" ht="15" hidden="false" customHeight="false" outlineLevel="0" collapsed="false">
      <c r="A175" s="38" t="s">
        <v>156</v>
      </c>
      <c r="B175" s="38" t="s">
        <v>278</v>
      </c>
      <c r="C175" s="38" t="s">
        <v>281</v>
      </c>
      <c r="D175" s="21" t="n">
        <f aca="false">ROUND(Q175*R175,0)</f>
        <v>303</v>
      </c>
      <c r="E175" s="21" t="n">
        <f aca="false">ROUND(Q175,0)-D175</f>
        <v>257</v>
      </c>
      <c r="F175" s="21" t="n">
        <f aca="false">IF(COUNTA(D175:E175)=0,"",SUM(D175:E175))</f>
        <v>560</v>
      </c>
      <c r="G175" s="39" t="n">
        <f aca="false">IF(OR(F175="",F175=0),"",D175/F175)</f>
        <v>0.541071428571429</v>
      </c>
      <c r="H175" s="39" t="n">
        <f aca="false">IF(OR(F175="",F175=0),"",E175/F175)</f>
        <v>0.458928571428571</v>
      </c>
      <c r="I175" s="38" t="s">
        <v>89</v>
      </c>
      <c r="J175" s="40" t="n">
        <v>3.45317612968717</v>
      </c>
      <c r="K175" s="39" t="n">
        <f aca="false">IF(G175="","",MAX(0,G175-J175/100))</f>
        <v>0.506539667274557</v>
      </c>
      <c r="L175" s="39" t="n">
        <f aca="false">IF(G175="","",MIN(1,G175+J175/100))</f>
        <v>0.5756031898683</v>
      </c>
      <c r="M175" s="21" t="n">
        <f aca="false">ROUND(Q175*S175,0)</f>
        <v>34</v>
      </c>
      <c r="N175" s="21" t="n">
        <f aca="false">ROUND(SQRT((F175*J175/100)^2+(G175*M175)^2),0)</f>
        <v>27</v>
      </c>
      <c r="P175" s="41" t="n">
        <v>1.62536100661203</v>
      </c>
      <c r="Q175" s="42" t="n">
        <v>560</v>
      </c>
      <c r="R175" s="43" t="n">
        <f aca="false">MAX(0,MIN(1,P175/100+$D$5))</f>
        <v>0.541472054793085</v>
      </c>
      <c r="S175" s="43" t="n">
        <v>0.0610405690258335</v>
      </c>
      <c r="T175" s="44" t="s">
        <v>90</v>
      </c>
    </row>
    <row r="176" customFormat="false" ht="15" hidden="false" customHeight="false" outlineLevel="0" collapsed="false">
      <c r="A176" s="38" t="s">
        <v>156</v>
      </c>
      <c r="B176" s="38" t="s">
        <v>278</v>
      </c>
      <c r="C176" s="38" t="s">
        <v>282</v>
      </c>
      <c r="D176" s="21" t="n">
        <f aca="false">ROUND(Q176*R176,0)</f>
        <v>345</v>
      </c>
      <c r="E176" s="21" t="n">
        <f aca="false">ROUND(Q176,0)-D176</f>
        <v>283</v>
      </c>
      <c r="F176" s="21" t="n">
        <f aca="false">IF(COUNTA(D176:E176)=0,"",SUM(D176:E176))</f>
        <v>628</v>
      </c>
      <c r="G176" s="39" t="n">
        <f aca="false">IF(OR(F176="",F176=0),"",D176/F176)</f>
        <v>0.549363057324841</v>
      </c>
      <c r="H176" s="39" t="n">
        <f aca="false">IF(OR(F176="",F176=0),"",E176/F176)</f>
        <v>0.450636942675159</v>
      </c>
      <c r="I176" s="38" t="s">
        <v>89</v>
      </c>
      <c r="J176" s="40" t="n">
        <v>3.45317612968717</v>
      </c>
      <c r="K176" s="39" t="n">
        <f aca="false">IF(G176="","",MAX(0,G176-J176/100))</f>
        <v>0.514831296027969</v>
      </c>
      <c r="L176" s="39" t="n">
        <f aca="false">IF(G176="","",MIN(1,G176+J176/100))</f>
        <v>0.583894818621712</v>
      </c>
      <c r="M176" s="21" t="n">
        <f aca="false">ROUND(Q176*S176,0)</f>
        <v>38</v>
      </c>
      <c r="N176" s="21" t="n">
        <f aca="false">ROUND(SQRT((F176*J176/100)^2+(G176*M176)^2),0)</f>
        <v>30</v>
      </c>
      <c r="P176" s="41" t="n">
        <v>2.41282210585775</v>
      </c>
      <c r="Q176" s="42" t="n">
        <v>628</v>
      </c>
      <c r="R176" s="43" t="n">
        <f aca="false">MAX(0,MIN(1,P176/100+$D$5))</f>
        <v>0.549346665785542</v>
      </c>
      <c r="S176" s="43" t="n">
        <v>0.0610405690258335</v>
      </c>
      <c r="T176" s="44" t="s">
        <v>90</v>
      </c>
    </row>
    <row r="177" customFormat="false" ht="15" hidden="false" customHeight="false" outlineLevel="0" collapsed="false">
      <c r="A177" s="38" t="s">
        <v>156</v>
      </c>
      <c r="B177" s="38" t="s">
        <v>278</v>
      </c>
      <c r="C177" s="38" t="s">
        <v>283</v>
      </c>
      <c r="D177" s="21" t="n">
        <f aca="false">ROUND(Q177*R177,0)</f>
        <v>459</v>
      </c>
      <c r="E177" s="21" t="n">
        <f aca="false">ROUND(Q177,0)-D177</f>
        <v>404</v>
      </c>
      <c r="F177" s="21" t="n">
        <f aca="false">IF(COUNTA(D177:E177)=0,"",SUM(D177:E177))</f>
        <v>863</v>
      </c>
      <c r="G177" s="39" t="n">
        <f aca="false">IF(OR(F177="",F177=0),"",D177/F177)</f>
        <v>0.531865585168019</v>
      </c>
      <c r="H177" s="39" t="n">
        <f aca="false">IF(OR(F177="",F177=0),"",E177/F177)</f>
        <v>0.468134414831982</v>
      </c>
      <c r="I177" s="38" t="s">
        <v>89</v>
      </c>
      <c r="J177" s="40" t="n">
        <v>2.05025038892674</v>
      </c>
      <c r="K177" s="39" t="n">
        <f aca="false">IF(G177="","",MAX(0,G177-J177/100))</f>
        <v>0.511363081278751</v>
      </c>
      <c r="L177" s="39" t="n">
        <f aca="false">IF(G177="","",MIN(1,G177+J177/100))</f>
        <v>0.552368089057286</v>
      </c>
      <c r="M177" s="21" t="n">
        <f aca="false">ROUND(Q177*S177,0)</f>
        <v>43</v>
      </c>
      <c r="N177" s="21" t="n">
        <f aca="false">ROUND(SQRT((F177*J177/100)^2+(G177*M177)^2),0)</f>
        <v>29</v>
      </c>
      <c r="P177" s="41" t="n">
        <v>0.710711163500025</v>
      </c>
      <c r="Q177" s="42" t="n">
        <v>863</v>
      </c>
      <c r="R177" s="43" t="n">
        <f aca="false">MAX(0,MIN(1,P177/100+$D$5))</f>
        <v>0.532325556361965</v>
      </c>
      <c r="S177" s="43" t="n">
        <v>0.0500321312575726</v>
      </c>
      <c r="T177" s="44" t="s">
        <v>99</v>
      </c>
    </row>
    <row r="178" customFormat="false" ht="15" hidden="false" customHeight="false" outlineLevel="0" collapsed="false">
      <c r="A178" s="38" t="s">
        <v>156</v>
      </c>
      <c r="B178" s="38" t="s">
        <v>278</v>
      </c>
      <c r="C178" s="38" t="s">
        <v>284</v>
      </c>
      <c r="D178" s="21" t="n">
        <f aca="false">ROUND(Q178*R178,0)</f>
        <v>293</v>
      </c>
      <c r="E178" s="21" t="n">
        <f aca="false">ROUND(Q178,0)-D178</f>
        <v>266</v>
      </c>
      <c r="F178" s="21" t="n">
        <f aca="false">IF(COUNTA(D178:E178)=0,"",SUM(D178:E178))</f>
        <v>559</v>
      </c>
      <c r="G178" s="39" t="n">
        <f aca="false">IF(OR(F178="",F178=0),"",D178/F178)</f>
        <v>0.524150268336315</v>
      </c>
      <c r="H178" s="39" t="n">
        <f aca="false">IF(OR(F178="",F178=0),"",E178/F178)</f>
        <v>0.475849731663685</v>
      </c>
      <c r="I178" s="38" t="s">
        <v>89</v>
      </c>
      <c r="J178" s="40" t="n">
        <v>3.45317612968717</v>
      </c>
      <c r="K178" s="39" t="n">
        <f aca="false">IF(G178="","",MAX(0,G178-J178/100))</f>
        <v>0.489618507039443</v>
      </c>
      <c r="L178" s="39" t="n">
        <f aca="false">IF(G178="","",MIN(1,G178+J178/100))</f>
        <v>0.558682029633187</v>
      </c>
      <c r="M178" s="21" t="n">
        <f aca="false">ROUND(Q178*S178,0)</f>
        <v>34</v>
      </c>
      <c r="N178" s="21" t="n">
        <f aca="false">ROUND(SQRT((F178*J178/100)^2+(G178*M178)^2),0)</f>
        <v>26</v>
      </c>
      <c r="P178" s="41" t="n">
        <v>-0.150491016795949</v>
      </c>
      <c r="Q178" s="42" t="n">
        <v>559</v>
      </c>
      <c r="R178" s="43" t="n">
        <f aca="false">MAX(0,MIN(1,P178/100+$D$5))</f>
        <v>0.523713534559005</v>
      </c>
      <c r="S178" s="43" t="n">
        <v>0.0610405690258335</v>
      </c>
      <c r="T178" s="44" t="s">
        <v>90</v>
      </c>
    </row>
    <row r="179" customFormat="false" ht="15" hidden="false" customHeight="false" outlineLevel="0" collapsed="false">
      <c r="A179" s="38" t="s">
        <v>156</v>
      </c>
      <c r="B179" s="38" t="s">
        <v>278</v>
      </c>
      <c r="C179" s="38" t="s">
        <v>285</v>
      </c>
      <c r="D179" s="21" t="n">
        <f aca="false">ROUND(Q179*R179,0)</f>
        <v>366</v>
      </c>
      <c r="E179" s="21" t="n">
        <f aca="false">ROUND(Q179,0)-D179</f>
        <v>281</v>
      </c>
      <c r="F179" s="21" t="n">
        <f aca="false">IF(COUNTA(D179:E179)=0,"",SUM(D179:E179))</f>
        <v>647</v>
      </c>
      <c r="G179" s="39" t="n">
        <f aca="false">IF(OR(F179="",F179=0),"",D179/F179)</f>
        <v>0.565687789799073</v>
      </c>
      <c r="H179" s="39" t="n">
        <f aca="false">IF(OR(F179="",F179=0),"",E179/F179)</f>
        <v>0.434312210200927</v>
      </c>
      <c r="I179" s="38" t="s">
        <v>89</v>
      </c>
      <c r="J179" s="40" t="n">
        <v>3.45317612968717</v>
      </c>
      <c r="K179" s="39" t="n">
        <f aca="false">IF(G179="","",MAX(0,G179-J179/100))</f>
        <v>0.531156028502201</v>
      </c>
      <c r="L179" s="39" t="n">
        <f aca="false">IF(G179="","",MIN(1,G179+J179/100))</f>
        <v>0.600219551095944</v>
      </c>
      <c r="M179" s="21" t="n">
        <f aca="false">ROUND(Q179*S179,0)</f>
        <v>39</v>
      </c>
      <c r="N179" s="21" t="n">
        <f aca="false">ROUND(SQRT((F179*J179/100)^2+(G179*M179)^2),0)</f>
        <v>31</v>
      </c>
      <c r="P179" s="41" t="n">
        <v>4.12146330089955</v>
      </c>
      <c r="Q179" s="42" t="n">
        <v>647</v>
      </c>
      <c r="R179" s="43" t="n">
        <f aca="false">MAX(0,MIN(1,P179/100+$D$5))</f>
        <v>0.56643307773596</v>
      </c>
      <c r="S179" s="43" t="n">
        <v>0.0610405690258335</v>
      </c>
      <c r="T179" s="44" t="s">
        <v>90</v>
      </c>
    </row>
    <row r="180" customFormat="false" ht="15" hidden="false" customHeight="false" outlineLevel="0" collapsed="false">
      <c r="A180" s="38" t="s">
        <v>156</v>
      </c>
      <c r="B180" s="38" t="s">
        <v>278</v>
      </c>
      <c r="C180" s="38" t="s">
        <v>286</v>
      </c>
      <c r="D180" s="21" t="n">
        <f aca="false">ROUND(Q180*R180,0)</f>
        <v>503</v>
      </c>
      <c r="E180" s="21" t="n">
        <f aca="false">ROUND(Q180,0)-D180</f>
        <v>424</v>
      </c>
      <c r="F180" s="21" t="n">
        <f aca="false">IF(COUNTA(D180:E180)=0,"",SUM(D180:E180))</f>
        <v>927</v>
      </c>
      <c r="G180" s="39" t="n">
        <f aca="false">IF(OR(F180="",F180=0),"",D180/F180)</f>
        <v>0.542610571736785</v>
      </c>
      <c r="H180" s="39" t="n">
        <f aca="false">IF(OR(F180="",F180=0),"",E180/F180)</f>
        <v>0.457389428263215</v>
      </c>
      <c r="I180" s="38" t="s">
        <v>89</v>
      </c>
      <c r="J180" s="40" t="n">
        <v>2.05025038892674</v>
      </c>
      <c r="K180" s="39" t="n">
        <f aca="false">IF(G180="","",MAX(0,G180-J180/100))</f>
        <v>0.522108067847518</v>
      </c>
      <c r="L180" s="39" t="n">
        <f aca="false">IF(G180="","",MIN(1,G180+J180/100))</f>
        <v>0.563113075626053</v>
      </c>
      <c r="M180" s="21" t="n">
        <f aca="false">ROUND(Q180*S180,0)</f>
        <v>46</v>
      </c>
      <c r="N180" s="21" t="n">
        <f aca="false">ROUND(SQRT((F180*J180/100)^2+(G180*M180)^2),0)</f>
        <v>31</v>
      </c>
      <c r="P180" s="41" t="n">
        <v>1.73428009504041</v>
      </c>
      <c r="Q180" s="42" t="n">
        <v>927</v>
      </c>
      <c r="R180" s="43" t="n">
        <f aca="false">MAX(0,MIN(1,P180/100+$D$5))</f>
        <v>0.542561245677369</v>
      </c>
      <c r="S180" s="43" t="n">
        <v>0.0500321312575726</v>
      </c>
      <c r="T180" s="44" t="s">
        <v>99</v>
      </c>
    </row>
    <row r="181" customFormat="false" ht="15" hidden="false" customHeight="false" outlineLevel="0" collapsed="false">
      <c r="A181" s="38" t="s">
        <v>156</v>
      </c>
      <c r="B181" s="38" t="s">
        <v>287</v>
      </c>
      <c r="C181" s="38" t="s">
        <v>288</v>
      </c>
      <c r="D181" s="21" t="n">
        <f aca="false">ROUND(Q181*R181,0)</f>
        <v>186</v>
      </c>
      <c r="E181" s="21" t="n">
        <f aca="false">ROUND(Q181,0)-D181</f>
        <v>201</v>
      </c>
      <c r="F181" s="21" t="n">
        <f aca="false">IF(COUNTA(D181:E181)=0,"",SUM(D181:E181))</f>
        <v>387</v>
      </c>
      <c r="G181" s="39" t="n">
        <f aca="false">IF(OR(F181="",F181=0),"",D181/F181)</f>
        <v>0.48062015503876</v>
      </c>
      <c r="H181" s="39" t="n">
        <f aca="false">IF(OR(F181="",F181=0),"",E181/F181)</f>
        <v>0.51937984496124</v>
      </c>
      <c r="I181" s="38" t="s">
        <v>89</v>
      </c>
      <c r="J181" s="40" t="n">
        <v>3.45317612968717</v>
      </c>
      <c r="K181" s="39" t="n">
        <f aca="false">IF(G181="","",MAX(0,G181-J181/100))</f>
        <v>0.446088393741888</v>
      </c>
      <c r="L181" s="39" t="n">
        <f aca="false">IF(G181="","",MIN(1,G181+J181/100))</f>
        <v>0.515151916335631</v>
      </c>
      <c r="M181" s="21" t="n">
        <f aca="false">ROUND(Q181*S181,0)</f>
        <v>24</v>
      </c>
      <c r="N181" s="21" t="n">
        <f aca="false">ROUND(SQRT((F181*J181/100)^2+(G181*M181)^2),0)</f>
        <v>18</v>
      </c>
      <c r="P181" s="41" t="n">
        <v>-4.46769637360979</v>
      </c>
      <c r="Q181" s="42" t="n">
        <v>387</v>
      </c>
      <c r="R181" s="43" t="n">
        <f aca="false">MAX(0,MIN(1,P181/100+$D$5))</f>
        <v>0.480541480990867</v>
      </c>
      <c r="S181" s="43" t="n">
        <v>0.0610405690258335</v>
      </c>
      <c r="T181" s="44" t="s">
        <v>90</v>
      </c>
    </row>
    <row r="182" customFormat="false" ht="15" hidden="false" customHeight="false" outlineLevel="0" collapsed="false">
      <c r="A182" s="38" t="s">
        <v>156</v>
      </c>
      <c r="B182" s="38" t="s">
        <v>287</v>
      </c>
      <c r="C182" s="38" t="s">
        <v>289</v>
      </c>
      <c r="D182" s="21" t="n">
        <f aca="false">ROUND(Q182*R182,0)</f>
        <v>133</v>
      </c>
      <c r="E182" s="21" t="n">
        <f aca="false">ROUND(Q182,0)-D182</f>
        <v>169</v>
      </c>
      <c r="F182" s="21" t="n">
        <f aca="false">IF(COUNTA(D182:E182)=0,"",SUM(D182:E182))</f>
        <v>302</v>
      </c>
      <c r="G182" s="39" t="n">
        <f aca="false">IF(OR(F182="",F182=0),"",D182/F182)</f>
        <v>0.440397350993377</v>
      </c>
      <c r="H182" s="39" t="n">
        <f aca="false">IF(OR(F182="",F182=0),"",E182/F182)</f>
        <v>0.559602649006623</v>
      </c>
      <c r="I182" s="38" t="s">
        <v>89</v>
      </c>
      <c r="J182" s="40" t="n">
        <v>3.45317612968717</v>
      </c>
      <c r="K182" s="39" t="n">
        <f aca="false">IF(G182="","",MAX(0,G182-J182/100))</f>
        <v>0.405865589696506</v>
      </c>
      <c r="L182" s="39" t="n">
        <f aca="false">IF(G182="","",MIN(1,G182+J182/100))</f>
        <v>0.474929112290249</v>
      </c>
      <c r="M182" s="21" t="n">
        <f aca="false">ROUND(Q182*S182,0)</f>
        <v>18</v>
      </c>
      <c r="N182" s="21" t="n">
        <f aca="false">ROUND(SQRT((F182*J182/100)^2+(G182*M182)^2),0)</f>
        <v>13</v>
      </c>
      <c r="P182" s="41" t="n">
        <v>-8.33908316498006</v>
      </c>
      <c r="Q182" s="42" t="n">
        <v>302</v>
      </c>
      <c r="R182" s="43" t="n">
        <f aca="false">MAX(0,MIN(1,P182/100+$D$5))</f>
        <v>0.441827613077164</v>
      </c>
      <c r="S182" s="43" t="n">
        <v>0.0610405690258335</v>
      </c>
      <c r="T182" s="44" t="s">
        <v>90</v>
      </c>
    </row>
    <row r="183" customFormat="false" ht="15" hidden="false" customHeight="false" outlineLevel="0" collapsed="false">
      <c r="A183" s="38" t="s">
        <v>156</v>
      </c>
      <c r="B183" s="38" t="s">
        <v>287</v>
      </c>
      <c r="C183" s="38" t="s">
        <v>290</v>
      </c>
      <c r="D183" s="21" t="n">
        <f aca="false">ROUND(Q183*R183,0)</f>
        <v>308</v>
      </c>
      <c r="E183" s="21" t="n">
        <f aca="false">ROUND(Q183,0)-D183</f>
        <v>354</v>
      </c>
      <c r="F183" s="21" t="n">
        <f aca="false">IF(COUNTA(D183:E183)=0,"",SUM(D183:E183))</f>
        <v>662</v>
      </c>
      <c r="G183" s="39" t="n">
        <f aca="false">IF(OR(F183="",F183=0),"",D183/F183)</f>
        <v>0.465256797583082</v>
      </c>
      <c r="H183" s="39" t="n">
        <f aca="false">IF(OR(F183="",F183=0),"",E183/F183)</f>
        <v>0.534743202416918</v>
      </c>
      <c r="I183" s="38" t="s">
        <v>89</v>
      </c>
      <c r="J183" s="40" t="n">
        <v>3.45317612968717</v>
      </c>
      <c r="K183" s="39" t="n">
        <f aca="false">IF(G183="","",MAX(0,G183-J183/100))</f>
        <v>0.43072503628621</v>
      </c>
      <c r="L183" s="39" t="n">
        <f aca="false">IF(G183="","",MIN(1,G183+J183/100))</f>
        <v>0.499788558879953</v>
      </c>
      <c r="M183" s="21" t="n">
        <f aca="false">ROUND(Q183*S183,0)</f>
        <v>40</v>
      </c>
      <c r="N183" s="21" t="n">
        <f aca="false">ROUND(SQRT((F183*J183/100)^2+(G183*M183)^2),0)</f>
        <v>29</v>
      </c>
      <c r="P183" s="41" t="n">
        <v>-6.01620758870377</v>
      </c>
      <c r="Q183" s="42" t="n">
        <v>662</v>
      </c>
      <c r="R183" s="43" t="n">
        <f aca="false">MAX(0,MIN(1,P183/100+$D$5))</f>
        <v>0.465056368839927</v>
      </c>
      <c r="S183" s="43" t="n">
        <v>0.0610405690258335</v>
      </c>
      <c r="T183" s="44" t="s">
        <v>90</v>
      </c>
    </row>
    <row r="184" customFormat="false" ht="15" hidden="false" customHeight="false" outlineLevel="0" collapsed="false">
      <c r="A184" s="38" t="s">
        <v>156</v>
      </c>
      <c r="B184" s="38" t="s">
        <v>291</v>
      </c>
      <c r="C184" s="38" t="s">
        <v>292</v>
      </c>
      <c r="D184" s="21" t="n">
        <f aca="false">ROUND(Q184*R184,0)</f>
        <v>771</v>
      </c>
      <c r="E184" s="21" t="n">
        <f aca="false">ROUND(Q184,0)-D184</f>
        <v>649</v>
      </c>
      <c r="F184" s="21" t="n">
        <f aca="false">IF(COUNTA(D184:E184)=0,"",SUM(D184:E184))</f>
        <v>1420</v>
      </c>
      <c r="G184" s="39" t="n">
        <f aca="false">IF(OR(F184="",F184=0),"",D184/F184)</f>
        <v>0.542957746478873</v>
      </c>
      <c r="H184" s="39" t="n">
        <f aca="false">IF(OR(F184="",F184=0),"",E184/F184)</f>
        <v>0.457042253521127</v>
      </c>
      <c r="I184" s="38" t="s">
        <v>89</v>
      </c>
      <c r="J184" s="40" t="n">
        <v>1.25589305869883</v>
      </c>
      <c r="K184" s="39" t="n">
        <f aca="false">IF(G184="","",MAX(0,G184-J184/100))</f>
        <v>0.530398815891885</v>
      </c>
      <c r="L184" s="39" t="n">
        <f aca="false">IF(G184="","",MIN(1,G184+J184/100))</f>
        <v>0.555516677065862</v>
      </c>
      <c r="M184" s="21" t="n">
        <f aca="false">ROUND(Q184*S184,0)</f>
        <v>185</v>
      </c>
      <c r="N184" s="21" t="n">
        <f aca="false">ROUND(SQRT((F184*J184/100)^2+(G184*M184)^2),0)</f>
        <v>102</v>
      </c>
      <c r="P184" s="41" t="n">
        <v>1.80116269264851</v>
      </c>
      <c r="Q184" s="42" t="n">
        <v>1420</v>
      </c>
      <c r="R184" s="43" t="n">
        <f aca="false">MAX(0,MIN(1,P184/100+$D$5))</f>
        <v>0.54323007165345</v>
      </c>
      <c r="S184" s="43" t="n">
        <v>0.130204099606216</v>
      </c>
      <c r="T184" s="44" t="s">
        <v>192</v>
      </c>
    </row>
    <row r="185" customFormat="false" ht="15" hidden="false" customHeight="false" outlineLevel="0" collapsed="false">
      <c r="A185" s="38" t="s">
        <v>156</v>
      </c>
      <c r="B185" s="38" t="s">
        <v>291</v>
      </c>
      <c r="C185" s="38" t="s">
        <v>293</v>
      </c>
      <c r="D185" s="21" t="n">
        <f aca="false">ROUND(Q185*R185,0)</f>
        <v>354</v>
      </c>
      <c r="E185" s="21" t="n">
        <f aca="false">ROUND(Q185,0)-D185</f>
        <v>295</v>
      </c>
      <c r="F185" s="21" t="n">
        <f aca="false">IF(COUNTA(D185:E185)=0,"",SUM(D185:E185))</f>
        <v>649</v>
      </c>
      <c r="G185" s="39" t="n">
        <f aca="false">IF(OR(F185="",F185=0),"",D185/F185)</f>
        <v>0.545454545454545</v>
      </c>
      <c r="H185" s="39" t="n">
        <f aca="false">IF(OR(F185="",F185=0),"",E185/F185)</f>
        <v>0.454545454545455</v>
      </c>
      <c r="I185" s="38" t="s">
        <v>89</v>
      </c>
      <c r="J185" s="40" t="n">
        <v>3.45317612968717</v>
      </c>
      <c r="K185" s="39" t="n">
        <f aca="false">IF(G185="","",MAX(0,G185-J185/100))</f>
        <v>0.510922784157674</v>
      </c>
      <c r="L185" s="39" t="n">
        <f aca="false">IF(G185="","",MIN(1,G185+J185/100))</f>
        <v>0.579986306751417</v>
      </c>
      <c r="M185" s="21" t="n">
        <f aca="false">ROUND(Q185*S185,0)</f>
        <v>40</v>
      </c>
      <c r="N185" s="21" t="n">
        <f aca="false">ROUND(SQRT((F185*J185/100)^2+(G185*M185)^2),0)</f>
        <v>31</v>
      </c>
      <c r="P185" s="41" t="n">
        <v>2.01051357041199</v>
      </c>
      <c r="Q185" s="42" t="n">
        <v>649</v>
      </c>
      <c r="R185" s="43" t="n">
        <f aca="false">MAX(0,MIN(1,P185/100+$D$5))</f>
        <v>0.545323580431085</v>
      </c>
      <c r="S185" s="43" t="n">
        <v>0.0610405690258335</v>
      </c>
      <c r="T185" s="44" t="s">
        <v>90</v>
      </c>
    </row>
    <row r="186" customFormat="false" ht="15" hidden="false" customHeight="false" outlineLevel="0" collapsed="false">
      <c r="A186" s="38" t="s">
        <v>156</v>
      </c>
      <c r="B186" s="38" t="s">
        <v>291</v>
      </c>
      <c r="C186" s="38" t="s">
        <v>294</v>
      </c>
      <c r="D186" s="21" t="n">
        <f aca="false">ROUND(Q186*R186,0)</f>
        <v>944</v>
      </c>
      <c r="E186" s="21" t="n">
        <f aca="false">ROUND(Q186,0)-D186</f>
        <v>622</v>
      </c>
      <c r="F186" s="21" t="n">
        <f aca="false">IF(COUNTA(D186:E186)=0,"",SUM(D186:E186))</f>
        <v>1566</v>
      </c>
      <c r="G186" s="39" t="n">
        <f aca="false">IF(OR(F186="",F186=0),"",D186/F186)</f>
        <v>0.602809706257982</v>
      </c>
      <c r="H186" s="39" t="n">
        <f aca="false">IF(OR(F186="",F186=0),"",E186/F186)</f>
        <v>0.397190293742018</v>
      </c>
      <c r="I186" s="38" t="s">
        <v>89</v>
      </c>
      <c r="J186" s="40" t="n">
        <v>1.25589305869883</v>
      </c>
      <c r="K186" s="39" t="n">
        <f aca="false">IF(G186="","",MAX(0,G186-J186/100))</f>
        <v>0.590250775670994</v>
      </c>
      <c r="L186" s="39" t="n">
        <f aca="false">IF(G186="","",MIN(1,G186+J186/100))</f>
        <v>0.615368636844971</v>
      </c>
      <c r="M186" s="21" t="n">
        <f aca="false">ROUND(Q186*S186,0)</f>
        <v>204</v>
      </c>
      <c r="N186" s="21" t="n">
        <f aca="false">ROUND(SQRT((F186*J186/100)^2+(G186*M186)^2),0)</f>
        <v>125</v>
      </c>
      <c r="P186" s="41" t="n">
        <v>7.75146184399456</v>
      </c>
      <c r="Q186" s="42" t="n">
        <v>1566</v>
      </c>
      <c r="R186" s="43" t="n">
        <f aca="false">MAX(0,MIN(1,P186/100+$D$5))</f>
        <v>0.60273306316691</v>
      </c>
      <c r="S186" s="43" t="n">
        <v>0.130204099606216</v>
      </c>
      <c r="T186" s="44" t="s">
        <v>192</v>
      </c>
    </row>
    <row r="187" customFormat="false" ht="15" hidden="false" customHeight="false" outlineLevel="0" collapsed="false">
      <c r="A187" s="38" t="s">
        <v>156</v>
      </c>
      <c r="B187" s="38" t="s">
        <v>291</v>
      </c>
      <c r="C187" s="38" t="s">
        <v>295</v>
      </c>
      <c r="D187" s="21" t="n">
        <f aca="false">ROUND(Q187*R187,0)</f>
        <v>463</v>
      </c>
      <c r="E187" s="21" t="n">
        <f aca="false">ROUND(Q187,0)-D187</f>
        <v>398</v>
      </c>
      <c r="F187" s="21" t="n">
        <f aca="false">IF(COUNTA(D187:E187)=0,"",SUM(D187:E187))</f>
        <v>861</v>
      </c>
      <c r="G187" s="39" t="n">
        <f aca="false">IF(OR(F187="",F187=0),"",D187/F187)</f>
        <v>0.537746806039489</v>
      </c>
      <c r="H187" s="39" t="n">
        <f aca="false">IF(OR(F187="",F187=0),"",E187/F187)</f>
        <v>0.462253193960511</v>
      </c>
      <c r="I187" s="38" t="s">
        <v>89</v>
      </c>
      <c r="J187" s="40" t="n">
        <v>2.05025038892674</v>
      </c>
      <c r="K187" s="39" t="n">
        <f aca="false">IF(G187="","",MAX(0,G187-J187/100))</f>
        <v>0.517244302150222</v>
      </c>
      <c r="L187" s="39" t="n">
        <f aca="false">IF(G187="","",MIN(1,G187+J187/100))</f>
        <v>0.558249309928756</v>
      </c>
      <c r="M187" s="21" t="n">
        <f aca="false">ROUND(Q187*S187,0)</f>
        <v>43</v>
      </c>
      <c r="N187" s="21" t="n">
        <f aca="false">ROUND(SQRT((F187*J187/100)^2+(G187*M187)^2),0)</f>
        <v>29</v>
      </c>
      <c r="P187" s="41" t="n">
        <v>1.24480298372261</v>
      </c>
      <c r="Q187" s="42" t="n">
        <v>861</v>
      </c>
      <c r="R187" s="43" t="n">
        <f aca="false">MAX(0,MIN(1,P187/100+$D$5))</f>
        <v>0.537666474564191</v>
      </c>
      <c r="S187" s="43" t="n">
        <v>0.0500321312575726</v>
      </c>
      <c r="T187" s="44" t="s">
        <v>99</v>
      </c>
    </row>
    <row r="188" customFormat="false" ht="15" hidden="false" customHeight="false" outlineLevel="0" collapsed="false">
      <c r="A188" s="38" t="s">
        <v>156</v>
      </c>
      <c r="B188" s="38" t="s">
        <v>291</v>
      </c>
      <c r="C188" s="38" t="s">
        <v>296</v>
      </c>
      <c r="D188" s="21" t="n">
        <f aca="false">ROUND(Q188*R188,0)</f>
        <v>898</v>
      </c>
      <c r="E188" s="21" t="n">
        <f aca="false">ROUND(Q188,0)-D188</f>
        <v>518</v>
      </c>
      <c r="F188" s="21" t="n">
        <f aca="false">IF(COUNTA(D188:E188)=0,"",SUM(D188:E188))</f>
        <v>1416</v>
      </c>
      <c r="G188" s="39" t="n">
        <f aca="false">IF(OR(F188="",F188=0),"",D188/F188)</f>
        <v>0.634180790960452</v>
      </c>
      <c r="H188" s="39" t="n">
        <f aca="false">IF(OR(F188="",F188=0),"",E188/F188)</f>
        <v>0.365819209039548</v>
      </c>
      <c r="I188" s="38" t="s">
        <v>89</v>
      </c>
      <c r="J188" s="40" t="n">
        <v>1.25589305869883</v>
      </c>
      <c r="K188" s="39" t="n">
        <f aca="false">IF(G188="","",MAX(0,G188-J188/100))</f>
        <v>0.621621860373464</v>
      </c>
      <c r="L188" s="39" t="n">
        <f aca="false">IF(G188="","",MIN(1,G188+J188/100))</f>
        <v>0.64673972154744</v>
      </c>
      <c r="M188" s="21" t="n">
        <f aca="false">ROUND(Q188*S188,0)</f>
        <v>184</v>
      </c>
      <c r="N188" s="21" t="n">
        <f aca="false">ROUND(SQRT((F188*J188/100)^2+(G188*M188)^2),0)</f>
        <v>118</v>
      </c>
      <c r="P188" s="41" t="n">
        <v>10.916541715669</v>
      </c>
      <c r="Q188" s="42" t="n">
        <v>1416</v>
      </c>
      <c r="R188" s="43" t="n">
        <f aca="false">MAX(0,MIN(1,P188/100+$D$5))</f>
        <v>0.634383861883654</v>
      </c>
      <c r="S188" s="43" t="n">
        <v>0.130204099606216</v>
      </c>
      <c r="T188" s="44" t="s">
        <v>192</v>
      </c>
    </row>
    <row r="189" customFormat="false" ht="15" hidden="false" customHeight="false" outlineLevel="0" collapsed="false">
      <c r="A189" s="38" t="s">
        <v>156</v>
      </c>
      <c r="B189" s="38" t="s">
        <v>291</v>
      </c>
      <c r="C189" s="38" t="s">
        <v>297</v>
      </c>
      <c r="D189" s="21" t="n">
        <f aca="false">ROUND(Q189*R189,0)</f>
        <v>894</v>
      </c>
      <c r="E189" s="21" t="n">
        <f aca="false">ROUND(Q189,0)-D189</f>
        <v>522</v>
      </c>
      <c r="F189" s="21" t="n">
        <f aca="false">IF(COUNTA(D189:E189)=0,"",SUM(D189:E189))</f>
        <v>1416</v>
      </c>
      <c r="G189" s="39" t="n">
        <f aca="false">IF(OR(F189="",F189=0),"",D189/F189)</f>
        <v>0.63135593220339</v>
      </c>
      <c r="H189" s="39" t="n">
        <f aca="false">IF(OR(F189="",F189=0),"",E189/F189)</f>
        <v>0.36864406779661</v>
      </c>
      <c r="I189" s="38" t="s">
        <v>89</v>
      </c>
      <c r="J189" s="40" t="n">
        <v>1.25589305869883</v>
      </c>
      <c r="K189" s="39" t="n">
        <f aca="false">IF(G189="","",MAX(0,G189-J189/100))</f>
        <v>0.618797001616402</v>
      </c>
      <c r="L189" s="39" t="n">
        <f aca="false">IF(G189="","",MIN(1,G189+J189/100))</f>
        <v>0.643914862790378</v>
      </c>
      <c r="M189" s="21" t="n">
        <f aca="false">ROUND(Q189*S189,0)</f>
        <v>184</v>
      </c>
      <c r="N189" s="21" t="n">
        <f aca="false">ROUND(SQRT((F189*J189/100)^2+(G189*M189)^2),0)</f>
        <v>118</v>
      </c>
      <c r="P189" s="41" t="n">
        <v>10.6418312013036</v>
      </c>
      <c r="Q189" s="42" t="n">
        <v>1416</v>
      </c>
      <c r="R189" s="43" t="n">
        <f aca="false">MAX(0,MIN(1,P189/100+$D$5))</f>
        <v>0.63163675674</v>
      </c>
      <c r="S189" s="43" t="n">
        <v>0.130204099606216</v>
      </c>
      <c r="T189" s="44" t="s">
        <v>192</v>
      </c>
    </row>
    <row r="190" customFormat="false" ht="15" hidden="false" customHeight="false" outlineLevel="0" collapsed="false">
      <c r="A190" s="38" t="s">
        <v>156</v>
      </c>
      <c r="B190" s="38" t="s">
        <v>291</v>
      </c>
      <c r="C190" s="38" t="s">
        <v>298</v>
      </c>
      <c r="D190" s="21" t="n">
        <f aca="false">ROUND(Q190*R190,0)</f>
        <v>421</v>
      </c>
      <c r="E190" s="21" t="n">
        <f aca="false">ROUND(Q190,0)-D190</f>
        <v>337</v>
      </c>
      <c r="F190" s="21" t="n">
        <f aca="false">IF(COUNTA(D190:E190)=0,"",SUM(D190:E190))</f>
        <v>758</v>
      </c>
      <c r="G190" s="39" t="n">
        <f aca="false">IF(OR(F190="",F190=0),"",D190/F190)</f>
        <v>0.555408970976253</v>
      </c>
      <c r="H190" s="39" t="n">
        <f aca="false">IF(OR(F190="",F190=0),"",E190/F190)</f>
        <v>0.444591029023747</v>
      </c>
      <c r="I190" s="38" t="s">
        <v>89</v>
      </c>
      <c r="J190" s="40" t="n">
        <v>3.45317612968717</v>
      </c>
      <c r="K190" s="39" t="n">
        <f aca="false">IF(G190="","",MAX(0,G190-J190/100))</f>
        <v>0.520877209679382</v>
      </c>
      <c r="L190" s="39" t="n">
        <f aca="false">IF(G190="","",MIN(1,G190+J190/100))</f>
        <v>0.589940732273125</v>
      </c>
      <c r="M190" s="21" t="n">
        <f aca="false">ROUND(Q190*S190,0)</f>
        <v>46</v>
      </c>
      <c r="N190" s="21" t="n">
        <f aca="false">ROUND(SQRT((F190*J190/100)^2+(G190*M190)^2),0)</f>
        <v>37</v>
      </c>
      <c r="P190" s="41" t="n">
        <v>3.08033698615158</v>
      </c>
      <c r="Q190" s="42" t="n">
        <v>758</v>
      </c>
      <c r="R190" s="43" t="n">
        <f aca="false">MAX(0,MIN(1,P190/100+$D$5))</f>
        <v>0.556021814588481</v>
      </c>
      <c r="S190" s="43" t="n">
        <v>0.0610405690258335</v>
      </c>
      <c r="T190" s="44" t="s">
        <v>90</v>
      </c>
    </row>
    <row r="191" customFormat="false" ht="15" hidden="false" customHeight="false" outlineLevel="0" collapsed="false">
      <c r="A191" s="38" t="s">
        <v>156</v>
      </c>
      <c r="B191" s="38" t="s">
        <v>291</v>
      </c>
      <c r="C191" s="38" t="s">
        <v>299</v>
      </c>
      <c r="D191" s="21" t="n">
        <f aca="false">ROUND(Q191*R191,0)</f>
        <v>1106</v>
      </c>
      <c r="E191" s="21" t="n">
        <f aca="false">ROUND(Q191,0)-D191</f>
        <v>927</v>
      </c>
      <c r="F191" s="21" t="n">
        <f aca="false">IF(COUNTA(D191:E191)=0,"",SUM(D191:E191))</f>
        <v>2033</v>
      </c>
      <c r="G191" s="39" t="n">
        <f aca="false">IF(OR(F191="",F191=0),"",D191/F191)</f>
        <v>0.544023610427939</v>
      </c>
      <c r="H191" s="39" t="n">
        <f aca="false">IF(OR(F191="",F191=0),"",E191/F191)</f>
        <v>0.455976389572061</v>
      </c>
      <c r="I191" s="38" t="s">
        <v>89</v>
      </c>
      <c r="J191" s="40" t="n">
        <v>1.25589305869883</v>
      </c>
      <c r="K191" s="39" t="n">
        <f aca="false">IF(G191="","",MAX(0,G191-J191/100))</f>
        <v>0.531464679840951</v>
      </c>
      <c r="L191" s="39" t="n">
        <f aca="false">IF(G191="","",MIN(1,G191+J191/100))</f>
        <v>0.556582541014927</v>
      </c>
      <c r="M191" s="21" t="n">
        <f aca="false">ROUND(Q191*S191,0)</f>
        <v>265</v>
      </c>
      <c r="N191" s="21" t="n">
        <f aca="false">ROUND(SQRT((F191*J191/100)^2+(G191*M191)^2),0)</f>
        <v>146</v>
      </c>
      <c r="P191" s="41" t="n">
        <v>1.87249357413381</v>
      </c>
      <c r="Q191" s="42" t="n">
        <v>2033</v>
      </c>
      <c r="R191" s="43" t="n">
        <f aca="false">MAX(0,MIN(1,P191/100+$D$5))</f>
        <v>0.543943380468303</v>
      </c>
      <c r="S191" s="43" t="n">
        <v>0.130204099606216</v>
      </c>
      <c r="T191" s="44" t="s">
        <v>192</v>
      </c>
    </row>
    <row r="192" customFormat="false" ht="15" hidden="false" customHeight="false" outlineLevel="0" collapsed="false">
      <c r="A192" s="38" t="s">
        <v>156</v>
      </c>
      <c r="B192" s="38" t="s">
        <v>300</v>
      </c>
      <c r="C192" s="38" t="s">
        <v>301</v>
      </c>
      <c r="D192" s="21" t="n">
        <f aca="false">ROUND(Q192*R192,0)</f>
        <v>827</v>
      </c>
      <c r="E192" s="21" t="n">
        <f aca="false">ROUND(Q192,0)-D192</f>
        <v>688</v>
      </c>
      <c r="F192" s="21" t="n">
        <f aca="false">IF(COUNTA(D192:E192)=0,"",SUM(D192:E192))</f>
        <v>1515</v>
      </c>
      <c r="G192" s="39" t="n">
        <f aca="false">IF(OR(F192="",F192=0),"",D192/F192)</f>
        <v>0.545874587458746</v>
      </c>
      <c r="H192" s="39" t="n">
        <f aca="false">IF(OR(F192="",F192=0),"",E192/F192)</f>
        <v>0.454125412541254</v>
      </c>
      <c r="I192" s="38" t="s">
        <v>89</v>
      </c>
      <c r="J192" s="40" t="n">
        <v>1.25589305869883</v>
      </c>
      <c r="K192" s="39" t="n">
        <f aca="false">IF(G192="","",MAX(0,G192-J192/100))</f>
        <v>0.533315656871758</v>
      </c>
      <c r="L192" s="39" t="n">
        <f aca="false">IF(G192="","",MIN(1,G192+J192/100))</f>
        <v>0.558433518045734</v>
      </c>
      <c r="M192" s="21" t="n">
        <f aca="false">ROUND(Q192*S192,0)</f>
        <v>197</v>
      </c>
      <c r="N192" s="21" t="n">
        <f aca="false">ROUND(SQRT((F192*J192/100)^2+(G192*M192)^2),0)</f>
        <v>109</v>
      </c>
      <c r="P192" s="41" t="n">
        <v>2.04373559095051</v>
      </c>
      <c r="Q192" s="42" t="n">
        <v>1515</v>
      </c>
      <c r="R192" s="43" t="n">
        <f aca="false">MAX(0,MIN(1,P192/100+$D$5))</f>
        <v>0.54565580063647</v>
      </c>
      <c r="S192" s="43" t="n">
        <v>0.130204099606216</v>
      </c>
      <c r="T192" s="44" t="s">
        <v>192</v>
      </c>
    </row>
    <row r="193" customFormat="false" ht="15" hidden="false" customHeight="false" outlineLevel="0" collapsed="false">
      <c r="A193" s="38" t="s">
        <v>156</v>
      </c>
      <c r="B193" s="38" t="s">
        <v>300</v>
      </c>
      <c r="C193" s="38" t="s">
        <v>302</v>
      </c>
      <c r="D193" s="21" t="n">
        <f aca="false">ROUND(Q193*R193,0)</f>
        <v>1145</v>
      </c>
      <c r="E193" s="21" t="n">
        <f aca="false">ROUND(Q193,0)-D193</f>
        <v>947</v>
      </c>
      <c r="F193" s="21" t="n">
        <f aca="false">IF(COUNTA(D193:E193)=0,"",SUM(D193:E193))</f>
        <v>2092</v>
      </c>
      <c r="G193" s="39" t="n">
        <f aca="false">IF(OR(F193="",F193=0),"",D193/F193)</f>
        <v>0.547323135755258</v>
      </c>
      <c r="H193" s="39" t="n">
        <f aca="false">IF(OR(F193="",F193=0),"",E193/F193)</f>
        <v>0.452676864244742</v>
      </c>
      <c r="I193" s="38" t="s">
        <v>89</v>
      </c>
      <c r="J193" s="40" t="n">
        <v>1.25589305869883</v>
      </c>
      <c r="K193" s="39" t="n">
        <f aca="false">IF(G193="","",MAX(0,G193-J193/100))</f>
        <v>0.53476420516827</v>
      </c>
      <c r="L193" s="39" t="n">
        <f aca="false">IF(G193="","",MIN(1,G193+J193/100))</f>
        <v>0.559882066342247</v>
      </c>
      <c r="M193" s="21" t="n">
        <f aca="false">ROUND(Q193*S193,0)</f>
        <v>272</v>
      </c>
      <c r="N193" s="21" t="n">
        <f aca="false">ROUND(SQRT((F193*J193/100)^2+(G193*M193)^2),0)</f>
        <v>151</v>
      </c>
      <c r="P193" s="41" t="n">
        <v>2.21051446676459</v>
      </c>
      <c r="Q193" s="42" t="n">
        <v>2092</v>
      </c>
      <c r="R193" s="43" t="n">
        <f aca="false">MAX(0,MIN(1,P193/100+$D$5))</f>
        <v>0.547323589394611</v>
      </c>
      <c r="S193" s="43" t="n">
        <v>0.130204099606216</v>
      </c>
      <c r="T193" s="44" t="s">
        <v>192</v>
      </c>
    </row>
    <row r="194" customFormat="false" ht="15" hidden="false" customHeight="false" outlineLevel="0" collapsed="false">
      <c r="A194" s="38" t="s">
        <v>156</v>
      </c>
      <c r="B194" s="38" t="s">
        <v>300</v>
      </c>
      <c r="C194" s="38" t="s">
        <v>303</v>
      </c>
      <c r="D194" s="21" t="n">
        <f aca="false">ROUND(Q194*R194,0)</f>
        <v>701</v>
      </c>
      <c r="E194" s="21" t="n">
        <f aca="false">ROUND(Q194,0)-D194</f>
        <v>662</v>
      </c>
      <c r="F194" s="21" t="n">
        <f aca="false">IF(COUNTA(D194:E194)=0,"",SUM(D194:E194))</f>
        <v>1363</v>
      </c>
      <c r="G194" s="39" t="n">
        <f aca="false">IF(OR(F194="",F194=0),"",D194/F194)</f>
        <v>0.51430667644901</v>
      </c>
      <c r="H194" s="39" t="n">
        <f aca="false">IF(OR(F194="",F194=0),"",E194/F194)</f>
        <v>0.485693323550991</v>
      </c>
      <c r="I194" s="38" t="s">
        <v>89</v>
      </c>
      <c r="J194" s="40" t="n">
        <v>1.25589305869883</v>
      </c>
      <c r="K194" s="39" t="n">
        <f aca="false">IF(G194="","",MAX(0,G194-J194/100))</f>
        <v>0.501747745862021</v>
      </c>
      <c r="L194" s="39" t="n">
        <f aca="false">IF(G194="","",MIN(1,G194+J194/100))</f>
        <v>0.526865607035998</v>
      </c>
      <c r="M194" s="21" t="n">
        <f aca="false">ROUND(Q194*S194,0)</f>
        <v>177</v>
      </c>
      <c r="N194" s="21" t="n">
        <f aca="false">ROUND(SQRT((F194*J194/100)^2+(G194*M194)^2),0)</f>
        <v>93</v>
      </c>
      <c r="P194" s="41" t="n">
        <v>-1.05462851478262</v>
      </c>
      <c r="Q194" s="42" t="n">
        <v>1363</v>
      </c>
      <c r="R194" s="43" t="n">
        <f aca="false">MAX(0,MIN(1,P194/100+$D$5))</f>
        <v>0.514672159579139</v>
      </c>
      <c r="S194" s="43" t="n">
        <v>0.130204099606216</v>
      </c>
      <c r="T194" s="44" t="s">
        <v>192</v>
      </c>
    </row>
    <row r="195" customFormat="false" ht="15" hidden="false" customHeight="false" outlineLevel="0" collapsed="false">
      <c r="A195" s="38" t="s">
        <v>156</v>
      </c>
      <c r="B195" s="38" t="s">
        <v>300</v>
      </c>
      <c r="C195" s="38" t="s">
        <v>304</v>
      </c>
      <c r="D195" s="21" t="n">
        <f aca="false">ROUND(Q195*R195,0)</f>
        <v>526</v>
      </c>
      <c r="E195" s="21" t="n">
        <f aca="false">ROUND(Q195,0)-D195</f>
        <v>390</v>
      </c>
      <c r="F195" s="21" t="n">
        <f aca="false">IF(COUNTA(D195:E195)=0,"",SUM(D195:E195))</f>
        <v>916</v>
      </c>
      <c r="G195" s="39" t="n">
        <f aca="false">IF(OR(F195="",F195=0),"",D195/F195)</f>
        <v>0.574235807860262</v>
      </c>
      <c r="H195" s="39" t="n">
        <f aca="false">IF(OR(F195="",F195=0),"",E195/F195)</f>
        <v>0.425764192139738</v>
      </c>
      <c r="I195" s="38" t="s">
        <v>89</v>
      </c>
      <c r="J195" s="40" t="n">
        <v>2.05025038892674</v>
      </c>
      <c r="K195" s="39" t="n">
        <f aca="false">IF(G195="","",MAX(0,G195-J195/100))</f>
        <v>0.553733303970995</v>
      </c>
      <c r="L195" s="39" t="n">
        <f aca="false">IF(G195="","",MIN(1,G195+J195/100))</f>
        <v>0.594738311749529</v>
      </c>
      <c r="M195" s="21" t="n">
        <f aca="false">ROUND(Q195*S195,0)</f>
        <v>46</v>
      </c>
      <c r="N195" s="21" t="n">
        <f aca="false">ROUND(SQRT((F195*J195/100)^2+(G195*M195)^2),0)</f>
        <v>32</v>
      </c>
      <c r="P195" s="41" t="n">
        <v>4.93557003554217</v>
      </c>
      <c r="Q195" s="42" t="n">
        <v>916</v>
      </c>
      <c r="R195" s="43" t="n">
        <f aca="false">MAX(0,MIN(1,P195/100+$D$5))</f>
        <v>0.574574145082386</v>
      </c>
      <c r="S195" s="43" t="n">
        <v>0.0500321312575726</v>
      </c>
      <c r="T195" s="44" t="s">
        <v>99</v>
      </c>
    </row>
    <row r="196" customFormat="false" ht="15" hidden="false" customHeight="false" outlineLevel="0" collapsed="false">
      <c r="A196" s="38" t="s">
        <v>156</v>
      </c>
      <c r="B196" s="38" t="s">
        <v>300</v>
      </c>
      <c r="C196" s="38" t="s">
        <v>305</v>
      </c>
      <c r="D196" s="21" t="n">
        <f aca="false">ROUND(Q196*R196,0)</f>
        <v>1471</v>
      </c>
      <c r="E196" s="21" t="n">
        <f aca="false">ROUND(Q196,0)-D196</f>
        <v>1080</v>
      </c>
      <c r="F196" s="21" t="n">
        <f aca="false">IF(COUNTA(D196:E196)=0,"",SUM(D196:E196))</f>
        <v>2551</v>
      </c>
      <c r="G196" s="39" t="n">
        <f aca="false">IF(OR(F196="",F196=0),"",D196/F196)</f>
        <v>0.576636613092905</v>
      </c>
      <c r="H196" s="39" t="n">
        <f aca="false">IF(OR(F196="",F196=0),"",E196/F196)</f>
        <v>0.423363386907095</v>
      </c>
      <c r="I196" s="38" t="s">
        <v>89</v>
      </c>
      <c r="J196" s="40" t="n">
        <v>1.25589305869883</v>
      </c>
      <c r="K196" s="39" t="n">
        <f aca="false">IF(G196="","",MAX(0,G196-J196/100))</f>
        <v>0.564077682505916</v>
      </c>
      <c r="L196" s="39" t="n">
        <f aca="false">IF(G196="","",MIN(1,G196+J196/100))</f>
        <v>0.589195543679893</v>
      </c>
      <c r="M196" s="21" t="n">
        <f aca="false">ROUND(Q196*S196,0)</f>
        <v>332</v>
      </c>
      <c r="N196" s="21" t="n">
        <f aca="false">ROUND(SQRT((F196*J196/100)^2+(G196*M196)^2),0)</f>
        <v>194</v>
      </c>
      <c r="P196" s="41" t="n">
        <v>5.16014643329052</v>
      </c>
      <c r="Q196" s="42" t="n">
        <v>2551</v>
      </c>
      <c r="R196" s="43" t="n">
        <f aca="false">MAX(0,MIN(1,P196/100+$D$5))</f>
        <v>0.57681990905987</v>
      </c>
      <c r="S196" s="43" t="n">
        <v>0.130204099606216</v>
      </c>
      <c r="T196" s="44" t="s">
        <v>192</v>
      </c>
    </row>
    <row r="197" customFormat="false" ht="15" hidden="false" customHeight="false" outlineLevel="0" collapsed="false">
      <c r="A197" s="38" t="s">
        <v>156</v>
      </c>
      <c r="B197" s="38" t="s">
        <v>300</v>
      </c>
      <c r="C197" s="38" t="s">
        <v>306</v>
      </c>
      <c r="D197" s="21" t="n">
        <f aca="false">ROUND(Q197*R197,0)</f>
        <v>521</v>
      </c>
      <c r="E197" s="21" t="n">
        <f aca="false">ROUND(Q197,0)-D197</f>
        <v>421</v>
      </c>
      <c r="F197" s="21" t="n">
        <f aca="false">IF(COUNTA(D197:E197)=0,"",SUM(D197:E197))</f>
        <v>942</v>
      </c>
      <c r="G197" s="39" t="n">
        <f aca="false">IF(OR(F197="",F197=0),"",D197/F197)</f>
        <v>0.55307855626327</v>
      </c>
      <c r="H197" s="39" t="n">
        <f aca="false">IF(OR(F197="",F197=0),"",E197/F197)</f>
        <v>0.44692144373673</v>
      </c>
      <c r="I197" s="38" t="s">
        <v>89</v>
      </c>
      <c r="J197" s="40" t="n">
        <v>2.05025038892674</v>
      </c>
      <c r="K197" s="39" t="n">
        <f aca="false">IF(G197="","",MAX(0,G197-J197/100))</f>
        <v>0.532576052374002</v>
      </c>
      <c r="L197" s="39" t="n">
        <f aca="false">IF(G197="","",MIN(1,G197+J197/100))</f>
        <v>0.573581060152537</v>
      </c>
      <c r="M197" s="21" t="n">
        <f aca="false">ROUND(Q197*S197,0)</f>
        <v>47</v>
      </c>
      <c r="N197" s="21" t="n">
        <f aca="false">ROUND(SQRT((F197*J197/100)^2+(G197*M197)^2),0)</f>
        <v>32</v>
      </c>
      <c r="P197" s="41" t="n">
        <v>2.83056658852346</v>
      </c>
      <c r="Q197" s="42" t="n">
        <v>942</v>
      </c>
      <c r="R197" s="43" t="n">
        <f aca="false">MAX(0,MIN(1,P197/100+$D$5))</f>
        <v>0.553524110612199</v>
      </c>
      <c r="S197" s="43" t="n">
        <v>0.0500321312575726</v>
      </c>
      <c r="T197" s="44" t="s">
        <v>99</v>
      </c>
    </row>
    <row r="198" customFormat="false" ht="15" hidden="false" customHeight="false" outlineLevel="0" collapsed="false">
      <c r="A198" s="38" t="s">
        <v>156</v>
      </c>
      <c r="B198" s="38" t="s">
        <v>300</v>
      </c>
      <c r="C198" s="38" t="s">
        <v>307</v>
      </c>
      <c r="D198" s="21" t="n">
        <f aca="false">ROUND(Q198*R198,0)</f>
        <v>530</v>
      </c>
      <c r="E198" s="21" t="n">
        <f aca="false">ROUND(Q198,0)-D198</f>
        <v>368</v>
      </c>
      <c r="F198" s="21" t="n">
        <f aca="false">IF(COUNTA(D198:E198)=0,"",SUM(D198:E198))</f>
        <v>898</v>
      </c>
      <c r="G198" s="39" t="n">
        <f aca="false">IF(OR(F198="",F198=0),"",D198/F198)</f>
        <v>0.590200445434298</v>
      </c>
      <c r="H198" s="39" t="n">
        <f aca="false">IF(OR(F198="",F198=0),"",E198/F198)</f>
        <v>0.409799554565702</v>
      </c>
      <c r="I198" s="38" t="s">
        <v>89</v>
      </c>
      <c r="J198" s="40" t="n">
        <v>2.05025038892674</v>
      </c>
      <c r="K198" s="39" t="n">
        <f aca="false">IF(G198="","",MAX(0,G198-J198/100))</f>
        <v>0.569697941545031</v>
      </c>
      <c r="L198" s="39" t="n">
        <f aca="false">IF(G198="","",MIN(1,G198+J198/100))</f>
        <v>0.610702949323566</v>
      </c>
      <c r="M198" s="21" t="n">
        <f aca="false">ROUND(Q198*S198,0)</f>
        <v>45</v>
      </c>
      <c r="N198" s="21" t="n">
        <f aca="false">ROUND(SQRT((F198*J198/100)^2+(G198*M198)^2),0)</f>
        <v>32</v>
      </c>
      <c r="P198" s="41" t="n">
        <v>6.50020900278972</v>
      </c>
      <c r="Q198" s="42" t="n">
        <v>898</v>
      </c>
      <c r="R198" s="43" t="n">
        <f aca="false">MAX(0,MIN(1,P198/100+$D$5))</f>
        <v>0.590220534754862</v>
      </c>
      <c r="S198" s="43" t="n">
        <v>0.0500321312575726</v>
      </c>
      <c r="T198" s="44" t="s">
        <v>99</v>
      </c>
    </row>
    <row r="199" customFormat="false" ht="15" hidden="false" customHeight="false" outlineLevel="0" collapsed="false">
      <c r="A199" s="38" t="s">
        <v>156</v>
      </c>
      <c r="B199" s="38" t="s">
        <v>300</v>
      </c>
      <c r="C199" s="38" t="s">
        <v>308</v>
      </c>
      <c r="D199" s="21" t="n">
        <f aca="false">ROUND(Q199*R199,0)</f>
        <v>545</v>
      </c>
      <c r="E199" s="21" t="n">
        <f aca="false">ROUND(Q199,0)-D199</f>
        <v>444</v>
      </c>
      <c r="F199" s="21" t="n">
        <f aca="false">IF(COUNTA(D199:E199)=0,"",SUM(D199:E199))</f>
        <v>989</v>
      </c>
      <c r="G199" s="39" t="n">
        <f aca="false">IF(OR(F199="",F199=0),"",D199/F199)</f>
        <v>0.551061678463094</v>
      </c>
      <c r="H199" s="39" t="n">
        <f aca="false">IF(OR(F199="",F199=0),"",E199/F199)</f>
        <v>0.448938321536906</v>
      </c>
      <c r="I199" s="38" t="s">
        <v>89</v>
      </c>
      <c r="J199" s="40" t="n">
        <v>2.05025038892674</v>
      </c>
      <c r="K199" s="39" t="n">
        <f aca="false">IF(G199="","",MAX(0,G199-J199/100))</f>
        <v>0.530559174573827</v>
      </c>
      <c r="L199" s="39" t="n">
        <f aca="false">IF(G199="","",MIN(1,G199+J199/100))</f>
        <v>0.571564182352361</v>
      </c>
      <c r="M199" s="21" t="n">
        <f aca="false">ROUND(Q199*S199,0)</f>
        <v>49</v>
      </c>
      <c r="N199" s="21" t="n">
        <f aca="false">ROUND(SQRT((F199*J199/100)^2+(G199*M199)^2),0)</f>
        <v>34</v>
      </c>
      <c r="P199" s="41" t="n">
        <v>2.60687636955945</v>
      </c>
      <c r="Q199" s="42" t="n">
        <v>989</v>
      </c>
      <c r="R199" s="43" t="n">
        <f aca="false">MAX(0,MIN(1,P199/100+$D$5))</f>
        <v>0.551287208422559</v>
      </c>
      <c r="S199" s="43" t="n">
        <v>0.0500321312575726</v>
      </c>
      <c r="T199" s="44" t="s">
        <v>99</v>
      </c>
    </row>
    <row r="200" customFormat="false" ht="15" hidden="false" customHeight="false" outlineLevel="0" collapsed="false">
      <c r="A200" s="38" t="s">
        <v>156</v>
      </c>
      <c r="B200" s="38" t="s">
        <v>309</v>
      </c>
      <c r="C200" s="38" t="s">
        <v>310</v>
      </c>
      <c r="D200" s="21" t="n">
        <f aca="false">ROUND(Q200*R200,0)</f>
        <v>1271</v>
      </c>
      <c r="E200" s="21" t="n">
        <f aca="false">ROUND(Q200,0)-D200</f>
        <v>1223</v>
      </c>
      <c r="F200" s="21" t="n">
        <f aca="false">IF(COUNTA(D200:E200)=0,"",SUM(D200:E200))</f>
        <v>2494</v>
      </c>
      <c r="G200" s="39" t="n">
        <f aca="false">IF(OR(F200="",F200=0),"",D200/F200)</f>
        <v>0.50962309542903</v>
      </c>
      <c r="H200" s="39" t="n">
        <f aca="false">IF(OR(F200="",F200=0),"",E200/F200)</f>
        <v>0.49037690457097</v>
      </c>
      <c r="I200" s="38" t="s">
        <v>89</v>
      </c>
      <c r="J200" s="40" t="n">
        <v>1.25589305869883</v>
      </c>
      <c r="K200" s="39" t="n">
        <f aca="false">IF(G200="","",MAX(0,G200-J200/100))</f>
        <v>0.497064164842041</v>
      </c>
      <c r="L200" s="39" t="n">
        <f aca="false">IF(G200="","",MIN(1,G200+J200/100))</f>
        <v>0.522182026016018</v>
      </c>
      <c r="M200" s="21" t="n">
        <f aca="false">ROUND(Q200*S200,0)</f>
        <v>325</v>
      </c>
      <c r="N200" s="21" t="n">
        <f aca="false">ROUND(SQRT((F200*J200/100)^2+(G200*M200)^2),0)</f>
        <v>169</v>
      </c>
      <c r="P200" s="41" t="n">
        <v>-1.56305425885633</v>
      </c>
      <c r="Q200" s="42" t="n">
        <v>2494</v>
      </c>
      <c r="R200" s="43" t="n">
        <f aca="false">MAX(0,MIN(1,P200/100+$D$5))</f>
        <v>0.509587902138401</v>
      </c>
      <c r="S200" s="43" t="n">
        <v>0.130204099606216</v>
      </c>
      <c r="T200" s="44" t="s">
        <v>192</v>
      </c>
    </row>
    <row r="201" customFormat="false" ht="15" hidden="false" customHeight="false" outlineLevel="0" collapsed="false">
      <c r="A201" s="38" t="s">
        <v>156</v>
      </c>
      <c r="B201" s="38" t="s">
        <v>309</v>
      </c>
      <c r="C201" s="38" t="s">
        <v>311</v>
      </c>
      <c r="D201" s="21" t="n">
        <f aca="false">ROUND(Q201*R201,0)</f>
        <v>845</v>
      </c>
      <c r="E201" s="21" t="n">
        <f aca="false">ROUND(Q201,0)-D201</f>
        <v>1143</v>
      </c>
      <c r="F201" s="21" t="n">
        <f aca="false">IF(COUNTA(D201:E201)=0,"",SUM(D201:E201))</f>
        <v>1988</v>
      </c>
      <c r="G201" s="39" t="n">
        <f aca="false">IF(OR(F201="",F201=0),"",D201/F201)</f>
        <v>0.425050301810865</v>
      </c>
      <c r="H201" s="39" t="n">
        <f aca="false">IF(OR(F201="",F201=0),"",E201/F201)</f>
        <v>0.574949698189135</v>
      </c>
      <c r="I201" s="38" t="s">
        <v>89</v>
      </c>
      <c r="J201" s="40" t="n">
        <v>1.25589305869883</v>
      </c>
      <c r="K201" s="39" t="n">
        <f aca="false">IF(G201="","",MAX(0,G201-J201/100))</f>
        <v>0.412491371223877</v>
      </c>
      <c r="L201" s="39" t="n">
        <f aca="false">IF(G201="","",MIN(1,G201+J201/100))</f>
        <v>0.437609232397854</v>
      </c>
      <c r="M201" s="21" t="n">
        <f aca="false">ROUND(Q201*S201,0)</f>
        <v>259</v>
      </c>
      <c r="N201" s="21" t="n">
        <f aca="false">ROUND(SQRT((F201*J201/100)^2+(G201*M201)^2),0)</f>
        <v>113</v>
      </c>
      <c r="P201" s="41" t="n">
        <v>-10.0217272427519</v>
      </c>
      <c r="Q201" s="42" t="n">
        <v>1988</v>
      </c>
      <c r="R201" s="43" t="n">
        <f aca="false">MAX(0,MIN(1,P201/100+$D$5))</f>
        <v>0.425001172299446</v>
      </c>
      <c r="S201" s="43" t="n">
        <v>0.130204099606216</v>
      </c>
      <c r="T201" s="44" t="s">
        <v>192</v>
      </c>
    </row>
    <row r="202" customFormat="false" ht="15" hidden="false" customHeight="false" outlineLevel="0" collapsed="false">
      <c r="A202" s="38" t="s">
        <v>156</v>
      </c>
      <c r="B202" s="38" t="s">
        <v>312</v>
      </c>
      <c r="C202" s="38" t="s">
        <v>313</v>
      </c>
      <c r="D202" s="21" t="n">
        <f aca="false">ROUND(Q202*R202,0)</f>
        <v>945</v>
      </c>
      <c r="E202" s="21" t="n">
        <f aca="false">ROUND(Q202,0)-D202</f>
        <v>802</v>
      </c>
      <c r="F202" s="21" t="n">
        <f aca="false">IF(COUNTA(D202:E202)=0,"",SUM(D202:E202))</f>
        <v>1747</v>
      </c>
      <c r="G202" s="39" t="n">
        <f aca="false">IF(OR(F202="",F202=0),"",D202/F202)</f>
        <v>0.540927303949628</v>
      </c>
      <c r="H202" s="39" t="n">
        <f aca="false">IF(OR(F202="",F202=0),"",E202/F202)</f>
        <v>0.459072696050372</v>
      </c>
      <c r="I202" s="38" t="s">
        <v>89</v>
      </c>
      <c r="J202" s="40" t="n">
        <v>1.25589305869883</v>
      </c>
      <c r="K202" s="39" t="n">
        <f aca="false">IF(G202="","",MAX(0,G202-J202/100))</f>
        <v>0.52836837336264</v>
      </c>
      <c r="L202" s="39" t="n">
        <f aca="false">IF(G202="","",MIN(1,G202+J202/100))</f>
        <v>0.553486234536616</v>
      </c>
      <c r="M202" s="21" t="n">
        <f aca="false">ROUND(Q202*S202,0)</f>
        <v>227</v>
      </c>
      <c r="N202" s="21" t="n">
        <f aca="false">ROUND(SQRT((F202*J202/100)^2+(G202*M202)^2),0)</f>
        <v>125</v>
      </c>
      <c r="P202" s="41" t="n">
        <v>1.57885368845354</v>
      </c>
      <c r="Q202" s="42" t="n">
        <v>1747</v>
      </c>
      <c r="R202" s="43" t="n">
        <f aca="false">MAX(0,MIN(1,P202/100+$D$5))</f>
        <v>0.5410069816115</v>
      </c>
      <c r="S202" s="43" t="n">
        <v>0.130204099606216</v>
      </c>
      <c r="T202" s="44" t="s">
        <v>192</v>
      </c>
    </row>
    <row r="203" customFormat="false" ht="15" hidden="false" customHeight="false" outlineLevel="0" collapsed="false">
      <c r="A203" s="38" t="s">
        <v>156</v>
      </c>
      <c r="B203" s="38" t="s">
        <v>312</v>
      </c>
      <c r="C203" s="38" t="s">
        <v>314</v>
      </c>
      <c r="D203" s="21" t="n">
        <f aca="false">ROUND(Q203*R203,0)</f>
        <v>648</v>
      </c>
      <c r="E203" s="21" t="n">
        <f aca="false">ROUND(Q203,0)-D203</f>
        <v>588</v>
      </c>
      <c r="F203" s="21" t="n">
        <f aca="false">IF(COUNTA(D203:E203)=0,"",SUM(D203:E203))</f>
        <v>1236</v>
      </c>
      <c r="G203" s="39" t="n">
        <f aca="false">IF(OR(F203="",F203=0),"",D203/F203)</f>
        <v>0.524271844660194</v>
      </c>
      <c r="H203" s="39" t="n">
        <f aca="false">IF(OR(F203="",F203=0),"",E203/F203)</f>
        <v>0.475728155339806</v>
      </c>
      <c r="I203" s="38" t="s">
        <v>89</v>
      </c>
      <c r="J203" s="40" t="n">
        <v>1.25589305869883</v>
      </c>
      <c r="K203" s="39" t="n">
        <f aca="false">IF(G203="","",MAX(0,G203-J203/100))</f>
        <v>0.511712914073206</v>
      </c>
      <c r="L203" s="39" t="n">
        <f aca="false">IF(G203="","",MIN(1,G203+J203/100))</f>
        <v>0.536830775247183</v>
      </c>
      <c r="M203" s="21" t="n">
        <f aca="false">ROUND(Q203*S203,0)</f>
        <v>161</v>
      </c>
      <c r="N203" s="21" t="n">
        <f aca="false">ROUND(SQRT((F203*J203/100)^2+(G203*M203)^2),0)</f>
        <v>86</v>
      </c>
      <c r="P203" s="41" t="n">
        <v>-0.109726192496918</v>
      </c>
      <c r="Q203" s="42" t="n">
        <v>1236</v>
      </c>
      <c r="R203" s="43" t="n">
        <f aca="false">MAX(0,MIN(1,P203/100+$D$5))</f>
        <v>0.524121182801996</v>
      </c>
      <c r="S203" s="43" t="n">
        <v>0.130204099606216</v>
      </c>
      <c r="T203" s="44" t="s">
        <v>192</v>
      </c>
    </row>
    <row r="204" customFormat="false" ht="15" hidden="false" customHeight="false" outlineLevel="0" collapsed="false">
      <c r="A204" s="38" t="s">
        <v>156</v>
      </c>
      <c r="B204" s="38" t="s">
        <v>312</v>
      </c>
      <c r="C204" s="38" t="s">
        <v>315</v>
      </c>
      <c r="D204" s="21" t="n">
        <f aca="false">ROUND(Q204*R204,0)</f>
        <v>533</v>
      </c>
      <c r="E204" s="21" t="n">
        <f aca="false">ROUND(Q204,0)-D204</f>
        <v>471</v>
      </c>
      <c r="F204" s="21" t="n">
        <f aca="false">IF(COUNTA(D204:E204)=0,"",SUM(D204:E204))</f>
        <v>1004</v>
      </c>
      <c r="G204" s="39" t="n">
        <f aca="false">IF(OR(F204="",F204=0),"",D204/F204)</f>
        <v>0.530876494023904</v>
      </c>
      <c r="H204" s="39" t="n">
        <f aca="false">IF(OR(F204="",F204=0),"",E204/F204)</f>
        <v>0.469123505976096</v>
      </c>
      <c r="I204" s="38" t="s">
        <v>89</v>
      </c>
      <c r="J204" s="40" t="n">
        <v>2.05025038892674</v>
      </c>
      <c r="K204" s="39" t="n">
        <f aca="false">IF(G204="","",MAX(0,G204-J204/100))</f>
        <v>0.510373990134637</v>
      </c>
      <c r="L204" s="39" t="n">
        <f aca="false">IF(G204="","",MIN(1,G204+J204/100))</f>
        <v>0.551378997913172</v>
      </c>
      <c r="M204" s="21" t="n">
        <f aca="false">ROUND(Q204*S204,0)</f>
        <v>50</v>
      </c>
      <c r="N204" s="21" t="n">
        <f aca="false">ROUND(SQRT((F204*J204/100)^2+(G204*M204)^2),0)</f>
        <v>34</v>
      </c>
      <c r="P204" s="41" t="n">
        <v>0.552504101826005</v>
      </c>
      <c r="Q204" s="42" t="n">
        <v>1004</v>
      </c>
      <c r="R204" s="43" t="n">
        <f aca="false">MAX(0,MIN(1,P204/100+$D$5))</f>
        <v>0.530743485745225</v>
      </c>
      <c r="S204" s="43" t="n">
        <v>0.0500321312575726</v>
      </c>
      <c r="T204" s="44" t="s">
        <v>99</v>
      </c>
    </row>
    <row r="205" customFormat="false" ht="15" hidden="false" customHeight="false" outlineLevel="0" collapsed="false">
      <c r="A205" s="38" t="s">
        <v>156</v>
      </c>
      <c r="B205" s="38" t="s">
        <v>312</v>
      </c>
      <c r="C205" s="38" t="s">
        <v>316</v>
      </c>
      <c r="D205" s="21" t="n">
        <f aca="false">ROUND(Q205*R205,0)</f>
        <v>1395</v>
      </c>
      <c r="E205" s="21" t="n">
        <f aca="false">ROUND(Q205,0)-D205</f>
        <v>1245</v>
      </c>
      <c r="F205" s="21" t="n">
        <f aca="false">IF(COUNTA(D205:E205)=0,"",SUM(D205:E205))</f>
        <v>2640</v>
      </c>
      <c r="G205" s="39" t="n">
        <f aca="false">IF(OR(F205="",F205=0),"",D205/F205)</f>
        <v>0.528409090909091</v>
      </c>
      <c r="H205" s="39" t="n">
        <f aca="false">IF(OR(F205="",F205=0),"",E205/F205)</f>
        <v>0.471590909090909</v>
      </c>
      <c r="I205" s="38" t="s">
        <v>89</v>
      </c>
      <c r="J205" s="40" t="n">
        <v>1.25589305869883</v>
      </c>
      <c r="K205" s="39" t="n">
        <f aca="false">IF(G205="","",MAX(0,G205-J205/100))</f>
        <v>0.515850160322103</v>
      </c>
      <c r="L205" s="39" t="n">
        <f aca="false">IF(G205="","",MIN(1,G205+J205/100))</f>
        <v>0.540968021496079</v>
      </c>
      <c r="M205" s="21" t="n">
        <f aca="false">ROUND(Q205*S205,0)</f>
        <v>344</v>
      </c>
      <c r="N205" s="21" t="n">
        <f aca="false">ROUND(SQRT((F205*J205/100)^2+(G205*M205)^2),0)</f>
        <v>185</v>
      </c>
      <c r="P205" s="41" t="n">
        <v>0.324712743725244</v>
      </c>
      <c r="Q205" s="42" t="n">
        <v>2640</v>
      </c>
      <c r="R205" s="43" t="n">
        <f aca="false">MAX(0,MIN(1,P205/100+$D$5))</f>
        <v>0.528465572164217</v>
      </c>
      <c r="S205" s="43" t="n">
        <v>0.130204099606216</v>
      </c>
      <c r="T205" s="44" t="s">
        <v>192</v>
      </c>
    </row>
    <row r="206" customFormat="false" ht="15" hidden="false" customHeight="false" outlineLevel="0" collapsed="false">
      <c r="A206" s="38" t="s">
        <v>156</v>
      </c>
      <c r="B206" s="38" t="s">
        <v>312</v>
      </c>
      <c r="C206" s="38" t="s">
        <v>317</v>
      </c>
      <c r="D206" s="21" t="n">
        <f aca="false">ROUND(Q206*R206,0)</f>
        <v>589</v>
      </c>
      <c r="E206" s="21" t="n">
        <f aca="false">ROUND(Q206,0)-D206</f>
        <v>490</v>
      </c>
      <c r="F206" s="21" t="n">
        <f aca="false">IF(COUNTA(D206:E206)=0,"",SUM(D206:E206))</f>
        <v>1079</v>
      </c>
      <c r="G206" s="39" t="n">
        <f aca="false">IF(OR(F206="",F206=0),"",D206/F206)</f>
        <v>0.545875810936052</v>
      </c>
      <c r="H206" s="39" t="n">
        <f aca="false">IF(OR(F206="",F206=0),"",E206/F206)</f>
        <v>0.454124189063948</v>
      </c>
      <c r="I206" s="38" t="s">
        <v>89</v>
      </c>
      <c r="J206" s="40" t="n">
        <v>2.05025038892674</v>
      </c>
      <c r="K206" s="39" t="n">
        <f aca="false">IF(G206="","",MAX(0,G206-J206/100))</f>
        <v>0.525373307046785</v>
      </c>
      <c r="L206" s="39" t="n">
        <f aca="false">IF(G206="","",MIN(1,G206+J206/100))</f>
        <v>0.566378314825319</v>
      </c>
      <c r="M206" s="21" t="n">
        <f aca="false">ROUND(Q206*S206,0)</f>
        <v>54</v>
      </c>
      <c r="N206" s="21" t="n">
        <f aca="false">ROUND(SQRT((F206*J206/100)^2+(G206*M206)^2),0)</f>
        <v>37</v>
      </c>
      <c r="P206" s="41" t="n">
        <v>2.02810309945534</v>
      </c>
      <c r="Q206" s="42" t="n">
        <v>1079</v>
      </c>
      <c r="R206" s="43" t="n">
        <f aca="false">MAX(0,MIN(1,P206/100+$D$5))</f>
        <v>0.545499475721518</v>
      </c>
      <c r="S206" s="43" t="n">
        <v>0.0500321312575726</v>
      </c>
      <c r="T206" s="44" t="s">
        <v>99</v>
      </c>
    </row>
    <row r="207" customFormat="false" ht="15" hidden="false" customHeight="false" outlineLevel="0" collapsed="false">
      <c r="A207" s="38" t="s">
        <v>156</v>
      </c>
      <c r="B207" s="38" t="s">
        <v>312</v>
      </c>
      <c r="C207" s="38" t="s">
        <v>318</v>
      </c>
      <c r="D207" s="21" t="n">
        <f aca="false">ROUND(Q207*R207,0)</f>
        <v>602</v>
      </c>
      <c r="E207" s="21" t="n">
        <f aca="false">ROUND(Q207,0)-D207</f>
        <v>467</v>
      </c>
      <c r="F207" s="21" t="n">
        <f aca="false">IF(COUNTA(D207:E207)=0,"",SUM(D207:E207))</f>
        <v>1069</v>
      </c>
      <c r="G207" s="39" t="n">
        <f aca="false">IF(OR(F207="",F207=0),"",D207/F207)</f>
        <v>0.563143124415341</v>
      </c>
      <c r="H207" s="39" t="n">
        <f aca="false">IF(OR(F207="",F207=0),"",E207/F207)</f>
        <v>0.436856875584659</v>
      </c>
      <c r="I207" s="38" t="s">
        <v>89</v>
      </c>
      <c r="J207" s="40" t="n">
        <v>2.05025038892674</v>
      </c>
      <c r="K207" s="39" t="n">
        <f aca="false">IF(G207="","",MAX(0,G207-J207/100))</f>
        <v>0.542640620526074</v>
      </c>
      <c r="L207" s="39" t="n">
        <f aca="false">IF(G207="","",MIN(1,G207+J207/100))</f>
        <v>0.583645628304609</v>
      </c>
      <c r="M207" s="21" t="n">
        <f aca="false">ROUND(Q207*S207,0)</f>
        <v>53</v>
      </c>
      <c r="N207" s="21" t="n">
        <f aca="false">ROUND(SQRT((F207*J207/100)^2+(G207*M207)^2),0)</f>
        <v>37</v>
      </c>
      <c r="P207" s="41" t="n">
        <v>3.78454518042345</v>
      </c>
      <c r="Q207" s="42" t="n">
        <v>1069</v>
      </c>
      <c r="R207" s="43" t="n">
        <f aca="false">MAX(0,MIN(1,P207/100+$D$5))</f>
        <v>0.563063896531199</v>
      </c>
      <c r="S207" s="43" t="n">
        <v>0.0500321312575726</v>
      </c>
      <c r="T207" s="44" t="s">
        <v>99</v>
      </c>
    </row>
    <row r="208" customFormat="false" ht="15" hidden="false" customHeight="false" outlineLevel="0" collapsed="false">
      <c r="A208" s="38" t="s">
        <v>156</v>
      </c>
      <c r="B208" s="38" t="s">
        <v>319</v>
      </c>
      <c r="C208" s="38" t="s">
        <v>320</v>
      </c>
      <c r="D208" s="21" t="n">
        <f aca="false">ROUND(Q208*R208,0)</f>
        <v>203</v>
      </c>
      <c r="E208" s="21" t="n">
        <f aca="false">ROUND(Q208,0)-D208</f>
        <v>380</v>
      </c>
      <c r="F208" s="21" t="n">
        <f aca="false">IF(COUNTA(D208:E208)=0,"",SUM(D208:E208))</f>
        <v>583</v>
      </c>
      <c r="G208" s="39" t="n">
        <f aca="false">IF(OR(F208="",F208=0),"",D208/F208)</f>
        <v>0.34819897084048</v>
      </c>
      <c r="H208" s="39" t="n">
        <f aca="false">IF(OR(F208="",F208=0),"",E208/F208)</f>
        <v>0.65180102915952</v>
      </c>
      <c r="I208" s="38" t="s">
        <v>89</v>
      </c>
      <c r="J208" s="40" t="n">
        <v>3.45317612968717</v>
      </c>
      <c r="K208" s="39" t="n">
        <f aca="false">IF(G208="","",MAX(0,G208-J208/100))</f>
        <v>0.313667209543609</v>
      </c>
      <c r="L208" s="39" t="n">
        <f aca="false">IF(G208="","",MIN(1,G208+J208/100))</f>
        <v>0.382730732137352</v>
      </c>
      <c r="M208" s="21" t="n">
        <f aca="false">ROUND(Q208*S208,0)</f>
        <v>36</v>
      </c>
      <c r="N208" s="21" t="n">
        <f aca="false">ROUND(SQRT((F208*J208/100)^2+(G208*M208)^2),0)</f>
        <v>24</v>
      </c>
      <c r="P208" s="41" t="n">
        <v>-17.632921383623</v>
      </c>
      <c r="Q208" s="42" t="n">
        <v>583</v>
      </c>
      <c r="R208" s="43" t="n">
        <f aca="false">MAX(0,MIN(1,P208/100+$D$5))</f>
        <v>0.348889230890735</v>
      </c>
      <c r="S208" s="43" t="n">
        <v>0.0610405690258335</v>
      </c>
      <c r="T208" s="44" t="s">
        <v>90</v>
      </c>
    </row>
    <row r="209" customFormat="false" ht="15" hidden="false" customHeight="false" outlineLevel="0" collapsed="false">
      <c r="A209" s="38" t="s">
        <v>156</v>
      </c>
      <c r="B209" s="38" t="s">
        <v>319</v>
      </c>
      <c r="C209" s="38" t="s">
        <v>321</v>
      </c>
      <c r="D209" s="21" t="n">
        <f aca="false">ROUND(Q209*R209,0)</f>
        <v>715</v>
      </c>
      <c r="E209" s="21" t="n">
        <f aca="false">ROUND(Q209,0)-D209</f>
        <v>1198</v>
      </c>
      <c r="F209" s="21" t="n">
        <f aca="false">IF(COUNTA(D209:E209)=0,"",SUM(D209:E209))</f>
        <v>1913</v>
      </c>
      <c r="G209" s="39" t="n">
        <f aca="false">IF(OR(F209="",F209=0),"",D209/F209)</f>
        <v>0.373758494511239</v>
      </c>
      <c r="H209" s="39" t="n">
        <f aca="false">IF(OR(F209="",F209=0),"",E209/F209)</f>
        <v>0.626241505488761</v>
      </c>
      <c r="I209" s="38" t="s">
        <v>89</v>
      </c>
      <c r="J209" s="40" t="n">
        <v>1.25589305869883</v>
      </c>
      <c r="K209" s="39" t="n">
        <f aca="false">IF(G209="","",MAX(0,G209-J209/100))</f>
        <v>0.361199563924251</v>
      </c>
      <c r="L209" s="39" t="n">
        <f aca="false">IF(G209="","",MIN(1,G209+J209/100))</f>
        <v>0.386317425098227</v>
      </c>
      <c r="M209" s="21" t="n">
        <f aca="false">ROUND(Q209*S209,0)</f>
        <v>249</v>
      </c>
      <c r="N209" s="21" t="n">
        <f aca="false">ROUND(SQRT((F209*J209/100)^2+(G209*M209)^2),0)</f>
        <v>96</v>
      </c>
      <c r="P209" s="41" t="n">
        <v>-15.1453446685907</v>
      </c>
      <c r="Q209" s="42" t="n">
        <v>1913</v>
      </c>
      <c r="R209" s="43" t="n">
        <f aca="false">MAX(0,MIN(1,P209/100+$D$5))</f>
        <v>0.373764998041057</v>
      </c>
      <c r="S209" s="43" t="n">
        <v>0.130204099606216</v>
      </c>
      <c r="T209" s="44" t="s">
        <v>192</v>
      </c>
    </row>
    <row r="210" customFormat="false" ht="15" hidden="false" customHeight="false" outlineLevel="0" collapsed="false">
      <c r="A210" s="38" t="s">
        <v>156</v>
      </c>
      <c r="B210" s="38" t="s">
        <v>319</v>
      </c>
      <c r="C210" s="38" t="s">
        <v>322</v>
      </c>
      <c r="D210" s="21" t="n">
        <f aca="false">ROUND(Q210*R210,0)</f>
        <v>163</v>
      </c>
      <c r="E210" s="21" t="n">
        <f aca="false">ROUND(Q210,0)-D210</f>
        <v>347</v>
      </c>
      <c r="F210" s="21" t="n">
        <f aca="false">IF(COUNTA(D210:E210)=0,"",SUM(D210:E210))</f>
        <v>510</v>
      </c>
      <c r="G210" s="39" t="n">
        <f aca="false">IF(OR(F210="",F210=0),"",D210/F210)</f>
        <v>0.319607843137255</v>
      </c>
      <c r="H210" s="39" t="n">
        <f aca="false">IF(OR(F210="",F210=0),"",E210/F210)</f>
        <v>0.680392156862745</v>
      </c>
      <c r="I210" s="38" t="s">
        <v>89</v>
      </c>
      <c r="J210" s="40" t="n">
        <v>3.45317612968717</v>
      </c>
      <c r="K210" s="39" t="n">
        <f aca="false">IF(G210="","",MAX(0,G210-J210/100))</f>
        <v>0.285076081840383</v>
      </c>
      <c r="L210" s="39" t="n">
        <f aca="false">IF(G210="","",MIN(1,G210+J210/100))</f>
        <v>0.354139604434127</v>
      </c>
      <c r="M210" s="21" t="n">
        <f aca="false">ROUND(Q210*S210,0)</f>
        <v>31</v>
      </c>
      <c r="N210" s="21" t="n">
        <f aca="false">ROUND(SQRT((F210*J210/100)^2+(G210*M210)^2),0)</f>
        <v>20</v>
      </c>
      <c r="P210" s="41" t="n">
        <v>-20.6341910463658</v>
      </c>
      <c r="Q210" s="42" t="n">
        <v>510</v>
      </c>
      <c r="R210" s="43" t="n">
        <f aca="false">MAX(0,MIN(1,P210/100+$D$5))</f>
        <v>0.318876534263307</v>
      </c>
      <c r="S210" s="43" t="n">
        <v>0.0610405690258335</v>
      </c>
      <c r="T210" s="44" t="s">
        <v>90</v>
      </c>
    </row>
    <row r="211" customFormat="false" ht="15" hidden="false" customHeight="false" outlineLevel="0" collapsed="false">
      <c r="A211" s="38" t="s">
        <v>156</v>
      </c>
      <c r="B211" s="38" t="s">
        <v>323</v>
      </c>
      <c r="C211" s="38" t="s">
        <v>323</v>
      </c>
      <c r="D211" s="21" t="n">
        <f aca="false">ROUND(Q211*R211,0)</f>
        <v>1045</v>
      </c>
      <c r="E211" s="21" t="n">
        <f aca="false">ROUND(Q211,0)-D211</f>
        <v>1647</v>
      </c>
      <c r="F211" s="21" t="n">
        <f aca="false">IF(COUNTA(D211:E211)=0,"",SUM(D211:E211))</f>
        <v>2692</v>
      </c>
      <c r="G211" s="39" t="n">
        <f aca="false">IF(OR(F211="",F211=0),"",D211/F211)</f>
        <v>0.388187221396731</v>
      </c>
      <c r="H211" s="39" t="n">
        <f aca="false">IF(OR(F211="",F211=0),"",E211/F211)</f>
        <v>0.611812778603269</v>
      </c>
      <c r="I211" s="38" t="s">
        <v>89</v>
      </c>
      <c r="J211" s="40" t="n">
        <v>1.25589305869883</v>
      </c>
      <c r="K211" s="39" t="n">
        <f aca="false">IF(G211="","",MAX(0,G211-J211/100))</f>
        <v>0.375628290809743</v>
      </c>
      <c r="L211" s="39" t="n">
        <f aca="false">IF(G211="","",MIN(1,G211+J211/100))</f>
        <v>0.400746151983719</v>
      </c>
      <c r="M211" s="21" t="n">
        <f aca="false">ROUND(Q211*S211,0)</f>
        <v>351</v>
      </c>
      <c r="N211" s="21" t="n">
        <f aca="false">ROUND(SQRT((F211*J211/100)^2+(G211*M211)^2),0)</f>
        <v>140</v>
      </c>
      <c r="P211" s="41" t="n">
        <v>-13.7183501687507</v>
      </c>
      <c r="Q211" s="42" t="n">
        <v>2692</v>
      </c>
      <c r="R211" s="43" t="n">
        <f aca="false">MAX(0,MIN(1,P211/100+$D$5))</f>
        <v>0.388034943039458</v>
      </c>
      <c r="S211" s="43" t="n">
        <v>0.130204099606216</v>
      </c>
      <c r="T211" s="44" t="s">
        <v>192</v>
      </c>
    </row>
    <row r="212" customFormat="false" ht="15" hidden="false" customHeight="false" outlineLevel="0" collapsed="false">
      <c r="A212" s="38" t="s">
        <v>156</v>
      </c>
      <c r="B212" s="38" t="s">
        <v>324</v>
      </c>
      <c r="C212" s="38" t="s">
        <v>325</v>
      </c>
      <c r="D212" s="21" t="n">
        <f aca="false">ROUND(Q212*R212,0)</f>
        <v>681</v>
      </c>
      <c r="E212" s="21" t="n">
        <f aca="false">ROUND(Q212,0)-D212</f>
        <v>620</v>
      </c>
      <c r="F212" s="21" t="n">
        <f aca="false">IF(COUNTA(D212:E212)=0,"",SUM(D212:E212))</f>
        <v>1301</v>
      </c>
      <c r="G212" s="39" t="n">
        <f aca="false">IF(OR(F212="",F212=0),"",D212/F212)</f>
        <v>0.523443504996157</v>
      </c>
      <c r="H212" s="39" t="n">
        <f aca="false">IF(OR(F212="",F212=0),"",E212/F212)</f>
        <v>0.476556495003843</v>
      </c>
      <c r="I212" s="38" t="s">
        <v>89</v>
      </c>
      <c r="J212" s="40" t="n">
        <v>1.25589305869883</v>
      </c>
      <c r="K212" s="39" t="n">
        <f aca="false">IF(G212="","",MAX(0,G212-J212/100))</f>
        <v>0.510884574409169</v>
      </c>
      <c r="L212" s="39" t="n">
        <f aca="false">IF(G212="","",MIN(1,G212+J212/100))</f>
        <v>0.536002435583145</v>
      </c>
      <c r="M212" s="21" t="n">
        <f aca="false">ROUND(Q212*S212,0)</f>
        <v>169</v>
      </c>
      <c r="N212" s="21" t="n">
        <f aca="false">ROUND(SQRT((F212*J212/100)^2+(G212*M212)^2),0)</f>
        <v>90</v>
      </c>
      <c r="P212" s="41" t="n">
        <v>-0.200509955943677</v>
      </c>
      <c r="Q212" s="42" t="n">
        <v>1301</v>
      </c>
      <c r="R212" s="43" t="n">
        <f aca="false">MAX(0,MIN(1,P212/100+$D$5))</f>
        <v>0.523213345167528</v>
      </c>
      <c r="S212" s="43" t="n">
        <v>0.130204099606216</v>
      </c>
      <c r="T212" s="44" t="s">
        <v>192</v>
      </c>
    </row>
    <row r="213" customFormat="false" ht="15" hidden="false" customHeight="false" outlineLevel="0" collapsed="false">
      <c r="A213" s="38" t="s">
        <v>156</v>
      </c>
      <c r="B213" s="38" t="s">
        <v>324</v>
      </c>
      <c r="C213" s="38" t="s">
        <v>326</v>
      </c>
      <c r="D213" s="21" t="n">
        <f aca="false">ROUND(Q213*R213,0)</f>
        <v>504</v>
      </c>
      <c r="E213" s="21" t="n">
        <f aca="false">ROUND(Q213,0)-D213</f>
        <v>459</v>
      </c>
      <c r="F213" s="21" t="n">
        <f aca="false">IF(COUNTA(D213:E213)=0,"",SUM(D213:E213))</f>
        <v>963</v>
      </c>
      <c r="G213" s="39" t="n">
        <f aca="false">IF(OR(F213="",F213=0),"",D213/F213)</f>
        <v>0.523364485981308</v>
      </c>
      <c r="H213" s="39" t="n">
        <f aca="false">IF(OR(F213="",F213=0),"",E213/F213)</f>
        <v>0.476635514018692</v>
      </c>
      <c r="I213" s="38" t="s">
        <v>89</v>
      </c>
      <c r="J213" s="40" t="n">
        <v>2.05025038892674</v>
      </c>
      <c r="K213" s="39" t="n">
        <f aca="false">IF(G213="","",MAX(0,G213-J213/100))</f>
        <v>0.502861982092041</v>
      </c>
      <c r="L213" s="39" t="n">
        <f aca="false">IF(G213="","",MIN(1,G213+J213/100))</f>
        <v>0.543866989870576</v>
      </c>
      <c r="M213" s="21" t="n">
        <f aca="false">ROUND(Q213*S213,0)</f>
        <v>48</v>
      </c>
      <c r="N213" s="21" t="n">
        <f aca="false">ROUND(SQRT((F213*J213/100)^2+(G213*M213)^2),0)</f>
        <v>32</v>
      </c>
      <c r="P213" s="41" t="n">
        <v>-0.220753062720389</v>
      </c>
      <c r="Q213" s="42" t="n">
        <v>963</v>
      </c>
      <c r="R213" s="43" t="n">
        <f aca="false">MAX(0,MIN(1,P213/100+$D$5))</f>
        <v>0.523010914099761</v>
      </c>
      <c r="S213" s="43" t="n">
        <v>0.0500321312575726</v>
      </c>
      <c r="T213" s="44" t="s">
        <v>99</v>
      </c>
    </row>
    <row r="214" customFormat="false" ht="15" hidden="false" customHeight="false" outlineLevel="0" collapsed="false">
      <c r="A214" s="38" t="s">
        <v>156</v>
      </c>
      <c r="B214" s="38" t="s">
        <v>324</v>
      </c>
      <c r="C214" s="38" t="s">
        <v>327</v>
      </c>
      <c r="D214" s="21" t="n">
        <f aca="false">ROUND(Q214*R214,0)</f>
        <v>537</v>
      </c>
      <c r="E214" s="21" t="n">
        <f aca="false">ROUND(Q214,0)-D214</f>
        <v>363</v>
      </c>
      <c r="F214" s="21" t="n">
        <f aca="false">IF(COUNTA(D214:E214)=0,"",SUM(D214:E214))</f>
        <v>900</v>
      </c>
      <c r="G214" s="39" t="n">
        <f aca="false">IF(OR(F214="",F214=0),"",D214/F214)</f>
        <v>0.596666666666667</v>
      </c>
      <c r="H214" s="39" t="n">
        <f aca="false">IF(OR(F214="",F214=0),"",E214/F214)</f>
        <v>0.403333333333333</v>
      </c>
      <c r="I214" s="38" t="s">
        <v>89</v>
      </c>
      <c r="J214" s="40" t="n">
        <v>2.05025038892674</v>
      </c>
      <c r="K214" s="39" t="n">
        <f aca="false">IF(G214="","",MAX(0,G214-J214/100))</f>
        <v>0.576164162777399</v>
      </c>
      <c r="L214" s="39" t="n">
        <f aca="false">IF(G214="","",MIN(1,G214+J214/100))</f>
        <v>0.617169170555934</v>
      </c>
      <c r="M214" s="21" t="n">
        <f aca="false">ROUND(Q214*S214,0)</f>
        <v>45</v>
      </c>
      <c r="N214" s="21" t="n">
        <f aca="false">ROUND(SQRT((F214*J214/100)^2+(G214*M214)^2),0)</f>
        <v>33</v>
      </c>
      <c r="P214" s="41" t="n">
        <v>7.13945117368898</v>
      </c>
      <c r="Q214" s="42" t="n">
        <v>900</v>
      </c>
      <c r="R214" s="43" t="n">
        <f aca="false">MAX(0,MIN(1,P214/100+$D$5))</f>
        <v>0.596612956463855</v>
      </c>
      <c r="S214" s="43" t="n">
        <v>0.0500321312575726</v>
      </c>
      <c r="T214" s="44" t="s">
        <v>99</v>
      </c>
    </row>
    <row r="215" customFormat="false" ht="15" hidden="false" customHeight="false" outlineLevel="0" collapsed="false">
      <c r="A215" s="38" t="s">
        <v>156</v>
      </c>
      <c r="B215" s="38" t="s">
        <v>324</v>
      </c>
      <c r="C215" s="38" t="s">
        <v>328</v>
      </c>
      <c r="D215" s="21" t="n">
        <f aca="false">ROUND(Q215*R215,0)</f>
        <v>616</v>
      </c>
      <c r="E215" s="21" t="n">
        <f aca="false">ROUND(Q215,0)-D215</f>
        <v>378</v>
      </c>
      <c r="F215" s="21" t="n">
        <f aca="false">IF(COUNTA(D215:E215)=0,"",SUM(D215:E215))</f>
        <v>994</v>
      </c>
      <c r="G215" s="39" t="n">
        <f aca="false">IF(OR(F215="",F215=0),"",D215/F215)</f>
        <v>0.619718309859155</v>
      </c>
      <c r="H215" s="39" t="n">
        <f aca="false">IF(OR(F215="",F215=0),"",E215/F215)</f>
        <v>0.380281690140845</v>
      </c>
      <c r="I215" s="38" t="s">
        <v>89</v>
      </c>
      <c r="J215" s="40" t="n">
        <v>2.05025038892674</v>
      </c>
      <c r="K215" s="39" t="n">
        <f aca="false">IF(G215="","",MAX(0,G215-J215/100))</f>
        <v>0.599215805969888</v>
      </c>
      <c r="L215" s="39" t="n">
        <f aca="false">IF(G215="","",MIN(1,G215+J215/100))</f>
        <v>0.640220813748422</v>
      </c>
      <c r="M215" s="21" t="n">
        <f aca="false">ROUND(Q215*S215,0)</f>
        <v>50</v>
      </c>
      <c r="N215" s="21" t="n">
        <f aca="false">ROUND(SQRT((F215*J215/100)^2+(G215*M215)^2),0)</f>
        <v>37</v>
      </c>
      <c r="P215" s="41" t="n">
        <v>9.4321979037582</v>
      </c>
      <c r="Q215" s="42" t="n">
        <v>994</v>
      </c>
      <c r="R215" s="43" t="n">
        <f aca="false">MAX(0,MIN(1,P215/100+$D$5))</f>
        <v>0.619540423764547</v>
      </c>
      <c r="S215" s="43" t="n">
        <v>0.0500321312575726</v>
      </c>
      <c r="T215" s="44" t="s">
        <v>99</v>
      </c>
    </row>
    <row r="216" customFormat="false" ht="15" hidden="false" customHeight="false" outlineLevel="0" collapsed="false">
      <c r="A216" s="38" t="s">
        <v>156</v>
      </c>
      <c r="B216" s="38" t="s">
        <v>324</v>
      </c>
      <c r="C216" s="38" t="s">
        <v>329</v>
      </c>
      <c r="D216" s="21" t="n">
        <f aca="false">ROUND(Q216*R216,0)</f>
        <v>226</v>
      </c>
      <c r="E216" s="21" t="n">
        <f aca="false">ROUND(Q216,0)-D216</f>
        <v>157</v>
      </c>
      <c r="F216" s="21" t="n">
        <f aca="false">IF(COUNTA(D216:E216)=0,"",SUM(D216:E216))</f>
        <v>383</v>
      </c>
      <c r="G216" s="39" t="n">
        <f aca="false">IF(OR(F216="",F216=0),"",D216/F216)</f>
        <v>0.590078328981723</v>
      </c>
      <c r="H216" s="39" t="n">
        <f aca="false">IF(OR(F216="",F216=0),"",E216/F216)</f>
        <v>0.409921671018277</v>
      </c>
      <c r="I216" s="38" t="s">
        <v>89</v>
      </c>
      <c r="J216" s="40" t="n">
        <v>3.45317612968717</v>
      </c>
      <c r="K216" s="39" t="n">
        <f aca="false">IF(G216="","",MAX(0,G216-J216/100))</f>
        <v>0.555546567684852</v>
      </c>
      <c r="L216" s="39" t="n">
        <f aca="false">IF(G216="","",MIN(1,G216+J216/100))</f>
        <v>0.624610090278595</v>
      </c>
      <c r="M216" s="21" t="n">
        <f aca="false">ROUND(Q216*S216,0)</f>
        <v>23</v>
      </c>
      <c r="N216" s="21" t="n">
        <f aca="false">ROUND(SQRT((F216*J216/100)^2+(G216*M216)^2),0)</f>
        <v>19</v>
      </c>
      <c r="P216" s="41" t="n">
        <v>6.46731565939054</v>
      </c>
      <c r="Q216" s="42" t="n">
        <v>383</v>
      </c>
      <c r="R216" s="43" t="n">
        <f aca="false">MAX(0,MIN(1,P216/100+$D$5))</f>
        <v>0.58989160132087</v>
      </c>
      <c r="S216" s="43" t="n">
        <v>0.0610405690258335</v>
      </c>
      <c r="T216" s="44" t="s">
        <v>90</v>
      </c>
    </row>
    <row r="217" customFormat="false" ht="15" hidden="false" customHeight="false" outlineLevel="0" collapsed="false">
      <c r="A217" s="38" t="s">
        <v>156</v>
      </c>
      <c r="B217" s="38" t="s">
        <v>324</v>
      </c>
      <c r="C217" s="38" t="s">
        <v>330</v>
      </c>
      <c r="D217" s="21" t="n">
        <f aca="false">ROUND(Q217*R217,0)</f>
        <v>333</v>
      </c>
      <c r="E217" s="21" t="n">
        <f aca="false">ROUND(Q217,0)-D217</f>
        <v>192</v>
      </c>
      <c r="F217" s="21" t="n">
        <f aca="false">IF(COUNTA(D217:E217)=0,"",SUM(D217:E217))</f>
        <v>525</v>
      </c>
      <c r="G217" s="39" t="n">
        <f aca="false">IF(OR(F217="",F217=0),"",D217/F217)</f>
        <v>0.634285714285714</v>
      </c>
      <c r="H217" s="39" t="n">
        <f aca="false">IF(OR(F217="",F217=0),"",E217/F217)</f>
        <v>0.365714285714286</v>
      </c>
      <c r="I217" s="38" t="s">
        <v>89</v>
      </c>
      <c r="J217" s="40" t="n">
        <v>3.45317612968717</v>
      </c>
      <c r="K217" s="39" t="n">
        <f aca="false">IF(G217="","",MAX(0,G217-J217/100))</f>
        <v>0.599753952988843</v>
      </c>
      <c r="L217" s="39" t="n">
        <f aca="false">IF(G217="","",MIN(1,G217+J217/100))</f>
        <v>0.668817475582586</v>
      </c>
      <c r="M217" s="21" t="n">
        <f aca="false">ROUND(Q217*S217,0)</f>
        <v>32</v>
      </c>
      <c r="N217" s="21" t="n">
        <f aca="false">ROUND(SQRT((F217*J217/100)^2+(G217*M217)^2),0)</f>
        <v>27</v>
      </c>
      <c r="P217" s="41" t="n">
        <v>10.8775220724043</v>
      </c>
      <c r="Q217" s="42" t="n">
        <v>525</v>
      </c>
      <c r="R217" s="43" t="n">
        <f aca="false">MAX(0,MIN(1,P217/100+$D$5))</f>
        <v>0.633993665451008</v>
      </c>
      <c r="S217" s="43" t="n">
        <v>0.0610405690258335</v>
      </c>
      <c r="T217" s="44" t="s">
        <v>90</v>
      </c>
    </row>
    <row r="218" customFormat="false" ht="15" hidden="false" customHeight="false" outlineLevel="0" collapsed="false">
      <c r="A218" s="38" t="s">
        <v>156</v>
      </c>
      <c r="B218" s="38" t="s">
        <v>324</v>
      </c>
      <c r="C218" s="38" t="s">
        <v>331</v>
      </c>
      <c r="D218" s="21" t="n">
        <f aca="false">ROUND(Q218*R218,0)</f>
        <v>412</v>
      </c>
      <c r="E218" s="21" t="n">
        <f aca="false">ROUND(Q218,0)-D218</f>
        <v>276</v>
      </c>
      <c r="F218" s="21" t="n">
        <f aca="false">IF(COUNTA(D218:E218)=0,"",SUM(D218:E218))</f>
        <v>688</v>
      </c>
      <c r="G218" s="39" t="n">
        <f aca="false">IF(OR(F218="",F218=0),"",D218/F218)</f>
        <v>0.598837209302326</v>
      </c>
      <c r="H218" s="39" t="n">
        <f aca="false">IF(OR(F218="",F218=0),"",E218/F218)</f>
        <v>0.401162790697674</v>
      </c>
      <c r="I218" s="38" t="s">
        <v>89</v>
      </c>
      <c r="J218" s="40" t="n">
        <v>3.45317612968717</v>
      </c>
      <c r="K218" s="39" t="n">
        <f aca="false">IF(G218="","",MAX(0,G218-J218/100))</f>
        <v>0.564305448005454</v>
      </c>
      <c r="L218" s="39" t="n">
        <f aca="false">IF(G218="","",MIN(1,G218+J218/100))</f>
        <v>0.633368970599197</v>
      </c>
      <c r="M218" s="21" t="n">
        <f aca="false">ROUND(Q218*S218,0)</f>
        <v>42</v>
      </c>
      <c r="N218" s="21" t="n">
        <f aca="false">ROUND(SQRT((F218*J218/100)^2+(G218*M218)^2),0)</f>
        <v>35</v>
      </c>
      <c r="P218" s="41" t="n">
        <v>7.30541589452001</v>
      </c>
      <c r="Q218" s="42" t="n">
        <v>688</v>
      </c>
      <c r="R218" s="43" t="n">
        <f aca="false">MAX(0,MIN(1,P218/100+$D$5))</f>
        <v>0.598272603672165</v>
      </c>
      <c r="S218" s="43" t="n">
        <v>0.0610405690258335</v>
      </c>
      <c r="T218" s="44" t="s">
        <v>90</v>
      </c>
    </row>
    <row r="219" customFormat="false" ht="15" hidden="false" customHeight="false" outlineLevel="0" collapsed="false">
      <c r="A219" s="38" t="s">
        <v>156</v>
      </c>
      <c r="B219" s="38" t="s">
        <v>324</v>
      </c>
      <c r="C219" s="38" t="s">
        <v>332</v>
      </c>
      <c r="D219" s="21" t="n">
        <f aca="false">ROUND(Q219*R219,0)</f>
        <v>225</v>
      </c>
      <c r="E219" s="21" t="n">
        <f aca="false">ROUND(Q219,0)-D219</f>
        <v>204</v>
      </c>
      <c r="F219" s="21" t="n">
        <f aca="false">IF(COUNTA(D219:E219)=0,"",SUM(D219:E219))</f>
        <v>429</v>
      </c>
      <c r="G219" s="39" t="n">
        <f aca="false">IF(OR(F219="",F219=0),"",D219/F219)</f>
        <v>0.524475524475525</v>
      </c>
      <c r="H219" s="39" t="n">
        <f aca="false">IF(OR(F219="",F219=0),"",E219/F219)</f>
        <v>0.475524475524476</v>
      </c>
      <c r="I219" s="38" t="s">
        <v>89</v>
      </c>
      <c r="J219" s="40" t="n">
        <v>3.45317612968717</v>
      </c>
      <c r="K219" s="39" t="n">
        <f aca="false">IF(G219="","",MAX(0,G219-J219/100))</f>
        <v>0.489943763178653</v>
      </c>
      <c r="L219" s="39" t="n">
        <f aca="false">IF(G219="","",MIN(1,G219+J219/100))</f>
        <v>0.559007285772396</v>
      </c>
      <c r="M219" s="21" t="n">
        <f aca="false">ROUND(Q219*S219,0)</f>
        <v>26</v>
      </c>
      <c r="N219" s="21" t="n">
        <f aca="false">ROUND(SQRT((F219*J219/100)^2+(G219*M219)^2),0)</f>
        <v>20</v>
      </c>
      <c r="P219" s="41" t="n">
        <v>-0.156708417180799</v>
      </c>
      <c r="Q219" s="42" t="n">
        <v>429</v>
      </c>
      <c r="R219" s="43" t="n">
        <f aca="false">MAX(0,MIN(1,P219/100+$D$5))</f>
        <v>0.523651360555157</v>
      </c>
      <c r="S219" s="43" t="n">
        <v>0.0610405690258335</v>
      </c>
      <c r="T219" s="44" t="s">
        <v>90</v>
      </c>
    </row>
    <row r="220" customFormat="false" ht="15" hidden="false" customHeight="false" outlineLevel="0" collapsed="false">
      <c r="A220" s="38" t="s">
        <v>156</v>
      </c>
      <c r="B220" s="38" t="s">
        <v>324</v>
      </c>
      <c r="C220" s="38" t="s">
        <v>333</v>
      </c>
      <c r="D220" s="21" t="n">
        <f aca="false">ROUND(Q220*R220,0)</f>
        <v>407</v>
      </c>
      <c r="E220" s="21" t="n">
        <f aca="false">ROUND(Q220,0)-D220</f>
        <v>321</v>
      </c>
      <c r="F220" s="21" t="n">
        <f aca="false">IF(COUNTA(D220:E220)=0,"",SUM(D220:E220))</f>
        <v>728</v>
      </c>
      <c r="G220" s="39" t="n">
        <f aca="false">IF(OR(F220="",F220=0),"",D220/F220)</f>
        <v>0.559065934065934</v>
      </c>
      <c r="H220" s="39" t="n">
        <f aca="false">IF(OR(F220="",F220=0),"",E220/F220)</f>
        <v>0.440934065934066</v>
      </c>
      <c r="I220" s="38" t="s">
        <v>89</v>
      </c>
      <c r="J220" s="40" t="n">
        <v>3.45317612968717</v>
      </c>
      <c r="K220" s="39" t="n">
        <f aca="false">IF(G220="","",MAX(0,G220-J220/100))</f>
        <v>0.524534172769062</v>
      </c>
      <c r="L220" s="39" t="n">
        <f aca="false">IF(G220="","",MIN(1,G220+J220/100))</f>
        <v>0.593597695362806</v>
      </c>
      <c r="M220" s="21" t="n">
        <f aca="false">ROUND(Q220*S220,0)</f>
        <v>44</v>
      </c>
      <c r="N220" s="21" t="n">
        <f aca="false">ROUND(SQRT((F220*J220/100)^2+(G220*M220)^2),0)</f>
        <v>35</v>
      </c>
      <c r="P220" s="41" t="n">
        <v>3.39276781531447</v>
      </c>
      <c r="Q220" s="42" t="n">
        <v>728</v>
      </c>
      <c r="R220" s="43" t="n">
        <f aca="false">MAX(0,MIN(1,P220/100+$D$5))</f>
        <v>0.559146122880109</v>
      </c>
      <c r="S220" s="43" t="n">
        <v>0.0610405690258335</v>
      </c>
      <c r="T220" s="44" t="s">
        <v>90</v>
      </c>
    </row>
    <row r="221" customFormat="false" ht="15" hidden="false" customHeight="false" outlineLevel="0" collapsed="false">
      <c r="A221" s="38" t="s">
        <v>156</v>
      </c>
      <c r="B221" s="38" t="s">
        <v>324</v>
      </c>
      <c r="C221" s="38" t="s">
        <v>334</v>
      </c>
      <c r="D221" s="21" t="n">
        <f aca="false">ROUND(Q221*R221,0)</f>
        <v>712</v>
      </c>
      <c r="E221" s="21" t="n">
        <f aca="false">ROUND(Q221,0)-D221</f>
        <v>661</v>
      </c>
      <c r="F221" s="21" t="n">
        <f aca="false">IF(COUNTA(D221:E221)=0,"",SUM(D221:E221))</f>
        <v>1373</v>
      </c>
      <c r="G221" s="39" t="n">
        <f aca="false">IF(OR(F221="",F221=0),"",D221/F221)</f>
        <v>0.518572469045885</v>
      </c>
      <c r="H221" s="39" t="n">
        <f aca="false">IF(OR(F221="",F221=0),"",E221/F221)</f>
        <v>0.481427530954115</v>
      </c>
      <c r="I221" s="38" t="s">
        <v>89</v>
      </c>
      <c r="J221" s="40" t="n">
        <v>1.25589305869883</v>
      </c>
      <c r="K221" s="39" t="n">
        <f aca="false">IF(G221="","",MAX(0,G221-J221/100))</f>
        <v>0.506013538458897</v>
      </c>
      <c r="L221" s="39" t="n">
        <f aca="false">IF(G221="","",MIN(1,G221+J221/100))</f>
        <v>0.531131399632873</v>
      </c>
      <c r="M221" s="21" t="n">
        <f aca="false">ROUND(Q221*S221,0)</f>
        <v>179</v>
      </c>
      <c r="N221" s="21" t="n">
        <f aca="false">ROUND(SQRT((F221*J221/100)^2+(G221*M221)^2),0)</f>
        <v>94</v>
      </c>
      <c r="P221" s="41" t="n">
        <v>-0.679533285393304</v>
      </c>
      <c r="Q221" s="42" t="n">
        <v>1373</v>
      </c>
      <c r="R221" s="43" t="n">
        <f aca="false">MAX(0,MIN(1,P221/100+$D$5))</f>
        <v>0.518423111873032</v>
      </c>
      <c r="S221" s="43" t="n">
        <v>0.130204099606216</v>
      </c>
      <c r="T221" s="44" t="s">
        <v>192</v>
      </c>
    </row>
    <row r="222" customFormat="false" ht="15" hidden="false" customHeight="false" outlineLevel="0" collapsed="false">
      <c r="A222" s="38" t="s">
        <v>156</v>
      </c>
      <c r="B222" s="38" t="s">
        <v>324</v>
      </c>
      <c r="C222" s="38" t="s">
        <v>335</v>
      </c>
      <c r="D222" s="21" t="n">
        <f aca="false">ROUND(Q222*R222,0)</f>
        <v>618</v>
      </c>
      <c r="E222" s="21" t="n">
        <f aca="false">ROUND(Q222,0)-D222</f>
        <v>526</v>
      </c>
      <c r="F222" s="21" t="n">
        <f aca="false">IF(COUNTA(D222:E222)=0,"",SUM(D222:E222))</f>
        <v>1144</v>
      </c>
      <c r="G222" s="39" t="n">
        <f aca="false">IF(OR(F222="",F222=0),"",D222/F222)</f>
        <v>0.54020979020979</v>
      </c>
      <c r="H222" s="39" t="n">
        <f aca="false">IF(OR(F222="",F222=0),"",E222/F222)</f>
        <v>0.45979020979021</v>
      </c>
      <c r="I222" s="38" t="s">
        <v>89</v>
      </c>
      <c r="J222" s="40" t="n">
        <v>2.05025038892674</v>
      </c>
      <c r="K222" s="39" t="n">
        <f aca="false">IF(G222="","",MAX(0,G222-J222/100))</f>
        <v>0.519707286320523</v>
      </c>
      <c r="L222" s="39" t="n">
        <f aca="false">IF(G222="","",MIN(1,G222+J222/100))</f>
        <v>0.560712294099058</v>
      </c>
      <c r="M222" s="21" t="n">
        <f aca="false">ROUND(Q222*S222,0)</f>
        <v>57</v>
      </c>
      <c r="N222" s="21" t="n">
        <f aca="false">ROUND(SQRT((F222*J222/100)^2+(G222*M222)^2),0)</f>
        <v>39</v>
      </c>
      <c r="P222" s="41" t="n">
        <v>1.45604003771212</v>
      </c>
      <c r="Q222" s="42" t="n">
        <v>1144</v>
      </c>
      <c r="R222" s="43" t="n">
        <f aca="false">MAX(0,MIN(1,P222/100+$D$5))</f>
        <v>0.539778845104086</v>
      </c>
      <c r="S222" s="43" t="n">
        <v>0.0500321312575726</v>
      </c>
      <c r="T222" s="44" t="s">
        <v>99</v>
      </c>
    </row>
    <row r="223" customFormat="false" ht="15" hidden="false" customHeight="false" outlineLevel="0" collapsed="false">
      <c r="A223" s="38" t="s">
        <v>156</v>
      </c>
      <c r="B223" s="38" t="s">
        <v>324</v>
      </c>
      <c r="C223" s="38" t="s">
        <v>336</v>
      </c>
      <c r="D223" s="21" t="n">
        <f aca="false">ROUND(Q223*R223,0)</f>
        <v>480</v>
      </c>
      <c r="E223" s="21" t="n">
        <f aca="false">ROUND(Q223,0)-D223</f>
        <v>384</v>
      </c>
      <c r="F223" s="21" t="n">
        <f aca="false">IF(COUNTA(D223:E223)=0,"",SUM(D223:E223))</f>
        <v>864</v>
      </c>
      <c r="G223" s="39" t="n">
        <f aca="false">IF(OR(F223="",F223=0),"",D223/F223)</f>
        <v>0.555555555555556</v>
      </c>
      <c r="H223" s="39" t="n">
        <f aca="false">IF(OR(F223="",F223=0),"",E223/F223)</f>
        <v>0.444444444444444</v>
      </c>
      <c r="I223" s="38" t="s">
        <v>89</v>
      </c>
      <c r="J223" s="40" t="n">
        <v>2.05025038892674</v>
      </c>
      <c r="K223" s="39" t="n">
        <f aca="false">IF(G223="","",MAX(0,G223-J223/100))</f>
        <v>0.535053051666288</v>
      </c>
      <c r="L223" s="39" t="n">
        <f aca="false">IF(G223="","",MIN(1,G223+J223/100))</f>
        <v>0.576058059444823</v>
      </c>
      <c r="M223" s="21" t="n">
        <f aca="false">ROUND(Q223*S223,0)</f>
        <v>43</v>
      </c>
      <c r="N223" s="21" t="n">
        <f aca="false">ROUND(SQRT((F223*J223/100)^2+(G223*M223)^2),0)</f>
        <v>30</v>
      </c>
      <c r="P223" s="41" t="n">
        <v>3.08728115881435</v>
      </c>
      <c r="Q223" s="42" t="n">
        <v>864</v>
      </c>
      <c r="R223" s="43" t="n">
        <f aca="false">MAX(0,MIN(1,P223/100+$D$5))</f>
        <v>0.556091256315108</v>
      </c>
      <c r="S223" s="43" t="n">
        <v>0.0500321312575726</v>
      </c>
      <c r="T223" s="44" t="s">
        <v>99</v>
      </c>
    </row>
    <row r="224" customFormat="false" ht="15" hidden="false" customHeight="false" outlineLevel="0" collapsed="false">
      <c r="A224" s="38" t="s">
        <v>337</v>
      </c>
      <c r="B224" s="38" t="s">
        <v>338</v>
      </c>
      <c r="C224" s="38" t="s">
        <v>339</v>
      </c>
      <c r="D224" s="21" t="n">
        <f aca="false">ROUND(Q224*R224,0)</f>
        <v>399</v>
      </c>
      <c r="E224" s="21" t="n">
        <f aca="false">ROUND(Q224,0)-D224</f>
        <v>786</v>
      </c>
      <c r="F224" s="21" t="n">
        <f aca="false">IF(COUNTA(D224:E224)=0,"",SUM(D224:E224))</f>
        <v>1185</v>
      </c>
      <c r="G224" s="39" t="n">
        <f aca="false">IF(OR(F224="",F224=0),"",D224/F224)</f>
        <v>0.336708860759494</v>
      </c>
      <c r="H224" s="39" t="n">
        <f aca="false">IF(OR(F224="",F224=0),"",E224/F224)</f>
        <v>0.663291139240506</v>
      </c>
      <c r="I224" s="38" t="s">
        <v>89</v>
      </c>
      <c r="J224" s="40" t="n">
        <v>2.05025038892674</v>
      </c>
      <c r="K224" s="39" t="n">
        <f aca="false">IF(G224="","",MAX(0,G224-J224/100))</f>
        <v>0.316206356870226</v>
      </c>
      <c r="L224" s="39" t="n">
        <f aca="false">IF(G224="","",MIN(1,G224+J224/100))</f>
        <v>0.357211364648761</v>
      </c>
      <c r="M224" s="21" t="n">
        <f aca="false">ROUND(Q224*S224,0)</f>
        <v>59</v>
      </c>
      <c r="N224" s="21" t="n">
        <f aca="false">ROUND(SQRT((F224*J224/100)^2+(G224*M224)^2),0)</f>
        <v>31</v>
      </c>
      <c r="P224" s="41" t="n">
        <v>-18.836415183851</v>
      </c>
      <c r="Q224" s="42" t="n">
        <v>1185</v>
      </c>
      <c r="R224" s="43" t="n">
        <f aca="false">MAX(0,MIN(1,P224/100+$D$5))</f>
        <v>0.336854292888455</v>
      </c>
      <c r="S224" s="43" t="n">
        <v>0.0500321312575726</v>
      </c>
      <c r="T224" s="44" t="s">
        <v>99</v>
      </c>
    </row>
    <row r="225" customFormat="false" ht="15" hidden="false" customHeight="false" outlineLevel="0" collapsed="false">
      <c r="A225" s="38" t="s">
        <v>337</v>
      </c>
      <c r="B225" s="38" t="s">
        <v>340</v>
      </c>
      <c r="C225" s="38" t="s">
        <v>341</v>
      </c>
      <c r="D225" s="21" t="n">
        <f aca="false">ROUND(Q225*R225,0)</f>
        <v>1095</v>
      </c>
      <c r="E225" s="21" t="n">
        <f aca="false">ROUND(Q225,0)-D225</f>
        <v>1910</v>
      </c>
      <c r="F225" s="21" t="n">
        <f aca="false">IF(COUNTA(D225:E225)=0,"",SUM(D225:E225))</f>
        <v>3005</v>
      </c>
      <c r="G225" s="39" t="n">
        <f aca="false">IF(OR(F225="",F225=0),"",D225/F225)</f>
        <v>0.364392678868552</v>
      </c>
      <c r="H225" s="39" t="n">
        <f aca="false">IF(OR(F225="",F225=0),"",E225/F225)</f>
        <v>0.635607321131448</v>
      </c>
      <c r="I225" s="38" t="s">
        <v>89</v>
      </c>
      <c r="J225" s="40" t="n">
        <v>1.25589305869883</v>
      </c>
      <c r="K225" s="39" t="n">
        <f aca="false">IF(G225="","",MAX(0,G225-J225/100))</f>
        <v>0.351833748281564</v>
      </c>
      <c r="L225" s="39" t="n">
        <f aca="false">IF(G225="","",MIN(1,G225+J225/100))</f>
        <v>0.376951609455541</v>
      </c>
      <c r="M225" s="21" t="n">
        <f aca="false">ROUND(Q225*S225,0)</f>
        <v>391</v>
      </c>
      <c r="N225" s="21" t="n">
        <f aca="false">ROUND(SQRT((F225*J225/100)^2+(G225*M225)^2),0)</f>
        <v>147</v>
      </c>
      <c r="P225" s="41" t="n">
        <v>-16.0972468667947</v>
      </c>
      <c r="Q225" s="42" t="n">
        <v>3005</v>
      </c>
      <c r="R225" s="43" t="n">
        <f aca="false">MAX(0,MIN(1,P225/100+$D$5))</f>
        <v>0.364245976059018</v>
      </c>
      <c r="S225" s="43" t="n">
        <v>0.130204099606216</v>
      </c>
      <c r="T225" s="44" t="s">
        <v>192</v>
      </c>
    </row>
    <row r="226" customFormat="false" ht="15" hidden="false" customHeight="false" outlineLevel="0" collapsed="false">
      <c r="A226" s="38" t="s">
        <v>337</v>
      </c>
      <c r="B226" s="38" t="s">
        <v>342</v>
      </c>
      <c r="C226" s="38" t="s">
        <v>343</v>
      </c>
      <c r="D226" s="21" t="n">
        <f aca="false">ROUND(Q226*R226,0)</f>
        <v>424</v>
      </c>
      <c r="E226" s="21" t="n">
        <f aca="false">ROUND(Q226,0)-D226</f>
        <v>688</v>
      </c>
      <c r="F226" s="21" t="n">
        <f aca="false">IF(COUNTA(D226:E226)=0,"",SUM(D226:E226))</f>
        <v>1112</v>
      </c>
      <c r="G226" s="39" t="n">
        <f aca="false">IF(OR(F226="",F226=0),"",D226/F226)</f>
        <v>0.381294964028777</v>
      </c>
      <c r="H226" s="39" t="n">
        <f aca="false">IF(OR(F226="",F226=0),"",E226/F226)</f>
        <v>0.618705035971223</v>
      </c>
      <c r="I226" s="38" t="s">
        <v>89</v>
      </c>
      <c r="J226" s="40" t="n">
        <v>2.05025038892674</v>
      </c>
      <c r="K226" s="39" t="n">
        <f aca="false">IF(G226="","",MAX(0,G226-J226/100))</f>
        <v>0.36079246013951</v>
      </c>
      <c r="L226" s="39" t="n">
        <f aca="false">IF(G226="","",MIN(1,G226+J226/100))</f>
        <v>0.401797467918044</v>
      </c>
      <c r="M226" s="21" t="n">
        <f aca="false">ROUND(Q226*S226,0)</f>
        <v>56</v>
      </c>
      <c r="N226" s="21" t="n">
        <f aca="false">ROUND(SQRT((F226*J226/100)^2+(G226*M226)^2),0)</f>
        <v>31</v>
      </c>
      <c r="P226" s="41" t="n">
        <v>-14.4021887783177</v>
      </c>
      <c r="Q226" s="42" t="n">
        <v>1112</v>
      </c>
      <c r="R226" s="43" t="n">
        <f aca="false">MAX(0,MIN(1,P226/100+$D$5))</f>
        <v>0.381196556943787</v>
      </c>
      <c r="S226" s="43" t="n">
        <v>0.0500321312575726</v>
      </c>
      <c r="T226" s="44" t="s">
        <v>99</v>
      </c>
    </row>
    <row r="227" customFormat="false" ht="15" hidden="false" customHeight="false" outlineLevel="0" collapsed="false">
      <c r="A227" s="38" t="s">
        <v>344</v>
      </c>
      <c r="B227" s="38" t="s">
        <v>345</v>
      </c>
      <c r="C227" s="38" t="s">
        <v>346</v>
      </c>
      <c r="D227" s="21" t="n">
        <f aca="false">ROUND(Q227*R227,0)</f>
        <v>578</v>
      </c>
      <c r="E227" s="21" t="n">
        <f aca="false">ROUND(Q227,0)-D227</f>
        <v>695</v>
      </c>
      <c r="F227" s="21" t="n">
        <f aca="false">IF(COUNTA(D227:E227)=0,"",SUM(D227:E227))</f>
        <v>1273</v>
      </c>
      <c r="G227" s="39" t="n">
        <f aca="false">IF(OR(F227="",F227=0),"",D227/F227)</f>
        <v>0.454045561665357</v>
      </c>
      <c r="H227" s="39" t="n">
        <f aca="false">IF(OR(F227="",F227=0),"",E227/F227)</f>
        <v>0.545954438334643</v>
      </c>
      <c r="I227" s="38" t="s">
        <v>89</v>
      </c>
      <c r="J227" s="40" t="n">
        <v>1.25589305869883</v>
      </c>
      <c r="K227" s="39" t="n">
        <f aca="false">IF(G227="","",MAX(0,G227-J227/100))</f>
        <v>0.441486631078369</v>
      </c>
      <c r="L227" s="39" t="n">
        <f aca="false">IF(G227="","",MIN(1,G227+J227/100))</f>
        <v>0.466604492252346</v>
      </c>
      <c r="M227" s="21" t="n">
        <f aca="false">ROUND(Q227*S227,0)</f>
        <v>166</v>
      </c>
      <c r="N227" s="21" t="n">
        <f aca="false">ROUND(SQRT((F227*J227/100)^2+(G227*M227)^2),0)</f>
        <v>77</v>
      </c>
      <c r="P227" s="41" t="n">
        <v>-7.07912027210306</v>
      </c>
      <c r="Q227" s="42" t="n">
        <v>1273</v>
      </c>
      <c r="R227" s="43" t="n">
        <f aca="false">MAX(0,MIN(1,P227/100+$D$5))</f>
        <v>0.454427242005934</v>
      </c>
      <c r="S227" s="43" t="n">
        <v>0.130204099606216</v>
      </c>
      <c r="T227" s="44" t="s">
        <v>192</v>
      </c>
    </row>
    <row r="228" customFormat="false" ht="15" hidden="false" customHeight="false" outlineLevel="0" collapsed="false">
      <c r="A228" s="38" t="s">
        <v>344</v>
      </c>
      <c r="B228" s="38" t="s">
        <v>345</v>
      </c>
      <c r="C228" s="38" t="s">
        <v>347</v>
      </c>
      <c r="D228" s="21" t="n">
        <f aca="false">ROUND(Q228*R228,0)</f>
        <v>679</v>
      </c>
      <c r="E228" s="21" t="n">
        <f aca="false">ROUND(Q228,0)-D228</f>
        <v>648</v>
      </c>
      <c r="F228" s="21" t="n">
        <f aca="false">IF(COUNTA(D228:E228)=0,"",SUM(D228:E228))</f>
        <v>1327</v>
      </c>
      <c r="G228" s="39" t="n">
        <f aca="false">IF(OR(F228="",F228=0),"",D228/F228)</f>
        <v>0.511680482290882</v>
      </c>
      <c r="H228" s="39" t="n">
        <f aca="false">IF(OR(F228="",F228=0),"",E228/F228)</f>
        <v>0.488319517709118</v>
      </c>
      <c r="I228" s="38" t="s">
        <v>89</v>
      </c>
      <c r="J228" s="40" t="n">
        <v>1.25589305869883</v>
      </c>
      <c r="K228" s="39" t="n">
        <f aca="false">IF(G228="","",MAX(0,G228-J228/100))</f>
        <v>0.499121551703893</v>
      </c>
      <c r="L228" s="39" t="n">
        <f aca="false">IF(G228="","",MIN(1,G228+J228/100))</f>
        <v>0.52423941287787</v>
      </c>
      <c r="M228" s="21" t="n">
        <f aca="false">ROUND(Q228*S228,0)</f>
        <v>173</v>
      </c>
      <c r="N228" s="21" t="n">
        <f aca="false">ROUND(SQRT((F228*J228/100)^2+(G228*M228)^2),0)</f>
        <v>90</v>
      </c>
      <c r="P228" s="41" t="n">
        <v>-1.32415547380883</v>
      </c>
      <c r="Q228" s="42" t="n">
        <v>1327</v>
      </c>
      <c r="R228" s="43" t="n">
        <f aca="false">MAX(0,MIN(1,P228/100+$D$5))</f>
        <v>0.511976889988876</v>
      </c>
      <c r="S228" s="43" t="n">
        <v>0.130204099606216</v>
      </c>
      <c r="T228" s="44" t="s">
        <v>192</v>
      </c>
    </row>
    <row r="229" customFormat="false" ht="15" hidden="false" customHeight="false" outlineLevel="0" collapsed="false">
      <c r="A229" s="38" t="s">
        <v>344</v>
      </c>
      <c r="B229" s="38" t="s">
        <v>348</v>
      </c>
      <c r="C229" s="38" t="s">
        <v>349</v>
      </c>
      <c r="D229" s="21" t="n">
        <f aca="false">ROUND(Q229*R229,0)</f>
        <v>346</v>
      </c>
      <c r="E229" s="21" t="n">
        <f aca="false">ROUND(Q229,0)-D229</f>
        <v>450</v>
      </c>
      <c r="F229" s="21" t="n">
        <f aca="false">IF(COUNTA(D229:E229)=0,"",SUM(D229:E229))</f>
        <v>796</v>
      </c>
      <c r="G229" s="39" t="n">
        <f aca="false">IF(OR(F229="",F229=0),"",D229/F229)</f>
        <v>0.434673366834171</v>
      </c>
      <c r="H229" s="39" t="n">
        <f aca="false">IF(OR(F229="",F229=0),"",E229/F229)</f>
        <v>0.565326633165829</v>
      </c>
      <c r="I229" s="38" t="s">
        <v>190</v>
      </c>
      <c r="J229" s="40" t="n">
        <v>2.05025038892674</v>
      </c>
      <c r="K229" s="39" t="n">
        <f aca="false">IF(G229="","",MAX(0,G229-J229/100))</f>
        <v>0.414170862944903</v>
      </c>
      <c r="L229" s="39" t="n">
        <f aca="false">IF(G229="","",MIN(1,G229+J229/100))</f>
        <v>0.455175870723438</v>
      </c>
      <c r="M229" s="21" t="n">
        <f aca="false">ROUND(Q229*S229,0)</f>
        <v>40</v>
      </c>
      <c r="N229" s="21" t="n">
        <f aca="false">ROUND(SQRT((F229*J229/100)^2+(G229*M229)^2),0)</f>
        <v>24</v>
      </c>
      <c r="P229" s="41" t="n">
        <v>-9.08678118370839</v>
      </c>
      <c r="Q229" s="42" t="n">
        <v>796.162853297443</v>
      </c>
      <c r="R229" s="43" t="n">
        <f aca="false">MAX(0,MIN(1,P229/100+$D$5))</f>
        <v>0.434350632889881</v>
      </c>
      <c r="S229" s="43" t="n">
        <v>0.0500321312575726</v>
      </c>
      <c r="T229" s="44" t="s">
        <v>99</v>
      </c>
    </row>
    <row r="230" customFormat="false" ht="15" hidden="false" customHeight="false" outlineLevel="0" collapsed="false">
      <c r="A230" s="38" t="s">
        <v>344</v>
      </c>
      <c r="B230" s="38" t="s">
        <v>348</v>
      </c>
      <c r="C230" s="38" t="s">
        <v>350</v>
      </c>
      <c r="D230" s="21" t="n">
        <f aca="false">ROUND(Q230*R230,0)</f>
        <v>388</v>
      </c>
      <c r="E230" s="21" t="n">
        <f aca="false">ROUND(Q230,0)-D230</f>
        <v>473</v>
      </c>
      <c r="F230" s="21" t="n">
        <f aca="false">IF(COUNTA(D230:E230)=0,"",SUM(D230:E230))</f>
        <v>861</v>
      </c>
      <c r="G230" s="39" t="n">
        <f aca="false">IF(OR(F230="",F230=0),"",D230/F230)</f>
        <v>0.450638792102207</v>
      </c>
      <c r="H230" s="39" t="n">
        <f aca="false">IF(OR(F230="",F230=0),"",E230/F230)</f>
        <v>0.549361207897793</v>
      </c>
      <c r="I230" s="38" t="s">
        <v>190</v>
      </c>
      <c r="J230" s="40" t="n">
        <v>2.05025038892674</v>
      </c>
      <c r="K230" s="39" t="n">
        <f aca="false">IF(G230="","",MAX(0,G230-J230/100))</f>
        <v>0.430136288212939</v>
      </c>
      <c r="L230" s="39" t="n">
        <f aca="false">IF(G230="","",MIN(1,G230+J230/100))</f>
        <v>0.471141295991474</v>
      </c>
      <c r="M230" s="21" t="n">
        <f aca="false">ROUND(Q230*S230,0)</f>
        <v>43</v>
      </c>
      <c r="N230" s="21" t="n">
        <f aca="false">ROUND(SQRT((F230*J230/100)^2+(G230*M230)^2),0)</f>
        <v>26</v>
      </c>
      <c r="P230" s="41" t="n">
        <v>-7.48357330923858</v>
      </c>
      <c r="Q230" s="42" t="n">
        <v>860.837146702557</v>
      </c>
      <c r="R230" s="43" t="n">
        <f aca="false">MAX(0,MIN(1,P230/100+$D$5))</f>
        <v>0.450382711634579</v>
      </c>
      <c r="S230" s="43" t="n">
        <v>0.0500321312575726</v>
      </c>
      <c r="T230" s="44" t="s">
        <v>99</v>
      </c>
    </row>
    <row r="231" customFormat="false" ht="15" hidden="false" customHeight="false" outlineLevel="0" collapsed="false">
      <c r="A231" s="38" t="s">
        <v>344</v>
      </c>
      <c r="B231" s="38" t="s">
        <v>351</v>
      </c>
      <c r="C231" s="38" t="s">
        <v>352</v>
      </c>
      <c r="D231" s="21" t="n">
        <f aca="false">ROUND(Q231*R231,0)</f>
        <v>489</v>
      </c>
      <c r="E231" s="21" t="n">
        <f aca="false">ROUND(Q231,0)-D231</f>
        <v>465</v>
      </c>
      <c r="F231" s="21" t="n">
        <f aca="false">IF(COUNTA(D231:E231)=0,"",SUM(D231:E231))</f>
        <v>954</v>
      </c>
      <c r="G231" s="39" t="n">
        <f aca="false">IF(OR(F231="",F231=0),"",D231/F231)</f>
        <v>0.512578616352201</v>
      </c>
      <c r="H231" s="39" t="n">
        <f aca="false">IF(OR(F231="",F231=0),"",E231/F231)</f>
        <v>0.487421383647799</v>
      </c>
      <c r="I231" s="38" t="s">
        <v>89</v>
      </c>
      <c r="J231" s="40" t="n">
        <v>2.05025038892674</v>
      </c>
      <c r="K231" s="39" t="n">
        <f aca="false">IF(G231="","",MAX(0,G231-J231/100))</f>
        <v>0.492076112462934</v>
      </c>
      <c r="L231" s="39" t="n">
        <f aca="false">IF(G231="","",MIN(1,G231+J231/100))</f>
        <v>0.533081120241469</v>
      </c>
      <c r="M231" s="21" t="n">
        <f aca="false">ROUND(Q231*S231,0)</f>
        <v>48</v>
      </c>
      <c r="N231" s="21" t="n">
        <f aca="false">ROUND(SQRT((F231*J231/100)^2+(G231*M231)^2),0)</f>
        <v>31</v>
      </c>
      <c r="P231" s="41" t="n">
        <v>-1.31410004538514</v>
      </c>
      <c r="Q231" s="42" t="n">
        <v>954</v>
      </c>
      <c r="R231" s="43" t="n">
        <f aca="false">MAX(0,MIN(1,P231/100+$D$5))</f>
        <v>0.512077444273113</v>
      </c>
      <c r="S231" s="43" t="n">
        <v>0.0500321312575726</v>
      </c>
      <c r="T231" s="44" t="s">
        <v>99</v>
      </c>
    </row>
    <row r="232" customFormat="false" ht="15" hidden="false" customHeight="false" outlineLevel="0" collapsed="false">
      <c r="A232" s="38" t="s">
        <v>344</v>
      </c>
      <c r="B232" s="38" t="s">
        <v>219</v>
      </c>
      <c r="C232" s="38" t="s">
        <v>353</v>
      </c>
      <c r="D232" s="21" t="n">
        <f aca="false">ROUND(Q232*R232,0)</f>
        <v>646</v>
      </c>
      <c r="E232" s="21" t="n">
        <f aca="false">ROUND(Q232,0)-D232</f>
        <v>312</v>
      </c>
      <c r="F232" s="21" t="n">
        <f aca="false">IF(COUNTA(D232:E232)=0,"",SUM(D232:E232))</f>
        <v>958</v>
      </c>
      <c r="G232" s="39" t="n">
        <f aca="false">IF(OR(F232="",F232=0),"",D232/F232)</f>
        <v>0.674321503131524</v>
      </c>
      <c r="H232" s="39" t="n">
        <f aca="false">IF(OR(F232="",F232=0),"",E232/F232)</f>
        <v>0.325678496868476</v>
      </c>
      <c r="I232" s="38" t="s">
        <v>89</v>
      </c>
      <c r="J232" s="40" t="n">
        <v>2.05025038892674</v>
      </c>
      <c r="K232" s="39" t="n">
        <f aca="false">IF(G232="","",MAX(0,G232-J232/100))</f>
        <v>0.653818999242257</v>
      </c>
      <c r="L232" s="39" t="n">
        <f aca="false">IF(G232="","",MIN(1,G232+J232/100))</f>
        <v>0.694824007020791</v>
      </c>
      <c r="M232" s="21" t="n">
        <f aca="false">ROUND(Q232*S232,0)</f>
        <v>48</v>
      </c>
      <c r="N232" s="21" t="n">
        <f aca="false">ROUND(SQRT((F232*J232/100)^2+(G232*M232)^2),0)</f>
        <v>38</v>
      </c>
      <c r="P232" s="41" t="n">
        <v>14.8794560260738</v>
      </c>
      <c r="Q232" s="42" t="n">
        <v>958</v>
      </c>
      <c r="R232" s="43" t="n">
        <f aca="false">MAX(0,MIN(1,P232/100+$D$5))</f>
        <v>0.674013004987703</v>
      </c>
      <c r="S232" s="43" t="n">
        <v>0.0500321312575726</v>
      </c>
      <c r="T232" s="44" t="s">
        <v>99</v>
      </c>
    </row>
    <row r="233" customFormat="false" ht="15" hidden="false" customHeight="false" outlineLevel="0" collapsed="false">
      <c r="A233" s="38" t="s">
        <v>344</v>
      </c>
      <c r="B233" s="38" t="s">
        <v>219</v>
      </c>
      <c r="C233" s="38" t="s">
        <v>354</v>
      </c>
      <c r="D233" s="21" t="n">
        <f aca="false">ROUND(Q233*R233,0)</f>
        <v>884</v>
      </c>
      <c r="E233" s="21" t="n">
        <f aca="false">ROUND(Q233,0)-D233</f>
        <v>504</v>
      </c>
      <c r="F233" s="21" t="n">
        <f aca="false">IF(COUNTA(D233:E233)=0,"",SUM(D233:E233))</f>
        <v>1388</v>
      </c>
      <c r="G233" s="39" t="n">
        <f aca="false">IF(OR(F233="",F233=0),"",D233/F233)</f>
        <v>0.636887608069164</v>
      </c>
      <c r="H233" s="39" t="n">
        <f aca="false">IF(OR(F233="",F233=0),"",E233/F233)</f>
        <v>0.363112391930836</v>
      </c>
      <c r="I233" s="38" t="s">
        <v>89</v>
      </c>
      <c r="J233" s="40" t="n">
        <v>1.25589305869883</v>
      </c>
      <c r="K233" s="39" t="n">
        <f aca="false">IF(G233="","",MAX(0,G233-J233/100))</f>
        <v>0.624328677482176</v>
      </c>
      <c r="L233" s="39" t="n">
        <f aca="false">IF(G233="","",MIN(1,G233+J233/100))</f>
        <v>0.649446538656153</v>
      </c>
      <c r="M233" s="21" t="n">
        <f aca="false">ROUND(Q233*S233,0)</f>
        <v>181</v>
      </c>
      <c r="N233" s="21" t="n">
        <f aca="false">ROUND(SQRT((F233*J233/100)^2+(G233*M233)^2),0)</f>
        <v>117</v>
      </c>
      <c r="P233" s="41" t="n">
        <v>11.1975929690605</v>
      </c>
      <c r="Q233" s="42" t="n">
        <v>1388</v>
      </c>
      <c r="R233" s="43" t="n">
        <f aca="false">MAX(0,MIN(1,P233/100+$D$5))</f>
        <v>0.63719437441757</v>
      </c>
      <c r="S233" s="43" t="n">
        <v>0.130204099606216</v>
      </c>
      <c r="T233" s="44" t="s">
        <v>192</v>
      </c>
    </row>
    <row r="234" customFormat="false" ht="15" hidden="false" customHeight="false" outlineLevel="0" collapsed="false">
      <c r="A234" s="38" t="s">
        <v>344</v>
      </c>
      <c r="B234" s="38" t="s">
        <v>219</v>
      </c>
      <c r="C234" s="38" t="s">
        <v>355</v>
      </c>
      <c r="D234" s="21" t="n">
        <f aca="false">ROUND(Q234*R234,0)</f>
        <v>641</v>
      </c>
      <c r="E234" s="21" t="n">
        <f aca="false">ROUND(Q234,0)-D234</f>
        <v>290</v>
      </c>
      <c r="F234" s="21" t="n">
        <f aca="false">IF(COUNTA(D234:E234)=0,"",SUM(D234:E234))</f>
        <v>931</v>
      </c>
      <c r="G234" s="39" t="n">
        <f aca="false">IF(OR(F234="",F234=0),"",D234/F234)</f>
        <v>0.688506981740064</v>
      </c>
      <c r="H234" s="39" t="n">
        <f aca="false">IF(OR(F234="",F234=0),"",E234/F234)</f>
        <v>0.311493018259936</v>
      </c>
      <c r="I234" s="38" t="s">
        <v>89</v>
      </c>
      <c r="J234" s="40" t="n">
        <v>2.05025038892674</v>
      </c>
      <c r="K234" s="39" t="n">
        <f aca="false">IF(G234="","",MAX(0,G234-J234/100))</f>
        <v>0.668004477850797</v>
      </c>
      <c r="L234" s="39" t="n">
        <f aca="false">IF(G234="","",MIN(1,G234+J234/100))</f>
        <v>0.709009485629332</v>
      </c>
      <c r="M234" s="21" t="n">
        <f aca="false">ROUND(Q234*S234,0)</f>
        <v>47</v>
      </c>
      <c r="N234" s="21" t="n">
        <f aca="false">ROUND(SQRT((F234*J234/100)^2+(G234*M234)^2),0)</f>
        <v>38</v>
      </c>
      <c r="P234" s="41" t="n">
        <v>16.3739749498049</v>
      </c>
      <c r="Q234" s="42" t="n">
        <v>931</v>
      </c>
      <c r="R234" s="43" t="n">
        <f aca="false">MAX(0,MIN(1,P234/100+$D$5))</f>
        <v>0.688958194225014</v>
      </c>
      <c r="S234" s="43" t="n">
        <v>0.0500321312575726</v>
      </c>
      <c r="T234" s="44" t="s">
        <v>99</v>
      </c>
    </row>
    <row r="235" customFormat="false" ht="15" hidden="false" customHeight="false" outlineLevel="0" collapsed="false">
      <c r="A235" s="38" t="s">
        <v>344</v>
      </c>
      <c r="B235" s="38" t="s">
        <v>219</v>
      </c>
      <c r="C235" s="38" t="s">
        <v>356</v>
      </c>
      <c r="D235" s="21" t="n">
        <f aca="false">ROUND(Q235*R235,0)</f>
        <v>476</v>
      </c>
      <c r="E235" s="21" t="n">
        <f aca="false">ROUND(Q235,0)-D235</f>
        <v>225</v>
      </c>
      <c r="F235" s="21" t="n">
        <f aca="false">IF(COUNTA(D235:E235)=0,"",SUM(D235:E235))</f>
        <v>701</v>
      </c>
      <c r="G235" s="39" t="n">
        <f aca="false">IF(OR(F235="",F235=0),"",D235/F235)</f>
        <v>0.679029957203994</v>
      </c>
      <c r="H235" s="39" t="n">
        <f aca="false">IF(OR(F235="",F235=0),"",E235/F235)</f>
        <v>0.320970042796006</v>
      </c>
      <c r="I235" s="38" t="s">
        <v>89</v>
      </c>
      <c r="J235" s="40" t="n">
        <v>3.45317612968717</v>
      </c>
      <c r="K235" s="39" t="n">
        <f aca="false">IF(G235="","",MAX(0,G235-J235/100))</f>
        <v>0.644498195907123</v>
      </c>
      <c r="L235" s="39" t="n">
        <f aca="false">IF(G235="","",MIN(1,G235+J235/100))</f>
        <v>0.713561718500866</v>
      </c>
      <c r="M235" s="21" t="n">
        <f aca="false">ROUND(Q235*S235,0)</f>
        <v>43</v>
      </c>
      <c r="N235" s="21" t="n">
        <f aca="false">ROUND(SQRT((F235*J235/100)^2+(G235*M235)^2),0)</f>
        <v>38</v>
      </c>
      <c r="P235" s="41" t="n">
        <v>15.4182313750407</v>
      </c>
      <c r="Q235" s="42" t="n">
        <v>701</v>
      </c>
      <c r="R235" s="43" t="n">
        <f aca="false">MAX(0,MIN(1,P235/100+$D$5))</f>
        <v>0.679400758477372</v>
      </c>
      <c r="S235" s="43" t="n">
        <v>0.0610405690258335</v>
      </c>
      <c r="T235" s="44" t="s">
        <v>90</v>
      </c>
    </row>
    <row r="236" customFormat="false" ht="15" hidden="false" customHeight="false" outlineLevel="0" collapsed="false">
      <c r="A236" s="38" t="s">
        <v>344</v>
      </c>
      <c r="B236" s="38" t="s">
        <v>219</v>
      </c>
      <c r="C236" s="38" t="s">
        <v>357</v>
      </c>
      <c r="D236" s="21" t="n">
        <f aca="false">ROUND(Q236*R236,0)</f>
        <v>630</v>
      </c>
      <c r="E236" s="21" t="n">
        <f aca="false">ROUND(Q236,0)-D236</f>
        <v>347</v>
      </c>
      <c r="F236" s="21" t="n">
        <f aca="false">IF(COUNTA(D236:E236)=0,"",SUM(D236:E236))</f>
        <v>977</v>
      </c>
      <c r="G236" s="39" t="n">
        <f aca="false">IF(OR(F236="",F236=0),"",D236/F236)</f>
        <v>0.644831115660184</v>
      </c>
      <c r="H236" s="39" t="n">
        <f aca="false">IF(OR(F236="",F236=0),"",E236/F236)</f>
        <v>0.355168884339816</v>
      </c>
      <c r="I236" s="38" t="s">
        <v>89</v>
      </c>
      <c r="J236" s="40" t="n">
        <v>2.05025038892674</v>
      </c>
      <c r="K236" s="39" t="n">
        <f aca="false">IF(G236="","",MAX(0,G236-J236/100))</f>
        <v>0.624328611770917</v>
      </c>
      <c r="L236" s="39" t="n">
        <f aca="false">IF(G236="","",MIN(1,G236+J236/100))</f>
        <v>0.665333619549452</v>
      </c>
      <c r="M236" s="21" t="n">
        <f aca="false">ROUND(Q236*S236,0)</f>
        <v>49</v>
      </c>
      <c r="N236" s="21" t="n">
        <f aca="false">ROUND(SQRT((F236*J236/100)^2+(G236*M236)^2),0)</f>
        <v>37</v>
      </c>
      <c r="P236" s="41" t="n">
        <v>11.9846516218101</v>
      </c>
      <c r="Q236" s="42" t="n">
        <v>977</v>
      </c>
      <c r="R236" s="43" t="n">
        <f aca="false">MAX(0,MIN(1,P236/100+$D$5))</f>
        <v>0.645064960945065</v>
      </c>
      <c r="S236" s="43" t="n">
        <v>0.0500321312575726</v>
      </c>
      <c r="T236" s="44" t="s">
        <v>99</v>
      </c>
    </row>
    <row r="237" customFormat="false" ht="15" hidden="false" customHeight="false" outlineLevel="0" collapsed="false">
      <c r="A237" s="38" t="s">
        <v>344</v>
      </c>
      <c r="B237" s="38" t="s">
        <v>219</v>
      </c>
      <c r="C237" s="38" t="s">
        <v>358</v>
      </c>
      <c r="D237" s="21" t="n">
        <f aca="false">ROUND(Q237*R237,0)</f>
        <v>801</v>
      </c>
      <c r="E237" s="21" t="n">
        <f aca="false">ROUND(Q237,0)-D237</f>
        <v>398</v>
      </c>
      <c r="F237" s="21" t="n">
        <f aca="false">IF(COUNTA(D237:E237)=0,"",SUM(D237:E237))</f>
        <v>1199</v>
      </c>
      <c r="G237" s="39" t="n">
        <f aca="false">IF(OR(F237="",F237=0),"",D237/F237)</f>
        <v>0.668056713928274</v>
      </c>
      <c r="H237" s="39" t="n">
        <f aca="false">IF(OR(F237="",F237=0),"",E237/F237)</f>
        <v>0.331943286071726</v>
      </c>
      <c r="I237" s="38" t="s">
        <v>89</v>
      </c>
      <c r="J237" s="40" t="n">
        <v>1.25589305869883</v>
      </c>
      <c r="K237" s="39" t="n">
        <f aca="false">IF(G237="","",MAX(0,G237-J237/100))</f>
        <v>0.655497783341285</v>
      </c>
      <c r="L237" s="39" t="n">
        <f aca="false">IF(G237="","",MIN(1,G237+J237/100))</f>
        <v>0.680615644515262</v>
      </c>
      <c r="M237" s="21" t="n">
        <f aca="false">ROUND(Q237*S237,0)</f>
        <v>156</v>
      </c>
      <c r="N237" s="21" t="n">
        <f aca="false">ROUND(SQRT((F237*J237/100)^2+(G237*M237)^2),0)</f>
        <v>105</v>
      </c>
      <c r="P237" s="41" t="n">
        <v>14.2813071828014</v>
      </c>
      <c r="Q237" s="42" t="n">
        <v>1199</v>
      </c>
      <c r="R237" s="43" t="n">
        <f aca="false">MAX(0,MIN(1,P237/100+$D$5))</f>
        <v>0.668031516554979</v>
      </c>
      <c r="S237" s="43" t="n">
        <v>0.130204099606216</v>
      </c>
      <c r="T237" s="44" t="s">
        <v>192</v>
      </c>
    </row>
    <row r="238" customFormat="false" ht="15" hidden="false" customHeight="false" outlineLevel="0" collapsed="false">
      <c r="A238" s="38" t="s">
        <v>344</v>
      </c>
      <c r="B238" s="38" t="s">
        <v>219</v>
      </c>
      <c r="C238" s="38" t="s">
        <v>359</v>
      </c>
      <c r="D238" s="21" t="n">
        <f aca="false">ROUND(Q238*R238,0)</f>
        <v>638</v>
      </c>
      <c r="E238" s="21" t="n">
        <f aca="false">ROUND(Q238,0)-D238</f>
        <v>385</v>
      </c>
      <c r="F238" s="21" t="n">
        <f aca="false">IF(COUNTA(D238:E238)=0,"",SUM(D238:E238))</f>
        <v>1023</v>
      </c>
      <c r="G238" s="39" t="n">
        <f aca="false">IF(OR(F238="",F238=0),"",D238/F238)</f>
        <v>0.623655913978495</v>
      </c>
      <c r="H238" s="39" t="n">
        <f aca="false">IF(OR(F238="",F238=0),"",E238/F238)</f>
        <v>0.376344086021505</v>
      </c>
      <c r="I238" s="38" t="s">
        <v>89</v>
      </c>
      <c r="J238" s="40" t="n">
        <v>2.05025038892674</v>
      </c>
      <c r="K238" s="39" t="n">
        <f aca="false">IF(G238="","",MAX(0,G238-J238/100))</f>
        <v>0.603153410089227</v>
      </c>
      <c r="L238" s="39" t="n">
        <f aca="false">IF(G238="","",MIN(1,G238+J238/100))</f>
        <v>0.644158417867762</v>
      </c>
      <c r="M238" s="21" t="n">
        <f aca="false">ROUND(Q238*S238,0)</f>
        <v>51</v>
      </c>
      <c r="N238" s="21" t="n">
        <f aca="false">ROUND(SQRT((F238*J238/100)^2+(G238*M238)^2),0)</f>
        <v>38</v>
      </c>
      <c r="P238" s="41" t="n">
        <v>9.79653050141544</v>
      </c>
      <c r="Q238" s="42" t="n">
        <v>1023</v>
      </c>
      <c r="R238" s="43" t="n">
        <f aca="false">MAX(0,MIN(1,P238/100+$D$5))</f>
        <v>0.623183749741119</v>
      </c>
      <c r="S238" s="43" t="n">
        <v>0.0500321312575726</v>
      </c>
      <c r="T238" s="44" t="s">
        <v>99</v>
      </c>
    </row>
    <row r="239" customFormat="false" ht="15" hidden="false" customHeight="false" outlineLevel="0" collapsed="false">
      <c r="A239" s="38" t="s">
        <v>344</v>
      </c>
      <c r="B239" s="38" t="s">
        <v>219</v>
      </c>
      <c r="C239" s="38" t="s">
        <v>360</v>
      </c>
      <c r="D239" s="21" t="n">
        <f aca="false">ROUND(Q239*R239,0)</f>
        <v>477</v>
      </c>
      <c r="E239" s="21" t="n">
        <f aca="false">ROUND(Q239,0)-D239</f>
        <v>222</v>
      </c>
      <c r="F239" s="21" t="n">
        <f aca="false">IF(COUNTA(D239:E239)=0,"",SUM(D239:E239))</f>
        <v>699</v>
      </c>
      <c r="G239" s="39" t="n">
        <f aca="false">IF(OR(F239="",F239=0),"",D239/F239)</f>
        <v>0.682403433476395</v>
      </c>
      <c r="H239" s="39" t="n">
        <f aca="false">IF(OR(F239="",F239=0),"",E239/F239)</f>
        <v>0.317596566523605</v>
      </c>
      <c r="I239" s="38" t="s">
        <v>89</v>
      </c>
      <c r="J239" s="40" t="n">
        <v>3.45317612968717</v>
      </c>
      <c r="K239" s="39" t="n">
        <f aca="false">IF(G239="","",MAX(0,G239-J239/100))</f>
        <v>0.647871672179523</v>
      </c>
      <c r="L239" s="39" t="n">
        <f aca="false">IF(G239="","",MIN(1,G239+J239/100))</f>
        <v>0.716935194773267</v>
      </c>
      <c r="M239" s="21" t="n">
        <f aca="false">ROUND(Q239*S239,0)</f>
        <v>43</v>
      </c>
      <c r="N239" s="21" t="n">
        <f aca="false">ROUND(SQRT((F239*J239/100)^2+(G239*M239)^2),0)</f>
        <v>38</v>
      </c>
      <c r="P239" s="41" t="n">
        <v>15.775368202041</v>
      </c>
      <c r="Q239" s="42" t="n">
        <v>699</v>
      </c>
      <c r="R239" s="43" t="n">
        <f aca="false">MAX(0,MIN(1,P239/100+$D$5))</f>
        <v>0.682972126747375</v>
      </c>
      <c r="S239" s="43" t="n">
        <v>0.0610405690258335</v>
      </c>
      <c r="T239" s="44" t="s">
        <v>90</v>
      </c>
    </row>
    <row r="240" customFormat="false" ht="15" hidden="false" customHeight="false" outlineLevel="0" collapsed="false">
      <c r="A240" s="38" t="s">
        <v>344</v>
      </c>
      <c r="B240" s="38" t="s">
        <v>219</v>
      </c>
      <c r="C240" s="38" t="s">
        <v>361</v>
      </c>
      <c r="D240" s="21" t="n">
        <f aca="false">ROUND(Q240*R240,0)</f>
        <v>558</v>
      </c>
      <c r="E240" s="21" t="n">
        <f aca="false">ROUND(Q240,0)-D240</f>
        <v>229</v>
      </c>
      <c r="F240" s="21" t="n">
        <f aca="false">IF(COUNTA(D240:E240)=0,"",SUM(D240:E240))</f>
        <v>787</v>
      </c>
      <c r="G240" s="39" t="n">
        <f aca="false">IF(OR(F240="",F240=0),"",D240/F240)</f>
        <v>0.709021601016519</v>
      </c>
      <c r="H240" s="39" t="n">
        <f aca="false">IF(OR(F240="",F240=0),"",E240/F240)</f>
        <v>0.290978398983482</v>
      </c>
      <c r="I240" s="38" t="s">
        <v>89</v>
      </c>
      <c r="J240" s="40" t="n">
        <v>2.05025038892674</v>
      </c>
      <c r="K240" s="39" t="n">
        <f aca="false">IF(G240="","",MAX(0,G240-J240/100))</f>
        <v>0.688519097127251</v>
      </c>
      <c r="L240" s="39" t="n">
        <f aca="false">IF(G240="","",MIN(1,G240+J240/100))</f>
        <v>0.729524104905786</v>
      </c>
      <c r="M240" s="21" t="n">
        <f aca="false">ROUND(Q240*S240,0)</f>
        <v>39</v>
      </c>
      <c r="N240" s="21" t="n">
        <f aca="false">ROUND(SQRT((F240*J240/100)^2+(G240*M240)^2),0)</f>
        <v>32</v>
      </c>
      <c r="P240" s="41" t="n">
        <v>18.3644844431892</v>
      </c>
      <c r="Q240" s="42" t="n">
        <v>787</v>
      </c>
      <c r="R240" s="43" t="n">
        <f aca="false">MAX(0,MIN(1,P240/100+$D$5))</f>
        <v>0.708863289158857</v>
      </c>
      <c r="S240" s="43" t="n">
        <v>0.0500321312575726</v>
      </c>
      <c r="T240" s="44" t="s">
        <v>99</v>
      </c>
    </row>
    <row r="241" customFormat="false" ht="15" hidden="false" customHeight="false" outlineLevel="0" collapsed="false">
      <c r="A241" s="38" t="s">
        <v>344</v>
      </c>
      <c r="B241" s="38" t="s">
        <v>219</v>
      </c>
      <c r="C241" s="38" t="s">
        <v>362</v>
      </c>
      <c r="D241" s="21" t="n">
        <f aca="false">ROUND(Q241*R241,0)</f>
        <v>728</v>
      </c>
      <c r="E241" s="21" t="n">
        <f aca="false">ROUND(Q241,0)-D241</f>
        <v>385</v>
      </c>
      <c r="F241" s="21" t="n">
        <f aca="false">IF(COUNTA(D241:E241)=0,"",SUM(D241:E241))</f>
        <v>1113</v>
      </c>
      <c r="G241" s="39" t="n">
        <f aca="false">IF(OR(F241="",F241=0),"",D241/F241)</f>
        <v>0.654088050314465</v>
      </c>
      <c r="H241" s="39" t="n">
        <f aca="false">IF(OR(F241="",F241=0),"",E241/F241)</f>
        <v>0.345911949685535</v>
      </c>
      <c r="I241" s="38" t="s">
        <v>89</v>
      </c>
      <c r="J241" s="40" t="n">
        <v>2.05025038892674</v>
      </c>
      <c r="K241" s="39" t="n">
        <f aca="false">IF(G241="","",MAX(0,G241-J241/100))</f>
        <v>0.633585546425198</v>
      </c>
      <c r="L241" s="39" t="n">
        <f aca="false">IF(G241="","",MIN(1,G241+J241/100))</f>
        <v>0.674590554203733</v>
      </c>
      <c r="M241" s="21" t="n">
        <f aca="false">ROUND(Q241*S241,0)</f>
        <v>56</v>
      </c>
      <c r="N241" s="21" t="n">
        <f aca="false">ROUND(SQRT((F241*J241/100)^2+(G241*M241)^2),0)</f>
        <v>43</v>
      </c>
      <c r="P241" s="41" t="n">
        <v>12.8622776712923</v>
      </c>
      <c r="Q241" s="42" t="n">
        <v>1113</v>
      </c>
      <c r="R241" s="43" t="n">
        <f aca="false">MAX(0,MIN(1,P241/100+$D$5))</f>
        <v>0.653841221439888</v>
      </c>
      <c r="S241" s="43" t="n">
        <v>0.0500321312575726</v>
      </c>
      <c r="T241" s="44" t="s">
        <v>99</v>
      </c>
    </row>
    <row r="242" customFormat="false" ht="15" hidden="false" customHeight="false" outlineLevel="0" collapsed="false">
      <c r="A242" s="38" t="s">
        <v>344</v>
      </c>
      <c r="B242" s="38" t="s">
        <v>219</v>
      </c>
      <c r="C242" s="38" t="s">
        <v>363</v>
      </c>
      <c r="D242" s="21" t="n">
        <f aca="false">ROUND(Q242*R242,0)</f>
        <v>530</v>
      </c>
      <c r="E242" s="21" t="n">
        <f aca="false">ROUND(Q242,0)-D242</f>
        <v>207</v>
      </c>
      <c r="F242" s="21" t="n">
        <f aca="false">IF(COUNTA(D242:E242)=0,"",SUM(D242:E242))</f>
        <v>737</v>
      </c>
      <c r="G242" s="39" t="n">
        <f aca="false">IF(OR(F242="",F242=0),"",D242/F242)</f>
        <v>0.719131614654003</v>
      </c>
      <c r="H242" s="39" t="n">
        <f aca="false">IF(OR(F242="",F242=0),"",E242/F242)</f>
        <v>0.280868385345997</v>
      </c>
      <c r="I242" s="38" t="s">
        <v>89</v>
      </c>
      <c r="J242" s="40" t="n">
        <v>3.45317612968717</v>
      </c>
      <c r="K242" s="39" t="n">
        <f aca="false">IF(G242="","",MAX(0,G242-J242/100))</f>
        <v>0.684599853357131</v>
      </c>
      <c r="L242" s="39" t="n">
        <f aca="false">IF(G242="","",MIN(1,G242+J242/100))</f>
        <v>0.753663375950874</v>
      </c>
      <c r="M242" s="21" t="n">
        <f aca="false">ROUND(Q242*S242,0)</f>
        <v>45</v>
      </c>
      <c r="N242" s="21" t="n">
        <f aca="false">ROUND(SQRT((F242*J242/100)^2+(G242*M242)^2),0)</f>
        <v>41</v>
      </c>
      <c r="P242" s="41" t="n">
        <v>19.3287342770914</v>
      </c>
      <c r="Q242" s="42" t="n">
        <v>737</v>
      </c>
      <c r="R242" s="43" t="n">
        <f aca="false">MAX(0,MIN(1,P242/100+$D$5))</f>
        <v>0.718505787497879</v>
      </c>
      <c r="S242" s="43" t="n">
        <v>0.0610405690258335</v>
      </c>
      <c r="T242" s="44" t="s">
        <v>90</v>
      </c>
    </row>
    <row r="243" customFormat="false" ht="15" hidden="false" customHeight="false" outlineLevel="0" collapsed="false">
      <c r="A243" s="38" t="s">
        <v>344</v>
      </c>
      <c r="B243" s="38" t="s">
        <v>219</v>
      </c>
      <c r="C243" s="38" t="s">
        <v>364</v>
      </c>
      <c r="D243" s="21" t="n">
        <f aca="false">ROUND(Q243*R243,0)</f>
        <v>560</v>
      </c>
      <c r="E243" s="21" t="n">
        <f aca="false">ROUND(Q243,0)-D243</f>
        <v>287</v>
      </c>
      <c r="F243" s="21" t="n">
        <f aca="false">IF(COUNTA(D243:E243)=0,"",SUM(D243:E243))</f>
        <v>847</v>
      </c>
      <c r="G243" s="39" t="n">
        <f aca="false">IF(OR(F243="",F243=0),"",D243/F243)</f>
        <v>0.661157024793388</v>
      </c>
      <c r="H243" s="39" t="n">
        <f aca="false">IF(OR(F243="",F243=0),"",E243/F243)</f>
        <v>0.338842975206612</v>
      </c>
      <c r="I243" s="38" t="s">
        <v>89</v>
      </c>
      <c r="J243" s="40" t="n">
        <v>2.05025038892674</v>
      </c>
      <c r="K243" s="39" t="n">
        <f aca="false">IF(G243="","",MAX(0,G243-J243/100))</f>
        <v>0.640654520904121</v>
      </c>
      <c r="L243" s="39" t="n">
        <f aca="false">IF(G243="","",MIN(1,G243+J243/100))</f>
        <v>0.681659528682656</v>
      </c>
      <c r="M243" s="21" t="n">
        <f aca="false">ROUND(Q243*S243,0)</f>
        <v>42</v>
      </c>
      <c r="N243" s="21" t="n">
        <f aca="false">ROUND(SQRT((F243*J243/100)^2+(G243*M243)^2),0)</f>
        <v>33</v>
      </c>
      <c r="P243" s="41" t="n">
        <v>13.5627715579025</v>
      </c>
      <c r="Q243" s="42" t="n">
        <v>847</v>
      </c>
      <c r="R243" s="43" t="n">
        <f aca="false">MAX(0,MIN(1,P243/100+$D$5))</f>
        <v>0.66084616030599</v>
      </c>
      <c r="S243" s="43" t="n">
        <v>0.0500321312575726</v>
      </c>
      <c r="T243" s="44" t="s">
        <v>99</v>
      </c>
    </row>
    <row r="244" customFormat="false" ht="15" hidden="false" customHeight="false" outlineLevel="0" collapsed="false">
      <c r="A244" s="38" t="s">
        <v>344</v>
      </c>
      <c r="B244" s="38" t="s">
        <v>219</v>
      </c>
      <c r="C244" s="38" t="s">
        <v>365</v>
      </c>
      <c r="D244" s="21" t="n">
        <f aca="false">ROUND(Q244*R244,0)</f>
        <v>155</v>
      </c>
      <c r="E244" s="21" t="n">
        <f aca="false">ROUND(Q244,0)-D244</f>
        <v>55</v>
      </c>
      <c r="F244" s="21" t="n">
        <f aca="false">IF(COUNTA(D244:E244)=0,"",SUM(D244:E244))</f>
        <v>210</v>
      </c>
      <c r="G244" s="39" t="n">
        <f aca="false">IF(OR(F244="",F244=0),"",D244/F244)</f>
        <v>0.738095238095238</v>
      </c>
      <c r="H244" s="39" t="n">
        <f aca="false">IF(OR(F244="",F244=0),"",E244/F244)</f>
        <v>0.261904761904762</v>
      </c>
      <c r="I244" s="38" t="s">
        <v>89</v>
      </c>
      <c r="J244" s="40" t="n">
        <v>3.45317612968717</v>
      </c>
      <c r="K244" s="39" t="n">
        <f aca="false">IF(G244="","",MAX(0,G244-J244/100))</f>
        <v>0.703563476798367</v>
      </c>
      <c r="L244" s="39" t="n">
        <f aca="false">IF(G244="","",MIN(1,G244+J244/100))</f>
        <v>0.77262699939211</v>
      </c>
      <c r="M244" s="21" t="n">
        <f aca="false">ROUND(Q244*S244,0)</f>
        <v>13</v>
      </c>
      <c r="N244" s="21" t="n">
        <f aca="false">ROUND(SQRT((F244*J244/100)^2+(G244*M244)^2),0)</f>
        <v>12</v>
      </c>
      <c r="P244" s="41" t="n">
        <v>21.2080360808083</v>
      </c>
      <c r="Q244" s="42" t="n">
        <v>210</v>
      </c>
      <c r="R244" s="43" t="n">
        <f aca="false">MAX(0,MIN(1,P244/100+$D$5))</f>
        <v>0.737298805535048</v>
      </c>
      <c r="S244" s="43" t="n">
        <v>0.0610405690258335</v>
      </c>
      <c r="T244" s="44" t="s">
        <v>90</v>
      </c>
    </row>
    <row r="245" customFormat="false" ht="15" hidden="false" customHeight="false" outlineLevel="0" collapsed="false">
      <c r="A245" s="38" t="s">
        <v>344</v>
      </c>
      <c r="B245" s="38" t="s">
        <v>219</v>
      </c>
      <c r="C245" s="38" t="s">
        <v>366</v>
      </c>
      <c r="D245" s="21" t="n">
        <f aca="false">ROUND(Q245*R245,0)</f>
        <v>337</v>
      </c>
      <c r="E245" s="21" t="n">
        <f aca="false">ROUND(Q245,0)-D245</f>
        <v>108</v>
      </c>
      <c r="F245" s="21" t="n">
        <f aca="false">IF(COUNTA(D245:E245)=0,"",SUM(D245:E245))</f>
        <v>445</v>
      </c>
      <c r="G245" s="39" t="n">
        <f aca="false">IF(OR(F245="",F245=0),"",D245/F245)</f>
        <v>0.757303370786517</v>
      </c>
      <c r="H245" s="39" t="n">
        <f aca="false">IF(OR(F245="",F245=0),"",E245/F245)</f>
        <v>0.242696629213483</v>
      </c>
      <c r="I245" s="38" t="s">
        <v>89</v>
      </c>
      <c r="J245" s="40" t="n">
        <v>3.45317612968717</v>
      </c>
      <c r="K245" s="39" t="n">
        <f aca="false">IF(G245="","",MAX(0,G245-J245/100))</f>
        <v>0.722771609489645</v>
      </c>
      <c r="L245" s="39" t="n">
        <f aca="false">IF(G245="","",MIN(1,G245+J245/100))</f>
        <v>0.791835132083389</v>
      </c>
      <c r="M245" s="21" t="n">
        <f aca="false">ROUND(Q245*S245,0)</f>
        <v>27</v>
      </c>
      <c r="N245" s="21" t="n">
        <f aca="false">ROUND(SQRT((F245*J245/100)^2+(G245*M245)^2),0)</f>
        <v>26</v>
      </c>
      <c r="P245" s="41" t="n">
        <v>23.2776275370459</v>
      </c>
      <c r="Q245" s="42" t="n">
        <v>445</v>
      </c>
      <c r="R245" s="43" t="n">
        <f aca="false">MAX(0,MIN(1,P245/100+$D$5))</f>
        <v>0.757994720097424</v>
      </c>
      <c r="S245" s="43" t="n">
        <v>0.0610405690258335</v>
      </c>
      <c r="T245" s="44" t="s">
        <v>90</v>
      </c>
    </row>
    <row r="246" customFormat="false" ht="15" hidden="false" customHeight="false" outlineLevel="0" collapsed="false">
      <c r="A246" s="38" t="s">
        <v>344</v>
      </c>
      <c r="B246" s="38" t="s">
        <v>219</v>
      </c>
      <c r="C246" s="38" t="s">
        <v>367</v>
      </c>
      <c r="D246" s="21" t="n">
        <f aca="false">ROUND(Q246*R246,0)</f>
        <v>266</v>
      </c>
      <c r="E246" s="21" t="n">
        <f aca="false">ROUND(Q246,0)-D246</f>
        <v>88</v>
      </c>
      <c r="F246" s="21" t="n">
        <f aca="false">IF(COUNTA(D246:E246)=0,"",SUM(D246:E246))</f>
        <v>354</v>
      </c>
      <c r="G246" s="39" t="n">
        <f aca="false">IF(OR(F246="",F246=0),"",D246/F246)</f>
        <v>0.751412429378531</v>
      </c>
      <c r="H246" s="39" t="n">
        <f aca="false">IF(OR(F246="",F246=0),"",E246/F246)</f>
        <v>0.248587570621469</v>
      </c>
      <c r="I246" s="38" t="s">
        <v>89</v>
      </c>
      <c r="J246" s="40" t="n">
        <v>3.45317612968717</v>
      </c>
      <c r="K246" s="39" t="n">
        <f aca="false">IF(G246="","",MAX(0,G246-J246/100))</f>
        <v>0.716880668081659</v>
      </c>
      <c r="L246" s="39" t="n">
        <f aca="false">IF(G246="","",MIN(1,G246+J246/100))</f>
        <v>0.785944190675403</v>
      </c>
      <c r="M246" s="21" t="n">
        <f aca="false">ROUND(Q246*S246,0)</f>
        <v>22</v>
      </c>
      <c r="N246" s="21" t="n">
        <f aca="false">ROUND(SQRT((F246*J246/100)^2+(G246*M246)^2),0)</f>
        <v>21</v>
      </c>
      <c r="P246" s="41" t="n">
        <v>22.6945919348961</v>
      </c>
      <c r="Q246" s="42" t="n">
        <v>354</v>
      </c>
      <c r="R246" s="43" t="n">
        <f aca="false">MAX(0,MIN(1,P246/100+$D$5))</f>
        <v>0.752164364075926</v>
      </c>
      <c r="S246" s="43" t="n">
        <v>0.0610405690258335</v>
      </c>
      <c r="T246" s="44" t="s">
        <v>90</v>
      </c>
    </row>
    <row r="247" customFormat="false" ht="15" hidden="false" customHeight="false" outlineLevel="0" collapsed="false">
      <c r="A247" s="38" t="s">
        <v>344</v>
      </c>
      <c r="B247" s="38" t="s">
        <v>219</v>
      </c>
      <c r="C247" s="38" t="s">
        <v>368</v>
      </c>
      <c r="D247" s="21" t="n">
        <f aca="false">ROUND(Q247*R247,0)</f>
        <v>349</v>
      </c>
      <c r="E247" s="21" t="n">
        <f aca="false">ROUND(Q247,0)-D247</f>
        <v>92</v>
      </c>
      <c r="F247" s="21" t="n">
        <f aca="false">IF(COUNTA(D247:E247)=0,"",SUM(D247:E247))</f>
        <v>441</v>
      </c>
      <c r="G247" s="39" t="n">
        <f aca="false">IF(OR(F247="",F247=0),"",D247/F247)</f>
        <v>0.791383219954649</v>
      </c>
      <c r="H247" s="39" t="n">
        <f aca="false">IF(OR(F247="",F247=0),"",E247/F247)</f>
        <v>0.208616780045351</v>
      </c>
      <c r="I247" s="38" t="s">
        <v>89</v>
      </c>
      <c r="J247" s="40" t="n">
        <v>3.45317612968717</v>
      </c>
      <c r="K247" s="39" t="n">
        <f aca="false">IF(G247="","",MAX(0,G247-J247/100))</f>
        <v>0.756851458657777</v>
      </c>
      <c r="L247" s="39" t="n">
        <f aca="false">IF(G247="","",MIN(1,G247+J247/100))</f>
        <v>0.82591498125152</v>
      </c>
      <c r="M247" s="21" t="n">
        <f aca="false">ROUND(Q247*S247,0)</f>
        <v>27</v>
      </c>
      <c r="N247" s="21" t="n">
        <f aca="false">ROUND(SQRT((F247*J247/100)^2+(G247*M247)^2),0)</f>
        <v>26</v>
      </c>
      <c r="P247" s="41" t="n">
        <v>26.6345811428664</v>
      </c>
      <c r="Q247" s="42" t="n">
        <v>441</v>
      </c>
      <c r="R247" s="43" t="n">
        <f aca="false">MAX(0,MIN(1,P247/100+$D$5))</f>
        <v>0.791564256155628</v>
      </c>
      <c r="S247" s="43" t="n">
        <v>0.0610405690258335</v>
      </c>
      <c r="T247" s="44" t="s">
        <v>90</v>
      </c>
    </row>
    <row r="248" customFormat="false" ht="15" hidden="false" customHeight="false" outlineLevel="0" collapsed="false">
      <c r="A248" s="38" t="s">
        <v>344</v>
      </c>
      <c r="B248" s="38" t="s">
        <v>219</v>
      </c>
      <c r="C248" s="38" t="s">
        <v>369</v>
      </c>
      <c r="D248" s="21" t="n">
        <f aca="false">ROUND(Q248*R248,0)</f>
        <v>652</v>
      </c>
      <c r="E248" s="21" t="n">
        <f aca="false">ROUND(Q248,0)-D248</f>
        <v>137</v>
      </c>
      <c r="F248" s="21" t="n">
        <f aca="false">IF(COUNTA(D248:E248)=0,"",SUM(D248:E248))</f>
        <v>789</v>
      </c>
      <c r="G248" s="39" t="n">
        <f aca="false">IF(OR(F248="",F248=0),"",D248/F248)</f>
        <v>0.826362484157161</v>
      </c>
      <c r="H248" s="39" t="n">
        <f aca="false">IF(OR(F248="",F248=0),"",E248/F248)</f>
        <v>0.173637515842839</v>
      </c>
      <c r="I248" s="38" t="s">
        <v>89</v>
      </c>
      <c r="J248" s="40" t="n">
        <v>2.05025038892674</v>
      </c>
      <c r="K248" s="39" t="n">
        <f aca="false">IF(G248="","",MAX(0,G248-J248/100))</f>
        <v>0.805859980267894</v>
      </c>
      <c r="L248" s="39" t="n">
        <f aca="false">IF(G248="","",MIN(1,G248+J248/100))</f>
        <v>0.846864988046428</v>
      </c>
      <c r="M248" s="21" t="n">
        <f aca="false">ROUND(Q248*S248,0)</f>
        <v>39</v>
      </c>
      <c r="N248" s="21" t="n">
        <f aca="false">ROUND(SQRT((F248*J248/100)^2+(G248*M248)^2),0)</f>
        <v>36</v>
      </c>
      <c r="P248" s="41" t="n">
        <v>30.1214984635318</v>
      </c>
      <c r="Q248" s="42" t="n">
        <v>789</v>
      </c>
      <c r="R248" s="43" t="n">
        <f aca="false">MAX(0,MIN(1,P248/100+$D$5))</f>
        <v>0.826433429362282</v>
      </c>
      <c r="S248" s="43" t="n">
        <v>0.0500321312575726</v>
      </c>
      <c r="T248" s="44" t="s">
        <v>99</v>
      </c>
    </row>
    <row r="249" customFormat="false" ht="15" hidden="false" customHeight="false" outlineLevel="0" collapsed="false">
      <c r="A249" s="38" t="s">
        <v>344</v>
      </c>
      <c r="B249" s="38" t="s">
        <v>219</v>
      </c>
      <c r="C249" s="38" t="s">
        <v>370</v>
      </c>
      <c r="D249" s="21" t="n">
        <f aca="false">ROUND(Q249*R249,0)</f>
        <v>357</v>
      </c>
      <c r="E249" s="21" t="n">
        <f aca="false">ROUND(Q249,0)-D249</f>
        <v>109</v>
      </c>
      <c r="F249" s="21" t="n">
        <f aca="false">IF(COUNTA(D249:E249)=0,"",SUM(D249:E249))</f>
        <v>466</v>
      </c>
      <c r="G249" s="39" t="n">
        <f aca="false">IF(OR(F249="",F249=0),"",D249/F249)</f>
        <v>0.766094420600858</v>
      </c>
      <c r="H249" s="39" t="n">
        <f aca="false">IF(OR(F249="",F249=0),"",E249/F249)</f>
        <v>0.233905579399142</v>
      </c>
      <c r="I249" s="38" t="s">
        <v>89</v>
      </c>
      <c r="J249" s="40" t="n">
        <v>3.45317612968717</v>
      </c>
      <c r="K249" s="39" t="n">
        <f aca="false">IF(G249="","",MAX(0,G249-J249/100))</f>
        <v>0.731562659303987</v>
      </c>
      <c r="L249" s="39" t="n">
        <f aca="false">IF(G249="","",MIN(1,G249+J249/100))</f>
        <v>0.80062618189773</v>
      </c>
      <c r="M249" s="21" t="n">
        <f aca="false">ROUND(Q249*S249,0)</f>
        <v>28</v>
      </c>
      <c r="N249" s="21" t="n">
        <f aca="false">ROUND(SQRT((F249*J249/100)^2+(G249*M249)^2),0)</f>
        <v>27</v>
      </c>
      <c r="P249" s="41" t="n">
        <v>24.044902664767</v>
      </c>
      <c r="Q249" s="42" t="n">
        <v>466</v>
      </c>
      <c r="R249" s="43" t="n">
        <f aca="false">MAX(0,MIN(1,P249/100+$D$5))</f>
        <v>0.765667471374635</v>
      </c>
      <c r="S249" s="43" t="n">
        <v>0.0610405690258335</v>
      </c>
      <c r="T249" s="44" t="s">
        <v>90</v>
      </c>
    </row>
    <row r="250" customFormat="false" ht="15" hidden="false" customHeight="false" outlineLevel="0" collapsed="false">
      <c r="A250" s="38" t="s">
        <v>344</v>
      </c>
      <c r="B250" s="38" t="s">
        <v>219</v>
      </c>
      <c r="C250" s="38" t="s">
        <v>371</v>
      </c>
      <c r="D250" s="21" t="n">
        <f aca="false">ROUND(Q250*R250,0)</f>
        <v>371</v>
      </c>
      <c r="E250" s="21" t="n">
        <f aca="false">ROUND(Q250,0)-D250</f>
        <v>126</v>
      </c>
      <c r="F250" s="21" t="n">
        <f aca="false">IF(COUNTA(D250:E250)=0,"",SUM(D250:E250))</f>
        <v>497</v>
      </c>
      <c r="G250" s="39" t="n">
        <f aca="false">IF(OR(F250="",F250=0),"",D250/F250)</f>
        <v>0.746478873239437</v>
      </c>
      <c r="H250" s="39" t="n">
        <f aca="false">IF(OR(F250="",F250=0),"",E250/F250)</f>
        <v>0.253521126760563</v>
      </c>
      <c r="I250" s="38" t="s">
        <v>89</v>
      </c>
      <c r="J250" s="40" t="n">
        <v>3.45317612968717</v>
      </c>
      <c r="K250" s="39" t="n">
        <f aca="false">IF(G250="","",MAX(0,G250-J250/100))</f>
        <v>0.711947111942565</v>
      </c>
      <c r="L250" s="39" t="n">
        <f aca="false">IF(G250="","",MIN(1,G250+J250/100))</f>
        <v>0.781010634536308</v>
      </c>
      <c r="M250" s="21" t="n">
        <f aca="false">ROUND(Q250*S250,0)</f>
        <v>30</v>
      </c>
      <c r="N250" s="21" t="n">
        <f aca="false">ROUND(SQRT((F250*J250/100)^2+(G250*M250)^2),0)</f>
        <v>28</v>
      </c>
      <c r="P250" s="41" t="n">
        <v>22.191352702949</v>
      </c>
      <c r="Q250" s="42" t="n">
        <v>497</v>
      </c>
      <c r="R250" s="43" t="n">
        <f aca="false">MAX(0,MIN(1,P250/100+$D$5))</f>
        <v>0.747131971756454</v>
      </c>
      <c r="S250" s="43" t="n">
        <v>0.0610405690258335</v>
      </c>
      <c r="T250" s="44" t="s">
        <v>90</v>
      </c>
    </row>
    <row r="251" customFormat="false" ht="15" hidden="false" customHeight="false" outlineLevel="0" collapsed="false">
      <c r="A251" s="38" t="s">
        <v>344</v>
      </c>
      <c r="B251" s="38" t="s">
        <v>219</v>
      </c>
      <c r="C251" s="38" t="s">
        <v>372</v>
      </c>
      <c r="D251" s="21" t="n">
        <f aca="false">ROUND(Q251*R251,0)</f>
        <v>429</v>
      </c>
      <c r="E251" s="21" t="n">
        <f aca="false">ROUND(Q251,0)-D251</f>
        <v>135</v>
      </c>
      <c r="F251" s="21" t="n">
        <f aca="false">IF(COUNTA(D251:E251)=0,"",SUM(D251:E251))</f>
        <v>564</v>
      </c>
      <c r="G251" s="39" t="n">
        <f aca="false">IF(OR(F251="",F251=0),"",D251/F251)</f>
        <v>0.76063829787234</v>
      </c>
      <c r="H251" s="39" t="n">
        <f aca="false">IF(OR(F251="",F251=0),"",E251/F251)</f>
        <v>0.23936170212766</v>
      </c>
      <c r="I251" s="38" t="s">
        <v>89</v>
      </c>
      <c r="J251" s="40" t="n">
        <v>3.45317612968717</v>
      </c>
      <c r="K251" s="39" t="n">
        <f aca="false">IF(G251="","",MAX(0,G251-J251/100))</f>
        <v>0.726106536575469</v>
      </c>
      <c r="L251" s="39" t="n">
        <f aca="false">IF(G251="","",MIN(1,G251+J251/100))</f>
        <v>0.795170059169212</v>
      </c>
      <c r="M251" s="21" t="n">
        <f aca="false">ROUND(Q251*S251,0)</f>
        <v>34</v>
      </c>
      <c r="N251" s="21" t="n">
        <f aca="false">ROUND(SQRT((F251*J251/100)^2+(G251*M251)^2),0)</f>
        <v>32</v>
      </c>
      <c r="P251" s="41" t="n">
        <v>23.498938367459</v>
      </c>
      <c r="Q251" s="42" t="n">
        <v>564</v>
      </c>
      <c r="R251" s="43" t="n">
        <f aca="false">MAX(0,MIN(1,P251/100+$D$5))</f>
        <v>0.760207828401554</v>
      </c>
      <c r="S251" s="43" t="n">
        <v>0.0610405690258335</v>
      </c>
      <c r="T251" s="44" t="s">
        <v>90</v>
      </c>
    </row>
    <row r="252" customFormat="false" ht="15" hidden="false" customHeight="false" outlineLevel="0" collapsed="false">
      <c r="A252" s="38" t="s">
        <v>344</v>
      </c>
      <c r="B252" s="38" t="s">
        <v>219</v>
      </c>
      <c r="C252" s="38" t="s">
        <v>373</v>
      </c>
      <c r="D252" s="21" t="n">
        <f aca="false">ROUND(Q252*R252,0)</f>
        <v>545</v>
      </c>
      <c r="E252" s="21" t="n">
        <f aca="false">ROUND(Q252,0)-D252</f>
        <v>191</v>
      </c>
      <c r="F252" s="21" t="n">
        <f aca="false">IF(COUNTA(D252:E252)=0,"",SUM(D252:E252))</f>
        <v>736</v>
      </c>
      <c r="G252" s="39" t="n">
        <f aca="false">IF(OR(F252="",F252=0),"",D252/F252)</f>
        <v>0.740489130434783</v>
      </c>
      <c r="H252" s="39" t="n">
        <f aca="false">IF(OR(F252="",F252=0),"",E252/F252)</f>
        <v>0.259510869565217</v>
      </c>
      <c r="I252" s="38" t="s">
        <v>89</v>
      </c>
      <c r="J252" s="40" t="n">
        <v>3.45317612968717</v>
      </c>
      <c r="K252" s="39" t="n">
        <f aca="false">IF(G252="","",MAX(0,G252-J252/100))</f>
        <v>0.705957369137911</v>
      </c>
      <c r="L252" s="39" t="n">
        <f aca="false">IF(G252="","",MIN(1,G252+J252/100))</f>
        <v>0.775020891731654</v>
      </c>
      <c r="M252" s="21" t="n">
        <f aca="false">ROUND(Q252*S252,0)</f>
        <v>45</v>
      </c>
      <c r="N252" s="21" t="n">
        <f aca="false">ROUND(SQRT((F252*J252/100)^2+(G252*M252)^2),0)</f>
        <v>42</v>
      </c>
      <c r="P252" s="41" t="n">
        <v>21.5064785053684</v>
      </c>
      <c r="Q252" s="42" t="n">
        <v>736</v>
      </c>
      <c r="R252" s="43" t="n">
        <f aca="false">MAX(0,MIN(1,P252/100+$D$5))</f>
        <v>0.740283229780648</v>
      </c>
      <c r="S252" s="43" t="n">
        <v>0.0610405690258335</v>
      </c>
      <c r="T252" s="44" t="s">
        <v>90</v>
      </c>
    </row>
    <row r="253" customFormat="false" ht="15" hidden="false" customHeight="false" outlineLevel="0" collapsed="false">
      <c r="A253" s="38" t="s">
        <v>344</v>
      </c>
      <c r="B253" s="38" t="s">
        <v>219</v>
      </c>
      <c r="C253" s="38" t="s">
        <v>374</v>
      </c>
      <c r="D253" s="21" t="n">
        <f aca="false">ROUND(Q253*R253,0)</f>
        <v>488</v>
      </c>
      <c r="E253" s="21" t="n">
        <f aca="false">ROUND(Q253,0)-D253</f>
        <v>187</v>
      </c>
      <c r="F253" s="21" t="n">
        <f aca="false">IF(COUNTA(D253:E253)=0,"",SUM(D253:E253))</f>
        <v>675</v>
      </c>
      <c r="G253" s="39" t="n">
        <f aca="false">IF(OR(F253="",F253=0),"",D253/F253)</f>
        <v>0.722962962962963</v>
      </c>
      <c r="H253" s="39" t="n">
        <f aca="false">IF(OR(F253="",F253=0),"",E253/F253)</f>
        <v>0.277037037037037</v>
      </c>
      <c r="I253" s="38" t="s">
        <v>89</v>
      </c>
      <c r="J253" s="40" t="n">
        <v>3.45317612968717</v>
      </c>
      <c r="K253" s="39" t="n">
        <f aca="false">IF(G253="","",MAX(0,G253-J253/100))</f>
        <v>0.688431201666091</v>
      </c>
      <c r="L253" s="39" t="n">
        <f aca="false">IF(G253="","",MIN(1,G253+J253/100))</f>
        <v>0.757494724259835</v>
      </c>
      <c r="M253" s="21" t="n">
        <f aca="false">ROUND(Q253*S253,0)</f>
        <v>41</v>
      </c>
      <c r="N253" s="21" t="n">
        <f aca="false">ROUND(SQRT((F253*J253/100)^2+(G253*M253)^2),0)</f>
        <v>38</v>
      </c>
      <c r="P253" s="41" t="n">
        <v>19.7926181900264</v>
      </c>
      <c r="Q253" s="42" t="n">
        <v>675</v>
      </c>
      <c r="R253" s="43" t="n">
        <f aca="false">MAX(0,MIN(1,P253/100+$D$5))</f>
        <v>0.723144626627228</v>
      </c>
      <c r="S253" s="43" t="n">
        <v>0.0610405690258335</v>
      </c>
      <c r="T253" s="44" t="s">
        <v>90</v>
      </c>
    </row>
    <row r="254" customFormat="false" ht="15" hidden="false" customHeight="false" outlineLevel="0" collapsed="false">
      <c r="A254" s="38" t="s">
        <v>344</v>
      </c>
      <c r="B254" s="38" t="s">
        <v>219</v>
      </c>
      <c r="C254" s="38" t="s">
        <v>375</v>
      </c>
      <c r="D254" s="21" t="n">
        <f aca="false">ROUND(Q254*R254,0)</f>
        <v>574</v>
      </c>
      <c r="E254" s="21" t="n">
        <f aca="false">ROUND(Q254,0)-D254</f>
        <v>220</v>
      </c>
      <c r="F254" s="21" t="n">
        <f aca="false">IF(COUNTA(D254:E254)=0,"",SUM(D254:E254))</f>
        <v>794</v>
      </c>
      <c r="G254" s="39" t="n">
        <f aca="false">IF(OR(F254="",F254=0),"",D254/F254)</f>
        <v>0.722921914357683</v>
      </c>
      <c r="H254" s="39" t="n">
        <f aca="false">IF(OR(F254="",F254=0),"",E254/F254)</f>
        <v>0.277078085642317</v>
      </c>
      <c r="I254" s="38" t="s">
        <v>89</v>
      </c>
      <c r="J254" s="40" t="n">
        <v>2.05025038892674</v>
      </c>
      <c r="K254" s="39" t="n">
        <f aca="false">IF(G254="","",MAX(0,G254-J254/100))</f>
        <v>0.702419410468415</v>
      </c>
      <c r="L254" s="39" t="n">
        <f aca="false">IF(G254="","",MIN(1,G254+J254/100))</f>
        <v>0.74342441824695</v>
      </c>
      <c r="M254" s="21" t="n">
        <f aca="false">ROUND(Q254*S254,0)</f>
        <v>40</v>
      </c>
      <c r="N254" s="21" t="n">
        <f aca="false">ROUND(SQRT((F254*J254/100)^2+(G254*M254)^2),0)</f>
        <v>33</v>
      </c>
      <c r="P254" s="41" t="n">
        <v>19.8042668652927</v>
      </c>
      <c r="Q254" s="42" t="n">
        <v>794</v>
      </c>
      <c r="R254" s="43" t="n">
        <f aca="false">MAX(0,MIN(1,P254/100+$D$5))</f>
        <v>0.723261113379891</v>
      </c>
      <c r="S254" s="43" t="n">
        <v>0.0500321312575726</v>
      </c>
      <c r="T254" s="44" t="s">
        <v>99</v>
      </c>
    </row>
    <row r="255" customFormat="false" ht="15" hidden="false" customHeight="false" outlineLevel="0" collapsed="false">
      <c r="A255" s="38" t="s">
        <v>344</v>
      </c>
      <c r="B255" s="38" t="s">
        <v>219</v>
      </c>
      <c r="C255" s="38" t="s">
        <v>376</v>
      </c>
      <c r="D255" s="21" t="n">
        <f aca="false">ROUND(Q255*R255,0)</f>
        <v>442</v>
      </c>
      <c r="E255" s="21" t="n">
        <f aca="false">ROUND(Q255,0)-D255</f>
        <v>229</v>
      </c>
      <c r="F255" s="21" t="n">
        <f aca="false">IF(COUNTA(D255:E255)=0,"",SUM(D255:E255))</f>
        <v>671</v>
      </c>
      <c r="G255" s="39" t="n">
        <f aca="false">IF(OR(F255="",F255=0),"",D255/F255)</f>
        <v>0.658718330849478</v>
      </c>
      <c r="H255" s="39" t="n">
        <f aca="false">IF(OR(F255="",F255=0),"",E255/F255)</f>
        <v>0.341281669150522</v>
      </c>
      <c r="I255" s="38" t="s">
        <v>190</v>
      </c>
      <c r="J255" s="40" t="n">
        <v>3.45317612968717</v>
      </c>
      <c r="K255" s="39" t="n">
        <f aca="false">IF(G255="","",MAX(0,G255-J255/100))</f>
        <v>0.624186569552607</v>
      </c>
      <c r="L255" s="39" t="n">
        <f aca="false">IF(G255="","",MIN(1,G255+J255/100))</f>
        <v>0.69325009214635</v>
      </c>
      <c r="M255" s="21" t="n">
        <f aca="false">ROUND(Q255*S255,0)</f>
        <v>41</v>
      </c>
      <c r="N255" s="21" t="n">
        <f aca="false">ROUND(SQRT((F255*J255/100)^2+(G255*M255)^2),0)</f>
        <v>36</v>
      </c>
      <c r="P255" s="41" t="n">
        <v>13.4397334036973</v>
      </c>
      <c r="Q255" s="42" t="n">
        <v>670.789561000511</v>
      </c>
      <c r="R255" s="43" t="n">
        <f aca="false">MAX(0,MIN(1,P255/100+$D$5))</f>
        <v>0.659615778763938</v>
      </c>
      <c r="S255" s="43" t="n">
        <v>0.0610405690258335</v>
      </c>
      <c r="T255" s="44" t="s">
        <v>90</v>
      </c>
    </row>
    <row r="256" customFormat="false" ht="15" hidden="false" customHeight="false" outlineLevel="0" collapsed="false">
      <c r="A256" s="38" t="s">
        <v>344</v>
      </c>
      <c r="B256" s="38" t="s">
        <v>377</v>
      </c>
      <c r="C256" s="38" t="s">
        <v>378</v>
      </c>
      <c r="D256" s="21" t="n">
        <f aca="false">ROUND(Q256*R256,0)</f>
        <v>409</v>
      </c>
      <c r="E256" s="21" t="n">
        <f aca="false">ROUND(Q256,0)-D256</f>
        <v>303</v>
      </c>
      <c r="F256" s="21" t="n">
        <f aca="false">IF(COUNTA(D256:E256)=0,"",SUM(D256:E256))</f>
        <v>712</v>
      </c>
      <c r="G256" s="39" t="n">
        <f aca="false">IF(OR(F256="",F256=0),"",D256/F256)</f>
        <v>0.574438202247191</v>
      </c>
      <c r="H256" s="39" t="n">
        <f aca="false">IF(OR(F256="",F256=0),"",E256/F256)</f>
        <v>0.425561797752809</v>
      </c>
      <c r="I256" s="38" t="s">
        <v>89</v>
      </c>
      <c r="J256" s="40" t="n">
        <v>3.45317612968717</v>
      </c>
      <c r="K256" s="39" t="n">
        <f aca="false">IF(G256="","",MAX(0,G256-J256/100))</f>
        <v>0.539906440950319</v>
      </c>
      <c r="L256" s="39" t="n">
        <f aca="false">IF(G256="","",MIN(1,G256+J256/100))</f>
        <v>0.608969963544063</v>
      </c>
      <c r="M256" s="21" t="n">
        <f aca="false">ROUND(Q256*S256,0)</f>
        <v>43</v>
      </c>
      <c r="N256" s="21" t="n">
        <f aca="false">ROUND(SQRT((F256*J256/100)^2+(G256*M256)^2),0)</f>
        <v>35</v>
      </c>
      <c r="P256" s="41" t="n">
        <v>4.97650716202094</v>
      </c>
      <c r="Q256" s="42" t="n">
        <v>712</v>
      </c>
      <c r="R256" s="43" t="n">
        <f aca="false">MAX(0,MIN(1,P256/100+$D$5))</f>
        <v>0.574983516347174</v>
      </c>
      <c r="S256" s="43" t="n">
        <v>0.0610405690258335</v>
      </c>
      <c r="T256" s="44" t="s">
        <v>90</v>
      </c>
    </row>
    <row r="257" customFormat="false" ht="15" hidden="false" customHeight="false" outlineLevel="0" collapsed="false">
      <c r="A257" s="38" t="s">
        <v>344</v>
      </c>
      <c r="B257" s="38" t="s">
        <v>377</v>
      </c>
      <c r="C257" s="38" t="s">
        <v>379</v>
      </c>
      <c r="D257" s="21" t="n">
        <f aca="false">ROUND(Q257*R257,0)</f>
        <v>508</v>
      </c>
      <c r="E257" s="21" t="n">
        <f aca="false">ROUND(Q257,0)-D257</f>
        <v>398</v>
      </c>
      <c r="F257" s="21" t="n">
        <f aca="false">IF(COUNTA(D257:E257)=0,"",SUM(D257:E257))</f>
        <v>906</v>
      </c>
      <c r="G257" s="39" t="n">
        <f aca="false">IF(OR(F257="",F257=0),"",D257/F257)</f>
        <v>0.560706401766004</v>
      </c>
      <c r="H257" s="39" t="n">
        <f aca="false">IF(OR(F257="",F257=0),"",E257/F257)</f>
        <v>0.439293598233996</v>
      </c>
      <c r="I257" s="38" t="s">
        <v>89</v>
      </c>
      <c r="J257" s="40" t="n">
        <v>2.05025038892674</v>
      </c>
      <c r="K257" s="39" t="n">
        <f aca="false">IF(G257="","",MAX(0,G257-J257/100))</f>
        <v>0.540203897876737</v>
      </c>
      <c r="L257" s="39" t="n">
        <f aca="false">IF(G257="","",MIN(1,G257+J257/100))</f>
        <v>0.581208905655272</v>
      </c>
      <c r="M257" s="21" t="n">
        <f aca="false">ROUND(Q257*S257,0)</f>
        <v>45</v>
      </c>
      <c r="N257" s="21" t="n">
        <f aca="false">ROUND(SQRT((F257*J257/100)^2+(G257*M257)^2),0)</f>
        <v>31</v>
      </c>
      <c r="P257" s="41" t="n">
        <v>3.53058172912142</v>
      </c>
      <c r="Q257" s="42" t="n">
        <v>906</v>
      </c>
      <c r="R257" s="43" t="n">
        <f aca="false">MAX(0,MIN(1,P257/100+$D$5))</f>
        <v>0.560524262018179</v>
      </c>
      <c r="S257" s="43" t="n">
        <v>0.0500321312575726</v>
      </c>
      <c r="T257" s="44" t="s">
        <v>99</v>
      </c>
    </row>
    <row r="258" customFormat="false" ht="15" hidden="false" customHeight="false" outlineLevel="0" collapsed="false">
      <c r="A258" s="38" t="s">
        <v>344</v>
      </c>
      <c r="B258" s="38" t="s">
        <v>377</v>
      </c>
      <c r="C258" s="38" t="s">
        <v>380</v>
      </c>
      <c r="D258" s="21" t="n">
        <f aca="false">ROUND(Q258*R258,0)</f>
        <v>544</v>
      </c>
      <c r="E258" s="21" t="n">
        <f aca="false">ROUND(Q258,0)-D258</f>
        <v>368</v>
      </c>
      <c r="F258" s="21" t="n">
        <f aca="false">IF(COUNTA(D258:E258)=0,"",SUM(D258:E258))</f>
        <v>912</v>
      </c>
      <c r="G258" s="39" t="n">
        <f aca="false">IF(OR(F258="",F258=0),"",D258/F258)</f>
        <v>0.596491228070175</v>
      </c>
      <c r="H258" s="39" t="n">
        <f aca="false">IF(OR(F258="",F258=0),"",E258/F258)</f>
        <v>0.403508771929825</v>
      </c>
      <c r="I258" s="38" t="s">
        <v>89</v>
      </c>
      <c r="J258" s="40" t="n">
        <v>2.05025038892674</v>
      </c>
      <c r="K258" s="39" t="n">
        <f aca="false">IF(G258="","",MAX(0,G258-J258/100))</f>
        <v>0.575988724180908</v>
      </c>
      <c r="L258" s="39" t="n">
        <f aca="false">IF(G258="","",MIN(1,G258+J258/100))</f>
        <v>0.616993731959443</v>
      </c>
      <c r="M258" s="21" t="n">
        <f aca="false">ROUND(Q258*S258,0)</f>
        <v>46</v>
      </c>
      <c r="N258" s="21" t="n">
        <f aca="false">ROUND(SQRT((F258*J258/100)^2+(G258*M258)^2),0)</f>
        <v>33</v>
      </c>
      <c r="P258" s="41" t="n">
        <v>7.07385595273147</v>
      </c>
      <c r="Q258" s="42" t="n">
        <v>912</v>
      </c>
      <c r="R258" s="43" t="n">
        <f aca="false">MAX(0,MIN(1,P258/100+$D$5))</f>
        <v>0.595957004254279</v>
      </c>
      <c r="S258" s="43" t="n">
        <v>0.0500321312575726</v>
      </c>
      <c r="T258" s="44" t="s">
        <v>99</v>
      </c>
    </row>
    <row r="259" customFormat="false" ht="15" hidden="false" customHeight="false" outlineLevel="0" collapsed="false">
      <c r="A259" s="38" t="s">
        <v>344</v>
      </c>
      <c r="B259" s="38" t="s">
        <v>377</v>
      </c>
      <c r="C259" s="38" t="s">
        <v>381</v>
      </c>
      <c r="D259" s="21" t="n">
        <f aca="false">ROUND(Q259*R259,0)</f>
        <v>262</v>
      </c>
      <c r="E259" s="21" t="n">
        <f aca="false">ROUND(Q259,0)-D259</f>
        <v>220</v>
      </c>
      <c r="F259" s="21" t="n">
        <f aca="false">IF(COUNTA(D259:E259)=0,"",SUM(D259:E259))</f>
        <v>482</v>
      </c>
      <c r="G259" s="39" t="n">
        <f aca="false">IF(OR(F259="",F259=0),"",D259/F259)</f>
        <v>0.54356846473029</v>
      </c>
      <c r="H259" s="39" t="n">
        <f aca="false">IF(OR(F259="",F259=0),"",E259/F259)</f>
        <v>0.45643153526971</v>
      </c>
      <c r="I259" s="38" t="s">
        <v>89</v>
      </c>
      <c r="J259" s="40" t="n">
        <v>3.45317612968717</v>
      </c>
      <c r="K259" s="39" t="n">
        <f aca="false">IF(G259="","",MAX(0,G259-J259/100))</f>
        <v>0.509036703433419</v>
      </c>
      <c r="L259" s="39" t="n">
        <f aca="false">IF(G259="","",MIN(1,G259+J259/100))</f>
        <v>0.578100226027162</v>
      </c>
      <c r="M259" s="21" t="n">
        <f aca="false">ROUND(Q259*S259,0)</f>
        <v>29</v>
      </c>
      <c r="N259" s="21" t="n">
        <f aca="false">ROUND(SQRT((F259*J259/100)^2+(G259*M259)^2),0)</f>
        <v>23</v>
      </c>
      <c r="P259" s="41" t="n">
        <v>1.8098870679096</v>
      </c>
      <c r="Q259" s="42" t="n">
        <v>482</v>
      </c>
      <c r="R259" s="43" t="n">
        <f aca="false">MAX(0,MIN(1,P259/100+$D$5))</f>
        <v>0.543317315406061</v>
      </c>
      <c r="S259" s="43" t="n">
        <v>0.0610405690258335</v>
      </c>
      <c r="T259" s="44" t="s">
        <v>90</v>
      </c>
    </row>
    <row r="260" customFormat="false" ht="15" hidden="false" customHeight="false" outlineLevel="0" collapsed="false">
      <c r="A260" s="38" t="s">
        <v>344</v>
      </c>
      <c r="B260" s="38" t="s">
        <v>377</v>
      </c>
      <c r="C260" s="38" t="s">
        <v>382</v>
      </c>
      <c r="D260" s="21" t="n">
        <f aca="false">ROUND(Q260*R260,0)</f>
        <v>451</v>
      </c>
      <c r="E260" s="21" t="n">
        <f aca="false">ROUND(Q260,0)-D260</f>
        <v>301</v>
      </c>
      <c r="F260" s="21" t="n">
        <f aca="false">IF(COUNTA(D260:E260)=0,"",SUM(D260:E260))</f>
        <v>752</v>
      </c>
      <c r="G260" s="39" t="n">
        <f aca="false">IF(OR(F260="",F260=0),"",D260/F260)</f>
        <v>0.599734042553192</v>
      </c>
      <c r="H260" s="39" t="n">
        <f aca="false">IF(OR(F260="",F260=0),"",E260/F260)</f>
        <v>0.400265957446809</v>
      </c>
      <c r="I260" s="38" t="s">
        <v>89</v>
      </c>
      <c r="J260" s="40" t="n">
        <v>3.45317612968717</v>
      </c>
      <c r="K260" s="39" t="n">
        <f aca="false">IF(G260="","",MAX(0,G260-J260/100))</f>
        <v>0.56520228125632</v>
      </c>
      <c r="L260" s="39" t="n">
        <f aca="false">IF(G260="","",MIN(1,G260+J260/100))</f>
        <v>0.634265803850063</v>
      </c>
      <c r="M260" s="21" t="n">
        <f aca="false">ROUND(Q260*S260,0)</f>
        <v>46</v>
      </c>
      <c r="N260" s="21" t="n">
        <f aca="false">ROUND(SQRT((F260*J260/100)^2+(G260*M260)^2),0)</f>
        <v>38</v>
      </c>
      <c r="P260" s="41" t="n">
        <v>7.45148635467744</v>
      </c>
      <c r="Q260" s="42" t="n">
        <v>752</v>
      </c>
      <c r="R260" s="43" t="n">
        <f aca="false">MAX(0,MIN(1,P260/100+$D$5))</f>
        <v>0.599733308273739</v>
      </c>
      <c r="S260" s="43" t="n">
        <v>0.0610405690258335</v>
      </c>
      <c r="T260" s="44" t="s">
        <v>90</v>
      </c>
    </row>
    <row r="261" customFormat="false" ht="15" hidden="false" customHeight="false" outlineLevel="0" collapsed="false">
      <c r="A261" s="38" t="s">
        <v>344</v>
      </c>
      <c r="B261" s="38" t="s">
        <v>377</v>
      </c>
      <c r="C261" s="38" t="s">
        <v>383</v>
      </c>
      <c r="D261" s="21" t="n">
        <f aca="false">ROUND(Q261*R261,0)</f>
        <v>450</v>
      </c>
      <c r="E261" s="21" t="n">
        <f aca="false">ROUND(Q261,0)-D261</f>
        <v>351</v>
      </c>
      <c r="F261" s="21" t="n">
        <f aca="false">IF(COUNTA(D261:E261)=0,"",SUM(D261:E261))</f>
        <v>801</v>
      </c>
      <c r="G261" s="39" t="n">
        <f aca="false">IF(OR(F261="",F261=0),"",D261/F261)</f>
        <v>0.561797752808989</v>
      </c>
      <c r="H261" s="39" t="n">
        <f aca="false">IF(OR(F261="",F261=0),"",E261/F261)</f>
        <v>0.438202247191011</v>
      </c>
      <c r="I261" s="38" t="s">
        <v>89</v>
      </c>
      <c r="J261" s="40" t="n">
        <v>2.05025038892674</v>
      </c>
      <c r="K261" s="39" t="n">
        <f aca="false">IF(G261="","",MAX(0,G261-J261/100))</f>
        <v>0.541295248919722</v>
      </c>
      <c r="L261" s="39" t="n">
        <f aca="false">IF(G261="","",MIN(1,G261+J261/100))</f>
        <v>0.582300256698256</v>
      </c>
      <c r="M261" s="21" t="n">
        <f aca="false">ROUND(Q261*S261,0)</f>
        <v>40</v>
      </c>
      <c r="N261" s="21" t="n">
        <f aca="false">ROUND(SQRT((F261*J261/100)^2+(G261*M261)^2),0)</f>
        <v>28</v>
      </c>
      <c r="P261" s="41" t="n">
        <v>3.6275136471335</v>
      </c>
      <c r="Q261" s="42" t="n">
        <v>801</v>
      </c>
      <c r="R261" s="43" t="n">
        <f aca="false">MAX(0,MIN(1,P261/100+$D$5))</f>
        <v>0.5614935811983</v>
      </c>
      <c r="S261" s="43" t="n">
        <v>0.0500321312575726</v>
      </c>
      <c r="T261" s="44" t="s">
        <v>99</v>
      </c>
    </row>
    <row r="262" customFormat="false" ht="15" hidden="false" customHeight="false" outlineLevel="0" collapsed="false">
      <c r="A262" s="38" t="s">
        <v>344</v>
      </c>
      <c r="B262" s="38" t="s">
        <v>377</v>
      </c>
      <c r="C262" s="38" t="s">
        <v>384</v>
      </c>
      <c r="D262" s="21" t="n">
        <f aca="false">ROUND(Q262*R262,0)</f>
        <v>291</v>
      </c>
      <c r="E262" s="21" t="n">
        <f aca="false">ROUND(Q262,0)-D262</f>
        <v>202</v>
      </c>
      <c r="F262" s="21" t="n">
        <f aca="false">IF(COUNTA(D262:E262)=0,"",SUM(D262:E262))</f>
        <v>493</v>
      </c>
      <c r="G262" s="39" t="n">
        <f aca="false">IF(OR(F262="",F262=0),"",D262/F262)</f>
        <v>0.59026369168357</v>
      </c>
      <c r="H262" s="39" t="n">
        <f aca="false">IF(OR(F262="",F262=0),"",E262/F262)</f>
        <v>0.40973630831643</v>
      </c>
      <c r="I262" s="38" t="s">
        <v>89</v>
      </c>
      <c r="J262" s="40" t="n">
        <v>3.45317612968717</v>
      </c>
      <c r="K262" s="39" t="n">
        <f aca="false">IF(G262="","",MAX(0,G262-J262/100))</f>
        <v>0.555731930386698</v>
      </c>
      <c r="L262" s="39" t="n">
        <f aca="false">IF(G262="","",MIN(1,G262+J262/100))</f>
        <v>0.624795452980442</v>
      </c>
      <c r="M262" s="21" t="n">
        <f aca="false">ROUND(Q262*S262,0)</f>
        <v>30</v>
      </c>
      <c r="N262" s="21" t="n">
        <f aca="false">ROUND(SQRT((F262*J262/100)^2+(G262*M262)^2),0)</f>
        <v>25</v>
      </c>
      <c r="P262" s="41" t="n">
        <v>6.5257758415193</v>
      </c>
      <c r="Q262" s="42" t="n">
        <v>493</v>
      </c>
      <c r="R262" s="43" t="n">
        <f aca="false">MAX(0,MIN(1,P262/100+$D$5))</f>
        <v>0.590476203142158</v>
      </c>
      <c r="S262" s="43" t="n">
        <v>0.0610405690258335</v>
      </c>
      <c r="T262" s="44" t="s">
        <v>90</v>
      </c>
    </row>
    <row r="263" customFormat="false" ht="15" hidden="false" customHeight="false" outlineLevel="0" collapsed="false">
      <c r="A263" s="38" t="s">
        <v>344</v>
      </c>
      <c r="B263" s="38" t="s">
        <v>377</v>
      </c>
      <c r="C263" s="38" t="s">
        <v>385</v>
      </c>
      <c r="D263" s="21" t="n">
        <f aca="false">ROUND(Q263*R263,0)</f>
        <v>384</v>
      </c>
      <c r="E263" s="21" t="n">
        <f aca="false">ROUND(Q263,0)-D263</f>
        <v>241</v>
      </c>
      <c r="F263" s="21" t="n">
        <f aca="false">IF(COUNTA(D263:E263)=0,"",SUM(D263:E263))</f>
        <v>625</v>
      </c>
      <c r="G263" s="39" t="n">
        <f aca="false">IF(OR(F263="",F263=0),"",D263/F263)</f>
        <v>0.6144</v>
      </c>
      <c r="H263" s="39" t="n">
        <f aca="false">IF(OR(F263="",F263=0),"",E263/F263)</f>
        <v>0.3856</v>
      </c>
      <c r="I263" s="38" t="s">
        <v>89</v>
      </c>
      <c r="J263" s="40" t="n">
        <v>3.45317612968717</v>
      </c>
      <c r="K263" s="39" t="n">
        <f aca="false">IF(G263="","",MAX(0,G263-J263/100))</f>
        <v>0.579868238703128</v>
      </c>
      <c r="L263" s="39" t="n">
        <f aca="false">IF(G263="","",MIN(1,G263+J263/100))</f>
        <v>0.648931761296872</v>
      </c>
      <c r="M263" s="21" t="n">
        <f aca="false">ROUND(Q263*S263,0)</f>
        <v>38</v>
      </c>
      <c r="N263" s="21" t="n">
        <f aca="false">ROUND(SQRT((F263*J263/100)^2+(G263*M263)^2),0)</f>
        <v>32</v>
      </c>
      <c r="P263" s="41" t="n">
        <v>8.96943260937215</v>
      </c>
      <c r="Q263" s="42" t="n">
        <v>625</v>
      </c>
      <c r="R263" s="43" t="n">
        <f aca="false">MAX(0,MIN(1,P263/100+$D$5))</f>
        <v>0.614912770820686</v>
      </c>
      <c r="S263" s="43" t="n">
        <v>0.0610405690258335</v>
      </c>
      <c r="T263" s="44" t="s">
        <v>90</v>
      </c>
    </row>
    <row r="264" customFormat="false" ht="15" hidden="false" customHeight="false" outlineLevel="0" collapsed="false">
      <c r="A264" s="38" t="s">
        <v>344</v>
      </c>
      <c r="B264" s="38" t="s">
        <v>377</v>
      </c>
      <c r="C264" s="38" t="s">
        <v>386</v>
      </c>
      <c r="D264" s="21" t="n">
        <f aca="false">ROUND(Q264*R264,0)</f>
        <v>256</v>
      </c>
      <c r="E264" s="21" t="n">
        <f aca="false">ROUND(Q264,0)-D264</f>
        <v>149</v>
      </c>
      <c r="F264" s="21" t="n">
        <f aca="false">IF(COUNTA(D264:E264)=0,"",SUM(D264:E264))</f>
        <v>405</v>
      </c>
      <c r="G264" s="39" t="n">
        <f aca="false">IF(OR(F264="",F264=0),"",D264/F264)</f>
        <v>0.632098765432099</v>
      </c>
      <c r="H264" s="39" t="n">
        <f aca="false">IF(OR(F264="",F264=0),"",E264/F264)</f>
        <v>0.367901234567901</v>
      </c>
      <c r="I264" s="38" t="s">
        <v>89</v>
      </c>
      <c r="J264" s="40" t="n">
        <v>3.45317612968717</v>
      </c>
      <c r="K264" s="39" t="n">
        <f aca="false">IF(G264="","",MAX(0,G264-J264/100))</f>
        <v>0.597567004135227</v>
      </c>
      <c r="L264" s="39" t="n">
        <f aca="false">IF(G264="","",MIN(1,G264+J264/100))</f>
        <v>0.66663052672897</v>
      </c>
      <c r="M264" s="21" t="n">
        <f aca="false">ROUND(Q264*S264,0)</f>
        <v>25</v>
      </c>
      <c r="N264" s="21" t="n">
        <f aca="false">ROUND(SQRT((F264*J264/100)^2+(G264*M264)^2),0)</f>
        <v>21</v>
      </c>
      <c r="P264" s="41" t="n">
        <v>10.6729768559479</v>
      </c>
      <c r="Q264" s="42" t="n">
        <v>405</v>
      </c>
      <c r="R264" s="43" t="n">
        <f aca="false">MAX(0,MIN(1,P264/100+$D$5))</f>
        <v>0.631948213286443</v>
      </c>
      <c r="S264" s="43" t="n">
        <v>0.0610405690258335</v>
      </c>
      <c r="T264" s="44" t="s">
        <v>90</v>
      </c>
    </row>
    <row r="265" customFormat="false" ht="15" hidden="false" customHeight="false" outlineLevel="0" collapsed="false">
      <c r="A265" s="38" t="s">
        <v>344</v>
      </c>
      <c r="B265" s="38" t="s">
        <v>377</v>
      </c>
      <c r="C265" s="38" t="s">
        <v>387</v>
      </c>
      <c r="D265" s="21" t="n">
        <f aca="false">ROUND(Q265*R265,0)</f>
        <v>303</v>
      </c>
      <c r="E265" s="21" t="n">
        <f aca="false">ROUND(Q265,0)-D265</f>
        <v>249</v>
      </c>
      <c r="F265" s="21" t="n">
        <f aca="false">IF(COUNTA(D265:E265)=0,"",SUM(D265:E265))</f>
        <v>552</v>
      </c>
      <c r="G265" s="39" t="n">
        <f aca="false">IF(OR(F265="",F265=0),"",D265/F265)</f>
        <v>0.548913043478261</v>
      </c>
      <c r="H265" s="39" t="n">
        <f aca="false">IF(OR(F265="",F265=0),"",E265/F265)</f>
        <v>0.451086956521739</v>
      </c>
      <c r="I265" s="38" t="s">
        <v>89</v>
      </c>
      <c r="J265" s="40" t="n">
        <v>3.45317612968717</v>
      </c>
      <c r="K265" s="39" t="n">
        <f aca="false">IF(G265="","",MAX(0,G265-J265/100))</f>
        <v>0.514381282181389</v>
      </c>
      <c r="L265" s="39" t="n">
        <f aca="false">IF(G265="","",MIN(1,G265+J265/100))</f>
        <v>0.583444804775133</v>
      </c>
      <c r="M265" s="21" t="n">
        <f aca="false">ROUND(Q265*S265,0)</f>
        <v>34</v>
      </c>
      <c r="N265" s="21" t="n">
        <f aca="false">ROUND(SQRT((F265*J265/100)^2+(G265*M265)^2),0)</f>
        <v>27</v>
      </c>
      <c r="P265" s="41" t="n">
        <v>2.4442639713844</v>
      </c>
      <c r="Q265" s="42" t="n">
        <v>552</v>
      </c>
      <c r="R265" s="43" t="n">
        <f aca="false">MAX(0,MIN(1,P265/100+$D$5))</f>
        <v>0.549661084440809</v>
      </c>
      <c r="S265" s="43" t="n">
        <v>0.0610405690258335</v>
      </c>
      <c r="T265" s="44" t="s">
        <v>90</v>
      </c>
    </row>
    <row r="266" customFormat="false" ht="15" hidden="false" customHeight="false" outlineLevel="0" collapsed="false">
      <c r="A266" s="38" t="s">
        <v>344</v>
      </c>
      <c r="B266" s="38" t="s">
        <v>377</v>
      </c>
      <c r="C266" s="38" t="s">
        <v>388</v>
      </c>
      <c r="D266" s="21" t="n">
        <f aca="false">ROUND(Q266*R266,0)</f>
        <v>369</v>
      </c>
      <c r="E266" s="21" t="n">
        <f aca="false">ROUND(Q266,0)-D266</f>
        <v>277</v>
      </c>
      <c r="F266" s="21" t="n">
        <f aca="false">IF(COUNTA(D266:E266)=0,"",SUM(D266:E266))</f>
        <v>646</v>
      </c>
      <c r="G266" s="39" t="n">
        <f aca="false">IF(OR(F266="",F266=0),"",D266/F266)</f>
        <v>0.571207430340557</v>
      </c>
      <c r="H266" s="39" t="n">
        <f aca="false">IF(OR(F266="",F266=0),"",E266/F266)</f>
        <v>0.428792569659443</v>
      </c>
      <c r="I266" s="38" t="s">
        <v>89</v>
      </c>
      <c r="J266" s="40" t="n">
        <v>3.45317612968717</v>
      </c>
      <c r="K266" s="39" t="n">
        <f aca="false">IF(G266="","",MAX(0,G266-J266/100))</f>
        <v>0.536675669043686</v>
      </c>
      <c r="L266" s="39" t="n">
        <f aca="false">IF(G266="","",MIN(1,G266+J266/100))</f>
        <v>0.605739191637429</v>
      </c>
      <c r="M266" s="21" t="n">
        <f aca="false">ROUND(Q266*S266,0)</f>
        <v>39</v>
      </c>
      <c r="N266" s="21" t="n">
        <f aca="false">ROUND(SQRT((F266*J266/100)^2+(G266*M266)^2),0)</f>
        <v>32</v>
      </c>
      <c r="P266" s="41" t="n">
        <v>4.56703244473311</v>
      </c>
      <c r="Q266" s="42" t="n">
        <v>646</v>
      </c>
      <c r="R266" s="43" t="n">
        <f aca="false">MAX(0,MIN(1,P266/100+$D$5))</f>
        <v>0.570888769174296</v>
      </c>
      <c r="S266" s="43" t="n">
        <v>0.0610405690258335</v>
      </c>
      <c r="T266" s="44" t="s">
        <v>90</v>
      </c>
    </row>
    <row r="267" customFormat="false" ht="15" hidden="false" customHeight="false" outlineLevel="0" collapsed="false">
      <c r="A267" s="38" t="s">
        <v>344</v>
      </c>
      <c r="B267" s="38" t="s">
        <v>377</v>
      </c>
      <c r="C267" s="38" t="s">
        <v>389</v>
      </c>
      <c r="D267" s="21" t="n">
        <f aca="false">ROUND(Q267*R267,0)</f>
        <v>427</v>
      </c>
      <c r="E267" s="21" t="n">
        <f aca="false">ROUND(Q267,0)-D267</f>
        <v>276</v>
      </c>
      <c r="F267" s="21" t="n">
        <f aca="false">IF(COUNTA(D267:E267)=0,"",SUM(D267:E267))</f>
        <v>703</v>
      </c>
      <c r="G267" s="39" t="n">
        <f aca="false">IF(OR(F267="",F267=0),"",D267/F267)</f>
        <v>0.607396870554765</v>
      </c>
      <c r="H267" s="39" t="n">
        <f aca="false">IF(OR(F267="",F267=0),"",E267/F267)</f>
        <v>0.392603129445235</v>
      </c>
      <c r="I267" s="38" t="s">
        <v>89</v>
      </c>
      <c r="J267" s="40" t="n">
        <v>3.45317612968717</v>
      </c>
      <c r="K267" s="39" t="n">
        <f aca="false">IF(G267="","",MAX(0,G267-J267/100))</f>
        <v>0.572865109257894</v>
      </c>
      <c r="L267" s="39" t="n">
        <f aca="false">IF(G267="","",MIN(1,G267+J267/100))</f>
        <v>0.641928631851637</v>
      </c>
      <c r="M267" s="21" t="n">
        <f aca="false">ROUND(Q267*S267,0)</f>
        <v>43</v>
      </c>
      <c r="N267" s="21" t="n">
        <f aca="false">ROUND(SQRT((F267*J267/100)^2+(G267*M267)^2),0)</f>
        <v>36</v>
      </c>
      <c r="P267" s="41" t="n">
        <v>8.14732039380386</v>
      </c>
      <c r="Q267" s="42" t="n">
        <v>703</v>
      </c>
      <c r="R267" s="43" t="n">
        <f aca="false">MAX(0,MIN(1,P267/100+$D$5))</f>
        <v>0.606691648665003</v>
      </c>
      <c r="S267" s="43" t="n">
        <v>0.0610405690258335</v>
      </c>
      <c r="T267" s="44" t="s">
        <v>90</v>
      </c>
    </row>
    <row r="268" customFormat="false" ht="15" hidden="false" customHeight="false" outlineLevel="0" collapsed="false">
      <c r="A268" s="38" t="s">
        <v>344</v>
      </c>
      <c r="B268" s="38" t="s">
        <v>377</v>
      </c>
      <c r="C268" s="38" t="s">
        <v>390</v>
      </c>
      <c r="D268" s="21" t="n">
        <f aca="false">ROUND(Q268*R268,0)</f>
        <v>374</v>
      </c>
      <c r="E268" s="21" t="n">
        <f aca="false">ROUND(Q268,0)-D268</f>
        <v>312</v>
      </c>
      <c r="F268" s="21" t="n">
        <f aca="false">IF(COUNTA(D268:E268)=0,"",SUM(D268:E268))</f>
        <v>686</v>
      </c>
      <c r="G268" s="39" t="n">
        <f aca="false">IF(OR(F268="",F268=0),"",D268/F268)</f>
        <v>0.545189504373178</v>
      </c>
      <c r="H268" s="39" t="n">
        <f aca="false">IF(OR(F268="",F268=0),"",E268/F268)</f>
        <v>0.454810495626822</v>
      </c>
      <c r="I268" s="38" t="s">
        <v>89</v>
      </c>
      <c r="J268" s="40" t="n">
        <v>3.45317612968717</v>
      </c>
      <c r="K268" s="39" t="n">
        <f aca="false">IF(G268="","",MAX(0,G268-J268/100))</f>
        <v>0.510657743076306</v>
      </c>
      <c r="L268" s="39" t="n">
        <f aca="false">IF(G268="","",MIN(1,G268+J268/100))</f>
        <v>0.579721265670049</v>
      </c>
      <c r="M268" s="21" t="n">
        <f aca="false">ROUND(Q268*S268,0)</f>
        <v>42</v>
      </c>
      <c r="N268" s="21" t="n">
        <f aca="false">ROUND(SQRT((F268*J268/100)^2+(G268*M268)^2),0)</f>
        <v>33</v>
      </c>
      <c r="P268" s="41" t="n">
        <v>2.05581266995057</v>
      </c>
      <c r="Q268" s="42" t="n">
        <v>686</v>
      </c>
      <c r="R268" s="43" t="n">
        <f aca="false">MAX(0,MIN(1,P268/100+$D$5))</f>
        <v>0.54577657142647</v>
      </c>
      <c r="S268" s="43" t="n">
        <v>0.0610405690258335</v>
      </c>
      <c r="T268" s="44" t="s">
        <v>90</v>
      </c>
    </row>
    <row r="269" customFormat="false" ht="15" hidden="false" customHeight="false" outlineLevel="0" collapsed="false">
      <c r="A269" s="38" t="s">
        <v>344</v>
      </c>
      <c r="B269" s="38" t="s">
        <v>377</v>
      </c>
      <c r="C269" s="38" t="s">
        <v>391</v>
      </c>
      <c r="D269" s="21" t="n">
        <f aca="false">ROUND(Q269*R269,0)</f>
        <v>761</v>
      </c>
      <c r="E269" s="21" t="n">
        <f aca="false">ROUND(Q269,0)-D269</f>
        <v>496</v>
      </c>
      <c r="F269" s="21" t="n">
        <f aca="false">IF(COUNTA(D269:E269)=0,"",SUM(D269:E269))</f>
        <v>1257</v>
      </c>
      <c r="G269" s="39" t="n">
        <f aca="false">IF(OR(F269="",F269=0),"",D269/F269)</f>
        <v>0.605409705648369</v>
      </c>
      <c r="H269" s="39" t="n">
        <f aca="false">IF(OR(F269="",F269=0),"",E269/F269)</f>
        <v>0.394590294351631</v>
      </c>
      <c r="I269" s="38" t="s">
        <v>89</v>
      </c>
      <c r="J269" s="40" t="n">
        <v>1.25589305869883</v>
      </c>
      <c r="K269" s="39" t="n">
        <f aca="false">IF(G269="","",MAX(0,G269-J269/100))</f>
        <v>0.592850775061381</v>
      </c>
      <c r="L269" s="39" t="n">
        <f aca="false">IF(G269="","",MIN(1,G269+J269/100))</f>
        <v>0.617968636235358</v>
      </c>
      <c r="M269" s="21" t="n">
        <f aca="false">ROUND(Q269*S269,0)</f>
        <v>164</v>
      </c>
      <c r="N269" s="21" t="n">
        <f aca="false">ROUND(SQRT((F269*J269/100)^2+(G269*M269)^2),0)</f>
        <v>101</v>
      </c>
      <c r="P269" s="41" t="n">
        <v>7.98353390005525</v>
      </c>
      <c r="Q269" s="42" t="n">
        <v>1257</v>
      </c>
      <c r="R269" s="43" t="n">
        <f aca="false">MAX(0,MIN(1,P269/100+$D$5))</f>
        <v>0.605053783727517</v>
      </c>
      <c r="S269" s="43" t="n">
        <v>0.130204099606216</v>
      </c>
      <c r="T269" s="44" t="s">
        <v>192</v>
      </c>
    </row>
    <row r="270" customFormat="false" ht="15" hidden="false" customHeight="false" outlineLevel="0" collapsed="false">
      <c r="A270" s="38" t="s">
        <v>344</v>
      </c>
      <c r="B270" s="38" t="s">
        <v>377</v>
      </c>
      <c r="C270" s="38" t="s">
        <v>392</v>
      </c>
      <c r="D270" s="21" t="n">
        <f aca="false">ROUND(Q270*R270,0)</f>
        <v>424</v>
      </c>
      <c r="E270" s="21" t="n">
        <f aca="false">ROUND(Q270,0)-D270</f>
        <v>351</v>
      </c>
      <c r="F270" s="21" t="n">
        <f aca="false">IF(COUNTA(D270:E270)=0,"",SUM(D270:E270))</f>
        <v>775</v>
      </c>
      <c r="G270" s="39" t="n">
        <f aca="false">IF(OR(F270="",F270=0),"",D270/F270)</f>
        <v>0.547096774193548</v>
      </c>
      <c r="H270" s="39" t="n">
        <f aca="false">IF(OR(F270="",F270=0),"",E270/F270)</f>
        <v>0.452903225806452</v>
      </c>
      <c r="I270" s="38" t="s">
        <v>89</v>
      </c>
      <c r="J270" s="40" t="n">
        <v>3.45317612968717</v>
      </c>
      <c r="K270" s="39" t="n">
        <f aca="false">IF(G270="","",MAX(0,G270-J270/100))</f>
        <v>0.512565012896677</v>
      </c>
      <c r="L270" s="39" t="n">
        <f aca="false">IF(G270="","",MIN(1,G270+J270/100))</f>
        <v>0.58162853549042</v>
      </c>
      <c r="M270" s="21" t="n">
        <f aca="false">ROUND(Q270*S270,0)</f>
        <v>47</v>
      </c>
      <c r="N270" s="21" t="n">
        <f aca="false">ROUND(SQRT((F270*J270/100)^2+(G270*M270)^2),0)</f>
        <v>37</v>
      </c>
      <c r="P270" s="41" t="n">
        <v>2.14156913558494</v>
      </c>
      <c r="Q270" s="42" t="n">
        <v>775</v>
      </c>
      <c r="R270" s="43" t="n">
        <f aca="false">MAX(0,MIN(1,P270/100+$D$5))</f>
        <v>0.546634136082814</v>
      </c>
      <c r="S270" s="43" t="n">
        <v>0.0610405690258335</v>
      </c>
      <c r="T270" s="44" t="s">
        <v>90</v>
      </c>
    </row>
    <row r="271" customFormat="false" ht="15" hidden="false" customHeight="false" outlineLevel="0" collapsed="false">
      <c r="A271" s="38" t="s">
        <v>344</v>
      </c>
      <c r="B271" s="38" t="s">
        <v>377</v>
      </c>
      <c r="C271" s="38" t="s">
        <v>393</v>
      </c>
      <c r="D271" s="21" t="n">
        <f aca="false">ROUND(Q271*R271,0)</f>
        <v>437</v>
      </c>
      <c r="E271" s="21" t="n">
        <f aca="false">ROUND(Q271,0)-D271</f>
        <v>345</v>
      </c>
      <c r="F271" s="21" t="n">
        <f aca="false">IF(COUNTA(D271:E271)=0,"",SUM(D271:E271))</f>
        <v>782</v>
      </c>
      <c r="G271" s="39" t="n">
        <f aca="false">IF(OR(F271="",F271=0),"",D271/F271)</f>
        <v>0.558823529411765</v>
      </c>
      <c r="H271" s="39" t="n">
        <f aca="false">IF(OR(F271="",F271=0),"",E271/F271)</f>
        <v>0.441176470588235</v>
      </c>
      <c r="I271" s="38" t="s">
        <v>89</v>
      </c>
      <c r="J271" s="40" t="n">
        <v>2.05025038892674</v>
      </c>
      <c r="K271" s="39" t="n">
        <f aca="false">IF(G271="","",MAX(0,G271-J271/100))</f>
        <v>0.538321025522497</v>
      </c>
      <c r="L271" s="39" t="n">
        <f aca="false">IF(G271="","",MIN(1,G271+J271/100))</f>
        <v>0.579326033301032</v>
      </c>
      <c r="M271" s="21" t="n">
        <f aca="false">ROUND(Q271*S271,0)</f>
        <v>39</v>
      </c>
      <c r="N271" s="21" t="n">
        <f aca="false">ROUND(SQRT((F271*J271/100)^2+(G271*M271)^2),0)</f>
        <v>27</v>
      </c>
      <c r="P271" s="41" t="n">
        <v>3.3036405664747</v>
      </c>
      <c r="Q271" s="42" t="n">
        <v>782</v>
      </c>
      <c r="R271" s="43" t="n">
        <f aca="false">MAX(0,MIN(1,P271/100+$D$5))</f>
        <v>0.558254850391712</v>
      </c>
      <c r="S271" s="43" t="n">
        <v>0.0500321312575726</v>
      </c>
      <c r="T271" s="44" t="s">
        <v>99</v>
      </c>
    </row>
    <row r="272" customFormat="false" ht="15" hidden="false" customHeight="false" outlineLevel="0" collapsed="false">
      <c r="A272" s="38" t="s">
        <v>344</v>
      </c>
      <c r="B272" s="38" t="s">
        <v>377</v>
      </c>
      <c r="C272" s="38" t="s">
        <v>394</v>
      </c>
      <c r="D272" s="21" t="n">
        <f aca="false">ROUND(Q272*R272,0)</f>
        <v>419</v>
      </c>
      <c r="E272" s="21" t="n">
        <f aca="false">ROUND(Q272,0)-D272</f>
        <v>335</v>
      </c>
      <c r="F272" s="21" t="n">
        <f aca="false">IF(COUNTA(D272:E272)=0,"",SUM(D272:E272))</f>
        <v>754</v>
      </c>
      <c r="G272" s="39" t="n">
        <f aca="false">IF(OR(F272="",F272=0),"",D272/F272)</f>
        <v>0.555702917771883</v>
      </c>
      <c r="H272" s="39" t="n">
        <f aca="false">IF(OR(F272="",F272=0),"",E272/F272)</f>
        <v>0.444297082228117</v>
      </c>
      <c r="I272" s="38" t="s">
        <v>89</v>
      </c>
      <c r="J272" s="40" t="n">
        <v>3.45317612968717</v>
      </c>
      <c r="K272" s="39" t="n">
        <f aca="false">IF(G272="","",MAX(0,G272-J272/100))</f>
        <v>0.521171156475012</v>
      </c>
      <c r="L272" s="39" t="n">
        <f aca="false">IF(G272="","",MIN(1,G272+J272/100))</f>
        <v>0.590234679068755</v>
      </c>
      <c r="M272" s="21" t="n">
        <f aca="false">ROUND(Q272*S272,0)</f>
        <v>46</v>
      </c>
      <c r="N272" s="21" t="n">
        <f aca="false">ROUND(SQRT((F272*J272/100)^2+(G272*M272)^2),0)</f>
        <v>36</v>
      </c>
      <c r="P272" s="41" t="n">
        <v>3.07643971726949</v>
      </c>
      <c r="Q272" s="42" t="n">
        <v>754</v>
      </c>
      <c r="R272" s="43" t="n">
        <f aca="false">MAX(0,MIN(1,P272/100+$D$5))</f>
        <v>0.55598284189966</v>
      </c>
      <c r="S272" s="43" t="n">
        <v>0.0610405690258335</v>
      </c>
      <c r="T272" s="44" t="s">
        <v>90</v>
      </c>
    </row>
    <row r="273" customFormat="false" ht="15" hidden="false" customHeight="false" outlineLevel="0" collapsed="false">
      <c r="A273" s="38" t="s">
        <v>344</v>
      </c>
      <c r="B273" s="38" t="s">
        <v>395</v>
      </c>
      <c r="C273" s="38" t="s">
        <v>396</v>
      </c>
      <c r="D273" s="21" t="n">
        <f aca="false">ROUND(Q273*R273,0)</f>
        <v>791</v>
      </c>
      <c r="E273" s="21" t="n">
        <f aca="false">ROUND(Q273,0)-D273</f>
        <v>1084</v>
      </c>
      <c r="F273" s="21" t="n">
        <f aca="false">IF(COUNTA(D273:E273)=0,"",SUM(D273:E273))</f>
        <v>1875</v>
      </c>
      <c r="G273" s="39" t="n">
        <f aca="false">IF(OR(F273="",F273=0),"",D273/F273)</f>
        <v>0.421866666666667</v>
      </c>
      <c r="H273" s="39" t="n">
        <f aca="false">IF(OR(F273="",F273=0),"",E273/F273)</f>
        <v>0.578133333333333</v>
      </c>
      <c r="I273" s="38" t="s">
        <v>89</v>
      </c>
      <c r="J273" s="40" t="n">
        <v>1.25589305869883</v>
      </c>
      <c r="K273" s="39" t="n">
        <f aca="false">IF(G273="","",MAX(0,G273-J273/100))</f>
        <v>0.409307736079678</v>
      </c>
      <c r="L273" s="39" t="n">
        <f aca="false">IF(G273="","",MIN(1,G273+J273/100))</f>
        <v>0.434425597253655</v>
      </c>
      <c r="M273" s="21" t="n">
        <f aca="false">ROUND(Q273*S273,0)</f>
        <v>244</v>
      </c>
      <c r="N273" s="21" t="n">
        <f aca="false">ROUND(SQRT((F273*J273/100)^2+(G273*M273)^2),0)</f>
        <v>106</v>
      </c>
      <c r="P273" s="41" t="n">
        <v>-10.3547872212278</v>
      </c>
      <c r="Q273" s="42" t="n">
        <v>1875</v>
      </c>
      <c r="R273" s="43" t="n">
        <f aca="false">MAX(0,MIN(1,P273/100+$D$5))</f>
        <v>0.421670572514687</v>
      </c>
      <c r="S273" s="43" t="n">
        <v>0.130204099606216</v>
      </c>
      <c r="T273" s="44" t="s">
        <v>192</v>
      </c>
    </row>
    <row r="274" customFormat="false" ht="15" hidden="false" customHeight="false" outlineLevel="0" collapsed="false">
      <c r="A274" s="38" t="s">
        <v>344</v>
      </c>
      <c r="B274" s="38" t="s">
        <v>395</v>
      </c>
      <c r="C274" s="38" t="s">
        <v>397</v>
      </c>
      <c r="D274" s="21" t="n">
        <f aca="false">ROUND(Q274*R274,0)</f>
        <v>715</v>
      </c>
      <c r="E274" s="21" t="n">
        <f aca="false">ROUND(Q274,0)-D274</f>
        <v>886</v>
      </c>
      <c r="F274" s="21" t="n">
        <f aca="false">IF(COUNTA(D274:E274)=0,"",SUM(D274:E274))</f>
        <v>1601</v>
      </c>
      <c r="G274" s="39" t="n">
        <f aca="false">IF(OR(F274="",F274=0),"",D274/F274)</f>
        <v>0.446595877576515</v>
      </c>
      <c r="H274" s="39" t="n">
        <f aca="false">IF(OR(F274="",F274=0),"",E274/F274)</f>
        <v>0.553404122423485</v>
      </c>
      <c r="I274" s="38" t="s">
        <v>89</v>
      </c>
      <c r="J274" s="40" t="n">
        <v>1.25589305869883</v>
      </c>
      <c r="K274" s="39" t="n">
        <f aca="false">IF(G274="","",MAX(0,G274-J274/100))</f>
        <v>0.434036946989526</v>
      </c>
      <c r="L274" s="39" t="n">
        <f aca="false">IF(G274="","",MIN(1,G274+J274/100))</f>
        <v>0.459154808163503</v>
      </c>
      <c r="M274" s="21" t="n">
        <f aca="false">ROUND(Q274*S274,0)</f>
        <v>208</v>
      </c>
      <c r="N274" s="21" t="n">
        <f aca="false">ROUND(SQRT((F274*J274/100)^2+(G274*M274)^2),0)</f>
        <v>95</v>
      </c>
      <c r="P274" s="41" t="n">
        <v>-7.88772857705511</v>
      </c>
      <c r="Q274" s="42" t="n">
        <v>1601</v>
      </c>
      <c r="R274" s="43" t="n">
        <f aca="false">MAX(0,MIN(1,P274/100+$D$5))</f>
        <v>0.446341158956414</v>
      </c>
      <c r="S274" s="43" t="n">
        <v>0.130204099606216</v>
      </c>
      <c r="T274" s="44" t="s">
        <v>192</v>
      </c>
    </row>
    <row r="275" customFormat="false" ht="15" hidden="false" customHeight="false" outlineLevel="0" collapsed="false">
      <c r="A275" s="38" t="s">
        <v>344</v>
      </c>
      <c r="B275" s="38" t="s">
        <v>395</v>
      </c>
      <c r="C275" s="38" t="s">
        <v>398</v>
      </c>
      <c r="D275" s="21" t="n">
        <f aca="false">ROUND(Q275*R275,0)</f>
        <v>354</v>
      </c>
      <c r="E275" s="21" t="n">
        <f aca="false">ROUND(Q275,0)-D275</f>
        <v>569</v>
      </c>
      <c r="F275" s="21" t="n">
        <f aca="false">IF(COUNTA(D275:E275)=0,"",SUM(D275:E275))</f>
        <v>923</v>
      </c>
      <c r="G275" s="39" t="n">
        <f aca="false">IF(OR(F275="",F275=0),"",D275/F275)</f>
        <v>0.38353196099675</v>
      </c>
      <c r="H275" s="39" t="n">
        <f aca="false">IF(OR(F275="",F275=0),"",E275/F275)</f>
        <v>0.61646803900325</v>
      </c>
      <c r="I275" s="38" t="s">
        <v>89</v>
      </c>
      <c r="J275" s="40" t="n">
        <v>2.05025038892674</v>
      </c>
      <c r="K275" s="39" t="n">
        <f aca="false">IF(G275="","",MAX(0,G275-J275/100))</f>
        <v>0.363029457107482</v>
      </c>
      <c r="L275" s="39" t="n">
        <f aca="false">IF(G275="","",MIN(1,G275+J275/100))</f>
        <v>0.404034464886017</v>
      </c>
      <c r="M275" s="21" t="n">
        <f aca="false">ROUND(Q275*S275,0)</f>
        <v>46</v>
      </c>
      <c r="N275" s="21" t="n">
        <f aca="false">ROUND(SQRT((F275*J275/100)^2+(G275*M275)^2),0)</f>
        <v>26</v>
      </c>
      <c r="P275" s="41" t="n">
        <v>-14.196124784542</v>
      </c>
      <c r="Q275" s="42" t="n">
        <v>923</v>
      </c>
      <c r="R275" s="43" t="n">
        <f aca="false">MAX(0,MIN(1,P275/100+$D$5))</f>
        <v>0.383257196881545</v>
      </c>
      <c r="S275" s="43" t="n">
        <v>0.0500321312575726</v>
      </c>
      <c r="T275" s="44" t="s">
        <v>99</v>
      </c>
    </row>
    <row r="276" customFormat="false" ht="15" hidden="false" customHeight="false" outlineLevel="0" collapsed="false">
      <c r="A276" s="38" t="s">
        <v>344</v>
      </c>
      <c r="B276" s="38" t="s">
        <v>399</v>
      </c>
      <c r="C276" s="38" t="s">
        <v>399</v>
      </c>
      <c r="D276" s="21" t="n">
        <f aca="false">ROUND(Q276*R276,0)</f>
        <v>33</v>
      </c>
      <c r="E276" s="21" t="n">
        <f aca="false">ROUND(Q276,0)-D276</f>
        <v>53</v>
      </c>
      <c r="F276" s="21" t="n">
        <f aca="false">IF(COUNTA(D276:E276)=0,"",SUM(D276:E276))</f>
        <v>86</v>
      </c>
      <c r="G276" s="39" t="n">
        <f aca="false">IF(OR(F276="",F276=0),"",D276/F276)</f>
        <v>0.383720930232558</v>
      </c>
      <c r="H276" s="39" t="n">
        <f aca="false">IF(OR(F276="",F276=0),"",E276/F276)</f>
        <v>0.616279069767442</v>
      </c>
      <c r="I276" s="38" t="s">
        <v>89</v>
      </c>
      <c r="J276" s="40" t="n">
        <v>3.45317612968717</v>
      </c>
      <c r="K276" s="39" t="n">
        <f aca="false">IF(G276="","",MAX(0,G276-J276/100))</f>
        <v>0.349189168935686</v>
      </c>
      <c r="L276" s="39" t="n">
        <f aca="false">IF(G276="","",MIN(1,G276+J276/100))</f>
        <v>0.41825269152943</v>
      </c>
      <c r="M276" s="21" t="n">
        <f aca="false">ROUND(Q276*S276,0)</f>
        <v>5</v>
      </c>
      <c r="N276" s="21" t="n">
        <f aca="false">ROUND(SQRT((F276*J276/100)^2+(G276*M276)^2),0)</f>
        <v>4</v>
      </c>
      <c r="P276" s="41" t="n">
        <v>-14.2836822494906</v>
      </c>
      <c r="Q276" s="42" t="n">
        <v>86</v>
      </c>
      <c r="R276" s="43" t="n">
        <f aca="false">MAX(0,MIN(1,P276/100+$D$5))</f>
        <v>0.382381622232059</v>
      </c>
      <c r="S276" s="43" t="n">
        <v>0.0610405690258335</v>
      </c>
      <c r="T276" s="44" t="s">
        <v>90</v>
      </c>
    </row>
    <row r="277" customFormat="false" ht="15" hidden="false" customHeight="false" outlineLevel="0" collapsed="false">
      <c r="A277" s="38" t="s">
        <v>344</v>
      </c>
      <c r="B277" s="38" t="s">
        <v>400</v>
      </c>
      <c r="C277" s="38" t="s">
        <v>401</v>
      </c>
      <c r="D277" s="21" t="n">
        <f aca="false">ROUND(Q277*R277,0)</f>
        <v>601</v>
      </c>
      <c r="E277" s="21" t="n">
        <f aca="false">ROUND(Q277,0)-D277</f>
        <v>690</v>
      </c>
      <c r="F277" s="21" t="n">
        <f aca="false">IF(COUNTA(D277:E277)=0,"",SUM(D277:E277))</f>
        <v>1291</v>
      </c>
      <c r="G277" s="39" t="n">
        <f aca="false">IF(OR(F277="",F277=0),"",D277/F277)</f>
        <v>0.465530596436871</v>
      </c>
      <c r="H277" s="39" t="n">
        <f aca="false">IF(OR(F277="",F277=0),"",E277/F277)</f>
        <v>0.534469403563129</v>
      </c>
      <c r="I277" s="38" t="s">
        <v>89</v>
      </c>
      <c r="J277" s="40" t="n">
        <v>1.25589305869883</v>
      </c>
      <c r="K277" s="39" t="n">
        <f aca="false">IF(G277="","",MAX(0,G277-J277/100))</f>
        <v>0.452971665849882</v>
      </c>
      <c r="L277" s="39" t="n">
        <f aca="false">IF(G277="","",MIN(1,G277+J277/100))</f>
        <v>0.478089527023859</v>
      </c>
      <c r="M277" s="21" t="n">
        <f aca="false">ROUND(Q277*S277,0)</f>
        <v>168</v>
      </c>
      <c r="N277" s="21" t="n">
        <f aca="false">ROUND(SQRT((F277*J277/100)^2+(G277*M277)^2),0)</f>
        <v>80</v>
      </c>
      <c r="P277" s="41" t="n">
        <v>-5.97689989958843</v>
      </c>
      <c r="Q277" s="42" t="n">
        <v>1291</v>
      </c>
      <c r="R277" s="43" t="n">
        <f aca="false">MAX(0,MIN(1,P277/100+$D$5))</f>
        <v>0.46544944573108</v>
      </c>
      <c r="S277" s="43" t="n">
        <v>0.130204099606216</v>
      </c>
      <c r="T277" s="44" t="s">
        <v>192</v>
      </c>
    </row>
    <row r="278" customFormat="false" ht="15" hidden="false" customHeight="false" outlineLevel="0" collapsed="false">
      <c r="A278" s="38" t="s">
        <v>344</v>
      </c>
      <c r="B278" s="38" t="s">
        <v>400</v>
      </c>
      <c r="C278" s="38" t="s">
        <v>402</v>
      </c>
      <c r="D278" s="21" t="n">
        <f aca="false">ROUND(Q278*R278,0)</f>
        <v>600</v>
      </c>
      <c r="E278" s="21" t="n">
        <f aca="false">ROUND(Q278,0)-D278</f>
        <v>626</v>
      </c>
      <c r="F278" s="21" t="n">
        <f aca="false">IF(COUNTA(D278:E278)=0,"",SUM(D278:E278))</f>
        <v>1226</v>
      </c>
      <c r="G278" s="39" t="n">
        <f aca="false">IF(OR(F278="",F278=0),"",D278/F278)</f>
        <v>0.489396411092985</v>
      </c>
      <c r="H278" s="39" t="n">
        <f aca="false">IF(OR(F278="",F278=0),"",E278/F278)</f>
        <v>0.510603588907015</v>
      </c>
      <c r="I278" s="38" t="s">
        <v>89</v>
      </c>
      <c r="J278" s="40" t="n">
        <v>1.25589305869883</v>
      </c>
      <c r="K278" s="39" t="n">
        <f aca="false">IF(G278="","",MAX(0,G278-J278/100))</f>
        <v>0.476837480505997</v>
      </c>
      <c r="L278" s="39" t="n">
        <f aca="false">IF(G278="","",MIN(1,G278+J278/100))</f>
        <v>0.501955341679974</v>
      </c>
      <c r="M278" s="21" t="n">
        <f aca="false">ROUND(Q278*S278,0)</f>
        <v>160</v>
      </c>
      <c r="N278" s="21" t="n">
        <f aca="false">ROUND(SQRT((F278*J278/100)^2+(G278*M278)^2),0)</f>
        <v>80</v>
      </c>
      <c r="P278" s="41" t="n">
        <v>-3.57784979656802</v>
      </c>
      <c r="Q278" s="42" t="n">
        <v>1226</v>
      </c>
      <c r="R278" s="43" t="n">
        <f aca="false">MAX(0,MIN(1,P278/100+$D$5))</f>
        <v>0.489439946761284</v>
      </c>
      <c r="S278" s="43" t="n">
        <v>0.130204099606216</v>
      </c>
      <c r="T278" s="44" t="s">
        <v>192</v>
      </c>
    </row>
    <row r="279" customFormat="false" ht="15" hidden="false" customHeight="false" outlineLevel="0" collapsed="false">
      <c r="A279" s="38" t="s">
        <v>344</v>
      </c>
      <c r="B279" s="38" t="s">
        <v>403</v>
      </c>
      <c r="C279" s="38" t="s">
        <v>403</v>
      </c>
      <c r="D279" s="21" t="n">
        <f aca="false">ROUND(Q279*R279,0)</f>
        <v>153</v>
      </c>
      <c r="E279" s="21" t="n">
        <f aca="false">ROUND(Q279,0)-D279</f>
        <v>198</v>
      </c>
      <c r="F279" s="21" t="n">
        <f aca="false">IF(COUNTA(D279:E279)=0,"",SUM(D279:E279))</f>
        <v>351</v>
      </c>
      <c r="G279" s="39" t="n">
        <f aca="false">IF(OR(F279="",F279=0),"",D279/F279)</f>
        <v>0.435897435897436</v>
      </c>
      <c r="H279" s="39" t="n">
        <f aca="false">IF(OR(F279="",F279=0),"",E279/F279)</f>
        <v>0.564102564102564</v>
      </c>
      <c r="I279" s="38" t="s">
        <v>89</v>
      </c>
      <c r="J279" s="40" t="n">
        <v>3.45317612968717</v>
      </c>
      <c r="K279" s="39" t="n">
        <f aca="false">IF(G279="","",MAX(0,G279-J279/100))</f>
        <v>0.401365674600564</v>
      </c>
      <c r="L279" s="39" t="n">
        <f aca="false">IF(G279="","",MIN(1,G279+J279/100))</f>
        <v>0.470429197194308</v>
      </c>
      <c r="M279" s="21" t="n">
        <f aca="false">ROUND(Q279*S279,0)</f>
        <v>21</v>
      </c>
      <c r="N279" s="21" t="n">
        <f aca="false">ROUND(SQRT((F279*J279/100)^2+(G279*M279)^2),0)</f>
        <v>15</v>
      </c>
      <c r="P279" s="41" t="n">
        <v>-8.97938404435849</v>
      </c>
      <c r="Q279" s="42" t="n">
        <v>351</v>
      </c>
      <c r="R279" s="43" t="n">
        <f aca="false">MAX(0,MIN(1,P279/100+$D$5))</f>
        <v>0.43542460428338</v>
      </c>
      <c r="S279" s="43" t="n">
        <v>0.0610405690258335</v>
      </c>
      <c r="T279" s="44" t="s">
        <v>90</v>
      </c>
    </row>
    <row r="280" customFormat="false" ht="15" hidden="false" customHeight="false" outlineLevel="0" collapsed="false">
      <c r="A280" s="38" t="s">
        <v>344</v>
      </c>
      <c r="B280" s="38" t="s">
        <v>404</v>
      </c>
      <c r="C280" s="38" t="s">
        <v>405</v>
      </c>
      <c r="D280" s="21" t="n">
        <f aca="false">ROUND(Q280*R280,0)</f>
        <v>464</v>
      </c>
      <c r="E280" s="21" t="n">
        <f aca="false">ROUND(Q280,0)-D280</f>
        <v>265</v>
      </c>
      <c r="F280" s="21" t="n">
        <f aca="false">IF(COUNTA(D280:E280)=0,"",SUM(D280:E280))</f>
        <v>729</v>
      </c>
      <c r="G280" s="39" t="n">
        <f aca="false">IF(OR(F280="",F280=0),"",D280/F280)</f>
        <v>0.636488340192044</v>
      </c>
      <c r="H280" s="39" t="n">
        <f aca="false">IF(OR(F280="",F280=0),"",E280/F280)</f>
        <v>0.363511659807956</v>
      </c>
      <c r="I280" s="38" t="s">
        <v>190</v>
      </c>
      <c r="J280" s="40" t="n">
        <v>3.45317612968717</v>
      </c>
      <c r="K280" s="39" t="n">
        <f aca="false">IF(G280="","",MAX(0,G280-J280/100))</f>
        <v>0.601956578895172</v>
      </c>
      <c r="L280" s="39" t="n">
        <f aca="false">IF(G280="","",MIN(1,G280+J280/100))</f>
        <v>0.671020101488916</v>
      </c>
      <c r="M280" s="21" t="n">
        <f aca="false">ROUND(Q280*S280,0)</f>
        <v>44</v>
      </c>
      <c r="N280" s="21" t="n">
        <f aca="false">ROUND(SQRT((F280*J280/100)^2+(G280*M280)^2),0)</f>
        <v>38</v>
      </c>
      <c r="P280" s="41" t="n">
        <v>11.200220435565</v>
      </c>
      <c r="Q280" s="42" t="n">
        <v>728.725186006016</v>
      </c>
      <c r="R280" s="43" t="n">
        <f aca="false">MAX(0,MIN(1,P280/100+$D$5))</f>
        <v>0.637220649082615</v>
      </c>
      <c r="S280" s="43" t="n">
        <v>0.0610405690258335</v>
      </c>
      <c r="T280" s="44" t="s">
        <v>90</v>
      </c>
    </row>
    <row r="281" customFormat="false" ht="15" hidden="false" customHeight="false" outlineLevel="0" collapsed="false">
      <c r="A281" s="38" t="s">
        <v>344</v>
      </c>
      <c r="B281" s="38" t="s">
        <v>404</v>
      </c>
      <c r="C281" s="38" t="s">
        <v>406</v>
      </c>
      <c r="D281" s="21" t="n">
        <f aca="false">ROUND(Q281*R281,0)</f>
        <v>302</v>
      </c>
      <c r="E281" s="21" t="n">
        <f aca="false">ROUND(Q281,0)-D281</f>
        <v>154</v>
      </c>
      <c r="F281" s="21" t="n">
        <f aca="false">IF(COUNTA(D281:E281)=0,"",SUM(D281:E281))</f>
        <v>456</v>
      </c>
      <c r="G281" s="39" t="n">
        <f aca="false">IF(OR(F281="",F281=0),"",D281/F281)</f>
        <v>0.662280701754386</v>
      </c>
      <c r="H281" s="39" t="n">
        <f aca="false">IF(OR(F281="",F281=0),"",E281/F281)</f>
        <v>0.337719298245614</v>
      </c>
      <c r="I281" s="38" t="s">
        <v>89</v>
      </c>
      <c r="J281" s="40" t="n">
        <v>3.45317612968717</v>
      </c>
      <c r="K281" s="39" t="n">
        <f aca="false">IF(G281="","",MAX(0,G281-J281/100))</f>
        <v>0.627748940457514</v>
      </c>
      <c r="L281" s="39" t="n">
        <f aca="false">IF(G281="","",MIN(1,G281+J281/100))</f>
        <v>0.696812463051258</v>
      </c>
      <c r="M281" s="21" t="n">
        <f aca="false">ROUND(Q281*S281,0)</f>
        <v>28</v>
      </c>
      <c r="N281" s="21" t="n">
        <f aca="false">ROUND(SQRT((F281*J281/100)^2+(G281*M281)^2),0)</f>
        <v>24</v>
      </c>
      <c r="P281" s="41" t="n">
        <v>13.8063844372105</v>
      </c>
      <c r="Q281" s="42" t="n">
        <v>456</v>
      </c>
      <c r="R281" s="43" t="n">
        <f aca="false">MAX(0,MIN(1,P281/100+$D$5))</f>
        <v>0.663282289099069</v>
      </c>
      <c r="S281" s="43" t="n">
        <v>0.0610405690258335</v>
      </c>
      <c r="T281" s="44" t="s">
        <v>90</v>
      </c>
    </row>
    <row r="282" customFormat="false" ht="15" hidden="false" customHeight="false" outlineLevel="0" collapsed="false">
      <c r="A282" s="38" t="s">
        <v>344</v>
      </c>
      <c r="B282" s="38" t="s">
        <v>404</v>
      </c>
      <c r="C282" s="38" t="s">
        <v>407</v>
      </c>
      <c r="D282" s="21" t="n">
        <f aca="false">ROUND(Q282*R282,0)</f>
        <v>363</v>
      </c>
      <c r="E282" s="21" t="n">
        <f aca="false">ROUND(Q282,0)-D282</f>
        <v>127</v>
      </c>
      <c r="F282" s="21" t="n">
        <f aca="false">IF(COUNTA(D282:E282)=0,"",SUM(D282:E282))</f>
        <v>490</v>
      </c>
      <c r="G282" s="39" t="n">
        <f aca="false">IF(OR(F282="",F282=0),"",D282/F282)</f>
        <v>0.740816326530612</v>
      </c>
      <c r="H282" s="39" t="n">
        <f aca="false">IF(OR(F282="",F282=0),"",E282/F282)</f>
        <v>0.259183673469388</v>
      </c>
      <c r="I282" s="38" t="s">
        <v>89</v>
      </c>
      <c r="J282" s="40" t="n">
        <v>3.45317612968717</v>
      </c>
      <c r="K282" s="39" t="n">
        <f aca="false">IF(G282="","",MAX(0,G282-J282/100))</f>
        <v>0.706284565233741</v>
      </c>
      <c r="L282" s="39" t="n">
        <f aca="false">IF(G282="","",MIN(1,G282+J282/100))</f>
        <v>0.775348087827484</v>
      </c>
      <c r="M282" s="21" t="n">
        <f aca="false">ROUND(Q282*S282,0)</f>
        <v>30</v>
      </c>
      <c r="N282" s="21" t="n">
        <f aca="false">ROUND(SQRT((F282*J282/100)^2+(G282*M282)^2),0)</f>
        <v>28</v>
      </c>
      <c r="P282" s="41" t="n">
        <v>21.6347433925671</v>
      </c>
      <c r="Q282" s="42" t="n">
        <v>490</v>
      </c>
      <c r="R282" s="43" t="n">
        <f aca="false">MAX(0,MIN(1,P282/100+$D$5))</f>
        <v>0.741565878652636</v>
      </c>
      <c r="S282" s="43" t="n">
        <v>0.0610405690258335</v>
      </c>
      <c r="T282" s="44" t="s">
        <v>90</v>
      </c>
    </row>
    <row r="283" customFormat="false" ht="15" hidden="false" customHeight="false" outlineLevel="0" collapsed="false">
      <c r="A283" s="38" t="s">
        <v>344</v>
      </c>
      <c r="B283" s="38" t="s">
        <v>404</v>
      </c>
      <c r="C283" s="38" t="s">
        <v>408</v>
      </c>
      <c r="D283" s="21" t="n">
        <f aca="false">ROUND(Q283*R283,0)</f>
        <v>661</v>
      </c>
      <c r="E283" s="21" t="n">
        <f aca="false">ROUND(Q283,0)-D283</f>
        <v>205</v>
      </c>
      <c r="F283" s="21" t="n">
        <f aca="false">IF(COUNTA(D283:E283)=0,"",SUM(D283:E283))</f>
        <v>866</v>
      </c>
      <c r="G283" s="39" t="n">
        <f aca="false">IF(OR(F283="",F283=0),"",D283/F283)</f>
        <v>0.763279445727483</v>
      </c>
      <c r="H283" s="39" t="n">
        <f aca="false">IF(OR(F283="",F283=0),"",E283/F283)</f>
        <v>0.236720554272517</v>
      </c>
      <c r="I283" s="38" t="s">
        <v>89</v>
      </c>
      <c r="J283" s="40" t="n">
        <v>2.05025038892674</v>
      </c>
      <c r="K283" s="39" t="n">
        <f aca="false">IF(G283="","",MAX(0,G283-J283/100))</f>
        <v>0.742776941838215</v>
      </c>
      <c r="L283" s="39" t="n">
        <f aca="false">IF(G283="","",MIN(1,G283+J283/100))</f>
        <v>0.78378194961675</v>
      </c>
      <c r="M283" s="21" t="n">
        <f aca="false">ROUND(Q283*S283,0)</f>
        <v>43</v>
      </c>
      <c r="N283" s="21" t="n">
        <f aca="false">ROUND(SQRT((F283*J283/100)^2+(G283*M283)^2),0)</f>
        <v>37</v>
      </c>
      <c r="P283" s="41" t="n">
        <v>23.8089960544295</v>
      </c>
      <c r="Q283" s="42" t="n">
        <v>866</v>
      </c>
      <c r="R283" s="43" t="n">
        <f aca="false">MAX(0,MIN(1,P283/100+$D$5))</f>
        <v>0.763308405271259</v>
      </c>
      <c r="S283" s="43" t="n">
        <v>0.0500321312575726</v>
      </c>
      <c r="T283" s="44" t="s">
        <v>99</v>
      </c>
    </row>
    <row r="284" customFormat="false" ht="15" hidden="false" customHeight="false" outlineLevel="0" collapsed="false">
      <c r="A284" s="38" t="s">
        <v>344</v>
      </c>
      <c r="B284" s="38" t="s">
        <v>404</v>
      </c>
      <c r="C284" s="38" t="s">
        <v>409</v>
      </c>
      <c r="D284" s="21" t="n">
        <f aca="false">ROUND(Q284*R284,0)</f>
        <v>432</v>
      </c>
      <c r="E284" s="21" t="n">
        <f aca="false">ROUND(Q284,0)-D284</f>
        <v>104</v>
      </c>
      <c r="F284" s="21" t="n">
        <f aca="false">IF(COUNTA(D284:E284)=0,"",SUM(D284:E284))</f>
        <v>536</v>
      </c>
      <c r="G284" s="39" t="n">
        <f aca="false">IF(OR(F284="",F284=0),"",D284/F284)</f>
        <v>0.805970149253731</v>
      </c>
      <c r="H284" s="39" t="n">
        <f aca="false">IF(OR(F284="",F284=0),"",E284/F284)</f>
        <v>0.194029850746269</v>
      </c>
      <c r="I284" s="38" t="s">
        <v>89</v>
      </c>
      <c r="J284" s="40" t="n">
        <v>3.45317612968717</v>
      </c>
      <c r="K284" s="39" t="n">
        <f aca="false">IF(G284="","",MAX(0,G284-J284/100))</f>
        <v>0.77143838795686</v>
      </c>
      <c r="L284" s="39" t="n">
        <f aca="false">IF(G284="","",MIN(1,G284+J284/100))</f>
        <v>0.840501910550603</v>
      </c>
      <c r="M284" s="21" t="n">
        <f aca="false">ROUND(Q284*S284,0)</f>
        <v>33</v>
      </c>
      <c r="N284" s="21" t="n">
        <f aca="false">ROUND(SQRT((F284*J284/100)^2+(G284*M284)^2),0)</f>
        <v>32</v>
      </c>
      <c r="P284" s="41" t="n">
        <v>28.1083741038508</v>
      </c>
      <c r="Q284" s="42" t="n">
        <v>536</v>
      </c>
      <c r="R284" s="43" t="n">
        <f aca="false">MAX(0,MIN(1,P284/100+$D$5))</f>
        <v>0.806302185765473</v>
      </c>
      <c r="S284" s="43" t="n">
        <v>0.0610405690258335</v>
      </c>
      <c r="T284" s="44" t="s">
        <v>90</v>
      </c>
    </row>
    <row r="285" customFormat="false" ht="15" hidden="false" customHeight="false" outlineLevel="0" collapsed="false">
      <c r="A285" s="38" t="s">
        <v>344</v>
      </c>
      <c r="B285" s="38" t="s">
        <v>404</v>
      </c>
      <c r="C285" s="38" t="s">
        <v>410</v>
      </c>
      <c r="D285" s="21" t="n">
        <f aca="false">ROUND(Q285*R285,0)</f>
        <v>491</v>
      </c>
      <c r="E285" s="21" t="n">
        <f aca="false">ROUND(Q285,0)-D285</f>
        <v>188</v>
      </c>
      <c r="F285" s="21" t="n">
        <f aca="false">IF(COUNTA(D285:E285)=0,"",SUM(D285:E285))</f>
        <v>679</v>
      </c>
      <c r="G285" s="39" t="n">
        <f aca="false">IF(OR(F285="",F285=0),"",D285/F285)</f>
        <v>0.723122238586156</v>
      </c>
      <c r="H285" s="39" t="n">
        <f aca="false">IF(OR(F285="",F285=0),"",E285/F285)</f>
        <v>0.276877761413844</v>
      </c>
      <c r="I285" s="38" t="s">
        <v>89</v>
      </c>
      <c r="J285" s="40" t="n">
        <v>3.45317612968717</v>
      </c>
      <c r="K285" s="39" t="n">
        <f aca="false">IF(G285="","",MAX(0,G285-J285/100))</f>
        <v>0.688590477289285</v>
      </c>
      <c r="L285" s="39" t="n">
        <f aca="false">IF(G285="","",MIN(1,G285+J285/100))</f>
        <v>0.757653999883028</v>
      </c>
      <c r="M285" s="21" t="n">
        <f aca="false">ROUND(Q285*S285,0)</f>
        <v>41</v>
      </c>
      <c r="N285" s="21" t="n">
        <f aca="false">ROUND(SQRT((F285*J285/100)^2+(G285*M285)^2),0)</f>
        <v>38</v>
      </c>
      <c r="P285" s="41" t="n">
        <v>19.7867728849597</v>
      </c>
      <c r="Q285" s="42" t="n">
        <v>679</v>
      </c>
      <c r="R285" s="43" t="n">
        <f aca="false">MAX(0,MIN(1,P285/100+$D$5))</f>
        <v>0.723086173576562</v>
      </c>
      <c r="S285" s="43" t="n">
        <v>0.0610405690258335</v>
      </c>
      <c r="T285" s="44" t="s">
        <v>90</v>
      </c>
    </row>
    <row r="286" customFormat="false" ht="15" hidden="false" customHeight="false" outlineLevel="0" collapsed="false">
      <c r="A286" s="38" t="s">
        <v>344</v>
      </c>
      <c r="B286" s="38" t="s">
        <v>404</v>
      </c>
      <c r="C286" s="38" t="s">
        <v>411</v>
      </c>
      <c r="D286" s="21" t="n">
        <f aca="false">ROUND(Q286*R286,0)</f>
        <v>365</v>
      </c>
      <c r="E286" s="21" t="n">
        <f aca="false">ROUND(Q286,0)-D286</f>
        <v>154</v>
      </c>
      <c r="F286" s="21" t="n">
        <f aca="false">IF(COUNTA(D286:E286)=0,"",SUM(D286:E286))</f>
        <v>519</v>
      </c>
      <c r="G286" s="39" t="n">
        <f aca="false">IF(OR(F286="",F286=0),"",D286/F286)</f>
        <v>0.703275529865125</v>
      </c>
      <c r="H286" s="39" t="n">
        <f aca="false">IF(OR(F286="",F286=0),"",E286/F286)</f>
        <v>0.296724470134875</v>
      </c>
      <c r="I286" s="38" t="s">
        <v>89</v>
      </c>
      <c r="J286" s="40" t="n">
        <v>3.45317612968717</v>
      </c>
      <c r="K286" s="39" t="n">
        <f aca="false">IF(G286="","",MAX(0,G286-J286/100))</f>
        <v>0.668743768568254</v>
      </c>
      <c r="L286" s="39" t="n">
        <f aca="false">IF(G286="","",MIN(1,G286+J286/100))</f>
        <v>0.737807291161997</v>
      </c>
      <c r="M286" s="21" t="n">
        <f aca="false">ROUND(Q286*S286,0)</f>
        <v>32</v>
      </c>
      <c r="N286" s="21" t="n">
        <f aca="false">ROUND(SQRT((F286*J286/100)^2+(G286*M286)^2),0)</f>
        <v>29</v>
      </c>
      <c r="P286" s="41" t="n">
        <v>17.7487429497426</v>
      </c>
      <c r="Q286" s="42" t="n">
        <v>519</v>
      </c>
      <c r="R286" s="43" t="n">
        <f aca="false">MAX(0,MIN(1,P286/100+$D$5))</f>
        <v>0.702705874224391</v>
      </c>
      <c r="S286" s="43" t="n">
        <v>0.0610405690258335</v>
      </c>
      <c r="T286" s="44" t="s">
        <v>90</v>
      </c>
    </row>
    <row r="287" customFormat="false" ht="15" hidden="false" customHeight="false" outlineLevel="0" collapsed="false">
      <c r="A287" s="38" t="s">
        <v>344</v>
      </c>
      <c r="B287" s="38" t="s">
        <v>404</v>
      </c>
      <c r="C287" s="38" t="s">
        <v>412</v>
      </c>
      <c r="D287" s="21" t="n">
        <f aca="false">ROUND(Q287*R287,0)</f>
        <v>159</v>
      </c>
      <c r="E287" s="21" t="n">
        <f aca="false">ROUND(Q287,0)-D287</f>
        <v>53</v>
      </c>
      <c r="F287" s="21" t="n">
        <f aca="false">IF(COUNTA(D287:E287)=0,"",SUM(D287:E287))</f>
        <v>212</v>
      </c>
      <c r="G287" s="39" t="n">
        <f aca="false">IF(OR(F287="",F287=0),"",D287/F287)</f>
        <v>0.75</v>
      </c>
      <c r="H287" s="39" t="n">
        <f aca="false">IF(OR(F287="",F287=0),"",E287/F287)</f>
        <v>0.25</v>
      </c>
      <c r="I287" s="38" t="s">
        <v>89</v>
      </c>
      <c r="J287" s="40" t="n">
        <v>3.45317612968717</v>
      </c>
      <c r="K287" s="39" t="n">
        <f aca="false">IF(G287="","",MAX(0,G287-J287/100))</f>
        <v>0.715468238703128</v>
      </c>
      <c r="L287" s="39" t="n">
        <f aca="false">IF(G287="","",MIN(1,G287+J287/100))</f>
        <v>0.784531761296872</v>
      </c>
      <c r="M287" s="21" t="n">
        <f aca="false">ROUND(Q287*S287,0)</f>
        <v>13</v>
      </c>
      <c r="N287" s="21" t="n">
        <f aca="false">ROUND(SQRT((F287*J287/100)^2+(G287*M287)^2),0)</f>
        <v>12</v>
      </c>
      <c r="P287" s="41" t="n">
        <v>22.5105177760612</v>
      </c>
      <c r="Q287" s="42" t="n">
        <v>212</v>
      </c>
      <c r="R287" s="43" t="n">
        <f aca="false">MAX(0,MIN(1,P287/100+$D$5))</f>
        <v>0.750323622487577</v>
      </c>
      <c r="S287" s="43" t="n">
        <v>0.0610405690258335</v>
      </c>
      <c r="T287" s="44" t="s">
        <v>90</v>
      </c>
    </row>
    <row r="288" customFormat="false" ht="15" hidden="false" customHeight="false" outlineLevel="0" collapsed="false">
      <c r="A288" s="38" t="s">
        <v>344</v>
      </c>
      <c r="B288" s="38" t="s">
        <v>404</v>
      </c>
      <c r="C288" s="38" t="s">
        <v>413</v>
      </c>
      <c r="D288" s="21" t="n">
        <f aca="false">ROUND(Q288*R288,0)</f>
        <v>242</v>
      </c>
      <c r="E288" s="21" t="n">
        <f aca="false">ROUND(Q288,0)-D288</f>
        <v>82</v>
      </c>
      <c r="F288" s="21" t="n">
        <f aca="false">IF(COUNTA(D288:E288)=0,"",SUM(D288:E288))</f>
        <v>324</v>
      </c>
      <c r="G288" s="39" t="n">
        <f aca="false">IF(OR(F288="",F288=0),"",D288/F288)</f>
        <v>0.746913580246914</v>
      </c>
      <c r="H288" s="39" t="n">
        <f aca="false">IF(OR(F288="",F288=0),"",E288/F288)</f>
        <v>0.253086419753086</v>
      </c>
      <c r="I288" s="38" t="s">
        <v>89</v>
      </c>
      <c r="J288" s="40" t="n">
        <v>3.45317612968717</v>
      </c>
      <c r="K288" s="39" t="n">
        <f aca="false">IF(G288="","",MAX(0,G288-J288/100))</f>
        <v>0.712381818950042</v>
      </c>
      <c r="L288" s="39" t="n">
        <f aca="false">IF(G288="","",MIN(1,G288+J288/100))</f>
        <v>0.781445341543785</v>
      </c>
      <c r="M288" s="21" t="n">
        <f aca="false">ROUND(Q288*S288,0)</f>
        <v>20</v>
      </c>
      <c r="N288" s="21" t="n">
        <f aca="false">ROUND(SQRT((F288*J288/100)^2+(G288*M288)^2),0)</f>
        <v>19</v>
      </c>
      <c r="P288" s="41" t="n">
        <v>22.1435974614724</v>
      </c>
      <c r="Q288" s="42" t="n">
        <v>324</v>
      </c>
      <c r="R288" s="43" t="n">
        <f aca="false">MAX(0,MIN(1,P288/100+$D$5))</f>
        <v>0.746654419341689</v>
      </c>
      <c r="S288" s="43" t="n">
        <v>0.0610405690258335</v>
      </c>
      <c r="T288" s="44" t="s">
        <v>90</v>
      </c>
    </row>
    <row r="289" customFormat="false" ht="15" hidden="false" customHeight="false" outlineLevel="0" collapsed="false">
      <c r="A289" s="38" t="s">
        <v>344</v>
      </c>
      <c r="B289" s="38" t="s">
        <v>404</v>
      </c>
      <c r="C289" s="38" t="s">
        <v>414</v>
      </c>
      <c r="D289" s="21" t="n">
        <f aca="false">ROUND(Q289*R289,0)</f>
        <v>246</v>
      </c>
      <c r="E289" s="21" t="n">
        <f aca="false">ROUND(Q289,0)-D289</f>
        <v>98</v>
      </c>
      <c r="F289" s="21" t="n">
        <f aca="false">IF(COUNTA(D289:E289)=0,"",SUM(D289:E289))</f>
        <v>344</v>
      </c>
      <c r="G289" s="39" t="n">
        <f aca="false">IF(OR(F289="",F289=0),"",D289/F289)</f>
        <v>0.715116279069768</v>
      </c>
      <c r="H289" s="39" t="n">
        <f aca="false">IF(OR(F289="",F289=0),"",E289/F289)</f>
        <v>0.284883720930233</v>
      </c>
      <c r="I289" s="38" t="s">
        <v>89</v>
      </c>
      <c r="J289" s="40" t="n">
        <v>3.45317612968717</v>
      </c>
      <c r="K289" s="39" t="n">
        <f aca="false">IF(G289="","",MAX(0,G289-J289/100))</f>
        <v>0.680584517772896</v>
      </c>
      <c r="L289" s="39" t="n">
        <f aca="false">IF(G289="","",MIN(1,G289+J289/100))</f>
        <v>0.749648040366639</v>
      </c>
      <c r="M289" s="21" t="n">
        <f aca="false">ROUND(Q289*S289,0)</f>
        <v>21</v>
      </c>
      <c r="N289" s="21" t="n">
        <f aca="false">ROUND(SQRT((F289*J289/100)^2+(G289*M289)^2),0)</f>
        <v>19</v>
      </c>
      <c r="P289" s="41" t="n">
        <v>19.0746251412861</v>
      </c>
      <c r="Q289" s="42" t="n">
        <v>344</v>
      </c>
      <c r="R289" s="43" t="n">
        <f aca="false">MAX(0,MIN(1,P289/100+$D$5))</f>
        <v>0.715964696139826</v>
      </c>
      <c r="S289" s="43" t="n">
        <v>0.0610405690258335</v>
      </c>
      <c r="T289" s="44" t="s">
        <v>90</v>
      </c>
    </row>
    <row r="290" customFormat="false" ht="15" hidden="false" customHeight="false" outlineLevel="0" collapsed="false">
      <c r="A290" s="38" t="s">
        <v>344</v>
      </c>
      <c r="B290" s="38" t="s">
        <v>404</v>
      </c>
      <c r="C290" s="38" t="s">
        <v>415</v>
      </c>
      <c r="D290" s="21" t="n">
        <f aca="false">ROUND(Q290*R290,0)</f>
        <v>478</v>
      </c>
      <c r="E290" s="21" t="n">
        <f aca="false">ROUND(Q290,0)-D290</f>
        <v>254</v>
      </c>
      <c r="F290" s="21" t="n">
        <f aca="false">IF(COUNTA(D290:E290)=0,"",SUM(D290:E290))</f>
        <v>732</v>
      </c>
      <c r="G290" s="39" t="n">
        <f aca="false">IF(OR(F290="",F290=0),"",D290/F290)</f>
        <v>0.653005464480874</v>
      </c>
      <c r="H290" s="39" t="n">
        <f aca="false">IF(OR(F290="",F290=0),"",E290/F290)</f>
        <v>0.346994535519126</v>
      </c>
      <c r="I290" s="38" t="s">
        <v>190</v>
      </c>
      <c r="J290" s="40" t="n">
        <v>3.45317612968717</v>
      </c>
      <c r="K290" s="39" t="n">
        <f aca="false">IF(G290="","",MAX(0,G290-J290/100))</f>
        <v>0.618473703184003</v>
      </c>
      <c r="L290" s="39" t="n">
        <f aca="false">IF(G290="","",MIN(1,G290+J290/100))</f>
        <v>0.687537225777746</v>
      </c>
      <c r="M290" s="21" t="n">
        <f aca="false">ROUND(Q290*S290,0)</f>
        <v>45</v>
      </c>
      <c r="N290" s="21" t="n">
        <f aca="false">ROUND(SQRT((F290*J290/100)^2+(G290*M290)^2),0)</f>
        <v>39</v>
      </c>
      <c r="P290" s="41" t="n">
        <v>12.8154130222645</v>
      </c>
      <c r="Q290" s="42" t="n">
        <v>732.093715371221</v>
      </c>
      <c r="R290" s="43" t="n">
        <f aca="false">MAX(0,MIN(1,P290/100+$D$5))</f>
        <v>0.65337257494961</v>
      </c>
      <c r="S290" s="43" t="n">
        <v>0.0610405690258335</v>
      </c>
      <c r="T290" s="44" t="s">
        <v>90</v>
      </c>
    </row>
    <row r="291" customFormat="false" ht="15" hidden="false" customHeight="false" outlineLevel="0" collapsed="false">
      <c r="A291" s="38" t="s">
        <v>344</v>
      </c>
      <c r="B291" s="38" t="s">
        <v>404</v>
      </c>
      <c r="C291" s="38" t="s">
        <v>416</v>
      </c>
      <c r="D291" s="21" t="n">
        <f aca="false">ROUND(Q291*R291,0)</f>
        <v>649</v>
      </c>
      <c r="E291" s="21" t="n">
        <f aca="false">ROUND(Q291,0)-D291</f>
        <v>255</v>
      </c>
      <c r="F291" s="21" t="n">
        <f aca="false">IF(COUNTA(D291:E291)=0,"",SUM(D291:E291))</f>
        <v>904</v>
      </c>
      <c r="G291" s="39" t="n">
        <f aca="false">IF(OR(F291="",F291=0),"",D291/F291)</f>
        <v>0.717920353982301</v>
      </c>
      <c r="H291" s="39" t="n">
        <f aca="false">IF(OR(F291="",F291=0),"",E291/F291)</f>
        <v>0.282079646017699</v>
      </c>
      <c r="I291" s="38" t="s">
        <v>89</v>
      </c>
      <c r="J291" s="40" t="n">
        <v>2.05025038892674</v>
      </c>
      <c r="K291" s="39" t="n">
        <f aca="false">IF(G291="","",MAX(0,G291-J291/100))</f>
        <v>0.697417850093034</v>
      </c>
      <c r="L291" s="39" t="n">
        <f aca="false">IF(G291="","",MIN(1,G291+J291/100))</f>
        <v>0.738422857871568</v>
      </c>
      <c r="M291" s="21" t="n">
        <f aca="false">ROUND(Q291*S291,0)</f>
        <v>45</v>
      </c>
      <c r="N291" s="21" t="n">
        <f aca="false">ROUND(SQRT((F291*J291/100)^2+(G291*M291)^2),0)</f>
        <v>37</v>
      </c>
      <c r="P291" s="41" t="n">
        <v>19.2236221911227</v>
      </c>
      <c r="Q291" s="42" t="n">
        <v>904</v>
      </c>
      <c r="R291" s="43" t="n">
        <f aca="false">MAX(0,MIN(1,P291/100+$D$5))</f>
        <v>0.717454666638192</v>
      </c>
      <c r="S291" s="43" t="n">
        <v>0.0500321312575726</v>
      </c>
      <c r="T291" s="44" t="s">
        <v>99</v>
      </c>
    </row>
    <row r="292" customFormat="false" ht="15" hidden="false" customHeight="false" outlineLevel="0" collapsed="false">
      <c r="A292" s="38" t="s">
        <v>344</v>
      </c>
      <c r="B292" s="38" t="s">
        <v>417</v>
      </c>
      <c r="C292" s="38" t="s">
        <v>418</v>
      </c>
      <c r="D292" s="21" t="n">
        <f aca="false">ROUND(Q292*R292,0)</f>
        <v>1152</v>
      </c>
      <c r="E292" s="21" t="n">
        <f aca="false">ROUND(Q292,0)-D292</f>
        <v>1005</v>
      </c>
      <c r="F292" s="21" t="n">
        <f aca="false">IF(COUNTA(D292:E292)=0,"",SUM(D292:E292))</f>
        <v>2157</v>
      </c>
      <c r="G292" s="39" t="n">
        <f aca="false">IF(OR(F292="",F292=0),"",D292/F292)</f>
        <v>0.534075104311544</v>
      </c>
      <c r="H292" s="39" t="n">
        <f aca="false">IF(OR(F292="",F292=0),"",E292/F292)</f>
        <v>0.465924895688456</v>
      </c>
      <c r="I292" s="38" t="s">
        <v>89</v>
      </c>
      <c r="J292" s="40" t="n">
        <v>1.25589305869883</v>
      </c>
      <c r="K292" s="39" t="n">
        <f aca="false">IF(G292="","",MAX(0,G292-J292/100))</f>
        <v>0.521516173724556</v>
      </c>
      <c r="L292" s="39" t="n">
        <f aca="false">IF(G292="","",MIN(1,G292+J292/100))</f>
        <v>0.546634034898532</v>
      </c>
      <c r="M292" s="21" t="n">
        <f aca="false">ROUND(Q292*S292,0)</f>
        <v>281</v>
      </c>
      <c r="N292" s="21" t="n">
        <f aca="false">ROUND(SQRT((F292*J292/100)^2+(G292*M292)^2),0)</f>
        <v>153</v>
      </c>
      <c r="P292" s="41" t="n">
        <v>0.88047194375991</v>
      </c>
      <c r="Q292" s="42" t="n">
        <v>2157</v>
      </c>
      <c r="R292" s="43" t="n">
        <f aca="false">MAX(0,MIN(1,P292/100+$D$5))</f>
        <v>0.534023164164564</v>
      </c>
      <c r="S292" s="43" t="n">
        <v>0.130204099606216</v>
      </c>
      <c r="T292" s="44" t="s">
        <v>192</v>
      </c>
    </row>
    <row r="293" customFormat="false" ht="15" hidden="false" customHeight="false" outlineLevel="0" collapsed="false">
      <c r="A293" s="38" t="s">
        <v>344</v>
      </c>
      <c r="B293" s="38" t="s">
        <v>417</v>
      </c>
      <c r="C293" s="38" t="s">
        <v>419</v>
      </c>
      <c r="D293" s="21" t="n">
        <f aca="false">ROUND(Q293*R293,0)</f>
        <v>552</v>
      </c>
      <c r="E293" s="21" t="n">
        <f aca="false">ROUND(Q293,0)-D293</f>
        <v>515</v>
      </c>
      <c r="F293" s="21" t="n">
        <f aca="false">IF(COUNTA(D293:E293)=0,"",SUM(D293:E293))</f>
        <v>1067</v>
      </c>
      <c r="G293" s="39" t="n">
        <f aca="false">IF(OR(F293="",F293=0),"",D293/F293)</f>
        <v>0.517338331771322</v>
      </c>
      <c r="H293" s="39" t="n">
        <f aca="false">IF(OR(F293="",F293=0),"",E293/F293)</f>
        <v>0.482661668228679</v>
      </c>
      <c r="I293" s="38" t="s">
        <v>190</v>
      </c>
      <c r="J293" s="40" t="n">
        <v>2.05025038892674</v>
      </c>
      <c r="K293" s="39" t="n">
        <f aca="false">IF(G293="","",MAX(0,G293-J293/100))</f>
        <v>0.496835827882054</v>
      </c>
      <c r="L293" s="39" t="n">
        <f aca="false">IF(G293="","",MIN(1,G293+J293/100))</f>
        <v>0.537840835660589</v>
      </c>
      <c r="M293" s="21" t="n">
        <f aca="false">ROUND(Q293*S293,0)</f>
        <v>53</v>
      </c>
      <c r="N293" s="21" t="n">
        <f aca="false">ROUND(SQRT((F293*J293/100)^2+(G293*M293)^2),0)</f>
        <v>35</v>
      </c>
      <c r="P293" s="41" t="n">
        <v>-0.75533662348907</v>
      </c>
      <c r="Q293" s="42" t="n">
        <v>1066.7283111232</v>
      </c>
      <c r="R293" s="43" t="n">
        <f aca="false">MAX(0,MIN(1,P293/100+$D$5))</f>
        <v>0.517665078492074</v>
      </c>
      <c r="S293" s="43" t="n">
        <v>0.0500321312575726</v>
      </c>
      <c r="T293" s="44" t="s">
        <v>99</v>
      </c>
    </row>
    <row r="294" customFormat="false" ht="15" hidden="false" customHeight="false" outlineLevel="0" collapsed="false">
      <c r="A294" s="38" t="s">
        <v>344</v>
      </c>
      <c r="B294" s="38" t="s">
        <v>417</v>
      </c>
      <c r="C294" s="38" t="s">
        <v>420</v>
      </c>
      <c r="D294" s="21" t="n">
        <f aca="false">ROUND(Q294*R294,0)</f>
        <v>619</v>
      </c>
      <c r="E294" s="21" t="n">
        <f aca="false">ROUND(Q294,0)-D294</f>
        <v>459</v>
      </c>
      <c r="F294" s="21" t="n">
        <f aca="false">IF(COUNTA(D294:E294)=0,"",SUM(D294:E294))</f>
        <v>1078</v>
      </c>
      <c r="G294" s="39" t="n">
        <f aca="false">IF(OR(F294="",F294=0),"",D294/F294)</f>
        <v>0.574211502782931</v>
      </c>
      <c r="H294" s="39" t="n">
        <f aca="false">IF(OR(F294="",F294=0),"",E294/F294)</f>
        <v>0.425788497217069</v>
      </c>
      <c r="I294" s="38" t="s">
        <v>190</v>
      </c>
      <c r="J294" s="40" t="n">
        <v>2.05025038892674</v>
      </c>
      <c r="K294" s="39" t="n">
        <f aca="false">IF(G294="","",MAX(0,G294-J294/100))</f>
        <v>0.553708998893664</v>
      </c>
      <c r="L294" s="39" t="n">
        <f aca="false">IF(G294="","",MIN(1,G294+J294/100))</f>
        <v>0.594714006672199</v>
      </c>
      <c r="M294" s="21" t="n">
        <f aca="false">ROUND(Q294*S294,0)</f>
        <v>54</v>
      </c>
      <c r="N294" s="21" t="n">
        <f aca="false">ROUND(SQRT((F294*J294/100)^2+(G294*M294)^2),0)</f>
        <v>38</v>
      </c>
      <c r="P294" s="41" t="n">
        <v>4.93212985250973</v>
      </c>
      <c r="Q294" s="42" t="n">
        <v>1077.52515637748</v>
      </c>
      <c r="R294" s="43" t="n">
        <f aca="false">MAX(0,MIN(1,P294/100+$D$5))</f>
        <v>0.574539743252062</v>
      </c>
      <c r="S294" s="43" t="n">
        <v>0.0500321312575726</v>
      </c>
      <c r="T294" s="44" t="s">
        <v>99</v>
      </c>
    </row>
    <row r="295" customFormat="false" ht="15" hidden="false" customHeight="false" outlineLevel="0" collapsed="false">
      <c r="A295" s="38" t="s">
        <v>344</v>
      </c>
      <c r="B295" s="38" t="s">
        <v>417</v>
      </c>
      <c r="C295" s="38" t="s">
        <v>421</v>
      </c>
      <c r="D295" s="21" t="n">
        <f aca="false">ROUND(Q295*R295,0)</f>
        <v>583</v>
      </c>
      <c r="E295" s="21" t="n">
        <f aca="false">ROUND(Q295,0)-D295</f>
        <v>517</v>
      </c>
      <c r="F295" s="21" t="n">
        <f aca="false">IF(COUNTA(D295:E295)=0,"",SUM(D295:E295))</f>
        <v>1100</v>
      </c>
      <c r="G295" s="39" t="n">
        <f aca="false">IF(OR(F295="",F295=0),"",D295/F295)</f>
        <v>0.53</v>
      </c>
      <c r="H295" s="39" t="n">
        <f aca="false">IF(OR(F295="",F295=0),"",E295/F295)</f>
        <v>0.47</v>
      </c>
      <c r="I295" s="38" t="s">
        <v>190</v>
      </c>
      <c r="J295" s="40" t="n">
        <v>2.05025038892674</v>
      </c>
      <c r="K295" s="39" t="n">
        <f aca="false">IF(G295="","",MAX(0,G295-J295/100))</f>
        <v>0.509497496110733</v>
      </c>
      <c r="L295" s="39" t="n">
        <f aca="false">IF(G295="","",MIN(1,G295+J295/100))</f>
        <v>0.550502503889267</v>
      </c>
      <c r="M295" s="21" t="n">
        <f aca="false">ROUND(Q295*S295,0)</f>
        <v>55</v>
      </c>
      <c r="N295" s="21" t="n">
        <f aca="false">ROUND(SQRT((F295*J295/100)^2+(G295*M295)^2),0)</f>
        <v>37</v>
      </c>
      <c r="P295" s="41" t="n">
        <v>0.4460389275187</v>
      </c>
      <c r="Q295" s="42" t="n">
        <v>1100.19853141148</v>
      </c>
      <c r="R295" s="43" t="n">
        <f aca="false">MAX(0,MIN(1,P295/100+$D$5))</f>
        <v>0.529678834002152</v>
      </c>
      <c r="S295" s="43" t="n">
        <v>0.0500321312575726</v>
      </c>
      <c r="T295" s="44" t="s">
        <v>99</v>
      </c>
    </row>
    <row r="296" customFormat="false" ht="15" hidden="false" customHeight="false" outlineLevel="0" collapsed="false">
      <c r="A296" s="38" t="s">
        <v>344</v>
      </c>
      <c r="B296" s="38" t="s">
        <v>417</v>
      </c>
      <c r="C296" s="38" t="s">
        <v>422</v>
      </c>
      <c r="D296" s="21" t="n">
        <f aca="false">ROUND(Q296*R296,0)</f>
        <v>813</v>
      </c>
      <c r="E296" s="21" t="n">
        <f aca="false">ROUND(Q296,0)-D296</f>
        <v>661</v>
      </c>
      <c r="F296" s="21" t="n">
        <f aca="false">IF(COUNTA(D296:E296)=0,"",SUM(D296:E296))</f>
        <v>1474</v>
      </c>
      <c r="G296" s="39" t="n">
        <f aca="false">IF(OR(F296="",F296=0),"",D296/F296)</f>
        <v>0.551560379918589</v>
      </c>
      <c r="H296" s="39" t="n">
        <f aca="false">IF(OR(F296="",F296=0),"",E296/F296)</f>
        <v>0.448439620081411</v>
      </c>
      <c r="I296" s="38" t="s">
        <v>89</v>
      </c>
      <c r="J296" s="40" t="n">
        <v>1.25589305869883</v>
      </c>
      <c r="K296" s="39" t="n">
        <f aca="false">IF(G296="","",MAX(0,G296-J296/100))</f>
        <v>0.539001449331601</v>
      </c>
      <c r="L296" s="39" t="n">
        <f aca="false">IF(G296="","",MIN(1,G296+J296/100))</f>
        <v>0.564119310505577</v>
      </c>
      <c r="M296" s="21" t="n">
        <f aca="false">ROUND(Q296*S296,0)</f>
        <v>192</v>
      </c>
      <c r="N296" s="21" t="n">
        <f aca="false">ROUND(SQRT((F296*J296/100)^2+(G296*M296)^2),0)</f>
        <v>108</v>
      </c>
      <c r="P296" s="41" t="n">
        <v>2.62829908529767</v>
      </c>
      <c r="Q296" s="42" t="n">
        <v>1474</v>
      </c>
      <c r="R296" s="43" t="n">
        <f aca="false">MAX(0,MIN(1,P296/100+$D$5))</f>
        <v>0.551501435579941</v>
      </c>
      <c r="S296" s="43" t="n">
        <v>0.130204099606216</v>
      </c>
      <c r="T296" s="44" t="s">
        <v>192</v>
      </c>
    </row>
    <row r="297" customFormat="false" ht="15" hidden="false" customHeight="false" outlineLevel="0" collapsed="false">
      <c r="A297" s="38" t="s">
        <v>344</v>
      </c>
      <c r="B297" s="38" t="s">
        <v>417</v>
      </c>
      <c r="C297" s="38" t="s">
        <v>423</v>
      </c>
      <c r="D297" s="21" t="n">
        <f aca="false">ROUND(Q297*R297,0)</f>
        <v>624</v>
      </c>
      <c r="E297" s="21" t="n">
        <f aca="false">ROUND(Q297,0)-D297</f>
        <v>577</v>
      </c>
      <c r="F297" s="21" t="n">
        <f aca="false">IF(COUNTA(D297:E297)=0,"",SUM(D297:E297))</f>
        <v>1201</v>
      </c>
      <c r="G297" s="39" t="n">
        <f aca="false">IF(OR(F297="",F297=0),"",D297/F297)</f>
        <v>0.519567027477102</v>
      </c>
      <c r="H297" s="39" t="n">
        <f aca="false">IF(OR(F297="",F297=0),"",E297/F297)</f>
        <v>0.480432972522898</v>
      </c>
      <c r="I297" s="38" t="s">
        <v>190</v>
      </c>
      <c r="J297" s="40" t="n">
        <v>1.25589305869883</v>
      </c>
      <c r="K297" s="39" t="n">
        <f aca="false">IF(G297="","",MAX(0,G297-J297/100))</f>
        <v>0.507008096890114</v>
      </c>
      <c r="L297" s="39" t="n">
        <f aca="false">IF(G297="","",MIN(1,G297+J297/100))</f>
        <v>0.532125958064091</v>
      </c>
      <c r="M297" s="21" t="n">
        <f aca="false">ROUND(Q297*S297,0)</f>
        <v>156</v>
      </c>
      <c r="N297" s="21" t="n">
        <f aca="false">ROUND(SQRT((F297*J297/100)^2+(G297*M297)^2),0)</f>
        <v>82</v>
      </c>
      <c r="P297" s="41" t="n">
        <v>-0.588674485273201</v>
      </c>
      <c r="Q297" s="42" t="n">
        <v>1200.60919227631</v>
      </c>
      <c r="R297" s="43" t="n">
        <f aca="false">MAX(0,MIN(1,P297/100+$D$5))</f>
        <v>0.519331699874233</v>
      </c>
      <c r="S297" s="43" t="n">
        <v>0.130204099606216</v>
      </c>
      <c r="T297" s="44" t="s">
        <v>192</v>
      </c>
    </row>
    <row r="298" customFormat="false" ht="15" hidden="false" customHeight="false" outlineLevel="0" collapsed="false">
      <c r="A298" s="38" t="s">
        <v>344</v>
      </c>
      <c r="B298" s="38" t="s">
        <v>417</v>
      </c>
      <c r="C298" s="38" t="s">
        <v>424</v>
      </c>
      <c r="D298" s="21" t="n">
        <f aca="false">ROUND(Q298*R298,0)</f>
        <v>544</v>
      </c>
      <c r="E298" s="21" t="n">
        <f aca="false">ROUND(Q298,0)-D298</f>
        <v>580</v>
      </c>
      <c r="F298" s="21" t="n">
        <f aca="false">IF(COUNTA(D298:E298)=0,"",SUM(D298:E298))</f>
        <v>1124</v>
      </c>
      <c r="G298" s="39" t="n">
        <f aca="false">IF(OR(F298="",F298=0),"",D298/F298)</f>
        <v>0.483985765124555</v>
      </c>
      <c r="H298" s="39" t="n">
        <f aca="false">IF(OR(F298="",F298=0),"",E298/F298)</f>
        <v>0.516014234875445</v>
      </c>
      <c r="I298" s="38" t="s">
        <v>190</v>
      </c>
      <c r="J298" s="40" t="n">
        <v>2.05025038892674</v>
      </c>
      <c r="K298" s="39" t="n">
        <f aca="false">IF(G298="","",MAX(0,G298-J298/100))</f>
        <v>0.463483261235288</v>
      </c>
      <c r="L298" s="39" t="n">
        <f aca="false">IF(G298="","",MIN(1,G298+J298/100))</f>
        <v>0.504488269013823</v>
      </c>
      <c r="M298" s="21" t="n">
        <f aca="false">ROUND(Q298*S298,0)</f>
        <v>56</v>
      </c>
      <c r="N298" s="21" t="n">
        <f aca="false">ROUND(SQRT((F298*J298/100)^2+(G298*M298)^2),0)</f>
        <v>36</v>
      </c>
      <c r="P298" s="41" t="n">
        <v>-4.11976492859657</v>
      </c>
      <c r="Q298" s="42" t="n">
        <v>1123.9515909709</v>
      </c>
      <c r="R298" s="43" t="n">
        <f aca="false">MAX(0,MIN(1,P298/100+$D$5))</f>
        <v>0.484020795440999</v>
      </c>
      <c r="S298" s="43" t="n">
        <v>0.0500321312575726</v>
      </c>
      <c r="T298" s="44" t="s">
        <v>99</v>
      </c>
    </row>
    <row r="299" customFormat="false" ht="15" hidden="false" customHeight="false" outlineLevel="0" collapsed="false">
      <c r="A299" s="38" t="s">
        <v>344</v>
      </c>
      <c r="B299" s="38" t="s">
        <v>425</v>
      </c>
      <c r="C299" s="38" t="s">
        <v>425</v>
      </c>
      <c r="D299" s="21" t="n">
        <f aca="false">ROUND(Q299*R299,0)</f>
        <v>513</v>
      </c>
      <c r="E299" s="21" t="n">
        <f aca="false">ROUND(Q299,0)-D299</f>
        <v>297</v>
      </c>
      <c r="F299" s="21" t="n">
        <f aca="false">IF(COUNTA(D299:E299)=0,"",SUM(D299:E299))</f>
        <v>810</v>
      </c>
      <c r="G299" s="39" t="n">
        <f aca="false">IF(OR(F299="",F299=0),"",D299/F299)</f>
        <v>0.633333333333333</v>
      </c>
      <c r="H299" s="39" t="n">
        <f aca="false">IF(OR(F299="",F299=0),"",E299/F299)</f>
        <v>0.366666666666667</v>
      </c>
      <c r="I299" s="38" t="s">
        <v>89</v>
      </c>
      <c r="J299" s="40" t="n">
        <v>2.05025038892674</v>
      </c>
      <c r="K299" s="39" t="n">
        <f aca="false">IF(G299="","",MAX(0,G299-J299/100))</f>
        <v>0.612830829444066</v>
      </c>
      <c r="L299" s="39" t="n">
        <f aca="false">IF(G299="","",MIN(1,G299+J299/100))</f>
        <v>0.653835837222601</v>
      </c>
      <c r="M299" s="21" t="n">
        <f aca="false">ROUND(Q299*S299,0)</f>
        <v>41</v>
      </c>
      <c r="N299" s="21" t="n">
        <f aca="false">ROUND(SQRT((F299*J299/100)^2+(G299*M299)^2),0)</f>
        <v>31</v>
      </c>
      <c r="P299" s="41" t="n">
        <v>10.8094734755911</v>
      </c>
      <c r="Q299" s="42" t="n">
        <v>810</v>
      </c>
      <c r="R299" s="43" t="n">
        <f aca="false">MAX(0,MIN(1,P299/100+$D$5))</f>
        <v>0.633313179482876</v>
      </c>
      <c r="S299" s="43" t="n">
        <v>0.0500321312575726</v>
      </c>
      <c r="T299" s="44" t="s">
        <v>99</v>
      </c>
    </row>
    <row r="300" customFormat="false" ht="15" hidden="false" customHeight="false" outlineLevel="0" collapsed="false">
      <c r="A300" s="38" t="s">
        <v>344</v>
      </c>
      <c r="B300" s="38" t="s">
        <v>426</v>
      </c>
      <c r="C300" s="38" t="s">
        <v>426</v>
      </c>
      <c r="D300" s="21" t="n">
        <f aca="false">ROUND(Q300*R300,0)</f>
        <v>78</v>
      </c>
      <c r="E300" s="21" t="n">
        <f aca="false">ROUND(Q300,0)-D300</f>
        <v>63</v>
      </c>
      <c r="F300" s="21" t="n">
        <f aca="false">IF(COUNTA(D300:E300)=0,"",SUM(D300:E300))</f>
        <v>141</v>
      </c>
      <c r="G300" s="39" t="n">
        <f aca="false">IF(OR(F300="",F300=0),"",D300/F300)</f>
        <v>0.553191489361702</v>
      </c>
      <c r="H300" s="39" t="n">
        <f aca="false">IF(OR(F300="",F300=0),"",E300/F300)</f>
        <v>0.446808510638298</v>
      </c>
      <c r="I300" s="38" t="s">
        <v>89</v>
      </c>
      <c r="J300" s="40" t="n">
        <v>3.45317612968717</v>
      </c>
      <c r="K300" s="39" t="n">
        <f aca="false">IF(G300="","",MAX(0,G300-J300/100))</f>
        <v>0.518659728064831</v>
      </c>
      <c r="L300" s="39" t="n">
        <f aca="false">IF(G300="","",MIN(1,G300+J300/100))</f>
        <v>0.587723250658574</v>
      </c>
      <c r="M300" s="21" t="n">
        <f aca="false">ROUND(Q300*S300,0)</f>
        <v>9</v>
      </c>
      <c r="N300" s="21" t="n">
        <f aca="false">ROUND(SQRT((F300*J300/100)^2+(G300*M300)^2),0)</f>
        <v>7</v>
      </c>
      <c r="P300" s="41" t="n">
        <v>3.06181640538296</v>
      </c>
      <c r="Q300" s="42" t="n">
        <v>141</v>
      </c>
      <c r="R300" s="43" t="n">
        <f aca="false">MAX(0,MIN(1,P300/100+$D$5))</f>
        <v>0.555836608780794</v>
      </c>
      <c r="S300" s="43" t="n">
        <v>0.0610405690258335</v>
      </c>
      <c r="T300" s="44" t="s">
        <v>90</v>
      </c>
    </row>
    <row r="301" customFormat="false" ht="15" hidden="false" customHeight="false" outlineLevel="0" collapsed="false">
      <c r="A301" s="38" t="s">
        <v>344</v>
      </c>
      <c r="B301" s="38" t="s">
        <v>251</v>
      </c>
      <c r="C301" s="38" t="s">
        <v>427</v>
      </c>
      <c r="D301" s="21" t="n">
        <f aca="false">ROUND(Q301*R301,0)</f>
        <v>826</v>
      </c>
      <c r="E301" s="21" t="n">
        <f aca="false">ROUND(Q301,0)-D301</f>
        <v>490</v>
      </c>
      <c r="F301" s="21" t="n">
        <f aca="false">IF(COUNTA(D301:E301)=0,"",SUM(D301:E301))</f>
        <v>1316</v>
      </c>
      <c r="G301" s="39" t="n">
        <f aca="false">IF(OR(F301="",F301=0),"",D301/F301)</f>
        <v>0.627659574468085</v>
      </c>
      <c r="H301" s="39" t="n">
        <f aca="false">IF(OR(F301="",F301=0),"",E301/F301)</f>
        <v>0.372340425531915</v>
      </c>
      <c r="I301" s="38" t="s">
        <v>89</v>
      </c>
      <c r="J301" s="40" t="n">
        <v>1.25589305869883</v>
      </c>
      <c r="K301" s="39" t="n">
        <f aca="false">IF(G301="","",MAX(0,G301-J301/100))</f>
        <v>0.615100643881097</v>
      </c>
      <c r="L301" s="39" t="n">
        <f aca="false">IF(G301="","",MIN(1,G301+J301/100))</f>
        <v>0.640218505055073</v>
      </c>
      <c r="M301" s="21" t="n">
        <f aca="false">ROUND(Q301*S301,0)</f>
        <v>171</v>
      </c>
      <c r="N301" s="21" t="n">
        <f aca="false">ROUND(SQRT((F301*J301/100)^2+(G301*M301)^2),0)</f>
        <v>109</v>
      </c>
      <c r="P301" s="41" t="n">
        <v>10.2312994329639</v>
      </c>
      <c r="Q301" s="42" t="n">
        <v>1316</v>
      </c>
      <c r="R301" s="43" t="n">
        <f aca="false">MAX(0,MIN(1,P301/100+$D$5))</f>
        <v>0.627531439056604</v>
      </c>
      <c r="S301" s="43" t="n">
        <v>0.130204099606216</v>
      </c>
      <c r="T301" s="44" t="s">
        <v>192</v>
      </c>
    </row>
    <row r="302" customFormat="false" ht="15" hidden="false" customHeight="false" outlineLevel="0" collapsed="false">
      <c r="A302" s="38" t="s">
        <v>344</v>
      </c>
      <c r="B302" s="38" t="s">
        <v>251</v>
      </c>
      <c r="C302" s="38" t="s">
        <v>428</v>
      </c>
      <c r="D302" s="21" t="n">
        <f aca="false">ROUND(Q302*R302,0)</f>
        <v>799</v>
      </c>
      <c r="E302" s="21" t="n">
        <f aca="false">ROUND(Q302,0)-D302</f>
        <v>540</v>
      </c>
      <c r="F302" s="21" t="n">
        <f aca="false">IF(COUNTA(D302:E302)=0,"",SUM(D302:E302))</f>
        <v>1339</v>
      </c>
      <c r="G302" s="39" t="n">
        <f aca="false">IF(OR(F302="",F302=0),"",D302/F302)</f>
        <v>0.596713965646004</v>
      </c>
      <c r="H302" s="39" t="n">
        <f aca="false">IF(OR(F302="",F302=0),"",E302/F302)</f>
        <v>0.403286034353996</v>
      </c>
      <c r="I302" s="38" t="s">
        <v>89</v>
      </c>
      <c r="J302" s="40" t="n">
        <v>1.25589305869883</v>
      </c>
      <c r="K302" s="39" t="n">
        <f aca="false">IF(G302="","",MAX(0,G302-J302/100))</f>
        <v>0.584155035059016</v>
      </c>
      <c r="L302" s="39" t="n">
        <f aca="false">IF(G302="","",MIN(1,G302+J302/100))</f>
        <v>0.609272896232993</v>
      </c>
      <c r="M302" s="21" t="n">
        <f aca="false">ROUND(Q302*S302,0)</f>
        <v>174</v>
      </c>
      <c r="N302" s="21" t="n">
        <f aca="false">ROUND(SQRT((F302*J302/100)^2+(G302*M302)^2),0)</f>
        <v>105</v>
      </c>
      <c r="P302" s="41" t="n">
        <v>7.12172660862795</v>
      </c>
      <c r="Q302" s="42" t="n">
        <v>1339</v>
      </c>
      <c r="R302" s="43" t="n">
        <f aca="false">MAX(0,MIN(1,P302/100+$D$5))</f>
        <v>0.596435710813244</v>
      </c>
      <c r="S302" s="43" t="n">
        <v>0.130204099606216</v>
      </c>
      <c r="T302" s="44" t="s">
        <v>192</v>
      </c>
    </row>
    <row r="303" customFormat="false" ht="15" hidden="false" customHeight="false" outlineLevel="0" collapsed="false">
      <c r="A303" s="38" t="s">
        <v>344</v>
      </c>
      <c r="B303" s="38" t="s">
        <v>251</v>
      </c>
      <c r="C303" s="38" t="s">
        <v>429</v>
      </c>
      <c r="D303" s="21" t="n">
        <f aca="false">ROUND(Q303*R303,0)</f>
        <v>405</v>
      </c>
      <c r="E303" s="21" t="n">
        <f aca="false">ROUND(Q303,0)-D303</f>
        <v>321</v>
      </c>
      <c r="F303" s="21" t="n">
        <f aca="false">IF(COUNTA(D303:E303)=0,"",SUM(D303:E303))</f>
        <v>726</v>
      </c>
      <c r="G303" s="39" t="n">
        <f aca="false">IF(OR(F303="",F303=0),"",D303/F303)</f>
        <v>0.557851239669422</v>
      </c>
      <c r="H303" s="39" t="n">
        <f aca="false">IF(OR(F303="",F303=0),"",E303/F303)</f>
        <v>0.442148760330579</v>
      </c>
      <c r="I303" s="38" t="s">
        <v>89</v>
      </c>
      <c r="J303" s="40" t="n">
        <v>3.45317612968717</v>
      </c>
      <c r="K303" s="39" t="n">
        <f aca="false">IF(G303="","",MAX(0,G303-J303/100))</f>
        <v>0.52331947837255</v>
      </c>
      <c r="L303" s="39" t="n">
        <f aca="false">IF(G303="","",MIN(1,G303+J303/100))</f>
        <v>0.592383000966293</v>
      </c>
      <c r="M303" s="21" t="n">
        <f aca="false">ROUND(Q303*S303,0)</f>
        <v>44</v>
      </c>
      <c r="N303" s="21" t="n">
        <f aca="false">ROUND(SQRT((F303*J303/100)^2+(G303*M303)^2),0)</f>
        <v>35</v>
      </c>
      <c r="P303" s="41" t="n">
        <v>3.20238030850469</v>
      </c>
      <c r="Q303" s="42" t="n">
        <v>726</v>
      </c>
      <c r="R303" s="43" t="n">
        <f aca="false">MAX(0,MIN(1,P303/100+$D$5))</f>
        <v>0.557242247812012</v>
      </c>
      <c r="S303" s="43" t="n">
        <v>0.0610405690258335</v>
      </c>
      <c r="T303" s="44" t="s">
        <v>90</v>
      </c>
    </row>
    <row r="304" customFormat="false" ht="15" hidden="false" customHeight="false" outlineLevel="0" collapsed="false">
      <c r="A304" s="38" t="s">
        <v>344</v>
      </c>
      <c r="B304" s="38" t="s">
        <v>251</v>
      </c>
      <c r="C304" s="38" t="s">
        <v>430</v>
      </c>
      <c r="D304" s="21" t="n">
        <f aca="false">ROUND(Q304*R304,0)</f>
        <v>641</v>
      </c>
      <c r="E304" s="21" t="n">
        <f aca="false">ROUND(Q304,0)-D304</f>
        <v>505</v>
      </c>
      <c r="F304" s="21" t="n">
        <f aca="false">IF(COUNTA(D304:E304)=0,"",SUM(D304:E304))</f>
        <v>1146</v>
      </c>
      <c r="G304" s="39" t="n">
        <f aca="false">IF(OR(F304="",F304=0),"",D304/F304)</f>
        <v>0.55933682373473</v>
      </c>
      <c r="H304" s="39" t="n">
        <f aca="false">IF(OR(F304="",F304=0),"",E304/F304)</f>
        <v>0.440663176265271</v>
      </c>
      <c r="I304" s="38" t="s">
        <v>89</v>
      </c>
      <c r="J304" s="40" t="n">
        <v>2.05025038892674</v>
      </c>
      <c r="K304" s="39" t="n">
        <f aca="false">IF(G304="","",MAX(0,G304-J304/100))</f>
        <v>0.538834319845462</v>
      </c>
      <c r="L304" s="39" t="n">
        <f aca="false">IF(G304="","",MIN(1,G304+J304/100))</f>
        <v>0.579839327623997</v>
      </c>
      <c r="M304" s="21" t="n">
        <f aca="false">ROUND(Q304*S304,0)</f>
        <v>57</v>
      </c>
      <c r="N304" s="21" t="n">
        <f aca="false">ROUND(SQRT((F304*J304/100)^2+(G304*M304)^2),0)</f>
        <v>40</v>
      </c>
      <c r="P304" s="41" t="n">
        <v>3.40651405223124</v>
      </c>
      <c r="Q304" s="42" t="n">
        <v>1146</v>
      </c>
      <c r="R304" s="43" t="n">
        <f aca="false">MAX(0,MIN(1,P304/100+$D$5))</f>
        <v>0.559283585249277</v>
      </c>
      <c r="S304" s="43" t="n">
        <v>0.0500321312575726</v>
      </c>
      <c r="T304" s="44" t="s">
        <v>99</v>
      </c>
    </row>
    <row r="305" customFormat="false" ht="15" hidden="false" customHeight="false" outlineLevel="0" collapsed="false">
      <c r="A305" s="38" t="s">
        <v>344</v>
      </c>
      <c r="B305" s="38" t="s">
        <v>251</v>
      </c>
      <c r="C305" s="38" t="s">
        <v>431</v>
      </c>
      <c r="D305" s="21" t="n">
        <f aca="false">ROUND(Q305*R305,0)</f>
        <v>687</v>
      </c>
      <c r="E305" s="21" t="n">
        <f aca="false">ROUND(Q305,0)-D305</f>
        <v>468</v>
      </c>
      <c r="F305" s="21" t="n">
        <f aca="false">IF(COUNTA(D305:E305)=0,"",SUM(D305:E305))</f>
        <v>1155</v>
      </c>
      <c r="G305" s="39" t="n">
        <f aca="false">IF(OR(F305="",F305=0),"",D305/F305)</f>
        <v>0.594805194805195</v>
      </c>
      <c r="H305" s="39" t="n">
        <f aca="false">IF(OR(F305="",F305=0),"",E305/F305)</f>
        <v>0.405194805194805</v>
      </c>
      <c r="I305" s="38" t="s">
        <v>89</v>
      </c>
      <c r="J305" s="40" t="n">
        <v>2.05025038892674</v>
      </c>
      <c r="K305" s="39" t="n">
        <f aca="false">IF(G305="","",MAX(0,G305-J305/100))</f>
        <v>0.574302690915927</v>
      </c>
      <c r="L305" s="39" t="n">
        <f aca="false">IF(G305="","",MIN(1,G305+J305/100))</f>
        <v>0.615307698694462</v>
      </c>
      <c r="M305" s="21" t="n">
        <f aca="false">ROUND(Q305*S305,0)</f>
        <v>58</v>
      </c>
      <c r="N305" s="21" t="n">
        <f aca="false">ROUND(SQRT((F305*J305/100)^2+(G305*M305)^2),0)</f>
        <v>42</v>
      </c>
      <c r="P305" s="41" t="n">
        <v>6.99804270903963</v>
      </c>
      <c r="Q305" s="42" t="n">
        <v>1155</v>
      </c>
      <c r="R305" s="43" t="n">
        <f aca="false">MAX(0,MIN(1,P305/100+$D$5))</f>
        <v>0.595198871817361</v>
      </c>
      <c r="S305" s="43" t="n">
        <v>0.0500321312575726</v>
      </c>
      <c r="T305" s="44" t="s">
        <v>99</v>
      </c>
    </row>
    <row r="306" customFormat="false" ht="15" hidden="false" customHeight="false" outlineLevel="0" collapsed="false">
      <c r="A306" s="38" t="s">
        <v>344</v>
      </c>
      <c r="B306" s="38" t="s">
        <v>251</v>
      </c>
      <c r="C306" s="38" t="s">
        <v>432</v>
      </c>
      <c r="D306" s="21" t="n">
        <f aca="false">ROUND(Q306*R306,0)</f>
        <v>436</v>
      </c>
      <c r="E306" s="21" t="n">
        <f aca="false">ROUND(Q306,0)-D306</f>
        <v>335</v>
      </c>
      <c r="F306" s="21" t="n">
        <f aca="false">IF(COUNTA(D306:E306)=0,"",SUM(D306:E306))</f>
        <v>771</v>
      </c>
      <c r="G306" s="39" t="n">
        <f aca="false">IF(OR(F306="",F306=0),"",D306/F306)</f>
        <v>0.565499351491569</v>
      </c>
      <c r="H306" s="39" t="n">
        <f aca="false">IF(OR(F306="",F306=0),"",E306/F306)</f>
        <v>0.434500648508431</v>
      </c>
      <c r="I306" s="38" t="s">
        <v>89</v>
      </c>
      <c r="J306" s="40" t="n">
        <v>3.45317612968717</v>
      </c>
      <c r="K306" s="39" t="n">
        <f aca="false">IF(G306="","",MAX(0,G306-J306/100))</f>
        <v>0.530967590194698</v>
      </c>
      <c r="L306" s="39" t="n">
        <f aca="false">IF(G306="","",MIN(1,G306+J306/100))</f>
        <v>0.600031112788441</v>
      </c>
      <c r="M306" s="21" t="n">
        <f aca="false">ROUND(Q306*S306,0)</f>
        <v>47</v>
      </c>
      <c r="N306" s="21" t="n">
        <f aca="false">ROUND(SQRT((F306*J306/100)^2+(G306*M306)^2),0)</f>
        <v>38</v>
      </c>
      <c r="P306" s="41" t="n">
        <v>4.00584566196362</v>
      </c>
      <c r="Q306" s="42" t="n">
        <v>771</v>
      </c>
      <c r="R306" s="43" t="n">
        <f aca="false">MAX(0,MIN(1,P306/100+$D$5))</f>
        <v>0.565276901346601</v>
      </c>
      <c r="S306" s="43" t="n">
        <v>0.0610405690258335</v>
      </c>
      <c r="T306" s="44" t="s">
        <v>90</v>
      </c>
    </row>
    <row r="307" customFormat="false" ht="15" hidden="false" customHeight="false" outlineLevel="0" collapsed="false">
      <c r="A307" s="38" t="s">
        <v>344</v>
      </c>
      <c r="B307" s="38" t="s">
        <v>433</v>
      </c>
      <c r="C307" s="38" t="s">
        <v>434</v>
      </c>
      <c r="D307" s="21" t="n">
        <f aca="false">ROUND(Q307*R307,0)</f>
        <v>472</v>
      </c>
      <c r="E307" s="21" t="n">
        <f aca="false">ROUND(Q307,0)-D307</f>
        <v>404</v>
      </c>
      <c r="F307" s="21" t="n">
        <f aca="false">IF(COUNTA(D307:E307)=0,"",SUM(D307:E307))</f>
        <v>876</v>
      </c>
      <c r="G307" s="39" t="n">
        <f aca="false">IF(OR(F307="",F307=0),"",D307/F307)</f>
        <v>0.538812785388128</v>
      </c>
      <c r="H307" s="39" t="n">
        <f aca="false">IF(OR(F307="",F307=0),"",E307/F307)</f>
        <v>0.461187214611872</v>
      </c>
      <c r="I307" s="38" t="s">
        <v>89</v>
      </c>
      <c r="J307" s="40" t="n">
        <v>2.05025038892674</v>
      </c>
      <c r="K307" s="39" t="n">
        <f aca="false">IF(G307="","",MAX(0,G307-J307/100))</f>
        <v>0.518310281498861</v>
      </c>
      <c r="L307" s="39" t="n">
        <f aca="false">IF(G307="","",MIN(1,G307+J307/100))</f>
        <v>0.559315289277395</v>
      </c>
      <c r="M307" s="21" t="n">
        <f aca="false">ROUND(Q307*S307,0)</f>
        <v>44</v>
      </c>
      <c r="N307" s="21" t="n">
        <f aca="false">ROUND(SQRT((F307*J307/100)^2+(G307*M307)^2),0)</f>
        <v>30</v>
      </c>
      <c r="P307" s="41" t="n">
        <v>1.34978342060691</v>
      </c>
      <c r="Q307" s="42" t="n">
        <v>876</v>
      </c>
      <c r="R307" s="43" t="n">
        <f aca="false">MAX(0,MIN(1,P307/100+$D$5))</f>
        <v>0.538716278933034</v>
      </c>
      <c r="S307" s="43" t="n">
        <v>0.0500321312575726</v>
      </c>
      <c r="T307" s="44" t="s">
        <v>99</v>
      </c>
    </row>
    <row r="308" customFormat="false" ht="15" hidden="false" customHeight="false" outlineLevel="0" collapsed="false">
      <c r="A308" s="38" t="s">
        <v>344</v>
      </c>
      <c r="B308" s="38" t="s">
        <v>433</v>
      </c>
      <c r="C308" s="38" t="s">
        <v>435</v>
      </c>
      <c r="D308" s="21" t="n">
        <f aca="false">ROUND(Q308*R308,0)</f>
        <v>376</v>
      </c>
      <c r="E308" s="21" t="n">
        <f aca="false">ROUND(Q308,0)-D308</f>
        <v>305</v>
      </c>
      <c r="F308" s="21" t="n">
        <f aca="false">IF(COUNTA(D308:E308)=0,"",SUM(D308:E308))</f>
        <v>681</v>
      </c>
      <c r="G308" s="39" t="n">
        <f aca="false">IF(OR(F308="",F308=0),"",D308/F308)</f>
        <v>0.552129221732746</v>
      </c>
      <c r="H308" s="39" t="n">
        <f aca="false">IF(OR(F308="",F308=0),"",E308/F308)</f>
        <v>0.447870778267254</v>
      </c>
      <c r="I308" s="38" t="s">
        <v>89</v>
      </c>
      <c r="J308" s="40" t="n">
        <v>3.45317612968717</v>
      </c>
      <c r="K308" s="39" t="n">
        <f aca="false">IF(G308="","",MAX(0,G308-J308/100))</f>
        <v>0.517597460435874</v>
      </c>
      <c r="L308" s="39" t="n">
        <f aca="false">IF(G308="","",MIN(1,G308+J308/100))</f>
        <v>0.586660983029618</v>
      </c>
      <c r="M308" s="21" t="n">
        <f aca="false">ROUND(Q308*S308,0)</f>
        <v>42</v>
      </c>
      <c r="N308" s="21" t="n">
        <f aca="false">ROUND(SQRT((F308*J308/100)^2+(G308*M308)^2),0)</f>
        <v>33</v>
      </c>
      <c r="P308" s="41" t="n">
        <v>2.65482536956958</v>
      </c>
      <c r="Q308" s="42" t="n">
        <v>681</v>
      </c>
      <c r="R308" s="43" t="n">
        <f aca="false">MAX(0,MIN(1,P308/100+$D$5))</f>
        <v>0.551766698422661</v>
      </c>
      <c r="S308" s="43" t="n">
        <v>0.0610405690258335</v>
      </c>
      <c r="T308" s="44" t="s">
        <v>90</v>
      </c>
    </row>
    <row r="309" customFormat="false" ht="15" hidden="false" customHeight="false" outlineLevel="0" collapsed="false">
      <c r="A309" s="38" t="s">
        <v>344</v>
      </c>
      <c r="B309" s="38" t="s">
        <v>433</v>
      </c>
      <c r="C309" s="38" t="s">
        <v>436</v>
      </c>
      <c r="D309" s="21" t="n">
        <f aca="false">ROUND(Q309*R309,0)</f>
        <v>576</v>
      </c>
      <c r="E309" s="21" t="n">
        <f aca="false">ROUND(Q309,0)-D309</f>
        <v>440</v>
      </c>
      <c r="F309" s="21" t="n">
        <f aca="false">IF(COUNTA(D309:E309)=0,"",SUM(D309:E309))</f>
        <v>1016</v>
      </c>
      <c r="G309" s="39" t="n">
        <f aca="false">IF(OR(F309="",F309=0),"",D309/F309)</f>
        <v>0.566929133858268</v>
      </c>
      <c r="H309" s="39" t="n">
        <f aca="false">IF(OR(F309="",F309=0),"",E309/F309)</f>
        <v>0.433070866141732</v>
      </c>
      <c r="I309" s="38" t="s">
        <v>89</v>
      </c>
      <c r="J309" s="40" t="n">
        <v>2.05025038892674</v>
      </c>
      <c r="K309" s="39" t="n">
        <f aca="false">IF(G309="","",MAX(0,G309-J309/100))</f>
        <v>0.546426629969</v>
      </c>
      <c r="L309" s="39" t="n">
        <f aca="false">IF(G309="","",MIN(1,G309+J309/100))</f>
        <v>0.587431637747535</v>
      </c>
      <c r="M309" s="21" t="n">
        <f aca="false">ROUND(Q309*S309,0)</f>
        <v>51</v>
      </c>
      <c r="N309" s="21" t="n">
        <f aca="false">ROUND(SQRT((F309*J309/100)^2+(G309*M309)^2),0)</f>
        <v>36</v>
      </c>
      <c r="P309" s="41" t="n">
        <v>4.21329636112822</v>
      </c>
      <c r="Q309" s="42" t="n">
        <v>1016</v>
      </c>
      <c r="R309" s="43" t="n">
        <f aca="false">MAX(0,MIN(1,P309/100+$D$5))</f>
        <v>0.567351408338247</v>
      </c>
      <c r="S309" s="43" t="n">
        <v>0.0500321312575726</v>
      </c>
      <c r="T309" s="44" t="s">
        <v>99</v>
      </c>
    </row>
    <row r="310" customFormat="false" ht="15" hidden="false" customHeight="false" outlineLevel="0" collapsed="false">
      <c r="A310" s="38" t="s">
        <v>344</v>
      </c>
      <c r="B310" s="38" t="s">
        <v>437</v>
      </c>
      <c r="C310" s="38" t="s">
        <v>438</v>
      </c>
      <c r="D310" s="21" t="n">
        <f aca="false">ROUND(Q310*R310,0)</f>
        <v>481</v>
      </c>
      <c r="E310" s="21" t="n">
        <f aca="false">ROUND(Q310,0)-D310</f>
        <v>798</v>
      </c>
      <c r="F310" s="21" t="n">
        <f aca="false">IF(COUNTA(D310:E310)=0,"",SUM(D310:E310))</f>
        <v>1279</v>
      </c>
      <c r="G310" s="39" t="n">
        <f aca="false">IF(OR(F310="",F310=0),"",D310/F310)</f>
        <v>0.376075058639562</v>
      </c>
      <c r="H310" s="39" t="n">
        <f aca="false">IF(OR(F310="",F310=0),"",E310/F310)</f>
        <v>0.623924941360438</v>
      </c>
      <c r="I310" s="38" t="s">
        <v>89</v>
      </c>
      <c r="J310" s="40" t="n">
        <v>1.25589305869883</v>
      </c>
      <c r="K310" s="39" t="n">
        <f aca="false">IF(G310="","",MAX(0,G310-J310/100))</f>
        <v>0.363516128052574</v>
      </c>
      <c r="L310" s="39" t="n">
        <f aca="false">IF(G310="","",MIN(1,G310+J310/100))</f>
        <v>0.38863398922655</v>
      </c>
      <c r="M310" s="21" t="n">
        <f aca="false">ROUND(Q310*S310,0)</f>
        <v>167</v>
      </c>
      <c r="N310" s="21" t="n">
        <f aca="false">ROUND(SQRT((F310*J310/100)^2+(G310*M310)^2),0)</f>
        <v>65</v>
      </c>
      <c r="P310" s="41" t="n">
        <v>-14.8812472166656</v>
      </c>
      <c r="Q310" s="42" t="n">
        <v>1279</v>
      </c>
      <c r="R310" s="43" t="n">
        <f aca="false">MAX(0,MIN(1,P310/100+$D$5))</f>
        <v>0.376405972560309</v>
      </c>
      <c r="S310" s="43" t="n">
        <v>0.130204099606216</v>
      </c>
      <c r="T310" s="44" t="s">
        <v>192</v>
      </c>
    </row>
    <row r="311" customFormat="false" ht="15" hidden="false" customHeight="false" outlineLevel="0" collapsed="false">
      <c r="A311" s="38" t="s">
        <v>344</v>
      </c>
      <c r="B311" s="38" t="s">
        <v>437</v>
      </c>
      <c r="C311" s="38" t="s">
        <v>439</v>
      </c>
      <c r="D311" s="21" t="n">
        <f aca="false">ROUND(Q311*R311,0)</f>
        <v>550</v>
      </c>
      <c r="E311" s="21" t="n">
        <f aca="false">ROUND(Q311,0)-D311</f>
        <v>895</v>
      </c>
      <c r="F311" s="21" t="n">
        <f aca="false">IF(COUNTA(D311:E311)=0,"",SUM(D311:E311))</f>
        <v>1445</v>
      </c>
      <c r="G311" s="39" t="n">
        <f aca="false">IF(OR(F311="",F311=0),"",D311/F311)</f>
        <v>0.380622837370242</v>
      </c>
      <c r="H311" s="39" t="n">
        <f aca="false">IF(OR(F311="",F311=0),"",E311/F311)</f>
        <v>0.619377162629758</v>
      </c>
      <c r="I311" s="38" t="s">
        <v>89</v>
      </c>
      <c r="J311" s="40" t="n">
        <v>1.25589305869883</v>
      </c>
      <c r="K311" s="39" t="n">
        <f aca="false">IF(G311="","",MAX(0,G311-J311/100))</f>
        <v>0.368063906783254</v>
      </c>
      <c r="L311" s="39" t="n">
        <f aca="false">IF(G311="","",MIN(1,G311+J311/100))</f>
        <v>0.393181767957231</v>
      </c>
      <c r="M311" s="21" t="n">
        <f aca="false">ROUND(Q311*S311,0)</f>
        <v>188</v>
      </c>
      <c r="N311" s="21" t="n">
        <f aca="false">ROUND(SQRT((F311*J311/100)^2+(G311*M311)^2),0)</f>
        <v>74</v>
      </c>
      <c r="P311" s="41" t="n">
        <v>-14.4528576731112</v>
      </c>
      <c r="Q311" s="42" t="n">
        <v>1445</v>
      </c>
      <c r="R311" s="43" t="n">
        <f aca="false">MAX(0,MIN(1,P311/100+$D$5))</f>
        <v>0.380689867995853</v>
      </c>
      <c r="S311" s="43" t="n">
        <v>0.130204099606216</v>
      </c>
      <c r="T311" s="44" t="s">
        <v>192</v>
      </c>
    </row>
    <row r="312" customFormat="false" ht="15" hidden="false" customHeight="false" outlineLevel="0" collapsed="false">
      <c r="A312" s="38" t="s">
        <v>344</v>
      </c>
      <c r="B312" s="38" t="s">
        <v>437</v>
      </c>
      <c r="C312" s="38" t="s">
        <v>440</v>
      </c>
      <c r="D312" s="21" t="n">
        <f aca="false">ROUND(Q312*R312,0)</f>
        <v>169</v>
      </c>
      <c r="E312" s="21" t="n">
        <f aca="false">ROUND(Q312,0)-D312</f>
        <v>322</v>
      </c>
      <c r="F312" s="21" t="n">
        <f aca="false">IF(COUNTA(D312:E312)=0,"",SUM(D312:E312))</f>
        <v>491</v>
      </c>
      <c r="G312" s="39" t="n">
        <f aca="false">IF(OR(F312="",F312=0),"",D312/F312)</f>
        <v>0.344195519348269</v>
      </c>
      <c r="H312" s="39" t="n">
        <f aca="false">IF(OR(F312="",F312=0),"",E312/F312)</f>
        <v>0.655804480651731</v>
      </c>
      <c r="I312" s="38" t="s">
        <v>89</v>
      </c>
      <c r="J312" s="40" t="n">
        <v>3.45317612968717</v>
      </c>
      <c r="K312" s="39" t="n">
        <f aca="false">IF(G312="","",MAX(0,G312-J312/100))</f>
        <v>0.309663758051397</v>
      </c>
      <c r="L312" s="39" t="n">
        <f aca="false">IF(G312="","",MIN(1,G312+J312/100))</f>
        <v>0.378727280645141</v>
      </c>
      <c r="M312" s="21" t="n">
        <f aca="false">ROUND(Q312*S312,0)</f>
        <v>30</v>
      </c>
      <c r="N312" s="21" t="n">
        <f aca="false">ROUND(SQRT((F312*J312/100)^2+(G312*M312)^2),0)</f>
        <v>20</v>
      </c>
      <c r="P312" s="41" t="n">
        <v>-18.2031190798529</v>
      </c>
      <c r="Q312" s="42" t="n">
        <v>491</v>
      </c>
      <c r="R312" s="43" t="n">
        <f aca="false">MAX(0,MIN(1,P312/100+$D$5))</f>
        <v>0.343187253928436</v>
      </c>
      <c r="S312" s="43" t="n">
        <v>0.0610405690258335</v>
      </c>
      <c r="T312" s="44" t="s">
        <v>90</v>
      </c>
    </row>
    <row r="313" customFormat="false" ht="15" hidden="false" customHeight="false" outlineLevel="0" collapsed="false">
      <c r="A313" s="38" t="s">
        <v>344</v>
      </c>
      <c r="B313" s="38" t="s">
        <v>437</v>
      </c>
      <c r="C313" s="38" t="s">
        <v>441</v>
      </c>
      <c r="D313" s="21" t="n">
        <f aca="false">ROUND(Q313*R313,0)</f>
        <v>435</v>
      </c>
      <c r="E313" s="21" t="n">
        <f aca="false">ROUND(Q313,0)-D313</f>
        <v>696</v>
      </c>
      <c r="F313" s="21" t="n">
        <f aca="false">IF(COUNTA(D313:E313)=0,"",SUM(D313:E313))</f>
        <v>1131</v>
      </c>
      <c r="G313" s="39" t="n">
        <f aca="false">IF(OR(F313="",F313=0),"",D313/F313)</f>
        <v>0.384615384615385</v>
      </c>
      <c r="H313" s="39" t="n">
        <f aca="false">IF(OR(F313="",F313=0),"",E313/F313)</f>
        <v>0.615384615384615</v>
      </c>
      <c r="I313" s="38" t="s">
        <v>89</v>
      </c>
      <c r="J313" s="40" t="n">
        <v>2.05025038892674</v>
      </c>
      <c r="K313" s="39" t="n">
        <f aca="false">IF(G313="","",MAX(0,G313-J313/100))</f>
        <v>0.364112880726117</v>
      </c>
      <c r="L313" s="39" t="n">
        <f aca="false">IF(G313="","",MIN(1,G313+J313/100))</f>
        <v>0.405117888504652</v>
      </c>
      <c r="M313" s="21" t="n">
        <f aca="false">ROUND(Q313*S313,0)</f>
        <v>57</v>
      </c>
      <c r="N313" s="21" t="n">
        <f aca="false">ROUND(SQRT((F313*J313/100)^2+(G313*M313)^2),0)</f>
        <v>32</v>
      </c>
      <c r="P313" s="41" t="n">
        <v>-14.0460988213408</v>
      </c>
      <c r="Q313" s="42" t="n">
        <v>1131</v>
      </c>
      <c r="R313" s="43" t="n">
        <f aca="false">MAX(0,MIN(1,P313/100+$D$5))</f>
        <v>0.384757456513557</v>
      </c>
      <c r="S313" s="43" t="n">
        <v>0.0500321312575726</v>
      </c>
      <c r="T313" s="44" t="s">
        <v>99</v>
      </c>
    </row>
    <row r="314" customFormat="false" ht="15" hidden="false" customHeight="false" outlineLevel="0" collapsed="false">
      <c r="A314" s="38" t="s">
        <v>344</v>
      </c>
      <c r="B314" s="38" t="s">
        <v>437</v>
      </c>
      <c r="C314" s="38" t="s">
        <v>442</v>
      </c>
      <c r="D314" s="21" t="n">
        <f aca="false">ROUND(Q314*R314,0)</f>
        <v>298</v>
      </c>
      <c r="E314" s="21" t="n">
        <f aca="false">ROUND(Q314,0)-D314</f>
        <v>462</v>
      </c>
      <c r="F314" s="21" t="n">
        <f aca="false">IF(COUNTA(D314:E314)=0,"",SUM(D314:E314))</f>
        <v>760</v>
      </c>
      <c r="G314" s="39" t="n">
        <f aca="false">IF(OR(F314="",F314=0),"",D314/F314)</f>
        <v>0.392105263157895</v>
      </c>
      <c r="H314" s="39" t="n">
        <f aca="false">IF(OR(F314="",F314=0),"",E314/F314)</f>
        <v>0.607894736842105</v>
      </c>
      <c r="I314" s="38" t="s">
        <v>89</v>
      </c>
      <c r="J314" s="40" t="n">
        <v>3.45317612968717</v>
      </c>
      <c r="K314" s="39" t="n">
        <f aca="false">IF(G314="","",MAX(0,G314-J314/100))</f>
        <v>0.357573501861023</v>
      </c>
      <c r="L314" s="39" t="n">
        <f aca="false">IF(G314="","",MIN(1,G314+J314/100))</f>
        <v>0.426637024454766</v>
      </c>
      <c r="M314" s="21" t="n">
        <f aca="false">ROUND(Q314*S314,0)</f>
        <v>46</v>
      </c>
      <c r="N314" s="21" t="n">
        <f aca="false">ROUND(SQRT((F314*J314/100)^2+(G314*M314)^2),0)</f>
        <v>32</v>
      </c>
      <c r="P314" s="41" t="n">
        <v>-13.3664871831162</v>
      </c>
      <c r="Q314" s="42" t="n">
        <v>760</v>
      </c>
      <c r="R314" s="43" t="n">
        <f aca="false">MAX(0,MIN(1,P314/100+$D$5))</f>
        <v>0.391553572895802</v>
      </c>
      <c r="S314" s="43" t="n">
        <v>0.0610405690258335</v>
      </c>
      <c r="T314" s="44" t="s">
        <v>90</v>
      </c>
    </row>
    <row r="315" customFormat="false" ht="15" hidden="false" customHeight="false" outlineLevel="0" collapsed="false">
      <c r="A315" s="38" t="s">
        <v>344</v>
      </c>
      <c r="B315" s="38" t="s">
        <v>443</v>
      </c>
      <c r="C315" s="38" t="s">
        <v>444</v>
      </c>
      <c r="D315" s="21" t="n">
        <f aca="false">ROUND(Q315*R315,0)</f>
        <v>210</v>
      </c>
      <c r="E315" s="21" t="n">
        <f aca="false">ROUND(Q315,0)-D315</f>
        <v>324</v>
      </c>
      <c r="F315" s="21" t="n">
        <f aca="false">IF(COUNTA(D315:E315)=0,"",SUM(D315:E315))</f>
        <v>534</v>
      </c>
      <c r="G315" s="39" t="n">
        <f aca="false">IF(OR(F315="",F315=0),"",D315/F315)</f>
        <v>0.393258426966292</v>
      </c>
      <c r="H315" s="39" t="n">
        <f aca="false">IF(OR(F315="",F315=0),"",E315/F315)</f>
        <v>0.606741573033708</v>
      </c>
      <c r="I315" s="38" t="s">
        <v>89</v>
      </c>
      <c r="J315" s="40" t="n">
        <v>3.45317612968717</v>
      </c>
      <c r="K315" s="39" t="n">
        <f aca="false">IF(G315="","",MAX(0,G315-J315/100))</f>
        <v>0.35872666566942</v>
      </c>
      <c r="L315" s="39" t="n">
        <f aca="false">IF(G315="","",MIN(1,G315+J315/100))</f>
        <v>0.427790188263164</v>
      </c>
      <c r="M315" s="21" t="n">
        <f aca="false">ROUND(Q315*S315,0)</f>
        <v>33</v>
      </c>
      <c r="N315" s="21" t="n">
        <f aca="false">ROUND(SQRT((F315*J315/100)^2+(G315*M315)^2),0)</f>
        <v>23</v>
      </c>
      <c r="P315" s="41" t="n">
        <v>-13.1688261329752</v>
      </c>
      <c r="Q315" s="42" t="n">
        <v>534</v>
      </c>
      <c r="R315" s="43" t="n">
        <f aca="false">MAX(0,MIN(1,P315/100+$D$5))</f>
        <v>0.393530183397213</v>
      </c>
      <c r="S315" s="43" t="n">
        <v>0.0610405690258335</v>
      </c>
      <c r="T315" s="44" t="s">
        <v>90</v>
      </c>
    </row>
    <row r="316" customFormat="false" ht="15" hidden="false" customHeight="false" outlineLevel="0" collapsed="false">
      <c r="A316" s="38" t="s">
        <v>344</v>
      </c>
      <c r="B316" s="38" t="s">
        <v>443</v>
      </c>
      <c r="C316" s="38" t="s">
        <v>445</v>
      </c>
      <c r="D316" s="21" t="n">
        <f aca="false">ROUND(Q316*R316,0)</f>
        <v>317</v>
      </c>
      <c r="E316" s="21" t="n">
        <f aca="false">ROUND(Q316,0)-D316</f>
        <v>549</v>
      </c>
      <c r="F316" s="21" t="n">
        <f aca="false">IF(COUNTA(D316:E316)=0,"",SUM(D316:E316))</f>
        <v>866</v>
      </c>
      <c r="G316" s="39" t="n">
        <f aca="false">IF(OR(F316="",F316=0),"",D316/F316)</f>
        <v>0.366050808314088</v>
      </c>
      <c r="H316" s="39" t="n">
        <f aca="false">IF(OR(F316="",F316=0),"",E316/F316)</f>
        <v>0.633949191685912</v>
      </c>
      <c r="I316" s="38" t="s">
        <v>89</v>
      </c>
      <c r="J316" s="40" t="n">
        <v>2.05025038892674</v>
      </c>
      <c r="K316" s="39" t="n">
        <f aca="false">IF(G316="","",MAX(0,G316-J316/100))</f>
        <v>0.34554830442482</v>
      </c>
      <c r="L316" s="39" t="n">
        <f aca="false">IF(G316="","",MIN(1,G316+J316/100))</f>
        <v>0.386553312203355</v>
      </c>
      <c r="M316" s="21" t="n">
        <f aca="false">ROUND(Q316*S316,0)</f>
        <v>43</v>
      </c>
      <c r="N316" s="21" t="n">
        <f aca="false">ROUND(SQRT((F316*J316/100)^2+(G316*M316)^2),0)</f>
        <v>24</v>
      </c>
      <c r="P316" s="41" t="n">
        <v>-15.8691172424179</v>
      </c>
      <c r="Q316" s="42" t="n">
        <v>866</v>
      </c>
      <c r="R316" s="43" t="n">
        <f aca="false">MAX(0,MIN(1,P316/100+$D$5))</f>
        <v>0.366527272302786</v>
      </c>
      <c r="S316" s="43" t="n">
        <v>0.0500321312575726</v>
      </c>
      <c r="T316" s="44" t="s">
        <v>99</v>
      </c>
    </row>
    <row r="317" customFormat="false" ht="15" hidden="false" customHeight="false" outlineLevel="0" collapsed="false">
      <c r="A317" s="38" t="s">
        <v>344</v>
      </c>
      <c r="B317" s="38" t="s">
        <v>446</v>
      </c>
      <c r="C317" s="38" t="s">
        <v>447</v>
      </c>
      <c r="D317" s="21" t="n">
        <f aca="false">ROUND(Q317*R317,0)</f>
        <v>205</v>
      </c>
      <c r="E317" s="21" t="n">
        <f aca="false">ROUND(Q317,0)-D317</f>
        <v>242</v>
      </c>
      <c r="F317" s="21" t="n">
        <f aca="false">IF(COUNTA(D317:E317)=0,"",SUM(D317:E317))</f>
        <v>447</v>
      </c>
      <c r="G317" s="39" t="n">
        <f aca="false">IF(OR(F317="",F317=0),"",D317/F317)</f>
        <v>0.458612975391499</v>
      </c>
      <c r="H317" s="39" t="n">
        <f aca="false">IF(OR(F317="",F317=0),"",E317/F317)</f>
        <v>0.541387024608501</v>
      </c>
      <c r="I317" s="38" t="s">
        <v>190</v>
      </c>
      <c r="J317" s="40" t="n">
        <v>3.45317612968717</v>
      </c>
      <c r="K317" s="39" t="n">
        <f aca="false">IF(G317="","",MAX(0,G317-J317/100))</f>
        <v>0.424081214094627</v>
      </c>
      <c r="L317" s="39" t="n">
        <f aca="false">IF(G317="","",MIN(1,G317+J317/100))</f>
        <v>0.493144736688371</v>
      </c>
      <c r="M317" s="21" t="n">
        <f aca="false">ROUND(Q317*S317,0)</f>
        <v>27</v>
      </c>
      <c r="N317" s="21" t="n">
        <f aca="false">ROUND(SQRT((F317*J317/100)^2+(G317*M317)^2),0)</f>
        <v>20</v>
      </c>
      <c r="P317" s="41" t="n">
        <v>-6.68857372402579</v>
      </c>
      <c r="Q317" s="42" t="n">
        <v>446.989492119089</v>
      </c>
      <c r="R317" s="43" t="n">
        <f aca="false">MAX(0,MIN(1,P317/100+$D$5))</f>
        <v>0.458332707486707</v>
      </c>
      <c r="S317" s="43" t="n">
        <v>0.0610405690258335</v>
      </c>
      <c r="T317" s="44" t="s">
        <v>90</v>
      </c>
    </row>
    <row r="318" customFormat="false" ht="15" hidden="false" customHeight="false" outlineLevel="0" collapsed="false">
      <c r="A318" s="38" t="s">
        <v>344</v>
      </c>
      <c r="B318" s="38" t="s">
        <v>446</v>
      </c>
      <c r="C318" s="38" t="s">
        <v>448</v>
      </c>
      <c r="D318" s="21" t="n">
        <f aca="false">ROUND(Q318*R318,0)</f>
        <v>574</v>
      </c>
      <c r="E318" s="21" t="n">
        <f aca="false">ROUND(Q318,0)-D318</f>
        <v>555</v>
      </c>
      <c r="F318" s="21" t="n">
        <f aca="false">IF(COUNTA(D318:E318)=0,"",SUM(D318:E318))</f>
        <v>1129</v>
      </c>
      <c r="G318" s="39" t="n">
        <f aca="false">IF(OR(F318="",F318=0),"",D318/F318)</f>
        <v>0.508414526129318</v>
      </c>
      <c r="H318" s="39" t="n">
        <f aca="false">IF(OR(F318="",F318=0),"",E318/F318)</f>
        <v>0.491585473870682</v>
      </c>
      <c r="I318" s="38" t="s">
        <v>190</v>
      </c>
      <c r="J318" s="40" t="n">
        <v>2.05025038892674</v>
      </c>
      <c r="K318" s="39" t="n">
        <f aca="false">IF(G318="","",MAX(0,G318-J318/100))</f>
        <v>0.487912022240051</v>
      </c>
      <c r="L318" s="39" t="n">
        <f aca="false">IF(G318="","",MIN(1,G318+J318/100))</f>
        <v>0.528917030018585</v>
      </c>
      <c r="M318" s="21" t="n">
        <f aca="false">ROUND(Q318*S318,0)</f>
        <v>57</v>
      </c>
      <c r="N318" s="21" t="n">
        <f aca="false">ROUND(SQRT((F318*J318/100)^2+(G318*M318)^2),0)</f>
        <v>37</v>
      </c>
      <c r="P318" s="41" t="n">
        <v>-1.68669315811653</v>
      </c>
      <c r="Q318" s="42" t="n">
        <v>1129.35026269702</v>
      </c>
      <c r="R318" s="43" t="n">
        <f aca="false">MAX(0,MIN(1,P318/100+$D$5))</f>
        <v>0.508351513145799</v>
      </c>
      <c r="S318" s="43" t="n">
        <v>0.0500321312575726</v>
      </c>
      <c r="T318" s="44" t="s">
        <v>99</v>
      </c>
    </row>
    <row r="319" customFormat="false" ht="15" hidden="false" customHeight="false" outlineLevel="0" collapsed="false">
      <c r="A319" s="38" t="s">
        <v>344</v>
      </c>
      <c r="B319" s="38" t="s">
        <v>446</v>
      </c>
      <c r="C319" s="38" t="s">
        <v>449</v>
      </c>
      <c r="D319" s="21" t="n">
        <f aca="false">ROUND(Q319*R319,0)</f>
        <v>548</v>
      </c>
      <c r="E319" s="21" t="n">
        <f aca="false">ROUND(Q319,0)-D319</f>
        <v>600</v>
      </c>
      <c r="F319" s="21" t="n">
        <f aca="false">IF(COUNTA(D319:E319)=0,"",SUM(D319:E319))</f>
        <v>1148</v>
      </c>
      <c r="G319" s="39" t="n">
        <f aca="false">IF(OR(F319="",F319=0),"",D319/F319)</f>
        <v>0.477351916376307</v>
      </c>
      <c r="H319" s="39" t="n">
        <f aca="false">IF(OR(F319="",F319=0),"",E319/F319)</f>
        <v>0.522648083623693</v>
      </c>
      <c r="I319" s="38" t="s">
        <v>89</v>
      </c>
      <c r="J319" s="40" t="n">
        <v>2.05025038892674</v>
      </c>
      <c r="K319" s="39" t="n">
        <f aca="false">IF(G319="","",MAX(0,G319-J319/100))</f>
        <v>0.456849412487039</v>
      </c>
      <c r="L319" s="39" t="n">
        <f aca="false">IF(G319="","",MIN(1,G319+J319/100))</f>
        <v>0.497854420265574</v>
      </c>
      <c r="M319" s="21" t="n">
        <f aca="false">ROUND(Q319*S319,0)</f>
        <v>57</v>
      </c>
      <c r="N319" s="21" t="n">
        <f aca="false">ROUND(SQRT((F319*J319/100)^2+(G319*M319)^2),0)</f>
        <v>36</v>
      </c>
      <c r="P319" s="41" t="n">
        <v>-4.81785399211061</v>
      </c>
      <c r="Q319" s="42" t="n">
        <v>1148</v>
      </c>
      <c r="R319" s="43" t="n">
        <f aca="false">MAX(0,MIN(1,P319/100+$D$5))</f>
        <v>0.477039904805859</v>
      </c>
      <c r="S319" s="43" t="n">
        <v>0.0500321312575726</v>
      </c>
      <c r="T319" s="44" t="s">
        <v>99</v>
      </c>
    </row>
    <row r="320" customFormat="false" ht="15" hidden="false" customHeight="false" outlineLevel="0" collapsed="false">
      <c r="A320" s="38" t="s">
        <v>344</v>
      </c>
      <c r="B320" s="38" t="s">
        <v>446</v>
      </c>
      <c r="C320" s="38" t="s">
        <v>450</v>
      </c>
      <c r="D320" s="21" t="n">
        <f aca="false">ROUND(Q320*R320,0)</f>
        <v>533</v>
      </c>
      <c r="E320" s="21" t="n">
        <f aca="false">ROUND(Q320,0)-D320</f>
        <v>583</v>
      </c>
      <c r="F320" s="21" t="n">
        <f aca="false">IF(COUNTA(D320:E320)=0,"",SUM(D320:E320))</f>
        <v>1116</v>
      </c>
      <c r="G320" s="39" t="n">
        <f aca="false">IF(OR(F320="",F320=0),"",D320/F320)</f>
        <v>0.477598566308244</v>
      </c>
      <c r="H320" s="39" t="n">
        <f aca="false">IF(OR(F320="",F320=0),"",E320/F320)</f>
        <v>0.522401433691756</v>
      </c>
      <c r="I320" s="38" t="s">
        <v>190</v>
      </c>
      <c r="J320" s="40" t="n">
        <v>2.05025038892674</v>
      </c>
      <c r="K320" s="39" t="n">
        <f aca="false">IF(G320="","",MAX(0,G320-J320/100))</f>
        <v>0.457096062418976</v>
      </c>
      <c r="L320" s="39" t="n">
        <f aca="false">IF(G320="","",MIN(1,G320+J320/100))</f>
        <v>0.498101070197511</v>
      </c>
      <c r="M320" s="21" t="n">
        <f aca="false">ROUND(Q320*S320,0)</f>
        <v>56</v>
      </c>
      <c r="N320" s="21" t="n">
        <f aca="false">ROUND(SQRT((F320*J320/100)^2+(G320*M320)^2),0)</f>
        <v>35</v>
      </c>
      <c r="P320" s="41" t="n">
        <v>-4.81696600493923</v>
      </c>
      <c r="Q320" s="42" t="n">
        <v>1116.39404553415</v>
      </c>
      <c r="R320" s="43" t="n">
        <f aca="false">MAX(0,MIN(1,P320/100+$D$5))</f>
        <v>0.477048784677572</v>
      </c>
      <c r="S320" s="43" t="n">
        <v>0.0500321312575726</v>
      </c>
      <c r="T320" s="44" t="s">
        <v>99</v>
      </c>
    </row>
    <row r="321" customFormat="false" ht="15" hidden="false" customHeight="false" outlineLevel="0" collapsed="false">
      <c r="A321" s="38" t="s">
        <v>344</v>
      </c>
      <c r="B321" s="38" t="s">
        <v>451</v>
      </c>
      <c r="C321" s="38" t="s">
        <v>452</v>
      </c>
      <c r="D321" s="21" t="n">
        <f aca="false">ROUND(Q321*R321,0)</f>
        <v>533</v>
      </c>
      <c r="E321" s="21" t="n">
        <f aca="false">ROUND(Q321,0)-D321</f>
        <v>412</v>
      </c>
      <c r="F321" s="21" t="n">
        <f aca="false">IF(COUNTA(D321:E321)=0,"",SUM(D321:E321))</f>
        <v>945</v>
      </c>
      <c r="G321" s="39" t="n">
        <f aca="false">IF(OR(F321="",F321=0),"",D321/F321)</f>
        <v>0.564021164021164</v>
      </c>
      <c r="H321" s="39" t="n">
        <f aca="false">IF(OR(F321="",F321=0),"",E321/F321)</f>
        <v>0.435978835978836</v>
      </c>
      <c r="I321" s="38" t="s">
        <v>89</v>
      </c>
      <c r="J321" s="40" t="n">
        <v>2.05025038892674</v>
      </c>
      <c r="K321" s="39" t="n">
        <f aca="false">IF(G321="","",MAX(0,G321-J321/100))</f>
        <v>0.543518660131897</v>
      </c>
      <c r="L321" s="39" t="n">
        <f aca="false">IF(G321="","",MIN(1,G321+J321/100))</f>
        <v>0.584523667910431</v>
      </c>
      <c r="M321" s="21" t="n">
        <f aca="false">ROUND(Q321*S321,0)</f>
        <v>47</v>
      </c>
      <c r="N321" s="21" t="n">
        <f aca="false">ROUND(SQRT((F321*J321/100)^2+(G321*M321)^2),0)</f>
        <v>33</v>
      </c>
      <c r="P321" s="41" t="n">
        <v>3.84541499990826</v>
      </c>
      <c r="Q321" s="42" t="n">
        <v>945</v>
      </c>
      <c r="R321" s="43" t="n">
        <f aca="false">MAX(0,MIN(1,P321/100+$D$5))</f>
        <v>0.563672594726047</v>
      </c>
      <c r="S321" s="43" t="n">
        <v>0.0500321312575726</v>
      </c>
      <c r="T321" s="44" t="s">
        <v>99</v>
      </c>
    </row>
    <row r="322" customFormat="false" ht="15" hidden="false" customHeight="false" outlineLevel="0" collapsed="false">
      <c r="A322" s="38" t="s">
        <v>344</v>
      </c>
      <c r="B322" s="38" t="s">
        <v>451</v>
      </c>
      <c r="C322" s="38" t="s">
        <v>453</v>
      </c>
      <c r="D322" s="21" t="n">
        <f aca="false">ROUND(Q322*R322,0)</f>
        <v>561</v>
      </c>
      <c r="E322" s="21" t="n">
        <f aca="false">ROUND(Q322,0)-D322</f>
        <v>622</v>
      </c>
      <c r="F322" s="21" t="n">
        <f aca="false">IF(COUNTA(D322:E322)=0,"",SUM(D322:E322))</f>
        <v>1183</v>
      </c>
      <c r="G322" s="39" t="n">
        <f aca="false">IF(OR(F322="",F322=0),"",D322/F322)</f>
        <v>0.474218089602705</v>
      </c>
      <c r="H322" s="39" t="n">
        <f aca="false">IF(OR(F322="",F322=0),"",E322/F322)</f>
        <v>0.525781910397295</v>
      </c>
      <c r="I322" s="38" t="s">
        <v>89</v>
      </c>
      <c r="J322" s="40" t="n">
        <v>2.05025038892674</v>
      </c>
      <c r="K322" s="39" t="n">
        <f aca="false">IF(G322="","",MAX(0,G322-J322/100))</f>
        <v>0.453715585713438</v>
      </c>
      <c r="L322" s="39" t="n">
        <f aca="false">IF(G322="","",MIN(1,G322+J322/100))</f>
        <v>0.494720593491972</v>
      </c>
      <c r="M322" s="21" t="n">
        <f aca="false">ROUND(Q322*S322,0)</f>
        <v>59</v>
      </c>
      <c r="N322" s="21" t="n">
        <f aca="false">ROUND(SQRT((F322*J322/100)^2+(G322*M322)^2),0)</f>
        <v>37</v>
      </c>
      <c r="P322" s="41" t="n">
        <v>-5.10315980915756</v>
      </c>
      <c r="Q322" s="42" t="n">
        <v>1183</v>
      </c>
      <c r="R322" s="43" t="n">
        <f aca="false">MAX(0,MIN(1,P322/100+$D$5))</f>
        <v>0.474186846635389</v>
      </c>
      <c r="S322" s="43" t="n">
        <v>0.0500321312575726</v>
      </c>
      <c r="T322" s="44" t="s">
        <v>99</v>
      </c>
    </row>
    <row r="323" customFormat="false" ht="15" hidden="false" customHeight="false" outlineLevel="0" collapsed="false">
      <c r="A323" s="38" t="s">
        <v>344</v>
      </c>
      <c r="B323" s="38" t="s">
        <v>451</v>
      </c>
      <c r="C323" s="38" t="s">
        <v>454</v>
      </c>
      <c r="D323" s="21" t="n">
        <f aca="false">ROUND(Q323*R323,0)</f>
        <v>340</v>
      </c>
      <c r="E323" s="21" t="n">
        <f aca="false">ROUND(Q323,0)-D323</f>
        <v>416</v>
      </c>
      <c r="F323" s="21" t="n">
        <f aca="false">IF(COUNTA(D323:E323)=0,"",SUM(D323:E323))</f>
        <v>756</v>
      </c>
      <c r="G323" s="39" t="n">
        <f aca="false">IF(OR(F323="",F323=0),"",D323/F323)</f>
        <v>0.44973544973545</v>
      </c>
      <c r="H323" s="39" t="n">
        <f aca="false">IF(OR(F323="",F323=0),"",E323/F323)</f>
        <v>0.55026455026455</v>
      </c>
      <c r="I323" s="38" t="s">
        <v>190</v>
      </c>
      <c r="J323" s="40" t="n">
        <v>3.45317612968717</v>
      </c>
      <c r="K323" s="39" t="n">
        <f aca="false">IF(G323="","",MAX(0,G323-J323/100))</f>
        <v>0.415203688438578</v>
      </c>
      <c r="L323" s="39" t="n">
        <f aca="false">IF(G323="","",MIN(1,G323+J323/100))</f>
        <v>0.484267211032321</v>
      </c>
      <c r="M323" s="21" t="n">
        <f aca="false">ROUND(Q323*S323,0)</f>
        <v>46</v>
      </c>
      <c r="N323" s="21" t="n">
        <f aca="false">ROUND(SQRT((F323*J323/100)^2+(G323*M323)^2),0)</f>
        <v>33</v>
      </c>
      <c r="P323" s="41" t="n">
        <v>-7.58779029758022</v>
      </c>
      <c r="Q323" s="42" t="n">
        <v>756.309895833333</v>
      </c>
      <c r="R323" s="43" t="n">
        <f aca="false">MAX(0,MIN(1,P323/100+$D$5))</f>
        <v>0.449340541751162</v>
      </c>
      <c r="S323" s="43" t="n">
        <v>0.0610405690258335</v>
      </c>
      <c r="T323" s="44" t="s">
        <v>90</v>
      </c>
    </row>
    <row r="324" customFormat="false" ht="15" hidden="false" customHeight="false" outlineLevel="0" collapsed="false">
      <c r="A324" s="38" t="s">
        <v>344</v>
      </c>
      <c r="B324" s="38" t="s">
        <v>451</v>
      </c>
      <c r="C324" s="38" t="s">
        <v>455</v>
      </c>
      <c r="D324" s="21" t="n">
        <f aca="false">ROUND(Q324*R324,0)</f>
        <v>419</v>
      </c>
      <c r="E324" s="21" t="n">
        <f aca="false">ROUND(Q324,0)-D324</f>
        <v>335</v>
      </c>
      <c r="F324" s="21" t="n">
        <f aca="false">IF(COUNTA(D324:E324)=0,"",SUM(D324:E324))</f>
        <v>754</v>
      </c>
      <c r="G324" s="39" t="n">
        <f aca="false">IF(OR(F324="",F324=0),"",D324/F324)</f>
        <v>0.555702917771883</v>
      </c>
      <c r="H324" s="39" t="n">
        <f aca="false">IF(OR(F324="",F324=0),"",E324/F324)</f>
        <v>0.444297082228117</v>
      </c>
      <c r="I324" s="38" t="s">
        <v>89</v>
      </c>
      <c r="J324" s="40" t="n">
        <v>3.45317612968717</v>
      </c>
      <c r="K324" s="39" t="n">
        <f aca="false">IF(G324="","",MAX(0,G324-J324/100))</f>
        <v>0.521171156475012</v>
      </c>
      <c r="L324" s="39" t="n">
        <f aca="false">IF(G324="","",MIN(1,G324+J324/100))</f>
        <v>0.590234679068755</v>
      </c>
      <c r="M324" s="21" t="n">
        <f aca="false">ROUND(Q324*S324,0)</f>
        <v>46</v>
      </c>
      <c r="N324" s="21" t="n">
        <f aca="false">ROUND(SQRT((F324*J324/100)^2+(G324*M324)^2),0)</f>
        <v>36</v>
      </c>
      <c r="P324" s="41" t="n">
        <v>3.09233904130885</v>
      </c>
      <c r="Q324" s="42" t="n">
        <v>754</v>
      </c>
      <c r="R324" s="43" t="n">
        <f aca="false">MAX(0,MIN(1,P324/100+$D$5))</f>
        <v>0.556141835140053</v>
      </c>
      <c r="S324" s="43" t="n">
        <v>0.0610405690258335</v>
      </c>
      <c r="T324" s="44" t="s">
        <v>90</v>
      </c>
    </row>
    <row r="325" customFormat="false" ht="15" hidden="false" customHeight="false" outlineLevel="0" collapsed="false">
      <c r="A325" s="38" t="s">
        <v>344</v>
      </c>
      <c r="B325" s="38" t="s">
        <v>451</v>
      </c>
      <c r="C325" s="38" t="s">
        <v>456</v>
      </c>
      <c r="D325" s="21" t="n">
        <f aca="false">ROUND(Q325*R325,0)</f>
        <v>379</v>
      </c>
      <c r="E325" s="21" t="n">
        <f aca="false">ROUND(Q325,0)-D325</f>
        <v>446</v>
      </c>
      <c r="F325" s="21" t="n">
        <f aca="false">IF(COUNTA(D325:E325)=0,"",SUM(D325:E325))</f>
        <v>825</v>
      </c>
      <c r="G325" s="39" t="n">
        <f aca="false">IF(OR(F325="",F325=0),"",D325/F325)</f>
        <v>0.459393939393939</v>
      </c>
      <c r="H325" s="39" t="n">
        <f aca="false">IF(OR(F325="",F325=0),"",E325/F325)</f>
        <v>0.540606060606061</v>
      </c>
      <c r="I325" s="38" t="s">
        <v>89</v>
      </c>
      <c r="J325" s="40" t="n">
        <v>2.05025038892674</v>
      </c>
      <c r="K325" s="39" t="n">
        <f aca="false">IF(G325="","",MAX(0,G325-J325/100))</f>
        <v>0.438891435504672</v>
      </c>
      <c r="L325" s="39" t="n">
        <f aca="false">IF(G325="","",MIN(1,G325+J325/100))</f>
        <v>0.479896443283207</v>
      </c>
      <c r="M325" s="21" t="n">
        <f aca="false">ROUND(Q325*S325,0)</f>
        <v>41</v>
      </c>
      <c r="N325" s="21" t="n">
        <f aca="false">ROUND(SQRT((F325*J325/100)^2+(G325*M325)^2),0)</f>
        <v>25</v>
      </c>
      <c r="P325" s="41" t="n">
        <v>-6.59803791460709</v>
      </c>
      <c r="Q325" s="42" t="n">
        <v>825</v>
      </c>
      <c r="R325" s="43" t="n">
        <f aca="false">MAX(0,MIN(1,P325/100+$D$5))</f>
        <v>0.459238065580894</v>
      </c>
      <c r="S325" s="43" t="n">
        <v>0.0500321312575726</v>
      </c>
      <c r="T325" s="44" t="s">
        <v>99</v>
      </c>
    </row>
    <row r="326" customFormat="false" ht="15" hidden="false" customHeight="false" outlineLevel="0" collapsed="false">
      <c r="A326" s="38" t="s">
        <v>344</v>
      </c>
      <c r="B326" s="38" t="s">
        <v>451</v>
      </c>
      <c r="C326" s="38" t="s">
        <v>457</v>
      </c>
      <c r="D326" s="21" t="n">
        <f aca="false">ROUND(Q326*R326,0)</f>
        <v>724</v>
      </c>
      <c r="E326" s="21" t="n">
        <f aca="false">ROUND(Q326,0)-D326</f>
        <v>713</v>
      </c>
      <c r="F326" s="21" t="n">
        <f aca="false">IF(COUNTA(D326:E326)=0,"",SUM(D326:E326))</f>
        <v>1437</v>
      </c>
      <c r="G326" s="39" t="n">
        <f aca="false">IF(OR(F326="",F326=0),"",D326/F326)</f>
        <v>0.503827418232429</v>
      </c>
      <c r="H326" s="39" t="n">
        <f aca="false">IF(OR(F326="",F326=0),"",E326/F326)</f>
        <v>0.496172581767571</v>
      </c>
      <c r="I326" s="38" t="s">
        <v>190</v>
      </c>
      <c r="J326" s="40" t="n">
        <v>1.25589305869883</v>
      </c>
      <c r="K326" s="39" t="n">
        <f aca="false">IF(G326="","",MAX(0,G326-J326/100))</f>
        <v>0.49126848764544</v>
      </c>
      <c r="L326" s="39" t="n">
        <f aca="false">IF(G326="","",MIN(1,G326+J326/100))</f>
        <v>0.516386348819417</v>
      </c>
      <c r="M326" s="21" t="n">
        <f aca="false">ROUND(Q326*S326,0)</f>
        <v>187</v>
      </c>
      <c r="N326" s="21" t="n">
        <f aca="false">ROUND(SQRT((F326*J326/100)^2+(G326*M326)^2),0)</f>
        <v>96</v>
      </c>
      <c r="P326" s="41" t="n">
        <v>-2.12366905538319</v>
      </c>
      <c r="Q326" s="42" t="n">
        <v>1436.54780505952</v>
      </c>
      <c r="R326" s="43" t="n">
        <f aca="false">MAX(0,MIN(1,P326/100+$D$5))</f>
        <v>0.503981754173133</v>
      </c>
      <c r="S326" s="43" t="n">
        <v>0.130204099606216</v>
      </c>
      <c r="T326" s="44" t="s">
        <v>192</v>
      </c>
    </row>
    <row r="327" customFormat="false" ht="15" hidden="false" customHeight="false" outlineLevel="0" collapsed="false">
      <c r="A327" s="38" t="s">
        <v>344</v>
      </c>
      <c r="B327" s="38" t="s">
        <v>458</v>
      </c>
      <c r="C327" s="38" t="s">
        <v>459</v>
      </c>
      <c r="D327" s="21" t="n">
        <f aca="false">ROUND(Q327*R327,0)</f>
        <v>355</v>
      </c>
      <c r="E327" s="21" t="n">
        <f aca="false">ROUND(Q327,0)-D327</f>
        <v>582</v>
      </c>
      <c r="F327" s="21" t="n">
        <f aca="false">IF(COUNTA(D327:E327)=0,"",SUM(D327:E327))</f>
        <v>937</v>
      </c>
      <c r="G327" s="39" t="n">
        <f aca="false">IF(OR(F327="",F327=0),"",D327/F327)</f>
        <v>0.378868729989328</v>
      </c>
      <c r="H327" s="39" t="n">
        <f aca="false">IF(OR(F327="",F327=0),"",E327/F327)</f>
        <v>0.621131270010672</v>
      </c>
      <c r="I327" s="38" t="s">
        <v>89</v>
      </c>
      <c r="J327" s="40" t="n">
        <v>2.05025038892674</v>
      </c>
      <c r="K327" s="39" t="n">
        <f aca="false">IF(G327="","",MAX(0,G327-J327/100))</f>
        <v>0.35836622610006</v>
      </c>
      <c r="L327" s="39" t="n">
        <f aca="false">IF(G327="","",MIN(1,G327+J327/100))</f>
        <v>0.399371233878595</v>
      </c>
      <c r="M327" s="21" t="n">
        <f aca="false">ROUND(Q327*S327,0)</f>
        <v>47</v>
      </c>
      <c r="N327" s="21" t="n">
        <f aca="false">ROUND(SQRT((F327*J327/100)^2+(G327*M327)^2),0)</f>
        <v>26</v>
      </c>
      <c r="P327" s="41" t="n">
        <v>-14.5916276503648</v>
      </c>
      <c r="Q327" s="42" t="n">
        <v>937</v>
      </c>
      <c r="R327" s="43" t="n">
        <f aca="false">MAX(0,MIN(1,P327/100+$D$5))</f>
        <v>0.379302168223317</v>
      </c>
      <c r="S327" s="43" t="n">
        <v>0.0500321312575726</v>
      </c>
      <c r="T327" s="44" t="s">
        <v>99</v>
      </c>
    </row>
    <row r="328" customFormat="false" ht="15" hidden="false" customHeight="false" outlineLevel="0" collapsed="false">
      <c r="A328" s="38" t="s">
        <v>344</v>
      </c>
      <c r="B328" s="38" t="s">
        <v>458</v>
      </c>
      <c r="C328" s="38" t="s">
        <v>460</v>
      </c>
      <c r="D328" s="21" t="n">
        <f aca="false">ROUND(Q328*R328,0)</f>
        <v>690</v>
      </c>
      <c r="E328" s="21" t="n">
        <f aca="false">ROUND(Q328,0)-D328</f>
        <v>1149</v>
      </c>
      <c r="F328" s="21" t="n">
        <f aca="false">IF(COUNTA(D328:E328)=0,"",SUM(D328:E328))</f>
        <v>1839</v>
      </c>
      <c r="G328" s="39" t="n">
        <f aca="false">IF(OR(F328="",F328=0),"",D328/F328)</f>
        <v>0.375203915171289</v>
      </c>
      <c r="H328" s="39" t="n">
        <f aca="false">IF(OR(F328="",F328=0),"",E328/F328)</f>
        <v>0.624796084828711</v>
      </c>
      <c r="I328" s="38" t="s">
        <v>89</v>
      </c>
      <c r="J328" s="40" t="n">
        <v>1.25589305869883</v>
      </c>
      <c r="K328" s="39" t="n">
        <f aca="false">IF(G328="","",MAX(0,G328-J328/100))</f>
        <v>0.3626449845843</v>
      </c>
      <c r="L328" s="39" t="n">
        <f aca="false">IF(G328="","",MIN(1,G328+J328/100))</f>
        <v>0.387762845758277</v>
      </c>
      <c r="M328" s="21" t="n">
        <f aca="false">ROUND(Q328*S328,0)</f>
        <v>239</v>
      </c>
      <c r="N328" s="21" t="n">
        <f aca="false">ROUND(SQRT((F328*J328/100)^2+(G328*M328)^2),0)</f>
        <v>93</v>
      </c>
      <c r="P328" s="41" t="n">
        <v>-15.027413967622</v>
      </c>
      <c r="Q328" s="42" t="n">
        <v>1839</v>
      </c>
      <c r="R328" s="43" t="n">
        <f aca="false">MAX(0,MIN(1,P328/100+$D$5))</f>
        <v>0.374944305050744</v>
      </c>
      <c r="S328" s="43" t="n">
        <v>0.130204099606216</v>
      </c>
      <c r="T328" s="44" t="s">
        <v>192</v>
      </c>
    </row>
    <row r="329" customFormat="false" ht="15" hidden="false" customHeight="false" outlineLevel="0" collapsed="false">
      <c r="A329" s="38" t="s">
        <v>344</v>
      </c>
      <c r="B329" s="38" t="s">
        <v>458</v>
      </c>
      <c r="C329" s="38" t="s">
        <v>461</v>
      </c>
      <c r="D329" s="21" t="n">
        <f aca="false">ROUND(Q329*R329,0)</f>
        <v>477</v>
      </c>
      <c r="E329" s="21" t="n">
        <f aca="false">ROUND(Q329,0)-D329</f>
        <v>870</v>
      </c>
      <c r="F329" s="21" t="n">
        <f aca="false">IF(COUNTA(D329:E329)=0,"",SUM(D329:E329))</f>
        <v>1347</v>
      </c>
      <c r="G329" s="39" t="n">
        <f aca="false">IF(OR(F329="",F329=0),"",D329/F329)</f>
        <v>0.354120267260579</v>
      </c>
      <c r="H329" s="39" t="n">
        <f aca="false">IF(OR(F329="",F329=0),"",E329/F329)</f>
        <v>0.645879732739421</v>
      </c>
      <c r="I329" s="38" t="s">
        <v>89</v>
      </c>
      <c r="J329" s="40" t="n">
        <v>1.25589305869883</v>
      </c>
      <c r="K329" s="39" t="n">
        <f aca="false">IF(G329="","",MAX(0,G329-J329/100))</f>
        <v>0.341561336673591</v>
      </c>
      <c r="L329" s="39" t="n">
        <f aca="false">IF(G329="","",MIN(1,G329+J329/100))</f>
        <v>0.366679197847567</v>
      </c>
      <c r="M329" s="21" t="n">
        <f aca="false">ROUND(Q329*S329,0)</f>
        <v>175</v>
      </c>
      <c r="N329" s="21" t="n">
        <f aca="false">ROUND(SQRT((F329*J329/100)^2+(G329*M329)^2),0)</f>
        <v>64</v>
      </c>
      <c r="P329" s="41" t="n">
        <v>-17.1205733878305</v>
      </c>
      <c r="Q329" s="42" t="n">
        <v>1347</v>
      </c>
      <c r="R329" s="43" t="n">
        <f aca="false">MAX(0,MIN(1,P329/100+$D$5))</f>
        <v>0.35401271084866</v>
      </c>
      <c r="S329" s="43" t="n">
        <v>0.130204099606216</v>
      </c>
      <c r="T329" s="44" t="s">
        <v>192</v>
      </c>
    </row>
    <row r="330" customFormat="false" ht="15" hidden="false" customHeight="false" outlineLevel="0" collapsed="false">
      <c r="A330" s="38" t="s">
        <v>344</v>
      </c>
      <c r="B330" s="38" t="s">
        <v>458</v>
      </c>
      <c r="C330" s="38" t="s">
        <v>462</v>
      </c>
      <c r="D330" s="21" t="n">
        <f aca="false">ROUND(Q330*R330,0)</f>
        <v>223</v>
      </c>
      <c r="E330" s="21" t="n">
        <f aca="false">ROUND(Q330,0)-D330</f>
        <v>406</v>
      </c>
      <c r="F330" s="21" t="n">
        <f aca="false">IF(COUNTA(D330:E330)=0,"",SUM(D330:E330))</f>
        <v>629</v>
      </c>
      <c r="G330" s="39" t="n">
        <f aca="false">IF(OR(F330="",F330=0),"",D330/F330)</f>
        <v>0.354531001589825</v>
      </c>
      <c r="H330" s="39" t="n">
        <f aca="false">IF(OR(F330="",F330=0),"",E330/F330)</f>
        <v>0.645468998410175</v>
      </c>
      <c r="I330" s="38" t="s">
        <v>89</v>
      </c>
      <c r="J330" s="40" t="n">
        <v>3.45317612968717</v>
      </c>
      <c r="K330" s="39" t="n">
        <f aca="false">IF(G330="","",MAX(0,G330-J330/100))</f>
        <v>0.319999240292953</v>
      </c>
      <c r="L330" s="39" t="n">
        <f aca="false">IF(G330="","",MIN(1,G330+J330/100))</f>
        <v>0.389062762886697</v>
      </c>
      <c r="M330" s="21" t="n">
        <f aca="false">ROUND(Q330*S330,0)</f>
        <v>38</v>
      </c>
      <c r="N330" s="21" t="n">
        <f aca="false">ROUND(SQRT((F330*J330/100)^2+(G330*M330)^2),0)</f>
        <v>26</v>
      </c>
      <c r="P330" s="41" t="n">
        <v>-17.0153010241162</v>
      </c>
      <c r="Q330" s="42" t="n">
        <v>629</v>
      </c>
      <c r="R330" s="43" t="n">
        <f aca="false">MAX(0,MIN(1,P330/100+$D$5))</f>
        <v>0.355065434485803</v>
      </c>
      <c r="S330" s="43" t="n">
        <v>0.0610405690258335</v>
      </c>
      <c r="T330" s="44" t="s">
        <v>90</v>
      </c>
    </row>
    <row r="331" customFormat="false" ht="15" hidden="false" customHeight="false" outlineLevel="0" collapsed="false">
      <c r="A331" s="38" t="s">
        <v>344</v>
      </c>
      <c r="B331" s="38" t="s">
        <v>463</v>
      </c>
      <c r="C331" s="38" t="s">
        <v>464</v>
      </c>
      <c r="D331" s="21" t="n">
        <f aca="false">ROUND(Q331*R331,0)</f>
        <v>518</v>
      </c>
      <c r="E331" s="21" t="n">
        <f aca="false">ROUND(Q331,0)-D331</f>
        <v>435</v>
      </c>
      <c r="F331" s="21" t="n">
        <f aca="false">IF(COUNTA(D331:E331)=0,"",SUM(D331:E331))</f>
        <v>953</v>
      </c>
      <c r="G331" s="39" t="n">
        <f aca="false">IF(OR(F331="",F331=0),"",D331/F331)</f>
        <v>0.543546694648479</v>
      </c>
      <c r="H331" s="39" t="n">
        <f aca="false">IF(OR(F331="",F331=0),"",E331/F331)</f>
        <v>0.456453305351522</v>
      </c>
      <c r="I331" s="38" t="s">
        <v>89</v>
      </c>
      <c r="J331" s="40" t="n">
        <v>2.05025038892674</v>
      </c>
      <c r="K331" s="39" t="n">
        <f aca="false">IF(G331="","",MAX(0,G331-J331/100))</f>
        <v>0.523044190759211</v>
      </c>
      <c r="L331" s="39" t="n">
        <f aca="false">IF(G331="","",MIN(1,G331+J331/100))</f>
        <v>0.564049198537746</v>
      </c>
      <c r="M331" s="21" t="n">
        <f aca="false">ROUND(Q331*S331,0)</f>
        <v>48</v>
      </c>
      <c r="N331" s="21" t="n">
        <f aca="false">ROUND(SQRT((F331*J331/100)^2+(G331*M331)^2),0)</f>
        <v>33</v>
      </c>
      <c r="P331" s="41" t="n">
        <v>1.85017240183529</v>
      </c>
      <c r="Q331" s="42" t="n">
        <v>953</v>
      </c>
      <c r="R331" s="43" t="n">
        <f aca="false">MAX(0,MIN(1,P331/100+$D$5))</f>
        <v>0.543720168745318</v>
      </c>
      <c r="S331" s="43" t="n">
        <v>0.0500321312575726</v>
      </c>
      <c r="T331" s="44" t="s">
        <v>99</v>
      </c>
    </row>
    <row r="332" customFormat="false" ht="15" hidden="false" customHeight="false" outlineLevel="0" collapsed="false">
      <c r="A332" s="38" t="s">
        <v>344</v>
      </c>
      <c r="B332" s="38" t="s">
        <v>463</v>
      </c>
      <c r="C332" s="38" t="s">
        <v>465</v>
      </c>
      <c r="D332" s="21" t="n">
        <f aca="false">ROUND(Q332*R332,0)</f>
        <v>428</v>
      </c>
      <c r="E332" s="21" t="n">
        <f aca="false">ROUND(Q332,0)-D332</f>
        <v>350</v>
      </c>
      <c r="F332" s="21" t="n">
        <f aca="false">IF(COUNTA(D332:E332)=0,"",SUM(D332:E332))</f>
        <v>778</v>
      </c>
      <c r="G332" s="39" t="n">
        <f aca="false">IF(OR(F332="",F332=0),"",D332/F332)</f>
        <v>0.55012853470437</v>
      </c>
      <c r="H332" s="39" t="n">
        <f aca="false">IF(OR(F332="",F332=0),"",E332/F332)</f>
        <v>0.44987146529563</v>
      </c>
      <c r="I332" s="38" t="s">
        <v>89</v>
      </c>
      <c r="J332" s="40" t="n">
        <v>2.05025038892674</v>
      </c>
      <c r="K332" s="39" t="n">
        <f aca="false">IF(G332="","",MAX(0,G332-J332/100))</f>
        <v>0.529626030815103</v>
      </c>
      <c r="L332" s="39" t="n">
        <f aca="false">IF(G332="","",MIN(1,G332+J332/100))</f>
        <v>0.570631038593638</v>
      </c>
      <c r="M332" s="21" t="n">
        <f aca="false">ROUND(Q332*S332,0)</f>
        <v>39</v>
      </c>
      <c r="N332" s="21" t="n">
        <f aca="false">ROUND(SQRT((F332*J332/100)^2+(G332*M332)^2),0)</f>
        <v>27</v>
      </c>
      <c r="P332" s="41" t="n">
        <v>2.49547861598338</v>
      </c>
      <c r="Q332" s="42" t="n">
        <v>778</v>
      </c>
      <c r="R332" s="43" t="n">
        <f aca="false">MAX(0,MIN(1,P332/100+$D$5))</f>
        <v>0.550173230886799</v>
      </c>
      <c r="S332" s="43" t="n">
        <v>0.0500321312575726</v>
      </c>
      <c r="T332" s="44" t="s">
        <v>99</v>
      </c>
    </row>
    <row r="333" customFormat="false" ht="15" hidden="false" customHeight="false" outlineLevel="0" collapsed="false">
      <c r="A333" s="38" t="s">
        <v>344</v>
      </c>
      <c r="B333" s="38" t="s">
        <v>463</v>
      </c>
      <c r="C333" s="38" t="s">
        <v>466</v>
      </c>
      <c r="D333" s="21" t="n">
        <f aca="false">ROUND(Q333*R333,0)</f>
        <v>388</v>
      </c>
      <c r="E333" s="21" t="n">
        <f aca="false">ROUND(Q333,0)-D333</f>
        <v>341</v>
      </c>
      <c r="F333" s="21" t="n">
        <f aca="false">IF(COUNTA(D333:E333)=0,"",SUM(D333:E333))</f>
        <v>729</v>
      </c>
      <c r="G333" s="39" t="n">
        <f aca="false">IF(OR(F333="",F333=0),"",D333/F333)</f>
        <v>0.532235939643347</v>
      </c>
      <c r="H333" s="39" t="n">
        <f aca="false">IF(OR(F333="",F333=0),"",E333/F333)</f>
        <v>0.467764060356653</v>
      </c>
      <c r="I333" s="38" t="s">
        <v>89</v>
      </c>
      <c r="J333" s="40" t="n">
        <v>3.45317612968717</v>
      </c>
      <c r="K333" s="39" t="n">
        <f aca="false">IF(G333="","",MAX(0,G333-J333/100))</f>
        <v>0.497704178346475</v>
      </c>
      <c r="L333" s="39" t="n">
        <f aca="false">IF(G333="","",MIN(1,G333+J333/100))</f>
        <v>0.566767700940219</v>
      </c>
      <c r="M333" s="21" t="n">
        <f aca="false">ROUND(Q333*S333,0)</f>
        <v>44</v>
      </c>
      <c r="N333" s="21" t="n">
        <f aca="false">ROUND(SQRT((F333*J333/100)^2+(G333*M333)^2),0)</f>
        <v>34</v>
      </c>
      <c r="P333" s="41" t="n">
        <v>0.680574667475788</v>
      </c>
      <c r="Q333" s="42" t="n">
        <v>729</v>
      </c>
      <c r="R333" s="43" t="n">
        <f aca="false">MAX(0,MIN(1,P333/100+$D$5))</f>
        <v>0.532024191401723</v>
      </c>
      <c r="S333" s="43" t="n">
        <v>0.0610405690258335</v>
      </c>
      <c r="T333" s="44" t="s">
        <v>90</v>
      </c>
    </row>
    <row r="334" customFormat="false" ht="15" hidden="false" customHeight="false" outlineLevel="0" collapsed="false">
      <c r="A334" s="38" t="s">
        <v>344</v>
      </c>
      <c r="B334" s="38" t="s">
        <v>467</v>
      </c>
      <c r="C334" s="38" t="s">
        <v>468</v>
      </c>
      <c r="D334" s="21" t="n">
        <f aca="false">ROUND(Q334*R334,0)</f>
        <v>180</v>
      </c>
      <c r="E334" s="21" t="n">
        <f aca="false">ROUND(Q334,0)-D334</f>
        <v>182</v>
      </c>
      <c r="F334" s="21" t="n">
        <f aca="false">IF(COUNTA(D334:E334)=0,"",SUM(D334:E334))</f>
        <v>362</v>
      </c>
      <c r="G334" s="39" t="n">
        <f aca="false">IF(OR(F334="",F334=0),"",D334/F334)</f>
        <v>0.497237569060774</v>
      </c>
      <c r="H334" s="39" t="n">
        <f aca="false">IF(OR(F334="",F334=0),"",E334/F334)</f>
        <v>0.502762430939227</v>
      </c>
      <c r="I334" s="38" t="s">
        <v>89</v>
      </c>
      <c r="J334" s="40" t="n">
        <v>3.45317612968717</v>
      </c>
      <c r="K334" s="39" t="n">
        <f aca="false">IF(G334="","",MAX(0,G334-J334/100))</f>
        <v>0.462705807763902</v>
      </c>
      <c r="L334" s="39" t="n">
        <f aca="false">IF(G334="","",MIN(1,G334+J334/100))</f>
        <v>0.531769330357645</v>
      </c>
      <c r="M334" s="21" t="n">
        <f aca="false">ROUND(Q334*S334,0)</f>
        <v>22</v>
      </c>
      <c r="N334" s="21" t="n">
        <f aca="false">ROUND(SQRT((F334*J334/100)^2+(G334*M334)^2),0)</f>
        <v>17</v>
      </c>
      <c r="P334" s="41" t="n">
        <v>-2.91769775859424</v>
      </c>
      <c r="Q334" s="42" t="n">
        <v>362</v>
      </c>
      <c r="R334" s="43" t="n">
        <f aca="false">MAX(0,MIN(1,P334/100+$D$5))</f>
        <v>0.496041467141022</v>
      </c>
      <c r="S334" s="43" t="n">
        <v>0.0610405690258335</v>
      </c>
      <c r="T334" s="44" t="s">
        <v>90</v>
      </c>
    </row>
    <row r="335" customFormat="false" ht="15" hidden="false" customHeight="false" outlineLevel="0" collapsed="false">
      <c r="A335" s="38" t="s">
        <v>344</v>
      </c>
      <c r="B335" s="38" t="s">
        <v>467</v>
      </c>
      <c r="C335" s="38" t="s">
        <v>469</v>
      </c>
      <c r="D335" s="21" t="n">
        <f aca="false">ROUND(Q335*R335,0)</f>
        <v>501</v>
      </c>
      <c r="E335" s="21" t="n">
        <f aca="false">ROUND(Q335,0)-D335</f>
        <v>415</v>
      </c>
      <c r="F335" s="21" t="n">
        <f aca="false">IF(COUNTA(D335:E335)=0,"",SUM(D335:E335))</f>
        <v>916</v>
      </c>
      <c r="G335" s="39" t="n">
        <f aca="false">IF(OR(F335="",F335=0),"",D335/F335)</f>
        <v>0.546943231441048</v>
      </c>
      <c r="H335" s="39" t="n">
        <f aca="false">IF(OR(F335="",F335=0),"",E335/F335)</f>
        <v>0.453056768558952</v>
      </c>
      <c r="I335" s="38" t="s">
        <v>89</v>
      </c>
      <c r="J335" s="40" t="n">
        <v>2.05025038892674</v>
      </c>
      <c r="K335" s="39" t="n">
        <f aca="false">IF(G335="","",MAX(0,G335-J335/100))</f>
        <v>0.526440727551781</v>
      </c>
      <c r="L335" s="39" t="n">
        <f aca="false">IF(G335="","",MIN(1,G335+J335/100))</f>
        <v>0.567445735330315</v>
      </c>
      <c r="M335" s="21" t="n">
        <f aca="false">ROUND(Q335*S335,0)</f>
        <v>46</v>
      </c>
      <c r="N335" s="21" t="n">
        <f aca="false">ROUND(SQRT((F335*J335/100)^2+(G335*M335)^2),0)</f>
        <v>31</v>
      </c>
      <c r="P335" s="41" t="n">
        <v>2.14529526248558</v>
      </c>
      <c r="Q335" s="42" t="n">
        <v>916</v>
      </c>
      <c r="R335" s="43" t="n">
        <f aca="false">MAX(0,MIN(1,P335/100+$D$5))</f>
        <v>0.546671397351821</v>
      </c>
      <c r="S335" s="43" t="n">
        <v>0.0500321312575726</v>
      </c>
      <c r="T335" s="44" t="s">
        <v>99</v>
      </c>
    </row>
    <row r="336" customFormat="false" ht="15" hidden="false" customHeight="false" outlineLevel="0" collapsed="false">
      <c r="A336" s="38" t="s">
        <v>344</v>
      </c>
      <c r="B336" s="38" t="s">
        <v>470</v>
      </c>
      <c r="C336" s="38" t="s">
        <v>471</v>
      </c>
      <c r="D336" s="21" t="n">
        <f aca="false">ROUND(Q336*R336,0)</f>
        <v>501</v>
      </c>
      <c r="E336" s="21" t="n">
        <f aca="false">ROUND(Q336,0)-D336</f>
        <v>454</v>
      </c>
      <c r="F336" s="21" t="n">
        <f aca="false">IF(COUNTA(D336:E336)=0,"",SUM(D336:E336))</f>
        <v>955</v>
      </c>
      <c r="G336" s="39" t="n">
        <f aca="false">IF(OR(F336="",F336=0),"",D336/F336)</f>
        <v>0.524607329842932</v>
      </c>
      <c r="H336" s="39" t="n">
        <f aca="false">IF(OR(F336="",F336=0),"",E336/F336)</f>
        <v>0.475392670157068</v>
      </c>
      <c r="I336" s="38" t="s">
        <v>89</v>
      </c>
      <c r="J336" s="40" t="n">
        <v>2.05025038892674</v>
      </c>
      <c r="K336" s="39" t="n">
        <f aca="false">IF(G336="","",MAX(0,G336-J336/100))</f>
        <v>0.504104825953665</v>
      </c>
      <c r="L336" s="39" t="n">
        <f aca="false">IF(G336="","",MIN(1,G336+J336/100))</f>
        <v>0.545109833732199</v>
      </c>
      <c r="M336" s="21" t="n">
        <f aca="false">ROUND(Q336*S336,0)</f>
        <v>48</v>
      </c>
      <c r="N336" s="21" t="n">
        <f aca="false">ROUND(SQRT((F336*J336/100)^2+(G336*M336)^2),0)</f>
        <v>32</v>
      </c>
      <c r="P336" s="41" t="n">
        <v>-0.0314830743548691</v>
      </c>
      <c r="Q336" s="42" t="n">
        <v>955</v>
      </c>
      <c r="R336" s="43" t="n">
        <f aca="false">MAX(0,MIN(1,P336/100+$D$5))</f>
        <v>0.524903613983416</v>
      </c>
      <c r="S336" s="43" t="n">
        <v>0.0500321312575726</v>
      </c>
      <c r="T336" s="44" t="s">
        <v>99</v>
      </c>
    </row>
    <row r="337" customFormat="false" ht="15" hidden="false" customHeight="false" outlineLevel="0" collapsed="false">
      <c r="A337" s="38" t="s">
        <v>344</v>
      </c>
      <c r="B337" s="38" t="s">
        <v>470</v>
      </c>
      <c r="C337" s="38" t="s">
        <v>472</v>
      </c>
      <c r="D337" s="21" t="n">
        <f aca="false">ROUND(Q337*R337,0)</f>
        <v>454</v>
      </c>
      <c r="E337" s="21" t="n">
        <f aca="false">ROUND(Q337,0)-D337</f>
        <v>380</v>
      </c>
      <c r="F337" s="21" t="n">
        <f aca="false">IF(COUNTA(D337:E337)=0,"",SUM(D337:E337))</f>
        <v>834</v>
      </c>
      <c r="G337" s="39" t="n">
        <f aca="false">IF(OR(F337="",F337=0),"",D337/F337)</f>
        <v>0.544364508393285</v>
      </c>
      <c r="H337" s="39" t="n">
        <f aca="false">IF(OR(F337="",F337=0),"",E337/F337)</f>
        <v>0.455635491606715</v>
      </c>
      <c r="I337" s="38" t="s">
        <v>89</v>
      </c>
      <c r="J337" s="40" t="n">
        <v>2.05025038892674</v>
      </c>
      <c r="K337" s="39" t="n">
        <f aca="false">IF(G337="","",MAX(0,G337-J337/100))</f>
        <v>0.523862004504018</v>
      </c>
      <c r="L337" s="39" t="n">
        <f aca="false">IF(G337="","",MIN(1,G337+J337/100))</f>
        <v>0.564867012282553</v>
      </c>
      <c r="M337" s="21" t="n">
        <f aca="false">ROUND(Q337*S337,0)</f>
        <v>42</v>
      </c>
      <c r="N337" s="21" t="n">
        <f aca="false">ROUND(SQRT((F337*J337/100)^2+(G337*M337)^2),0)</f>
        <v>29</v>
      </c>
      <c r="P337" s="41" t="n">
        <v>1.85551527130019</v>
      </c>
      <c r="Q337" s="42" t="n">
        <v>834</v>
      </c>
      <c r="R337" s="43" t="n">
        <f aca="false">MAX(0,MIN(1,P337/100+$D$5))</f>
        <v>0.543773597439967</v>
      </c>
      <c r="S337" s="43" t="n">
        <v>0.0500321312575726</v>
      </c>
      <c r="T337" s="44" t="s">
        <v>99</v>
      </c>
    </row>
    <row r="338" customFormat="false" ht="15" hidden="false" customHeight="false" outlineLevel="0" collapsed="false">
      <c r="A338" s="38" t="s">
        <v>344</v>
      </c>
      <c r="B338" s="38" t="s">
        <v>470</v>
      </c>
      <c r="C338" s="38" t="s">
        <v>473</v>
      </c>
      <c r="D338" s="21" t="n">
        <f aca="false">ROUND(Q338*R338,0)</f>
        <v>914</v>
      </c>
      <c r="E338" s="21" t="n">
        <f aca="false">ROUND(Q338,0)-D338</f>
        <v>846</v>
      </c>
      <c r="F338" s="21" t="n">
        <f aca="false">IF(COUNTA(D338:E338)=0,"",SUM(D338:E338))</f>
        <v>1760</v>
      </c>
      <c r="G338" s="39" t="n">
        <f aca="false">IF(OR(F338="",F338=0),"",D338/F338)</f>
        <v>0.519318181818182</v>
      </c>
      <c r="H338" s="39" t="n">
        <f aca="false">IF(OR(F338="",F338=0),"",E338/F338)</f>
        <v>0.480681818181818</v>
      </c>
      <c r="I338" s="38" t="s">
        <v>89</v>
      </c>
      <c r="J338" s="40" t="n">
        <v>1.25589305869883</v>
      </c>
      <c r="K338" s="39" t="n">
        <f aca="false">IF(G338="","",MAX(0,G338-J338/100))</f>
        <v>0.506759251231194</v>
      </c>
      <c r="L338" s="39" t="n">
        <f aca="false">IF(G338="","",MIN(1,G338+J338/100))</f>
        <v>0.53187711240517</v>
      </c>
      <c r="M338" s="21" t="n">
        <f aca="false">ROUND(Q338*S338,0)</f>
        <v>229</v>
      </c>
      <c r="N338" s="21" t="n">
        <f aca="false">ROUND(SQRT((F338*J338/100)^2+(G338*M338)^2),0)</f>
        <v>121</v>
      </c>
      <c r="P338" s="41" t="n">
        <v>-0.58318236312005</v>
      </c>
      <c r="Q338" s="42" t="n">
        <v>1760</v>
      </c>
      <c r="R338" s="43" t="n">
        <f aca="false">MAX(0,MIN(1,P338/100+$D$5))</f>
        <v>0.519386621095764</v>
      </c>
      <c r="S338" s="43" t="n">
        <v>0.130204099606216</v>
      </c>
      <c r="T338" s="44" t="s">
        <v>192</v>
      </c>
    </row>
    <row r="339" customFormat="false" ht="15" hidden="false" customHeight="false" outlineLevel="0" collapsed="false">
      <c r="A339" s="38" t="s">
        <v>344</v>
      </c>
      <c r="B339" s="38" t="s">
        <v>470</v>
      </c>
      <c r="C339" s="38" t="s">
        <v>474</v>
      </c>
      <c r="D339" s="21" t="n">
        <f aca="false">ROUND(Q339*R339,0)</f>
        <v>185</v>
      </c>
      <c r="E339" s="21" t="n">
        <f aca="false">ROUND(Q339,0)-D339</f>
        <v>193</v>
      </c>
      <c r="F339" s="21" t="n">
        <f aca="false">IF(COUNTA(D339:E339)=0,"",SUM(D339:E339))</f>
        <v>378</v>
      </c>
      <c r="G339" s="39" t="n">
        <f aca="false">IF(OR(F339="",F339=0),"",D339/F339)</f>
        <v>0.489417989417989</v>
      </c>
      <c r="H339" s="39" t="n">
        <f aca="false">IF(OR(F339="",F339=0),"",E339/F339)</f>
        <v>0.510582010582011</v>
      </c>
      <c r="I339" s="38" t="s">
        <v>89</v>
      </c>
      <c r="J339" s="40" t="n">
        <v>3.45317612968717</v>
      </c>
      <c r="K339" s="39" t="n">
        <f aca="false">IF(G339="","",MAX(0,G339-J339/100))</f>
        <v>0.454886228121118</v>
      </c>
      <c r="L339" s="39" t="n">
        <f aca="false">IF(G339="","",MIN(1,G339+J339/100))</f>
        <v>0.523949750714861</v>
      </c>
      <c r="M339" s="21" t="n">
        <f aca="false">ROUND(Q339*S339,0)</f>
        <v>23</v>
      </c>
      <c r="N339" s="21" t="n">
        <f aca="false">ROUND(SQRT((F339*J339/100)^2+(G339*M339)^2),0)</f>
        <v>17</v>
      </c>
      <c r="P339" s="41" t="n">
        <v>-3.53913848568917</v>
      </c>
      <c r="Q339" s="42" t="n">
        <v>378</v>
      </c>
      <c r="R339" s="43" t="n">
        <f aca="false">MAX(0,MIN(1,P339/100+$D$5))</f>
        <v>0.489827059870073</v>
      </c>
      <c r="S339" s="43" t="n">
        <v>0.0610405690258335</v>
      </c>
      <c r="T339" s="44" t="s">
        <v>90</v>
      </c>
    </row>
    <row r="340" customFormat="false" ht="15" hidden="false" customHeight="false" outlineLevel="0" collapsed="false">
      <c r="A340" s="38" t="s">
        <v>344</v>
      </c>
      <c r="B340" s="38" t="s">
        <v>475</v>
      </c>
      <c r="C340" s="38" t="s">
        <v>476</v>
      </c>
      <c r="D340" s="21" t="n">
        <f aca="false">ROUND(Q340*R340,0)</f>
        <v>532</v>
      </c>
      <c r="E340" s="21" t="n">
        <f aca="false">ROUND(Q340,0)-D340</f>
        <v>470</v>
      </c>
      <c r="F340" s="21" t="n">
        <f aca="false">IF(COUNTA(D340:E340)=0,"",SUM(D340:E340))</f>
        <v>1002</v>
      </c>
      <c r="G340" s="39" t="n">
        <f aca="false">IF(OR(F340="",F340=0),"",D340/F340)</f>
        <v>0.530938123752495</v>
      </c>
      <c r="H340" s="39" t="n">
        <f aca="false">IF(OR(F340="",F340=0),"",E340/F340)</f>
        <v>0.469061876247505</v>
      </c>
      <c r="I340" s="38" t="s">
        <v>89</v>
      </c>
      <c r="J340" s="40" t="n">
        <v>2.05025038892674</v>
      </c>
      <c r="K340" s="39" t="n">
        <f aca="false">IF(G340="","",MAX(0,G340-J340/100))</f>
        <v>0.510435619863228</v>
      </c>
      <c r="L340" s="39" t="n">
        <f aca="false">IF(G340="","",MIN(1,G340+J340/100))</f>
        <v>0.551440627641762</v>
      </c>
      <c r="M340" s="21" t="n">
        <f aca="false">ROUND(Q340*S340,0)</f>
        <v>50</v>
      </c>
      <c r="N340" s="21" t="n">
        <f aca="false">ROUND(SQRT((F340*J340/100)^2+(G340*M340)^2),0)</f>
        <v>34</v>
      </c>
      <c r="P340" s="41" t="n">
        <v>0.589525353967607</v>
      </c>
      <c r="Q340" s="42" t="n">
        <v>1002</v>
      </c>
      <c r="R340" s="43" t="n">
        <f aca="false">MAX(0,MIN(1,P340/100+$D$5))</f>
        <v>0.531113698266641</v>
      </c>
      <c r="S340" s="43" t="n">
        <v>0.0500321312575726</v>
      </c>
      <c r="T340" s="44" t="s">
        <v>99</v>
      </c>
    </row>
    <row r="341" customFormat="false" ht="15" hidden="false" customHeight="false" outlineLevel="0" collapsed="false">
      <c r="A341" s="38" t="s">
        <v>344</v>
      </c>
      <c r="B341" s="38" t="s">
        <v>475</v>
      </c>
      <c r="C341" s="38" t="s">
        <v>477</v>
      </c>
      <c r="D341" s="21" t="n">
        <f aca="false">ROUND(Q341*R341,0)</f>
        <v>389</v>
      </c>
      <c r="E341" s="21" t="n">
        <f aca="false">ROUND(Q341,0)-D341</f>
        <v>315</v>
      </c>
      <c r="F341" s="21" t="n">
        <f aca="false">IF(COUNTA(D341:E341)=0,"",SUM(D341:E341))</f>
        <v>704</v>
      </c>
      <c r="G341" s="39" t="n">
        <f aca="false">IF(OR(F341="",F341=0),"",D341/F341)</f>
        <v>0.552556818181818</v>
      </c>
      <c r="H341" s="39" t="n">
        <f aca="false">IF(OR(F341="",F341=0),"",E341/F341)</f>
        <v>0.447443181818182</v>
      </c>
      <c r="I341" s="38" t="s">
        <v>190</v>
      </c>
      <c r="J341" s="40" t="n">
        <v>3.45317612968717</v>
      </c>
      <c r="K341" s="39" t="n">
        <f aca="false">IF(G341="","",MAX(0,G341-J341/100))</f>
        <v>0.518025056884947</v>
      </c>
      <c r="L341" s="39" t="n">
        <f aca="false">IF(G341="","",MIN(1,G341+J341/100))</f>
        <v>0.58708857947869</v>
      </c>
      <c r="M341" s="21" t="n">
        <f aca="false">ROUND(Q341*S341,0)</f>
        <v>43</v>
      </c>
      <c r="N341" s="21" t="n">
        <f aca="false">ROUND(SQRT((F341*J341/100)^2+(G341*M341)^2),0)</f>
        <v>34</v>
      </c>
      <c r="P341" s="41" t="n">
        <v>2.69248342378036</v>
      </c>
      <c r="Q341" s="42" t="n">
        <v>704.413282971357</v>
      </c>
      <c r="R341" s="43" t="n">
        <f aca="false">MAX(0,MIN(1,P341/100+$D$5))</f>
        <v>0.552143278964768</v>
      </c>
      <c r="S341" s="43" t="n">
        <v>0.0610405690258335</v>
      </c>
      <c r="T341" s="44" t="s">
        <v>90</v>
      </c>
    </row>
    <row r="342" customFormat="false" ht="15" hidden="false" customHeight="false" outlineLevel="0" collapsed="false">
      <c r="A342" s="38" t="s">
        <v>344</v>
      </c>
      <c r="B342" s="38" t="s">
        <v>475</v>
      </c>
      <c r="C342" s="38" t="s">
        <v>478</v>
      </c>
      <c r="D342" s="21" t="n">
        <f aca="false">ROUND(Q342*R342,0)</f>
        <v>589</v>
      </c>
      <c r="E342" s="21" t="n">
        <f aca="false">ROUND(Q342,0)-D342</f>
        <v>553</v>
      </c>
      <c r="F342" s="21" t="n">
        <f aca="false">IF(COUNTA(D342:E342)=0,"",SUM(D342:E342))</f>
        <v>1142</v>
      </c>
      <c r="G342" s="39" t="n">
        <f aca="false">IF(OR(F342="",F342=0),"",D342/F342)</f>
        <v>0.515761821366025</v>
      </c>
      <c r="H342" s="39" t="n">
        <f aca="false">IF(OR(F342="",F342=0),"",E342/F342)</f>
        <v>0.484238178633976</v>
      </c>
      <c r="I342" s="38" t="s">
        <v>190</v>
      </c>
      <c r="J342" s="40" t="n">
        <v>2.05025038892674</v>
      </c>
      <c r="K342" s="39" t="n">
        <f aca="false">IF(G342="","",MAX(0,G342-J342/100))</f>
        <v>0.495259317476757</v>
      </c>
      <c r="L342" s="39" t="n">
        <f aca="false">IF(G342="","",MIN(1,G342+J342/100))</f>
        <v>0.536264325255292</v>
      </c>
      <c r="M342" s="21" t="n">
        <f aca="false">ROUND(Q342*S342,0)</f>
        <v>57</v>
      </c>
      <c r="N342" s="21" t="n">
        <f aca="false">ROUND(SQRT((F342*J342/100)^2+(G342*M342)^2),0)</f>
        <v>38</v>
      </c>
      <c r="P342" s="41" t="n">
        <v>-0.900480059840719</v>
      </c>
      <c r="Q342" s="42" t="n">
        <v>1141.56069667401</v>
      </c>
      <c r="R342" s="43" t="n">
        <f aca="false">MAX(0,MIN(1,P342/100+$D$5))</f>
        <v>0.516213644128557</v>
      </c>
      <c r="S342" s="43" t="n">
        <v>0.0500321312575726</v>
      </c>
      <c r="T342" s="44" t="s">
        <v>99</v>
      </c>
    </row>
    <row r="343" customFormat="false" ht="15" hidden="false" customHeight="false" outlineLevel="0" collapsed="false">
      <c r="A343" s="38" t="s">
        <v>344</v>
      </c>
      <c r="B343" s="38" t="s">
        <v>475</v>
      </c>
      <c r="C343" s="38" t="s">
        <v>479</v>
      </c>
      <c r="D343" s="21" t="n">
        <f aca="false">ROUND(Q343*R343,0)</f>
        <v>655</v>
      </c>
      <c r="E343" s="21" t="n">
        <f aca="false">ROUND(Q343,0)-D343</f>
        <v>502</v>
      </c>
      <c r="F343" s="21" t="n">
        <f aca="false">IF(COUNTA(D343:E343)=0,"",SUM(D343:E343))</f>
        <v>1157</v>
      </c>
      <c r="G343" s="39" t="n">
        <f aca="false">IF(OR(F343="",F343=0),"",D343/F343)</f>
        <v>0.566119273984443</v>
      </c>
      <c r="H343" s="39" t="n">
        <f aca="false">IF(OR(F343="",F343=0),"",E343/F343)</f>
        <v>0.433880726015558</v>
      </c>
      <c r="I343" s="38" t="s">
        <v>89</v>
      </c>
      <c r="J343" s="40" t="n">
        <v>2.05025038892674</v>
      </c>
      <c r="K343" s="39" t="n">
        <f aca="false">IF(G343="","",MAX(0,G343-J343/100))</f>
        <v>0.545616770095175</v>
      </c>
      <c r="L343" s="39" t="n">
        <f aca="false">IF(G343="","",MIN(1,G343+J343/100))</f>
        <v>0.58662177787371</v>
      </c>
      <c r="M343" s="21" t="n">
        <f aca="false">ROUND(Q343*S343,0)</f>
        <v>58</v>
      </c>
      <c r="N343" s="21" t="n">
        <f aca="false">ROUND(SQRT((F343*J343/100)^2+(G343*M343)^2),0)</f>
        <v>41</v>
      </c>
      <c r="P343" s="41" t="n">
        <v>4.04700740723341</v>
      </c>
      <c r="Q343" s="42" t="n">
        <v>1157</v>
      </c>
      <c r="R343" s="43" t="n">
        <f aca="false">MAX(0,MIN(1,P343/100+$D$5))</f>
        <v>0.565688518799299</v>
      </c>
      <c r="S343" s="43" t="n">
        <v>0.0500321312575726</v>
      </c>
      <c r="T343" s="44" t="s">
        <v>99</v>
      </c>
    </row>
    <row r="344" customFormat="false" ht="15" hidden="false" customHeight="false" outlineLevel="0" collapsed="false">
      <c r="A344" s="38" t="s">
        <v>344</v>
      </c>
      <c r="B344" s="38" t="s">
        <v>475</v>
      </c>
      <c r="C344" s="38" t="s">
        <v>480</v>
      </c>
      <c r="D344" s="21" t="n">
        <f aca="false">ROUND(Q344*R344,0)</f>
        <v>983</v>
      </c>
      <c r="E344" s="21" t="n">
        <f aca="false">ROUND(Q344,0)-D344</f>
        <v>847</v>
      </c>
      <c r="F344" s="21" t="n">
        <f aca="false">IF(COUNTA(D344:E344)=0,"",SUM(D344:E344))</f>
        <v>1830</v>
      </c>
      <c r="G344" s="39" t="n">
        <f aca="false">IF(OR(F344="",F344=0),"",D344/F344)</f>
        <v>0.537158469945355</v>
      </c>
      <c r="H344" s="39" t="n">
        <f aca="false">IF(OR(F344="",F344=0),"",E344/F344)</f>
        <v>0.462841530054645</v>
      </c>
      <c r="I344" s="38" t="s">
        <v>89</v>
      </c>
      <c r="J344" s="40" t="n">
        <v>1.25589305869883</v>
      </c>
      <c r="K344" s="39" t="n">
        <f aca="false">IF(G344="","",MAX(0,G344-J344/100))</f>
        <v>0.524599539358367</v>
      </c>
      <c r="L344" s="39" t="n">
        <f aca="false">IF(G344="","",MIN(1,G344+J344/100))</f>
        <v>0.549717400532344</v>
      </c>
      <c r="M344" s="21" t="n">
        <f aca="false">ROUND(Q344*S344,0)</f>
        <v>238</v>
      </c>
      <c r="N344" s="21" t="n">
        <f aca="false">ROUND(SQRT((F344*J344/100)^2+(G344*M344)^2),0)</f>
        <v>130</v>
      </c>
      <c r="P344" s="41" t="n">
        <v>1.1881315288077</v>
      </c>
      <c r="Q344" s="42" t="n">
        <v>1830</v>
      </c>
      <c r="R344" s="43" t="n">
        <f aca="false">MAX(0,MIN(1,P344/100+$D$5))</f>
        <v>0.537099760015042</v>
      </c>
      <c r="S344" s="43" t="n">
        <v>0.130204099606216</v>
      </c>
      <c r="T344" s="44" t="s">
        <v>192</v>
      </c>
    </row>
    <row r="345" customFormat="false" ht="15" hidden="false" customHeight="false" outlineLevel="0" collapsed="false">
      <c r="A345" s="38" t="s">
        <v>344</v>
      </c>
      <c r="B345" s="38" t="s">
        <v>475</v>
      </c>
      <c r="C345" s="38" t="s">
        <v>481</v>
      </c>
      <c r="D345" s="21" t="n">
        <f aca="false">ROUND(Q345*R345,0)</f>
        <v>701</v>
      </c>
      <c r="E345" s="21" t="n">
        <f aca="false">ROUND(Q345,0)-D345</f>
        <v>600</v>
      </c>
      <c r="F345" s="21" t="n">
        <f aca="false">IF(COUNTA(D345:E345)=0,"",SUM(D345:E345))</f>
        <v>1301</v>
      </c>
      <c r="G345" s="39" t="n">
        <f aca="false">IF(OR(F345="",F345=0),"",D345/F345)</f>
        <v>0.538816295157571</v>
      </c>
      <c r="H345" s="39" t="n">
        <f aca="false">IF(OR(F345="",F345=0),"",E345/F345)</f>
        <v>0.461183704842429</v>
      </c>
      <c r="I345" s="38" t="s">
        <v>89</v>
      </c>
      <c r="J345" s="40" t="n">
        <v>1.25589305869883</v>
      </c>
      <c r="K345" s="39" t="n">
        <f aca="false">IF(G345="","",MAX(0,G345-J345/100))</f>
        <v>0.526257364570583</v>
      </c>
      <c r="L345" s="39" t="n">
        <f aca="false">IF(G345="","",MIN(1,G345+J345/100))</f>
        <v>0.551375225744559</v>
      </c>
      <c r="M345" s="21" t="n">
        <f aca="false">ROUND(Q345*S345,0)</f>
        <v>169</v>
      </c>
      <c r="N345" s="21" t="n">
        <f aca="false">ROUND(SQRT((F345*J345/100)^2+(G345*M345)^2),0)</f>
        <v>93</v>
      </c>
      <c r="P345" s="41" t="n">
        <v>1.33435642369504</v>
      </c>
      <c r="Q345" s="42" t="n">
        <v>1301</v>
      </c>
      <c r="R345" s="43" t="n">
        <f aca="false">MAX(0,MIN(1,P345/100+$D$5))</f>
        <v>0.538562008963915</v>
      </c>
      <c r="S345" s="43" t="n">
        <v>0.130204099606216</v>
      </c>
      <c r="T345" s="44" t="s">
        <v>192</v>
      </c>
    </row>
    <row r="346" customFormat="false" ht="15" hidden="false" customHeight="false" outlineLevel="0" collapsed="false">
      <c r="A346" s="38" t="s">
        <v>344</v>
      </c>
      <c r="B346" s="38" t="s">
        <v>475</v>
      </c>
      <c r="C346" s="38" t="s">
        <v>482</v>
      </c>
      <c r="D346" s="21" t="n">
        <f aca="false">ROUND(Q346*R346,0)</f>
        <v>567</v>
      </c>
      <c r="E346" s="21" t="n">
        <f aca="false">ROUND(Q346,0)-D346</f>
        <v>441</v>
      </c>
      <c r="F346" s="21" t="n">
        <f aca="false">IF(COUNTA(D346:E346)=0,"",SUM(D346:E346))</f>
        <v>1008</v>
      </c>
      <c r="G346" s="39" t="n">
        <f aca="false">IF(OR(F346="",F346=0),"",D346/F346)</f>
        <v>0.5625</v>
      </c>
      <c r="H346" s="39" t="n">
        <f aca="false">IF(OR(F346="",F346=0),"",E346/F346)</f>
        <v>0.4375</v>
      </c>
      <c r="I346" s="38" t="s">
        <v>190</v>
      </c>
      <c r="J346" s="40" t="n">
        <v>2.05025038892674</v>
      </c>
      <c r="K346" s="39" t="n">
        <f aca="false">IF(G346="","",MAX(0,G346-J346/100))</f>
        <v>0.541997496110733</v>
      </c>
      <c r="L346" s="39" t="n">
        <f aca="false">IF(G346="","",MIN(1,G346+J346/100))</f>
        <v>0.583002503889267</v>
      </c>
      <c r="M346" s="21" t="n">
        <f aca="false">ROUND(Q346*S346,0)</f>
        <v>50</v>
      </c>
      <c r="N346" s="21" t="n">
        <f aca="false">ROUND(SQRT((F346*J346/100)^2+(G346*M346)^2),0)</f>
        <v>35</v>
      </c>
      <c r="P346" s="41" t="n">
        <v>3.66702809382888</v>
      </c>
      <c r="Q346" s="42" t="n">
        <v>1008.46878606652</v>
      </c>
      <c r="R346" s="43" t="n">
        <f aca="false">MAX(0,MIN(1,P346/100+$D$5))</f>
        <v>0.561888725665254</v>
      </c>
      <c r="S346" s="43" t="n">
        <v>0.0500321312575726</v>
      </c>
      <c r="T346" s="44" t="s">
        <v>99</v>
      </c>
    </row>
    <row r="347" customFormat="false" ht="15" hidden="false" customHeight="false" outlineLevel="0" collapsed="false">
      <c r="A347" s="38" t="s">
        <v>344</v>
      </c>
      <c r="B347" s="38" t="s">
        <v>475</v>
      </c>
      <c r="C347" s="38" t="s">
        <v>483</v>
      </c>
      <c r="D347" s="21" t="n">
        <f aca="false">ROUND(Q347*R347,0)</f>
        <v>534</v>
      </c>
      <c r="E347" s="21" t="n">
        <f aca="false">ROUND(Q347,0)-D347</f>
        <v>544</v>
      </c>
      <c r="F347" s="21" t="n">
        <f aca="false">IF(COUNTA(D347:E347)=0,"",SUM(D347:E347))</f>
        <v>1078</v>
      </c>
      <c r="G347" s="39" t="n">
        <f aca="false">IF(OR(F347="",F347=0),"",D347/F347)</f>
        <v>0.495361781076067</v>
      </c>
      <c r="H347" s="39" t="n">
        <f aca="false">IF(OR(F347="",F347=0),"",E347/F347)</f>
        <v>0.504638218923933</v>
      </c>
      <c r="I347" s="38" t="s">
        <v>190</v>
      </c>
      <c r="J347" s="40" t="n">
        <v>2.05025038892674</v>
      </c>
      <c r="K347" s="39" t="n">
        <f aca="false">IF(G347="","",MAX(0,G347-J347/100))</f>
        <v>0.474859277186799</v>
      </c>
      <c r="L347" s="39" t="n">
        <f aca="false">IF(G347="","",MIN(1,G347+J347/100))</f>
        <v>0.515864284965334</v>
      </c>
      <c r="M347" s="21" t="n">
        <f aca="false">ROUND(Q347*S347,0)</f>
        <v>54</v>
      </c>
      <c r="N347" s="21" t="n">
        <f aca="false">ROUND(SQRT((F347*J347/100)^2+(G347*M347)^2),0)</f>
        <v>35</v>
      </c>
      <c r="P347" s="41" t="n">
        <v>-2.93821767255603</v>
      </c>
      <c r="Q347" s="42" t="n">
        <v>1077.71986150456</v>
      </c>
      <c r="R347" s="43" t="n">
        <f aca="false">MAX(0,MIN(1,P347/100+$D$5))</f>
        <v>0.495836268001404</v>
      </c>
      <c r="S347" s="43" t="n">
        <v>0.0500321312575726</v>
      </c>
      <c r="T347" s="44" t="s">
        <v>99</v>
      </c>
    </row>
    <row r="348" customFormat="false" ht="15" hidden="false" customHeight="false" outlineLevel="0" collapsed="false">
      <c r="A348" s="38" t="s">
        <v>344</v>
      </c>
      <c r="B348" s="38" t="s">
        <v>475</v>
      </c>
      <c r="C348" s="38" t="s">
        <v>484</v>
      </c>
      <c r="D348" s="21" t="n">
        <f aca="false">ROUND(Q348*R348,0)</f>
        <v>623</v>
      </c>
      <c r="E348" s="21" t="n">
        <f aca="false">ROUND(Q348,0)-D348</f>
        <v>631</v>
      </c>
      <c r="F348" s="21" t="n">
        <f aca="false">IF(COUNTA(D348:E348)=0,"",SUM(D348:E348))</f>
        <v>1254</v>
      </c>
      <c r="G348" s="39" t="n">
        <f aca="false">IF(OR(F348="",F348=0),"",D348/F348)</f>
        <v>0.496810207336523</v>
      </c>
      <c r="H348" s="39" t="n">
        <f aca="false">IF(OR(F348="",F348=0),"",E348/F348)</f>
        <v>0.503189792663477</v>
      </c>
      <c r="I348" s="38" t="s">
        <v>190</v>
      </c>
      <c r="J348" s="40" t="n">
        <v>1.25589305869883</v>
      </c>
      <c r="K348" s="39" t="n">
        <f aca="false">IF(G348="","",MAX(0,G348-J348/100))</f>
        <v>0.484251276749535</v>
      </c>
      <c r="L348" s="39" t="n">
        <f aca="false">IF(G348="","",MIN(1,G348+J348/100))</f>
        <v>0.509369137923512</v>
      </c>
      <c r="M348" s="21" t="n">
        <f aca="false">ROUND(Q348*S348,0)</f>
        <v>163</v>
      </c>
      <c r="N348" s="21" t="n">
        <f aca="false">ROUND(SQRT((F348*J348/100)^2+(G348*M348)^2),0)</f>
        <v>82</v>
      </c>
      <c r="P348" s="41" t="n">
        <v>-2.83327960759095</v>
      </c>
      <c r="Q348" s="42" t="n">
        <v>1254.09369426083</v>
      </c>
      <c r="R348" s="43" t="n">
        <f aca="false">MAX(0,MIN(1,P348/100+$D$5))</f>
        <v>0.496885648651055</v>
      </c>
      <c r="S348" s="43" t="n">
        <v>0.130204099606216</v>
      </c>
      <c r="T348" s="44" t="s">
        <v>192</v>
      </c>
    </row>
    <row r="349" customFormat="false" ht="15" hidden="false" customHeight="false" outlineLevel="0" collapsed="false">
      <c r="A349" s="38" t="s">
        <v>344</v>
      </c>
      <c r="B349" s="38" t="s">
        <v>485</v>
      </c>
      <c r="C349" s="38" t="s">
        <v>486</v>
      </c>
      <c r="D349" s="21" t="n">
        <f aca="false">ROUND(Q349*R349,0)</f>
        <v>81</v>
      </c>
      <c r="E349" s="21" t="n">
        <f aca="false">ROUND(Q349,0)-D349</f>
        <v>112</v>
      </c>
      <c r="F349" s="21" t="n">
        <f aca="false">IF(COUNTA(D349:E349)=0,"",SUM(D349:E349))</f>
        <v>193</v>
      </c>
      <c r="G349" s="39" t="n">
        <f aca="false">IF(OR(F349="",F349=0),"",D349/F349)</f>
        <v>0.419689119170984</v>
      </c>
      <c r="H349" s="39" t="n">
        <f aca="false">IF(OR(F349="",F349=0),"",E349/F349)</f>
        <v>0.580310880829016</v>
      </c>
      <c r="I349" s="38" t="s">
        <v>89</v>
      </c>
      <c r="J349" s="40" t="n">
        <v>3.45317612968717</v>
      </c>
      <c r="K349" s="39" t="n">
        <f aca="false">IF(G349="","",MAX(0,G349-J349/100))</f>
        <v>0.385157357874113</v>
      </c>
      <c r="L349" s="39" t="n">
        <f aca="false">IF(G349="","",MIN(1,G349+J349/100))</f>
        <v>0.454220880467856</v>
      </c>
      <c r="M349" s="21" t="n">
        <f aca="false">ROUND(Q349*S349,0)</f>
        <v>12</v>
      </c>
      <c r="N349" s="21" t="n">
        <f aca="false">ROUND(SQRT((F349*J349/100)^2+(G349*M349)^2),0)</f>
        <v>8</v>
      </c>
      <c r="P349" s="41" t="n">
        <v>-10.4442619215123</v>
      </c>
      <c r="Q349" s="42" t="n">
        <v>193</v>
      </c>
      <c r="R349" s="43" t="n">
        <f aca="false">MAX(0,MIN(1,P349/100+$D$5))</f>
        <v>0.420775825511842</v>
      </c>
      <c r="S349" s="43" t="n">
        <v>0.0610405690258335</v>
      </c>
      <c r="T349" s="44" t="s">
        <v>90</v>
      </c>
    </row>
    <row r="350" customFormat="false" ht="15" hidden="false" customHeight="false" outlineLevel="0" collapsed="false">
      <c r="A350" s="38" t="s">
        <v>344</v>
      </c>
      <c r="B350" s="38" t="s">
        <v>485</v>
      </c>
      <c r="C350" s="38" t="s">
        <v>487</v>
      </c>
      <c r="D350" s="21" t="n">
        <f aca="false">ROUND(Q350*R350,0)</f>
        <v>222</v>
      </c>
      <c r="E350" s="21" t="n">
        <f aca="false">ROUND(Q350,0)-D350</f>
        <v>339</v>
      </c>
      <c r="F350" s="21" t="n">
        <f aca="false">IF(COUNTA(D350:E350)=0,"",SUM(D350:E350))</f>
        <v>561</v>
      </c>
      <c r="G350" s="39" t="n">
        <f aca="false">IF(OR(F350="",F350=0),"",D350/F350)</f>
        <v>0.39572192513369</v>
      </c>
      <c r="H350" s="39" t="n">
        <f aca="false">IF(OR(F350="",F350=0),"",E350/F350)</f>
        <v>0.60427807486631</v>
      </c>
      <c r="I350" s="38" t="s">
        <v>89</v>
      </c>
      <c r="J350" s="40" t="n">
        <v>3.45317612968717</v>
      </c>
      <c r="K350" s="39" t="n">
        <f aca="false">IF(G350="","",MAX(0,G350-J350/100))</f>
        <v>0.361190163836818</v>
      </c>
      <c r="L350" s="39" t="n">
        <f aca="false">IF(G350="","",MIN(1,G350+J350/100))</f>
        <v>0.430253686430562</v>
      </c>
      <c r="M350" s="21" t="n">
        <f aca="false">ROUND(Q350*S350,0)</f>
        <v>34</v>
      </c>
      <c r="N350" s="21" t="n">
        <f aca="false">ROUND(SQRT((F350*J350/100)^2+(G350*M350)^2),0)</f>
        <v>24</v>
      </c>
      <c r="P350" s="41" t="n">
        <v>-13.0039157495561</v>
      </c>
      <c r="Q350" s="42" t="n">
        <v>561</v>
      </c>
      <c r="R350" s="43" t="n">
        <f aca="false">MAX(0,MIN(1,P350/100+$D$5))</f>
        <v>0.395179287231404</v>
      </c>
      <c r="S350" s="43" t="n">
        <v>0.0610405690258335</v>
      </c>
      <c r="T350" s="44" t="s">
        <v>90</v>
      </c>
    </row>
    <row r="351" customFormat="false" ht="15" hidden="false" customHeight="false" outlineLevel="0" collapsed="false">
      <c r="A351" s="38" t="s">
        <v>344</v>
      </c>
      <c r="B351" s="38" t="s">
        <v>485</v>
      </c>
      <c r="C351" s="38" t="s">
        <v>488</v>
      </c>
      <c r="D351" s="21" t="n">
        <f aca="false">ROUND(Q351*R351,0)</f>
        <v>149</v>
      </c>
      <c r="E351" s="21" t="n">
        <f aca="false">ROUND(Q351,0)-D351</f>
        <v>190</v>
      </c>
      <c r="F351" s="21" t="n">
        <f aca="false">IF(COUNTA(D351:E351)=0,"",SUM(D351:E351))</f>
        <v>339</v>
      </c>
      <c r="G351" s="39" t="n">
        <f aca="false">IF(OR(F351="",F351=0),"",D351/F351)</f>
        <v>0.43952802359882</v>
      </c>
      <c r="H351" s="39" t="n">
        <f aca="false">IF(OR(F351="",F351=0),"",E351/F351)</f>
        <v>0.56047197640118</v>
      </c>
      <c r="I351" s="38" t="s">
        <v>89</v>
      </c>
      <c r="J351" s="40" t="n">
        <v>3.45317612968717</v>
      </c>
      <c r="K351" s="39" t="n">
        <f aca="false">IF(G351="","",MAX(0,G351-J351/100))</f>
        <v>0.404996262301948</v>
      </c>
      <c r="L351" s="39" t="n">
        <f aca="false">IF(G351="","",MIN(1,G351+J351/100))</f>
        <v>0.474059784895692</v>
      </c>
      <c r="M351" s="21" t="n">
        <f aca="false">ROUND(Q351*S351,0)</f>
        <v>21</v>
      </c>
      <c r="N351" s="21" t="n">
        <f aca="false">ROUND(SQRT((F351*J351/100)^2+(G351*M351)^2),0)</f>
        <v>15</v>
      </c>
      <c r="P351" s="41" t="n">
        <v>-8.60210668077794</v>
      </c>
      <c r="Q351" s="42" t="n">
        <v>339</v>
      </c>
      <c r="R351" s="43" t="n">
        <f aca="false">MAX(0,MIN(1,P351/100+$D$5))</f>
        <v>0.439197377919185</v>
      </c>
      <c r="S351" s="43" t="n">
        <v>0.0610405690258335</v>
      </c>
      <c r="T351" s="44" t="s">
        <v>90</v>
      </c>
    </row>
    <row r="352" customFormat="false" ht="15" hidden="false" customHeight="false" outlineLevel="0" collapsed="false">
      <c r="A352" s="38" t="s">
        <v>344</v>
      </c>
      <c r="B352" s="38" t="s">
        <v>485</v>
      </c>
      <c r="C352" s="38" t="s">
        <v>489</v>
      </c>
      <c r="D352" s="21" t="n">
        <f aca="false">ROUND(Q352*R352,0)</f>
        <v>86</v>
      </c>
      <c r="E352" s="21" t="n">
        <f aca="false">ROUND(Q352,0)-D352</f>
        <v>110</v>
      </c>
      <c r="F352" s="21" t="n">
        <f aca="false">IF(COUNTA(D352:E352)=0,"",SUM(D352:E352))</f>
        <v>196</v>
      </c>
      <c r="G352" s="39" t="n">
        <f aca="false">IF(OR(F352="",F352=0),"",D352/F352)</f>
        <v>0.438775510204082</v>
      </c>
      <c r="H352" s="39" t="n">
        <f aca="false">IF(OR(F352="",F352=0),"",E352/F352)</f>
        <v>0.561224489795918</v>
      </c>
      <c r="I352" s="38" t="s">
        <v>89</v>
      </c>
      <c r="J352" s="40" t="n">
        <v>3.45317612968717</v>
      </c>
      <c r="K352" s="39" t="n">
        <f aca="false">IF(G352="","",MAX(0,G352-J352/100))</f>
        <v>0.40424374890721</v>
      </c>
      <c r="L352" s="39" t="n">
        <f aca="false">IF(G352="","",MIN(1,G352+J352/100))</f>
        <v>0.473307271500953</v>
      </c>
      <c r="M352" s="21" t="n">
        <f aca="false">ROUND(Q352*S352,0)</f>
        <v>12</v>
      </c>
      <c r="N352" s="21" t="n">
        <f aca="false">ROUND(SQRT((F352*J352/100)^2+(G352*M352)^2),0)</f>
        <v>9</v>
      </c>
      <c r="P352" s="41" t="n">
        <v>-8.47430274930754</v>
      </c>
      <c r="Q352" s="42" t="n">
        <v>196</v>
      </c>
      <c r="R352" s="43" t="n">
        <f aca="false">MAX(0,MIN(1,P352/100+$D$5))</f>
        <v>0.440475417233889</v>
      </c>
      <c r="S352" s="43" t="n">
        <v>0.0610405690258335</v>
      </c>
      <c r="T352" s="44" t="s">
        <v>90</v>
      </c>
    </row>
    <row r="353" customFormat="false" ht="15" hidden="false" customHeight="false" outlineLevel="0" collapsed="false">
      <c r="A353" s="38" t="s">
        <v>344</v>
      </c>
      <c r="B353" s="38" t="s">
        <v>490</v>
      </c>
      <c r="C353" s="38" t="s">
        <v>491</v>
      </c>
      <c r="D353" s="21" t="n">
        <f aca="false">ROUND(Q353*R353,0)</f>
        <v>357</v>
      </c>
      <c r="E353" s="21" t="n">
        <f aca="false">ROUND(Q353,0)-D353</f>
        <v>563</v>
      </c>
      <c r="F353" s="21" t="n">
        <f aca="false">IF(COUNTA(D353:E353)=0,"",SUM(D353:E353))</f>
        <v>920</v>
      </c>
      <c r="G353" s="39" t="n">
        <f aca="false">IF(OR(F353="",F353=0),"",D353/F353)</f>
        <v>0.38804347826087</v>
      </c>
      <c r="H353" s="39" t="n">
        <f aca="false">IF(OR(F353="",F353=0),"",E353/F353)</f>
        <v>0.61195652173913</v>
      </c>
      <c r="I353" s="38" t="s">
        <v>89</v>
      </c>
      <c r="J353" s="40" t="n">
        <v>2.05025038892674</v>
      </c>
      <c r="K353" s="39" t="n">
        <f aca="false">IF(G353="","",MAX(0,G353-J353/100))</f>
        <v>0.367540974371602</v>
      </c>
      <c r="L353" s="39" t="n">
        <f aca="false">IF(G353="","",MIN(1,G353+J353/100))</f>
        <v>0.408545982150137</v>
      </c>
      <c r="M353" s="21" t="n">
        <f aca="false">ROUND(Q353*S353,0)</f>
        <v>46</v>
      </c>
      <c r="N353" s="21" t="n">
        <f aca="false">ROUND(SQRT((F353*J353/100)^2+(G353*M353)^2),0)</f>
        <v>26</v>
      </c>
      <c r="P353" s="41" t="n">
        <v>-13.7702014542193</v>
      </c>
      <c r="Q353" s="42" t="n">
        <v>920</v>
      </c>
      <c r="R353" s="43" t="n">
        <f aca="false">MAX(0,MIN(1,P353/100+$D$5))</f>
        <v>0.387516430184771</v>
      </c>
      <c r="S353" s="43" t="n">
        <v>0.0500321312575726</v>
      </c>
      <c r="T353" s="44" t="s">
        <v>99</v>
      </c>
    </row>
    <row r="354" customFormat="false" ht="15" hidden="false" customHeight="false" outlineLevel="0" collapsed="false">
      <c r="A354" s="38" t="s">
        <v>344</v>
      </c>
      <c r="B354" s="38" t="s">
        <v>490</v>
      </c>
      <c r="C354" s="38" t="s">
        <v>492</v>
      </c>
      <c r="D354" s="21" t="n">
        <f aca="false">ROUND(Q354*R354,0)</f>
        <v>293</v>
      </c>
      <c r="E354" s="21" t="n">
        <f aca="false">ROUND(Q354,0)-D354</f>
        <v>449</v>
      </c>
      <c r="F354" s="21" t="n">
        <f aca="false">IF(COUNTA(D354:E354)=0,"",SUM(D354:E354))</f>
        <v>742</v>
      </c>
      <c r="G354" s="39" t="n">
        <f aca="false">IF(OR(F354="",F354=0),"",D354/F354)</f>
        <v>0.394878706199461</v>
      </c>
      <c r="H354" s="39" t="n">
        <f aca="false">IF(OR(F354="",F354=0),"",E354/F354)</f>
        <v>0.605121293800539</v>
      </c>
      <c r="I354" s="38" t="s">
        <v>89</v>
      </c>
      <c r="J354" s="40" t="n">
        <v>3.45317612968717</v>
      </c>
      <c r="K354" s="39" t="n">
        <f aca="false">IF(G354="","",MAX(0,G354-J354/100))</f>
        <v>0.360346944902589</v>
      </c>
      <c r="L354" s="39" t="n">
        <f aca="false">IF(G354="","",MIN(1,G354+J354/100))</f>
        <v>0.429410467496333</v>
      </c>
      <c r="M354" s="21" t="n">
        <f aca="false">ROUND(Q354*S354,0)</f>
        <v>45</v>
      </c>
      <c r="N354" s="21" t="n">
        <f aca="false">ROUND(SQRT((F354*J354/100)^2+(G354*M354)^2),0)</f>
        <v>31</v>
      </c>
      <c r="P354" s="41" t="n">
        <v>-13.0554897835459</v>
      </c>
      <c r="Q354" s="42" t="n">
        <v>742</v>
      </c>
      <c r="R354" s="43" t="n">
        <f aca="false">MAX(0,MIN(1,P354/100+$D$5))</f>
        <v>0.394663546891505</v>
      </c>
      <c r="S354" s="43" t="n">
        <v>0.0610405690258335</v>
      </c>
      <c r="T354" s="44" t="s">
        <v>90</v>
      </c>
    </row>
    <row r="355" customFormat="false" ht="15" hidden="false" customHeight="false" outlineLevel="0" collapsed="false">
      <c r="A355" s="38" t="s">
        <v>344</v>
      </c>
      <c r="B355" s="38" t="s">
        <v>490</v>
      </c>
      <c r="C355" s="38" t="s">
        <v>493</v>
      </c>
      <c r="D355" s="21" t="n">
        <f aca="false">ROUND(Q355*R355,0)</f>
        <v>266</v>
      </c>
      <c r="E355" s="21" t="n">
        <f aca="false">ROUND(Q355,0)-D355</f>
        <v>439</v>
      </c>
      <c r="F355" s="21" t="n">
        <f aca="false">IF(COUNTA(D355:E355)=0,"",SUM(D355:E355))</f>
        <v>705</v>
      </c>
      <c r="G355" s="39" t="n">
        <f aca="false">IF(OR(F355="",F355=0),"",D355/F355)</f>
        <v>0.377304964539007</v>
      </c>
      <c r="H355" s="39" t="n">
        <f aca="false">IF(OR(F355="",F355=0),"",E355/F355)</f>
        <v>0.622695035460993</v>
      </c>
      <c r="I355" s="38" t="s">
        <v>89</v>
      </c>
      <c r="J355" s="40" t="n">
        <v>3.45317612968717</v>
      </c>
      <c r="K355" s="39" t="n">
        <f aca="false">IF(G355="","",MAX(0,G355-J355/100))</f>
        <v>0.342773203242135</v>
      </c>
      <c r="L355" s="39" t="n">
        <f aca="false">IF(G355="","",MIN(1,G355+J355/100))</f>
        <v>0.411836725835879</v>
      </c>
      <c r="M355" s="21" t="n">
        <f aca="false">ROUND(Q355*S355,0)</f>
        <v>43</v>
      </c>
      <c r="N355" s="21" t="n">
        <f aca="false">ROUND(SQRT((F355*J355/100)^2+(G355*M355)^2),0)</f>
        <v>29</v>
      </c>
      <c r="P355" s="41" t="n">
        <v>-14.752133282546</v>
      </c>
      <c r="Q355" s="42" t="n">
        <v>705</v>
      </c>
      <c r="R355" s="43" t="n">
        <f aca="false">MAX(0,MIN(1,P355/100+$D$5))</f>
        <v>0.377697111901504</v>
      </c>
      <c r="S355" s="43" t="n">
        <v>0.0610405690258335</v>
      </c>
      <c r="T355" s="44" t="s">
        <v>90</v>
      </c>
    </row>
    <row r="356" customFormat="false" ht="15" hidden="false" customHeight="false" outlineLevel="0" collapsed="false">
      <c r="A356" s="38" t="s">
        <v>344</v>
      </c>
      <c r="B356" s="38" t="s">
        <v>490</v>
      </c>
      <c r="C356" s="38" t="s">
        <v>494</v>
      </c>
      <c r="D356" s="21" t="n">
        <f aca="false">ROUND(Q356*R356,0)</f>
        <v>266</v>
      </c>
      <c r="E356" s="21" t="n">
        <f aca="false">ROUND(Q356,0)-D356</f>
        <v>441</v>
      </c>
      <c r="F356" s="21" t="n">
        <f aca="false">IF(COUNTA(D356:E356)=0,"",SUM(D356:E356))</f>
        <v>707</v>
      </c>
      <c r="G356" s="39" t="n">
        <f aca="false">IF(OR(F356="",F356=0),"",D356/F356)</f>
        <v>0.376237623762376</v>
      </c>
      <c r="H356" s="39" t="n">
        <f aca="false">IF(OR(F356="",F356=0),"",E356/F356)</f>
        <v>0.623762376237624</v>
      </c>
      <c r="I356" s="38" t="s">
        <v>89</v>
      </c>
      <c r="J356" s="40" t="n">
        <v>3.45317612968717</v>
      </c>
      <c r="K356" s="39" t="n">
        <f aca="false">IF(G356="","",MAX(0,G356-J356/100))</f>
        <v>0.341705862465505</v>
      </c>
      <c r="L356" s="39" t="n">
        <f aca="false">IF(G356="","",MIN(1,G356+J356/100))</f>
        <v>0.410769385059248</v>
      </c>
      <c r="M356" s="21" t="n">
        <f aca="false">ROUND(Q356*S356,0)</f>
        <v>43</v>
      </c>
      <c r="N356" s="21" t="n">
        <f aca="false">ROUND(SQRT((F356*J356/100)^2+(G356*M356)^2),0)</f>
        <v>29</v>
      </c>
      <c r="P356" s="41" t="n">
        <v>-14.9334268485594</v>
      </c>
      <c r="Q356" s="42" t="n">
        <v>707</v>
      </c>
      <c r="R356" s="43" t="n">
        <f aca="false">MAX(0,MIN(1,P356/100+$D$5))</f>
        <v>0.375884176241371</v>
      </c>
      <c r="S356" s="43" t="n">
        <v>0.0610405690258335</v>
      </c>
      <c r="T356" s="44" t="s">
        <v>90</v>
      </c>
    </row>
    <row r="357" customFormat="false" ht="15" hidden="false" customHeight="false" outlineLevel="0" collapsed="false">
      <c r="A357" s="38" t="s">
        <v>344</v>
      </c>
      <c r="B357" s="38" t="s">
        <v>495</v>
      </c>
      <c r="C357" s="38" t="s">
        <v>496</v>
      </c>
      <c r="D357" s="21" t="n">
        <f aca="false">ROUND(Q357*R357,0)</f>
        <v>73</v>
      </c>
      <c r="E357" s="21" t="n">
        <f aca="false">ROUND(Q357,0)-D357</f>
        <v>121</v>
      </c>
      <c r="F357" s="21" t="n">
        <f aca="false">IF(COUNTA(D357:E357)=0,"",SUM(D357:E357))</f>
        <v>194</v>
      </c>
      <c r="G357" s="39" t="n">
        <f aca="false">IF(OR(F357="",F357=0),"",D357/F357)</f>
        <v>0.376288659793814</v>
      </c>
      <c r="H357" s="39" t="n">
        <f aca="false">IF(OR(F357="",F357=0),"",E357/F357)</f>
        <v>0.623711340206186</v>
      </c>
      <c r="I357" s="38" t="s">
        <v>89</v>
      </c>
      <c r="J357" s="40" t="n">
        <v>3.45317612968717</v>
      </c>
      <c r="K357" s="39" t="n">
        <f aca="false">IF(G357="","",MAX(0,G357-J357/100))</f>
        <v>0.341756898496943</v>
      </c>
      <c r="L357" s="39" t="n">
        <f aca="false">IF(G357="","",MIN(1,G357+J357/100))</f>
        <v>0.410820421090686</v>
      </c>
      <c r="M357" s="21" t="n">
        <f aca="false">ROUND(Q357*S357,0)</f>
        <v>12</v>
      </c>
      <c r="N357" s="21" t="n">
        <f aca="false">ROUND(SQRT((F357*J357/100)^2+(G357*M357)^2),0)</f>
        <v>8</v>
      </c>
      <c r="P357" s="41" t="n">
        <v>-14.8764576581032</v>
      </c>
      <c r="Q357" s="42" t="n">
        <v>194</v>
      </c>
      <c r="R357" s="43" t="n">
        <f aca="false">MAX(0,MIN(1,P357/100+$D$5))</f>
        <v>0.376453868145933</v>
      </c>
      <c r="S357" s="43" t="n">
        <v>0.0610405690258335</v>
      </c>
      <c r="T357" s="44" t="s">
        <v>90</v>
      </c>
    </row>
    <row r="358" customFormat="false" ht="15" hidden="false" customHeight="false" outlineLevel="0" collapsed="false">
      <c r="A358" s="38" t="s">
        <v>344</v>
      </c>
      <c r="B358" s="38" t="s">
        <v>497</v>
      </c>
      <c r="C358" s="38" t="s">
        <v>498</v>
      </c>
      <c r="D358" s="21" t="n">
        <f aca="false">ROUND(Q358*R358,0)</f>
        <v>283</v>
      </c>
      <c r="E358" s="21" t="n">
        <f aca="false">ROUND(Q358,0)-D358</f>
        <v>393</v>
      </c>
      <c r="F358" s="21" t="n">
        <f aca="false">IF(COUNTA(D358:E358)=0,"",SUM(D358:E358))</f>
        <v>676</v>
      </c>
      <c r="G358" s="39" t="n">
        <f aca="false">IF(OR(F358="",F358=0),"",D358/F358)</f>
        <v>0.418639053254438</v>
      </c>
      <c r="H358" s="39" t="n">
        <f aca="false">IF(OR(F358="",F358=0),"",E358/F358)</f>
        <v>0.581360946745562</v>
      </c>
      <c r="I358" s="38" t="s">
        <v>89</v>
      </c>
      <c r="J358" s="40" t="n">
        <v>3.45317612968717</v>
      </c>
      <c r="K358" s="39" t="n">
        <f aca="false">IF(G358="","",MAX(0,G358-J358/100))</f>
        <v>0.384107291957566</v>
      </c>
      <c r="L358" s="39" t="n">
        <f aca="false">IF(G358="","",MIN(1,G358+J358/100))</f>
        <v>0.45317081455131</v>
      </c>
      <c r="M358" s="21" t="n">
        <f aca="false">ROUND(Q358*S358,0)</f>
        <v>41</v>
      </c>
      <c r="N358" s="21" t="n">
        <f aca="false">ROUND(SQRT((F358*J358/100)^2+(G358*M358)^2),0)</f>
        <v>29</v>
      </c>
      <c r="P358" s="41" t="n">
        <v>-10.6745017677508</v>
      </c>
      <c r="Q358" s="42" t="n">
        <v>676</v>
      </c>
      <c r="R358" s="43" t="n">
        <f aca="false">MAX(0,MIN(1,P358/100+$D$5))</f>
        <v>0.418473427049456</v>
      </c>
      <c r="S358" s="43" t="n">
        <v>0.0610405690258335</v>
      </c>
      <c r="T358" s="44" t="s">
        <v>90</v>
      </c>
    </row>
    <row r="359" customFormat="false" ht="15" hidden="false" customHeight="false" outlineLevel="0" collapsed="false">
      <c r="A359" s="38" t="s">
        <v>344</v>
      </c>
      <c r="B359" s="38" t="s">
        <v>499</v>
      </c>
      <c r="C359" s="38" t="s">
        <v>500</v>
      </c>
      <c r="D359" s="21" t="n">
        <f aca="false">ROUND(Q359*R359,0)</f>
        <v>170</v>
      </c>
      <c r="E359" s="21" t="n">
        <f aca="false">ROUND(Q359,0)-D359</f>
        <v>217</v>
      </c>
      <c r="F359" s="21" t="n">
        <f aca="false">IF(COUNTA(D359:E359)=0,"",SUM(D359:E359))</f>
        <v>387</v>
      </c>
      <c r="G359" s="39" t="n">
        <f aca="false">IF(OR(F359="",F359=0),"",D359/F359)</f>
        <v>0.439276485788114</v>
      </c>
      <c r="H359" s="39" t="n">
        <f aca="false">IF(OR(F359="",F359=0),"",E359/F359)</f>
        <v>0.560723514211886</v>
      </c>
      <c r="I359" s="38" t="s">
        <v>89</v>
      </c>
      <c r="J359" s="40" t="n">
        <v>3.45317612968717</v>
      </c>
      <c r="K359" s="39" t="n">
        <f aca="false">IF(G359="","",MAX(0,G359-J359/100))</f>
        <v>0.404744724491242</v>
      </c>
      <c r="L359" s="39" t="n">
        <f aca="false">IF(G359="","",MIN(1,G359+J359/100))</f>
        <v>0.473808247084985</v>
      </c>
      <c r="M359" s="21" t="n">
        <f aca="false">ROUND(Q359*S359,0)</f>
        <v>24</v>
      </c>
      <c r="N359" s="21" t="n">
        <f aca="false">ROUND(SQRT((F359*J359/100)^2+(G359*M359)^2),0)</f>
        <v>17</v>
      </c>
      <c r="P359" s="41" t="n">
        <v>-8.67973747528884</v>
      </c>
      <c r="Q359" s="42" t="n">
        <v>387</v>
      </c>
      <c r="R359" s="43" t="n">
        <f aca="false">MAX(0,MIN(1,P359/100+$D$5))</f>
        <v>0.438421069974076</v>
      </c>
      <c r="S359" s="43" t="n">
        <v>0.0610405690258335</v>
      </c>
      <c r="T359" s="44" t="s">
        <v>90</v>
      </c>
    </row>
    <row r="360" customFormat="false" ht="15" hidden="false" customHeight="false" outlineLevel="0" collapsed="false">
      <c r="A360" s="38" t="s">
        <v>344</v>
      </c>
      <c r="B360" s="38" t="s">
        <v>501</v>
      </c>
      <c r="C360" s="38" t="s">
        <v>502</v>
      </c>
      <c r="D360" s="21" t="n">
        <f aca="false">ROUND(Q360*R360,0)</f>
        <v>264</v>
      </c>
      <c r="E360" s="21" t="n">
        <f aca="false">ROUND(Q360,0)-D360</f>
        <v>297</v>
      </c>
      <c r="F360" s="21" t="n">
        <f aca="false">IF(COUNTA(D360:E360)=0,"",SUM(D360:E360))</f>
        <v>561</v>
      </c>
      <c r="G360" s="39" t="n">
        <f aca="false">IF(OR(F360="",F360=0),"",D360/F360)</f>
        <v>0.470588235294118</v>
      </c>
      <c r="H360" s="39" t="n">
        <f aca="false">IF(OR(F360="",F360=0),"",E360/F360)</f>
        <v>0.529411764705882</v>
      </c>
      <c r="I360" s="38" t="s">
        <v>89</v>
      </c>
      <c r="J360" s="40" t="n">
        <v>3.45317612968717</v>
      </c>
      <c r="K360" s="39" t="n">
        <f aca="false">IF(G360="","",MAX(0,G360-J360/100))</f>
        <v>0.436056473997246</v>
      </c>
      <c r="L360" s="39" t="n">
        <f aca="false">IF(G360="","",MIN(1,G360+J360/100))</f>
        <v>0.505119996590989</v>
      </c>
      <c r="M360" s="21" t="n">
        <f aca="false">ROUND(Q360*S360,0)</f>
        <v>34</v>
      </c>
      <c r="N360" s="21" t="n">
        <f aca="false">ROUND(SQRT((F360*J360/100)^2+(G360*M360)^2),0)</f>
        <v>25</v>
      </c>
      <c r="P360" s="41" t="n">
        <v>-5.40510861606519</v>
      </c>
      <c r="Q360" s="42" t="n">
        <v>561</v>
      </c>
      <c r="R360" s="43" t="n">
        <f aca="false">MAX(0,MIN(1,P360/100+$D$5))</f>
        <v>0.471167358566313</v>
      </c>
      <c r="S360" s="43" t="n">
        <v>0.0610405690258335</v>
      </c>
      <c r="T360" s="44" t="s">
        <v>90</v>
      </c>
    </row>
    <row r="361" customFormat="false" ht="15" hidden="false" customHeight="false" outlineLevel="0" collapsed="false">
      <c r="A361" s="38" t="s">
        <v>344</v>
      </c>
      <c r="B361" s="38" t="s">
        <v>503</v>
      </c>
      <c r="C361" s="38" t="s">
        <v>504</v>
      </c>
      <c r="D361" s="21" t="n">
        <f aca="false">ROUND(Q361*R361,0)</f>
        <v>270</v>
      </c>
      <c r="E361" s="21" t="n">
        <f aca="false">ROUND(Q361,0)-D361</f>
        <v>559</v>
      </c>
      <c r="F361" s="21" t="n">
        <f aca="false">IF(COUNTA(D361:E361)=0,"",SUM(D361:E361))</f>
        <v>829</v>
      </c>
      <c r="G361" s="39" t="n">
        <f aca="false">IF(OR(F361="",F361=0),"",D361/F361)</f>
        <v>0.325693606755127</v>
      </c>
      <c r="H361" s="39" t="n">
        <f aca="false">IF(OR(F361="",F361=0),"",E361/F361)</f>
        <v>0.674306393244873</v>
      </c>
      <c r="I361" s="38" t="s">
        <v>89</v>
      </c>
      <c r="J361" s="40" t="n">
        <v>2.05025038892674</v>
      </c>
      <c r="K361" s="39" t="n">
        <f aca="false">IF(G361="","",MAX(0,G361-J361/100))</f>
        <v>0.305191102865859</v>
      </c>
      <c r="L361" s="39" t="n">
        <f aca="false">IF(G361="","",MIN(1,G361+J361/100))</f>
        <v>0.346196110644394</v>
      </c>
      <c r="M361" s="21" t="n">
        <f aca="false">ROUND(Q361*S361,0)</f>
        <v>41</v>
      </c>
      <c r="N361" s="21" t="n">
        <f aca="false">ROUND(SQRT((F361*J361/100)^2+(G361*M361)^2),0)</f>
        <v>22</v>
      </c>
      <c r="P361" s="41" t="n">
        <v>-19.9079943633853</v>
      </c>
      <c r="Q361" s="42" t="n">
        <v>829</v>
      </c>
      <c r="R361" s="43" t="n">
        <f aca="false">MAX(0,MIN(1,P361/100+$D$5))</f>
        <v>0.326138501093112</v>
      </c>
      <c r="S361" s="43" t="n">
        <v>0.0500321312575726</v>
      </c>
      <c r="T361" s="44" t="s">
        <v>99</v>
      </c>
    </row>
    <row r="362" customFormat="false" ht="15" hidden="false" customHeight="false" outlineLevel="0" collapsed="false">
      <c r="A362" s="38" t="s">
        <v>344</v>
      </c>
      <c r="B362" s="38" t="s">
        <v>503</v>
      </c>
      <c r="C362" s="38" t="s">
        <v>505</v>
      </c>
      <c r="D362" s="21" t="n">
        <f aca="false">ROUND(Q362*R362,0)</f>
        <v>211</v>
      </c>
      <c r="E362" s="21" t="n">
        <f aca="false">ROUND(Q362,0)-D362</f>
        <v>377</v>
      </c>
      <c r="F362" s="21" t="n">
        <f aca="false">IF(COUNTA(D362:E362)=0,"",SUM(D362:E362))</f>
        <v>588</v>
      </c>
      <c r="G362" s="39" t="n">
        <f aca="false">IF(OR(F362="",F362=0),"",D362/F362)</f>
        <v>0.358843537414966</v>
      </c>
      <c r="H362" s="39" t="n">
        <f aca="false">IF(OR(F362="",F362=0),"",E362/F362)</f>
        <v>0.641156462585034</v>
      </c>
      <c r="I362" s="38" t="s">
        <v>89</v>
      </c>
      <c r="J362" s="40" t="n">
        <v>3.45317612968717</v>
      </c>
      <c r="K362" s="39" t="n">
        <f aca="false">IF(G362="","",MAX(0,G362-J362/100))</f>
        <v>0.324311776118094</v>
      </c>
      <c r="L362" s="39" t="n">
        <f aca="false">IF(G362="","",MIN(1,G362+J362/100))</f>
        <v>0.393375298711838</v>
      </c>
      <c r="M362" s="21" t="n">
        <f aca="false">ROUND(Q362*S362,0)</f>
        <v>36</v>
      </c>
      <c r="N362" s="21" t="n">
        <f aca="false">ROUND(SQRT((F362*J362/100)^2+(G362*M362)^2),0)</f>
        <v>24</v>
      </c>
      <c r="P362" s="41" t="n">
        <v>-16.5747521637767</v>
      </c>
      <c r="Q362" s="42" t="n">
        <v>588</v>
      </c>
      <c r="R362" s="43" t="n">
        <f aca="false">MAX(0,MIN(1,P362/100+$D$5))</f>
        <v>0.359470923089198</v>
      </c>
      <c r="S362" s="43" t="n">
        <v>0.0610405690258335</v>
      </c>
      <c r="T362" s="44" t="s">
        <v>90</v>
      </c>
    </row>
    <row r="363" customFormat="false" ht="15" hidden="false" customHeight="false" outlineLevel="0" collapsed="false">
      <c r="A363" s="38" t="s">
        <v>344</v>
      </c>
      <c r="B363" s="38" t="s">
        <v>503</v>
      </c>
      <c r="C363" s="38" t="s">
        <v>506</v>
      </c>
      <c r="D363" s="21" t="n">
        <f aca="false">ROUND(Q363*R363,0)</f>
        <v>162</v>
      </c>
      <c r="E363" s="21" t="n">
        <f aca="false">ROUND(Q363,0)-D363</f>
        <v>347</v>
      </c>
      <c r="F363" s="21" t="n">
        <f aca="false">IF(COUNTA(D363:E363)=0,"",SUM(D363:E363))</f>
        <v>509</v>
      </c>
      <c r="G363" s="39" t="n">
        <f aca="false">IF(OR(F363="",F363=0),"",D363/F363)</f>
        <v>0.318271119842829</v>
      </c>
      <c r="H363" s="39" t="n">
        <f aca="false">IF(OR(F363="",F363=0),"",E363/F363)</f>
        <v>0.681728880157171</v>
      </c>
      <c r="I363" s="38" t="s">
        <v>89</v>
      </c>
      <c r="J363" s="40" t="n">
        <v>3.45317612968717</v>
      </c>
      <c r="K363" s="39" t="n">
        <f aca="false">IF(G363="","",MAX(0,G363-J363/100))</f>
        <v>0.283739358545957</v>
      </c>
      <c r="L363" s="39" t="n">
        <f aca="false">IF(G363="","",MIN(1,G363+J363/100))</f>
        <v>0.352802881139701</v>
      </c>
      <c r="M363" s="21" t="n">
        <f aca="false">ROUND(Q363*S363,0)</f>
        <v>31</v>
      </c>
      <c r="N363" s="21" t="n">
        <f aca="false">ROUND(SQRT((F363*J363/100)^2+(G363*M363)^2),0)</f>
        <v>20</v>
      </c>
      <c r="P363" s="41" t="n">
        <v>-20.7715193368906</v>
      </c>
      <c r="Q363" s="42" t="n">
        <v>509</v>
      </c>
      <c r="R363" s="43" t="n">
        <f aca="false">MAX(0,MIN(1,P363/100+$D$5))</f>
        <v>0.317503251358059</v>
      </c>
      <c r="S363" s="43" t="n">
        <v>0.0610405690258335</v>
      </c>
      <c r="T363" s="44" t="s">
        <v>90</v>
      </c>
    </row>
    <row r="364" customFormat="false" ht="15" hidden="false" customHeight="false" outlineLevel="0" collapsed="false">
      <c r="A364" s="38" t="s">
        <v>344</v>
      </c>
      <c r="B364" s="38" t="s">
        <v>503</v>
      </c>
      <c r="C364" s="38" t="s">
        <v>507</v>
      </c>
      <c r="D364" s="21" t="n">
        <f aca="false">ROUND(Q364*R364,0)</f>
        <v>157</v>
      </c>
      <c r="E364" s="21" t="n">
        <f aca="false">ROUND(Q364,0)-D364</f>
        <v>318</v>
      </c>
      <c r="F364" s="21" t="n">
        <f aca="false">IF(COUNTA(D364:E364)=0,"",SUM(D364:E364))</f>
        <v>475</v>
      </c>
      <c r="G364" s="39" t="n">
        <f aca="false">IF(OR(F364="",F364=0),"",D364/F364)</f>
        <v>0.330526315789474</v>
      </c>
      <c r="H364" s="39" t="n">
        <f aca="false">IF(OR(F364="",F364=0),"",E364/F364)</f>
        <v>0.669473684210526</v>
      </c>
      <c r="I364" s="38" t="s">
        <v>89</v>
      </c>
      <c r="J364" s="40" t="n">
        <v>3.45317612968717</v>
      </c>
      <c r="K364" s="39" t="n">
        <f aca="false">IF(G364="","",MAX(0,G364-J364/100))</f>
        <v>0.295994554492602</v>
      </c>
      <c r="L364" s="39" t="n">
        <f aca="false">IF(G364="","",MIN(1,G364+J364/100))</f>
        <v>0.365058077086345</v>
      </c>
      <c r="M364" s="21" t="n">
        <f aca="false">ROUND(Q364*S364,0)</f>
        <v>29</v>
      </c>
      <c r="N364" s="21" t="n">
        <f aca="false">ROUND(SQRT((F364*J364/100)^2+(G364*M364)^2),0)</f>
        <v>19</v>
      </c>
      <c r="P364" s="41" t="n">
        <v>-19.5615009012633</v>
      </c>
      <c r="Q364" s="42" t="n">
        <v>475</v>
      </c>
      <c r="R364" s="43" t="n">
        <f aca="false">MAX(0,MIN(1,P364/100+$D$5))</f>
        <v>0.329603435714331</v>
      </c>
      <c r="S364" s="43" t="n">
        <v>0.0610405690258335</v>
      </c>
      <c r="T364" s="44" t="s">
        <v>90</v>
      </c>
    </row>
    <row r="365" customFormat="false" ht="15" hidden="false" customHeight="false" outlineLevel="0" collapsed="false">
      <c r="A365" s="38" t="s">
        <v>344</v>
      </c>
      <c r="B365" s="38" t="s">
        <v>503</v>
      </c>
      <c r="C365" s="38" t="s">
        <v>508</v>
      </c>
      <c r="D365" s="21" t="n">
        <f aca="false">ROUND(Q365*R365,0)</f>
        <v>287</v>
      </c>
      <c r="E365" s="21" t="n">
        <f aca="false">ROUND(Q365,0)-D365</f>
        <v>437</v>
      </c>
      <c r="F365" s="21" t="n">
        <f aca="false">IF(COUNTA(D365:E365)=0,"",SUM(D365:E365))</f>
        <v>724</v>
      </c>
      <c r="G365" s="39" t="n">
        <f aca="false">IF(OR(F365="",F365=0),"",D365/F365)</f>
        <v>0.396408839779006</v>
      </c>
      <c r="H365" s="39" t="n">
        <f aca="false">IF(OR(F365="",F365=0),"",E365/F365)</f>
        <v>0.603591160220995</v>
      </c>
      <c r="I365" s="38" t="s">
        <v>89</v>
      </c>
      <c r="J365" s="40" t="n">
        <v>3.45317612968717</v>
      </c>
      <c r="K365" s="39" t="n">
        <f aca="false">IF(G365="","",MAX(0,G365-J365/100))</f>
        <v>0.361877078482134</v>
      </c>
      <c r="L365" s="39" t="n">
        <f aca="false">IF(G365="","",MIN(1,G365+J365/100))</f>
        <v>0.430940601075877</v>
      </c>
      <c r="M365" s="21" t="n">
        <f aca="false">ROUND(Q365*S365,0)</f>
        <v>44</v>
      </c>
      <c r="N365" s="21" t="n">
        <f aca="false">ROUND(SQRT((F365*J365/100)^2+(G365*M365)^2),0)</f>
        <v>30</v>
      </c>
      <c r="P365" s="41" t="n">
        <v>-12.890817234814</v>
      </c>
      <c r="Q365" s="42" t="n">
        <v>724</v>
      </c>
      <c r="R365" s="43" t="n">
        <f aca="false">MAX(0,MIN(1,P365/100+$D$5))</f>
        <v>0.396310272378825</v>
      </c>
      <c r="S365" s="43" t="n">
        <v>0.0610405690258335</v>
      </c>
      <c r="T365" s="44" t="s">
        <v>90</v>
      </c>
    </row>
    <row r="366" customFormat="false" ht="15" hidden="false" customHeight="false" outlineLevel="0" collapsed="false">
      <c r="A366" s="38" t="s">
        <v>344</v>
      </c>
      <c r="B366" s="38" t="s">
        <v>509</v>
      </c>
      <c r="C366" s="38" t="s">
        <v>510</v>
      </c>
      <c r="D366" s="21" t="n">
        <f aca="false">ROUND(Q366*R366,0)</f>
        <v>966</v>
      </c>
      <c r="E366" s="21" t="n">
        <f aca="false">ROUND(Q366,0)-D366</f>
        <v>850</v>
      </c>
      <c r="F366" s="21" t="n">
        <f aca="false">IF(COUNTA(D366:E366)=0,"",SUM(D366:E366))</f>
        <v>1816</v>
      </c>
      <c r="G366" s="39" t="n">
        <f aca="false">IF(OR(F366="",F366=0),"",D366/F366)</f>
        <v>0.531938325991189</v>
      </c>
      <c r="H366" s="39" t="n">
        <f aca="false">IF(OR(F366="",F366=0),"",E366/F366)</f>
        <v>0.468061674008811</v>
      </c>
      <c r="I366" s="38" t="s">
        <v>89</v>
      </c>
      <c r="J366" s="40" t="n">
        <v>1.25589305869883</v>
      </c>
      <c r="K366" s="39" t="n">
        <f aca="false">IF(G366="","",MAX(0,G366-J366/100))</f>
        <v>0.519379395404201</v>
      </c>
      <c r="L366" s="39" t="n">
        <f aca="false">IF(G366="","",MIN(1,G366+J366/100))</f>
        <v>0.544497256578178</v>
      </c>
      <c r="M366" s="21" t="n">
        <f aca="false">ROUND(Q366*S366,0)</f>
        <v>236</v>
      </c>
      <c r="N366" s="21" t="n">
        <f aca="false">ROUND(SQRT((F366*J366/100)^2+(G366*M366)^2),0)</f>
        <v>128</v>
      </c>
      <c r="P366" s="41" t="n">
        <v>0.691710345583946</v>
      </c>
      <c r="Q366" s="42" t="n">
        <v>1816</v>
      </c>
      <c r="R366" s="43" t="n">
        <f aca="false">MAX(0,MIN(1,P366/100+$D$5))</f>
        <v>0.532135548182804</v>
      </c>
      <c r="S366" s="43" t="n">
        <v>0.130204099606216</v>
      </c>
      <c r="T366" s="44" t="s">
        <v>192</v>
      </c>
    </row>
    <row r="367" customFormat="false" ht="15" hidden="false" customHeight="false" outlineLevel="0" collapsed="false">
      <c r="A367" s="38" t="s">
        <v>344</v>
      </c>
      <c r="B367" s="38" t="s">
        <v>509</v>
      </c>
      <c r="C367" s="38" t="s">
        <v>511</v>
      </c>
      <c r="D367" s="21" t="n">
        <f aca="false">ROUND(Q367*R367,0)</f>
        <v>291</v>
      </c>
      <c r="E367" s="21" t="n">
        <f aca="false">ROUND(Q367,0)-D367</f>
        <v>279</v>
      </c>
      <c r="F367" s="21" t="n">
        <f aca="false">IF(COUNTA(D367:E367)=0,"",SUM(D367:E367))</f>
        <v>570</v>
      </c>
      <c r="G367" s="39" t="n">
        <f aca="false">IF(OR(F367="",F367=0),"",D367/F367)</f>
        <v>0.510526315789474</v>
      </c>
      <c r="H367" s="39" t="n">
        <f aca="false">IF(OR(F367="",F367=0),"",E367/F367)</f>
        <v>0.489473684210526</v>
      </c>
      <c r="I367" s="38" t="s">
        <v>190</v>
      </c>
      <c r="J367" s="40" t="n">
        <v>3.45317612968717</v>
      </c>
      <c r="K367" s="39" t="n">
        <f aca="false">IF(G367="","",MAX(0,G367-J367/100))</f>
        <v>0.475994554492602</v>
      </c>
      <c r="L367" s="39" t="n">
        <f aca="false">IF(G367="","",MIN(1,G367+J367/100))</f>
        <v>0.545058077086345</v>
      </c>
      <c r="M367" s="21" t="n">
        <f aca="false">ROUND(Q367*S367,0)</f>
        <v>35</v>
      </c>
      <c r="N367" s="21" t="n">
        <f aca="false">ROUND(SQRT((F367*J367/100)^2+(G367*M367)^2),0)</f>
        <v>27</v>
      </c>
      <c r="P367" s="41" t="n">
        <v>-1.50108055557639</v>
      </c>
      <c r="Q367" s="42" t="n">
        <v>570.288684389911</v>
      </c>
      <c r="R367" s="43" t="n">
        <f aca="false">MAX(0,MIN(1,P367/100+$D$5))</f>
        <v>0.510207639171201</v>
      </c>
      <c r="S367" s="43" t="n">
        <v>0.0610405690258335</v>
      </c>
      <c r="T367" s="44" t="s">
        <v>90</v>
      </c>
    </row>
    <row r="368" customFormat="false" ht="15" hidden="false" customHeight="false" outlineLevel="0" collapsed="false">
      <c r="A368" s="38" t="s">
        <v>344</v>
      </c>
      <c r="B368" s="38" t="s">
        <v>509</v>
      </c>
      <c r="C368" s="38" t="s">
        <v>512</v>
      </c>
      <c r="D368" s="21" t="n">
        <f aca="false">ROUND(Q368*R368,0)</f>
        <v>719</v>
      </c>
      <c r="E368" s="21" t="n">
        <f aca="false">ROUND(Q368,0)-D368</f>
        <v>628</v>
      </c>
      <c r="F368" s="21" t="n">
        <f aca="false">IF(COUNTA(D368:E368)=0,"",SUM(D368:E368))</f>
        <v>1347</v>
      </c>
      <c r="G368" s="39" t="n">
        <f aca="false">IF(OR(F368="",F368=0),"",D368/F368)</f>
        <v>0.533778767631774</v>
      </c>
      <c r="H368" s="39" t="n">
        <f aca="false">IF(OR(F368="",F368=0),"",E368/F368)</f>
        <v>0.466221232368226</v>
      </c>
      <c r="I368" s="38" t="s">
        <v>89</v>
      </c>
      <c r="J368" s="40" t="n">
        <v>1.25589305869883</v>
      </c>
      <c r="K368" s="39" t="n">
        <f aca="false">IF(G368="","",MAX(0,G368-J368/100))</f>
        <v>0.521219837044786</v>
      </c>
      <c r="L368" s="39" t="n">
        <f aca="false">IF(G368="","",MIN(1,G368+J368/100))</f>
        <v>0.546337698218763</v>
      </c>
      <c r="M368" s="21" t="n">
        <f aca="false">ROUND(Q368*S368,0)</f>
        <v>175</v>
      </c>
      <c r="N368" s="21" t="n">
        <f aca="false">ROUND(SQRT((F368*J368/100)^2+(G368*M368)^2),0)</f>
        <v>95</v>
      </c>
      <c r="P368" s="41" t="n">
        <v>0.892270906992711</v>
      </c>
      <c r="Q368" s="42" t="n">
        <v>1347</v>
      </c>
      <c r="R368" s="43" t="n">
        <f aca="false">MAX(0,MIN(1,P368/100+$D$5))</f>
        <v>0.534141153796892</v>
      </c>
      <c r="S368" s="43" t="n">
        <v>0.130204099606216</v>
      </c>
      <c r="T368" s="44" t="s">
        <v>192</v>
      </c>
    </row>
    <row r="369" customFormat="false" ht="15" hidden="false" customHeight="false" outlineLevel="0" collapsed="false">
      <c r="A369" s="38" t="s">
        <v>344</v>
      </c>
      <c r="B369" s="38" t="s">
        <v>509</v>
      </c>
      <c r="C369" s="38" t="s">
        <v>513</v>
      </c>
      <c r="D369" s="21" t="n">
        <f aca="false">ROUND(Q369*R369,0)</f>
        <v>221</v>
      </c>
      <c r="E369" s="21" t="n">
        <f aca="false">ROUND(Q369,0)-D369</f>
        <v>210</v>
      </c>
      <c r="F369" s="21" t="n">
        <f aca="false">IF(COUNTA(D369:E369)=0,"",SUM(D369:E369))</f>
        <v>431</v>
      </c>
      <c r="G369" s="39" t="n">
        <f aca="false">IF(OR(F369="",F369=0),"",D369/F369)</f>
        <v>0.512761020881671</v>
      </c>
      <c r="H369" s="39" t="n">
        <f aca="false">IF(OR(F369="",F369=0),"",E369/F369)</f>
        <v>0.48723897911833</v>
      </c>
      <c r="I369" s="38" t="s">
        <v>190</v>
      </c>
      <c r="J369" s="40" t="n">
        <v>3.45317612968717</v>
      </c>
      <c r="K369" s="39" t="n">
        <f aca="false">IF(G369="","",MAX(0,G369-J369/100))</f>
        <v>0.478229259584799</v>
      </c>
      <c r="L369" s="39" t="n">
        <f aca="false">IF(G369="","",MIN(1,G369+J369/100))</f>
        <v>0.547292782178542</v>
      </c>
      <c r="M369" s="21" t="n">
        <f aca="false">ROUND(Q369*S369,0)</f>
        <v>26</v>
      </c>
      <c r="N369" s="21" t="n">
        <f aca="false">ROUND(SQRT((F369*J369/100)^2+(G369*M369)^2),0)</f>
        <v>20</v>
      </c>
      <c r="P369" s="41" t="n">
        <v>-1.36114475564936</v>
      </c>
      <c r="Q369" s="42" t="n">
        <v>431.220177232447</v>
      </c>
      <c r="R369" s="43" t="n">
        <f aca="false">MAX(0,MIN(1,P369/100+$D$5))</f>
        <v>0.511606997170471</v>
      </c>
      <c r="S369" s="43" t="n">
        <v>0.0610405690258335</v>
      </c>
      <c r="T369" s="44" t="s">
        <v>90</v>
      </c>
    </row>
    <row r="370" customFormat="false" ht="15" hidden="false" customHeight="false" outlineLevel="0" collapsed="false">
      <c r="A370" s="38" t="s">
        <v>344</v>
      </c>
      <c r="B370" s="38" t="s">
        <v>514</v>
      </c>
      <c r="C370" s="38" t="s">
        <v>515</v>
      </c>
      <c r="D370" s="21" t="n">
        <f aca="false">ROUND(Q370*R370,0)</f>
        <v>311</v>
      </c>
      <c r="E370" s="21" t="n">
        <f aca="false">ROUND(Q370,0)-D370</f>
        <v>413</v>
      </c>
      <c r="F370" s="21" t="n">
        <f aca="false">IF(COUNTA(D370:E370)=0,"",SUM(D370:E370))</f>
        <v>724</v>
      </c>
      <c r="G370" s="39" t="n">
        <f aca="false">IF(OR(F370="",F370=0),"",D370/F370)</f>
        <v>0.429558011049724</v>
      </c>
      <c r="H370" s="39" t="n">
        <f aca="false">IF(OR(F370="",F370=0),"",E370/F370)</f>
        <v>0.570441988950276</v>
      </c>
      <c r="I370" s="38" t="s">
        <v>89</v>
      </c>
      <c r="J370" s="40" t="n">
        <v>3.45317612968717</v>
      </c>
      <c r="K370" s="39" t="n">
        <f aca="false">IF(G370="","",MAX(0,G370-J370/100))</f>
        <v>0.395026249752852</v>
      </c>
      <c r="L370" s="39" t="n">
        <f aca="false">IF(G370="","",MIN(1,G370+J370/100))</f>
        <v>0.464089772346595</v>
      </c>
      <c r="M370" s="21" t="n">
        <f aca="false">ROUND(Q370*S370,0)</f>
        <v>44</v>
      </c>
      <c r="N370" s="21" t="n">
        <f aca="false">ROUND(SQRT((F370*J370/100)^2+(G370*M370)^2),0)</f>
        <v>31</v>
      </c>
      <c r="P370" s="41" t="n">
        <v>-9.60988231982651</v>
      </c>
      <c r="Q370" s="42" t="n">
        <v>724</v>
      </c>
      <c r="R370" s="43" t="n">
        <f aca="false">MAX(0,MIN(1,P370/100+$D$5))</f>
        <v>0.4291196215287</v>
      </c>
      <c r="S370" s="43" t="n">
        <v>0.0610405690258335</v>
      </c>
      <c r="T370" s="44" t="s">
        <v>90</v>
      </c>
    </row>
    <row r="371" customFormat="false" ht="15" hidden="false" customHeight="false" outlineLevel="0" collapsed="false">
      <c r="A371" s="38" t="s">
        <v>344</v>
      </c>
      <c r="B371" s="38" t="s">
        <v>319</v>
      </c>
      <c r="C371" s="38" t="s">
        <v>516</v>
      </c>
      <c r="D371" s="21" t="n">
        <f aca="false">ROUND(Q371*R371,0)</f>
        <v>665</v>
      </c>
      <c r="E371" s="21" t="n">
        <f aca="false">ROUND(Q371,0)-D371</f>
        <v>1133</v>
      </c>
      <c r="F371" s="21" t="n">
        <f aca="false">IF(COUNTA(D371:E371)=0,"",SUM(D371:E371))</f>
        <v>1798</v>
      </c>
      <c r="G371" s="39" t="n">
        <f aca="false">IF(OR(F371="",F371=0),"",D371/F371)</f>
        <v>0.369855394883204</v>
      </c>
      <c r="H371" s="39" t="n">
        <f aca="false">IF(OR(F371="",F371=0),"",E371/F371)</f>
        <v>0.630144605116797</v>
      </c>
      <c r="I371" s="38" t="s">
        <v>89</v>
      </c>
      <c r="J371" s="40" t="n">
        <v>1.25589305869883</v>
      </c>
      <c r="K371" s="39" t="n">
        <f aca="false">IF(G371="","",MAX(0,G371-J371/100))</f>
        <v>0.357296464296215</v>
      </c>
      <c r="L371" s="39" t="n">
        <f aca="false">IF(G371="","",MIN(1,G371+J371/100))</f>
        <v>0.382414325470192</v>
      </c>
      <c r="M371" s="21" t="n">
        <f aca="false">ROUND(Q371*S371,0)</f>
        <v>234</v>
      </c>
      <c r="N371" s="21" t="n">
        <f aca="false">ROUND(SQRT((F371*J371/100)^2+(G371*M371)^2),0)</f>
        <v>89</v>
      </c>
      <c r="P371" s="41" t="n">
        <v>-15.5549133329125</v>
      </c>
      <c r="Q371" s="42" t="n">
        <v>1798</v>
      </c>
      <c r="R371" s="43" t="n">
        <f aca="false">MAX(0,MIN(1,P371/100+$D$5))</f>
        <v>0.36966931139784</v>
      </c>
      <c r="S371" s="43" t="n">
        <v>0.130204099606216</v>
      </c>
      <c r="T371" s="44" t="s">
        <v>192</v>
      </c>
    </row>
    <row r="372" customFormat="false" ht="15" hidden="false" customHeight="false" outlineLevel="0" collapsed="false">
      <c r="A372" s="38" t="s">
        <v>344</v>
      </c>
      <c r="B372" s="38" t="s">
        <v>319</v>
      </c>
      <c r="C372" s="38" t="s">
        <v>517</v>
      </c>
      <c r="D372" s="21" t="n">
        <f aca="false">ROUND(Q372*R372,0)</f>
        <v>408</v>
      </c>
      <c r="E372" s="21" t="n">
        <f aca="false">ROUND(Q372,0)-D372</f>
        <v>710</v>
      </c>
      <c r="F372" s="21" t="n">
        <f aca="false">IF(COUNTA(D372:E372)=0,"",SUM(D372:E372))</f>
        <v>1118</v>
      </c>
      <c r="G372" s="39" t="n">
        <f aca="false">IF(OR(F372="",F372=0),"",D372/F372)</f>
        <v>0.364937388193202</v>
      </c>
      <c r="H372" s="39" t="n">
        <f aca="false">IF(OR(F372="",F372=0),"",E372/F372)</f>
        <v>0.635062611806798</v>
      </c>
      <c r="I372" s="38" t="s">
        <v>518</v>
      </c>
      <c r="J372" s="40" t="n">
        <v>2.05025038892674</v>
      </c>
      <c r="K372" s="39" t="n">
        <f aca="false">IF(G372="","",MAX(0,G372-J372/100))</f>
        <v>0.344434884303935</v>
      </c>
      <c r="L372" s="39" t="n">
        <f aca="false">IF(G372="","",MIN(1,G372+J372/100))</f>
        <v>0.38543989208247</v>
      </c>
      <c r="M372" s="21" t="n">
        <f aca="false">ROUND(Q372*S372,0)</f>
        <v>56</v>
      </c>
      <c r="N372" s="21" t="n">
        <f aca="false">ROUND(SQRT((F372*J372/100)^2+(G372*M372)^2),0)</f>
        <v>31</v>
      </c>
      <c r="P372" s="41" t="n">
        <v>-16.0706400011571</v>
      </c>
      <c r="Q372" s="42" t="n">
        <v>1118.45698924731</v>
      </c>
      <c r="R372" s="43" t="n">
        <f aca="false">MAX(0,MIN(1,P372/100+$D$5))</f>
        <v>0.364512044715393</v>
      </c>
      <c r="S372" s="43" t="n">
        <v>0.0500321312575726</v>
      </c>
      <c r="T372" s="44" t="s">
        <v>99</v>
      </c>
    </row>
    <row r="373" customFormat="false" ht="15" hidden="false" customHeight="false" outlineLevel="0" collapsed="false">
      <c r="A373" s="38" t="s">
        <v>344</v>
      </c>
      <c r="B373" s="38" t="s">
        <v>519</v>
      </c>
      <c r="C373" s="38" t="s">
        <v>519</v>
      </c>
      <c r="D373" s="21" t="n">
        <f aca="false">ROUND(Q373*R373,0)</f>
        <v>218</v>
      </c>
      <c r="E373" s="21" t="n">
        <f aca="false">ROUND(Q373,0)-D373</f>
        <v>196</v>
      </c>
      <c r="F373" s="21" t="n">
        <f aca="false">IF(COUNTA(D373:E373)=0,"",SUM(D373:E373))</f>
        <v>414</v>
      </c>
      <c r="G373" s="39" t="n">
        <f aca="false">IF(OR(F373="",F373=0),"",D373/F373)</f>
        <v>0.526570048309179</v>
      </c>
      <c r="H373" s="39" t="n">
        <f aca="false">IF(OR(F373="",F373=0),"",E373/F373)</f>
        <v>0.473429951690821</v>
      </c>
      <c r="I373" s="38" t="s">
        <v>89</v>
      </c>
      <c r="J373" s="40" t="n">
        <v>3.45317612968717</v>
      </c>
      <c r="K373" s="39" t="n">
        <f aca="false">IF(G373="","",MAX(0,G373-J373/100))</f>
        <v>0.492038287012307</v>
      </c>
      <c r="L373" s="39" t="n">
        <f aca="false">IF(G373="","",MIN(1,G373+J373/100))</f>
        <v>0.56110180960605</v>
      </c>
      <c r="M373" s="21" t="n">
        <f aca="false">ROUND(Q373*S373,0)</f>
        <v>25</v>
      </c>
      <c r="N373" s="21" t="n">
        <f aca="false">ROUND(SQRT((F373*J373/100)^2+(G373*M373)^2),0)</f>
        <v>19</v>
      </c>
      <c r="P373" s="41" t="n">
        <v>0.245225945516242</v>
      </c>
      <c r="Q373" s="42" t="n">
        <v>414</v>
      </c>
      <c r="R373" s="43" t="n">
        <f aca="false">MAX(0,MIN(1,P373/100+$D$5))</f>
        <v>0.527670704182127</v>
      </c>
      <c r="S373" s="43" t="n">
        <v>0.0610405690258335</v>
      </c>
      <c r="T373" s="44" t="s">
        <v>90</v>
      </c>
    </row>
    <row r="374" customFormat="false" ht="15" hidden="false" customHeight="false" outlineLevel="0" collapsed="false">
      <c r="A374" s="38" t="s">
        <v>344</v>
      </c>
      <c r="B374" s="38" t="s">
        <v>520</v>
      </c>
      <c r="C374" s="38" t="s">
        <v>521</v>
      </c>
      <c r="D374" s="21" t="n">
        <f aca="false">ROUND(Q374*R374,0)</f>
        <v>464</v>
      </c>
      <c r="E374" s="21" t="n">
        <f aca="false">ROUND(Q374,0)-D374</f>
        <v>516</v>
      </c>
      <c r="F374" s="21" t="n">
        <f aca="false">IF(COUNTA(D374:E374)=0,"",SUM(D374:E374))</f>
        <v>980</v>
      </c>
      <c r="G374" s="39" t="n">
        <f aca="false">IF(OR(F374="",F374=0),"",D374/F374)</f>
        <v>0.473469387755102</v>
      </c>
      <c r="H374" s="39" t="n">
        <f aca="false">IF(OR(F374="",F374=0),"",E374/F374)</f>
        <v>0.526530612244898</v>
      </c>
      <c r="I374" s="38" t="s">
        <v>89</v>
      </c>
      <c r="J374" s="40" t="n">
        <v>2.05025038892674</v>
      </c>
      <c r="K374" s="39" t="n">
        <f aca="false">IF(G374="","",MAX(0,G374-J374/100))</f>
        <v>0.452966883865835</v>
      </c>
      <c r="L374" s="39" t="n">
        <f aca="false">IF(G374="","",MIN(1,G374+J374/100))</f>
        <v>0.493971891644369</v>
      </c>
      <c r="M374" s="21" t="n">
        <f aca="false">ROUND(Q374*S374,0)</f>
        <v>49</v>
      </c>
      <c r="N374" s="21" t="n">
        <f aca="false">ROUND(SQRT((F374*J374/100)^2+(G374*M374)^2),0)</f>
        <v>31</v>
      </c>
      <c r="P374" s="41" t="n">
        <v>-5.17287234181889</v>
      </c>
      <c r="Q374" s="42" t="n">
        <v>980</v>
      </c>
      <c r="R374" s="43" t="n">
        <f aca="false">MAX(0,MIN(1,P374/100+$D$5))</f>
        <v>0.473489721308776</v>
      </c>
      <c r="S374" s="43" t="n">
        <v>0.0500321312575726</v>
      </c>
      <c r="T374" s="44" t="s">
        <v>99</v>
      </c>
    </row>
    <row r="375" customFormat="false" ht="15" hidden="false" customHeight="false" outlineLevel="0" collapsed="false">
      <c r="A375" s="38" t="s">
        <v>344</v>
      </c>
      <c r="B375" s="38" t="s">
        <v>520</v>
      </c>
      <c r="C375" s="38" t="s">
        <v>522</v>
      </c>
      <c r="D375" s="21" t="n">
        <f aca="false">ROUND(Q375*R375,0)</f>
        <v>366</v>
      </c>
      <c r="E375" s="21" t="n">
        <f aca="false">ROUND(Q375,0)-D375</f>
        <v>479</v>
      </c>
      <c r="F375" s="21" t="n">
        <f aca="false">IF(COUNTA(D375:E375)=0,"",SUM(D375:E375))</f>
        <v>845</v>
      </c>
      <c r="G375" s="39" t="n">
        <f aca="false">IF(OR(F375="",F375=0),"",D375/F375)</f>
        <v>0.433136094674556</v>
      </c>
      <c r="H375" s="39" t="n">
        <f aca="false">IF(OR(F375="",F375=0),"",E375/F375)</f>
        <v>0.566863905325444</v>
      </c>
      <c r="I375" s="38" t="s">
        <v>89</v>
      </c>
      <c r="J375" s="40" t="n">
        <v>2.05025038892674</v>
      </c>
      <c r="K375" s="39" t="n">
        <f aca="false">IF(G375="","",MAX(0,G375-J375/100))</f>
        <v>0.412633590785289</v>
      </c>
      <c r="L375" s="39" t="n">
        <f aca="false">IF(G375="","",MIN(1,G375+J375/100))</f>
        <v>0.453638598563824</v>
      </c>
      <c r="M375" s="21" t="n">
        <f aca="false">ROUND(Q375*S375,0)</f>
        <v>42</v>
      </c>
      <c r="N375" s="21" t="n">
        <f aca="false">ROUND(SQRT((F375*J375/100)^2+(G375*M375)^2),0)</f>
        <v>25</v>
      </c>
      <c r="P375" s="41" t="n">
        <v>-9.1514608769512</v>
      </c>
      <c r="Q375" s="42" t="n">
        <v>845</v>
      </c>
      <c r="R375" s="43" t="n">
        <f aca="false">MAX(0,MIN(1,P375/100+$D$5))</f>
        <v>0.433703835957453</v>
      </c>
      <c r="S375" s="43" t="n">
        <v>0.0500321312575726</v>
      </c>
      <c r="T375" s="44" t="s">
        <v>99</v>
      </c>
    </row>
    <row r="376" customFormat="false" ht="15" hidden="false" customHeight="false" outlineLevel="0" collapsed="false">
      <c r="A376" s="38" t="s">
        <v>344</v>
      </c>
      <c r="B376" s="38" t="s">
        <v>520</v>
      </c>
      <c r="C376" s="38" t="s">
        <v>523</v>
      </c>
      <c r="D376" s="21" t="n">
        <f aca="false">ROUND(Q376*R376,0)</f>
        <v>487</v>
      </c>
      <c r="E376" s="21" t="n">
        <f aca="false">ROUND(Q376,0)-D376</f>
        <v>424</v>
      </c>
      <c r="F376" s="21" t="n">
        <f aca="false">IF(COUNTA(D376:E376)=0,"",SUM(D376:E376))</f>
        <v>911</v>
      </c>
      <c r="G376" s="39" t="n">
        <f aca="false">IF(OR(F376="",F376=0),"",D376/F376)</f>
        <v>0.534577387486279</v>
      </c>
      <c r="H376" s="39" t="n">
        <f aca="false">IF(OR(F376="",F376=0),"",E376/F376)</f>
        <v>0.465422612513721</v>
      </c>
      <c r="I376" s="38" t="s">
        <v>89</v>
      </c>
      <c r="J376" s="40" t="n">
        <v>2.05025038892674</v>
      </c>
      <c r="K376" s="39" t="n">
        <f aca="false">IF(G376="","",MAX(0,G376-J376/100))</f>
        <v>0.514074883597012</v>
      </c>
      <c r="L376" s="39" t="n">
        <f aca="false">IF(G376="","",MIN(1,G376+J376/100))</f>
        <v>0.555079891375546</v>
      </c>
      <c r="M376" s="21" t="n">
        <f aca="false">ROUND(Q376*S376,0)</f>
        <v>46</v>
      </c>
      <c r="N376" s="21" t="n">
        <f aca="false">ROUND(SQRT((F376*J376/100)^2+(G376*M376)^2),0)</f>
        <v>31</v>
      </c>
      <c r="P376" s="41" t="n">
        <v>0.882175956323804</v>
      </c>
      <c r="Q376" s="42" t="n">
        <v>911</v>
      </c>
      <c r="R376" s="43" t="n">
        <f aca="false">MAX(0,MIN(1,P376/100+$D$5))</f>
        <v>0.534040204290203</v>
      </c>
      <c r="S376" s="43" t="n">
        <v>0.0500321312575726</v>
      </c>
      <c r="T376" s="44" t="s">
        <v>99</v>
      </c>
    </row>
    <row r="377" customFormat="false" ht="15" hidden="false" customHeight="false" outlineLevel="0" collapsed="false">
      <c r="A377" s="38" t="s">
        <v>344</v>
      </c>
      <c r="B377" s="38" t="s">
        <v>520</v>
      </c>
      <c r="C377" s="38" t="s">
        <v>524</v>
      </c>
      <c r="D377" s="21" t="n">
        <f aca="false">ROUND(Q377*R377,0)</f>
        <v>267</v>
      </c>
      <c r="E377" s="21" t="n">
        <f aca="false">ROUND(Q377,0)-D377</f>
        <v>313</v>
      </c>
      <c r="F377" s="21" t="n">
        <f aca="false">IF(COUNTA(D377:E377)=0,"",SUM(D377:E377))</f>
        <v>580</v>
      </c>
      <c r="G377" s="39" t="n">
        <f aca="false">IF(OR(F377="",F377=0),"",D377/F377)</f>
        <v>0.460344827586207</v>
      </c>
      <c r="H377" s="39" t="n">
        <f aca="false">IF(OR(F377="",F377=0),"",E377/F377)</f>
        <v>0.539655172413793</v>
      </c>
      <c r="I377" s="38" t="s">
        <v>89</v>
      </c>
      <c r="J377" s="40" t="n">
        <v>3.45317612968717</v>
      </c>
      <c r="K377" s="39" t="n">
        <f aca="false">IF(G377="","",MAX(0,G377-J377/100))</f>
        <v>0.425813066289335</v>
      </c>
      <c r="L377" s="39" t="n">
        <f aca="false">IF(G377="","",MIN(1,G377+J377/100))</f>
        <v>0.494876588883079</v>
      </c>
      <c r="M377" s="21" t="n">
        <f aca="false">ROUND(Q377*S377,0)</f>
        <v>35</v>
      </c>
      <c r="N377" s="21" t="n">
        <f aca="false">ROUND(SQRT((F377*J377/100)^2+(G377*M377)^2),0)</f>
        <v>26</v>
      </c>
      <c r="P377" s="41" t="n">
        <v>-6.51568262416358</v>
      </c>
      <c r="Q377" s="42" t="n">
        <v>580</v>
      </c>
      <c r="R377" s="43" t="n">
        <f aca="false">MAX(0,MIN(1,P377/100+$D$5))</f>
        <v>0.460061618485329</v>
      </c>
      <c r="S377" s="43" t="n">
        <v>0.0610405690258335</v>
      </c>
      <c r="T377" s="44" t="s">
        <v>90</v>
      </c>
    </row>
    <row r="378" customFormat="false" ht="15" hidden="false" customHeight="false" outlineLevel="0" collapsed="false">
      <c r="A378" s="38" t="s">
        <v>344</v>
      </c>
      <c r="B378" s="38" t="s">
        <v>525</v>
      </c>
      <c r="C378" s="38" t="s">
        <v>526</v>
      </c>
      <c r="D378" s="21" t="n">
        <f aca="false">ROUND(Q378*R378,0)</f>
        <v>462</v>
      </c>
      <c r="E378" s="21" t="n">
        <f aca="false">ROUND(Q378,0)-D378</f>
        <v>281</v>
      </c>
      <c r="F378" s="21" t="n">
        <f aca="false">IF(COUNTA(D378:E378)=0,"",SUM(D378:E378))</f>
        <v>743</v>
      </c>
      <c r="G378" s="39" t="n">
        <f aca="false">IF(OR(F378="",F378=0),"",D378/F378)</f>
        <v>0.621803499327053</v>
      </c>
      <c r="H378" s="39" t="n">
        <f aca="false">IF(OR(F378="",F378=0),"",E378/F378)</f>
        <v>0.378196500672948</v>
      </c>
      <c r="I378" s="38" t="s">
        <v>89</v>
      </c>
      <c r="J378" s="40" t="n">
        <v>3.45317612968717</v>
      </c>
      <c r="K378" s="39" t="n">
        <f aca="false">IF(G378="","",MAX(0,G378-J378/100))</f>
        <v>0.587271738030181</v>
      </c>
      <c r="L378" s="39" t="n">
        <f aca="false">IF(G378="","",MIN(1,G378+J378/100))</f>
        <v>0.656335260623924</v>
      </c>
      <c r="M378" s="21" t="n">
        <f aca="false">ROUND(Q378*S378,0)</f>
        <v>45</v>
      </c>
      <c r="N378" s="21" t="n">
        <f aca="false">ROUND(SQRT((F378*J378/100)^2+(G378*M378)^2),0)</f>
        <v>38</v>
      </c>
      <c r="P378" s="41" t="n">
        <v>9.71369445441981</v>
      </c>
      <c r="Q378" s="42" t="n">
        <v>743</v>
      </c>
      <c r="R378" s="43" t="n">
        <f aca="false">MAX(0,MIN(1,P378/100+$D$5))</f>
        <v>0.622355389271163</v>
      </c>
      <c r="S378" s="43" t="n">
        <v>0.0610405690258335</v>
      </c>
      <c r="T378" s="44" t="s">
        <v>90</v>
      </c>
    </row>
    <row r="379" customFormat="false" ht="15" hidden="false" customHeight="false" outlineLevel="0" collapsed="false">
      <c r="A379" s="38" t="s">
        <v>344</v>
      </c>
      <c r="B379" s="38" t="s">
        <v>525</v>
      </c>
      <c r="C379" s="38" t="s">
        <v>527</v>
      </c>
      <c r="D379" s="21" t="n">
        <f aca="false">ROUND(Q379*R379,0)</f>
        <v>365</v>
      </c>
      <c r="E379" s="21" t="n">
        <f aca="false">ROUND(Q379,0)-D379</f>
        <v>239</v>
      </c>
      <c r="F379" s="21" t="n">
        <f aca="false">IF(COUNTA(D379:E379)=0,"",SUM(D379:E379))</f>
        <v>604</v>
      </c>
      <c r="G379" s="39" t="n">
        <f aca="false">IF(OR(F379="",F379=0),"",D379/F379)</f>
        <v>0.604304635761589</v>
      </c>
      <c r="H379" s="39" t="n">
        <f aca="false">IF(OR(F379="",F379=0),"",E379/F379)</f>
        <v>0.395695364238411</v>
      </c>
      <c r="I379" s="38" t="s">
        <v>89</v>
      </c>
      <c r="J379" s="40" t="n">
        <v>3.45317612968717</v>
      </c>
      <c r="K379" s="39" t="n">
        <f aca="false">IF(G379="","",MAX(0,G379-J379/100))</f>
        <v>0.569772874464718</v>
      </c>
      <c r="L379" s="39" t="n">
        <f aca="false">IF(G379="","",MIN(1,G379+J379/100))</f>
        <v>0.638836397058461</v>
      </c>
      <c r="M379" s="21" t="n">
        <f aca="false">ROUND(Q379*S379,0)</f>
        <v>37</v>
      </c>
      <c r="N379" s="21" t="n">
        <f aca="false">ROUND(SQRT((F379*J379/100)^2+(G379*M379)^2),0)</f>
        <v>31</v>
      </c>
      <c r="P379" s="41" t="n">
        <v>7.84308065896004</v>
      </c>
      <c r="Q379" s="42" t="n">
        <v>604</v>
      </c>
      <c r="R379" s="43" t="n">
        <f aca="false">MAX(0,MIN(1,P379/100+$D$5))</f>
        <v>0.603649251316565</v>
      </c>
      <c r="S379" s="43" t="n">
        <v>0.0610405690258335</v>
      </c>
      <c r="T379" s="44" t="s">
        <v>90</v>
      </c>
    </row>
    <row r="380" customFormat="false" ht="15" hidden="false" customHeight="false" outlineLevel="0" collapsed="false">
      <c r="A380" s="38" t="s">
        <v>344</v>
      </c>
      <c r="B380" s="38" t="s">
        <v>525</v>
      </c>
      <c r="C380" s="38" t="s">
        <v>528</v>
      </c>
      <c r="D380" s="21" t="n">
        <f aca="false">ROUND(Q380*R380,0)</f>
        <v>550</v>
      </c>
      <c r="E380" s="21" t="n">
        <f aca="false">ROUND(Q380,0)-D380</f>
        <v>396</v>
      </c>
      <c r="F380" s="21" t="n">
        <f aca="false">IF(COUNTA(D380:E380)=0,"",SUM(D380:E380))</f>
        <v>946</v>
      </c>
      <c r="G380" s="39" t="n">
        <f aca="false">IF(OR(F380="",F380=0),"",D380/F380)</f>
        <v>0.581395348837209</v>
      </c>
      <c r="H380" s="39" t="n">
        <f aca="false">IF(OR(F380="",F380=0),"",E380/F380)</f>
        <v>0.418604651162791</v>
      </c>
      <c r="I380" s="38" t="s">
        <v>89</v>
      </c>
      <c r="J380" s="40" t="n">
        <v>2.05025038892674</v>
      </c>
      <c r="K380" s="39" t="n">
        <f aca="false">IF(G380="","",MAX(0,G380-J380/100))</f>
        <v>0.560892844947942</v>
      </c>
      <c r="L380" s="39" t="n">
        <f aca="false">IF(G380="","",MIN(1,G380+J380/100))</f>
        <v>0.601897852726477</v>
      </c>
      <c r="M380" s="21" t="n">
        <f aca="false">ROUND(Q380*S380,0)</f>
        <v>47</v>
      </c>
      <c r="N380" s="21" t="n">
        <f aca="false">ROUND(SQRT((F380*J380/100)^2+(G380*M380)^2),0)</f>
        <v>34</v>
      </c>
      <c r="P380" s="41" t="n">
        <v>5.60166279965323</v>
      </c>
      <c r="Q380" s="42" t="n">
        <v>946</v>
      </c>
      <c r="R380" s="43" t="n">
        <f aca="false">MAX(0,MIN(1,P380/100+$D$5))</f>
        <v>0.581235072723497</v>
      </c>
      <c r="S380" s="43" t="n">
        <v>0.0500321312575726</v>
      </c>
      <c r="T380" s="44" t="s">
        <v>99</v>
      </c>
    </row>
    <row r="381" customFormat="false" ht="15" hidden="false" customHeight="false" outlineLevel="0" collapsed="false">
      <c r="A381" s="38" t="s">
        <v>344</v>
      </c>
      <c r="B381" s="38" t="s">
        <v>529</v>
      </c>
      <c r="C381" s="38" t="s">
        <v>529</v>
      </c>
      <c r="D381" s="21" t="n">
        <f aca="false">ROUND(Q381*R381,0)</f>
        <v>521</v>
      </c>
      <c r="E381" s="21" t="n">
        <f aca="false">ROUND(Q381,0)-D381</f>
        <v>574</v>
      </c>
      <c r="F381" s="21" t="n">
        <f aca="false">IF(COUNTA(D381:E381)=0,"",SUM(D381:E381))</f>
        <v>1095</v>
      </c>
      <c r="G381" s="39" t="n">
        <f aca="false">IF(OR(F381="",F381=0),"",D381/F381)</f>
        <v>0.475799086757991</v>
      </c>
      <c r="H381" s="39" t="n">
        <f aca="false">IF(OR(F381="",F381=0),"",E381/F381)</f>
        <v>0.524200913242009</v>
      </c>
      <c r="I381" s="38" t="s">
        <v>89</v>
      </c>
      <c r="J381" s="40" t="n">
        <v>2.05025038892674</v>
      </c>
      <c r="K381" s="39" t="n">
        <f aca="false">IF(G381="","",MAX(0,G381-J381/100))</f>
        <v>0.455296582868724</v>
      </c>
      <c r="L381" s="39" t="n">
        <f aca="false">IF(G381="","",MIN(1,G381+J381/100))</f>
        <v>0.496301590647258</v>
      </c>
      <c r="M381" s="21" t="n">
        <f aca="false">ROUND(Q381*S381,0)</f>
        <v>55</v>
      </c>
      <c r="N381" s="21" t="n">
        <f aca="false">ROUND(SQRT((F381*J381/100)^2+(G381*M381)^2),0)</f>
        <v>34</v>
      </c>
      <c r="P381" s="41" t="n">
        <v>-4.9390022935437</v>
      </c>
      <c r="Q381" s="42" t="n">
        <v>1095</v>
      </c>
      <c r="R381" s="43" t="n">
        <f aca="false">MAX(0,MIN(1,P381/100+$D$5))</f>
        <v>0.475828421791528</v>
      </c>
      <c r="S381" s="43" t="n">
        <v>0.0500321312575726</v>
      </c>
      <c r="T381" s="44" t="s">
        <v>99</v>
      </c>
    </row>
  </sheetData>
  <mergeCells count="4">
    <mergeCell ref="A3:I3"/>
    <mergeCell ref="A6:N6"/>
    <mergeCell ref="A9:N9"/>
    <mergeCell ref="A10:N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4"/>
    <col collapsed="false" customWidth="true" hidden="false" outlineLevel="0" max="5" min="5" style="0" width="16"/>
    <col collapsed="false" customWidth="true" hidden="false" outlineLevel="0" max="6" min="6" style="0" width="18"/>
    <col collapsed="false" customWidth="true" hidden="false" outlineLevel="0" max="7" min="7" style="0" width="40"/>
  </cols>
  <sheetData>
    <row r="1" customFormat="false" ht="17.35" hidden="false" customHeight="false" outlineLevel="0" collapsed="false">
      <c r="A1" s="1" t="s">
        <v>534</v>
      </c>
    </row>
    <row r="3" customFormat="false" ht="15" hidden="false" customHeight="false" outlineLevel="0" collapsed="false">
      <c r="A3" s="5" t="s">
        <v>535</v>
      </c>
    </row>
    <row r="4" customFormat="false" ht="45.75" hidden="false" customHeight="true" outlineLevel="0" collapsed="false">
      <c r="A4" s="45" t="s">
        <v>536</v>
      </c>
      <c r="B4" s="45"/>
      <c r="C4" s="45"/>
      <c r="D4" s="45"/>
      <c r="E4" s="45"/>
      <c r="F4" s="45"/>
      <c r="G4" s="45"/>
    </row>
    <row r="5" customFormat="false" ht="15" hidden="false" customHeight="false" outlineLevel="0" collapsed="false">
      <c r="A5" s="5" t="s">
        <v>537</v>
      </c>
    </row>
    <row r="6" customFormat="false" ht="45.75" hidden="false" customHeight="true" outlineLevel="0" collapsed="false">
      <c r="A6" s="45" t="s">
        <v>538</v>
      </c>
      <c r="B6" s="45"/>
      <c r="C6" s="45"/>
      <c r="D6" s="45"/>
      <c r="E6" s="45"/>
      <c r="F6" s="45"/>
      <c r="G6" s="45"/>
    </row>
    <row r="7" customFormat="false" ht="15" hidden="false" customHeight="false" outlineLevel="0" collapsed="false">
      <c r="A7" s="5" t="s">
        <v>539</v>
      </c>
    </row>
    <row r="8" customFormat="false" ht="45.75" hidden="false" customHeight="true" outlineLevel="0" collapsed="false">
      <c r="A8" s="45" t="s">
        <v>540</v>
      </c>
      <c r="B8" s="45"/>
      <c r="C8" s="45"/>
      <c r="D8" s="45"/>
      <c r="E8" s="45"/>
      <c r="F8" s="45"/>
      <c r="G8" s="45"/>
    </row>
    <row r="9" customFormat="false" ht="15" hidden="false" customHeight="false" outlineLevel="0" collapsed="false">
      <c r="A9" s="5" t="s">
        <v>541</v>
      </c>
    </row>
    <row r="10" customFormat="false" ht="45.75" hidden="false" customHeight="true" outlineLevel="0" collapsed="false">
      <c r="A10" s="45" t="s">
        <v>542</v>
      </c>
      <c r="B10" s="45"/>
      <c r="C10" s="45"/>
      <c r="D10" s="45"/>
      <c r="E10" s="45"/>
      <c r="F10" s="45"/>
      <c r="G10" s="45"/>
    </row>
    <row r="12" customFormat="false" ht="15" hidden="false" customHeight="false" outlineLevel="0" collapsed="false">
      <c r="A12" s="4" t="s">
        <v>543</v>
      </c>
      <c r="B12" s="4"/>
      <c r="C12" s="4"/>
      <c r="D12" s="4"/>
      <c r="E12" s="4"/>
      <c r="F12" s="4"/>
      <c r="G12" s="4"/>
    </row>
    <row r="13" customFormat="false" ht="31.5" hidden="false" customHeight="true" outlineLevel="0" collapsed="false">
      <c r="A13" s="7" t="s">
        <v>544</v>
      </c>
      <c r="B13" s="7" t="s">
        <v>25</v>
      </c>
      <c r="C13" s="7" t="s">
        <v>27</v>
      </c>
      <c r="D13" s="7" t="s">
        <v>29</v>
      </c>
      <c r="E13" s="7" t="s">
        <v>545</v>
      </c>
      <c r="F13" s="7" t="s">
        <v>546</v>
      </c>
      <c r="G13" s="7" t="s">
        <v>547</v>
      </c>
    </row>
    <row r="14" customFormat="false" ht="15" hidden="false" customHeight="false" outlineLevel="0" collapsed="false">
      <c r="A14" s="16" t="s">
        <v>548</v>
      </c>
      <c r="B14" s="9" t="n">
        <v>0.00378065215013181</v>
      </c>
      <c r="C14" s="9" t="n">
        <v>0</v>
      </c>
      <c r="D14" s="9" t="n">
        <v>0.00367427926180117</v>
      </c>
      <c r="E14" s="46" t="n">
        <v>1</v>
      </c>
      <c r="F14" s="46" t="n">
        <v>1</v>
      </c>
      <c r="G14" s="47" t="s">
        <v>549</v>
      </c>
    </row>
    <row r="15" customFormat="false" ht="15" hidden="false" customHeight="false" outlineLevel="0" collapsed="false">
      <c r="A15" s="16" t="s">
        <v>550</v>
      </c>
      <c r="B15" s="9" t="n">
        <v>0.018896003471967</v>
      </c>
      <c r="C15" s="9" t="n">
        <v>0</v>
      </c>
      <c r="D15" s="9" t="n">
        <v>0.018364343221989</v>
      </c>
      <c r="E15" s="46" t="n">
        <v>1</v>
      </c>
      <c r="F15" s="46" t="n">
        <v>1</v>
      </c>
      <c r="G15" s="47" t="s">
        <v>549</v>
      </c>
    </row>
    <row r="16" customFormat="false" ht="15" hidden="false" customHeight="false" outlineLevel="0" collapsed="false">
      <c r="A16" s="16" t="s">
        <v>551</v>
      </c>
      <c r="B16" s="9" t="n">
        <v>0.736013879432188</v>
      </c>
      <c r="C16" s="9" t="n">
        <v>0.683245447359076</v>
      </c>
      <c r="D16" s="9" t="n">
        <v>0.773579310526276</v>
      </c>
      <c r="E16" s="46" t="n">
        <v>1.08146732138672</v>
      </c>
      <c r="F16" s="46" t="n">
        <v>0.978141710272924</v>
      </c>
      <c r="G16" s="47" t="s">
        <v>552</v>
      </c>
    </row>
    <row r="17" customFormat="false" ht="15" hidden="false" customHeight="false" outlineLevel="0" collapsed="false">
      <c r="A17" s="16" t="s">
        <v>553</v>
      </c>
      <c r="B17" s="9" t="n">
        <v>0.241309464945713</v>
      </c>
      <c r="C17" s="9" t="n">
        <v>0.316754552640924</v>
      </c>
      <c r="D17" s="9" t="n">
        <v>0.204382066989934</v>
      </c>
      <c r="E17" s="46" t="n">
        <v>0.871491166520102</v>
      </c>
      <c r="F17" s="46" t="n">
        <v>1.24350752602877</v>
      </c>
      <c r="G17" s="47" t="s">
        <v>554</v>
      </c>
    </row>
    <row r="18" customFormat="false" ht="15" hidden="false" customHeight="false" outlineLevel="0" collapsed="false">
      <c r="A18" s="3" t="s">
        <v>555</v>
      </c>
    </row>
    <row r="20" customFormat="false" ht="15" hidden="false" customHeight="false" outlineLevel="0" collapsed="false">
      <c r="A20" s="4" t="s">
        <v>556</v>
      </c>
      <c r="B20" s="4"/>
      <c r="C20" s="4"/>
      <c r="D20" s="4"/>
      <c r="E20" s="4"/>
      <c r="F20" s="4"/>
      <c r="G20" s="4"/>
    </row>
    <row r="21" customFormat="false" ht="31.5" hidden="false" customHeight="true" outlineLevel="0" collapsed="false">
      <c r="A21" s="7" t="s">
        <v>557</v>
      </c>
      <c r="B21" s="7" t="s">
        <v>558</v>
      </c>
      <c r="C21" s="7" t="s">
        <v>559</v>
      </c>
      <c r="D21" s="7" t="s">
        <v>560</v>
      </c>
    </row>
    <row r="22" customFormat="false" ht="15" hidden="false" customHeight="false" outlineLevel="0" collapsed="false">
      <c r="A22" s="38" t="s">
        <v>561</v>
      </c>
      <c r="B22" s="38" t="n">
        <v>20</v>
      </c>
      <c r="C22" s="39" t="n">
        <v>0.295756429329796</v>
      </c>
      <c r="D22" s="16" t="s">
        <v>562</v>
      </c>
    </row>
    <row r="23" customFormat="false" ht="15" hidden="false" customHeight="false" outlineLevel="0" collapsed="false">
      <c r="A23" s="38" t="s">
        <v>563</v>
      </c>
      <c r="B23" s="38" t="n">
        <v>20</v>
      </c>
      <c r="C23" s="39" t="n">
        <v>0.194047279611282</v>
      </c>
      <c r="D23" s="16" t="s">
        <v>562</v>
      </c>
    </row>
    <row r="24" customFormat="false" ht="15" hidden="false" customHeight="false" outlineLevel="0" collapsed="false">
      <c r="A24" s="38" t="s">
        <v>564</v>
      </c>
      <c r="B24" s="38" t="n">
        <v>20</v>
      </c>
      <c r="C24" s="39" t="n">
        <v>0.131124777356041</v>
      </c>
      <c r="D24" s="16" t="s">
        <v>562</v>
      </c>
    </row>
    <row r="25" customFormat="false" ht="15" hidden="false" customHeight="false" outlineLevel="0" collapsed="false">
      <c r="A25" s="38" t="s">
        <v>565</v>
      </c>
      <c r="B25" s="38" t="n">
        <v>20</v>
      </c>
      <c r="C25" s="39" t="n">
        <v>0.111056024665298</v>
      </c>
      <c r="D25" s="16" t="s">
        <v>562</v>
      </c>
    </row>
    <row r="26" customFormat="false" ht="15" hidden="false" customHeight="false" outlineLevel="0" collapsed="false">
      <c r="A26" s="38" t="s">
        <v>566</v>
      </c>
      <c r="B26" s="38" t="n">
        <v>20</v>
      </c>
      <c r="C26" s="39" t="n">
        <v>0.0784636485079385</v>
      </c>
      <c r="D26" s="16" t="s">
        <v>562</v>
      </c>
    </row>
    <row r="27" customFormat="false" ht="15" hidden="false" customHeight="false" outlineLevel="0" collapsed="false">
      <c r="A27" s="38" t="s">
        <v>567</v>
      </c>
      <c r="B27" s="38" t="n">
        <v>20</v>
      </c>
      <c r="C27" s="39" t="n">
        <v>0.072851368429534</v>
      </c>
      <c r="D27" s="16" t="s">
        <v>562</v>
      </c>
    </row>
    <row r="28" customFormat="false" ht="15" hidden="false" customHeight="false" outlineLevel="0" collapsed="false">
      <c r="A28" s="38" t="s">
        <v>568</v>
      </c>
      <c r="B28" s="38" t="n">
        <v>20</v>
      </c>
      <c r="C28" s="39" t="n">
        <v>0.0177291097961352</v>
      </c>
      <c r="D28" s="38" t="s">
        <v>569</v>
      </c>
    </row>
    <row r="29" customFormat="false" ht="15" hidden="false" customHeight="false" outlineLevel="0" collapsed="false">
      <c r="A29" s="38" t="s">
        <v>570</v>
      </c>
      <c r="B29" s="38" t="n">
        <v>20</v>
      </c>
      <c r="C29" s="39" t="n">
        <v>0.0139848632605242</v>
      </c>
      <c r="D29" s="38" t="s">
        <v>569</v>
      </c>
    </row>
    <row r="30" customFormat="false" ht="15" hidden="false" customHeight="false" outlineLevel="0" collapsed="false">
      <c r="A30" s="38" t="s">
        <v>571</v>
      </c>
      <c r="B30" s="38" t="n">
        <v>20</v>
      </c>
      <c r="C30" s="39" t="n">
        <v>0.0139258200798483</v>
      </c>
      <c r="D30" s="38" t="s">
        <v>569</v>
      </c>
    </row>
    <row r="31" customFormat="false" ht="15" hidden="false" customHeight="false" outlineLevel="0" collapsed="false">
      <c r="A31" s="38" t="s">
        <v>572</v>
      </c>
      <c r="B31" s="38" t="n">
        <v>20</v>
      </c>
      <c r="C31" s="39" t="n">
        <v>0.00909359000880721</v>
      </c>
      <c r="D31" s="38" t="s">
        <v>569</v>
      </c>
    </row>
    <row r="32" customFormat="false" ht="15" hidden="false" customHeight="false" outlineLevel="0" collapsed="false">
      <c r="A32" s="38" t="s">
        <v>573</v>
      </c>
      <c r="B32" s="38" t="n">
        <v>20</v>
      </c>
      <c r="C32" s="39" t="n">
        <v>0.00868447971652879</v>
      </c>
      <c r="D32" s="38" t="s">
        <v>569</v>
      </c>
    </row>
    <row r="33" customFormat="false" ht="15" hidden="false" customHeight="false" outlineLevel="0" collapsed="false">
      <c r="A33" s="38" t="s">
        <v>574</v>
      </c>
      <c r="B33" s="38" t="n">
        <v>20</v>
      </c>
      <c r="C33" s="39" t="n">
        <v>0.00802640797950434</v>
      </c>
      <c r="D33" s="38" t="s">
        <v>569</v>
      </c>
    </row>
    <row r="34" customFormat="false" ht="15" hidden="false" customHeight="false" outlineLevel="0" collapsed="false">
      <c r="A34" s="38" t="s">
        <v>575</v>
      </c>
      <c r="B34" s="38" t="n">
        <v>20</v>
      </c>
      <c r="C34" s="39" t="n">
        <v>0.00774398588932939</v>
      </c>
      <c r="D34" s="38" t="s">
        <v>569</v>
      </c>
    </row>
    <row r="35" customFormat="false" ht="15" hidden="false" customHeight="false" outlineLevel="0" collapsed="false">
      <c r="A35" s="38" t="s">
        <v>576</v>
      </c>
      <c r="B35" s="38" t="n">
        <v>20</v>
      </c>
      <c r="C35" s="39" t="n">
        <v>0.00767596085177424</v>
      </c>
      <c r="D35" s="38" t="s">
        <v>569</v>
      </c>
    </row>
    <row r="36" customFormat="false" ht="15" hidden="false" customHeight="false" outlineLevel="0" collapsed="false">
      <c r="A36" s="38" t="s">
        <v>577</v>
      </c>
      <c r="B36" s="38" t="n">
        <v>20</v>
      </c>
      <c r="C36" s="39" t="n">
        <v>0.0062468124354559</v>
      </c>
      <c r="D36" s="38" t="s">
        <v>569</v>
      </c>
    </row>
    <row r="37" customFormat="false" ht="15" hidden="false" customHeight="false" outlineLevel="0" collapsed="false">
      <c r="A37" s="38" t="s">
        <v>578</v>
      </c>
      <c r="B37" s="38" t="n">
        <v>20</v>
      </c>
      <c r="C37" s="39" t="n">
        <v>0.0053368249593437</v>
      </c>
      <c r="D37" s="38" t="s">
        <v>569</v>
      </c>
    </row>
    <row r="38" customFormat="false" ht="15" hidden="false" customHeight="false" outlineLevel="0" collapsed="false">
      <c r="A38" s="38" t="s">
        <v>579</v>
      </c>
      <c r="B38" s="38" t="n">
        <v>20</v>
      </c>
      <c r="C38" s="39" t="n">
        <v>0.00402791326606008</v>
      </c>
      <c r="D38" s="38" t="s">
        <v>569</v>
      </c>
    </row>
    <row r="39" customFormat="false" ht="15" hidden="false" customHeight="false" outlineLevel="0" collapsed="false">
      <c r="A39" s="38" t="s">
        <v>580</v>
      </c>
      <c r="B39" s="38" t="n">
        <v>19</v>
      </c>
      <c r="C39" s="39" t="n">
        <v>0.00374999439364002</v>
      </c>
      <c r="D39" s="38" t="s">
        <v>569</v>
      </c>
    </row>
    <row r="40" customFormat="false" ht="15" hidden="false" customHeight="false" outlineLevel="0" collapsed="false">
      <c r="A40" s="38" t="s">
        <v>581</v>
      </c>
      <c r="B40" s="38" t="n">
        <v>19</v>
      </c>
      <c r="C40" s="39" t="n">
        <v>0.00351600047549058</v>
      </c>
      <c r="D40" s="38" t="s">
        <v>569</v>
      </c>
    </row>
    <row r="41" customFormat="false" ht="15" hidden="false" customHeight="false" outlineLevel="0" collapsed="false">
      <c r="A41" s="38" t="s">
        <v>582</v>
      </c>
      <c r="B41" s="38" t="n">
        <v>17</v>
      </c>
      <c r="C41" s="39" t="n">
        <v>0.00238662830348723</v>
      </c>
      <c r="D41" s="38" t="s">
        <v>569</v>
      </c>
    </row>
    <row r="42" customFormat="false" ht="15" hidden="false" customHeight="false" outlineLevel="0" collapsed="false">
      <c r="A42" s="38" t="s">
        <v>583</v>
      </c>
      <c r="B42" s="38" t="n">
        <v>15</v>
      </c>
      <c r="C42" s="39" t="n">
        <v>0.00235540953814556</v>
      </c>
      <c r="D42" s="38" t="s">
        <v>569</v>
      </c>
    </row>
    <row r="43" customFormat="false" ht="15" hidden="false" customHeight="false" outlineLevel="0" collapsed="false">
      <c r="A43" s="38" t="s">
        <v>584</v>
      </c>
      <c r="B43" s="38" t="n">
        <v>1</v>
      </c>
      <c r="C43" s="39" t="n">
        <v>0.00122696313641621</v>
      </c>
      <c r="D43" s="38" t="s">
        <v>569</v>
      </c>
    </row>
    <row r="44" customFormat="false" ht="15" hidden="false" customHeight="false" outlineLevel="0" collapsed="false">
      <c r="A44" s="38" t="s">
        <v>585</v>
      </c>
      <c r="B44" s="38" t="n">
        <v>1</v>
      </c>
      <c r="C44" s="39" t="n">
        <v>0.000989708009618751</v>
      </c>
      <c r="D44" s="38" t="s">
        <v>569</v>
      </c>
    </row>
  </sheetData>
  <mergeCells count="6">
    <mergeCell ref="A4:G4"/>
    <mergeCell ref="A6:G6"/>
    <mergeCell ref="A8:G8"/>
    <mergeCell ref="A10:G10"/>
    <mergeCell ref="A12:G12"/>
    <mergeCell ref="A20:G20"/>
  </mergeCells>
  <conditionalFormatting sqref="B14:D17">
    <cfRule type="dataBar" priority="2">
      <dataBar showValue="1" minLength="10" maxLength="90">
        <cfvo type="num" val="0"/>
        <cfvo type="num" val="1"/>
        <color rgb="FF5B9BD5"/>
      </dataBar>
      <extLst>
        <ext xmlns:x14="http://schemas.microsoft.com/office/spreadsheetml/2009/9/main" uri="{B025F937-C7B1-47D3-B67F-A62EFF666E3E}">
          <x14:id>{5849F2EC-B5F0-41BC-B9BB-714D303333FF}</x14:id>
        </ext>
      </extLst>
    </cfRule>
  </conditionalFormatting>
  <conditionalFormatting sqref="D22:D44">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849F2EC-B5F0-41BC-B9BB-714D303333FF}">
            <x14:dataBar minLength="10" maxLength="90" axisPosition="none" gradient="true">
              <x14:cfvo type="num">
                <xm:f>0</xm:f>
              </x14:cfvo>
              <x14:cfvo type="num">
                <xm:f>1</xm:f>
              </x14:cfvo>
              <x14:negativeFillColor rgb="FF5B9BD5"/>
              <x14:axisColor rgb="FF000000"/>
            </x14:dataBar>
          </x14:cfRule>
          <xm:sqref>B14:D17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586</v>
      </c>
      <c r="B1" s="7" t="s">
        <v>587</v>
      </c>
      <c r="C1" s="7" t="s">
        <v>544</v>
      </c>
      <c r="D1" s="7" t="s">
        <v>588</v>
      </c>
      <c r="E1" s="7" t="s">
        <v>589</v>
      </c>
      <c r="F1" s="7" t="s">
        <v>590</v>
      </c>
      <c r="G1" s="7" t="s">
        <v>591</v>
      </c>
      <c r="H1" s="7" t="s">
        <v>592</v>
      </c>
      <c r="I1" s="7" t="s">
        <v>593</v>
      </c>
    </row>
    <row r="2" customFormat="false" ht="28.35" hidden="false" customHeight="false" outlineLevel="0" collapsed="false">
      <c r="A2" s="38" t="n">
        <v>1</v>
      </c>
      <c r="B2" s="48" t="s">
        <v>594</v>
      </c>
      <c r="C2" s="38" t="s">
        <v>551</v>
      </c>
      <c r="D2" s="39" t="n">
        <v>0.282262558449239</v>
      </c>
      <c r="E2" s="39" t="n">
        <v>0.383501678890887</v>
      </c>
      <c r="F2" s="21" t="n">
        <v>51.6865403586307</v>
      </c>
      <c r="G2" s="38" t="s">
        <v>595</v>
      </c>
      <c r="H2" s="48" t="s">
        <v>596</v>
      </c>
      <c r="I2" s="38" t="s">
        <v>561</v>
      </c>
    </row>
    <row r="3" customFormat="false" ht="28.35" hidden="false" customHeight="false" outlineLevel="0" collapsed="false">
      <c r="A3" s="38" t="n">
        <v>2</v>
      </c>
      <c r="B3" s="48" t="s">
        <v>597</v>
      </c>
      <c r="C3" s="38" t="s">
        <v>551</v>
      </c>
      <c r="D3" s="39" t="n">
        <v>0.191580164410408</v>
      </c>
      <c r="E3" s="39" t="n">
        <v>0.260294227818375</v>
      </c>
      <c r="F3" s="21" t="n">
        <v>35.0812235037982</v>
      </c>
      <c r="G3" s="38" t="s">
        <v>595</v>
      </c>
      <c r="H3" s="48" t="s">
        <v>596</v>
      </c>
      <c r="I3" s="38" t="s">
        <v>563</v>
      </c>
    </row>
    <row r="4" customFormat="false" ht="28.35" hidden="false" customHeight="false" outlineLevel="0" collapsed="false">
      <c r="A4" s="38" t="n">
        <v>3</v>
      </c>
      <c r="B4" s="48" t="s">
        <v>598</v>
      </c>
      <c r="C4" s="38" t="s">
        <v>551</v>
      </c>
      <c r="D4" s="39" t="n">
        <v>0.12941417189561</v>
      </c>
      <c r="E4" s="39" t="n">
        <v>0.17583115687363</v>
      </c>
      <c r="F4" s="21" t="n">
        <v>23.6976907437199</v>
      </c>
      <c r="G4" s="38" t="s">
        <v>595</v>
      </c>
      <c r="H4" s="48" t="s">
        <v>596</v>
      </c>
      <c r="I4" s="38" t="s">
        <v>564</v>
      </c>
    </row>
    <row r="5" customFormat="false" ht="28.35" hidden="false" customHeight="false" outlineLevel="0" collapsed="false">
      <c r="A5" s="38" t="n">
        <v>4</v>
      </c>
      <c r="B5" s="48" t="s">
        <v>599</v>
      </c>
      <c r="C5" s="38" t="s">
        <v>553</v>
      </c>
      <c r="D5" s="39" t="n">
        <v>0.111852543955763</v>
      </c>
      <c r="E5" s="39" t="n">
        <v>0.463523235530467</v>
      </c>
      <c r="F5" s="21" t="n">
        <v>20.4818912545382</v>
      </c>
      <c r="G5" s="38" t="s">
        <v>595</v>
      </c>
      <c r="H5" s="48" t="s">
        <v>596</v>
      </c>
      <c r="I5" s="38" t="s">
        <v>565</v>
      </c>
    </row>
    <row r="6" customFormat="false" ht="28.35" hidden="false" customHeight="false" outlineLevel="0" collapsed="false">
      <c r="A6" s="38" t="n">
        <v>5</v>
      </c>
      <c r="B6" s="48" t="s">
        <v>600</v>
      </c>
      <c r="C6" s="38" t="s">
        <v>551</v>
      </c>
      <c r="D6" s="39" t="n">
        <v>0.0809073523366927</v>
      </c>
      <c r="E6" s="39" t="n">
        <v>0.109926394865149</v>
      </c>
      <c r="F6" s="21" t="n">
        <v>14.815358986454</v>
      </c>
      <c r="G6" s="38" t="s">
        <v>595</v>
      </c>
      <c r="H6" s="48" t="s">
        <v>596</v>
      </c>
      <c r="I6" s="38" t="s">
        <v>566</v>
      </c>
    </row>
    <row r="7" customFormat="false" ht="28.35" hidden="false" customHeight="false" outlineLevel="0" collapsed="false">
      <c r="A7" s="38" t="n">
        <v>6</v>
      </c>
      <c r="B7" s="48" t="s">
        <v>601</v>
      </c>
      <c r="C7" s="38" t="s">
        <v>553</v>
      </c>
      <c r="D7" s="39" t="n">
        <v>0.0757479653604186</v>
      </c>
      <c r="E7" s="39" t="n">
        <v>0.313903830409053</v>
      </c>
      <c r="F7" s="21" t="n">
        <v>13.8705972559571</v>
      </c>
      <c r="G7" s="38" t="s">
        <v>595</v>
      </c>
      <c r="H7" s="48" t="s">
        <v>596</v>
      </c>
      <c r="I7" s="38" t="s">
        <v>567</v>
      </c>
    </row>
    <row r="8" customFormat="false" ht="28.35" hidden="false" customHeight="false" outlineLevel="0" collapsed="false">
      <c r="A8" s="38" t="n">
        <v>7</v>
      </c>
      <c r="B8" s="48" t="s">
        <v>602</v>
      </c>
      <c r="C8" s="38" t="s">
        <v>553</v>
      </c>
      <c r="D8" s="39" t="n">
        <v>0.020998378503681</v>
      </c>
      <c r="E8" s="39" t="n">
        <v>0.0870184619919692</v>
      </c>
      <c r="F8" s="21" t="n">
        <v>3.84512045791398</v>
      </c>
      <c r="G8" s="38" t="s">
        <v>595</v>
      </c>
      <c r="H8" s="48" t="s">
        <v>596</v>
      </c>
      <c r="I8" s="38" t="s">
        <v>568</v>
      </c>
    </row>
    <row r="9" customFormat="false" ht="28.35" hidden="false" customHeight="false" outlineLevel="0" collapsed="false">
      <c r="A9" s="38" t="n">
        <v>8</v>
      </c>
      <c r="B9" s="48" t="s">
        <v>603</v>
      </c>
      <c r="C9" s="38" t="s">
        <v>551</v>
      </c>
      <c r="D9" s="39" t="n">
        <v>0.0164215631479979</v>
      </c>
      <c r="E9" s="39" t="n">
        <v>0.0223114857027786</v>
      </c>
      <c r="F9" s="21" t="n">
        <v>3.00703639570189</v>
      </c>
      <c r="G9" s="38" t="s">
        <v>595</v>
      </c>
      <c r="H9" s="48" t="s">
        <v>596</v>
      </c>
      <c r="I9" s="38" t="s">
        <v>571</v>
      </c>
    </row>
    <row r="10" customFormat="false" ht="28.35" hidden="false" customHeight="false" outlineLevel="0" collapsed="false">
      <c r="A10" s="38" t="n">
        <v>9</v>
      </c>
      <c r="B10" s="48" t="s">
        <v>604</v>
      </c>
      <c r="C10" s="38" t="s">
        <v>550</v>
      </c>
      <c r="D10" s="39" t="n">
        <v>0.0143066528648169</v>
      </c>
      <c r="E10" s="39" t="n">
        <v>0.757125859234804</v>
      </c>
      <c r="F10" s="21" t="n">
        <v>2.6197643596689</v>
      </c>
      <c r="G10" s="38" t="s">
        <v>595</v>
      </c>
      <c r="H10" s="48" t="s">
        <v>596</v>
      </c>
      <c r="I10" s="38" t="s">
        <v>570</v>
      </c>
    </row>
    <row r="11" customFormat="false" ht="28.35" hidden="false" customHeight="false" outlineLevel="0" collapsed="false">
      <c r="A11" s="38" t="n">
        <v>10</v>
      </c>
      <c r="B11" s="48" t="s">
        <v>605</v>
      </c>
      <c r="C11" s="38" t="s">
        <v>551</v>
      </c>
      <c r="D11" s="39" t="n">
        <v>0.0110211747767118</v>
      </c>
      <c r="E11" s="39" t="n">
        <v>0.0149741398697729</v>
      </c>
      <c r="F11" s="21" t="n">
        <v>2.01814366746228</v>
      </c>
      <c r="G11" s="38" t="s">
        <v>595</v>
      </c>
      <c r="H11" s="48" t="s">
        <v>596</v>
      </c>
      <c r="I11" s="38" t="s">
        <v>572</v>
      </c>
    </row>
    <row r="12" customFormat="false" ht="28.35" hidden="false" customHeight="false" outlineLevel="0" collapsed="false">
      <c r="A12" s="38" t="n">
        <v>11</v>
      </c>
      <c r="B12" s="48" t="s">
        <v>606</v>
      </c>
      <c r="C12" s="38" t="s">
        <v>553</v>
      </c>
      <c r="D12" s="39" t="n">
        <v>0.00970536931415195</v>
      </c>
      <c r="E12" s="39" t="n">
        <v>0.0402195965099642</v>
      </c>
      <c r="F12" s="21" t="n">
        <v>1.77719980116152</v>
      </c>
      <c r="G12" s="38" t="s">
        <v>595</v>
      </c>
      <c r="H12" s="48" t="s">
        <v>596</v>
      </c>
      <c r="I12" s="38" t="s">
        <v>573</v>
      </c>
    </row>
    <row r="13" customFormat="false" ht="28.35" hidden="false" customHeight="false" outlineLevel="0" collapsed="false">
      <c r="A13" s="38" t="n">
        <v>12</v>
      </c>
      <c r="B13" s="48" t="s">
        <v>607</v>
      </c>
      <c r="C13" s="38" t="s">
        <v>551</v>
      </c>
      <c r="D13" s="39" t="n">
        <v>0.00963903163720597</v>
      </c>
      <c r="E13" s="39" t="n">
        <v>0.0130962634082963</v>
      </c>
      <c r="F13" s="21" t="n">
        <v>1.76505236993436</v>
      </c>
      <c r="G13" s="38" t="s">
        <v>595</v>
      </c>
      <c r="H13" s="48" t="s">
        <v>596</v>
      </c>
      <c r="I13" s="38" t="s">
        <v>574</v>
      </c>
    </row>
    <row r="14" customFormat="false" ht="28.35" hidden="false" customHeight="false" outlineLevel="0" collapsed="false">
      <c r="A14" s="38" t="n">
        <v>13</v>
      </c>
      <c r="B14" s="48" t="s">
        <v>608</v>
      </c>
      <c r="C14" s="38" t="s">
        <v>551</v>
      </c>
      <c r="D14" s="39" t="n">
        <v>0.00816666899255775</v>
      </c>
      <c r="E14" s="39" t="n">
        <v>0.0110958084090182</v>
      </c>
      <c r="F14" s="21" t="n">
        <v>1.49544051750429</v>
      </c>
      <c r="G14" s="38" t="s">
        <v>595</v>
      </c>
      <c r="H14" s="48" t="s">
        <v>596</v>
      </c>
      <c r="I14" s="38" t="s">
        <v>575</v>
      </c>
    </row>
    <row r="15" customFormat="false" ht="28.35" hidden="false" customHeight="false" outlineLevel="0" collapsed="false">
      <c r="A15" s="38" t="n">
        <v>14</v>
      </c>
      <c r="B15" s="48" t="s">
        <v>609</v>
      </c>
      <c r="C15" s="38" t="s">
        <v>553</v>
      </c>
      <c r="D15" s="39" t="n">
        <v>0.00698180388971721</v>
      </c>
      <c r="E15" s="39" t="n">
        <v>0.0289329881498344</v>
      </c>
      <c r="F15" s="21" t="n">
        <v>1.27847381000343</v>
      </c>
      <c r="G15" s="38" t="s">
        <v>595</v>
      </c>
      <c r="H15" s="48" t="s">
        <v>596</v>
      </c>
      <c r="I15" s="38" t="s">
        <v>576</v>
      </c>
    </row>
    <row r="16" customFormat="false" ht="28.35" hidden="false" customHeight="false" outlineLevel="0" collapsed="false">
      <c r="A16" s="38" t="n">
        <v>15</v>
      </c>
      <c r="B16" s="48" t="s">
        <v>610</v>
      </c>
      <c r="C16" s="38" t="s">
        <v>551</v>
      </c>
      <c r="D16" s="39" t="n">
        <v>0.00660119378576494</v>
      </c>
      <c r="E16" s="39" t="n">
        <v>0.00896884416209319</v>
      </c>
      <c r="F16" s="21" t="n">
        <v>1.20877834771146</v>
      </c>
      <c r="G16" s="38" t="s">
        <v>595</v>
      </c>
      <c r="H16" s="48" t="s">
        <v>596</v>
      </c>
      <c r="I16" s="38" t="s">
        <v>578</v>
      </c>
    </row>
    <row r="17" customFormat="false" ht="28.35" hidden="false" customHeight="false" outlineLevel="0" collapsed="false">
      <c r="A17" s="38" t="n">
        <v>16</v>
      </c>
      <c r="B17" s="48" t="s">
        <v>611</v>
      </c>
      <c r="C17" s="38" t="s">
        <v>553</v>
      </c>
      <c r="D17" s="39" t="n">
        <v>0.00563315080898501</v>
      </c>
      <c r="E17" s="39" t="n">
        <v>0.0233440939013821</v>
      </c>
      <c r="F17" s="21" t="n">
        <v>1.03151504838081</v>
      </c>
      <c r="G17" s="38" t="s">
        <v>595</v>
      </c>
      <c r="H17" s="48" t="s">
        <v>596</v>
      </c>
      <c r="I17" s="38" t="s">
        <v>577</v>
      </c>
    </row>
    <row r="18" customFormat="false" ht="28.35" hidden="false" customHeight="false" outlineLevel="0" collapsed="false">
      <c r="A18" s="38" t="n">
        <v>17</v>
      </c>
      <c r="B18" s="48" t="s">
        <v>612</v>
      </c>
      <c r="C18" s="38" t="s">
        <v>553</v>
      </c>
      <c r="D18" s="39" t="n">
        <v>0.00433040384606014</v>
      </c>
      <c r="E18" s="39" t="n">
        <v>0.0179454371880288</v>
      </c>
      <c r="F18" s="21" t="n">
        <v>0.792962390719662</v>
      </c>
      <c r="G18" s="38" t="s">
        <v>595</v>
      </c>
      <c r="H18" s="48" t="s">
        <v>596</v>
      </c>
      <c r="I18" s="38" t="s">
        <v>579</v>
      </c>
    </row>
    <row r="19" customFormat="false" ht="28.35" hidden="false" customHeight="false" outlineLevel="0" collapsed="false">
      <c r="A19" s="38" t="n">
        <v>18</v>
      </c>
      <c r="B19" s="48" t="s">
        <v>613</v>
      </c>
      <c r="C19" s="38" t="s">
        <v>548</v>
      </c>
      <c r="D19" s="39" t="n">
        <v>0.00378065215013182</v>
      </c>
      <c r="E19" s="39" t="n">
        <v>1</v>
      </c>
      <c r="F19" s="21" t="n">
        <v>0.692294546656543</v>
      </c>
      <c r="G19" s="38" t="s">
        <v>595</v>
      </c>
      <c r="H19" s="48" t="s">
        <v>614</v>
      </c>
      <c r="I19" s="38" t="s">
        <v>580</v>
      </c>
    </row>
    <row r="20" customFormat="false" ht="28.35" hidden="false" customHeight="false" outlineLevel="0" collapsed="false">
      <c r="A20" s="38" t="n">
        <v>19</v>
      </c>
      <c r="B20" s="48" t="s">
        <v>615</v>
      </c>
      <c r="C20" s="38" t="s">
        <v>553</v>
      </c>
      <c r="D20" s="39" t="n">
        <v>0.00377781435474456</v>
      </c>
      <c r="E20" s="39" t="n">
        <v>0.015655475244597</v>
      </c>
      <c r="F20" s="21" t="n">
        <v>0.691774903432806</v>
      </c>
      <c r="G20" s="38" t="s">
        <v>595</v>
      </c>
      <c r="H20" s="48" t="s">
        <v>614</v>
      </c>
      <c r="I20" s="38" t="s">
        <v>581</v>
      </c>
    </row>
    <row r="21" customFormat="false" ht="28.35" hidden="false" customHeight="false" outlineLevel="0" collapsed="false">
      <c r="A21" s="38" t="n">
        <v>20</v>
      </c>
      <c r="B21" s="48" t="s">
        <v>616</v>
      </c>
      <c r="C21" s="38" t="s">
        <v>550</v>
      </c>
      <c r="D21" s="39" t="n">
        <v>0.00238351704328927</v>
      </c>
      <c r="E21" s="39" t="n">
        <v>0.126138685718666</v>
      </c>
      <c r="F21" s="21" t="n">
        <v>0.4364579933318</v>
      </c>
      <c r="G21" s="38" t="s">
        <v>595</v>
      </c>
      <c r="H21" s="48" t="s">
        <v>617</v>
      </c>
      <c r="I21" s="38" t="s">
        <v>583</v>
      </c>
    </row>
    <row r="22" customFormat="false" ht="28.35" hidden="false" customHeight="false" outlineLevel="0" collapsed="false">
      <c r="A22" s="38" t="n">
        <v>21</v>
      </c>
      <c r="B22" s="48" t="s">
        <v>618</v>
      </c>
      <c r="C22" s="38" t="s">
        <v>553</v>
      </c>
      <c r="D22" s="39" t="n">
        <v>0.00228203491219202</v>
      </c>
      <c r="E22" s="39" t="n">
        <v>0.00945688107470381</v>
      </c>
      <c r="F22" s="21" t="n">
        <v>0.41787508140237</v>
      </c>
      <c r="G22" s="38" t="s">
        <v>595</v>
      </c>
      <c r="H22" s="48" t="s">
        <v>619</v>
      </c>
      <c r="I22" s="38" t="s">
        <v>582</v>
      </c>
    </row>
    <row r="23" customFormat="false" ht="28.35" hidden="false" customHeight="false" outlineLevel="0" collapsed="false">
      <c r="A23" s="38" t="n">
        <v>22</v>
      </c>
      <c r="B23" s="48" t="s">
        <v>620</v>
      </c>
      <c r="C23" s="38" t="s">
        <v>550</v>
      </c>
      <c r="D23" s="39" t="n">
        <v>0.00120254078726359</v>
      </c>
      <c r="E23" s="39" t="n">
        <v>0.0636399537631123</v>
      </c>
      <c r="F23" s="21" t="n">
        <v>0.220203392455882</v>
      </c>
      <c r="G23" s="38" t="s">
        <v>595</v>
      </c>
      <c r="H23" s="48" t="s">
        <v>621</v>
      </c>
      <c r="I23" s="38" t="s">
        <v>584</v>
      </c>
    </row>
    <row r="24" customFormat="false" ht="28.35" hidden="false" customHeight="false" outlineLevel="0" collapsed="false">
      <c r="A24" s="38" t="n">
        <v>23</v>
      </c>
      <c r="B24" s="48" t="s">
        <v>622</v>
      </c>
      <c r="C24" s="38" t="s">
        <v>550</v>
      </c>
      <c r="D24" s="39" t="n">
        <v>0.0010032927765973</v>
      </c>
      <c r="E24" s="39" t="n">
        <v>0.0530955012834183</v>
      </c>
      <c r="F24" s="21" t="n">
        <v>0.183718070416501</v>
      </c>
      <c r="G24" s="38" t="s">
        <v>595</v>
      </c>
      <c r="H24" s="48" t="s">
        <v>621</v>
      </c>
      <c r="I24" s="38" t="s">
        <v>585</v>
      </c>
    </row>
    <row r="26" customFormat="false" ht="15" hidden="false" customHeight="false" outlineLevel="0" collapsed="false">
      <c r="B26" s="5" t="s">
        <v>623</v>
      </c>
      <c r="C26" s="5" t="s">
        <v>551</v>
      </c>
      <c r="D26" s="49" t="n">
        <f aca="false">SUMIF(C2:C24,"Historical voter data",D2:D24)</f>
        <v>0.736013879432188</v>
      </c>
      <c r="F26" s="50" t="n">
        <f aca="false">SUMIF(C2:C24,"Historical voter data",F2:F24)</f>
        <v>134.775264890917</v>
      </c>
    </row>
    <row r="27" customFormat="false" ht="15" hidden="false" customHeight="false" outlineLevel="0" collapsed="false">
      <c r="B27" s="5" t="s">
        <v>624</v>
      </c>
      <c r="C27" s="5" t="s">
        <v>553</v>
      </c>
      <c r="D27" s="49" t="n">
        <f aca="false">SUMIF(C2:C24,"Voter registration data",D2:D24)</f>
        <v>0.241309464945713</v>
      </c>
      <c r="F27" s="50" t="n">
        <f aca="false">SUMIF(C2:C24,"Voter registration data",F2:F24)</f>
        <v>44.1874100035099</v>
      </c>
    </row>
    <row r="28" customFormat="false" ht="15" hidden="false" customHeight="false" outlineLevel="0" collapsed="false">
      <c r="B28" s="5" t="s">
        <v>625</v>
      </c>
      <c r="C28" s="5" t="s">
        <v>550</v>
      </c>
      <c r="D28" s="49" t="n">
        <f aca="false">SUMIF(C2:C24,"Geography &amp; municipal context",D2:D24)</f>
        <v>0.018896003471967</v>
      </c>
      <c r="F28" s="50" t="n">
        <f aca="false">SUMIF(C2:C24,"Geography &amp; municipal context",F2:F24)</f>
        <v>3.46014381587308</v>
      </c>
    </row>
    <row r="29" customFormat="false" ht="15" hidden="false" customHeight="false" outlineLevel="0" collapsed="false">
      <c r="B29" s="5" t="s">
        <v>626</v>
      </c>
      <c r="C29" s="5" t="s">
        <v>548</v>
      </c>
      <c r="D29" s="49" t="n">
        <f aca="false">SUMIF(C2:C24,"Election type",D2:D24)</f>
        <v>0.00378065215013182</v>
      </c>
      <c r="F29" s="50" t="n">
        <f aca="false">SUMIF(C2:C24,"Election type",F2:F24)</f>
        <v>0.692294546656543</v>
      </c>
    </row>
    <row r="30" customFormat="false" ht="15" hidden="false" customHeight="false" outlineLevel="0" collapsed="false">
      <c r="B30" s="5" t="s">
        <v>627</v>
      </c>
      <c r="D30" s="49" t="n">
        <f aca="false">SUM(D2:D24)</f>
        <v>1</v>
      </c>
      <c r="F30" s="50" t="n">
        <f aca="false">SUM(F2:F24)</f>
        <v>183.115113256956</v>
      </c>
    </row>
    <row r="32" customFormat="false" ht="15" hidden="false" customHeight="false" outlineLevel="0" collapsed="false">
      <c r="B32" s="5" t="s">
        <v>69</v>
      </c>
    </row>
    <row r="33" customFormat="false" ht="30" hidden="false" customHeight="true" outlineLevel="0" collapsed="false">
      <c r="B33" s="51" t="s">
        <v>628</v>
      </c>
    </row>
    <row r="34" customFormat="false" ht="60" hidden="false" customHeight="true" outlineLevel="0" collapsed="false">
      <c r="B34" s="51" t="s">
        <v>629</v>
      </c>
    </row>
    <row r="35" customFormat="false" ht="60" hidden="false" customHeight="true" outlineLevel="0" collapsed="false">
      <c r="B35" s="51" t="s">
        <v>630</v>
      </c>
    </row>
    <row r="36" customFormat="false" ht="30" hidden="false" customHeight="true" outlineLevel="0" collapsed="false">
      <c r="B36" s="51" t="s">
        <v>631</v>
      </c>
    </row>
    <row r="37" customFormat="false" ht="75" hidden="false" customHeight="true" outlineLevel="0" collapsed="false">
      <c r="B37" s="51" t="s">
        <v>632</v>
      </c>
    </row>
    <row r="38" customFormat="false" ht="30" hidden="false" customHeight="true" outlineLevel="0" collapsed="false">
      <c r="B38" s="51" t="s">
        <v>633</v>
      </c>
    </row>
    <row r="39" customFormat="false" ht="75" hidden="false" customHeight="true" outlineLevel="0" collapsed="false">
      <c r="B39" s="51" t="s">
        <v>634</v>
      </c>
    </row>
    <row r="40" customFormat="false" ht="30" hidden="false" customHeight="true" outlineLevel="0" collapsed="false">
      <c r="B40" s="51" t="s">
        <v>635</v>
      </c>
    </row>
    <row r="41" customFormat="false" ht="60" hidden="false" customHeight="true" outlineLevel="0" collapsed="false">
      <c r="B41" s="51" t="s">
        <v>636</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{8CB07F23-ADCB-4342-9B2A-AADFDE2ACFCB}</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CB07F23-ADCB-4342-9B2A-AADFDE2ACFCB}">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586</v>
      </c>
      <c r="B1" s="7" t="s">
        <v>587</v>
      </c>
      <c r="C1" s="7" t="s">
        <v>544</v>
      </c>
      <c r="D1" s="7" t="s">
        <v>588</v>
      </c>
      <c r="E1" s="7" t="s">
        <v>589</v>
      </c>
      <c r="F1" s="7" t="s">
        <v>590</v>
      </c>
      <c r="G1" s="7" t="s">
        <v>591</v>
      </c>
      <c r="H1" s="7" t="s">
        <v>592</v>
      </c>
      <c r="I1" s="7" t="s">
        <v>593</v>
      </c>
    </row>
    <row r="2" customFormat="false" ht="28.35" hidden="false" customHeight="false" outlineLevel="0" collapsed="false">
      <c r="A2" s="38" t="n">
        <v>1</v>
      </c>
      <c r="B2" s="48" t="s">
        <v>594</v>
      </c>
      <c r="C2" s="38" t="s">
        <v>551</v>
      </c>
      <c r="D2" s="39" t="n">
        <v>0.17818130098652</v>
      </c>
      <c r="E2" s="39" t="n">
        <v>0.260786664112052</v>
      </c>
      <c r="F2" s="21" t="n">
        <v>28.4676386178808</v>
      </c>
      <c r="G2" s="38" t="s">
        <v>595</v>
      </c>
      <c r="H2" s="48" t="s">
        <v>596</v>
      </c>
      <c r="I2" s="38" t="s">
        <v>561</v>
      </c>
    </row>
    <row r="3" customFormat="false" ht="28.35" hidden="false" customHeight="false" outlineLevel="0" collapsed="false">
      <c r="A3" s="38" t="n">
        <v>2</v>
      </c>
      <c r="B3" s="48" t="s">
        <v>600</v>
      </c>
      <c r="C3" s="38" t="s">
        <v>551</v>
      </c>
      <c r="D3" s="39" t="n">
        <v>0.170865881614919</v>
      </c>
      <c r="E3" s="39" t="n">
        <v>0.250079795299567</v>
      </c>
      <c r="F3" s="21" t="n">
        <v>27.2988699880864</v>
      </c>
      <c r="G3" s="38" t="s">
        <v>595</v>
      </c>
      <c r="H3" s="48" t="s">
        <v>596</v>
      </c>
      <c r="I3" s="38" t="s">
        <v>566</v>
      </c>
    </row>
    <row r="4" customFormat="false" ht="28.35" hidden="false" customHeight="false" outlineLevel="0" collapsed="false">
      <c r="A4" s="38" t="n">
        <v>3</v>
      </c>
      <c r="B4" s="48" t="s">
        <v>597</v>
      </c>
      <c r="C4" s="38" t="s">
        <v>551</v>
      </c>
      <c r="D4" s="39" t="n">
        <v>0.168521112008395</v>
      </c>
      <c r="E4" s="39" t="n">
        <v>0.246647983765971</v>
      </c>
      <c r="F4" s="21" t="n">
        <v>26.9242512518266</v>
      </c>
      <c r="G4" s="38" t="s">
        <v>595</v>
      </c>
      <c r="H4" s="48" t="s">
        <v>596</v>
      </c>
      <c r="I4" s="38" t="s">
        <v>563</v>
      </c>
    </row>
    <row r="5" customFormat="false" ht="28.35" hidden="false" customHeight="false" outlineLevel="0" collapsed="false">
      <c r="A5" s="38" t="n">
        <v>4</v>
      </c>
      <c r="B5" s="48" t="s">
        <v>598</v>
      </c>
      <c r="C5" s="38" t="s">
        <v>551</v>
      </c>
      <c r="D5" s="39" t="n">
        <v>0.165677152749242</v>
      </c>
      <c r="E5" s="39" t="n">
        <v>0.24248555682241</v>
      </c>
      <c r="F5" s="21" t="n">
        <v>26.4698780713341</v>
      </c>
      <c r="G5" s="38" t="s">
        <v>595</v>
      </c>
      <c r="H5" s="48" t="s">
        <v>596</v>
      </c>
      <c r="I5" s="38" t="s">
        <v>564</v>
      </c>
    </row>
    <row r="6" customFormat="false" ht="28.35" hidden="false" customHeight="false" outlineLevel="0" collapsed="false">
      <c r="A6" s="38" t="n">
        <v>5</v>
      </c>
      <c r="B6" s="48" t="s">
        <v>599</v>
      </c>
      <c r="C6" s="38" t="s">
        <v>553</v>
      </c>
      <c r="D6" s="39" t="n">
        <v>0.162749725707092</v>
      </c>
      <c r="E6" s="39" t="n">
        <v>0.51380390384345</v>
      </c>
      <c r="F6" s="21" t="n">
        <v>26.0021694248333</v>
      </c>
      <c r="G6" s="38" t="s">
        <v>595</v>
      </c>
      <c r="H6" s="48" t="s">
        <v>596</v>
      </c>
      <c r="I6" s="38" t="s">
        <v>565</v>
      </c>
    </row>
    <row r="7" customFormat="false" ht="28.35" hidden="false" customHeight="false" outlineLevel="0" collapsed="false">
      <c r="A7" s="38" t="n">
        <v>6</v>
      </c>
      <c r="B7" s="48" t="s">
        <v>601</v>
      </c>
      <c r="C7" s="38" t="s">
        <v>553</v>
      </c>
      <c r="D7" s="39" t="n">
        <v>0.154004826933832</v>
      </c>
      <c r="E7" s="39" t="n">
        <v>0.48619609615655</v>
      </c>
      <c r="F7" s="21" t="n">
        <v>24.6050159825315</v>
      </c>
      <c r="G7" s="38" t="s">
        <v>595</v>
      </c>
      <c r="H7" s="48" t="s">
        <v>596</v>
      </c>
      <c r="I7" s="38" t="s">
        <v>567</v>
      </c>
    </row>
    <row r="9" customFormat="false" ht="15" hidden="false" customHeight="false" outlineLevel="0" collapsed="false">
      <c r="B9" s="5" t="s">
        <v>623</v>
      </c>
      <c r="C9" s="5" t="s">
        <v>551</v>
      </c>
      <c r="D9" s="49" t="n">
        <f aca="false">SUMIF(C2:C7,"Historical voter data",D2:D7)</f>
        <v>0.683245447359076</v>
      </c>
      <c r="F9" s="50" t="n">
        <f aca="false">SUMIF(C2:C7,"Historical voter data",F2:F7)</f>
        <v>109.160637929128</v>
      </c>
    </row>
    <row r="10" customFormat="false" ht="15" hidden="false" customHeight="false" outlineLevel="0" collapsed="false">
      <c r="B10" s="5" t="s">
        <v>624</v>
      </c>
      <c r="C10" s="5" t="s">
        <v>553</v>
      </c>
      <c r="D10" s="49" t="n">
        <f aca="false">SUMIF(C2:C7,"Voter registration data",D2:D7)</f>
        <v>0.316754552640924</v>
      </c>
      <c r="F10" s="50" t="n">
        <f aca="false">SUMIF(C2:C7,"Voter registration data",F2:F7)</f>
        <v>50.6071854073649</v>
      </c>
    </row>
    <row r="11" customFormat="false" ht="15" hidden="false" customHeight="false" outlineLevel="0" collapsed="false">
      <c r="B11" s="5" t="s">
        <v>627</v>
      </c>
      <c r="D11" s="49" t="n">
        <f aca="false">SUM(D2:D7)</f>
        <v>1</v>
      </c>
      <c r="F11" s="50" t="n">
        <f aca="false">SUM(F2:F7)</f>
        <v>159.767823336493</v>
      </c>
    </row>
    <row r="13" customFormat="false" ht="15" hidden="false" customHeight="false" outlineLevel="0" collapsed="false">
      <c r="B13" s="5" t="s">
        <v>69</v>
      </c>
    </row>
    <row r="14" customFormat="false" ht="30" hidden="false" customHeight="true" outlineLevel="0" collapsed="false">
      <c r="B14" s="51" t="s">
        <v>628</v>
      </c>
    </row>
    <row r="15" customFormat="false" ht="60" hidden="false" customHeight="true" outlineLevel="0" collapsed="false">
      <c r="B15" s="51" t="s">
        <v>629</v>
      </c>
    </row>
    <row r="16" customFormat="false" ht="60" hidden="false" customHeight="true" outlineLevel="0" collapsed="false">
      <c r="B16" s="51" t="s">
        <v>630</v>
      </c>
    </row>
    <row r="17" customFormat="false" ht="30" hidden="false" customHeight="true" outlineLevel="0" collapsed="false">
      <c r="B17" s="51" t="s">
        <v>631</v>
      </c>
    </row>
    <row r="18" customFormat="false" ht="75" hidden="false" customHeight="true" outlineLevel="0" collapsed="false">
      <c r="B18" s="51" t="s">
        <v>632</v>
      </c>
    </row>
    <row r="19" customFormat="false" ht="60" hidden="false" customHeight="true" outlineLevel="0" collapsed="false">
      <c r="B19" s="51" t="s">
        <v>637</v>
      </c>
    </row>
    <row r="20" customFormat="false" ht="75" hidden="false" customHeight="true" outlineLevel="0" collapsed="false">
      <c r="B20" s="51" t="s">
        <v>634</v>
      </c>
    </row>
    <row r="21" customFormat="false" ht="30" hidden="false" customHeight="true" outlineLevel="0" collapsed="false">
      <c r="B21" s="51" t="s">
        <v>638</v>
      </c>
    </row>
    <row r="22" customFormat="false" ht="60" hidden="false" customHeight="true" outlineLevel="0" collapsed="false">
      <c r="B22" s="51" t="s">
        <v>636</v>
      </c>
    </row>
  </sheetData>
  <conditionalFormatting sqref="D2:D7">
    <cfRule type="dataBar" priority="2">
      <dataBar showValue="1" minLength="10" maxLength="90">
        <cfvo type="num" val="0"/>
        <cfvo type="max" val="0"/>
        <color rgb="FF5B9BD5"/>
      </dataBar>
      <extLst>
        <ext xmlns:x14="http://schemas.microsoft.com/office/spreadsheetml/2009/9/main" uri="{B025F937-C7B1-47D3-B67F-A62EFF666E3E}">
          <x14:id>{BFA8F0CE-BCA0-49AD-9B81-8C73B71BDA92}</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FA8F0CE-BCA0-49AD-9B81-8C73B71BDA92}">
            <x14:dataBar minLength="10" maxLength="90" axisPosition="none" gradient="true">
              <x14:cfvo type="num">
                <xm:f>0</xm:f>
              </x14:cfvo>
              <x14:cfvo type="max"/>
              <x14:negativeFillColor rgb="FF5B9BD5"/>
              <x14:axisColor rgb="FF000000"/>
            </x14:dataBar>
          </x14:cfRule>
          <xm:sqref>D2:D7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586</v>
      </c>
      <c r="B1" s="7" t="s">
        <v>587</v>
      </c>
      <c r="C1" s="7" t="s">
        <v>544</v>
      </c>
      <c r="D1" s="7" t="s">
        <v>588</v>
      </c>
      <c r="E1" s="7" t="s">
        <v>589</v>
      </c>
      <c r="F1" s="7" t="s">
        <v>590</v>
      </c>
      <c r="G1" s="7" t="s">
        <v>591</v>
      </c>
      <c r="H1" s="7" t="s">
        <v>592</v>
      </c>
      <c r="I1" s="7" t="s">
        <v>593</v>
      </c>
    </row>
    <row r="2" customFormat="false" ht="28.35" hidden="false" customHeight="false" outlineLevel="0" collapsed="false">
      <c r="A2" s="38" t="n">
        <v>1</v>
      </c>
      <c r="B2" s="48" t="s">
        <v>594</v>
      </c>
      <c r="C2" s="38" t="s">
        <v>551</v>
      </c>
      <c r="D2" s="39" t="n">
        <v>0.296668964342082</v>
      </c>
      <c r="E2" s="39" t="n">
        <v>0.383501678890887</v>
      </c>
      <c r="F2" s="21" t="n">
        <v>55.8973043533951</v>
      </c>
      <c r="G2" s="38" t="s">
        <v>595</v>
      </c>
      <c r="H2" s="48" t="s">
        <v>596</v>
      </c>
      <c r="I2" s="38" t="s">
        <v>561</v>
      </c>
    </row>
    <row r="3" customFormat="false" ht="28.35" hidden="false" customHeight="false" outlineLevel="0" collapsed="false">
      <c r="A3" s="38" t="n">
        <v>2</v>
      </c>
      <c r="B3" s="48" t="s">
        <v>597</v>
      </c>
      <c r="C3" s="38" t="s">
        <v>551</v>
      </c>
      <c r="D3" s="39" t="n">
        <v>0.201358229289708</v>
      </c>
      <c r="E3" s="39" t="n">
        <v>0.260294227818375</v>
      </c>
      <c r="F3" s="21" t="n">
        <v>37.9391968136215</v>
      </c>
      <c r="G3" s="38" t="s">
        <v>595</v>
      </c>
      <c r="H3" s="48" t="s">
        <v>596</v>
      </c>
      <c r="I3" s="38" t="s">
        <v>563</v>
      </c>
    </row>
    <row r="4" customFormat="false" ht="28.35" hidden="false" customHeight="false" outlineLevel="0" collapsed="false">
      <c r="A4" s="38" t="n">
        <v>3</v>
      </c>
      <c r="B4" s="48" t="s">
        <v>598</v>
      </c>
      <c r="C4" s="38" t="s">
        <v>551</v>
      </c>
      <c r="D4" s="39" t="n">
        <v>0.13601934510334</v>
      </c>
      <c r="E4" s="39" t="n">
        <v>0.17583115687363</v>
      </c>
      <c r="F4" s="21" t="n">
        <v>25.6282781316616</v>
      </c>
      <c r="G4" s="38" t="s">
        <v>595</v>
      </c>
      <c r="H4" s="48" t="s">
        <v>596</v>
      </c>
      <c r="I4" s="38" t="s">
        <v>564</v>
      </c>
    </row>
    <row r="5" customFormat="false" ht="28.35" hidden="false" customHeight="false" outlineLevel="0" collapsed="false">
      <c r="A5" s="38" t="n">
        <v>4</v>
      </c>
      <c r="B5" s="48" t="s">
        <v>599</v>
      </c>
      <c r="C5" s="38" t="s">
        <v>553</v>
      </c>
      <c r="D5" s="39" t="n">
        <v>0.0947358369755788</v>
      </c>
      <c r="E5" s="39" t="n">
        <v>0.463523235530467</v>
      </c>
      <c r="F5" s="21" t="n">
        <v>17.8497873019554</v>
      </c>
      <c r="G5" s="38" t="s">
        <v>595</v>
      </c>
      <c r="H5" s="48" t="s">
        <v>596</v>
      </c>
      <c r="I5" s="38" t="s">
        <v>565</v>
      </c>
    </row>
    <row r="6" customFormat="false" ht="28.35" hidden="false" customHeight="false" outlineLevel="0" collapsed="false">
      <c r="A6" s="38" t="n">
        <v>5</v>
      </c>
      <c r="B6" s="48" t="s">
        <v>600</v>
      </c>
      <c r="C6" s="38" t="s">
        <v>551</v>
      </c>
      <c r="D6" s="39" t="n">
        <v>0.085036784748421</v>
      </c>
      <c r="E6" s="39" t="n">
        <v>0.109926394865149</v>
      </c>
      <c r="F6" s="21" t="n">
        <v>16.0223265984631</v>
      </c>
      <c r="G6" s="38" t="s">
        <v>595</v>
      </c>
      <c r="H6" s="48" t="s">
        <v>596</v>
      </c>
      <c r="I6" s="38" t="s">
        <v>566</v>
      </c>
    </row>
    <row r="7" customFormat="false" ht="28.35" hidden="false" customHeight="false" outlineLevel="0" collapsed="false">
      <c r="A7" s="38" t="n">
        <v>6</v>
      </c>
      <c r="B7" s="48" t="s">
        <v>601</v>
      </c>
      <c r="C7" s="38" t="s">
        <v>553</v>
      </c>
      <c r="D7" s="39" t="n">
        <v>0.0641563136950599</v>
      </c>
      <c r="E7" s="39" t="n">
        <v>0.313903830409053</v>
      </c>
      <c r="F7" s="21" t="n">
        <v>12.0881029829245</v>
      </c>
      <c r="G7" s="38" t="s">
        <v>595</v>
      </c>
      <c r="H7" s="48" t="s">
        <v>596</v>
      </c>
      <c r="I7" s="38" t="s">
        <v>567</v>
      </c>
    </row>
    <row r="8" customFormat="false" ht="28.35" hidden="false" customHeight="false" outlineLevel="0" collapsed="false">
      <c r="A8" s="38" t="n">
        <v>7</v>
      </c>
      <c r="B8" s="48" t="s">
        <v>602</v>
      </c>
      <c r="C8" s="38" t="s">
        <v>553</v>
      </c>
      <c r="D8" s="39" t="n">
        <v>0.0177850131282037</v>
      </c>
      <c r="E8" s="39" t="n">
        <v>0.0870184619919692</v>
      </c>
      <c r="F8" s="21" t="n">
        <v>3.35098851327776</v>
      </c>
      <c r="G8" s="38" t="s">
        <v>595</v>
      </c>
      <c r="H8" s="48" t="s">
        <v>596</v>
      </c>
      <c r="I8" s="38" t="s">
        <v>568</v>
      </c>
    </row>
    <row r="9" customFormat="false" ht="28.35" hidden="false" customHeight="false" outlineLevel="0" collapsed="false">
      <c r="A9" s="38" t="n">
        <v>8</v>
      </c>
      <c r="B9" s="48" t="s">
        <v>603</v>
      </c>
      <c r="C9" s="38" t="s">
        <v>551</v>
      </c>
      <c r="D9" s="39" t="n">
        <v>0.0172597037267723</v>
      </c>
      <c r="E9" s="39" t="n">
        <v>0.0223114857027786</v>
      </c>
      <c r="F9" s="21" t="n">
        <v>3.25201159617211</v>
      </c>
      <c r="G9" s="38" t="s">
        <v>595</v>
      </c>
      <c r="H9" s="48" t="s">
        <v>596</v>
      </c>
      <c r="I9" s="38" t="s">
        <v>571</v>
      </c>
    </row>
    <row r="10" customFormat="false" ht="28.35" hidden="false" customHeight="false" outlineLevel="0" collapsed="false">
      <c r="A10" s="38" t="n">
        <v>9</v>
      </c>
      <c r="B10" s="48" t="s">
        <v>604</v>
      </c>
      <c r="C10" s="38" t="s">
        <v>550</v>
      </c>
      <c r="D10" s="39" t="n">
        <v>0.0139041191412313</v>
      </c>
      <c r="E10" s="39" t="n">
        <v>0.757125859234804</v>
      </c>
      <c r="F10" s="21" t="n">
        <v>2.6197643596689</v>
      </c>
      <c r="G10" s="38" t="s">
        <v>595</v>
      </c>
      <c r="H10" s="48" t="s">
        <v>596</v>
      </c>
      <c r="I10" s="38" t="s">
        <v>570</v>
      </c>
    </row>
    <row r="11" customFormat="false" ht="28.35" hidden="false" customHeight="false" outlineLevel="0" collapsed="false">
      <c r="A11" s="38" t="n">
        <v>10</v>
      </c>
      <c r="B11" s="48" t="s">
        <v>605</v>
      </c>
      <c r="C11" s="38" t="s">
        <v>551</v>
      </c>
      <c r="D11" s="39" t="n">
        <v>0.011583684796183</v>
      </c>
      <c r="E11" s="39" t="n">
        <v>0.0149741398697729</v>
      </c>
      <c r="F11" s="21" t="n">
        <v>2.18255642622401</v>
      </c>
      <c r="G11" s="38" t="s">
        <v>595</v>
      </c>
      <c r="H11" s="48" t="s">
        <v>596</v>
      </c>
      <c r="I11" s="38" t="s">
        <v>572</v>
      </c>
    </row>
    <row r="12" customFormat="false" ht="28.35" hidden="false" customHeight="false" outlineLevel="0" collapsed="false">
      <c r="A12" s="38" t="n">
        <v>11</v>
      </c>
      <c r="B12" s="48" t="s">
        <v>607</v>
      </c>
      <c r="C12" s="38" t="s">
        <v>551</v>
      </c>
      <c r="D12" s="39" t="n">
        <v>0.0101309984178604</v>
      </c>
      <c r="E12" s="39" t="n">
        <v>0.0130962634082963</v>
      </c>
      <c r="F12" s="21" t="n">
        <v>1.9088464586202</v>
      </c>
      <c r="G12" s="38" t="s">
        <v>595</v>
      </c>
      <c r="H12" s="48" t="s">
        <v>596</v>
      </c>
      <c r="I12" s="38" t="s">
        <v>574</v>
      </c>
    </row>
    <row r="13" customFormat="false" ht="28.35" hidden="false" customHeight="false" outlineLevel="0" collapsed="false">
      <c r="A13" s="38" t="n">
        <v>12</v>
      </c>
      <c r="B13" s="48" t="s">
        <v>608</v>
      </c>
      <c r="C13" s="38" t="s">
        <v>551</v>
      </c>
      <c r="D13" s="39" t="n">
        <v>0.00858348781877993</v>
      </c>
      <c r="E13" s="39" t="n">
        <v>0.0110958084090182</v>
      </c>
      <c r="F13" s="21" t="n">
        <v>1.61727005075854</v>
      </c>
      <c r="G13" s="38" t="s">
        <v>595</v>
      </c>
      <c r="H13" s="48" t="s">
        <v>596</v>
      </c>
      <c r="I13" s="38" t="s">
        <v>575</v>
      </c>
    </row>
    <row r="14" customFormat="false" ht="28.35" hidden="false" customHeight="false" outlineLevel="0" collapsed="false">
      <c r="A14" s="38" t="n">
        <v>13</v>
      </c>
      <c r="B14" s="48" t="s">
        <v>606</v>
      </c>
      <c r="C14" s="38" t="s">
        <v>553</v>
      </c>
      <c r="D14" s="39" t="n">
        <v>0.00822016426820762</v>
      </c>
      <c r="E14" s="39" t="n">
        <v>0.0402195965099642</v>
      </c>
      <c r="F14" s="21" t="n">
        <v>1.54881392785355</v>
      </c>
      <c r="G14" s="38" t="s">
        <v>595</v>
      </c>
      <c r="H14" s="48" t="s">
        <v>596</v>
      </c>
      <c r="I14" s="38" t="s">
        <v>573</v>
      </c>
    </row>
    <row r="15" customFormat="false" ht="28.35" hidden="false" customHeight="false" outlineLevel="0" collapsed="false">
      <c r="A15" s="38" t="n">
        <v>14</v>
      </c>
      <c r="B15" s="48" t="s">
        <v>610</v>
      </c>
      <c r="C15" s="38" t="s">
        <v>551</v>
      </c>
      <c r="D15" s="39" t="n">
        <v>0.00693811228312966</v>
      </c>
      <c r="E15" s="39" t="n">
        <v>0.00896884416209318</v>
      </c>
      <c r="F15" s="21" t="n">
        <v>1.30725428184978</v>
      </c>
      <c r="G15" s="38" t="s">
        <v>595</v>
      </c>
      <c r="H15" s="48" t="s">
        <v>596</v>
      </c>
      <c r="I15" s="38" t="s">
        <v>578</v>
      </c>
    </row>
    <row r="16" customFormat="false" ht="28.35" hidden="false" customHeight="false" outlineLevel="0" collapsed="false">
      <c r="A16" s="38" t="n">
        <v>15</v>
      </c>
      <c r="B16" s="48" t="s">
        <v>609</v>
      </c>
      <c r="C16" s="38" t="s">
        <v>553</v>
      </c>
      <c r="D16" s="39" t="n">
        <v>0.00591338392225842</v>
      </c>
      <c r="E16" s="39" t="n">
        <v>0.0289329881498344</v>
      </c>
      <c r="F16" s="21" t="n">
        <v>1.11417863204528</v>
      </c>
      <c r="G16" s="38" t="s">
        <v>595</v>
      </c>
      <c r="H16" s="48" t="s">
        <v>596</v>
      </c>
      <c r="I16" s="38" t="s">
        <v>576</v>
      </c>
    </row>
    <row r="17" customFormat="false" ht="28.35" hidden="false" customHeight="false" outlineLevel="0" collapsed="false">
      <c r="A17" s="38" t="n">
        <v>16</v>
      </c>
      <c r="B17" s="48" t="s">
        <v>611</v>
      </c>
      <c r="C17" s="38" t="s">
        <v>553</v>
      </c>
      <c r="D17" s="39" t="n">
        <v>0.00477111416357158</v>
      </c>
      <c r="E17" s="39" t="n">
        <v>0.0233440939013821</v>
      </c>
      <c r="F17" s="21" t="n">
        <v>0.898956252796427</v>
      </c>
      <c r="G17" s="38" t="s">
        <v>595</v>
      </c>
      <c r="H17" s="48" t="s">
        <v>596</v>
      </c>
      <c r="I17" s="38" t="s">
        <v>577</v>
      </c>
    </row>
    <row r="18" customFormat="false" ht="28.35" hidden="false" customHeight="false" outlineLevel="0" collapsed="false">
      <c r="A18" s="38" t="n">
        <v>17</v>
      </c>
      <c r="B18" s="48" t="s">
        <v>613</v>
      </c>
      <c r="C18" s="38" t="s">
        <v>548</v>
      </c>
      <c r="D18" s="39" t="n">
        <v>0.00367427926180117</v>
      </c>
      <c r="E18" s="39" t="n">
        <v>1</v>
      </c>
      <c r="F18" s="21" t="n">
        <v>0.692294546656543</v>
      </c>
      <c r="G18" s="38" t="s">
        <v>595</v>
      </c>
      <c r="H18" s="48" t="s">
        <v>614</v>
      </c>
      <c r="I18" s="38" t="s">
        <v>580</v>
      </c>
    </row>
    <row r="19" customFormat="false" ht="28.35" hidden="false" customHeight="false" outlineLevel="0" collapsed="false">
      <c r="A19" s="38" t="n">
        <v>18</v>
      </c>
      <c r="B19" s="48" t="s">
        <v>612</v>
      </c>
      <c r="C19" s="38" t="s">
        <v>553</v>
      </c>
      <c r="D19" s="39" t="n">
        <v>0.00366772554552735</v>
      </c>
      <c r="E19" s="39" t="n">
        <v>0.0179454371880288</v>
      </c>
      <c r="F19" s="21" t="n">
        <v>0.691059718894847</v>
      </c>
      <c r="G19" s="38" t="s">
        <v>595</v>
      </c>
      <c r="H19" s="48" t="s">
        <v>596</v>
      </c>
      <c r="I19" s="38" t="s">
        <v>579</v>
      </c>
    </row>
    <row r="20" customFormat="false" ht="28.35" hidden="false" customHeight="false" outlineLevel="0" collapsed="false">
      <c r="A20" s="38" t="n">
        <v>19</v>
      </c>
      <c r="B20" s="48" t="s">
        <v>615</v>
      </c>
      <c r="C20" s="38" t="s">
        <v>553</v>
      </c>
      <c r="D20" s="39" t="n">
        <v>0.00319969839020047</v>
      </c>
      <c r="E20" s="39" t="n">
        <v>0.015655475244597</v>
      </c>
      <c r="F20" s="21" t="n">
        <v>0.602875717561986</v>
      </c>
      <c r="G20" s="38" t="s">
        <v>595</v>
      </c>
      <c r="H20" s="48" t="s">
        <v>614</v>
      </c>
      <c r="I20" s="38" t="s">
        <v>581</v>
      </c>
    </row>
    <row r="21" customFormat="false" ht="28.35" hidden="false" customHeight="false" outlineLevel="0" collapsed="false">
      <c r="A21" s="38" t="n">
        <v>20</v>
      </c>
      <c r="B21" s="48" t="s">
        <v>616</v>
      </c>
      <c r="C21" s="38" t="s">
        <v>550</v>
      </c>
      <c r="D21" s="39" t="n">
        <v>0.00231645411810818</v>
      </c>
      <c r="E21" s="39" t="n">
        <v>0.126138685718666</v>
      </c>
      <c r="F21" s="21" t="n">
        <v>0.4364579933318</v>
      </c>
      <c r="G21" s="38" t="s">
        <v>595</v>
      </c>
      <c r="H21" s="48" t="s">
        <v>617</v>
      </c>
      <c r="I21" s="38" t="s">
        <v>583</v>
      </c>
    </row>
    <row r="22" customFormat="false" ht="28.35" hidden="false" customHeight="false" outlineLevel="0" collapsed="false">
      <c r="A22" s="38" t="n">
        <v>21</v>
      </c>
      <c r="B22" s="48" t="s">
        <v>618</v>
      </c>
      <c r="C22" s="38" t="s">
        <v>553</v>
      </c>
      <c r="D22" s="39" t="n">
        <v>0.00193281690132595</v>
      </c>
      <c r="E22" s="39" t="n">
        <v>0.00945688107470381</v>
      </c>
      <c r="F22" s="21" t="n">
        <v>0.364174442151034</v>
      </c>
      <c r="G22" s="38" t="s">
        <v>595</v>
      </c>
      <c r="H22" s="48" t="s">
        <v>619</v>
      </c>
      <c r="I22" s="38" t="s">
        <v>582</v>
      </c>
    </row>
    <row r="23" customFormat="false" ht="28.35" hidden="false" customHeight="false" outlineLevel="0" collapsed="false">
      <c r="A23" s="38" t="n">
        <v>22</v>
      </c>
      <c r="B23" s="48" t="s">
        <v>620</v>
      </c>
      <c r="C23" s="38" t="s">
        <v>550</v>
      </c>
      <c r="D23" s="39" t="n">
        <v>0.00116870595353731</v>
      </c>
      <c r="E23" s="39" t="n">
        <v>0.0636399537631123</v>
      </c>
      <c r="F23" s="21" t="n">
        <v>0.220203392455882</v>
      </c>
      <c r="G23" s="38" t="s">
        <v>595</v>
      </c>
      <c r="H23" s="48" t="s">
        <v>621</v>
      </c>
      <c r="I23" s="38" t="s">
        <v>584</v>
      </c>
    </row>
    <row r="24" customFormat="false" ht="28.35" hidden="false" customHeight="false" outlineLevel="0" collapsed="false">
      <c r="A24" s="38" t="n">
        <v>23</v>
      </c>
      <c r="B24" s="48" t="s">
        <v>622</v>
      </c>
      <c r="C24" s="38" t="s">
        <v>550</v>
      </c>
      <c r="D24" s="39" t="n">
        <v>0.000975064009112251</v>
      </c>
      <c r="E24" s="39" t="n">
        <v>0.0530955012834183</v>
      </c>
      <c r="F24" s="21" t="n">
        <v>0.183718070416501</v>
      </c>
      <c r="G24" s="38" t="s">
        <v>595</v>
      </c>
      <c r="H24" s="48" t="s">
        <v>621</v>
      </c>
      <c r="I24" s="38" t="s">
        <v>585</v>
      </c>
    </row>
    <row r="26" customFormat="false" ht="15" hidden="false" customHeight="false" outlineLevel="0" collapsed="false">
      <c r="B26" s="5" t="s">
        <v>623</v>
      </c>
      <c r="C26" s="5" t="s">
        <v>551</v>
      </c>
      <c r="D26" s="49" t="n">
        <f aca="false">SUMIF(C2:C24,"Historical voter data",D2:D24)</f>
        <v>0.773579310526276</v>
      </c>
      <c r="F26" s="50" t="n">
        <f aca="false">SUMIF(C2:C24,"Historical voter data",F2:F24)</f>
        <v>145.755044710766</v>
      </c>
    </row>
    <row r="27" customFormat="false" ht="15" hidden="false" customHeight="false" outlineLevel="0" collapsed="false">
      <c r="B27" s="5" t="s">
        <v>624</v>
      </c>
      <c r="C27" s="5" t="s">
        <v>553</v>
      </c>
      <c r="D27" s="49" t="n">
        <f aca="false">SUMIF(C2:C24,"Voter registration data",D2:D24)</f>
        <v>0.204382066989934</v>
      </c>
      <c r="F27" s="50" t="n">
        <f aca="false">SUMIF(C2:C24,"Voter registration data",F2:F24)</f>
        <v>38.5089374894608</v>
      </c>
    </row>
    <row r="28" customFormat="false" ht="15" hidden="false" customHeight="false" outlineLevel="0" collapsed="false">
      <c r="B28" s="5" t="s">
        <v>625</v>
      </c>
      <c r="C28" s="5" t="s">
        <v>550</v>
      </c>
      <c r="D28" s="49" t="n">
        <f aca="false">SUMIF(C2:C24,"Geography &amp; municipal context",D2:D24)</f>
        <v>0.018364343221989</v>
      </c>
      <c r="F28" s="50" t="n">
        <f aca="false">SUMIF(C2:C24,"Geography &amp; municipal context",F2:F24)</f>
        <v>3.46014381587308</v>
      </c>
    </row>
    <row r="29" customFormat="false" ht="15" hidden="false" customHeight="false" outlineLevel="0" collapsed="false">
      <c r="B29" s="5" t="s">
        <v>626</v>
      </c>
      <c r="C29" s="5" t="s">
        <v>548</v>
      </c>
      <c r="D29" s="49" t="n">
        <f aca="false">SUMIF(C2:C24,"Election type",D2:D24)</f>
        <v>0.00367427926180117</v>
      </c>
      <c r="F29" s="50" t="n">
        <f aca="false">SUMIF(C2:C24,"Election type",F2:F24)</f>
        <v>0.692294546656543</v>
      </c>
    </row>
    <row r="30" customFormat="false" ht="15" hidden="false" customHeight="false" outlineLevel="0" collapsed="false">
      <c r="B30" s="5" t="s">
        <v>627</v>
      </c>
      <c r="D30" s="49" t="n">
        <f aca="false">SUM(D2:D24)</f>
        <v>1</v>
      </c>
      <c r="F30" s="50" t="n">
        <f aca="false">SUM(F2:F24)</f>
        <v>188.416420562756</v>
      </c>
    </row>
    <row r="32" customFormat="false" ht="15" hidden="false" customHeight="false" outlineLevel="0" collapsed="false">
      <c r="B32" s="5" t="s">
        <v>69</v>
      </c>
    </row>
    <row r="33" customFormat="false" ht="30" hidden="false" customHeight="true" outlineLevel="0" collapsed="false">
      <c r="B33" s="51" t="s">
        <v>628</v>
      </c>
    </row>
    <row r="34" customFormat="false" ht="60" hidden="false" customHeight="true" outlineLevel="0" collapsed="false">
      <c r="B34" s="51" t="s">
        <v>629</v>
      </c>
    </row>
    <row r="35" customFormat="false" ht="60" hidden="false" customHeight="true" outlineLevel="0" collapsed="false">
      <c r="B35" s="51" t="s">
        <v>630</v>
      </c>
    </row>
    <row r="36" customFormat="false" ht="30" hidden="false" customHeight="true" outlineLevel="0" collapsed="false">
      <c r="B36" s="51" t="s">
        <v>631</v>
      </c>
    </row>
    <row r="37" customFormat="false" ht="75" hidden="false" customHeight="true" outlineLevel="0" collapsed="false">
      <c r="B37" s="51" t="s">
        <v>632</v>
      </c>
    </row>
    <row r="38" customFormat="false" ht="75" hidden="false" customHeight="true" outlineLevel="0" collapsed="false">
      <c r="B38" s="51" t="s">
        <v>639</v>
      </c>
    </row>
    <row r="39" customFormat="false" ht="75" hidden="false" customHeight="true" outlineLevel="0" collapsed="false">
      <c r="B39" s="51" t="s">
        <v>634</v>
      </c>
    </row>
    <row r="40" customFormat="false" ht="30" hidden="false" customHeight="true" outlineLevel="0" collapsed="false">
      <c r="B40" s="51" t="s">
        <v>635</v>
      </c>
    </row>
    <row r="41" customFormat="false" ht="60" hidden="false" customHeight="true" outlineLevel="0" collapsed="false">
      <c r="B41" s="51" t="s">
        <v>636</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{4A6C5A2C-D0A5-4DFD-998A-5ACB88563379}</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A6C5A2C-D0A5-4DFD-998A-5ACB88563379}">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640</v>
      </c>
      <c r="E1" s="7" t="s">
        <v>641</v>
      </c>
      <c r="F1" s="7" t="s">
        <v>642</v>
      </c>
      <c r="G1" s="7" t="s">
        <v>643</v>
      </c>
      <c r="H1" s="7" t="s">
        <v>644</v>
      </c>
      <c r="I1" s="7" t="s">
        <v>645</v>
      </c>
      <c r="J1" s="7" t="s">
        <v>646</v>
      </c>
      <c r="K1" s="7" t="s">
        <v>647</v>
      </c>
      <c r="L1" s="7" t="s">
        <v>648</v>
      </c>
      <c r="M1" s="7" t="s">
        <v>649</v>
      </c>
    </row>
    <row r="2" customFormat="false" ht="15" hidden="false" customHeight="false" outlineLevel="0" collapsed="false">
      <c r="A2" s="38" t="s">
        <v>87</v>
      </c>
      <c r="B2" s="38" t="s">
        <v>88</v>
      </c>
      <c r="C2" s="38" t="s">
        <v>88</v>
      </c>
      <c r="D2" s="21" t="n">
        <v>198</v>
      </c>
      <c r="E2" s="21" t="n">
        <v>181</v>
      </c>
      <c r="F2" s="52" t="n">
        <f aca="false">IF(E2="","",D2-E2)</f>
        <v>17</v>
      </c>
      <c r="G2" s="21" t="n">
        <v>305</v>
      </c>
      <c r="H2" s="21" t="n">
        <v>284</v>
      </c>
      <c r="I2" s="52" t="n">
        <f aca="false">IF(H2="","",G2-H2)</f>
        <v>21</v>
      </c>
      <c r="J2" s="39" t="n">
        <f aca="false">IF(OR(D2="",D2+G2=0),"",D2/(D2+G2))</f>
        <v>0.393638170974155</v>
      </c>
      <c r="K2" s="39" t="n">
        <f aca="false">IF(E2="","",E2/(E2+H2))</f>
        <v>0.389247311827957</v>
      </c>
      <c r="L2" s="53" t="n">
        <f aca="false">IF(OR(K2="",J2=""),"",(J2-K2)*100)</f>
        <v>0.439085914619808</v>
      </c>
      <c r="M2" s="38"/>
    </row>
    <row r="3" customFormat="false" ht="15" hidden="false" customHeight="false" outlineLevel="0" collapsed="false">
      <c r="A3" s="38" t="s">
        <v>87</v>
      </c>
      <c r="B3" s="38" t="s">
        <v>91</v>
      </c>
      <c r="C3" s="38" t="s">
        <v>91</v>
      </c>
      <c r="D3" s="21" t="n">
        <v>115</v>
      </c>
      <c r="E3" s="21" t="n">
        <v>118</v>
      </c>
      <c r="F3" s="52" t="n">
        <f aca="false">IF(E3="","",D3-E3)</f>
        <v>-3</v>
      </c>
      <c r="G3" s="21" t="n">
        <v>288</v>
      </c>
      <c r="H3" s="21" t="n">
        <v>298</v>
      </c>
      <c r="I3" s="52" t="n">
        <f aca="false">IF(H3="","",G3-H3)</f>
        <v>-10</v>
      </c>
      <c r="J3" s="39" t="n">
        <f aca="false">IF(OR(D3="",D3+G3=0),"",D3/(D3+G3))</f>
        <v>0.285359801488834</v>
      </c>
      <c r="K3" s="39" t="n">
        <f aca="false">IF(E3="","",E3/(E3+H3))</f>
        <v>0.283653846153846</v>
      </c>
      <c r="L3" s="53" t="n">
        <f aca="false">IF(OR(K3="",J3=""),"",(J3-K3)*100)</f>
        <v>0.170595533498757</v>
      </c>
      <c r="M3" s="38"/>
    </row>
    <row r="4" customFormat="false" ht="15" hidden="false" customHeight="false" outlineLevel="0" collapsed="false">
      <c r="A4" s="38" t="s">
        <v>87</v>
      </c>
      <c r="B4" s="38" t="s">
        <v>92</v>
      </c>
      <c r="C4" s="38" t="s">
        <v>92</v>
      </c>
      <c r="D4" s="21" t="n">
        <v>153</v>
      </c>
      <c r="E4" s="21" t="n">
        <v>143</v>
      </c>
      <c r="F4" s="52" t="n">
        <f aca="false">IF(E4="","",D4-E4)</f>
        <v>10</v>
      </c>
      <c r="G4" s="21" t="n">
        <v>275</v>
      </c>
      <c r="H4" s="21" t="n">
        <v>309</v>
      </c>
      <c r="I4" s="52" t="n">
        <f aca="false">IF(H4="","",G4-H4)</f>
        <v>-34</v>
      </c>
      <c r="J4" s="39" t="n">
        <f aca="false">IF(OR(D4="",D4+G4=0),"",D4/(D4+G4))</f>
        <v>0.357476635514019</v>
      </c>
      <c r="K4" s="39" t="n">
        <f aca="false">IF(E4="","",E4/(E4+H4))</f>
        <v>0.316371681415929</v>
      </c>
      <c r="L4" s="53" t="n">
        <f aca="false">IF(OR(K4="",J4=""),"",(J4-K4)*100)</f>
        <v>4.11049540980895</v>
      </c>
      <c r="M4" s="38"/>
    </row>
    <row r="5" customFormat="false" ht="15" hidden="false" customHeight="false" outlineLevel="0" collapsed="false">
      <c r="A5" s="38" t="s">
        <v>87</v>
      </c>
      <c r="B5" s="38" t="s">
        <v>93</v>
      </c>
      <c r="C5" s="38" t="s">
        <v>94</v>
      </c>
      <c r="D5" s="21" t="n">
        <v>229</v>
      </c>
      <c r="E5" s="21" t="n">
        <v>202</v>
      </c>
      <c r="F5" s="52" t="n">
        <f aca="false">IF(E5="","",D5-E5)</f>
        <v>27</v>
      </c>
      <c r="G5" s="21" t="n">
        <v>558</v>
      </c>
      <c r="H5" s="21" t="n">
        <v>640</v>
      </c>
      <c r="I5" s="52" t="n">
        <f aca="false">IF(H5="","",G5-H5)</f>
        <v>-82</v>
      </c>
      <c r="J5" s="39" t="n">
        <f aca="false">IF(OR(D5="",D5+G5=0),"",D5/(D5+G5))</f>
        <v>0.290978398983482</v>
      </c>
      <c r="K5" s="39" t="n">
        <f aca="false">IF(E5="","",E5/(E5+H5))</f>
        <v>0.239904988123515</v>
      </c>
      <c r="L5" s="53" t="n">
        <f aca="false">IF(OR(K5="",J5=""),"",(J5-K5)*100)</f>
        <v>5.10734108599662</v>
      </c>
      <c r="M5" s="38"/>
    </row>
    <row r="6" customFormat="false" ht="15" hidden="false" customHeight="false" outlineLevel="0" collapsed="false">
      <c r="A6" s="38" t="s">
        <v>87</v>
      </c>
      <c r="B6" s="38" t="s">
        <v>93</v>
      </c>
      <c r="C6" s="38" t="s">
        <v>95</v>
      </c>
      <c r="D6" s="21" t="n">
        <v>238</v>
      </c>
      <c r="E6" s="21" t="n">
        <v>232</v>
      </c>
      <c r="F6" s="52" t="n">
        <f aca="false">IF(E6="","",D6-E6)</f>
        <v>6</v>
      </c>
      <c r="G6" s="21" t="n">
        <v>545</v>
      </c>
      <c r="H6" s="21" t="n">
        <v>603</v>
      </c>
      <c r="I6" s="52" t="n">
        <f aca="false">IF(H6="","",G6-H6)</f>
        <v>-58</v>
      </c>
      <c r="J6" s="39" t="n">
        <f aca="false">IF(OR(D6="",D6+G6=0),"",D6/(D6+G6))</f>
        <v>0.303959131545338</v>
      </c>
      <c r="K6" s="39" t="n">
        <f aca="false">IF(E6="","",E6/(E6+H6))</f>
        <v>0.277844311377246</v>
      </c>
      <c r="L6" s="53" t="n">
        <f aca="false">IF(OR(K6="",J6=""),"",(J6-K6)*100)</f>
        <v>2.61148201680929</v>
      </c>
      <c r="M6" s="38"/>
    </row>
    <row r="7" customFormat="false" ht="15" hidden="false" customHeight="false" outlineLevel="0" collapsed="false">
      <c r="A7" s="38" t="s">
        <v>87</v>
      </c>
      <c r="B7" s="38" t="s">
        <v>96</v>
      </c>
      <c r="C7" s="38" t="s">
        <v>96</v>
      </c>
      <c r="D7" s="21" t="n">
        <v>46</v>
      </c>
      <c r="E7" s="21" t="n">
        <v>38</v>
      </c>
      <c r="F7" s="52" t="n">
        <f aca="false">IF(E7="","",D7-E7)</f>
        <v>8</v>
      </c>
      <c r="G7" s="21" t="n">
        <v>75</v>
      </c>
      <c r="H7" s="21" t="n">
        <v>78</v>
      </c>
      <c r="I7" s="52" t="n">
        <f aca="false">IF(H7="","",G7-H7)</f>
        <v>-3</v>
      </c>
      <c r="J7" s="39" t="n">
        <f aca="false">IF(OR(D7="",D7+G7=0),"",D7/(D7+G7))</f>
        <v>0.380165289256198</v>
      </c>
      <c r="K7" s="39" t="n">
        <f aca="false">IF(E7="","",E7/(E7+H7))</f>
        <v>0.327586206896552</v>
      </c>
      <c r="L7" s="53" t="n">
        <f aca="false">IF(OR(K7="",J7=""),"",(J7-K7)*100)</f>
        <v>5.25790823596466</v>
      </c>
      <c r="M7" s="38"/>
    </row>
    <row r="8" customFormat="false" ht="15" hidden="false" customHeight="false" outlineLevel="0" collapsed="false">
      <c r="A8" s="38" t="s">
        <v>87</v>
      </c>
      <c r="B8" s="38" t="s">
        <v>97</v>
      </c>
      <c r="C8" s="38" t="s">
        <v>98</v>
      </c>
      <c r="D8" s="21" t="n">
        <v>314</v>
      </c>
      <c r="E8" s="21" t="n">
        <v>301</v>
      </c>
      <c r="F8" s="52" t="n">
        <f aca="false">IF(E8="","",D8-E8)</f>
        <v>13</v>
      </c>
      <c r="G8" s="21" t="n">
        <v>707</v>
      </c>
      <c r="H8" s="21" t="n">
        <v>760</v>
      </c>
      <c r="I8" s="52" t="n">
        <f aca="false">IF(H8="","",G8-H8)</f>
        <v>-53</v>
      </c>
      <c r="J8" s="39" t="n">
        <f aca="false">IF(OR(D8="",D8+G8=0),"",D8/(D8+G8))</f>
        <v>0.307541625857003</v>
      </c>
      <c r="K8" s="39" t="n">
        <f aca="false">IF(E8="","",E8/(E8+H8))</f>
        <v>0.283694627709708</v>
      </c>
      <c r="L8" s="53" t="n">
        <f aca="false">IF(OR(K8="",J8=""),"",(J8-K8)*100)</f>
        <v>2.38469981472951</v>
      </c>
      <c r="M8" s="38"/>
    </row>
    <row r="9" customFormat="false" ht="15" hidden="false" customHeight="false" outlineLevel="0" collapsed="false">
      <c r="A9" s="38" t="s">
        <v>87</v>
      </c>
      <c r="B9" s="38" t="s">
        <v>97</v>
      </c>
      <c r="C9" s="38" t="s">
        <v>100</v>
      </c>
      <c r="D9" s="21" t="n">
        <v>184</v>
      </c>
      <c r="E9" s="21" t="n">
        <v>164</v>
      </c>
      <c r="F9" s="52" t="n">
        <f aca="false">IF(E9="","",D9-E9)</f>
        <v>20</v>
      </c>
      <c r="G9" s="21" t="n">
        <v>422</v>
      </c>
      <c r="H9" s="21" t="n">
        <v>450</v>
      </c>
      <c r="I9" s="52" t="n">
        <f aca="false">IF(H9="","",G9-H9)</f>
        <v>-28</v>
      </c>
      <c r="J9" s="39" t="n">
        <f aca="false">IF(OR(D9="",D9+G9=0),"",D9/(D9+G9))</f>
        <v>0.303630363036304</v>
      </c>
      <c r="K9" s="39" t="n">
        <f aca="false">IF(E9="","",E9/(E9+H9))</f>
        <v>0.267100977198697</v>
      </c>
      <c r="L9" s="53" t="n">
        <f aca="false">IF(OR(K9="",J9=""),"",(J9-K9)*100)</f>
        <v>3.65293858376066</v>
      </c>
      <c r="M9" s="38"/>
    </row>
    <row r="10" customFormat="false" ht="15" hidden="false" customHeight="false" outlineLevel="0" collapsed="false">
      <c r="A10" s="38" t="s">
        <v>87</v>
      </c>
      <c r="B10" s="38" t="s">
        <v>97</v>
      </c>
      <c r="C10" s="38" t="s">
        <v>101</v>
      </c>
      <c r="D10" s="21" t="n">
        <v>241</v>
      </c>
      <c r="E10" s="21" t="n">
        <v>235</v>
      </c>
      <c r="F10" s="52" t="n">
        <f aca="false">IF(E10="","",D10-E10)</f>
        <v>6</v>
      </c>
      <c r="G10" s="21" t="n">
        <v>591</v>
      </c>
      <c r="H10" s="21" t="n">
        <v>626</v>
      </c>
      <c r="I10" s="52" t="n">
        <f aca="false">IF(H10="","",G10-H10)</f>
        <v>-35</v>
      </c>
      <c r="J10" s="39" t="n">
        <f aca="false">IF(OR(D10="",D10+G10=0),"",D10/(D10+G10))</f>
        <v>0.289663461538462</v>
      </c>
      <c r="K10" s="39" t="n">
        <f aca="false">IF(E10="","",E10/(E10+H10))</f>
        <v>0.272938443670151</v>
      </c>
      <c r="L10" s="53" t="n">
        <f aca="false">IF(OR(K10="",J10=""),"",(J10-K10)*100)</f>
        <v>1.67250178683106</v>
      </c>
      <c r="M10" s="38"/>
    </row>
    <row r="11" customFormat="false" ht="15" hidden="false" customHeight="false" outlineLevel="0" collapsed="false">
      <c r="A11" s="38" t="s">
        <v>87</v>
      </c>
      <c r="B11" s="38" t="s">
        <v>102</v>
      </c>
      <c r="C11" s="38" t="s">
        <v>103</v>
      </c>
      <c r="D11" s="21" t="n">
        <v>262</v>
      </c>
      <c r="E11" s="21" t="n">
        <v>229</v>
      </c>
      <c r="F11" s="52" t="n">
        <f aca="false">IF(E11="","",D11-E11)</f>
        <v>33</v>
      </c>
      <c r="G11" s="21" t="n">
        <v>282</v>
      </c>
      <c r="H11" s="21" t="n">
        <v>297</v>
      </c>
      <c r="I11" s="52" t="n">
        <f aca="false">IF(H11="","",G11-H11)</f>
        <v>-15</v>
      </c>
      <c r="J11" s="39" t="n">
        <f aca="false">IF(OR(D11="",D11+G11=0),"",D11/(D11+G11))</f>
        <v>0.481617647058824</v>
      </c>
      <c r="K11" s="39" t="n">
        <f aca="false">IF(E11="","",E11/(E11+H11))</f>
        <v>0.435361216730038</v>
      </c>
      <c r="L11" s="53" t="n">
        <f aca="false">IF(OR(K11="",J11=""),"",(J11-K11)*100)</f>
        <v>4.62564303287855</v>
      </c>
      <c r="M11" s="38"/>
    </row>
    <row r="12" customFormat="false" ht="15" hidden="false" customHeight="false" outlineLevel="0" collapsed="false">
      <c r="A12" s="38" t="s">
        <v>87</v>
      </c>
      <c r="B12" s="38" t="s">
        <v>102</v>
      </c>
      <c r="C12" s="38" t="s">
        <v>104</v>
      </c>
      <c r="D12" s="21" t="n">
        <v>179</v>
      </c>
      <c r="E12" s="21" t="n">
        <v>163</v>
      </c>
      <c r="F12" s="52" t="n">
        <f aca="false">IF(E12="","",D12-E12)</f>
        <v>16</v>
      </c>
      <c r="G12" s="21" t="n">
        <v>211</v>
      </c>
      <c r="H12" s="21" t="n">
        <v>226</v>
      </c>
      <c r="I12" s="52" t="n">
        <f aca="false">IF(H12="","",G12-H12)</f>
        <v>-15</v>
      </c>
      <c r="J12" s="39" t="n">
        <f aca="false">IF(OR(D12="",D12+G12=0),"",D12/(D12+G12))</f>
        <v>0.458974358974359</v>
      </c>
      <c r="K12" s="39" t="n">
        <f aca="false">IF(E12="","",E12/(E12+H12))</f>
        <v>0.419023136246787</v>
      </c>
      <c r="L12" s="53" t="n">
        <f aca="false">IF(OR(K12="",J12=""),"",(J12-K12)*100)</f>
        <v>3.99512227275723</v>
      </c>
      <c r="M12" s="38"/>
    </row>
    <row r="13" customFormat="false" ht="15" hidden="false" customHeight="false" outlineLevel="0" collapsed="false">
      <c r="A13" s="38" t="s">
        <v>87</v>
      </c>
      <c r="B13" s="38" t="s">
        <v>102</v>
      </c>
      <c r="C13" s="38" t="s">
        <v>105</v>
      </c>
      <c r="D13" s="21" t="n">
        <v>302</v>
      </c>
      <c r="E13" s="21" t="n">
        <v>286</v>
      </c>
      <c r="F13" s="52" t="n">
        <f aca="false">IF(E13="","",D13-E13)</f>
        <v>16</v>
      </c>
      <c r="G13" s="21" t="n">
        <v>425</v>
      </c>
      <c r="H13" s="21" t="n">
        <v>464</v>
      </c>
      <c r="I13" s="52" t="n">
        <f aca="false">IF(H13="","",G13-H13)</f>
        <v>-39</v>
      </c>
      <c r="J13" s="39" t="n">
        <f aca="false">IF(OR(D13="",D13+G13=0),"",D13/(D13+G13))</f>
        <v>0.415405777166437</v>
      </c>
      <c r="K13" s="39" t="n">
        <f aca="false">IF(E13="","",E13/(E13+H13))</f>
        <v>0.381333333333333</v>
      </c>
      <c r="L13" s="53" t="n">
        <f aca="false">IF(OR(K13="",J13=""),"",(J13-K13)*100)</f>
        <v>3.4072443833104</v>
      </c>
      <c r="M13" s="38"/>
    </row>
    <row r="14" customFormat="false" ht="15" hidden="false" customHeight="false" outlineLevel="0" collapsed="false">
      <c r="A14" s="38" t="s">
        <v>87</v>
      </c>
      <c r="B14" s="38" t="s">
        <v>102</v>
      </c>
      <c r="C14" s="38" t="s">
        <v>106</v>
      </c>
      <c r="D14" s="21" t="n">
        <v>165</v>
      </c>
      <c r="E14" s="21" t="n">
        <v>138</v>
      </c>
      <c r="F14" s="52" t="n">
        <f aca="false">IF(E14="","",D14-E14)</f>
        <v>27</v>
      </c>
      <c r="G14" s="21" t="n">
        <v>135</v>
      </c>
      <c r="H14" s="21" t="n">
        <v>134</v>
      </c>
      <c r="I14" s="52" t="n">
        <f aca="false">IF(H14="","",G14-H14)</f>
        <v>1</v>
      </c>
      <c r="J14" s="39" t="n">
        <f aca="false">IF(OR(D14="",D14+G14=0),"",D14/(D14+G14))</f>
        <v>0.55</v>
      </c>
      <c r="K14" s="39" t="n">
        <f aca="false">IF(E14="","",E14/(E14+H14))</f>
        <v>0.507352941176471</v>
      </c>
      <c r="L14" s="53" t="n">
        <f aca="false">IF(OR(K14="",J14=""),"",(J14-K14)*100)</f>
        <v>4.26470588235295</v>
      </c>
      <c r="M14" s="38"/>
    </row>
    <row r="15" customFormat="false" ht="15" hidden="false" customHeight="false" outlineLevel="0" collapsed="false">
      <c r="A15" s="38" t="s">
        <v>87</v>
      </c>
      <c r="B15" s="38" t="s">
        <v>102</v>
      </c>
      <c r="C15" s="38" t="s">
        <v>107</v>
      </c>
      <c r="D15" s="21" t="n">
        <v>305</v>
      </c>
      <c r="E15" s="21" t="n">
        <v>275</v>
      </c>
      <c r="F15" s="52" t="n">
        <f aca="false">IF(E15="","",D15-E15)</f>
        <v>30</v>
      </c>
      <c r="G15" s="21" t="n">
        <v>311</v>
      </c>
      <c r="H15" s="21" t="n">
        <v>352</v>
      </c>
      <c r="I15" s="52" t="n">
        <f aca="false">IF(H15="","",G15-H15)</f>
        <v>-41</v>
      </c>
      <c r="J15" s="39" t="n">
        <f aca="false">IF(OR(D15="",D15+G15=0),"",D15/(D15+G15))</f>
        <v>0.49512987012987</v>
      </c>
      <c r="K15" s="39" t="n">
        <f aca="false">IF(E15="","",E15/(E15+H15))</f>
        <v>0.43859649122807</v>
      </c>
      <c r="L15" s="53" t="n">
        <f aca="false">IF(OR(K15="",J15=""),"",(J15-K15)*100)</f>
        <v>5.65333789018</v>
      </c>
      <c r="M15" s="38"/>
    </row>
    <row r="16" customFormat="false" ht="15" hidden="false" customHeight="false" outlineLevel="0" collapsed="false">
      <c r="A16" s="38" t="s">
        <v>87</v>
      </c>
      <c r="B16" s="38" t="s">
        <v>108</v>
      </c>
      <c r="C16" s="38" t="s">
        <v>109</v>
      </c>
      <c r="D16" s="21" t="n">
        <v>111</v>
      </c>
      <c r="E16" s="21" t="n">
        <v>120</v>
      </c>
      <c r="F16" s="52" t="n">
        <f aca="false">IF(E16="","",D16-E16)</f>
        <v>-9</v>
      </c>
      <c r="G16" s="21" t="n">
        <v>195</v>
      </c>
      <c r="H16" s="21" t="n">
        <v>202</v>
      </c>
      <c r="I16" s="52" t="n">
        <f aca="false">IF(H16="","",G16-H16)</f>
        <v>-7</v>
      </c>
      <c r="J16" s="39" t="n">
        <f aca="false">IF(OR(D16="",D16+G16=0),"",D16/(D16+G16))</f>
        <v>0.362745098039216</v>
      </c>
      <c r="K16" s="39" t="n">
        <f aca="false">IF(E16="","",E16/(E16+H16))</f>
        <v>0.372670807453416</v>
      </c>
      <c r="L16" s="53" t="n">
        <f aca="false">IF(OR(K16="",J16=""),"",(J16-K16)*100)</f>
        <v>-0.992570941420046</v>
      </c>
      <c r="M16" s="38"/>
    </row>
    <row r="17" customFormat="false" ht="15" hidden="false" customHeight="false" outlineLevel="0" collapsed="false">
      <c r="A17" s="38" t="s">
        <v>87</v>
      </c>
      <c r="B17" s="38" t="s">
        <v>108</v>
      </c>
      <c r="C17" s="38" t="s">
        <v>110</v>
      </c>
      <c r="D17" s="21" t="n">
        <v>261</v>
      </c>
      <c r="E17" s="21" t="n">
        <v>227</v>
      </c>
      <c r="F17" s="52" t="n">
        <f aca="false">IF(E17="","",D17-E17)</f>
        <v>34</v>
      </c>
      <c r="G17" s="21" t="n">
        <v>534</v>
      </c>
      <c r="H17" s="21" t="n">
        <v>484</v>
      </c>
      <c r="I17" s="52" t="n">
        <f aca="false">IF(H17="","",G17-H17)</f>
        <v>50</v>
      </c>
      <c r="J17" s="39" t="n">
        <f aca="false">IF(OR(D17="",D17+G17=0),"",D17/(D17+G17))</f>
        <v>0.328301886792453</v>
      </c>
      <c r="K17" s="39" t="n">
        <f aca="false">IF(E17="","",E17/(E17+H17))</f>
        <v>0.319268635724332</v>
      </c>
      <c r="L17" s="53" t="n">
        <f aca="false">IF(OR(K17="",J17=""),"",(J17-K17)*100)</f>
        <v>0.903325106812086</v>
      </c>
      <c r="M17" s="38"/>
    </row>
    <row r="18" customFormat="false" ht="15" hidden="false" customHeight="false" outlineLevel="0" collapsed="false">
      <c r="A18" s="38" t="s">
        <v>87</v>
      </c>
      <c r="B18" s="38" t="s">
        <v>111</v>
      </c>
      <c r="C18" s="38" t="s">
        <v>112</v>
      </c>
      <c r="D18" s="21" t="n">
        <v>287</v>
      </c>
      <c r="E18" s="21" t="n">
        <v>249</v>
      </c>
      <c r="F18" s="52" t="n">
        <f aca="false">IF(E18="","",D18-E18)</f>
        <v>38</v>
      </c>
      <c r="G18" s="21" t="n">
        <v>389</v>
      </c>
      <c r="H18" s="21" t="n">
        <v>392</v>
      </c>
      <c r="I18" s="52" t="n">
        <f aca="false">IF(H18="","",G18-H18)</f>
        <v>-3</v>
      </c>
      <c r="J18" s="39" t="n">
        <f aca="false">IF(OR(D18="",D18+G18=0),"",D18/(D18+G18))</f>
        <v>0.424556213017752</v>
      </c>
      <c r="K18" s="39" t="n">
        <f aca="false">IF(E18="","",E18/(E18+H18))</f>
        <v>0.388455538221529</v>
      </c>
      <c r="L18" s="53" t="n">
        <f aca="false">IF(OR(K18="",J18=""),"",(J18-K18)*100)</f>
        <v>3.61006747962226</v>
      </c>
      <c r="M18" s="38"/>
    </row>
    <row r="19" customFormat="false" ht="15" hidden="false" customHeight="false" outlineLevel="0" collapsed="false">
      <c r="A19" s="38" t="s">
        <v>87</v>
      </c>
      <c r="B19" s="38" t="s">
        <v>111</v>
      </c>
      <c r="C19" s="38" t="s">
        <v>113</v>
      </c>
      <c r="D19" s="21" t="n">
        <v>179</v>
      </c>
      <c r="E19" s="21" t="n">
        <v>152</v>
      </c>
      <c r="F19" s="52" t="n">
        <f aca="false">IF(E19="","",D19-E19)</f>
        <v>27</v>
      </c>
      <c r="G19" s="21" t="n">
        <v>237</v>
      </c>
      <c r="H19" s="21" t="n">
        <v>246</v>
      </c>
      <c r="I19" s="52" t="n">
        <f aca="false">IF(H19="","",G19-H19)</f>
        <v>-9</v>
      </c>
      <c r="J19" s="39" t="n">
        <f aca="false">IF(OR(D19="",D19+G19=0),"",D19/(D19+G19))</f>
        <v>0.430288461538462</v>
      </c>
      <c r="K19" s="39" t="n">
        <f aca="false">IF(E19="","",E19/(E19+H19))</f>
        <v>0.381909547738693</v>
      </c>
      <c r="L19" s="53" t="n">
        <f aca="false">IF(OR(K19="",J19=""),"",(J19-K19)*100)</f>
        <v>4.83789137997681</v>
      </c>
      <c r="M19" s="38"/>
    </row>
    <row r="20" customFormat="false" ht="15" hidden="false" customHeight="false" outlineLevel="0" collapsed="false">
      <c r="A20" s="38" t="s">
        <v>87</v>
      </c>
      <c r="B20" s="38" t="s">
        <v>111</v>
      </c>
      <c r="C20" s="38" t="s">
        <v>114</v>
      </c>
      <c r="D20" s="21" t="n">
        <v>166</v>
      </c>
      <c r="E20" s="21" t="n">
        <v>165</v>
      </c>
      <c r="F20" s="52" t="n">
        <f aca="false">IF(E20="","",D20-E20)</f>
        <v>1</v>
      </c>
      <c r="G20" s="21" t="n">
        <v>202</v>
      </c>
      <c r="H20" s="21" t="n">
        <v>237</v>
      </c>
      <c r="I20" s="52" t="n">
        <f aca="false">IF(H20="","",G20-H20)</f>
        <v>-35</v>
      </c>
      <c r="J20" s="39" t="n">
        <f aca="false">IF(OR(D20="",D20+G20=0),"",D20/(D20+G20))</f>
        <v>0.451086956521739</v>
      </c>
      <c r="K20" s="39" t="n">
        <f aca="false">IF(E20="","",E20/(E20+H20))</f>
        <v>0.41044776119403</v>
      </c>
      <c r="L20" s="53" t="n">
        <f aca="false">IF(OR(K20="",J20=""),"",(J20-K20)*100)</f>
        <v>4.06391953277093</v>
      </c>
      <c r="M20" s="38"/>
    </row>
    <row r="21" customFormat="false" ht="15" hidden="false" customHeight="false" outlineLevel="0" collapsed="false">
      <c r="A21" s="38" t="s">
        <v>87</v>
      </c>
      <c r="B21" s="38" t="s">
        <v>115</v>
      </c>
      <c r="C21" s="38" t="s">
        <v>115</v>
      </c>
      <c r="D21" s="21" t="n">
        <v>46</v>
      </c>
      <c r="E21" s="21" t="n">
        <v>38</v>
      </c>
      <c r="F21" s="52" t="n">
        <f aca="false">IF(E21="","",D21-E21)</f>
        <v>8</v>
      </c>
      <c r="G21" s="21" t="n">
        <v>95</v>
      </c>
      <c r="H21" s="21" t="n">
        <v>106</v>
      </c>
      <c r="I21" s="52" t="n">
        <f aca="false">IF(H21="","",G21-H21)</f>
        <v>-11</v>
      </c>
      <c r="J21" s="39" t="n">
        <f aca="false">IF(OR(D21="",D21+G21=0),"",D21/(D21+G21))</f>
        <v>0.326241134751773</v>
      </c>
      <c r="K21" s="39" t="n">
        <f aca="false">IF(E21="","",E21/(E21+H21))</f>
        <v>0.263888888888889</v>
      </c>
      <c r="L21" s="53" t="n">
        <f aca="false">IF(OR(K21="",J21=""),"",(J21-K21)*100)</f>
        <v>6.23522458628842</v>
      </c>
      <c r="M21" s="38"/>
    </row>
    <row r="22" customFormat="false" ht="15" hidden="false" customHeight="false" outlineLevel="0" collapsed="false">
      <c r="A22" s="38" t="s">
        <v>87</v>
      </c>
      <c r="B22" s="38" t="s">
        <v>116</v>
      </c>
      <c r="C22" s="38" t="s">
        <v>116</v>
      </c>
      <c r="D22" s="21" t="n">
        <v>65</v>
      </c>
      <c r="E22" s="21" t="n">
        <v>58</v>
      </c>
      <c r="F22" s="52" t="n">
        <f aca="false">IF(E22="","",D22-E22)</f>
        <v>7</v>
      </c>
      <c r="G22" s="21" t="n">
        <v>209</v>
      </c>
      <c r="H22" s="21" t="n">
        <v>214</v>
      </c>
      <c r="I22" s="52" t="n">
        <f aca="false">IF(H22="","",G22-H22)</f>
        <v>-5</v>
      </c>
      <c r="J22" s="39" t="n">
        <f aca="false">IF(OR(D22="",D22+G22=0),"",D22/(D22+G22))</f>
        <v>0.237226277372263</v>
      </c>
      <c r="K22" s="39" t="n">
        <f aca="false">IF(E22="","",E22/(E22+H22))</f>
        <v>0.213235294117647</v>
      </c>
      <c r="L22" s="53" t="n">
        <f aca="false">IF(OR(K22="",J22=""),"",(J22-K22)*100)</f>
        <v>2.39909832546157</v>
      </c>
      <c r="M22" s="38"/>
    </row>
    <row r="23" customFormat="false" ht="15" hidden="false" customHeight="false" outlineLevel="0" collapsed="false">
      <c r="A23" s="38" t="s">
        <v>87</v>
      </c>
      <c r="B23" s="38" t="s">
        <v>117</v>
      </c>
      <c r="C23" s="38" t="s">
        <v>118</v>
      </c>
      <c r="D23" s="21" t="n">
        <v>319</v>
      </c>
      <c r="E23" s="21" t="n">
        <v>321</v>
      </c>
      <c r="F23" s="52" t="n">
        <f aca="false">IF(E23="","",D23-E23)</f>
        <v>-2</v>
      </c>
      <c r="G23" s="21" t="n">
        <v>477</v>
      </c>
      <c r="H23" s="21" t="n">
        <v>498</v>
      </c>
      <c r="I23" s="52" t="n">
        <f aca="false">IF(H23="","",G23-H23)</f>
        <v>-21</v>
      </c>
      <c r="J23" s="39" t="n">
        <f aca="false">IF(OR(D23="",D23+G23=0),"",D23/(D23+G23))</f>
        <v>0.400753768844221</v>
      </c>
      <c r="K23" s="39" t="n">
        <f aca="false">IF(E23="","",E23/(E23+H23))</f>
        <v>0.391941391941392</v>
      </c>
      <c r="L23" s="53" t="n">
        <f aca="false">IF(OR(K23="",J23=""),"",(J23-K23)*100)</f>
        <v>0.881237690282916</v>
      </c>
      <c r="M23" s="38"/>
    </row>
    <row r="24" customFormat="false" ht="15" hidden="false" customHeight="false" outlineLevel="0" collapsed="false">
      <c r="A24" s="38" t="s">
        <v>87</v>
      </c>
      <c r="B24" s="38" t="s">
        <v>117</v>
      </c>
      <c r="C24" s="38" t="s">
        <v>119</v>
      </c>
      <c r="D24" s="21" t="n">
        <v>309</v>
      </c>
      <c r="E24" s="21" t="n">
        <v>288</v>
      </c>
      <c r="F24" s="52" t="n">
        <f aca="false">IF(E24="","",D24-E24)</f>
        <v>21</v>
      </c>
      <c r="G24" s="21" t="n">
        <v>396</v>
      </c>
      <c r="H24" s="21" t="n">
        <v>448</v>
      </c>
      <c r="I24" s="52" t="n">
        <f aca="false">IF(H24="","",G24-H24)</f>
        <v>-52</v>
      </c>
      <c r="J24" s="39" t="n">
        <f aca="false">IF(OR(D24="",D24+G24=0),"",D24/(D24+G24))</f>
        <v>0.438297872340426</v>
      </c>
      <c r="K24" s="39" t="n">
        <f aca="false">IF(E24="","",E24/(E24+H24))</f>
        <v>0.391304347826087</v>
      </c>
      <c r="L24" s="53" t="n">
        <f aca="false">IF(OR(K24="",J24=""),"",(J24-K24)*100)</f>
        <v>4.69935245143386</v>
      </c>
      <c r="M24" s="38"/>
    </row>
    <row r="25" customFormat="false" ht="15" hidden="false" customHeight="false" outlineLevel="0" collapsed="false">
      <c r="A25" s="38" t="s">
        <v>87</v>
      </c>
      <c r="B25" s="38" t="s">
        <v>117</v>
      </c>
      <c r="C25" s="38" t="s">
        <v>120</v>
      </c>
      <c r="D25" s="21" t="n">
        <v>316</v>
      </c>
      <c r="E25" s="21" t="n">
        <v>317</v>
      </c>
      <c r="F25" s="52" t="n">
        <f aca="false">IF(E25="","",D25-E25)</f>
        <v>-1</v>
      </c>
      <c r="G25" s="21" t="n">
        <v>434</v>
      </c>
      <c r="H25" s="21" t="n">
        <v>527</v>
      </c>
      <c r="I25" s="52" t="n">
        <f aca="false">IF(H25="","",G25-H25)</f>
        <v>-93</v>
      </c>
      <c r="J25" s="39" t="n">
        <f aca="false">IF(OR(D25="",D25+G25=0),"",D25/(D25+G25))</f>
        <v>0.421333333333333</v>
      </c>
      <c r="K25" s="39" t="n">
        <f aca="false">IF(E25="","",E25/(E25+H25))</f>
        <v>0.375592417061611</v>
      </c>
      <c r="L25" s="53" t="n">
        <f aca="false">IF(OR(K25="",J25=""),"",(J25-K25)*100)</f>
        <v>4.57409162717219</v>
      </c>
      <c r="M25" s="38"/>
    </row>
    <row r="26" customFormat="false" ht="15" hidden="false" customHeight="false" outlineLevel="0" collapsed="false">
      <c r="A26" s="38" t="s">
        <v>87</v>
      </c>
      <c r="B26" s="38" t="s">
        <v>121</v>
      </c>
      <c r="C26" s="38" t="s">
        <v>122</v>
      </c>
      <c r="D26" s="21" t="n">
        <v>330</v>
      </c>
      <c r="E26" s="21" t="n">
        <v>285</v>
      </c>
      <c r="F26" s="52" t="n">
        <f aca="false">IF(E26="","",D26-E26)</f>
        <v>45</v>
      </c>
      <c r="G26" s="21" t="n">
        <v>667</v>
      </c>
      <c r="H26" s="21" t="n">
        <v>760</v>
      </c>
      <c r="I26" s="52" t="n">
        <f aca="false">IF(H26="","",G26-H26)</f>
        <v>-93</v>
      </c>
      <c r="J26" s="39" t="n">
        <f aca="false">IF(OR(D26="",D26+G26=0),"",D26/(D26+G26))</f>
        <v>0.33099297893681</v>
      </c>
      <c r="K26" s="39" t="n">
        <f aca="false">IF(E26="","",E26/(E26+H26))</f>
        <v>0.272727272727273</v>
      </c>
      <c r="L26" s="53" t="n">
        <f aca="false">IF(OR(K26="",J26=""),"",(J26-K26)*100)</f>
        <v>5.82657062095378</v>
      </c>
      <c r="M26" s="38"/>
    </row>
    <row r="27" customFormat="false" ht="15" hidden="false" customHeight="false" outlineLevel="0" collapsed="false">
      <c r="A27" s="38" t="s">
        <v>87</v>
      </c>
      <c r="B27" s="38" t="s">
        <v>121</v>
      </c>
      <c r="C27" s="38" t="s">
        <v>123</v>
      </c>
      <c r="D27" s="21" t="n">
        <v>219</v>
      </c>
      <c r="E27" s="21" t="n">
        <v>228</v>
      </c>
      <c r="F27" s="52" t="n">
        <f aca="false">IF(E27="","",D27-E27)</f>
        <v>-9</v>
      </c>
      <c r="G27" s="21" t="n">
        <v>437</v>
      </c>
      <c r="H27" s="21" t="n">
        <v>522</v>
      </c>
      <c r="I27" s="52" t="n">
        <f aca="false">IF(H27="","",G27-H27)</f>
        <v>-85</v>
      </c>
      <c r="J27" s="39" t="n">
        <f aca="false">IF(OR(D27="",D27+G27=0),"",D27/(D27+G27))</f>
        <v>0.333841463414634</v>
      </c>
      <c r="K27" s="39" t="n">
        <f aca="false">IF(E27="","",E27/(E27+H27))</f>
        <v>0.304</v>
      </c>
      <c r="L27" s="53" t="n">
        <f aca="false">IF(OR(K27="",J27=""),"",(J27-K27)*100)</f>
        <v>2.98414634146342</v>
      </c>
      <c r="M27" s="38"/>
    </row>
    <row r="28" customFormat="false" ht="15" hidden="false" customHeight="false" outlineLevel="0" collapsed="false">
      <c r="A28" s="38" t="s">
        <v>87</v>
      </c>
      <c r="B28" s="38" t="s">
        <v>124</v>
      </c>
      <c r="C28" s="38" t="s">
        <v>125</v>
      </c>
      <c r="D28" s="21" t="n">
        <v>139</v>
      </c>
      <c r="E28" s="21" t="n">
        <v>135</v>
      </c>
      <c r="F28" s="52" t="n">
        <f aca="false">IF(E28="","",D28-E28)</f>
        <v>4</v>
      </c>
      <c r="G28" s="21" t="n">
        <v>348</v>
      </c>
      <c r="H28" s="21" t="n">
        <v>395</v>
      </c>
      <c r="I28" s="52" t="n">
        <f aca="false">IF(H28="","",G28-H28)</f>
        <v>-47</v>
      </c>
      <c r="J28" s="39" t="n">
        <f aca="false">IF(OR(D28="",D28+G28=0),"",D28/(D28+G28))</f>
        <v>0.285420944558522</v>
      </c>
      <c r="K28" s="39" t="n">
        <f aca="false">IF(E28="","",E28/(E28+H28))</f>
        <v>0.254716981132075</v>
      </c>
      <c r="L28" s="53" t="n">
        <f aca="false">IF(OR(K28="",J28=""),"",(J28-K28)*100)</f>
        <v>3.07039634264461</v>
      </c>
      <c r="M28" s="38"/>
    </row>
    <row r="29" customFormat="false" ht="15" hidden="false" customHeight="false" outlineLevel="0" collapsed="false">
      <c r="A29" s="38" t="s">
        <v>87</v>
      </c>
      <c r="B29" s="38" t="s">
        <v>124</v>
      </c>
      <c r="C29" s="38" t="s">
        <v>126</v>
      </c>
      <c r="D29" s="21" t="n">
        <v>118</v>
      </c>
      <c r="E29" s="21" t="n">
        <v>124</v>
      </c>
      <c r="F29" s="52" t="n">
        <f aca="false">IF(E29="","",D29-E29)</f>
        <v>-6</v>
      </c>
      <c r="G29" s="21" t="n">
        <v>257</v>
      </c>
      <c r="H29" s="21" t="n">
        <v>298</v>
      </c>
      <c r="I29" s="52" t="n">
        <f aca="false">IF(H29="","",G29-H29)</f>
        <v>-41</v>
      </c>
      <c r="J29" s="39" t="n">
        <f aca="false">IF(OR(D29="",D29+G29=0),"",D29/(D29+G29))</f>
        <v>0.314666666666667</v>
      </c>
      <c r="K29" s="39" t="n">
        <f aca="false">IF(E29="","",E29/(E29+H29))</f>
        <v>0.293838862559242</v>
      </c>
      <c r="L29" s="53" t="n">
        <f aca="false">IF(OR(K29="",J29=""),"",(J29-K29)*100)</f>
        <v>2.0827804107425</v>
      </c>
      <c r="M29" s="38"/>
    </row>
    <row r="30" customFormat="false" ht="15" hidden="false" customHeight="false" outlineLevel="0" collapsed="false">
      <c r="A30" s="38" t="s">
        <v>87</v>
      </c>
      <c r="B30" s="38" t="s">
        <v>124</v>
      </c>
      <c r="C30" s="38" t="s">
        <v>127</v>
      </c>
      <c r="D30" s="21" t="n">
        <v>399</v>
      </c>
      <c r="E30" s="21" t="n">
        <v>424</v>
      </c>
      <c r="F30" s="52" t="n">
        <f aca="false">IF(E30="","",D30-E30)</f>
        <v>-25</v>
      </c>
      <c r="G30" s="21" t="n">
        <v>861</v>
      </c>
      <c r="H30" s="21" t="n">
        <v>988</v>
      </c>
      <c r="I30" s="52" t="n">
        <f aca="false">IF(H30="","",G30-H30)</f>
        <v>-127</v>
      </c>
      <c r="J30" s="39" t="n">
        <f aca="false">IF(OR(D30="",D30+G30=0),"",D30/(D30+G30))</f>
        <v>0.316666666666667</v>
      </c>
      <c r="K30" s="39" t="n">
        <f aca="false">IF(E30="","",E30/(E30+H30))</f>
        <v>0.30028328611898</v>
      </c>
      <c r="L30" s="53" t="n">
        <f aca="false">IF(OR(K30="",J30=""),"",(J30-K30)*100)</f>
        <v>1.63833805476865</v>
      </c>
      <c r="M30" s="38"/>
    </row>
    <row r="31" customFormat="false" ht="15" hidden="false" customHeight="false" outlineLevel="0" collapsed="false">
      <c r="A31" s="38" t="s">
        <v>87</v>
      </c>
      <c r="B31" s="38" t="s">
        <v>128</v>
      </c>
      <c r="C31" s="38" t="s">
        <v>129</v>
      </c>
      <c r="D31" s="21" t="n">
        <v>318</v>
      </c>
      <c r="E31" s="21" t="n">
        <v>279</v>
      </c>
      <c r="F31" s="52" t="n">
        <f aca="false">IF(E31="","",D31-E31)</f>
        <v>39</v>
      </c>
      <c r="G31" s="21" t="n">
        <v>405</v>
      </c>
      <c r="H31" s="21" t="n">
        <v>445</v>
      </c>
      <c r="I31" s="52" t="n">
        <f aca="false">IF(H31="","",G31-H31)</f>
        <v>-40</v>
      </c>
      <c r="J31" s="39" t="n">
        <f aca="false">IF(OR(D31="",D31+G31=0),"",D31/(D31+G31))</f>
        <v>0.439834024896266</v>
      </c>
      <c r="K31" s="39" t="n">
        <f aca="false">IF(E31="","",E31/(E31+H31))</f>
        <v>0.385359116022099</v>
      </c>
      <c r="L31" s="53" t="n">
        <f aca="false">IF(OR(K31="",J31=""),"",(J31-K31)*100)</f>
        <v>5.44749088741661</v>
      </c>
      <c r="M31" s="38"/>
    </row>
    <row r="32" customFormat="false" ht="15" hidden="false" customHeight="false" outlineLevel="0" collapsed="false">
      <c r="A32" s="38" t="s">
        <v>87</v>
      </c>
      <c r="B32" s="38" t="s">
        <v>128</v>
      </c>
      <c r="C32" s="38" t="s">
        <v>130</v>
      </c>
      <c r="D32" s="21" t="n">
        <v>323</v>
      </c>
      <c r="E32" s="21" t="n">
        <v>309</v>
      </c>
      <c r="F32" s="52" t="n">
        <f aca="false">IF(E32="","",D32-E32)</f>
        <v>14</v>
      </c>
      <c r="G32" s="21" t="n">
        <v>491</v>
      </c>
      <c r="H32" s="21" t="n">
        <v>488</v>
      </c>
      <c r="I32" s="52" t="n">
        <f aca="false">IF(H32="","",G32-H32)</f>
        <v>3</v>
      </c>
      <c r="J32" s="39" t="n">
        <f aca="false">IF(OR(D32="",D32+G32=0),"",D32/(D32+G32))</f>
        <v>0.396805896805897</v>
      </c>
      <c r="K32" s="39" t="n">
        <f aca="false">IF(E32="","",E32/(E32+H32))</f>
        <v>0.387703889585947</v>
      </c>
      <c r="L32" s="53" t="n">
        <f aca="false">IF(OR(K32="",J32=""),"",(J32-K32)*100)</f>
        <v>0.910200721994947</v>
      </c>
      <c r="M32" s="38"/>
    </row>
    <row r="33" customFormat="false" ht="15" hidden="false" customHeight="false" outlineLevel="0" collapsed="false">
      <c r="A33" s="38" t="s">
        <v>87</v>
      </c>
      <c r="B33" s="38" t="s">
        <v>131</v>
      </c>
      <c r="C33" s="38" t="s">
        <v>131</v>
      </c>
      <c r="D33" s="21" t="n">
        <v>145</v>
      </c>
      <c r="E33" s="21" t="n">
        <v>134</v>
      </c>
      <c r="F33" s="52" t="n">
        <f aca="false">IF(E33="","",D33-E33)</f>
        <v>11</v>
      </c>
      <c r="G33" s="21" t="n">
        <v>495</v>
      </c>
      <c r="H33" s="21" t="n">
        <v>503</v>
      </c>
      <c r="I33" s="52" t="n">
        <f aca="false">IF(H33="","",G33-H33)</f>
        <v>-8</v>
      </c>
      <c r="J33" s="39" t="n">
        <f aca="false">IF(OR(D33="",D33+G33=0),"",D33/(D33+G33))</f>
        <v>0.2265625</v>
      </c>
      <c r="K33" s="39" t="n">
        <f aca="false">IF(E33="","",E33/(E33+H33))</f>
        <v>0.210361067503925</v>
      </c>
      <c r="L33" s="53" t="n">
        <f aca="false">IF(OR(K33="",J33=""),"",(J33-K33)*100)</f>
        <v>1.62014324960754</v>
      </c>
      <c r="M33" s="38"/>
    </row>
    <row r="34" customFormat="false" ht="15" hidden="false" customHeight="false" outlineLevel="0" collapsed="false">
      <c r="A34" s="38" t="s">
        <v>87</v>
      </c>
      <c r="B34" s="38" t="s">
        <v>132</v>
      </c>
      <c r="C34" s="38" t="s">
        <v>133</v>
      </c>
      <c r="D34" s="21" t="n">
        <v>315</v>
      </c>
      <c r="E34" s="21" t="n">
        <v>281</v>
      </c>
      <c r="F34" s="52" t="n">
        <f aca="false">IF(E34="","",D34-E34)</f>
        <v>34</v>
      </c>
      <c r="G34" s="21" t="n">
        <v>548</v>
      </c>
      <c r="H34" s="21" t="n">
        <v>592</v>
      </c>
      <c r="I34" s="52" t="n">
        <f aca="false">IF(H34="","",G34-H34)</f>
        <v>-44</v>
      </c>
      <c r="J34" s="39" t="n">
        <f aca="false">IF(OR(D34="",D34+G34=0),"",D34/(D34+G34))</f>
        <v>0.365005793742758</v>
      </c>
      <c r="K34" s="39" t="n">
        <f aca="false">IF(E34="","",E34/(E34+H34))</f>
        <v>0.321878579610538</v>
      </c>
      <c r="L34" s="53" t="n">
        <f aca="false">IF(OR(K34="",J34=""),"",(J34-K34)*100)</f>
        <v>4.31272141322194</v>
      </c>
      <c r="M34" s="38"/>
    </row>
    <row r="35" customFormat="false" ht="15" hidden="false" customHeight="false" outlineLevel="0" collapsed="false">
      <c r="A35" s="38" t="s">
        <v>87</v>
      </c>
      <c r="B35" s="38" t="s">
        <v>132</v>
      </c>
      <c r="C35" s="38" t="s">
        <v>134</v>
      </c>
      <c r="D35" s="21" t="n">
        <v>526</v>
      </c>
      <c r="E35" s="21" t="n">
        <v>467</v>
      </c>
      <c r="F35" s="52" t="n">
        <f aca="false">IF(E35="","",D35-E35)</f>
        <v>59</v>
      </c>
      <c r="G35" s="21" t="n">
        <v>744</v>
      </c>
      <c r="H35" s="21" t="n">
        <v>782</v>
      </c>
      <c r="I35" s="52" t="n">
        <f aca="false">IF(H35="","",G35-H35)</f>
        <v>-38</v>
      </c>
      <c r="J35" s="39" t="n">
        <f aca="false">IF(OR(D35="",D35+G35=0),"",D35/(D35+G35))</f>
        <v>0.414173228346457</v>
      </c>
      <c r="K35" s="39" t="n">
        <f aca="false">IF(E35="","",E35/(E35+H35))</f>
        <v>0.373899119295436</v>
      </c>
      <c r="L35" s="53" t="n">
        <f aca="false">IF(OR(K35="",J35=""),"",(J35-K35)*100)</f>
        <v>4.02741090510204</v>
      </c>
      <c r="M35" s="38"/>
    </row>
    <row r="36" customFormat="false" ht="15" hidden="false" customHeight="false" outlineLevel="0" collapsed="false">
      <c r="A36" s="38" t="s">
        <v>87</v>
      </c>
      <c r="B36" s="38" t="s">
        <v>132</v>
      </c>
      <c r="C36" s="38" t="s">
        <v>135</v>
      </c>
      <c r="D36" s="21" t="n">
        <v>159</v>
      </c>
      <c r="E36" s="21" t="n">
        <v>136</v>
      </c>
      <c r="F36" s="52" t="n">
        <f aca="false">IF(E36="","",D36-E36)</f>
        <v>23</v>
      </c>
      <c r="G36" s="21" t="n">
        <v>247</v>
      </c>
      <c r="H36" s="21" t="n">
        <v>278</v>
      </c>
      <c r="I36" s="52" t="n">
        <f aca="false">IF(H36="","",G36-H36)</f>
        <v>-31</v>
      </c>
      <c r="J36" s="39" t="n">
        <f aca="false">IF(OR(D36="",D36+G36=0),"",D36/(D36+G36))</f>
        <v>0.391625615763547</v>
      </c>
      <c r="K36" s="39" t="n">
        <f aca="false">IF(E36="","",E36/(E36+H36))</f>
        <v>0.328502415458937</v>
      </c>
      <c r="L36" s="53" t="n">
        <f aca="false">IF(OR(K36="",J36=""),"",(J36-K36)*100)</f>
        <v>6.31232003046096</v>
      </c>
      <c r="M36" s="38"/>
    </row>
    <row r="37" customFormat="false" ht="15" hidden="false" customHeight="false" outlineLevel="0" collapsed="false">
      <c r="A37" s="38" t="s">
        <v>87</v>
      </c>
      <c r="B37" s="38" t="s">
        <v>136</v>
      </c>
      <c r="C37" s="38" t="s">
        <v>136</v>
      </c>
      <c r="D37" s="21" t="n">
        <v>64</v>
      </c>
      <c r="E37" s="21" t="n">
        <v>68</v>
      </c>
      <c r="F37" s="52" t="n">
        <f aca="false">IF(E37="","",D37-E37)</f>
        <v>-4</v>
      </c>
      <c r="G37" s="21" t="n">
        <v>155</v>
      </c>
      <c r="H37" s="21" t="n">
        <v>153</v>
      </c>
      <c r="I37" s="52" t="n">
        <f aca="false">IF(H37="","",G37-H37)</f>
        <v>2</v>
      </c>
      <c r="J37" s="39" t="n">
        <f aca="false">IF(OR(D37="",D37+G37=0),"",D37/(D37+G37))</f>
        <v>0.292237442922374</v>
      </c>
      <c r="K37" s="39" t="n">
        <f aca="false">IF(E37="","",E37/(E37+H37))</f>
        <v>0.307692307692308</v>
      </c>
      <c r="L37" s="53" t="n">
        <f aca="false">IF(OR(K37="",J37=""),"",(J37-K37)*100)</f>
        <v>-1.54548647699333</v>
      </c>
      <c r="M37" s="38"/>
    </row>
    <row r="38" customFormat="false" ht="15" hidden="false" customHeight="false" outlineLevel="0" collapsed="false">
      <c r="A38" s="38" t="s">
        <v>87</v>
      </c>
      <c r="B38" s="38" t="s">
        <v>137</v>
      </c>
      <c r="C38" s="38" t="s">
        <v>138</v>
      </c>
      <c r="D38" s="21" t="n">
        <v>442</v>
      </c>
      <c r="E38" s="21" t="n">
        <v>432</v>
      </c>
      <c r="F38" s="52" t="n">
        <f aca="false">IF(E38="","",D38-E38)</f>
        <v>10</v>
      </c>
      <c r="G38" s="21" t="n">
        <v>688</v>
      </c>
      <c r="H38" s="21" t="n">
        <v>705</v>
      </c>
      <c r="I38" s="52" t="n">
        <f aca="false">IF(H38="","",G38-H38)</f>
        <v>-17</v>
      </c>
      <c r="J38" s="39" t="n">
        <f aca="false">IF(OR(D38="",D38+G38=0),"",D38/(D38+G38))</f>
        <v>0.391150442477876</v>
      </c>
      <c r="K38" s="39" t="n">
        <f aca="false">IF(E38="","",E38/(E38+H38))</f>
        <v>0.379947229551451</v>
      </c>
      <c r="L38" s="53" t="n">
        <f aca="false">IF(OR(K38="",J38=""),"",(J38-K38)*100)</f>
        <v>1.1203212926425</v>
      </c>
      <c r="M38" s="38"/>
    </row>
    <row r="39" customFormat="false" ht="15" hidden="false" customHeight="false" outlineLevel="0" collapsed="false">
      <c r="A39" s="38" t="s">
        <v>87</v>
      </c>
      <c r="B39" s="38" t="s">
        <v>137</v>
      </c>
      <c r="C39" s="38" t="s">
        <v>139</v>
      </c>
      <c r="D39" s="21" t="n">
        <v>313</v>
      </c>
      <c r="E39" s="21" t="n">
        <v>296</v>
      </c>
      <c r="F39" s="52" t="n">
        <f aca="false">IF(E39="","",D39-E39)</f>
        <v>17</v>
      </c>
      <c r="G39" s="21" t="n">
        <v>510</v>
      </c>
      <c r="H39" s="21" t="n">
        <v>529</v>
      </c>
      <c r="I39" s="52" t="n">
        <f aca="false">IF(H39="","",G39-H39)</f>
        <v>-19</v>
      </c>
      <c r="J39" s="39" t="n">
        <f aca="false">IF(OR(D39="",D39+G39=0),"",D39/(D39+G39))</f>
        <v>0.380315917375456</v>
      </c>
      <c r="K39" s="39" t="n">
        <f aca="false">IF(E39="","",E39/(E39+H39))</f>
        <v>0.358787878787879</v>
      </c>
      <c r="L39" s="53" t="n">
        <f aca="false">IF(OR(K39="",J39=""),"",(J39-K39)*100)</f>
        <v>2.15280385875769</v>
      </c>
      <c r="M39" s="38"/>
    </row>
    <row r="40" customFormat="false" ht="15" hidden="false" customHeight="false" outlineLevel="0" collapsed="false">
      <c r="A40" s="38" t="s">
        <v>87</v>
      </c>
      <c r="B40" s="38" t="s">
        <v>137</v>
      </c>
      <c r="C40" s="38" t="s">
        <v>140</v>
      </c>
      <c r="D40" s="21" t="n">
        <v>481</v>
      </c>
      <c r="E40" s="21" t="n">
        <v>460</v>
      </c>
      <c r="F40" s="52" t="n">
        <f aca="false">IF(E40="","",D40-E40)</f>
        <v>21</v>
      </c>
      <c r="G40" s="21" t="n">
        <v>764</v>
      </c>
      <c r="H40" s="21" t="n">
        <v>791</v>
      </c>
      <c r="I40" s="52" t="n">
        <f aca="false">IF(H40="","",G40-H40)</f>
        <v>-27</v>
      </c>
      <c r="J40" s="39" t="n">
        <f aca="false">IF(OR(D40="",D40+G40=0),"",D40/(D40+G40))</f>
        <v>0.386345381526104</v>
      </c>
      <c r="K40" s="39" t="n">
        <f aca="false">IF(E40="","",E40/(E40+H40))</f>
        <v>0.367705835331735</v>
      </c>
      <c r="L40" s="53" t="n">
        <f aca="false">IF(OR(K40="",J40=""),"",(J40-K40)*100)</f>
        <v>1.86395461943698</v>
      </c>
      <c r="M40" s="38"/>
    </row>
    <row r="41" customFormat="false" ht="15" hidden="false" customHeight="false" outlineLevel="0" collapsed="false">
      <c r="A41" s="38" t="s">
        <v>87</v>
      </c>
      <c r="B41" s="38" t="s">
        <v>137</v>
      </c>
      <c r="C41" s="38" t="s">
        <v>141</v>
      </c>
      <c r="D41" s="21" t="n">
        <v>405</v>
      </c>
      <c r="E41" s="21" t="n">
        <v>425</v>
      </c>
      <c r="F41" s="52" t="n">
        <f aca="false">IF(E41="","",D41-E41)</f>
        <v>-20</v>
      </c>
      <c r="G41" s="21" t="n">
        <v>797</v>
      </c>
      <c r="H41" s="21" t="n">
        <v>920</v>
      </c>
      <c r="I41" s="52" t="n">
        <f aca="false">IF(H41="","",G41-H41)</f>
        <v>-123</v>
      </c>
      <c r="J41" s="39" t="n">
        <f aca="false">IF(OR(D41="",D41+G41=0),"",D41/(D41+G41))</f>
        <v>0.3369384359401</v>
      </c>
      <c r="K41" s="39" t="n">
        <f aca="false">IF(E41="","",E41/(E41+H41))</f>
        <v>0.315985130111524</v>
      </c>
      <c r="L41" s="53" t="n">
        <f aca="false">IF(OR(K41="",J41=""),"",(J41-K41)*100)</f>
        <v>2.09533058285756</v>
      </c>
      <c r="M41" s="38"/>
    </row>
    <row r="42" customFormat="false" ht="15" hidden="false" customHeight="false" outlineLevel="0" collapsed="false">
      <c r="A42" s="38" t="s">
        <v>87</v>
      </c>
      <c r="B42" s="38" t="s">
        <v>137</v>
      </c>
      <c r="C42" s="38" t="s">
        <v>142</v>
      </c>
      <c r="D42" s="21" t="n">
        <v>393</v>
      </c>
      <c r="E42" s="21" t="n">
        <v>397</v>
      </c>
      <c r="F42" s="52" t="n">
        <f aca="false">IF(E42="","",D42-E42)</f>
        <v>-4</v>
      </c>
      <c r="G42" s="21" t="n">
        <v>678</v>
      </c>
      <c r="H42" s="21" t="n">
        <v>692</v>
      </c>
      <c r="I42" s="52" t="n">
        <f aca="false">IF(H42="","",G42-H42)</f>
        <v>-14</v>
      </c>
      <c r="J42" s="39" t="n">
        <f aca="false">IF(OR(D42="",D42+G42=0),"",D42/(D42+G42))</f>
        <v>0.366946778711485</v>
      </c>
      <c r="K42" s="39" t="n">
        <f aca="false">IF(E42="","",E42/(E42+H42))</f>
        <v>0.36455463728191</v>
      </c>
      <c r="L42" s="53" t="n">
        <f aca="false">IF(OR(K42="",J42=""),"",(J42-K42)*100)</f>
        <v>0.239214142957456</v>
      </c>
      <c r="M42" s="38"/>
    </row>
    <row r="43" customFormat="false" ht="15" hidden="false" customHeight="false" outlineLevel="0" collapsed="false">
      <c r="A43" s="38" t="s">
        <v>87</v>
      </c>
      <c r="B43" s="38" t="s">
        <v>143</v>
      </c>
      <c r="C43" s="38" t="s">
        <v>144</v>
      </c>
      <c r="D43" s="21" t="n">
        <v>189</v>
      </c>
      <c r="E43" s="21" t="n">
        <v>175</v>
      </c>
      <c r="F43" s="52" t="n">
        <f aca="false">IF(E43="","",D43-E43)</f>
        <v>14</v>
      </c>
      <c r="G43" s="21" t="n">
        <v>194</v>
      </c>
      <c r="H43" s="21" t="n">
        <v>212</v>
      </c>
      <c r="I43" s="52" t="n">
        <f aca="false">IF(H43="","",G43-H43)</f>
        <v>-18</v>
      </c>
      <c r="J43" s="39" t="n">
        <f aca="false">IF(OR(D43="",D43+G43=0),"",D43/(D43+G43))</f>
        <v>0.493472584856397</v>
      </c>
      <c r="K43" s="39" t="n">
        <f aca="false">IF(E43="","",E43/(E43+H43))</f>
        <v>0.452196382428941</v>
      </c>
      <c r="L43" s="53" t="n">
        <f aca="false">IF(OR(K43="",J43=""),"",(J43-K43)*100)</f>
        <v>4.12762024274563</v>
      </c>
      <c r="M43" s="38"/>
    </row>
    <row r="44" customFormat="false" ht="15" hidden="false" customHeight="false" outlineLevel="0" collapsed="false">
      <c r="A44" s="38" t="s">
        <v>87</v>
      </c>
      <c r="B44" s="38" t="s">
        <v>143</v>
      </c>
      <c r="C44" s="38" t="s">
        <v>145</v>
      </c>
      <c r="D44" s="21" t="n">
        <v>195</v>
      </c>
      <c r="E44" s="21" t="n">
        <v>184</v>
      </c>
      <c r="F44" s="52" t="n">
        <f aca="false">IF(E44="","",D44-E44)</f>
        <v>11</v>
      </c>
      <c r="G44" s="21" t="n">
        <v>191</v>
      </c>
      <c r="H44" s="21" t="n">
        <v>208</v>
      </c>
      <c r="I44" s="52" t="n">
        <f aca="false">IF(H44="","",G44-H44)</f>
        <v>-17</v>
      </c>
      <c r="J44" s="39" t="n">
        <f aca="false">IF(OR(D44="",D44+G44=0),"",D44/(D44+G44))</f>
        <v>0.505181347150259</v>
      </c>
      <c r="K44" s="39" t="n">
        <f aca="false">IF(E44="","",E44/(E44+H44))</f>
        <v>0.469387755102041</v>
      </c>
      <c r="L44" s="53" t="n">
        <f aca="false">IF(OR(K44="",J44=""),"",(J44-K44)*100)</f>
        <v>3.57935920482182</v>
      </c>
      <c r="M44" s="38"/>
    </row>
    <row r="45" customFormat="false" ht="15" hidden="false" customHeight="false" outlineLevel="0" collapsed="false">
      <c r="A45" s="38" t="s">
        <v>87</v>
      </c>
      <c r="B45" s="38" t="s">
        <v>143</v>
      </c>
      <c r="C45" s="38" t="s">
        <v>146</v>
      </c>
      <c r="D45" s="21" t="n">
        <v>126</v>
      </c>
      <c r="E45" s="21" t="n">
        <v>102</v>
      </c>
      <c r="F45" s="52" t="n">
        <f aca="false">IF(E45="","",D45-E45)</f>
        <v>24</v>
      </c>
      <c r="G45" s="21" t="n">
        <v>174</v>
      </c>
      <c r="H45" s="21" t="n">
        <v>192</v>
      </c>
      <c r="I45" s="52" t="n">
        <f aca="false">IF(H45="","",G45-H45)</f>
        <v>-18</v>
      </c>
      <c r="J45" s="39" t="n">
        <f aca="false">IF(OR(D45="",D45+G45=0),"",D45/(D45+G45))</f>
        <v>0.42</v>
      </c>
      <c r="K45" s="39" t="n">
        <f aca="false">IF(E45="","",E45/(E45+H45))</f>
        <v>0.346938775510204</v>
      </c>
      <c r="L45" s="53" t="n">
        <f aca="false">IF(OR(K45="",J45=""),"",(J45-K45)*100)</f>
        <v>7.30612244897959</v>
      </c>
      <c r="M45" s="38"/>
    </row>
    <row r="46" customFormat="false" ht="15" hidden="false" customHeight="false" outlineLevel="0" collapsed="false">
      <c r="A46" s="38" t="s">
        <v>87</v>
      </c>
      <c r="B46" s="38" t="s">
        <v>143</v>
      </c>
      <c r="C46" s="38" t="s">
        <v>147</v>
      </c>
      <c r="D46" s="21" t="n">
        <v>201</v>
      </c>
      <c r="E46" s="21" t="n">
        <v>194</v>
      </c>
      <c r="F46" s="52" t="n">
        <f aca="false">IF(E46="","",D46-E46)</f>
        <v>7</v>
      </c>
      <c r="G46" s="21" t="n">
        <v>267</v>
      </c>
      <c r="H46" s="21" t="n">
        <v>296</v>
      </c>
      <c r="I46" s="52" t="n">
        <f aca="false">IF(H46="","",G46-H46)</f>
        <v>-29</v>
      </c>
      <c r="J46" s="39" t="n">
        <f aca="false">IF(OR(D46="",D46+G46=0),"",D46/(D46+G46))</f>
        <v>0.429487179487179</v>
      </c>
      <c r="K46" s="39" t="n">
        <f aca="false">IF(E46="","",E46/(E46+H46))</f>
        <v>0.395918367346939</v>
      </c>
      <c r="L46" s="53" t="n">
        <f aca="false">IF(OR(K46="",J46=""),"",(J46-K46)*100)</f>
        <v>3.35688121402407</v>
      </c>
      <c r="M46" s="38"/>
    </row>
    <row r="47" customFormat="false" ht="15" hidden="false" customHeight="false" outlineLevel="0" collapsed="false">
      <c r="A47" s="38" t="s">
        <v>87</v>
      </c>
      <c r="B47" s="38" t="s">
        <v>148</v>
      </c>
      <c r="C47" s="38" t="s">
        <v>149</v>
      </c>
      <c r="D47" s="21" t="n">
        <v>273</v>
      </c>
      <c r="E47" s="21" t="n">
        <v>298</v>
      </c>
      <c r="F47" s="52" t="n">
        <f aca="false">IF(E47="","",D47-E47)</f>
        <v>-25</v>
      </c>
      <c r="G47" s="21" t="n">
        <v>593</v>
      </c>
      <c r="H47" s="21" t="n">
        <v>649</v>
      </c>
      <c r="I47" s="52" t="n">
        <f aca="false">IF(H47="","",G47-H47)</f>
        <v>-56</v>
      </c>
      <c r="J47" s="39" t="n">
        <f aca="false">IF(OR(D47="",D47+G47=0),"",D47/(D47+G47))</f>
        <v>0.315242494226328</v>
      </c>
      <c r="K47" s="39" t="n">
        <f aca="false">IF(E47="","",E47/(E47+H47))</f>
        <v>0.31467793030623</v>
      </c>
      <c r="L47" s="53" t="n">
        <f aca="false">IF(OR(K47="",J47=""),"",(J47-K47)*100)</f>
        <v>0.0564563920097738</v>
      </c>
      <c r="M47" s="38"/>
    </row>
    <row r="48" customFormat="false" ht="15" hidden="false" customHeight="false" outlineLevel="0" collapsed="false">
      <c r="A48" s="38" t="s">
        <v>87</v>
      </c>
      <c r="B48" s="38" t="s">
        <v>148</v>
      </c>
      <c r="C48" s="38" t="s">
        <v>150</v>
      </c>
      <c r="D48" s="21" t="n">
        <v>267</v>
      </c>
      <c r="E48" s="21" t="n">
        <v>253</v>
      </c>
      <c r="F48" s="52" t="n">
        <f aca="false">IF(E48="","",D48-E48)</f>
        <v>14</v>
      </c>
      <c r="G48" s="21" t="n">
        <v>641</v>
      </c>
      <c r="H48" s="21" t="n">
        <v>710</v>
      </c>
      <c r="I48" s="52" t="n">
        <f aca="false">IF(H48="","",G48-H48)</f>
        <v>-69</v>
      </c>
      <c r="J48" s="39" t="n">
        <f aca="false">IF(OR(D48="",D48+G48=0),"",D48/(D48+G48))</f>
        <v>0.294052863436123</v>
      </c>
      <c r="K48" s="39" t="n">
        <f aca="false">IF(E48="","",E48/(E48+H48))</f>
        <v>0.262720664589823</v>
      </c>
      <c r="L48" s="53" t="n">
        <f aca="false">IF(OR(K48="",J48=""),"",(J48-K48)*100)</f>
        <v>3.13321988462999</v>
      </c>
      <c r="M48" s="38"/>
    </row>
    <row r="49" customFormat="false" ht="15" hidden="false" customHeight="false" outlineLevel="0" collapsed="false">
      <c r="A49" s="38" t="s">
        <v>87</v>
      </c>
      <c r="B49" s="38" t="s">
        <v>148</v>
      </c>
      <c r="C49" s="38" t="s">
        <v>151</v>
      </c>
      <c r="D49" s="21" t="n">
        <v>264</v>
      </c>
      <c r="E49" s="21" t="n">
        <v>238</v>
      </c>
      <c r="F49" s="52" t="n">
        <f aca="false">IF(E49="","",D49-E49)</f>
        <v>26</v>
      </c>
      <c r="G49" s="21" t="n">
        <v>577</v>
      </c>
      <c r="H49" s="21" t="n">
        <v>586</v>
      </c>
      <c r="I49" s="52" t="n">
        <f aca="false">IF(H49="","",G49-H49)</f>
        <v>-9</v>
      </c>
      <c r="J49" s="39" t="n">
        <f aca="false">IF(OR(D49="",D49+G49=0),"",D49/(D49+G49))</f>
        <v>0.313912009512485</v>
      </c>
      <c r="K49" s="39" t="n">
        <f aca="false">IF(E49="","",E49/(E49+H49))</f>
        <v>0.288834951456311</v>
      </c>
      <c r="L49" s="53" t="n">
        <f aca="false">IF(OR(K49="",J49=""),"",(J49-K49)*100)</f>
        <v>2.50770580561745</v>
      </c>
      <c r="M49" s="38"/>
    </row>
    <row r="50" customFormat="false" ht="15" hidden="false" customHeight="false" outlineLevel="0" collapsed="false">
      <c r="A50" s="38" t="s">
        <v>87</v>
      </c>
      <c r="B50" s="38" t="s">
        <v>152</v>
      </c>
      <c r="C50" s="38" t="s">
        <v>153</v>
      </c>
      <c r="D50" s="21" t="n">
        <v>244</v>
      </c>
      <c r="E50" s="21" t="n">
        <v>238</v>
      </c>
      <c r="F50" s="52" t="n">
        <f aca="false">IF(E50="","",D50-E50)</f>
        <v>6</v>
      </c>
      <c r="G50" s="21" t="n">
        <v>589</v>
      </c>
      <c r="H50" s="21" t="n">
        <v>541</v>
      </c>
      <c r="I50" s="52" t="n">
        <f aca="false">IF(H50="","",G50-H50)</f>
        <v>48</v>
      </c>
      <c r="J50" s="39" t="n">
        <f aca="false">IF(OR(D50="",D50+G50=0),"",D50/(D50+G50))</f>
        <v>0.292917166866747</v>
      </c>
      <c r="K50" s="39" t="n">
        <f aca="false">IF(E50="","",E50/(E50+H50))</f>
        <v>0.305519897304236</v>
      </c>
      <c r="L50" s="53" t="n">
        <f aca="false">IF(OR(K50="",J50=""),"",(J50-K50)*100)</f>
        <v>-1.26027304374895</v>
      </c>
      <c r="M50" s="38"/>
    </row>
    <row r="51" customFormat="false" ht="15" hidden="false" customHeight="false" outlineLevel="0" collapsed="false">
      <c r="A51" s="38" t="s">
        <v>87</v>
      </c>
      <c r="B51" s="38" t="s">
        <v>152</v>
      </c>
      <c r="C51" s="38" t="s">
        <v>154</v>
      </c>
      <c r="D51" s="21" t="n">
        <v>112</v>
      </c>
      <c r="E51" s="21" t="n">
        <v>103</v>
      </c>
      <c r="F51" s="52" t="n">
        <f aca="false">IF(E51="","",D51-E51)</f>
        <v>9</v>
      </c>
      <c r="G51" s="21" t="n">
        <v>276</v>
      </c>
      <c r="H51" s="21" t="n">
        <v>292</v>
      </c>
      <c r="I51" s="52" t="n">
        <f aca="false">IF(H51="","",G51-H51)</f>
        <v>-16</v>
      </c>
      <c r="J51" s="39" t="n">
        <f aca="false">IF(OR(D51="",D51+G51=0),"",D51/(D51+G51))</f>
        <v>0.288659793814433</v>
      </c>
      <c r="K51" s="39" t="n">
        <f aca="false">IF(E51="","",E51/(E51+H51))</f>
        <v>0.260759493670886</v>
      </c>
      <c r="L51" s="53" t="n">
        <f aca="false">IF(OR(K51="",J51=""),"",(J51-K51)*100)</f>
        <v>2.79003001435469</v>
      </c>
      <c r="M51" s="38"/>
    </row>
    <row r="52" customFormat="false" ht="15" hidden="false" customHeight="false" outlineLevel="0" collapsed="false">
      <c r="A52" s="38" t="s">
        <v>87</v>
      </c>
      <c r="B52" s="38" t="s">
        <v>155</v>
      </c>
      <c r="C52" s="38" t="s">
        <v>155</v>
      </c>
      <c r="D52" s="21" t="n">
        <v>65</v>
      </c>
      <c r="E52" s="21" t="n">
        <v>53</v>
      </c>
      <c r="F52" s="52" t="n">
        <f aca="false">IF(E52="","",D52-E52)</f>
        <v>12</v>
      </c>
      <c r="G52" s="21" t="n">
        <v>88</v>
      </c>
      <c r="H52" s="21" t="n">
        <v>99</v>
      </c>
      <c r="I52" s="52" t="n">
        <f aca="false">IF(H52="","",G52-H52)</f>
        <v>-11</v>
      </c>
      <c r="J52" s="39" t="n">
        <f aca="false">IF(OR(D52="",D52+G52=0),"",D52/(D52+G52))</f>
        <v>0.42483660130719</v>
      </c>
      <c r="K52" s="39" t="n">
        <f aca="false">IF(E52="","",E52/(E52+H52))</f>
        <v>0.348684210526316</v>
      </c>
      <c r="L52" s="53" t="n">
        <f aca="false">IF(OR(K52="",J52=""),"",(J52-K52)*100)</f>
        <v>7.61523907808738</v>
      </c>
      <c r="M52" s="38"/>
    </row>
    <row r="53" customFormat="false" ht="15" hidden="false" customHeight="false" outlineLevel="0" collapsed="false">
      <c r="A53" s="38" t="s">
        <v>156</v>
      </c>
      <c r="B53" s="38" t="s">
        <v>157</v>
      </c>
      <c r="C53" s="38" t="s">
        <v>157</v>
      </c>
      <c r="D53" s="21" t="n">
        <v>692</v>
      </c>
      <c r="E53" s="21" t="n">
        <v>601</v>
      </c>
      <c r="F53" s="52" t="n">
        <f aca="false">IF(E53="","",D53-E53)</f>
        <v>91</v>
      </c>
      <c r="G53" s="21" t="n">
        <v>692</v>
      </c>
      <c r="H53" s="21" t="n">
        <v>766</v>
      </c>
      <c r="I53" s="52" t="n">
        <f aca="false">IF(H53="","",G53-H53)</f>
        <v>-74</v>
      </c>
      <c r="J53" s="39" t="n">
        <f aca="false">IF(OR(D53="",D53+G53=0),"",D53/(D53+G53))</f>
        <v>0.5</v>
      </c>
      <c r="K53" s="39" t="n">
        <f aca="false">IF(E53="","",E53/(E53+H53))</f>
        <v>0.439648866130212</v>
      </c>
      <c r="L53" s="53" t="n">
        <f aca="false">IF(OR(K53="",J53=""),"",(J53-K53)*100)</f>
        <v>6.03511338697879</v>
      </c>
      <c r="M53" s="38"/>
    </row>
    <row r="54" customFormat="false" ht="15" hidden="false" customHeight="false" outlineLevel="0" collapsed="false">
      <c r="A54" s="38" t="s">
        <v>156</v>
      </c>
      <c r="B54" s="38" t="s">
        <v>158</v>
      </c>
      <c r="C54" s="38" t="s">
        <v>159</v>
      </c>
      <c r="D54" s="21" t="n">
        <v>520</v>
      </c>
      <c r="E54" s="21" t="n">
        <v>437</v>
      </c>
      <c r="F54" s="52" t="n">
        <f aca="false">IF(E54="","",D54-E54)</f>
        <v>83</v>
      </c>
      <c r="G54" s="21" t="n">
        <v>153</v>
      </c>
      <c r="H54" s="21" t="n">
        <v>173</v>
      </c>
      <c r="I54" s="52" t="n">
        <f aca="false">IF(H54="","",G54-H54)</f>
        <v>-20</v>
      </c>
      <c r="J54" s="39" t="n">
        <f aca="false">IF(OR(D54="",D54+G54=0),"",D54/(D54+G54))</f>
        <v>0.772659732540862</v>
      </c>
      <c r="K54" s="39" t="n">
        <f aca="false">IF(E54="","",E54/(E54+H54))</f>
        <v>0.716393442622951</v>
      </c>
      <c r="L54" s="53" t="n">
        <f aca="false">IF(OR(K54="",J54=""),"",(J54-K54)*100)</f>
        <v>5.6266289917911</v>
      </c>
      <c r="M54" s="38"/>
    </row>
    <row r="55" customFormat="false" ht="15" hidden="false" customHeight="false" outlineLevel="0" collapsed="false">
      <c r="A55" s="38" t="s">
        <v>156</v>
      </c>
      <c r="B55" s="38" t="s">
        <v>158</v>
      </c>
      <c r="C55" s="38" t="s">
        <v>160</v>
      </c>
      <c r="D55" s="21" t="n">
        <v>382</v>
      </c>
      <c r="E55" s="21" t="n">
        <v>328</v>
      </c>
      <c r="F55" s="52" t="n">
        <f aca="false">IF(E55="","",D55-E55)</f>
        <v>54</v>
      </c>
      <c r="G55" s="21" t="n">
        <v>127</v>
      </c>
      <c r="H55" s="21" t="n">
        <v>173</v>
      </c>
      <c r="I55" s="52" t="n">
        <f aca="false">IF(H55="","",G55-H55)</f>
        <v>-46</v>
      </c>
      <c r="J55" s="39" t="n">
        <f aca="false">IF(OR(D55="",D55+G55=0),"",D55/(D55+G55))</f>
        <v>0.75049115913556</v>
      </c>
      <c r="K55" s="39" t="n">
        <f aca="false">IF(E55="","",E55/(E55+H55))</f>
        <v>0.654690618762475</v>
      </c>
      <c r="L55" s="53" t="n">
        <f aca="false">IF(OR(K55="",J55=""),"",(J55-K55)*100)</f>
        <v>9.5800540373085</v>
      </c>
      <c r="M55" s="38"/>
    </row>
    <row r="56" customFormat="false" ht="15" hidden="false" customHeight="false" outlineLevel="0" collapsed="false">
      <c r="A56" s="38" t="s">
        <v>156</v>
      </c>
      <c r="B56" s="38" t="s">
        <v>158</v>
      </c>
      <c r="C56" s="38" t="s">
        <v>161</v>
      </c>
      <c r="D56" s="21" t="n">
        <v>399</v>
      </c>
      <c r="E56" s="21" t="n">
        <v>347</v>
      </c>
      <c r="F56" s="52" t="n">
        <f aca="false">IF(E56="","",D56-E56)</f>
        <v>52</v>
      </c>
      <c r="G56" s="21" t="n">
        <v>119</v>
      </c>
      <c r="H56" s="21" t="n">
        <v>147</v>
      </c>
      <c r="I56" s="52" t="n">
        <f aca="false">IF(H56="","",G56-H56)</f>
        <v>-28</v>
      </c>
      <c r="J56" s="39" t="n">
        <f aca="false">IF(OR(D56="",D56+G56=0),"",D56/(D56+G56))</f>
        <v>0.77027027027027</v>
      </c>
      <c r="K56" s="39" t="n">
        <f aca="false">IF(E56="","",E56/(E56+H56))</f>
        <v>0.702429149797571</v>
      </c>
      <c r="L56" s="53" t="n">
        <f aca="false">IF(OR(K56="",J56=""),"",(J56-K56)*100)</f>
        <v>6.78411204726994</v>
      </c>
      <c r="M56" s="38"/>
    </row>
    <row r="57" customFormat="false" ht="15" hidden="false" customHeight="false" outlineLevel="0" collapsed="false">
      <c r="A57" s="38" t="s">
        <v>156</v>
      </c>
      <c r="B57" s="38" t="s">
        <v>158</v>
      </c>
      <c r="C57" s="38" t="s">
        <v>162</v>
      </c>
      <c r="D57" s="21" t="n">
        <v>348</v>
      </c>
      <c r="E57" s="21" t="n">
        <v>314</v>
      </c>
      <c r="F57" s="52" t="n">
        <f aca="false">IF(E57="","",D57-E57)</f>
        <v>34</v>
      </c>
      <c r="G57" s="21" t="n">
        <v>121</v>
      </c>
      <c r="H57" s="21" t="n">
        <v>149</v>
      </c>
      <c r="I57" s="52" t="n">
        <f aca="false">IF(H57="","",G57-H57)</f>
        <v>-28</v>
      </c>
      <c r="J57" s="39" t="n">
        <f aca="false">IF(OR(D57="",D57+G57=0),"",D57/(D57+G57))</f>
        <v>0.742004264392324</v>
      </c>
      <c r="K57" s="39" t="n">
        <f aca="false">IF(E57="","",E57/(E57+H57))</f>
        <v>0.678185745140389</v>
      </c>
      <c r="L57" s="53" t="n">
        <f aca="false">IF(OR(K57="",J57=""),"",(J57-K57)*100)</f>
        <v>6.38185192519354</v>
      </c>
      <c r="M57" s="38"/>
    </row>
    <row r="58" customFormat="false" ht="15" hidden="false" customHeight="false" outlineLevel="0" collapsed="false">
      <c r="A58" s="38" t="s">
        <v>156</v>
      </c>
      <c r="B58" s="38" t="s">
        <v>158</v>
      </c>
      <c r="C58" s="38" t="s">
        <v>163</v>
      </c>
      <c r="D58" s="21" t="n">
        <v>421</v>
      </c>
      <c r="E58" s="21" t="n">
        <v>364</v>
      </c>
      <c r="F58" s="52" t="n">
        <f aca="false">IF(E58="","",D58-E58)</f>
        <v>57</v>
      </c>
      <c r="G58" s="21" t="n">
        <v>128</v>
      </c>
      <c r="H58" s="21" t="n">
        <v>137</v>
      </c>
      <c r="I58" s="52" t="n">
        <f aca="false">IF(H58="","",G58-H58)</f>
        <v>-9</v>
      </c>
      <c r="J58" s="39" t="n">
        <f aca="false">IF(OR(D58="",D58+G58=0),"",D58/(D58+G58))</f>
        <v>0.766848816029144</v>
      </c>
      <c r="K58" s="39" t="n">
        <f aca="false">IF(E58="","",E58/(E58+H58))</f>
        <v>0.726546906187625</v>
      </c>
      <c r="L58" s="53" t="n">
        <f aca="false">IF(OR(K58="",J58=""),"",(J58-K58)*100)</f>
        <v>4.03019098415192</v>
      </c>
      <c r="M58" s="38"/>
    </row>
    <row r="59" customFormat="false" ht="15" hidden="false" customHeight="false" outlineLevel="0" collapsed="false">
      <c r="A59" s="38" t="s">
        <v>156</v>
      </c>
      <c r="B59" s="38" t="s">
        <v>158</v>
      </c>
      <c r="C59" s="38" t="s">
        <v>164</v>
      </c>
      <c r="D59" s="21" t="n">
        <v>477</v>
      </c>
      <c r="E59" s="21" t="n">
        <v>399</v>
      </c>
      <c r="F59" s="52" t="n">
        <f aca="false">IF(E59="","",D59-E59)</f>
        <v>78</v>
      </c>
      <c r="G59" s="21" t="n">
        <v>172</v>
      </c>
      <c r="H59" s="21" t="n">
        <v>171</v>
      </c>
      <c r="I59" s="52" t="n">
        <f aca="false">IF(H59="","",G59-H59)</f>
        <v>1</v>
      </c>
      <c r="J59" s="39" t="n">
        <f aca="false">IF(OR(D59="",D59+G59=0),"",D59/(D59+G59))</f>
        <v>0.73497688751926</v>
      </c>
      <c r="K59" s="39" t="n">
        <f aca="false">IF(E59="","",E59/(E59+H59))</f>
        <v>0.7</v>
      </c>
      <c r="L59" s="53" t="n">
        <f aca="false">IF(OR(K59="",J59=""),"",(J59-K59)*100)</f>
        <v>3.49768875192604</v>
      </c>
      <c r="M59" s="38"/>
    </row>
    <row r="60" customFormat="false" ht="15" hidden="false" customHeight="false" outlineLevel="0" collapsed="false">
      <c r="A60" s="38" t="s">
        <v>156</v>
      </c>
      <c r="B60" s="38" t="s">
        <v>158</v>
      </c>
      <c r="C60" s="38" t="s">
        <v>165</v>
      </c>
      <c r="D60" s="21" t="n">
        <v>823</v>
      </c>
      <c r="E60" s="21" t="n">
        <v>1034</v>
      </c>
      <c r="F60" s="52" t="n">
        <f aca="false">IF(E60="","",D60-E60)</f>
        <v>-211</v>
      </c>
      <c r="G60" s="21" t="n">
        <v>227</v>
      </c>
      <c r="H60" s="21" t="n">
        <v>285</v>
      </c>
      <c r="I60" s="52" t="n">
        <f aca="false">IF(H60="","",G60-H60)</f>
        <v>-58</v>
      </c>
      <c r="J60" s="39" t="n">
        <f aca="false">IF(OR(D60="",D60+G60=0),"",D60/(D60+G60))</f>
        <v>0.783809523809524</v>
      </c>
      <c r="K60" s="39" t="n">
        <f aca="false">IF(E60="","",E60/(E60+H60))</f>
        <v>0.783927217589083</v>
      </c>
      <c r="L60" s="53" t="n">
        <f aca="false">IF(OR(K60="",J60=""),"",(J60-K60)*100)</f>
        <v>-0.0117693779558836</v>
      </c>
      <c r="M60" s="38"/>
    </row>
    <row r="61" customFormat="false" ht="15" hidden="false" customHeight="false" outlineLevel="0" collapsed="false">
      <c r="A61" s="38" t="s">
        <v>156</v>
      </c>
      <c r="B61" s="38" t="s">
        <v>158</v>
      </c>
      <c r="C61" s="38" t="s">
        <v>166</v>
      </c>
      <c r="D61" s="21" t="n">
        <v>408</v>
      </c>
      <c r="E61" s="21" t="n">
        <v>377</v>
      </c>
      <c r="F61" s="52" t="n">
        <f aca="false">IF(E61="","",D61-E61)</f>
        <v>31</v>
      </c>
      <c r="G61" s="21" t="n">
        <v>193</v>
      </c>
      <c r="H61" s="21" t="n">
        <v>190</v>
      </c>
      <c r="I61" s="52" t="n">
        <f aca="false">IF(H61="","",G61-H61)</f>
        <v>3</v>
      </c>
      <c r="J61" s="39" t="n">
        <f aca="false">IF(OR(D61="",D61+G61=0),"",D61/(D61+G61))</f>
        <v>0.678868552412646</v>
      </c>
      <c r="K61" s="39" t="n">
        <f aca="false">IF(E61="","",E61/(E61+H61))</f>
        <v>0.664902998236332</v>
      </c>
      <c r="L61" s="53" t="n">
        <f aca="false">IF(OR(K61="",J61=""),"",(J61-K61)*100)</f>
        <v>1.3965554176314</v>
      </c>
      <c r="M61" s="38"/>
    </row>
    <row r="62" customFormat="false" ht="15" hidden="false" customHeight="false" outlineLevel="0" collapsed="false">
      <c r="A62" s="38" t="s">
        <v>156</v>
      </c>
      <c r="B62" s="38" t="s">
        <v>158</v>
      </c>
      <c r="C62" s="38" t="s">
        <v>167</v>
      </c>
      <c r="D62" s="21" t="n">
        <v>616</v>
      </c>
      <c r="E62" s="21" t="n">
        <v>619</v>
      </c>
      <c r="F62" s="52" t="n">
        <f aca="false">IF(E62="","",D62-E62)</f>
        <v>-3</v>
      </c>
      <c r="G62" s="21" t="n">
        <v>385</v>
      </c>
      <c r="H62" s="21" t="n">
        <v>400</v>
      </c>
      <c r="I62" s="52" t="n">
        <f aca="false">IF(H62="","",G62-H62)</f>
        <v>-15</v>
      </c>
      <c r="J62" s="39" t="n">
        <f aca="false">IF(OR(D62="",D62+G62=0),"",D62/(D62+G62))</f>
        <v>0.615384615384615</v>
      </c>
      <c r="K62" s="39" t="n">
        <f aca="false">IF(E62="","",E62/(E62+H62))</f>
        <v>0.607458292443572</v>
      </c>
      <c r="L62" s="53" t="n">
        <f aca="false">IF(OR(K62="",J62=""),"",(J62-K62)*100)</f>
        <v>0.792632294104334</v>
      </c>
      <c r="M62" s="38"/>
    </row>
    <row r="63" customFormat="false" ht="15" hidden="false" customHeight="false" outlineLevel="0" collapsed="false">
      <c r="A63" s="38" t="s">
        <v>156</v>
      </c>
      <c r="B63" s="38" t="s">
        <v>158</v>
      </c>
      <c r="C63" s="38" t="s">
        <v>168</v>
      </c>
      <c r="D63" s="21" t="n">
        <v>440</v>
      </c>
      <c r="E63" s="21" t="n">
        <v>438</v>
      </c>
      <c r="F63" s="52" t="n">
        <f aca="false">IF(E63="","",D63-E63)</f>
        <v>2</v>
      </c>
      <c r="G63" s="21" t="n">
        <v>272</v>
      </c>
      <c r="H63" s="21" t="n">
        <v>259</v>
      </c>
      <c r="I63" s="52" t="n">
        <f aca="false">IF(H63="","",G63-H63)</f>
        <v>13</v>
      </c>
      <c r="J63" s="39" t="n">
        <f aca="false">IF(OR(D63="",D63+G63=0),"",D63/(D63+G63))</f>
        <v>0.617977528089888</v>
      </c>
      <c r="K63" s="39" t="n">
        <f aca="false">IF(E63="","",E63/(E63+H63))</f>
        <v>0.628407460545194</v>
      </c>
      <c r="L63" s="53" t="n">
        <f aca="false">IF(OR(K63="",J63=""),"",(J63-K63)*100)</f>
        <v>-1.04299324553061</v>
      </c>
      <c r="M63" s="38"/>
    </row>
    <row r="64" customFormat="false" ht="15" hidden="false" customHeight="false" outlineLevel="0" collapsed="false">
      <c r="A64" s="38" t="s">
        <v>156</v>
      </c>
      <c r="B64" s="38" t="s">
        <v>158</v>
      </c>
      <c r="C64" s="38" t="s">
        <v>169</v>
      </c>
      <c r="D64" s="21" t="n">
        <v>498</v>
      </c>
      <c r="E64" s="21" t="n">
        <v>428</v>
      </c>
      <c r="F64" s="52" t="n">
        <f aca="false">IF(E64="","",D64-E64)</f>
        <v>70</v>
      </c>
      <c r="G64" s="21" t="n">
        <v>177</v>
      </c>
      <c r="H64" s="21" t="n">
        <v>195</v>
      </c>
      <c r="I64" s="52" t="n">
        <f aca="false">IF(H64="","",G64-H64)</f>
        <v>-18</v>
      </c>
      <c r="J64" s="39" t="n">
        <f aca="false">IF(OR(D64="",D64+G64=0),"",D64/(D64+G64))</f>
        <v>0.737777777777778</v>
      </c>
      <c r="K64" s="39" t="n">
        <f aca="false">IF(E64="","",E64/(E64+H64))</f>
        <v>0.686998394863563</v>
      </c>
      <c r="L64" s="53" t="n">
        <f aca="false">IF(OR(K64="",J64=""),"",(J64-K64)*100)</f>
        <v>5.07793829142144</v>
      </c>
      <c r="M64" s="38"/>
    </row>
    <row r="65" customFormat="false" ht="15" hidden="false" customHeight="false" outlineLevel="0" collapsed="false">
      <c r="A65" s="38" t="s">
        <v>156</v>
      </c>
      <c r="B65" s="38" t="s">
        <v>158</v>
      </c>
      <c r="C65" s="38" t="s">
        <v>170</v>
      </c>
      <c r="D65" s="21" t="n">
        <v>594</v>
      </c>
      <c r="E65" s="21" t="n">
        <v>563</v>
      </c>
      <c r="F65" s="52" t="n">
        <f aca="false">IF(E65="","",D65-E65)</f>
        <v>31</v>
      </c>
      <c r="G65" s="21" t="n">
        <v>296</v>
      </c>
      <c r="H65" s="21" t="n">
        <v>322</v>
      </c>
      <c r="I65" s="52" t="n">
        <f aca="false">IF(H65="","",G65-H65)</f>
        <v>-26</v>
      </c>
      <c r="J65" s="39" t="n">
        <f aca="false">IF(OR(D65="",D65+G65=0),"",D65/(D65+G65))</f>
        <v>0.667415730337079</v>
      </c>
      <c r="K65" s="39" t="n">
        <f aca="false">IF(E65="","",E65/(E65+H65))</f>
        <v>0.636158192090396</v>
      </c>
      <c r="L65" s="53" t="n">
        <f aca="false">IF(OR(K65="",J65=""),"",(J65-K65)*100)</f>
        <v>3.12575382466832</v>
      </c>
      <c r="M65" s="38"/>
    </row>
    <row r="66" customFormat="false" ht="15" hidden="false" customHeight="false" outlineLevel="0" collapsed="false">
      <c r="A66" s="38" t="s">
        <v>156</v>
      </c>
      <c r="B66" s="38" t="s">
        <v>158</v>
      </c>
      <c r="C66" s="38" t="s">
        <v>171</v>
      </c>
      <c r="D66" s="21" t="n">
        <v>420</v>
      </c>
      <c r="E66" s="21" t="n">
        <v>472</v>
      </c>
      <c r="F66" s="52" t="n">
        <f aca="false">IF(E66="","",D66-E66)</f>
        <v>-52</v>
      </c>
      <c r="G66" s="21" t="n">
        <v>253</v>
      </c>
      <c r="H66" s="21" t="n">
        <v>273</v>
      </c>
      <c r="I66" s="52" t="n">
        <f aca="false">IF(H66="","",G66-H66)</f>
        <v>-20</v>
      </c>
      <c r="J66" s="39" t="n">
        <f aca="false">IF(OR(D66="",D66+G66=0),"",D66/(D66+G66))</f>
        <v>0.62407132243685</v>
      </c>
      <c r="K66" s="39" t="n">
        <f aca="false">IF(E66="","",E66/(E66+H66))</f>
        <v>0.633557046979866</v>
      </c>
      <c r="L66" s="53" t="n">
        <f aca="false">IF(OR(K66="",J66=""),"",(J66-K66)*100)</f>
        <v>-0.948572454301588</v>
      </c>
      <c r="M66" s="38"/>
    </row>
    <row r="67" customFormat="false" ht="15" hidden="false" customHeight="false" outlineLevel="0" collapsed="false">
      <c r="A67" s="38" t="s">
        <v>156</v>
      </c>
      <c r="B67" s="38" t="s">
        <v>158</v>
      </c>
      <c r="C67" s="38" t="s">
        <v>172</v>
      </c>
      <c r="D67" s="21" t="n">
        <v>430</v>
      </c>
      <c r="E67" s="21" t="n">
        <v>426</v>
      </c>
      <c r="F67" s="52" t="n">
        <f aca="false">IF(E67="","",D67-E67)</f>
        <v>4</v>
      </c>
      <c r="G67" s="21" t="n">
        <v>316</v>
      </c>
      <c r="H67" s="21" t="n">
        <v>331</v>
      </c>
      <c r="I67" s="52" t="n">
        <f aca="false">IF(H67="","",G67-H67)</f>
        <v>-15</v>
      </c>
      <c r="J67" s="39" t="n">
        <f aca="false">IF(OR(D67="",D67+G67=0),"",D67/(D67+G67))</f>
        <v>0.576407506702413</v>
      </c>
      <c r="K67" s="39" t="n">
        <f aca="false">IF(E67="","",E67/(E67+H67))</f>
        <v>0.562747688243065</v>
      </c>
      <c r="L67" s="53" t="n">
        <f aca="false">IF(OR(K67="",J67=""),"",(J67-K67)*100)</f>
        <v>1.36598184593482</v>
      </c>
      <c r="M67" s="38"/>
    </row>
    <row r="68" customFormat="false" ht="15" hidden="false" customHeight="false" outlineLevel="0" collapsed="false">
      <c r="A68" s="38" t="s">
        <v>156</v>
      </c>
      <c r="B68" s="38" t="s">
        <v>158</v>
      </c>
      <c r="C68" s="38" t="s">
        <v>173</v>
      </c>
      <c r="D68" s="21" t="n">
        <v>465</v>
      </c>
      <c r="E68" s="21" t="n">
        <v>418</v>
      </c>
      <c r="F68" s="52" t="n">
        <f aca="false">IF(E68="","",D68-E68)</f>
        <v>47</v>
      </c>
      <c r="G68" s="21" t="n">
        <v>263</v>
      </c>
      <c r="H68" s="21" t="n">
        <v>278</v>
      </c>
      <c r="I68" s="52" t="n">
        <f aca="false">IF(H68="","",G68-H68)</f>
        <v>-15</v>
      </c>
      <c r="J68" s="39" t="n">
        <f aca="false">IF(OR(D68="",D68+G68=0),"",D68/(D68+G68))</f>
        <v>0.638736263736264</v>
      </c>
      <c r="K68" s="39" t="n">
        <f aca="false">IF(E68="","",E68/(E68+H68))</f>
        <v>0.600574712643678</v>
      </c>
      <c r="L68" s="53" t="n">
        <f aca="false">IF(OR(K68="",J68=""),"",(J68-K68)*100)</f>
        <v>3.81615510925856</v>
      </c>
      <c r="M68" s="38"/>
    </row>
    <row r="69" customFormat="false" ht="15" hidden="false" customHeight="false" outlineLevel="0" collapsed="false">
      <c r="A69" s="38" t="s">
        <v>156</v>
      </c>
      <c r="B69" s="38" t="s">
        <v>158</v>
      </c>
      <c r="C69" s="38" t="s">
        <v>174</v>
      </c>
      <c r="D69" s="21" t="n">
        <v>482</v>
      </c>
      <c r="E69" s="21" t="n">
        <v>424</v>
      </c>
      <c r="F69" s="52" t="n">
        <f aca="false">IF(E69="","",D69-E69)</f>
        <v>58</v>
      </c>
      <c r="G69" s="21" t="n">
        <v>162</v>
      </c>
      <c r="H69" s="21" t="n">
        <v>188</v>
      </c>
      <c r="I69" s="52" t="n">
        <f aca="false">IF(H69="","",G69-H69)</f>
        <v>-26</v>
      </c>
      <c r="J69" s="39" t="n">
        <f aca="false">IF(OR(D69="",D69+G69=0),"",D69/(D69+G69))</f>
        <v>0.748447204968944</v>
      </c>
      <c r="K69" s="39" t="n">
        <f aca="false">IF(E69="","",E69/(E69+H69))</f>
        <v>0.69281045751634</v>
      </c>
      <c r="L69" s="53" t="n">
        <f aca="false">IF(OR(K69="",J69=""),"",(J69-K69)*100)</f>
        <v>5.56367474526043</v>
      </c>
      <c r="M69" s="38"/>
    </row>
    <row r="70" customFormat="false" ht="15" hidden="false" customHeight="false" outlineLevel="0" collapsed="false">
      <c r="A70" s="38" t="s">
        <v>156</v>
      </c>
      <c r="B70" s="38" t="s">
        <v>158</v>
      </c>
      <c r="C70" s="38" t="s">
        <v>175</v>
      </c>
      <c r="D70" s="21" t="n">
        <v>378</v>
      </c>
      <c r="E70" s="21" t="n">
        <v>330</v>
      </c>
      <c r="F70" s="52" t="n">
        <f aca="false">IF(E70="","",D70-E70)</f>
        <v>48</v>
      </c>
      <c r="G70" s="21" t="n">
        <v>156</v>
      </c>
      <c r="H70" s="21" t="n">
        <v>195</v>
      </c>
      <c r="I70" s="52" t="n">
        <f aca="false">IF(H70="","",G70-H70)</f>
        <v>-39</v>
      </c>
      <c r="J70" s="39" t="n">
        <f aca="false">IF(OR(D70="",D70+G70=0),"",D70/(D70+G70))</f>
        <v>0.707865168539326</v>
      </c>
      <c r="K70" s="39" t="n">
        <f aca="false">IF(E70="","",E70/(E70+H70))</f>
        <v>0.628571428571429</v>
      </c>
      <c r="L70" s="53" t="n">
        <f aca="false">IF(OR(K70="",J70=""),"",(J70-K70)*100)</f>
        <v>7.92937399678972</v>
      </c>
      <c r="M70" s="38"/>
    </row>
    <row r="71" customFormat="false" ht="15" hidden="false" customHeight="false" outlineLevel="0" collapsed="false">
      <c r="A71" s="38" t="s">
        <v>156</v>
      </c>
      <c r="B71" s="38" t="s">
        <v>158</v>
      </c>
      <c r="C71" s="38" t="s">
        <v>176</v>
      </c>
      <c r="D71" s="21" t="n">
        <v>451</v>
      </c>
      <c r="E71" s="21" t="n">
        <v>441</v>
      </c>
      <c r="F71" s="52" t="n">
        <f aca="false">IF(E71="","",D71-E71)</f>
        <v>10</v>
      </c>
      <c r="G71" s="21" t="n">
        <v>209</v>
      </c>
      <c r="H71" s="21" t="n">
        <v>232</v>
      </c>
      <c r="I71" s="52" t="n">
        <f aca="false">IF(H71="","",G71-H71)</f>
        <v>-23</v>
      </c>
      <c r="J71" s="39" t="n">
        <f aca="false">IF(OR(D71="",D71+G71=0),"",D71/(D71+G71))</f>
        <v>0.683333333333333</v>
      </c>
      <c r="K71" s="39" t="n">
        <f aca="false">IF(E71="","",E71/(E71+H71))</f>
        <v>0.655274888558692</v>
      </c>
      <c r="L71" s="53" t="n">
        <f aca="false">IF(OR(K71="",J71=""),"",(J71-K71)*100)</f>
        <v>2.80584447746409</v>
      </c>
      <c r="M71" s="38"/>
    </row>
    <row r="72" customFormat="false" ht="15" hidden="false" customHeight="false" outlineLevel="0" collapsed="false">
      <c r="A72" s="38" t="s">
        <v>156</v>
      </c>
      <c r="B72" s="38" t="s">
        <v>158</v>
      </c>
      <c r="C72" s="38" t="s">
        <v>177</v>
      </c>
      <c r="D72" s="21" t="n">
        <v>326</v>
      </c>
      <c r="E72" s="21" t="n">
        <v>313</v>
      </c>
      <c r="F72" s="52" t="n">
        <f aca="false">IF(E72="","",D72-E72)</f>
        <v>13</v>
      </c>
      <c r="G72" s="21" t="n">
        <v>133</v>
      </c>
      <c r="H72" s="21" t="n">
        <v>155</v>
      </c>
      <c r="I72" s="52" t="n">
        <f aca="false">IF(H72="","",G72-H72)</f>
        <v>-22</v>
      </c>
      <c r="J72" s="39" t="n">
        <f aca="false">IF(OR(D72="",D72+G72=0),"",D72/(D72+G72))</f>
        <v>0.710239651416122</v>
      </c>
      <c r="K72" s="39" t="n">
        <f aca="false">IF(E72="","",E72/(E72+H72))</f>
        <v>0.668803418803419</v>
      </c>
      <c r="L72" s="53" t="n">
        <f aca="false">IF(OR(K72="",J72=""),"",(J72-K72)*100)</f>
        <v>4.14362326127032</v>
      </c>
      <c r="M72" s="38"/>
    </row>
    <row r="73" customFormat="false" ht="15" hidden="false" customHeight="false" outlineLevel="0" collapsed="false">
      <c r="A73" s="38" t="s">
        <v>156</v>
      </c>
      <c r="B73" s="38" t="s">
        <v>158</v>
      </c>
      <c r="C73" s="38" t="s">
        <v>178</v>
      </c>
      <c r="D73" s="21" t="n">
        <v>687</v>
      </c>
      <c r="E73" s="21" t="n">
        <v>658</v>
      </c>
      <c r="F73" s="52" t="n">
        <f aca="false">IF(E73="","",D73-E73)</f>
        <v>29</v>
      </c>
      <c r="G73" s="21" t="n">
        <v>365</v>
      </c>
      <c r="H73" s="21" t="n">
        <v>375</v>
      </c>
      <c r="I73" s="52" t="n">
        <f aca="false">IF(H73="","",G73-H73)</f>
        <v>-10</v>
      </c>
      <c r="J73" s="39" t="n">
        <f aca="false">IF(OR(D73="",D73+G73=0),"",D73/(D73+G73))</f>
        <v>0.653041825095057</v>
      </c>
      <c r="K73" s="39" t="n">
        <f aca="false">IF(E73="","",E73/(E73+H73))</f>
        <v>0.636979670861568</v>
      </c>
      <c r="L73" s="53" t="n">
        <f aca="false">IF(OR(K73="",J73=""),"",(J73-K73)*100)</f>
        <v>1.60621542334888</v>
      </c>
      <c r="M73" s="38"/>
    </row>
    <row r="74" customFormat="false" ht="15" hidden="false" customHeight="false" outlineLevel="0" collapsed="false">
      <c r="A74" s="38" t="s">
        <v>156</v>
      </c>
      <c r="B74" s="38" t="s">
        <v>158</v>
      </c>
      <c r="C74" s="38" t="s">
        <v>179</v>
      </c>
      <c r="D74" s="21" t="n">
        <v>780</v>
      </c>
      <c r="E74" s="21" t="n">
        <v>693</v>
      </c>
      <c r="F74" s="52" t="n">
        <f aca="false">IF(E74="","",D74-E74)</f>
        <v>87</v>
      </c>
      <c r="G74" s="21" t="n">
        <v>326</v>
      </c>
      <c r="H74" s="21" t="n">
        <v>389</v>
      </c>
      <c r="I74" s="52" t="n">
        <f aca="false">IF(H74="","",G74-H74)</f>
        <v>-63</v>
      </c>
      <c r="J74" s="39" t="n">
        <f aca="false">IF(OR(D74="",D74+G74=0),"",D74/(D74+G74))</f>
        <v>0.705244122965642</v>
      </c>
      <c r="K74" s="39" t="n">
        <f aca="false">IF(E74="","",E74/(E74+H74))</f>
        <v>0.640480591497227</v>
      </c>
      <c r="L74" s="53" t="n">
        <f aca="false">IF(OR(K74="",J74=""),"",(J74-K74)*100)</f>
        <v>6.47635314684146</v>
      </c>
      <c r="M74" s="38"/>
    </row>
    <row r="75" customFormat="false" ht="15" hidden="false" customHeight="false" outlineLevel="0" collapsed="false">
      <c r="A75" s="38" t="s">
        <v>156</v>
      </c>
      <c r="B75" s="38" t="s">
        <v>158</v>
      </c>
      <c r="C75" s="38" t="s">
        <v>180</v>
      </c>
      <c r="D75" s="21" t="n">
        <v>496</v>
      </c>
      <c r="E75" s="21" t="n">
        <v>446</v>
      </c>
      <c r="F75" s="52" t="n">
        <f aca="false">IF(E75="","",D75-E75)</f>
        <v>50</v>
      </c>
      <c r="G75" s="21" t="n">
        <v>320</v>
      </c>
      <c r="H75" s="21" t="n">
        <v>382</v>
      </c>
      <c r="I75" s="52" t="n">
        <f aca="false">IF(H75="","",G75-H75)</f>
        <v>-62</v>
      </c>
      <c r="J75" s="39" t="n">
        <f aca="false">IF(OR(D75="",D75+G75=0),"",D75/(D75+G75))</f>
        <v>0.607843137254902</v>
      </c>
      <c r="K75" s="39" t="n">
        <f aca="false">IF(E75="","",E75/(E75+H75))</f>
        <v>0.538647342995169</v>
      </c>
      <c r="L75" s="53" t="n">
        <f aca="false">IF(OR(K75="",J75=""),"",(J75-K75)*100)</f>
        <v>6.91957942597329</v>
      </c>
      <c r="M75" s="38"/>
    </row>
    <row r="76" customFormat="false" ht="15" hidden="false" customHeight="false" outlineLevel="0" collapsed="false">
      <c r="A76" s="38" t="s">
        <v>156</v>
      </c>
      <c r="B76" s="38" t="s">
        <v>158</v>
      </c>
      <c r="C76" s="38" t="s">
        <v>181</v>
      </c>
      <c r="D76" s="21" t="n">
        <v>647</v>
      </c>
      <c r="E76" s="21" t="n">
        <v>627</v>
      </c>
      <c r="F76" s="52" t="n">
        <f aca="false">IF(E76="","",D76-E76)</f>
        <v>20</v>
      </c>
      <c r="G76" s="21" t="n">
        <v>364</v>
      </c>
      <c r="H76" s="21" t="n">
        <v>389</v>
      </c>
      <c r="I76" s="52" t="n">
        <f aca="false">IF(H76="","",G76-H76)</f>
        <v>-25</v>
      </c>
      <c r="J76" s="39" t="n">
        <f aca="false">IF(OR(D76="",D76+G76=0),"",D76/(D76+G76))</f>
        <v>0.639960435212661</v>
      </c>
      <c r="K76" s="39" t="n">
        <f aca="false">IF(E76="","",E76/(E76+H76))</f>
        <v>0.617125984251969</v>
      </c>
      <c r="L76" s="53" t="n">
        <f aca="false">IF(OR(K76="",J76=""),"",(J76-K76)*100)</f>
        <v>2.28344509606923</v>
      </c>
      <c r="M76" s="38"/>
    </row>
    <row r="77" customFormat="false" ht="15" hidden="false" customHeight="false" outlineLevel="0" collapsed="false">
      <c r="A77" s="38" t="s">
        <v>156</v>
      </c>
      <c r="B77" s="38" t="s">
        <v>158</v>
      </c>
      <c r="C77" s="38" t="s">
        <v>182</v>
      </c>
      <c r="D77" s="21" t="n">
        <v>674</v>
      </c>
      <c r="E77" s="21" t="n">
        <v>645</v>
      </c>
      <c r="F77" s="52" t="n">
        <f aca="false">IF(E77="","",D77-E77)</f>
        <v>29</v>
      </c>
      <c r="G77" s="21" t="n">
        <v>382</v>
      </c>
      <c r="H77" s="21" t="n">
        <v>418</v>
      </c>
      <c r="I77" s="52" t="n">
        <f aca="false">IF(H77="","",G77-H77)</f>
        <v>-36</v>
      </c>
      <c r="J77" s="39" t="n">
        <f aca="false">IF(OR(D77="",D77+G77=0),"",D77/(D77+G77))</f>
        <v>0.638257575757576</v>
      </c>
      <c r="K77" s="39" t="n">
        <f aca="false">IF(E77="","",E77/(E77+H77))</f>
        <v>0.606773283160865</v>
      </c>
      <c r="L77" s="53" t="n">
        <f aca="false">IF(OR(K77="",J77=""),"",(J77-K77)*100)</f>
        <v>3.14842925967104</v>
      </c>
      <c r="M77" s="38"/>
    </row>
    <row r="78" customFormat="false" ht="15" hidden="false" customHeight="false" outlineLevel="0" collapsed="false">
      <c r="A78" s="38" t="s">
        <v>156</v>
      </c>
      <c r="B78" s="38" t="s">
        <v>158</v>
      </c>
      <c r="C78" s="38" t="s">
        <v>183</v>
      </c>
      <c r="D78" s="21" t="n">
        <v>471</v>
      </c>
      <c r="E78" s="21" t="n">
        <v>452</v>
      </c>
      <c r="F78" s="52" t="n">
        <f aca="false">IF(E78="","",D78-E78)</f>
        <v>19</v>
      </c>
      <c r="G78" s="21" t="n">
        <v>274</v>
      </c>
      <c r="H78" s="21" t="n">
        <v>341</v>
      </c>
      <c r="I78" s="52" t="n">
        <f aca="false">IF(H78="","",G78-H78)</f>
        <v>-67</v>
      </c>
      <c r="J78" s="39" t="n">
        <f aca="false">IF(OR(D78="",D78+G78=0),"",D78/(D78+G78))</f>
        <v>0.632214765100671</v>
      </c>
      <c r="K78" s="39" t="n">
        <f aca="false">IF(E78="","",E78/(E78+H78))</f>
        <v>0.569987389659521</v>
      </c>
      <c r="L78" s="53" t="n">
        <f aca="false">IF(OR(K78="",J78=""),"",(J78-K78)*100)</f>
        <v>6.22273754411503</v>
      </c>
      <c r="M78" s="38"/>
    </row>
    <row r="79" customFormat="false" ht="15" hidden="false" customHeight="false" outlineLevel="0" collapsed="false">
      <c r="A79" s="38" t="s">
        <v>156</v>
      </c>
      <c r="B79" s="38" t="s">
        <v>158</v>
      </c>
      <c r="C79" s="38" t="s">
        <v>184</v>
      </c>
      <c r="D79" s="21" t="n">
        <v>561</v>
      </c>
      <c r="E79" s="21" t="n">
        <v>541</v>
      </c>
      <c r="F79" s="52" t="n">
        <f aca="false">IF(E79="","",D79-E79)</f>
        <v>20</v>
      </c>
      <c r="G79" s="21" t="n">
        <v>317</v>
      </c>
      <c r="H79" s="21" t="n">
        <v>325</v>
      </c>
      <c r="I79" s="52" t="n">
        <f aca="false">IF(H79="","",G79-H79)</f>
        <v>-8</v>
      </c>
      <c r="J79" s="39" t="n">
        <f aca="false">IF(OR(D79="",D79+G79=0),"",D79/(D79+G79))</f>
        <v>0.638952164009112</v>
      </c>
      <c r="K79" s="39" t="n">
        <f aca="false">IF(E79="","",E79/(E79+H79))</f>
        <v>0.624711316397229</v>
      </c>
      <c r="L79" s="53" t="n">
        <f aca="false">IF(OR(K79="",J79=""),"",(J79-K79)*100)</f>
        <v>1.42408476118829</v>
      </c>
      <c r="M79" s="38"/>
    </row>
    <row r="80" customFormat="false" ht="15" hidden="false" customHeight="false" outlineLevel="0" collapsed="false">
      <c r="A80" s="38" t="s">
        <v>156</v>
      </c>
      <c r="B80" s="38" t="s">
        <v>158</v>
      </c>
      <c r="C80" s="38" t="s">
        <v>185</v>
      </c>
      <c r="D80" s="21" t="n">
        <v>804</v>
      </c>
      <c r="E80" s="21" t="n">
        <v>783</v>
      </c>
      <c r="F80" s="52" t="n">
        <f aca="false">IF(E80="","",D80-E80)</f>
        <v>21</v>
      </c>
      <c r="G80" s="21" t="n">
        <v>491</v>
      </c>
      <c r="H80" s="21" t="n">
        <v>562</v>
      </c>
      <c r="I80" s="52" t="n">
        <f aca="false">IF(H80="","",G80-H80)</f>
        <v>-71</v>
      </c>
      <c r="J80" s="39" t="n">
        <f aca="false">IF(OR(D80="",D80+G80=0),"",D80/(D80+G80))</f>
        <v>0.620849420849421</v>
      </c>
      <c r="K80" s="39" t="n">
        <f aca="false">IF(E80="","",E80/(E80+H80))</f>
        <v>0.582156133828996</v>
      </c>
      <c r="L80" s="53" t="n">
        <f aca="false">IF(OR(K80="",J80=""),"",(J80-K80)*100)</f>
        <v>3.86932870204245</v>
      </c>
      <c r="M80" s="38"/>
    </row>
    <row r="81" customFormat="false" ht="15" hidden="false" customHeight="false" outlineLevel="0" collapsed="false">
      <c r="A81" s="38" t="s">
        <v>156</v>
      </c>
      <c r="B81" s="38" t="s">
        <v>158</v>
      </c>
      <c r="C81" s="38" t="s">
        <v>186</v>
      </c>
      <c r="D81" s="21" t="n">
        <v>477</v>
      </c>
      <c r="E81" s="21" t="n">
        <v>454</v>
      </c>
      <c r="F81" s="52" t="n">
        <f aca="false">IF(E81="","",D81-E81)</f>
        <v>23</v>
      </c>
      <c r="G81" s="21" t="n">
        <v>207</v>
      </c>
      <c r="H81" s="21" t="n">
        <v>218</v>
      </c>
      <c r="I81" s="52" t="n">
        <f aca="false">IF(H81="","",G81-H81)</f>
        <v>-11</v>
      </c>
      <c r="J81" s="39" t="n">
        <f aca="false">IF(OR(D81="",D81+G81=0),"",D81/(D81+G81))</f>
        <v>0.697368421052632</v>
      </c>
      <c r="K81" s="39" t="n">
        <f aca="false">IF(E81="","",E81/(E81+H81))</f>
        <v>0.675595238095238</v>
      </c>
      <c r="L81" s="53" t="n">
        <f aca="false">IF(OR(K81="",J81=""),"",(J81-K81)*100)</f>
        <v>2.17731829573934</v>
      </c>
      <c r="M81" s="38"/>
    </row>
    <row r="82" customFormat="false" ht="15" hidden="false" customHeight="false" outlineLevel="0" collapsed="false">
      <c r="A82" s="38" t="s">
        <v>156</v>
      </c>
      <c r="B82" s="38" t="s">
        <v>158</v>
      </c>
      <c r="C82" s="38" t="s">
        <v>187</v>
      </c>
      <c r="D82" s="21" t="n">
        <v>494</v>
      </c>
      <c r="E82" s="21" t="n">
        <v>502</v>
      </c>
      <c r="F82" s="52" t="n">
        <f aca="false">IF(E82="","",D82-E82)</f>
        <v>-8</v>
      </c>
      <c r="G82" s="21" t="n">
        <v>274</v>
      </c>
      <c r="H82" s="21" t="n">
        <v>274</v>
      </c>
      <c r="I82" s="52" t="n">
        <f aca="false">IF(H82="","",G82-H82)</f>
        <v>0</v>
      </c>
      <c r="J82" s="39" t="n">
        <f aca="false">IF(OR(D82="",D82+G82=0),"",D82/(D82+G82))</f>
        <v>0.643229166666667</v>
      </c>
      <c r="K82" s="39" t="n">
        <f aca="false">IF(E82="","",E82/(E82+H82))</f>
        <v>0.646907216494845</v>
      </c>
      <c r="L82" s="53" t="n">
        <f aca="false">IF(OR(K82="",J82=""),"",(J82-K82)*100)</f>
        <v>-0.367804982817876</v>
      </c>
      <c r="M82" s="38"/>
    </row>
    <row r="83" customFormat="false" ht="15" hidden="false" customHeight="false" outlineLevel="0" collapsed="false">
      <c r="A83" s="38" t="s">
        <v>156</v>
      </c>
      <c r="B83" s="38" t="s">
        <v>158</v>
      </c>
      <c r="C83" s="38" t="s">
        <v>188</v>
      </c>
      <c r="D83" s="21" t="n">
        <v>496</v>
      </c>
      <c r="E83" s="21" t="n">
        <v>502</v>
      </c>
      <c r="F83" s="52" t="n">
        <f aca="false">IF(E83="","",D83-E83)</f>
        <v>-6</v>
      </c>
      <c r="G83" s="21" t="n">
        <v>295</v>
      </c>
      <c r="H83" s="21" t="n">
        <v>283</v>
      </c>
      <c r="I83" s="52" t="n">
        <f aca="false">IF(H83="","",G83-H83)</f>
        <v>12</v>
      </c>
      <c r="J83" s="39" t="n">
        <f aca="false">IF(OR(D83="",D83+G83=0),"",D83/(D83+G83))</f>
        <v>0.627054361567636</v>
      </c>
      <c r="K83" s="39" t="n">
        <f aca="false">IF(E83="","",E83/(E83+H83))</f>
        <v>0.639490445859873</v>
      </c>
      <c r="L83" s="53" t="n">
        <f aca="false">IF(OR(K83="",J83=""),"",(J83-K83)*100)</f>
        <v>-1.24360842922366</v>
      </c>
      <c r="M83" s="38"/>
    </row>
    <row r="84" customFormat="false" ht="15" hidden="false" customHeight="false" outlineLevel="0" collapsed="false">
      <c r="A84" s="38" t="s">
        <v>156</v>
      </c>
      <c r="B84" s="38" t="s">
        <v>158</v>
      </c>
      <c r="C84" s="38" t="s">
        <v>189</v>
      </c>
      <c r="D84" s="21" t="n">
        <v>351</v>
      </c>
      <c r="E84" s="21"/>
      <c r="F84" s="52" t="str">
        <f aca="false">IF(E84="","",D84-E84)</f>
        <v/>
      </c>
      <c r="G84" s="21" t="n">
        <v>241</v>
      </c>
      <c r="H84" s="21"/>
      <c r="I84" s="52" t="str">
        <f aca="false">IF(H84="","",G84-H84)</f>
        <v/>
      </c>
      <c r="J84" s="39" t="n">
        <f aca="false">IF(OR(D84="",D84+G84=0),"",D84/(D84+G84))</f>
        <v>0.592905405405405</v>
      </c>
      <c r="K84" s="39" t="str">
        <f aca="false">IF(E84="","",E84/(E84+H84))</f>
        <v/>
      </c>
      <c r="L84" s="53" t="str">
        <f aca="false">IF(OR(K84="",J84=""),"",(J84-K84)*100)</f>
        <v/>
      </c>
      <c r="M84" s="38" t="s">
        <v>650</v>
      </c>
    </row>
    <row r="85" customFormat="false" ht="15" hidden="false" customHeight="false" outlineLevel="0" collapsed="false">
      <c r="A85" s="38" t="s">
        <v>156</v>
      </c>
      <c r="B85" s="38" t="s">
        <v>158</v>
      </c>
      <c r="C85" s="38" t="s">
        <v>191</v>
      </c>
      <c r="D85" s="21" t="n">
        <v>949</v>
      </c>
      <c r="E85" s="21"/>
      <c r="F85" s="52" t="str">
        <f aca="false">IF(E85="","",D85-E85)</f>
        <v/>
      </c>
      <c r="G85" s="21" t="n">
        <v>659</v>
      </c>
      <c r="H85" s="21"/>
      <c r="I85" s="52" t="str">
        <f aca="false">IF(H85="","",G85-H85)</f>
        <v/>
      </c>
      <c r="J85" s="39" t="n">
        <f aca="false">IF(OR(D85="",D85+G85=0),"",D85/(D85+G85))</f>
        <v>0.590174129353234</v>
      </c>
      <c r="K85" s="39" t="str">
        <f aca="false">IF(E85="","",E85/(E85+H85))</f>
        <v/>
      </c>
      <c r="L85" s="53" t="str">
        <f aca="false">IF(OR(K85="",J85=""),"",(J85-K85)*100)</f>
        <v/>
      </c>
      <c r="M85" s="38" t="s">
        <v>650</v>
      </c>
    </row>
    <row r="86" customFormat="false" ht="15" hidden="false" customHeight="false" outlineLevel="0" collapsed="false">
      <c r="A86" s="38" t="s">
        <v>156</v>
      </c>
      <c r="B86" s="38" t="s">
        <v>158</v>
      </c>
      <c r="C86" s="38" t="s">
        <v>193</v>
      </c>
      <c r="D86" s="21" t="n">
        <v>516</v>
      </c>
      <c r="E86" s="21" t="n">
        <v>488</v>
      </c>
      <c r="F86" s="52" t="n">
        <f aca="false">IF(E86="","",D86-E86)</f>
        <v>28</v>
      </c>
      <c r="G86" s="21" t="n">
        <v>236</v>
      </c>
      <c r="H86" s="21" t="n">
        <v>252</v>
      </c>
      <c r="I86" s="52" t="n">
        <f aca="false">IF(H86="","",G86-H86)</f>
        <v>-16</v>
      </c>
      <c r="J86" s="39" t="n">
        <f aca="false">IF(OR(D86="",D86+G86=0),"",D86/(D86+G86))</f>
        <v>0.686170212765958</v>
      </c>
      <c r="K86" s="39" t="n">
        <f aca="false">IF(E86="","",E86/(E86+H86))</f>
        <v>0.65945945945946</v>
      </c>
      <c r="L86" s="53" t="n">
        <f aca="false">IF(OR(K86="",J86=""),"",(J86-K86)*100)</f>
        <v>2.6710753306498</v>
      </c>
      <c r="M86" s="38"/>
    </row>
    <row r="87" customFormat="false" ht="15" hidden="false" customHeight="false" outlineLevel="0" collapsed="false">
      <c r="A87" s="38" t="s">
        <v>156</v>
      </c>
      <c r="B87" s="38" t="s">
        <v>158</v>
      </c>
      <c r="C87" s="38" t="s">
        <v>194</v>
      </c>
      <c r="D87" s="21" t="n">
        <v>614</v>
      </c>
      <c r="E87" s="21" t="n">
        <v>601</v>
      </c>
      <c r="F87" s="52" t="n">
        <f aca="false">IF(E87="","",D87-E87)</f>
        <v>13</v>
      </c>
      <c r="G87" s="21" t="n">
        <v>375</v>
      </c>
      <c r="H87" s="21" t="n">
        <v>394</v>
      </c>
      <c r="I87" s="52" t="n">
        <f aca="false">IF(H87="","",G87-H87)</f>
        <v>-19</v>
      </c>
      <c r="J87" s="39" t="n">
        <f aca="false">IF(OR(D87="",D87+G87=0),"",D87/(D87+G87))</f>
        <v>0.620829120323559</v>
      </c>
      <c r="K87" s="39" t="n">
        <f aca="false">IF(E87="","",E87/(E87+H87))</f>
        <v>0.604020100502513</v>
      </c>
      <c r="L87" s="53" t="n">
        <f aca="false">IF(OR(K87="",J87=""),"",(J87-K87)*100)</f>
        <v>1.68090198210467</v>
      </c>
      <c r="M87" s="38"/>
    </row>
    <row r="88" customFormat="false" ht="15" hidden="false" customHeight="false" outlineLevel="0" collapsed="false">
      <c r="A88" s="38" t="s">
        <v>156</v>
      </c>
      <c r="B88" s="38" t="s">
        <v>158</v>
      </c>
      <c r="C88" s="38" t="s">
        <v>195</v>
      </c>
      <c r="D88" s="21" t="n">
        <v>18</v>
      </c>
      <c r="E88" s="21"/>
      <c r="F88" s="52" t="str">
        <f aca="false">IF(E88="","",D88-E88)</f>
        <v/>
      </c>
      <c r="G88" s="21" t="n">
        <v>14</v>
      </c>
      <c r="H88" s="21"/>
      <c r="I88" s="52" t="str">
        <f aca="false">IF(H88="","",G88-H88)</f>
        <v/>
      </c>
      <c r="J88" s="39" t="n">
        <f aca="false">IF(OR(D88="",D88+G88=0),"",D88/(D88+G88))</f>
        <v>0.5625</v>
      </c>
      <c r="K88" s="39" t="str">
        <f aca="false">IF(E88="","",E88/(E88+H88))</f>
        <v/>
      </c>
      <c r="L88" s="53" t="str">
        <f aca="false">IF(OR(K88="",J88=""),"",(J88-K88)*100)</f>
        <v/>
      </c>
      <c r="M88" s="38" t="s">
        <v>650</v>
      </c>
    </row>
    <row r="89" customFormat="false" ht="15" hidden="false" customHeight="false" outlineLevel="0" collapsed="false">
      <c r="A89" s="38" t="s">
        <v>156</v>
      </c>
      <c r="B89" s="38" t="s">
        <v>158</v>
      </c>
      <c r="C89" s="38" t="s">
        <v>196</v>
      </c>
      <c r="D89" s="21" t="n">
        <v>343</v>
      </c>
      <c r="E89" s="21" t="n">
        <v>330</v>
      </c>
      <c r="F89" s="52" t="n">
        <f aca="false">IF(E89="","",D89-E89)</f>
        <v>13</v>
      </c>
      <c r="G89" s="21" t="n">
        <v>240</v>
      </c>
      <c r="H89" s="21" t="n">
        <v>270</v>
      </c>
      <c r="I89" s="52" t="n">
        <f aca="false">IF(H89="","",G89-H89)</f>
        <v>-30</v>
      </c>
      <c r="J89" s="39" t="n">
        <f aca="false">IF(OR(D89="",D89+G89=0),"",D89/(D89+G89))</f>
        <v>0.588336192109777</v>
      </c>
      <c r="K89" s="39" t="n">
        <f aca="false">IF(E89="","",E89/(E89+H89))</f>
        <v>0.55</v>
      </c>
      <c r="L89" s="53" t="n">
        <f aca="false">IF(OR(K89="",J89=""),"",(J89-K89)*100)</f>
        <v>3.8336192109777</v>
      </c>
      <c r="M89" s="38"/>
    </row>
    <row r="90" customFormat="false" ht="15" hidden="false" customHeight="false" outlineLevel="0" collapsed="false">
      <c r="A90" s="38" t="s">
        <v>156</v>
      </c>
      <c r="B90" s="38" t="s">
        <v>158</v>
      </c>
      <c r="C90" s="38" t="s">
        <v>197</v>
      </c>
      <c r="D90" s="21" t="n">
        <v>682</v>
      </c>
      <c r="E90" s="21" t="n">
        <v>591</v>
      </c>
      <c r="F90" s="52" t="n">
        <f aca="false">IF(E90="","",D90-E90)</f>
        <v>91</v>
      </c>
      <c r="G90" s="21" t="n">
        <v>285</v>
      </c>
      <c r="H90" s="21" t="n">
        <v>333</v>
      </c>
      <c r="I90" s="52" t="n">
        <f aca="false">IF(H90="","",G90-H90)</f>
        <v>-48</v>
      </c>
      <c r="J90" s="39" t="n">
        <f aca="false">IF(OR(D90="",D90+G90=0),"",D90/(D90+G90))</f>
        <v>0.705274043433299</v>
      </c>
      <c r="K90" s="39" t="n">
        <f aca="false">IF(E90="","",E90/(E90+H90))</f>
        <v>0.63961038961039</v>
      </c>
      <c r="L90" s="53" t="n">
        <f aca="false">IF(OR(K90="",J90=""),"",(J90-K90)*100)</f>
        <v>6.56636538229093</v>
      </c>
      <c r="M90" s="38"/>
    </row>
    <row r="91" customFormat="false" ht="15" hidden="false" customHeight="false" outlineLevel="0" collapsed="false">
      <c r="A91" s="38" t="s">
        <v>156</v>
      </c>
      <c r="B91" s="38" t="s">
        <v>158</v>
      </c>
      <c r="C91" s="38" t="s">
        <v>198</v>
      </c>
      <c r="D91" s="21" t="n">
        <v>353</v>
      </c>
      <c r="E91" s="21" t="n">
        <v>347</v>
      </c>
      <c r="F91" s="52" t="n">
        <f aca="false">IF(E91="","",D91-E91)</f>
        <v>6</v>
      </c>
      <c r="G91" s="21" t="n">
        <v>241</v>
      </c>
      <c r="H91" s="21" t="n">
        <v>243</v>
      </c>
      <c r="I91" s="52" t="n">
        <f aca="false">IF(H91="","",G91-H91)</f>
        <v>-2</v>
      </c>
      <c r="J91" s="39" t="n">
        <f aca="false">IF(OR(D91="",D91+G91=0),"",D91/(D91+G91))</f>
        <v>0.594276094276094</v>
      </c>
      <c r="K91" s="39" t="n">
        <f aca="false">IF(E91="","",E91/(E91+H91))</f>
        <v>0.588135593220339</v>
      </c>
      <c r="L91" s="53" t="n">
        <f aca="false">IF(OR(K91="",J91=""),"",(J91-K91)*100)</f>
        <v>0.614050105575525</v>
      </c>
      <c r="M91" s="38"/>
    </row>
    <row r="92" customFormat="false" ht="15" hidden="false" customHeight="false" outlineLevel="0" collapsed="false">
      <c r="A92" s="38" t="s">
        <v>156</v>
      </c>
      <c r="B92" s="38" t="s">
        <v>158</v>
      </c>
      <c r="C92" s="38" t="s">
        <v>199</v>
      </c>
      <c r="D92" s="21" t="n">
        <v>532</v>
      </c>
      <c r="E92" s="21" t="n">
        <v>440</v>
      </c>
      <c r="F92" s="52" t="n">
        <f aca="false">IF(E92="","",D92-E92)</f>
        <v>92</v>
      </c>
      <c r="G92" s="21" t="n">
        <v>231</v>
      </c>
      <c r="H92" s="21" t="n">
        <v>259</v>
      </c>
      <c r="I92" s="52" t="n">
        <f aca="false">IF(H92="","",G92-H92)</f>
        <v>-28</v>
      </c>
      <c r="J92" s="39" t="n">
        <f aca="false">IF(OR(D92="",D92+G92=0),"",D92/(D92+G92))</f>
        <v>0.697247706422018</v>
      </c>
      <c r="K92" s="39" t="n">
        <f aca="false">IF(E92="","",E92/(E92+H92))</f>
        <v>0.629470672389127</v>
      </c>
      <c r="L92" s="53" t="n">
        <f aca="false">IF(OR(K92="",J92=""),"",(J92-K92)*100)</f>
        <v>6.7777034032891</v>
      </c>
      <c r="M92" s="38"/>
    </row>
    <row r="93" customFormat="false" ht="15" hidden="false" customHeight="false" outlineLevel="0" collapsed="false">
      <c r="A93" s="38" t="s">
        <v>156</v>
      </c>
      <c r="B93" s="38" t="s">
        <v>158</v>
      </c>
      <c r="C93" s="38" t="s">
        <v>200</v>
      </c>
      <c r="D93" s="21" t="n">
        <v>552</v>
      </c>
      <c r="E93" s="21" t="n">
        <v>553</v>
      </c>
      <c r="F93" s="52" t="n">
        <f aca="false">IF(E93="","",D93-E93)</f>
        <v>-1</v>
      </c>
      <c r="G93" s="21" t="n">
        <v>374</v>
      </c>
      <c r="H93" s="21" t="n">
        <v>367</v>
      </c>
      <c r="I93" s="52" t="n">
        <f aca="false">IF(H93="","",G93-H93)</f>
        <v>7</v>
      </c>
      <c r="J93" s="39" t="n">
        <f aca="false">IF(OR(D93="",D93+G93=0),"",D93/(D93+G93))</f>
        <v>0.596112311015119</v>
      </c>
      <c r="K93" s="39" t="n">
        <f aca="false">IF(E93="","",E93/(E93+H93))</f>
        <v>0.601086956521739</v>
      </c>
      <c r="L93" s="53" t="n">
        <f aca="false">IF(OR(K93="",J93=""),"",(J93-K93)*100)</f>
        <v>-0.497464550662041</v>
      </c>
      <c r="M93" s="38"/>
    </row>
    <row r="94" customFormat="false" ht="15" hidden="false" customHeight="false" outlineLevel="0" collapsed="false">
      <c r="A94" s="38" t="s">
        <v>156</v>
      </c>
      <c r="B94" s="38" t="s">
        <v>158</v>
      </c>
      <c r="C94" s="38" t="s">
        <v>201</v>
      </c>
      <c r="D94" s="21" t="n">
        <v>1</v>
      </c>
      <c r="E94" s="21"/>
      <c r="F94" s="52" t="str">
        <f aca="false">IF(E94="","",D94-E94)</f>
        <v/>
      </c>
      <c r="G94" s="21" t="n">
        <v>2</v>
      </c>
      <c r="H94" s="21"/>
      <c r="I94" s="52" t="str">
        <f aca="false">IF(H94="","",G94-H94)</f>
        <v/>
      </c>
      <c r="J94" s="39" t="n">
        <f aca="false">IF(OR(D94="",D94+G94=0),"",D94/(D94+G94))</f>
        <v>0.333333333333333</v>
      </c>
      <c r="K94" s="39" t="str">
        <f aca="false">IF(E94="","",E94/(E94+H94))</f>
        <v/>
      </c>
      <c r="L94" s="53" t="str">
        <f aca="false">IF(OR(K94="",J94=""),"",(J94-K94)*100)</f>
        <v/>
      </c>
      <c r="M94" s="38" t="s">
        <v>650</v>
      </c>
    </row>
    <row r="95" customFormat="false" ht="15" hidden="false" customHeight="false" outlineLevel="0" collapsed="false">
      <c r="A95" s="38" t="s">
        <v>156</v>
      </c>
      <c r="B95" s="38" t="s">
        <v>158</v>
      </c>
      <c r="C95" s="38" t="s">
        <v>202</v>
      </c>
      <c r="D95" s="21" t="n">
        <v>881</v>
      </c>
      <c r="E95" s="21" t="n">
        <v>821</v>
      </c>
      <c r="F95" s="52" t="n">
        <f aca="false">IF(E95="","",D95-E95)</f>
        <v>60</v>
      </c>
      <c r="G95" s="21" t="n">
        <v>495</v>
      </c>
      <c r="H95" s="21" t="n">
        <v>504</v>
      </c>
      <c r="I95" s="52" t="n">
        <f aca="false">IF(H95="","",G95-H95)</f>
        <v>-9</v>
      </c>
      <c r="J95" s="39" t="n">
        <f aca="false">IF(OR(D95="",D95+G95=0),"",D95/(D95+G95))</f>
        <v>0.640261627906977</v>
      </c>
      <c r="K95" s="39" t="n">
        <f aca="false">IF(E95="","",E95/(E95+H95))</f>
        <v>0.619622641509434</v>
      </c>
      <c r="L95" s="53" t="n">
        <f aca="false">IF(OR(K95="",J95=""),"",(J95-K95)*100)</f>
        <v>2.06389863975428</v>
      </c>
      <c r="M95" s="38"/>
    </row>
    <row r="96" customFormat="false" ht="15" hidden="false" customHeight="false" outlineLevel="0" collapsed="false">
      <c r="A96" s="38" t="s">
        <v>156</v>
      </c>
      <c r="B96" s="38" t="s">
        <v>158</v>
      </c>
      <c r="C96" s="38" t="s">
        <v>203</v>
      </c>
      <c r="D96" s="21" t="n">
        <v>516</v>
      </c>
      <c r="E96" s="21" t="n">
        <v>487</v>
      </c>
      <c r="F96" s="52" t="n">
        <f aca="false">IF(E96="","",D96-E96)</f>
        <v>29</v>
      </c>
      <c r="G96" s="21" t="n">
        <v>143</v>
      </c>
      <c r="H96" s="21" t="n">
        <v>191</v>
      </c>
      <c r="I96" s="52" t="n">
        <f aca="false">IF(H96="","",G96-H96)</f>
        <v>-48</v>
      </c>
      <c r="J96" s="39" t="n">
        <f aca="false">IF(OR(D96="",D96+G96=0),"",D96/(D96+G96))</f>
        <v>0.783004552352049</v>
      </c>
      <c r="K96" s="39" t="n">
        <f aca="false">IF(E96="","",E96/(E96+H96))</f>
        <v>0.718289085545723</v>
      </c>
      <c r="L96" s="53" t="n">
        <f aca="false">IF(OR(K96="",J96=""),"",(J96-K96)*100)</f>
        <v>6.47154668063259</v>
      </c>
      <c r="M96" s="38"/>
    </row>
    <row r="97" customFormat="false" ht="15" hidden="false" customHeight="false" outlineLevel="0" collapsed="false">
      <c r="A97" s="38" t="s">
        <v>156</v>
      </c>
      <c r="B97" s="38" t="s">
        <v>158</v>
      </c>
      <c r="C97" s="38" t="s">
        <v>204</v>
      </c>
      <c r="D97" s="21" t="n">
        <v>456</v>
      </c>
      <c r="E97" s="21" t="n">
        <v>418</v>
      </c>
      <c r="F97" s="52" t="n">
        <f aca="false">IF(E97="","",D97-E97)</f>
        <v>38</v>
      </c>
      <c r="G97" s="21" t="n">
        <v>140</v>
      </c>
      <c r="H97" s="21" t="n">
        <v>181</v>
      </c>
      <c r="I97" s="52" t="n">
        <f aca="false">IF(H97="","",G97-H97)</f>
        <v>-41</v>
      </c>
      <c r="J97" s="39" t="n">
        <f aca="false">IF(OR(D97="",D97+G97=0),"",D97/(D97+G97))</f>
        <v>0.76510067114094</v>
      </c>
      <c r="K97" s="39" t="n">
        <f aca="false">IF(E97="","",E97/(E97+H97))</f>
        <v>0.697829716193656</v>
      </c>
      <c r="L97" s="53" t="n">
        <f aca="false">IF(OR(K97="",J97=""),"",(J97-K97)*100)</f>
        <v>6.72709549472835</v>
      </c>
      <c r="M97" s="38"/>
    </row>
    <row r="98" customFormat="false" ht="15" hidden="false" customHeight="false" outlineLevel="0" collapsed="false">
      <c r="A98" s="38" t="s">
        <v>156</v>
      </c>
      <c r="B98" s="38" t="s">
        <v>158</v>
      </c>
      <c r="C98" s="38" t="s">
        <v>205</v>
      </c>
      <c r="D98" s="21" t="n">
        <v>539</v>
      </c>
      <c r="E98" s="21" t="n">
        <v>677</v>
      </c>
      <c r="F98" s="52" t="n">
        <f aca="false">IF(E98="","",D98-E98)</f>
        <v>-138</v>
      </c>
      <c r="G98" s="21" t="n">
        <v>156</v>
      </c>
      <c r="H98" s="21" t="n">
        <v>264</v>
      </c>
      <c r="I98" s="52" t="n">
        <f aca="false">IF(H98="","",G98-H98)</f>
        <v>-108</v>
      </c>
      <c r="J98" s="39" t="n">
        <f aca="false">IF(OR(D98="",D98+G98=0),"",D98/(D98+G98))</f>
        <v>0.775539568345324</v>
      </c>
      <c r="K98" s="39" t="n">
        <f aca="false">IF(E98="","",E98/(E98+H98))</f>
        <v>0.719447396386823</v>
      </c>
      <c r="L98" s="53" t="n">
        <f aca="false">IF(OR(K98="",J98=""),"",(J98-K98)*100)</f>
        <v>5.60921719585013</v>
      </c>
      <c r="M98" s="38"/>
    </row>
    <row r="99" customFormat="false" ht="15" hidden="false" customHeight="false" outlineLevel="0" collapsed="false">
      <c r="A99" s="38" t="s">
        <v>156</v>
      </c>
      <c r="B99" s="38" t="s">
        <v>158</v>
      </c>
      <c r="C99" s="38" t="s">
        <v>206</v>
      </c>
      <c r="D99" s="21" t="n">
        <v>310</v>
      </c>
      <c r="E99" s="21" t="n">
        <v>283</v>
      </c>
      <c r="F99" s="52" t="n">
        <f aca="false">IF(E99="","",D99-E99)</f>
        <v>27</v>
      </c>
      <c r="G99" s="21" t="n">
        <v>108</v>
      </c>
      <c r="H99" s="21" t="n">
        <v>138</v>
      </c>
      <c r="I99" s="52" t="n">
        <f aca="false">IF(H99="","",G99-H99)</f>
        <v>-30</v>
      </c>
      <c r="J99" s="39" t="n">
        <f aca="false">IF(OR(D99="",D99+G99=0),"",D99/(D99+G99))</f>
        <v>0.741626794258373</v>
      </c>
      <c r="K99" s="39" t="n">
        <f aca="false">IF(E99="","",E99/(E99+H99))</f>
        <v>0.672209026128266</v>
      </c>
      <c r="L99" s="53" t="n">
        <f aca="false">IF(OR(K99="",J99=""),"",(J99-K99)*100)</f>
        <v>6.94177681301071</v>
      </c>
      <c r="M99" s="38"/>
    </row>
    <row r="100" customFormat="false" ht="15" hidden="false" customHeight="false" outlineLevel="0" collapsed="false">
      <c r="A100" s="38" t="s">
        <v>156</v>
      </c>
      <c r="B100" s="38" t="s">
        <v>158</v>
      </c>
      <c r="C100" s="38" t="s">
        <v>207</v>
      </c>
      <c r="D100" s="21" t="n">
        <v>422</v>
      </c>
      <c r="E100" s="21" t="n">
        <v>447</v>
      </c>
      <c r="F100" s="52" t="n">
        <f aca="false">IF(E100="","",D100-E100)</f>
        <v>-25</v>
      </c>
      <c r="G100" s="21" t="n">
        <v>118</v>
      </c>
      <c r="H100" s="21" t="n">
        <v>152</v>
      </c>
      <c r="I100" s="52" t="n">
        <f aca="false">IF(H100="","",G100-H100)</f>
        <v>-34</v>
      </c>
      <c r="J100" s="39" t="n">
        <f aca="false">IF(OR(D100="",D100+G100=0),"",D100/(D100+G100))</f>
        <v>0.781481481481481</v>
      </c>
      <c r="K100" s="39" t="n">
        <f aca="false">IF(E100="","",E100/(E100+H100))</f>
        <v>0.746243739565943</v>
      </c>
      <c r="L100" s="53" t="n">
        <f aca="false">IF(OR(K100="",J100=""),"",(J100-K100)*100)</f>
        <v>3.52377419155382</v>
      </c>
      <c r="M100" s="38"/>
    </row>
    <row r="101" customFormat="false" ht="15" hidden="false" customHeight="false" outlineLevel="0" collapsed="false">
      <c r="A101" s="38" t="s">
        <v>156</v>
      </c>
      <c r="B101" s="38" t="s">
        <v>158</v>
      </c>
      <c r="C101" s="38" t="s">
        <v>208</v>
      </c>
      <c r="D101" s="21" t="n">
        <v>250</v>
      </c>
      <c r="E101" s="21" t="n">
        <v>179</v>
      </c>
      <c r="F101" s="52" t="n">
        <f aca="false">IF(E101="","",D101-E101)</f>
        <v>71</v>
      </c>
      <c r="G101" s="21" t="n">
        <v>80</v>
      </c>
      <c r="H101" s="21" t="n">
        <v>112</v>
      </c>
      <c r="I101" s="52" t="n">
        <f aca="false">IF(H101="","",G101-H101)</f>
        <v>-32</v>
      </c>
      <c r="J101" s="39" t="n">
        <f aca="false">IF(OR(D101="",D101+G101=0),"",D101/(D101+G101))</f>
        <v>0.757575757575758</v>
      </c>
      <c r="K101" s="39" t="n">
        <f aca="false">IF(E101="","",E101/(E101+H101))</f>
        <v>0.615120274914089</v>
      </c>
      <c r="L101" s="53" t="n">
        <f aca="false">IF(OR(K101="",J101=""),"",(J101-K101)*100)</f>
        <v>14.2455482661668</v>
      </c>
      <c r="M101" s="38"/>
    </row>
    <row r="102" customFormat="false" ht="15" hidden="false" customHeight="false" outlineLevel="0" collapsed="false">
      <c r="A102" s="38" t="s">
        <v>156</v>
      </c>
      <c r="B102" s="38" t="s">
        <v>158</v>
      </c>
      <c r="C102" s="38" t="s">
        <v>209</v>
      </c>
      <c r="D102" s="21" t="n">
        <v>395</v>
      </c>
      <c r="E102" s="21" t="n">
        <v>357</v>
      </c>
      <c r="F102" s="52" t="n">
        <f aca="false">IF(E102="","",D102-E102)</f>
        <v>38</v>
      </c>
      <c r="G102" s="21" t="n">
        <v>159</v>
      </c>
      <c r="H102" s="21" t="n">
        <v>225</v>
      </c>
      <c r="I102" s="52" t="n">
        <f aca="false">IF(H102="","",G102-H102)</f>
        <v>-66</v>
      </c>
      <c r="J102" s="39" t="n">
        <f aca="false">IF(OR(D102="",D102+G102=0),"",D102/(D102+G102))</f>
        <v>0.712996389891697</v>
      </c>
      <c r="K102" s="39" t="n">
        <f aca="false">IF(E102="","",E102/(E102+H102))</f>
        <v>0.61340206185567</v>
      </c>
      <c r="L102" s="53" t="n">
        <f aca="false">IF(OR(K102="",J102=""),"",(J102-K102)*100)</f>
        <v>9.95943280360266</v>
      </c>
      <c r="M102" s="38"/>
    </row>
    <row r="103" customFormat="false" ht="15" hidden="false" customHeight="false" outlineLevel="0" collapsed="false">
      <c r="A103" s="38" t="s">
        <v>156</v>
      </c>
      <c r="B103" s="38" t="s">
        <v>158</v>
      </c>
      <c r="C103" s="38" t="s">
        <v>210</v>
      </c>
      <c r="D103" s="21" t="n">
        <v>621</v>
      </c>
      <c r="E103" s="21" t="n">
        <v>520</v>
      </c>
      <c r="F103" s="52" t="n">
        <f aca="false">IF(E103="","",D103-E103)</f>
        <v>101</v>
      </c>
      <c r="G103" s="21" t="n">
        <v>191</v>
      </c>
      <c r="H103" s="21" t="n">
        <v>193</v>
      </c>
      <c r="I103" s="52" t="n">
        <f aca="false">IF(H103="","",G103-H103)</f>
        <v>-2</v>
      </c>
      <c r="J103" s="39" t="n">
        <f aca="false">IF(OR(D103="",D103+G103=0),"",D103/(D103+G103))</f>
        <v>0.764778325123153</v>
      </c>
      <c r="K103" s="39" t="n">
        <f aca="false">IF(E103="","",E103/(E103+H103))</f>
        <v>0.729312762973352</v>
      </c>
      <c r="L103" s="53" t="n">
        <f aca="false">IF(OR(K103="",J103=""),"",(J103-K103)*100)</f>
        <v>3.54655621498007</v>
      </c>
      <c r="M103" s="38"/>
    </row>
    <row r="104" customFormat="false" ht="15" hidden="false" customHeight="false" outlineLevel="0" collapsed="false">
      <c r="A104" s="38" t="s">
        <v>156</v>
      </c>
      <c r="B104" s="38" t="s">
        <v>158</v>
      </c>
      <c r="C104" s="38" t="s">
        <v>211</v>
      </c>
      <c r="D104" s="21" t="n">
        <v>236</v>
      </c>
      <c r="E104" s="21" t="n">
        <v>218</v>
      </c>
      <c r="F104" s="52" t="n">
        <f aca="false">IF(E104="","",D104-E104)</f>
        <v>18</v>
      </c>
      <c r="G104" s="21" t="n">
        <v>70</v>
      </c>
      <c r="H104" s="21" t="n">
        <v>86</v>
      </c>
      <c r="I104" s="52" t="n">
        <f aca="false">IF(H104="","",G104-H104)</f>
        <v>-16</v>
      </c>
      <c r="J104" s="39" t="n">
        <f aca="false">IF(OR(D104="",D104+G104=0),"",D104/(D104+G104))</f>
        <v>0.77124183006536</v>
      </c>
      <c r="K104" s="39" t="n">
        <f aca="false">IF(E104="","",E104/(E104+H104))</f>
        <v>0.717105263157895</v>
      </c>
      <c r="L104" s="53" t="n">
        <f aca="false">IF(OR(K104="",J104=""),"",(J104-K104)*100)</f>
        <v>5.41365669074648</v>
      </c>
      <c r="M104" s="38"/>
    </row>
    <row r="105" customFormat="false" ht="15" hidden="false" customHeight="false" outlineLevel="0" collapsed="false">
      <c r="A105" s="38" t="s">
        <v>156</v>
      </c>
      <c r="B105" s="38" t="s">
        <v>158</v>
      </c>
      <c r="C105" s="38" t="s">
        <v>212</v>
      </c>
      <c r="D105" s="21" t="n">
        <v>292</v>
      </c>
      <c r="E105" s="21" t="n">
        <v>262</v>
      </c>
      <c r="F105" s="52" t="n">
        <f aca="false">IF(E105="","",D105-E105)</f>
        <v>30</v>
      </c>
      <c r="G105" s="21" t="n">
        <v>83</v>
      </c>
      <c r="H105" s="21" t="n">
        <v>109</v>
      </c>
      <c r="I105" s="52" t="n">
        <f aca="false">IF(H105="","",G105-H105)</f>
        <v>-26</v>
      </c>
      <c r="J105" s="39" t="n">
        <f aca="false">IF(OR(D105="",D105+G105=0),"",D105/(D105+G105))</f>
        <v>0.778666666666667</v>
      </c>
      <c r="K105" s="39" t="n">
        <f aca="false">IF(E105="","",E105/(E105+H105))</f>
        <v>0.706199460916442</v>
      </c>
      <c r="L105" s="53" t="n">
        <f aca="false">IF(OR(K105="",J105=""),"",(J105-K105)*100)</f>
        <v>7.24672057502246</v>
      </c>
      <c r="M105" s="38"/>
    </row>
    <row r="106" customFormat="false" ht="15" hidden="false" customHeight="false" outlineLevel="0" collapsed="false">
      <c r="A106" s="38" t="s">
        <v>156</v>
      </c>
      <c r="B106" s="38" t="s">
        <v>158</v>
      </c>
      <c r="C106" s="38" t="s">
        <v>213</v>
      </c>
      <c r="D106" s="21" t="n">
        <v>480</v>
      </c>
      <c r="E106" s="21" t="n">
        <v>424</v>
      </c>
      <c r="F106" s="52" t="n">
        <f aca="false">IF(E106="","",D106-E106)</f>
        <v>56</v>
      </c>
      <c r="G106" s="21" t="n">
        <v>141</v>
      </c>
      <c r="H106" s="21" t="n">
        <v>151</v>
      </c>
      <c r="I106" s="52" t="n">
        <f aca="false">IF(H106="","",G106-H106)</f>
        <v>-10</v>
      </c>
      <c r="J106" s="39" t="n">
        <f aca="false">IF(OR(D106="",D106+G106=0),"",D106/(D106+G106))</f>
        <v>0.772946859903382</v>
      </c>
      <c r="K106" s="39" t="n">
        <f aca="false">IF(E106="","",E106/(E106+H106))</f>
        <v>0.737391304347826</v>
      </c>
      <c r="L106" s="53" t="n">
        <f aca="false">IF(OR(K106="",J106=""),"",(J106-K106)*100)</f>
        <v>3.55555555555556</v>
      </c>
      <c r="M106" s="38"/>
    </row>
    <row r="107" customFormat="false" ht="15" hidden="false" customHeight="false" outlineLevel="0" collapsed="false">
      <c r="A107" s="38" t="s">
        <v>156</v>
      </c>
      <c r="B107" s="38" t="s">
        <v>158</v>
      </c>
      <c r="C107" s="38" t="s">
        <v>214</v>
      </c>
      <c r="D107" s="21" t="n">
        <v>554</v>
      </c>
      <c r="E107" s="21" t="n">
        <v>565</v>
      </c>
      <c r="F107" s="52" t="n">
        <f aca="false">IF(E107="","",D107-E107)</f>
        <v>-11</v>
      </c>
      <c r="G107" s="21" t="n">
        <v>260</v>
      </c>
      <c r="H107" s="21" t="n">
        <v>277</v>
      </c>
      <c r="I107" s="52" t="n">
        <f aca="false">IF(H107="","",G107-H107)</f>
        <v>-17</v>
      </c>
      <c r="J107" s="39" t="n">
        <f aca="false">IF(OR(D107="",D107+G107=0),"",D107/(D107+G107))</f>
        <v>0.680589680589681</v>
      </c>
      <c r="K107" s="39" t="n">
        <f aca="false">IF(E107="","",E107/(E107+H107))</f>
        <v>0.671021377672209</v>
      </c>
      <c r="L107" s="53" t="n">
        <f aca="false">IF(OR(K107="",J107=""),"",(J107-K107)*100)</f>
        <v>0.956830291747157</v>
      </c>
      <c r="M107" s="38"/>
    </row>
    <row r="108" customFormat="false" ht="15" hidden="false" customHeight="false" outlineLevel="0" collapsed="false">
      <c r="A108" s="38" t="s">
        <v>156</v>
      </c>
      <c r="B108" s="38" t="s">
        <v>158</v>
      </c>
      <c r="C108" s="38" t="s">
        <v>215</v>
      </c>
      <c r="D108" s="21" t="n">
        <v>253</v>
      </c>
      <c r="E108" s="21" t="n">
        <v>260</v>
      </c>
      <c r="F108" s="52" t="n">
        <f aca="false">IF(E108="","",D108-E108)</f>
        <v>-7</v>
      </c>
      <c r="G108" s="21" t="n">
        <v>99</v>
      </c>
      <c r="H108" s="21" t="n">
        <v>121</v>
      </c>
      <c r="I108" s="52" t="n">
        <f aca="false">IF(H108="","",G108-H108)</f>
        <v>-22</v>
      </c>
      <c r="J108" s="39" t="n">
        <f aca="false">IF(OR(D108="",D108+G108=0),"",D108/(D108+G108))</f>
        <v>0.71875</v>
      </c>
      <c r="K108" s="39" t="n">
        <f aca="false">IF(E108="","",E108/(E108+H108))</f>
        <v>0.68241469816273</v>
      </c>
      <c r="L108" s="53" t="n">
        <f aca="false">IF(OR(K108="",J108=""),"",(J108-K108)*100)</f>
        <v>3.63353018372703</v>
      </c>
      <c r="M108" s="38"/>
    </row>
    <row r="109" customFormat="false" ht="15" hidden="false" customHeight="false" outlineLevel="0" collapsed="false">
      <c r="A109" s="38" t="s">
        <v>156</v>
      </c>
      <c r="B109" s="38" t="s">
        <v>158</v>
      </c>
      <c r="C109" s="38" t="s">
        <v>216</v>
      </c>
      <c r="D109" s="21" t="n">
        <v>377</v>
      </c>
      <c r="E109" s="21" t="n">
        <v>317</v>
      </c>
      <c r="F109" s="52" t="n">
        <f aca="false">IF(E109="","",D109-E109)</f>
        <v>60</v>
      </c>
      <c r="G109" s="21" t="n">
        <v>120</v>
      </c>
      <c r="H109" s="21" t="n">
        <v>152</v>
      </c>
      <c r="I109" s="52" t="n">
        <f aca="false">IF(H109="","",G109-H109)</f>
        <v>-32</v>
      </c>
      <c r="J109" s="39" t="n">
        <f aca="false">IF(OR(D109="",D109+G109=0),"",D109/(D109+G109))</f>
        <v>0.758551307847083</v>
      </c>
      <c r="K109" s="39" t="n">
        <f aca="false">IF(E109="","",E109/(E109+H109))</f>
        <v>0.67590618336887</v>
      </c>
      <c r="L109" s="53" t="n">
        <f aca="false">IF(OR(K109="",J109=""),"",(J109-K109)*100)</f>
        <v>8.26451244782125</v>
      </c>
      <c r="M109" s="38"/>
    </row>
    <row r="110" customFormat="false" ht="15" hidden="false" customHeight="false" outlineLevel="0" collapsed="false">
      <c r="A110" s="38" t="s">
        <v>156</v>
      </c>
      <c r="B110" s="38" t="s">
        <v>158</v>
      </c>
      <c r="C110" s="38" t="s">
        <v>217</v>
      </c>
      <c r="D110" s="21" t="n">
        <v>453</v>
      </c>
      <c r="E110" s="21" t="n">
        <v>424</v>
      </c>
      <c r="F110" s="52" t="n">
        <f aca="false">IF(E110="","",D110-E110)</f>
        <v>29</v>
      </c>
      <c r="G110" s="21" t="n">
        <v>257</v>
      </c>
      <c r="H110" s="21" t="n">
        <v>264</v>
      </c>
      <c r="I110" s="52" t="n">
        <f aca="false">IF(H110="","",G110-H110)</f>
        <v>-7</v>
      </c>
      <c r="J110" s="39" t="n">
        <f aca="false">IF(OR(D110="",D110+G110=0),"",D110/(D110+G110))</f>
        <v>0.638028169014085</v>
      </c>
      <c r="K110" s="39" t="n">
        <f aca="false">IF(E110="","",E110/(E110+H110))</f>
        <v>0.616279069767442</v>
      </c>
      <c r="L110" s="53" t="n">
        <f aca="false">IF(OR(K110="",J110=""),"",(J110-K110)*100)</f>
        <v>2.17490992466427</v>
      </c>
      <c r="M110" s="38"/>
    </row>
    <row r="111" customFormat="false" ht="15" hidden="false" customHeight="false" outlineLevel="0" collapsed="false">
      <c r="A111" s="38" t="s">
        <v>156</v>
      </c>
      <c r="B111" s="38" t="s">
        <v>158</v>
      </c>
      <c r="C111" s="38" t="s">
        <v>218</v>
      </c>
      <c r="D111" s="21" t="n">
        <v>469</v>
      </c>
      <c r="E111" s="21" t="n">
        <v>469</v>
      </c>
      <c r="F111" s="52" t="n">
        <f aca="false">IF(E111="","",D111-E111)</f>
        <v>0</v>
      </c>
      <c r="G111" s="21" t="n">
        <v>141</v>
      </c>
      <c r="H111" s="21" t="n">
        <v>215</v>
      </c>
      <c r="I111" s="52" t="n">
        <f aca="false">IF(H111="","",G111-H111)</f>
        <v>-74</v>
      </c>
      <c r="J111" s="39" t="n">
        <f aca="false">IF(OR(D111="",D111+G111=0),"",D111/(D111+G111))</f>
        <v>0.768852459016393</v>
      </c>
      <c r="K111" s="39" t="n">
        <f aca="false">IF(E111="","",E111/(E111+H111))</f>
        <v>0.685672514619883</v>
      </c>
      <c r="L111" s="53" t="n">
        <f aca="false">IF(OR(K111="",J111=""),"",(J111-K111)*100)</f>
        <v>8.31799443965105</v>
      </c>
      <c r="M111" s="38"/>
    </row>
    <row r="112" customFormat="false" ht="15" hidden="false" customHeight="false" outlineLevel="0" collapsed="false">
      <c r="A112" s="38" t="s">
        <v>156</v>
      </c>
      <c r="B112" s="38" t="s">
        <v>219</v>
      </c>
      <c r="C112" s="38" t="s">
        <v>220</v>
      </c>
      <c r="D112" s="21" t="n">
        <v>604</v>
      </c>
      <c r="E112" s="21" t="n">
        <v>598</v>
      </c>
      <c r="F112" s="52" t="n">
        <f aca="false">IF(E112="","",D112-E112)</f>
        <v>6</v>
      </c>
      <c r="G112" s="21" t="n">
        <v>221</v>
      </c>
      <c r="H112" s="21" t="n">
        <v>253</v>
      </c>
      <c r="I112" s="52" t="n">
        <f aca="false">IF(H112="","",G112-H112)</f>
        <v>-32</v>
      </c>
      <c r="J112" s="39" t="n">
        <f aca="false">IF(OR(D112="",D112+G112=0),"",D112/(D112+G112))</f>
        <v>0.732121212121212</v>
      </c>
      <c r="K112" s="39" t="n">
        <f aca="false">IF(E112="","",E112/(E112+H112))</f>
        <v>0.702702702702703</v>
      </c>
      <c r="L112" s="53" t="n">
        <f aca="false">IF(OR(K112="",J112=""),"",(J112-K112)*100)</f>
        <v>2.94185094185094</v>
      </c>
      <c r="M112" s="38"/>
    </row>
    <row r="113" customFormat="false" ht="15" hidden="false" customHeight="false" outlineLevel="0" collapsed="false">
      <c r="A113" s="38" t="s">
        <v>156</v>
      </c>
      <c r="B113" s="38" t="s">
        <v>219</v>
      </c>
      <c r="C113" s="38" t="s">
        <v>221</v>
      </c>
      <c r="D113" s="21" t="n">
        <v>439</v>
      </c>
      <c r="E113" s="21" t="n">
        <v>420</v>
      </c>
      <c r="F113" s="52" t="n">
        <f aca="false">IF(E113="","",D113-E113)</f>
        <v>19</v>
      </c>
      <c r="G113" s="21" t="n">
        <v>192</v>
      </c>
      <c r="H113" s="21" t="n">
        <v>214</v>
      </c>
      <c r="I113" s="52" t="n">
        <f aca="false">IF(H113="","",G113-H113)</f>
        <v>-22</v>
      </c>
      <c r="J113" s="39" t="n">
        <f aca="false">IF(OR(D113="",D113+G113=0),"",D113/(D113+G113))</f>
        <v>0.695721077654517</v>
      </c>
      <c r="K113" s="39" t="n">
        <f aca="false">IF(E113="","",E113/(E113+H113))</f>
        <v>0.662460567823344</v>
      </c>
      <c r="L113" s="53" t="n">
        <f aca="false">IF(OR(K113="",J113=""),"",(J113-K113)*100)</f>
        <v>3.32605098311728</v>
      </c>
      <c r="M113" s="38"/>
    </row>
    <row r="114" customFormat="false" ht="15" hidden="false" customHeight="false" outlineLevel="0" collapsed="false">
      <c r="A114" s="38" t="s">
        <v>156</v>
      </c>
      <c r="B114" s="38" t="s">
        <v>219</v>
      </c>
      <c r="C114" s="38" t="s">
        <v>222</v>
      </c>
      <c r="D114" s="21" t="n">
        <v>453</v>
      </c>
      <c r="E114" s="21" t="n">
        <v>438</v>
      </c>
      <c r="F114" s="52" t="n">
        <f aca="false">IF(E114="","",D114-E114)</f>
        <v>15</v>
      </c>
      <c r="G114" s="21" t="n">
        <v>160</v>
      </c>
      <c r="H114" s="21" t="n">
        <v>176</v>
      </c>
      <c r="I114" s="52" t="n">
        <f aca="false">IF(H114="","",G114-H114)</f>
        <v>-16</v>
      </c>
      <c r="J114" s="39" t="n">
        <f aca="false">IF(OR(D114="",D114+G114=0),"",D114/(D114+G114))</f>
        <v>0.738988580750408</v>
      </c>
      <c r="K114" s="39" t="n">
        <f aca="false">IF(E114="","",E114/(E114+H114))</f>
        <v>0.713355048859935</v>
      </c>
      <c r="L114" s="53" t="n">
        <f aca="false">IF(OR(K114="",J114=""),"",(J114-K114)*100)</f>
        <v>2.5633531890473</v>
      </c>
      <c r="M114" s="38"/>
    </row>
    <row r="115" customFormat="false" ht="15" hidden="false" customHeight="false" outlineLevel="0" collapsed="false">
      <c r="A115" s="38" t="s">
        <v>156</v>
      </c>
      <c r="B115" s="38" t="s">
        <v>219</v>
      </c>
      <c r="C115" s="38" t="s">
        <v>223</v>
      </c>
      <c r="D115" s="21" t="n">
        <v>486</v>
      </c>
      <c r="E115" s="21" t="n">
        <v>463</v>
      </c>
      <c r="F115" s="52" t="n">
        <f aca="false">IF(E115="","",D115-E115)</f>
        <v>23</v>
      </c>
      <c r="G115" s="21" t="n">
        <v>196</v>
      </c>
      <c r="H115" s="21" t="n">
        <v>219</v>
      </c>
      <c r="I115" s="52" t="n">
        <f aca="false">IF(H115="","",G115-H115)</f>
        <v>-23</v>
      </c>
      <c r="J115" s="39" t="n">
        <f aca="false">IF(OR(D115="",D115+G115=0),"",D115/(D115+G115))</f>
        <v>0.712609970674487</v>
      </c>
      <c r="K115" s="39" t="n">
        <f aca="false">IF(E115="","",E115/(E115+H115))</f>
        <v>0.678885630498534</v>
      </c>
      <c r="L115" s="53" t="n">
        <f aca="false">IF(OR(K115="",J115=""),"",(J115-K115)*100)</f>
        <v>3.37243401759532</v>
      </c>
      <c r="M115" s="38"/>
    </row>
    <row r="116" customFormat="false" ht="15" hidden="false" customHeight="false" outlineLevel="0" collapsed="false">
      <c r="A116" s="38" t="s">
        <v>156</v>
      </c>
      <c r="B116" s="38" t="s">
        <v>219</v>
      </c>
      <c r="C116" s="38" t="s">
        <v>224</v>
      </c>
      <c r="D116" s="21" t="n">
        <v>802</v>
      </c>
      <c r="E116" s="21" t="n">
        <v>782</v>
      </c>
      <c r="F116" s="52" t="n">
        <f aca="false">IF(E116="","",D116-E116)</f>
        <v>20</v>
      </c>
      <c r="G116" s="21" t="n">
        <v>428</v>
      </c>
      <c r="H116" s="21" t="n">
        <v>404</v>
      </c>
      <c r="I116" s="52" t="n">
        <f aca="false">IF(H116="","",G116-H116)</f>
        <v>24</v>
      </c>
      <c r="J116" s="39" t="n">
        <f aca="false">IF(OR(D116="",D116+G116=0),"",D116/(D116+G116))</f>
        <v>0.652032520325203</v>
      </c>
      <c r="K116" s="39" t="n">
        <f aca="false">IF(E116="","",E116/(E116+H116))</f>
        <v>0.659359190556492</v>
      </c>
      <c r="L116" s="53" t="n">
        <f aca="false">IF(OR(K116="",J116=""),"",(J116-K116)*100)</f>
        <v>-0.732667023128919</v>
      </c>
      <c r="M116" s="38"/>
    </row>
    <row r="117" customFormat="false" ht="15" hidden="false" customHeight="false" outlineLevel="0" collapsed="false">
      <c r="A117" s="38" t="s">
        <v>156</v>
      </c>
      <c r="B117" s="38" t="s">
        <v>219</v>
      </c>
      <c r="C117" s="38" t="s">
        <v>225</v>
      </c>
      <c r="D117" s="21" t="n">
        <v>514</v>
      </c>
      <c r="E117" s="21" t="n">
        <v>503</v>
      </c>
      <c r="F117" s="52" t="n">
        <f aca="false">IF(E117="","",D117-E117)</f>
        <v>11</v>
      </c>
      <c r="G117" s="21" t="n">
        <v>293</v>
      </c>
      <c r="H117" s="21" t="n">
        <v>318</v>
      </c>
      <c r="I117" s="52" t="n">
        <f aca="false">IF(H117="","",G117-H117)</f>
        <v>-25</v>
      </c>
      <c r="J117" s="39" t="n">
        <f aca="false">IF(OR(D117="",D117+G117=0),"",D117/(D117+G117))</f>
        <v>0.636926889714994</v>
      </c>
      <c r="K117" s="39" t="n">
        <f aca="false">IF(E117="","",E117/(E117+H117))</f>
        <v>0.612667478684531</v>
      </c>
      <c r="L117" s="53" t="n">
        <f aca="false">IF(OR(K117="",J117=""),"",(J117-K117)*100)</f>
        <v>2.42594110304627</v>
      </c>
      <c r="M117" s="38"/>
    </row>
    <row r="118" customFormat="false" ht="15" hidden="false" customHeight="false" outlineLevel="0" collapsed="false">
      <c r="A118" s="38" t="s">
        <v>156</v>
      </c>
      <c r="B118" s="38" t="s">
        <v>219</v>
      </c>
      <c r="C118" s="38" t="s">
        <v>226</v>
      </c>
      <c r="D118" s="21" t="n">
        <v>614</v>
      </c>
      <c r="E118" s="21" t="n">
        <v>597</v>
      </c>
      <c r="F118" s="52" t="n">
        <f aca="false">IF(E118="","",D118-E118)</f>
        <v>17</v>
      </c>
      <c r="G118" s="21" t="n">
        <v>418</v>
      </c>
      <c r="H118" s="21" t="n">
        <v>396</v>
      </c>
      <c r="I118" s="52" t="n">
        <f aca="false">IF(H118="","",G118-H118)</f>
        <v>22</v>
      </c>
      <c r="J118" s="39" t="n">
        <f aca="false">IF(OR(D118="",D118+G118=0),"",D118/(D118+G118))</f>
        <v>0.594961240310078</v>
      </c>
      <c r="K118" s="39" t="n">
        <f aca="false">IF(E118="","",E118/(E118+H118))</f>
        <v>0.601208459214502</v>
      </c>
      <c r="L118" s="53" t="n">
        <f aca="false">IF(OR(K118="",J118=""),"",(J118-K118)*100)</f>
        <v>-0.624721890442403</v>
      </c>
      <c r="M118" s="38"/>
    </row>
    <row r="119" customFormat="false" ht="15" hidden="false" customHeight="false" outlineLevel="0" collapsed="false">
      <c r="A119" s="38" t="s">
        <v>156</v>
      </c>
      <c r="B119" s="38" t="s">
        <v>219</v>
      </c>
      <c r="C119" s="38" t="s">
        <v>227</v>
      </c>
      <c r="D119" s="21" t="n">
        <v>673</v>
      </c>
      <c r="E119" s="21" t="n">
        <v>678</v>
      </c>
      <c r="F119" s="52" t="n">
        <f aca="false">IF(E119="","",D119-E119)</f>
        <v>-5</v>
      </c>
      <c r="G119" s="21" t="n">
        <v>426</v>
      </c>
      <c r="H119" s="21" t="n">
        <v>451</v>
      </c>
      <c r="I119" s="52" t="n">
        <f aca="false">IF(H119="","",G119-H119)</f>
        <v>-25</v>
      </c>
      <c r="J119" s="39" t="n">
        <f aca="false">IF(OR(D119="",D119+G119=0),"",D119/(D119+G119))</f>
        <v>0.612374886260237</v>
      </c>
      <c r="K119" s="39" t="n">
        <f aca="false">IF(E119="","",E119/(E119+H119))</f>
        <v>0.600531443755536</v>
      </c>
      <c r="L119" s="53" t="n">
        <f aca="false">IF(OR(K119="",J119=""),"",(J119-K119)*100)</f>
        <v>1.18434425047007</v>
      </c>
      <c r="M119" s="38"/>
    </row>
    <row r="120" customFormat="false" ht="15" hidden="false" customHeight="false" outlineLevel="0" collapsed="false">
      <c r="A120" s="38" t="s">
        <v>156</v>
      </c>
      <c r="B120" s="38" t="s">
        <v>219</v>
      </c>
      <c r="C120" s="38" t="s">
        <v>228</v>
      </c>
      <c r="D120" s="21" t="n">
        <v>523</v>
      </c>
      <c r="E120" s="21" t="n">
        <v>524</v>
      </c>
      <c r="F120" s="52" t="n">
        <f aca="false">IF(E120="","",D120-E120)</f>
        <v>-1</v>
      </c>
      <c r="G120" s="21" t="n">
        <v>325</v>
      </c>
      <c r="H120" s="21" t="n">
        <v>327</v>
      </c>
      <c r="I120" s="52" t="n">
        <f aca="false">IF(H120="","",G120-H120)</f>
        <v>-2</v>
      </c>
      <c r="J120" s="39" t="n">
        <f aca="false">IF(OR(D120="",D120+G120=0),"",D120/(D120+G120))</f>
        <v>0.616745283018868</v>
      </c>
      <c r="K120" s="39" t="n">
        <f aca="false">IF(E120="","",E120/(E120+H120))</f>
        <v>0.615746180963572</v>
      </c>
      <c r="L120" s="53" t="n">
        <f aca="false">IF(OR(K120="",J120=""),"",(J120-K120)*100)</f>
        <v>0.0999102055295631</v>
      </c>
      <c r="M120" s="38"/>
    </row>
    <row r="121" customFormat="false" ht="15" hidden="false" customHeight="false" outlineLevel="0" collapsed="false">
      <c r="A121" s="38" t="s">
        <v>156</v>
      </c>
      <c r="B121" s="38" t="s">
        <v>219</v>
      </c>
      <c r="C121" s="38" t="s">
        <v>229</v>
      </c>
      <c r="D121" s="21" t="n">
        <v>404</v>
      </c>
      <c r="E121" s="21" t="n">
        <v>437</v>
      </c>
      <c r="F121" s="52" t="n">
        <f aca="false">IF(E121="","",D121-E121)</f>
        <v>-33</v>
      </c>
      <c r="G121" s="21" t="n">
        <v>307</v>
      </c>
      <c r="H121" s="21" t="n">
        <v>344</v>
      </c>
      <c r="I121" s="52" t="n">
        <f aca="false">IF(H121="","",G121-H121)</f>
        <v>-37</v>
      </c>
      <c r="J121" s="39" t="n">
        <f aca="false">IF(OR(D121="",D121+G121=0),"",D121/(D121+G121))</f>
        <v>0.568213783403657</v>
      </c>
      <c r="K121" s="39" t="n">
        <f aca="false">IF(E121="","",E121/(E121+H121))</f>
        <v>0.559539052496799</v>
      </c>
      <c r="L121" s="53" t="n">
        <f aca="false">IF(OR(K121="",J121=""),"",(J121-K121)*100)</f>
        <v>0.867473090685778</v>
      </c>
      <c r="M121" s="38"/>
    </row>
    <row r="122" customFormat="false" ht="15" hidden="false" customHeight="false" outlineLevel="0" collapsed="false">
      <c r="A122" s="38" t="s">
        <v>156</v>
      </c>
      <c r="B122" s="38" t="s">
        <v>219</v>
      </c>
      <c r="C122" s="38" t="s">
        <v>230</v>
      </c>
      <c r="D122" s="21" t="n">
        <v>565</v>
      </c>
      <c r="E122" s="21" t="n">
        <v>581</v>
      </c>
      <c r="F122" s="52" t="n">
        <f aca="false">IF(E122="","",D122-E122)</f>
        <v>-16</v>
      </c>
      <c r="G122" s="21" t="n">
        <v>320</v>
      </c>
      <c r="H122" s="21" t="n">
        <v>342</v>
      </c>
      <c r="I122" s="52" t="n">
        <f aca="false">IF(H122="","",G122-H122)</f>
        <v>-22</v>
      </c>
      <c r="J122" s="39" t="n">
        <f aca="false">IF(OR(D122="",D122+G122=0),"",D122/(D122+G122))</f>
        <v>0.638418079096045</v>
      </c>
      <c r="K122" s="39" t="n">
        <f aca="false">IF(E122="","",E122/(E122+H122))</f>
        <v>0.629469122426869</v>
      </c>
      <c r="L122" s="53" t="n">
        <f aca="false">IF(OR(K122="",J122=""),"",(J122-K122)*100)</f>
        <v>0.894895666917628</v>
      </c>
      <c r="M122" s="38"/>
    </row>
    <row r="123" customFormat="false" ht="15" hidden="false" customHeight="false" outlineLevel="0" collapsed="false">
      <c r="A123" s="38" t="s">
        <v>156</v>
      </c>
      <c r="B123" s="38" t="s">
        <v>219</v>
      </c>
      <c r="C123" s="38" t="s">
        <v>231</v>
      </c>
      <c r="D123" s="21" t="n">
        <v>554</v>
      </c>
      <c r="E123" s="21" t="n">
        <v>591</v>
      </c>
      <c r="F123" s="52" t="n">
        <f aca="false">IF(E123="","",D123-E123)</f>
        <v>-37</v>
      </c>
      <c r="G123" s="21" t="n">
        <v>356</v>
      </c>
      <c r="H123" s="21" t="n">
        <v>390</v>
      </c>
      <c r="I123" s="52" t="n">
        <f aca="false">IF(H123="","",G123-H123)</f>
        <v>-34</v>
      </c>
      <c r="J123" s="39" t="n">
        <f aca="false">IF(OR(D123="",D123+G123=0),"",D123/(D123+G123))</f>
        <v>0.608791208791209</v>
      </c>
      <c r="K123" s="39" t="n">
        <f aca="false">IF(E123="","",E123/(E123+H123))</f>
        <v>0.602446483180428</v>
      </c>
      <c r="L123" s="53" t="n">
        <f aca="false">IF(OR(K123="",J123=""),"",(J123-K123)*100)</f>
        <v>0.634472561078059</v>
      </c>
      <c r="M123" s="38"/>
    </row>
    <row r="124" customFormat="false" ht="15" hidden="false" customHeight="false" outlineLevel="0" collapsed="false">
      <c r="A124" s="38" t="s">
        <v>156</v>
      </c>
      <c r="B124" s="38" t="s">
        <v>232</v>
      </c>
      <c r="C124" s="38" t="s">
        <v>233</v>
      </c>
      <c r="D124" s="21" t="n">
        <v>558</v>
      </c>
      <c r="E124" s="21" t="n">
        <v>557</v>
      </c>
      <c r="F124" s="52" t="n">
        <f aca="false">IF(E124="","",D124-E124)</f>
        <v>1</v>
      </c>
      <c r="G124" s="21" t="n">
        <v>413</v>
      </c>
      <c r="H124" s="21" t="n">
        <v>454</v>
      </c>
      <c r="I124" s="52" t="n">
        <f aca="false">IF(H124="","",G124-H124)</f>
        <v>-41</v>
      </c>
      <c r="J124" s="39" t="n">
        <f aca="false">IF(OR(D124="",D124+G124=0),"",D124/(D124+G124))</f>
        <v>0.574665293511844</v>
      </c>
      <c r="K124" s="39" t="n">
        <f aca="false">IF(E124="","",E124/(E124+H124))</f>
        <v>0.550939663699308</v>
      </c>
      <c r="L124" s="53" t="n">
        <f aca="false">IF(OR(K124="",J124=""),"",(J124-K124)*100)</f>
        <v>2.37256298125359</v>
      </c>
      <c r="M124" s="38"/>
    </row>
    <row r="125" customFormat="false" ht="15" hidden="false" customHeight="false" outlineLevel="0" collapsed="false">
      <c r="A125" s="38" t="s">
        <v>156</v>
      </c>
      <c r="B125" s="38" t="s">
        <v>232</v>
      </c>
      <c r="C125" s="38" t="s">
        <v>234</v>
      </c>
      <c r="D125" s="21" t="n">
        <v>528</v>
      </c>
      <c r="E125" s="21" t="n">
        <v>467</v>
      </c>
      <c r="F125" s="52" t="n">
        <f aca="false">IF(E125="","",D125-E125)</f>
        <v>61</v>
      </c>
      <c r="G125" s="21" t="n">
        <v>504</v>
      </c>
      <c r="H125" s="21" t="n">
        <v>513</v>
      </c>
      <c r="I125" s="52" t="n">
        <f aca="false">IF(H125="","",G125-H125)</f>
        <v>-9</v>
      </c>
      <c r="J125" s="39" t="n">
        <f aca="false">IF(OR(D125="",D125+G125=0),"",D125/(D125+G125))</f>
        <v>0.511627906976744</v>
      </c>
      <c r="K125" s="39" t="n">
        <f aca="false">IF(E125="","",E125/(E125+H125))</f>
        <v>0.476530612244898</v>
      </c>
      <c r="L125" s="53" t="n">
        <f aca="false">IF(OR(K125="",J125=""),"",(J125-K125)*100)</f>
        <v>3.50972947318463</v>
      </c>
      <c r="M125" s="38"/>
    </row>
    <row r="126" customFormat="false" ht="15" hidden="false" customHeight="false" outlineLevel="0" collapsed="false">
      <c r="A126" s="38" t="s">
        <v>156</v>
      </c>
      <c r="B126" s="38" t="s">
        <v>232</v>
      </c>
      <c r="C126" s="38" t="s">
        <v>235</v>
      </c>
      <c r="D126" s="21" t="n">
        <v>557</v>
      </c>
      <c r="E126" s="21" t="n">
        <v>536</v>
      </c>
      <c r="F126" s="52" t="n">
        <f aca="false">IF(E126="","",D126-E126)</f>
        <v>21</v>
      </c>
      <c r="G126" s="21" t="n">
        <v>520</v>
      </c>
      <c r="H126" s="21" t="n">
        <v>524</v>
      </c>
      <c r="I126" s="52" t="n">
        <f aca="false">IF(H126="","",G126-H126)</f>
        <v>-4</v>
      </c>
      <c r="J126" s="39" t="n">
        <f aca="false">IF(OR(D126="",D126+G126=0),"",D126/(D126+G126))</f>
        <v>0.517177344475395</v>
      </c>
      <c r="K126" s="39" t="n">
        <f aca="false">IF(E126="","",E126/(E126+H126))</f>
        <v>0.505660377358491</v>
      </c>
      <c r="L126" s="53" t="n">
        <f aca="false">IF(OR(K126="",J126=""),"",(J126-K126)*100)</f>
        <v>1.15169671169041</v>
      </c>
      <c r="M126" s="38"/>
    </row>
    <row r="127" customFormat="false" ht="15" hidden="false" customHeight="false" outlineLevel="0" collapsed="false">
      <c r="A127" s="38" t="s">
        <v>156</v>
      </c>
      <c r="B127" s="38" t="s">
        <v>236</v>
      </c>
      <c r="C127" s="38" t="s">
        <v>236</v>
      </c>
      <c r="D127" s="21" t="n">
        <v>761</v>
      </c>
      <c r="E127" s="21" t="n">
        <v>735</v>
      </c>
      <c r="F127" s="52" t="n">
        <f aca="false">IF(E127="","",D127-E127)</f>
        <v>26</v>
      </c>
      <c r="G127" s="21" t="n">
        <v>735</v>
      </c>
      <c r="H127" s="21" t="n">
        <v>804</v>
      </c>
      <c r="I127" s="52" t="n">
        <f aca="false">IF(H127="","",G127-H127)</f>
        <v>-69</v>
      </c>
      <c r="J127" s="39" t="n">
        <f aca="false">IF(OR(D127="",D127+G127=0),"",D127/(D127+G127))</f>
        <v>0.508689839572193</v>
      </c>
      <c r="K127" s="39" t="n">
        <f aca="false">IF(E127="","",E127/(E127+H127))</f>
        <v>0.477582846003899</v>
      </c>
      <c r="L127" s="53" t="n">
        <f aca="false">IF(OR(K127="",J127=""),"",(J127-K127)*100)</f>
        <v>3.11069935682939</v>
      </c>
      <c r="M127" s="38"/>
    </row>
    <row r="128" customFormat="false" ht="15" hidden="false" customHeight="false" outlineLevel="0" collapsed="false">
      <c r="A128" s="38" t="s">
        <v>156</v>
      </c>
      <c r="B128" s="38" t="s">
        <v>237</v>
      </c>
      <c r="C128" s="38" t="s">
        <v>238</v>
      </c>
      <c r="D128" s="21" t="n">
        <v>407</v>
      </c>
      <c r="E128" s="21" t="n">
        <v>372</v>
      </c>
      <c r="F128" s="52" t="n">
        <f aca="false">IF(E128="","",D128-E128)</f>
        <v>35</v>
      </c>
      <c r="G128" s="21" t="n">
        <v>379</v>
      </c>
      <c r="H128" s="21" t="n">
        <v>383</v>
      </c>
      <c r="I128" s="52" t="n">
        <f aca="false">IF(H128="","",G128-H128)</f>
        <v>-4</v>
      </c>
      <c r="J128" s="39" t="n">
        <f aca="false">IF(OR(D128="",D128+G128=0),"",D128/(D128+G128))</f>
        <v>0.517811704834606</v>
      </c>
      <c r="K128" s="39" t="n">
        <f aca="false">IF(E128="","",E128/(E128+H128))</f>
        <v>0.492715231788079</v>
      </c>
      <c r="L128" s="53" t="n">
        <f aca="false">IF(OR(K128="",J128=""),"",(J128-K128)*100)</f>
        <v>2.50964730465261</v>
      </c>
      <c r="M128" s="38"/>
    </row>
    <row r="129" customFormat="false" ht="15" hidden="false" customHeight="false" outlineLevel="0" collapsed="false">
      <c r="A129" s="38" t="s">
        <v>156</v>
      </c>
      <c r="B129" s="38" t="s">
        <v>237</v>
      </c>
      <c r="C129" s="38" t="s">
        <v>239</v>
      </c>
      <c r="D129" s="21" t="n">
        <v>514</v>
      </c>
      <c r="E129" s="21" t="n">
        <v>527</v>
      </c>
      <c r="F129" s="52" t="n">
        <f aca="false">IF(E129="","",D129-E129)</f>
        <v>-13</v>
      </c>
      <c r="G129" s="21" t="n">
        <v>450</v>
      </c>
      <c r="H129" s="21" t="n">
        <v>515</v>
      </c>
      <c r="I129" s="52" t="n">
        <f aca="false">IF(H129="","",G129-H129)</f>
        <v>-65</v>
      </c>
      <c r="J129" s="39" t="n">
        <f aca="false">IF(OR(D129="",D129+G129=0),"",D129/(D129+G129))</f>
        <v>0.533195020746888</v>
      </c>
      <c r="K129" s="39" t="n">
        <f aca="false">IF(E129="","",E129/(E129+H129))</f>
        <v>0.505758157389635</v>
      </c>
      <c r="L129" s="53" t="n">
        <f aca="false">IF(OR(K129="",J129=""),"",(J129-K129)*100)</f>
        <v>2.74368633572526</v>
      </c>
      <c r="M129" s="38"/>
    </row>
    <row r="130" customFormat="false" ht="15" hidden="false" customHeight="false" outlineLevel="0" collapsed="false">
      <c r="A130" s="38" t="s">
        <v>156</v>
      </c>
      <c r="B130" s="38" t="s">
        <v>240</v>
      </c>
      <c r="C130" s="38" t="s">
        <v>241</v>
      </c>
      <c r="D130" s="21" t="n">
        <v>574</v>
      </c>
      <c r="E130" s="21" t="n">
        <v>562</v>
      </c>
      <c r="F130" s="52" t="n">
        <f aca="false">IF(E130="","",D130-E130)</f>
        <v>12</v>
      </c>
      <c r="G130" s="21" t="n">
        <v>469</v>
      </c>
      <c r="H130" s="21" t="n">
        <v>497</v>
      </c>
      <c r="I130" s="52" t="n">
        <f aca="false">IF(H130="","",G130-H130)</f>
        <v>-28</v>
      </c>
      <c r="J130" s="39" t="n">
        <f aca="false">IF(OR(D130="",D130+G130=0),"",D130/(D130+G130))</f>
        <v>0.550335570469799</v>
      </c>
      <c r="K130" s="39" t="n">
        <f aca="false">IF(E130="","",E130/(E130+H130))</f>
        <v>0.530689329556185</v>
      </c>
      <c r="L130" s="53" t="n">
        <f aca="false">IF(OR(K130="",J130=""),"",(J130-K130)*100)</f>
        <v>1.96462409136136</v>
      </c>
      <c r="M130" s="38"/>
    </row>
    <row r="131" customFormat="false" ht="15" hidden="false" customHeight="false" outlineLevel="0" collapsed="false">
      <c r="A131" s="38" t="s">
        <v>156</v>
      </c>
      <c r="B131" s="38" t="s">
        <v>240</v>
      </c>
      <c r="C131" s="38" t="s">
        <v>242</v>
      </c>
      <c r="D131" s="21" t="n">
        <v>563</v>
      </c>
      <c r="E131" s="21" t="n">
        <v>566</v>
      </c>
      <c r="F131" s="52" t="n">
        <f aca="false">IF(E131="","",D131-E131)</f>
        <v>-3</v>
      </c>
      <c r="G131" s="21" t="n">
        <v>468</v>
      </c>
      <c r="H131" s="21" t="n">
        <v>509</v>
      </c>
      <c r="I131" s="52" t="n">
        <f aca="false">IF(H131="","",G131-H131)</f>
        <v>-41</v>
      </c>
      <c r="J131" s="39" t="n">
        <f aca="false">IF(OR(D131="",D131+G131=0),"",D131/(D131+G131))</f>
        <v>0.546071774975752</v>
      </c>
      <c r="K131" s="39" t="n">
        <f aca="false">IF(E131="","",E131/(E131+H131))</f>
        <v>0.526511627906977</v>
      </c>
      <c r="L131" s="53" t="n">
        <f aca="false">IF(OR(K131="",J131=""),"",(J131-K131)*100)</f>
        <v>1.9560147068775</v>
      </c>
      <c r="M131" s="38"/>
    </row>
    <row r="132" customFormat="false" ht="15" hidden="false" customHeight="false" outlineLevel="0" collapsed="false">
      <c r="A132" s="38" t="s">
        <v>156</v>
      </c>
      <c r="B132" s="38" t="s">
        <v>240</v>
      </c>
      <c r="C132" s="38" t="s">
        <v>243</v>
      </c>
      <c r="D132" s="21" t="n">
        <v>694</v>
      </c>
      <c r="E132" s="21" t="n">
        <v>826</v>
      </c>
      <c r="F132" s="52" t="n">
        <f aca="false">IF(E132="","",D132-E132)</f>
        <v>-132</v>
      </c>
      <c r="G132" s="21" t="n">
        <v>635</v>
      </c>
      <c r="H132" s="21" t="n">
        <v>801</v>
      </c>
      <c r="I132" s="52" t="n">
        <f aca="false">IF(H132="","",G132-H132)</f>
        <v>-166</v>
      </c>
      <c r="J132" s="39" t="n">
        <f aca="false">IF(OR(D132="",D132+G132=0),"",D132/(D132+G132))</f>
        <v>0.522197140707299</v>
      </c>
      <c r="K132" s="39" t="n">
        <f aca="false">IF(E132="","",E132/(E132+H132))</f>
        <v>0.507682851874616</v>
      </c>
      <c r="L132" s="53" t="n">
        <f aca="false">IF(OR(K132="",J132=""),"",(J132-K132)*100)</f>
        <v>1.45142888326829</v>
      </c>
      <c r="M132" s="38"/>
    </row>
    <row r="133" customFormat="false" ht="15" hidden="false" customHeight="false" outlineLevel="0" collapsed="false">
      <c r="A133" s="38" t="s">
        <v>156</v>
      </c>
      <c r="B133" s="38" t="s">
        <v>240</v>
      </c>
      <c r="C133" s="38" t="s">
        <v>244</v>
      </c>
      <c r="D133" s="21" t="n">
        <v>692</v>
      </c>
      <c r="E133" s="21" t="n">
        <v>686</v>
      </c>
      <c r="F133" s="52" t="n">
        <f aca="false">IF(E133="","",D133-E133)</f>
        <v>6</v>
      </c>
      <c r="G133" s="21" t="n">
        <v>537</v>
      </c>
      <c r="H133" s="21" t="n">
        <v>580</v>
      </c>
      <c r="I133" s="52" t="n">
        <f aca="false">IF(H133="","",G133-H133)</f>
        <v>-43</v>
      </c>
      <c r="J133" s="39" t="n">
        <f aca="false">IF(OR(D133="",D133+G133=0),"",D133/(D133+G133))</f>
        <v>0.563059397884459</v>
      </c>
      <c r="K133" s="39" t="n">
        <f aca="false">IF(E133="","",E133/(E133+H133))</f>
        <v>0.541864139020537</v>
      </c>
      <c r="L133" s="53" t="n">
        <f aca="false">IF(OR(K133="",J133=""),"",(J133-K133)*100)</f>
        <v>2.11952588639218</v>
      </c>
      <c r="M133" s="38"/>
    </row>
    <row r="134" customFormat="false" ht="15" hidden="false" customHeight="false" outlineLevel="0" collapsed="false">
      <c r="A134" s="38" t="s">
        <v>156</v>
      </c>
      <c r="B134" s="38" t="s">
        <v>240</v>
      </c>
      <c r="C134" s="38" t="s">
        <v>245</v>
      </c>
      <c r="D134" s="21" t="n">
        <v>342</v>
      </c>
      <c r="E134" s="21" t="n">
        <v>332</v>
      </c>
      <c r="F134" s="52" t="n">
        <f aca="false">IF(E134="","",D134-E134)</f>
        <v>10</v>
      </c>
      <c r="G134" s="21" t="n">
        <v>317</v>
      </c>
      <c r="H134" s="21" t="n">
        <v>340</v>
      </c>
      <c r="I134" s="52" t="n">
        <f aca="false">IF(H134="","",G134-H134)</f>
        <v>-23</v>
      </c>
      <c r="J134" s="39" t="n">
        <f aca="false">IF(OR(D134="",D134+G134=0),"",D134/(D134+G134))</f>
        <v>0.51896813353566</v>
      </c>
      <c r="K134" s="39" t="n">
        <f aca="false">IF(E134="","",E134/(E134+H134))</f>
        <v>0.494047619047619</v>
      </c>
      <c r="L134" s="53" t="n">
        <f aca="false">IF(OR(K134="",J134=""),"",(J134-K134)*100)</f>
        <v>2.4920514488041</v>
      </c>
      <c r="M134" s="38"/>
    </row>
    <row r="135" customFormat="false" ht="15" hidden="false" customHeight="false" outlineLevel="0" collapsed="false">
      <c r="A135" s="38" t="s">
        <v>156</v>
      </c>
      <c r="B135" s="38" t="s">
        <v>240</v>
      </c>
      <c r="C135" s="38" t="s">
        <v>246</v>
      </c>
      <c r="D135" s="21" t="n">
        <v>690</v>
      </c>
      <c r="E135" s="21" t="n">
        <v>691</v>
      </c>
      <c r="F135" s="52" t="n">
        <f aca="false">IF(E135="","",D135-E135)</f>
        <v>-1</v>
      </c>
      <c r="G135" s="21" t="n">
        <v>498</v>
      </c>
      <c r="H135" s="21" t="n">
        <v>509</v>
      </c>
      <c r="I135" s="52" t="n">
        <f aca="false">IF(H135="","",G135-H135)</f>
        <v>-11</v>
      </c>
      <c r="J135" s="39" t="n">
        <f aca="false">IF(OR(D135="",D135+G135=0),"",D135/(D135+G135))</f>
        <v>0.580808080808081</v>
      </c>
      <c r="K135" s="39" t="n">
        <f aca="false">IF(E135="","",E135/(E135+H135))</f>
        <v>0.575833333333333</v>
      </c>
      <c r="L135" s="53" t="n">
        <f aca="false">IF(OR(K135="",J135=""),"",(J135-K135)*100)</f>
        <v>0.497474747474747</v>
      </c>
      <c r="M135" s="38"/>
    </row>
    <row r="136" customFormat="false" ht="15" hidden="false" customHeight="false" outlineLevel="0" collapsed="false">
      <c r="A136" s="38" t="s">
        <v>156</v>
      </c>
      <c r="B136" s="38" t="s">
        <v>247</v>
      </c>
      <c r="C136" s="38" t="s">
        <v>248</v>
      </c>
      <c r="D136" s="21" t="n">
        <v>619</v>
      </c>
      <c r="E136" s="21" t="n">
        <v>579</v>
      </c>
      <c r="F136" s="52" t="n">
        <f aca="false">IF(E136="","",D136-E136)</f>
        <v>40</v>
      </c>
      <c r="G136" s="21" t="n">
        <v>259</v>
      </c>
      <c r="H136" s="21" t="n">
        <v>292</v>
      </c>
      <c r="I136" s="52" t="n">
        <f aca="false">IF(H136="","",G136-H136)</f>
        <v>-33</v>
      </c>
      <c r="J136" s="39" t="n">
        <f aca="false">IF(OR(D136="",D136+G136=0),"",D136/(D136+G136))</f>
        <v>0.70501138952164</v>
      </c>
      <c r="K136" s="39" t="n">
        <f aca="false">IF(E136="","",E136/(E136+H136))</f>
        <v>0.664753157290471</v>
      </c>
      <c r="L136" s="53" t="n">
        <f aca="false">IF(OR(K136="",J136=""),"",(J136-K136)*100)</f>
        <v>4.02582322311694</v>
      </c>
      <c r="M136" s="38"/>
    </row>
    <row r="137" customFormat="false" ht="15" hidden="false" customHeight="false" outlineLevel="0" collapsed="false">
      <c r="A137" s="38" t="s">
        <v>156</v>
      </c>
      <c r="B137" s="38" t="s">
        <v>247</v>
      </c>
      <c r="C137" s="38" t="s">
        <v>249</v>
      </c>
      <c r="D137" s="21" t="n">
        <v>439</v>
      </c>
      <c r="E137" s="21" t="n">
        <v>440</v>
      </c>
      <c r="F137" s="52" t="n">
        <f aca="false">IF(E137="","",D137-E137)</f>
        <v>-1</v>
      </c>
      <c r="G137" s="21" t="n">
        <v>238</v>
      </c>
      <c r="H137" s="21" t="n">
        <v>262</v>
      </c>
      <c r="I137" s="52" t="n">
        <f aca="false">IF(H137="","",G137-H137)</f>
        <v>-24</v>
      </c>
      <c r="J137" s="39" t="n">
        <f aca="false">IF(OR(D137="",D137+G137=0),"",D137/(D137+G137))</f>
        <v>0.648449039881832</v>
      </c>
      <c r="K137" s="39" t="n">
        <f aca="false">IF(E137="","",E137/(E137+H137))</f>
        <v>0.626780626780627</v>
      </c>
      <c r="L137" s="53" t="n">
        <f aca="false">IF(OR(K137="",J137=""),"",(J137-K137)*100)</f>
        <v>2.16684131012048</v>
      </c>
      <c r="M137" s="38"/>
    </row>
    <row r="138" customFormat="false" ht="15" hidden="false" customHeight="false" outlineLevel="0" collapsed="false">
      <c r="A138" s="38" t="s">
        <v>156</v>
      </c>
      <c r="B138" s="38" t="s">
        <v>247</v>
      </c>
      <c r="C138" s="38" t="s">
        <v>250</v>
      </c>
      <c r="D138" s="21" t="n">
        <v>454</v>
      </c>
      <c r="E138" s="21" t="n">
        <v>414</v>
      </c>
      <c r="F138" s="52" t="n">
        <f aca="false">IF(E138="","",D138-E138)</f>
        <v>40</v>
      </c>
      <c r="G138" s="21" t="n">
        <v>211</v>
      </c>
      <c r="H138" s="21" t="n">
        <v>239</v>
      </c>
      <c r="I138" s="52" t="n">
        <f aca="false">IF(H138="","",G138-H138)</f>
        <v>-28</v>
      </c>
      <c r="J138" s="39" t="n">
        <f aca="false">IF(OR(D138="",D138+G138=0),"",D138/(D138+G138))</f>
        <v>0.682706766917293</v>
      </c>
      <c r="K138" s="39" t="n">
        <f aca="false">IF(E138="","",E138/(E138+H138))</f>
        <v>0.633996937212864</v>
      </c>
      <c r="L138" s="53" t="n">
        <f aca="false">IF(OR(K138="",J138=""),"",(J138-K138)*100)</f>
        <v>4.87098297044296</v>
      </c>
      <c r="M138" s="38"/>
    </row>
    <row r="139" customFormat="false" ht="15" hidden="false" customHeight="false" outlineLevel="0" collapsed="false">
      <c r="A139" s="38" t="s">
        <v>156</v>
      </c>
      <c r="B139" s="38" t="s">
        <v>251</v>
      </c>
      <c r="C139" s="38" t="s">
        <v>251</v>
      </c>
      <c r="D139" s="21" t="n">
        <v>394</v>
      </c>
      <c r="E139" s="21" t="n">
        <v>379</v>
      </c>
      <c r="F139" s="52" t="n">
        <f aca="false">IF(E139="","",D139-E139)</f>
        <v>15</v>
      </c>
      <c r="G139" s="21" t="n">
        <v>317</v>
      </c>
      <c r="H139" s="21" t="n">
        <v>330</v>
      </c>
      <c r="I139" s="52" t="n">
        <f aca="false">IF(H139="","",G139-H139)</f>
        <v>-13</v>
      </c>
      <c r="J139" s="39" t="n">
        <f aca="false">IF(OR(D139="",D139+G139=0),"",D139/(D139+G139))</f>
        <v>0.554149085794655</v>
      </c>
      <c r="K139" s="39" t="n">
        <f aca="false">IF(E139="","",E139/(E139+H139))</f>
        <v>0.534555712270804</v>
      </c>
      <c r="L139" s="53" t="n">
        <f aca="false">IF(OR(K139="",J139=""),"",(J139-K139)*100)</f>
        <v>1.95933735238515</v>
      </c>
      <c r="M139" s="38"/>
    </row>
    <row r="140" customFormat="false" ht="15" hidden="false" customHeight="false" outlineLevel="0" collapsed="false">
      <c r="A140" s="38" t="s">
        <v>156</v>
      </c>
      <c r="B140" s="38" t="s">
        <v>252</v>
      </c>
      <c r="C140" s="38" t="s">
        <v>252</v>
      </c>
      <c r="D140" s="21" t="n">
        <v>658</v>
      </c>
      <c r="E140" s="21" t="n">
        <v>654</v>
      </c>
      <c r="F140" s="52" t="n">
        <f aca="false">IF(E140="","",D140-E140)</f>
        <v>4</v>
      </c>
      <c r="G140" s="21" t="n">
        <v>1286</v>
      </c>
      <c r="H140" s="21" t="n">
        <v>1439</v>
      </c>
      <c r="I140" s="52" t="n">
        <f aca="false">IF(H140="","",G140-H140)</f>
        <v>-153</v>
      </c>
      <c r="J140" s="39" t="n">
        <f aca="false">IF(OR(D140="",D140+G140=0),"",D140/(D140+G140))</f>
        <v>0.338477366255144</v>
      </c>
      <c r="K140" s="39" t="n">
        <f aca="false">IF(E140="","",E140/(E140+H140))</f>
        <v>0.312470138557095</v>
      </c>
      <c r="L140" s="53" t="n">
        <f aca="false">IF(OR(K140="",J140=""),"",(J140-K140)*100)</f>
        <v>2.60072276980489</v>
      </c>
      <c r="M140" s="38"/>
    </row>
    <row r="141" customFormat="false" ht="15" hidden="false" customHeight="false" outlineLevel="0" collapsed="false">
      <c r="A141" s="38" t="s">
        <v>156</v>
      </c>
      <c r="B141" s="38" t="s">
        <v>253</v>
      </c>
      <c r="C141" s="38" t="s">
        <v>254</v>
      </c>
      <c r="D141" s="21" t="n">
        <v>961</v>
      </c>
      <c r="E141" s="21" t="n">
        <v>928</v>
      </c>
      <c r="F141" s="52" t="n">
        <f aca="false">IF(E141="","",D141-E141)</f>
        <v>33</v>
      </c>
      <c r="G141" s="21" t="n">
        <v>925</v>
      </c>
      <c r="H141" s="21" t="n">
        <v>988</v>
      </c>
      <c r="I141" s="52" t="n">
        <f aca="false">IF(H141="","",G141-H141)</f>
        <v>-63</v>
      </c>
      <c r="J141" s="39" t="n">
        <f aca="false">IF(OR(D141="",D141+G141=0),"",D141/(D141+G141))</f>
        <v>0.509544008483563</v>
      </c>
      <c r="K141" s="39" t="n">
        <f aca="false">IF(E141="","",E141/(E141+H141))</f>
        <v>0.484342379958246</v>
      </c>
      <c r="L141" s="53" t="n">
        <f aca="false">IF(OR(K141="",J141=""),"",(J141-K141)*100)</f>
        <v>2.52016285253167</v>
      </c>
      <c r="M141" s="38"/>
    </row>
    <row r="142" customFormat="false" ht="15" hidden="false" customHeight="false" outlineLevel="0" collapsed="false">
      <c r="A142" s="38" t="s">
        <v>156</v>
      </c>
      <c r="B142" s="38" t="s">
        <v>253</v>
      </c>
      <c r="C142" s="38" t="s">
        <v>255</v>
      </c>
      <c r="D142" s="21" t="n">
        <v>1150</v>
      </c>
      <c r="E142" s="21" t="n">
        <v>1082</v>
      </c>
      <c r="F142" s="52" t="n">
        <f aca="false">IF(E142="","",D142-E142)</f>
        <v>68</v>
      </c>
      <c r="G142" s="21" t="n">
        <v>1058</v>
      </c>
      <c r="H142" s="21" t="n">
        <v>1101</v>
      </c>
      <c r="I142" s="52" t="n">
        <f aca="false">IF(H142="","",G142-H142)</f>
        <v>-43</v>
      </c>
      <c r="J142" s="39" t="n">
        <f aca="false">IF(OR(D142="",D142+G142=0),"",D142/(D142+G142))</f>
        <v>0.520833333333333</v>
      </c>
      <c r="K142" s="39" t="n">
        <f aca="false">IF(E142="","",E142/(E142+H142))</f>
        <v>0.495648190563445</v>
      </c>
      <c r="L142" s="53" t="n">
        <f aca="false">IF(OR(K142="",J142=""),"",(J142-K142)*100)</f>
        <v>2.51851427698886</v>
      </c>
      <c r="M142" s="38"/>
    </row>
    <row r="143" customFormat="false" ht="15" hidden="false" customHeight="false" outlineLevel="0" collapsed="false">
      <c r="A143" s="38" t="s">
        <v>156</v>
      </c>
      <c r="B143" s="38" t="s">
        <v>253</v>
      </c>
      <c r="C143" s="38" t="s">
        <v>256</v>
      </c>
      <c r="D143" s="21" t="n">
        <v>1907</v>
      </c>
      <c r="E143" s="21" t="n">
        <v>1799</v>
      </c>
      <c r="F143" s="52" t="n">
        <f aca="false">IF(E143="","",D143-E143)</f>
        <v>108</v>
      </c>
      <c r="G143" s="21" t="n">
        <v>1796</v>
      </c>
      <c r="H143" s="21" t="n">
        <v>1810</v>
      </c>
      <c r="I143" s="52" t="n">
        <f aca="false">IF(H143="","",G143-H143)</f>
        <v>-14</v>
      </c>
      <c r="J143" s="39" t="n">
        <f aca="false">IF(OR(D143="",D143+G143=0),"",D143/(D143+G143))</f>
        <v>0.514987847691061</v>
      </c>
      <c r="K143" s="39" t="n">
        <f aca="false">IF(E143="","",E143/(E143+H143))</f>
        <v>0.498476032141868</v>
      </c>
      <c r="L143" s="53" t="n">
        <f aca="false">IF(OR(K143="",J143=""),"",(J143-K143)*100)</f>
        <v>1.65118155491938</v>
      </c>
      <c r="M143" s="38"/>
    </row>
    <row r="144" customFormat="false" ht="15" hidden="false" customHeight="false" outlineLevel="0" collapsed="false">
      <c r="A144" s="38" t="s">
        <v>156</v>
      </c>
      <c r="B144" s="38" t="s">
        <v>253</v>
      </c>
      <c r="C144" s="38" t="s">
        <v>257</v>
      </c>
      <c r="D144" s="21" t="n">
        <v>927</v>
      </c>
      <c r="E144" s="21" t="n">
        <v>906</v>
      </c>
      <c r="F144" s="52" t="n">
        <f aca="false">IF(E144="","",D144-E144)</f>
        <v>21</v>
      </c>
      <c r="G144" s="21" t="n">
        <v>874</v>
      </c>
      <c r="H144" s="21" t="n">
        <v>980</v>
      </c>
      <c r="I144" s="52" t="n">
        <f aca="false">IF(H144="","",G144-H144)</f>
        <v>-106</v>
      </c>
      <c r="J144" s="39" t="n">
        <f aca="false">IF(OR(D144="",D144+G144=0),"",D144/(D144+G144))</f>
        <v>0.514714047751249</v>
      </c>
      <c r="K144" s="39" t="n">
        <f aca="false">IF(E144="","",E144/(E144+H144))</f>
        <v>0.480381760339343</v>
      </c>
      <c r="L144" s="53" t="n">
        <f aca="false">IF(OR(K144="",J144=""),"",(J144-K144)*100)</f>
        <v>3.43322874119068</v>
      </c>
      <c r="M144" s="38"/>
    </row>
    <row r="145" customFormat="false" ht="15" hidden="false" customHeight="false" outlineLevel="0" collapsed="false">
      <c r="A145" s="38" t="s">
        <v>156</v>
      </c>
      <c r="B145" s="38" t="s">
        <v>253</v>
      </c>
      <c r="C145" s="38" t="s">
        <v>258</v>
      </c>
      <c r="D145" s="21" t="n">
        <v>897</v>
      </c>
      <c r="E145" s="21" t="n">
        <v>852</v>
      </c>
      <c r="F145" s="52" t="n">
        <f aca="false">IF(E145="","",D145-E145)</f>
        <v>45</v>
      </c>
      <c r="G145" s="21" t="n">
        <v>846</v>
      </c>
      <c r="H145" s="21" t="n">
        <v>912</v>
      </c>
      <c r="I145" s="52" t="n">
        <f aca="false">IF(H145="","",G145-H145)</f>
        <v>-66</v>
      </c>
      <c r="J145" s="39" t="n">
        <f aca="false">IF(OR(D145="",D145+G145=0),"",D145/(D145+G145))</f>
        <v>0.514629948364888</v>
      </c>
      <c r="K145" s="39" t="n">
        <f aca="false">IF(E145="","",E145/(E145+H145))</f>
        <v>0.482993197278912</v>
      </c>
      <c r="L145" s="53" t="n">
        <f aca="false">IF(OR(K145="",J145=""),"",(J145-K145)*100)</f>
        <v>3.16367510859766</v>
      </c>
      <c r="M145" s="38"/>
    </row>
    <row r="146" customFormat="false" ht="15" hidden="false" customHeight="false" outlineLevel="0" collapsed="false">
      <c r="A146" s="38" t="s">
        <v>156</v>
      </c>
      <c r="B146" s="38" t="s">
        <v>253</v>
      </c>
      <c r="C146" s="38" t="s">
        <v>259</v>
      </c>
      <c r="D146" s="21" t="n">
        <v>714</v>
      </c>
      <c r="E146" s="21" t="n">
        <v>715</v>
      </c>
      <c r="F146" s="52" t="n">
        <f aca="false">IF(E146="","",D146-E146)</f>
        <v>-1</v>
      </c>
      <c r="G146" s="21" t="n">
        <v>654</v>
      </c>
      <c r="H146" s="21" t="n">
        <v>677</v>
      </c>
      <c r="I146" s="52" t="n">
        <f aca="false">IF(H146="","",G146-H146)</f>
        <v>-23</v>
      </c>
      <c r="J146" s="39" t="n">
        <f aca="false">IF(OR(D146="",D146+G146=0),"",D146/(D146+G146))</f>
        <v>0.521929824561404</v>
      </c>
      <c r="K146" s="39" t="n">
        <f aca="false">IF(E146="","",E146/(E146+H146))</f>
        <v>0.513649425287356</v>
      </c>
      <c r="L146" s="53" t="n">
        <f aca="false">IF(OR(K146="",J146=""),"",(J146-K146)*100)</f>
        <v>0.828039927404711</v>
      </c>
      <c r="M146" s="38"/>
    </row>
    <row r="147" customFormat="false" ht="15" hidden="false" customHeight="false" outlineLevel="0" collapsed="false">
      <c r="A147" s="38" t="s">
        <v>156</v>
      </c>
      <c r="B147" s="38" t="s">
        <v>253</v>
      </c>
      <c r="C147" s="38" t="s">
        <v>260</v>
      </c>
      <c r="D147" s="21" t="n">
        <v>1474</v>
      </c>
      <c r="E147" s="21" t="n">
        <v>1480</v>
      </c>
      <c r="F147" s="52" t="n">
        <f aca="false">IF(E147="","",D147-E147)</f>
        <v>-6</v>
      </c>
      <c r="G147" s="21" t="n">
        <v>1344</v>
      </c>
      <c r="H147" s="21" t="n">
        <v>1588</v>
      </c>
      <c r="I147" s="52" t="n">
        <f aca="false">IF(H147="","",G147-H147)</f>
        <v>-244</v>
      </c>
      <c r="J147" s="39" t="n">
        <f aca="false">IF(OR(D147="",D147+G147=0),"",D147/(D147+G147))</f>
        <v>0.523066004258339</v>
      </c>
      <c r="K147" s="39" t="n">
        <f aca="false">IF(E147="","",E147/(E147+H147))</f>
        <v>0.482398956975228</v>
      </c>
      <c r="L147" s="53" t="n">
        <f aca="false">IF(OR(K147="",J147=""),"",(J147-K147)*100)</f>
        <v>4.06670472831111</v>
      </c>
      <c r="M147" s="38"/>
    </row>
    <row r="148" customFormat="false" ht="15" hidden="false" customHeight="false" outlineLevel="0" collapsed="false">
      <c r="A148" s="38" t="s">
        <v>156</v>
      </c>
      <c r="B148" s="38" t="s">
        <v>253</v>
      </c>
      <c r="C148" s="38" t="s">
        <v>261</v>
      </c>
      <c r="D148" s="21" t="n">
        <v>921</v>
      </c>
      <c r="E148" s="21" t="n">
        <v>890</v>
      </c>
      <c r="F148" s="52" t="n">
        <f aca="false">IF(E148="","",D148-E148)</f>
        <v>31</v>
      </c>
      <c r="G148" s="21" t="n">
        <v>767</v>
      </c>
      <c r="H148" s="21" t="n">
        <v>789</v>
      </c>
      <c r="I148" s="52" t="n">
        <f aca="false">IF(H148="","",G148-H148)</f>
        <v>-22</v>
      </c>
      <c r="J148" s="39" t="n">
        <f aca="false">IF(OR(D148="",D148+G148=0),"",D148/(D148+G148))</f>
        <v>0.545616113744076</v>
      </c>
      <c r="K148" s="39" t="n">
        <f aca="false">IF(E148="","",E148/(E148+H148))</f>
        <v>0.530077427039905</v>
      </c>
      <c r="L148" s="53" t="n">
        <f aca="false">IF(OR(K148="",J148=""),"",(J148-K148)*100)</f>
        <v>1.55386867041711</v>
      </c>
      <c r="M148" s="38"/>
    </row>
    <row r="149" customFormat="false" ht="15" hidden="false" customHeight="false" outlineLevel="0" collapsed="false">
      <c r="A149" s="38" t="s">
        <v>156</v>
      </c>
      <c r="B149" s="38" t="s">
        <v>253</v>
      </c>
      <c r="C149" s="38" t="s">
        <v>262</v>
      </c>
      <c r="D149" s="21" t="n">
        <v>768</v>
      </c>
      <c r="E149" s="21" t="n">
        <v>817</v>
      </c>
      <c r="F149" s="52" t="n">
        <f aca="false">IF(E149="","",D149-E149)</f>
        <v>-49</v>
      </c>
      <c r="G149" s="21" t="n">
        <v>692</v>
      </c>
      <c r="H149" s="21" t="n">
        <v>798</v>
      </c>
      <c r="I149" s="52" t="n">
        <f aca="false">IF(H149="","",G149-H149)</f>
        <v>-106</v>
      </c>
      <c r="J149" s="39" t="n">
        <f aca="false">IF(OR(D149="",D149+G149=0),"",D149/(D149+G149))</f>
        <v>0.526027397260274</v>
      </c>
      <c r="K149" s="39" t="n">
        <f aca="false">IF(E149="","",E149/(E149+H149))</f>
        <v>0.505882352941176</v>
      </c>
      <c r="L149" s="53" t="n">
        <f aca="false">IF(OR(K149="",J149=""),"",(J149-K149)*100)</f>
        <v>2.01450443190975</v>
      </c>
      <c r="M149" s="38"/>
    </row>
    <row r="150" customFormat="false" ht="15" hidden="false" customHeight="false" outlineLevel="0" collapsed="false">
      <c r="A150" s="38" t="s">
        <v>156</v>
      </c>
      <c r="B150" s="38" t="s">
        <v>253</v>
      </c>
      <c r="C150" s="38" t="s">
        <v>263</v>
      </c>
      <c r="D150" s="21" t="n">
        <v>626</v>
      </c>
      <c r="E150" s="21" t="n">
        <v>552</v>
      </c>
      <c r="F150" s="52" t="n">
        <f aca="false">IF(E150="","",D150-E150)</f>
        <v>74</v>
      </c>
      <c r="G150" s="21" t="n">
        <v>539</v>
      </c>
      <c r="H150" s="21" t="n">
        <v>556</v>
      </c>
      <c r="I150" s="52" t="n">
        <f aca="false">IF(H150="","",G150-H150)</f>
        <v>-17</v>
      </c>
      <c r="J150" s="39" t="n">
        <f aca="false">IF(OR(D150="",D150+G150=0),"",D150/(D150+G150))</f>
        <v>0.537339055793991</v>
      </c>
      <c r="K150" s="39" t="n">
        <f aca="false">IF(E150="","",E150/(E150+H150))</f>
        <v>0.498194945848375</v>
      </c>
      <c r="L150" s="53" t="n">
        <f aca="false">IF(OR(K150="",J150=""),"",(J150-K150)*100)</f>
        <v>3.9144109945616</v>
      </c>
      <c r="M150" s="38"/>
    </row>
    <row r="151" customFormat="false" ht="15" hidden="false" customHeight="false" outlineLevel="0" collapsed="false">
      <c r="A151" s="38" t="s">
        <v>156</v>
      </c>
      <c r="B151" s="38" t="s">
        <v>264</v>
      </c>
      <c r="C151" s="38" t="s">
        <v>264</v>
      </c>
      <c r="D151" s="21" t="n">
        <v>983</v>
      </c>
      <c r="E151" s="21" t="n">
        <v>985</v>
      </c>
      <c r="F151" s="52" t="n">
        <f aca="false">IF(E151="","",D151-E151)</f>
        <v>-2</v>
      </c>
      <c r="G151" s="21" t="n">
        <v>1538</v>
      </c>
      <c r="H151" s="21" t="n">
        <v>1586</v>
      </c>
      <c r="I151" s="52" t="n">
        <f aca="false">IF(H151="","",G151-H151)</f>
        <v>-48</v>
      </c>
      <c r="J151" s="39" t="n">
        <f aca="false">IF(OR(D151="",D151+G151=0),"",D151/(D151+G151))</f>
        <v>0.38992463308211</v>
      </c>
      <c r="K151" s="39" t="n">
        <f aca="false">IF(E151="","",E151/(E151+H151))</f>
        <v>0.383119408790354</v>
      </c>
      <c r="L151" s="53" t="n">
        <f aca="false">IF(OR(K151="",J151=""),"",(J151-K151)*100)</f>
        <v>0.680522429175634</v>
      </c>
      <c r="M151" s="38"/>
    </row>
    <row r="152" customFormat="false" ht="15" hidden="false" customHeight="false" outlineLevel="0" collapsed="false">
      <c r="A152" s="38" t="s">
        <v>156</v>
      </c>
      <c r="B152" s="38" t="s">
        <v>265</v>
      </c>
      <c r="C152" s="38" t="s">
        <v>265</v>
      </c>
      <c r="D152" s="21" t="n">
        <v>559</v>
      </c>
      <c r="E152" s="21" t="n">
        <v>543</v>
      </c>
      <c r="F152" s="52" t="n">
        <f aca="false">IF(E152="","",D152-E152)</f>
        <v>16</v>
      </c>
      <c r="G152" s="21" t="n">
        <v>930</v>
      </c>
      <c r="H152" s="21" t="n">
        <v>990</v>
      </c>
      <c r="I152" s="52" t="n">
        <f aca="false">IF(H152="","",G152-H152)</f>
        <v>-60</v>
      </c>
      <c r="J152" s="39" t="n">
        <f aca="false">IF(OR(D152="",D152+G152=0),"",D152/(D152+G152))</f>
        <v>0.375419744795165</v>
      </c>
      <c r="K152" s="39" t="n">
        <f aca="false">IF(E152="","",E152/(E152+H152))</f>
        <v>0.354207436399217</v>
      </c>
      <c r="L152" s="53" t="n">
        <f aca="false">IF(OR(K152="",J152=""),"",(J152-K152)*100)</f>
        <v>2.12123083959473</v>
      </c>
      <c r="M152" s="38"/>
    </row>
    <row r="153" customFormat="false" ht="15" hidden="false" customHeight="false" outlineLevel="0" collapsed="false">
      <c r="A153" s="38" t="s">
        <v>156</v>
      </c>
      <c r="B153" s="38" t="s">
        <v>266</v>
      </c>
      <c r="C153" s="38" t="s">
        <v>267</v>
      </c>
      <c r="D153" s="21" t="n">
        <v>198</v>
      </c>
      <c r="E153" s="21" t="n">
        <v>181</v>
      </c>
      <c r="F153" s="52" t="n">
        <f aca="false">IF(E153="","",D153-E153)</f>
        <v>17</v>
      </c>
      <c r="G153" s="21" t="n">
        <v>435</v>
      </c>
      <c r="H153" s="21" t="n">
        <v>482</v>
      </c>
      <c r="I153" s="52" t="n">
        <f aca="false">IF(H153="","",G153-H153)</f>
        <v>-47</v>
      </c>
      <c r="J153" s="39" t="n">
        <f aca="false">IF(OR(D153="",D153+G153=0),"",D153/(D153+G153))</f>
        <v>0.312796208530806</v>
      </c>
      <c r="K153" s="39" t="n">
        <f aca="false">IF(E153="","",E153/(E153+H153))</f>
        <v>0.273001508295626</v>
      </c>
      <c r="L153" s="53" t="n">
        <f aca="false">IF(OR(K153="",J153=""),"",(J153-K153)*100)</f>
        <v>3.97947002351798</v>
      </c>
      <c r="M153" s="38"/>
    </row>
    <row r="154" customFormat="false" ht="15" hidden="false" customHeight="false" outlineLevel="0" collapsed="false">
      <c r="A154" s="38" t="s">
        <v>156</v>
      </c>
      <c r="B154" s="38" t="s">
        <v>266</v>
      </c>
      <c r="C154" s="38" t="s">
        <v>268</v>
      </c>
      <c r="D154" s="21" t="n">
        <v>152</v>
      </c>
      <c r="E154" s="21" t="n">
        <v>147</v>
      </c>
      <c r="F154" s="52" t="n">
        <f aca="false">IF(E154="","",D154-E154)</f>
        <v>5</v>
      </c>
      <c r="G154" s="21" t="n">
        <v>299</v>
      </c>
      <c r="H154" s="21" t="n">
        <v>314</v>
      </c>
      <c r="I154" s="52" t="n">
        <f aca="false">IF(H154="","",G154-H154)</f>
        <v>-15</v>
      </c>
      <c r="J154" s="39" t="n">
        <f aca="false">IF(OR(D154="",D154+G154=0),"",D154/(D154+G154))</f>
        <v>0.337028824833703</v>
      </c>
      <c r="K154" s="39" t="n">
        <f aca="false">IF(E154="","",E154/(E154+H154))</f>
        <v>0.318872017353579</v>
      </c>
      <c r="L154" s="53" t="n">
        <f aca="false">IF(OR(K154="",J154=""),"",(J154-K154)*100)</f>
        <v>1.81568074801237</v>
      </c>
      <c r="M154" s="38"/>
    </row>
    <row r="155" customFormat="false" ht="15" hidden="false" customHeight="false" outlineLevel="0" collapsed="false">
      <c r="A155" s="38" t="s">
        <v>156</v>
      </c>
      <c r="B155" s="38" t="s">
        <v>266</v>
      </c>
      <c r="C155" s="38" t="s">
        <v>269</v>
      </c>
      <c r="D155" s="21" t="n">
        <v>546</v>
      </c>
      <c r="E155" s="21" t="n">
        <v>522</v>
      </c>
      <c r="F155" s="52" t="n">
        <f aca="false">IF(E155="","",D155-E155)</f>
        <v>24</v>
      </c>
      <c r="G155" s="21" t="n">
        <v>1004</v>
      </c>
      <c r="H155" s="21" t="n">
        <v>1060</v>
      </c>
      <c r="I155" s="52" t="n">
        <f aca="false">IF(H155="","",G155-H155)</f>
        <v>-56</v>
      </c>
      <c r="J155" s="39" t="n">
        <f aca="false">IF(OR(D155="",D155+G155=0),"",D155/(D155+G155))</f>
        <v>0.352258064516129</v>
      </c>
      <c r="K155" s="39" t="n">
        <f aca="false">IF(E155="","",E155/(E155+H155))</f>
        <v>0.329962073324905</v>
      </c>
      <c r="L155" s="53" t="n">
        <f aca="false">IF(OR(K155="",J155=""),"",(J155-K155)*100)</f>
        <v>2.22959911912238</v>
      </c>
      <c r="M155" s="38"/>
    </row>
    <row r="156" customFormat="false" ht="15" hidden="false" customHeight="false" outlineLevel="0" collapsed="false">
      <c r="A156" s="38" t="s">
        <v>156</v>
      </c>
      <c r="B156" s="38" t="s">
        <v>270</v>
      </c>
      <c r="C156" s="38" t="s">
        <v>270</v>
      </c>
      <c r="D156" s="21" t="n">
        <v>1024</v>
      </c>
      <c r="E156" s="21" t="n">
        <v>980</v>
      </c>
      <c r="F156" s="52" t="n">
        <f aca="false">IF(E156="","",D156-E156)</f>
        <v>44</v>
      </c>
      <c r="G156" s="21" t="n">
        <v>840</v>
      </c>
      <c r="H156" s="21" t="n">
        <v>872</v>
      </c>
      <c r="I156" s="52" t="n">
        <f aca="false">IF(H156="","",G156-H156)</f>
        <v>-32</v>
      </c>
      <c r="J156" s="39" t="n">
        <f aca="false">IF(OR(D156="",D156+G156=0),"",D156/(D156+G156))</f>
        <v>0.549356223175966</v>
      </c>
      <c r="K156" s="39" t="n">
        <f aca="false">IF(E156="","",E156/(E156+H156))</f>
        <v>0.529157667386609</v>
      </c>
      <c r="L156" s="53" t="n">
        <f aca="false">IF(OR(K156="",J156=""),"",(J156-K156)*100)</f>
        <v>2.01985557893566</v>
      </c>
      <c r="M156" s="38"/>
    </row>
    <row r="157" customFormat="false" ht="15" hidden="false" customHeight="false" outlineLevel="0" collapsed="false">
      <c r="A157" s="38" t="s">
        <v>156</v>
      </c>
      <c r="B157" s="38" t="s">
        <v>271</v>
      </c>
      <c r="C157" s="38" t="s">
        <v>272</v>
      </c>
      <c r="D157" s="21" t="n">
        <v>1020</v>
      </c>
      <c r="E157" s="21" t="n">
        <v>1010</v>
      </c>
      <c r="F157" s="52" t="n">
        <f aca="false">IF(E157="","",D157-E157)</f>
        <v>10</v>
      </c>
      <c r="G157" s="21" t="n">
        <v>1286</v>
      </c>
      <c r="H157" s="21" t="n">
        <v>1334</v>
      </c>
      <c r="I157" s="52" t="n">
        <f aca="false">IF(H157="","",G157-H157)</f>
        <v>-48</v>
      </c>
      <c r="J157" s="39" t="n">
        <f aca="false">IF(OR(D157="",D157+G157=0),"",D157/(D157+G157))</f>
        <v>0.442324371205551</v>
      </c>
      <c r="K157" s="39" t="n">
        <f aca="false">IF(E157="","",E157/(E157+H157))</f>
        <v>0.430887372013652</v>
      </c>
      <c r="L157" s="53" t="n">
        <f aca="false">IF(OR(K157="",J157=""),"",(J157-K157)*100)</f>
        <v>1.14369991918988</v>
      </c>
      <c r="M157" s="38"/>
    </row>
    <row r="158" customFormat="false" ht="15" hidden="false" customHeight="false" outlineLevel="0" collapsed="false">
      <c r="A158" s="38" t="s">
        <v>156</v>
      </c>
      <c r="B158" s="38" t="s">
        <v>271</v>
      </c>
      <c r="C158" s="38" t="s">
        <v>273</v>
      </c>
      <c r="D158" s="21" t="n">
        <v>882</v>
      </c>
      <c r="E158" s="21" t="n">
        <v>860</v>
      </c>
      <c r="F158" s="52" t="n">
        <f aca="false">IF(E158="","",D158-E158)</f>
        <v>22</v>
      </c>
      <c r="G158" s="21" t="n">
        <v>1266</v>
      </c>
      <c r="H158" s="21" t="n">
        <v>1332</v>
      </c>
      <c r="I158" s="52" t="n">
        <f aca="false">IF(H158="","",G158-H158)</f>
        <v>-66</v>
      </c>
      <c r="J158" s="39" t="n">
        <f aca="false">IF(OR(D158="",D158+G158=0),"",D158/(D158+G158))</f>
        <v>0.410614525139665</v>
      </c>
      <c r="K158" s="39" t="n">
        <f aca="false">IF(E158="","",E158/(E158+H158))</f>
        <v>0.392335766423358</v>
      </c>
      <c r="L158" s="53" t="n">
        <f aca="false">IF(OR(K158="",J158=""),"",(J158-K158)*100)</f>
        <v>1.82787587163071</v>
      </c>
      <c r="M158" s="38"/>
    </row>
    <row r="159" customFormat="false" ht="15" hidden="false" customHeight="false" outlineLevel="0" collapsed="false">
      <c r="A159" s="38" t="s">
        <v>156</v>
      </c>
      <c r="B159" s="38" t="s">
        <v>271</v>
      </c>
      <c r="C159" s="38" t="s">
        <v>274</v>
      </c>
      <c r="D159" s="21" t="n">
        <v>488</v>
      </c>
      <c r="E159" s="21" t="n">
        <v>449</v>
      </c>
      <c r="F159" s="52" t="n">
        <f aca="false">IF(E159="","",D159-E159)</f>
        <v>39</v>
      </c>
      <c r="G159" s="21" t="n">
        <v>671</v>
      </c>
      <c r="H159" s="21" t="n">
        <v>705</v>
      </c>
      <c r="I159" s="52" t="n">
        <f aca="false">IF(H159="","",G159-H159)</f>
        <v>-34</v>
      </c>
      <c r="J159" s="39" t="n">
        <f aca="false">IF(OR(D159="",D159+G159=0),"",D159/(D159+G159))</f>
        <v>0.421052631578947</v>
      </c>
      <c r="K159" s="39" t="n">
        <f aca="false">IF(E159="","",E159/(E159+H159))</f>
        <v>0.389081455805893</v>
      </c>
      <c r="L159" s="53" t="n">
        <f aca="false">IF(OR(K159="",J159=""),"",(J159-K159)*100)</f>
        <v>3.19711757730548</v>
      </c>
      <c r="M159" s="38"/>
    </row>
    <row r="160" customFormat="false" ht="15" hidden="false" customHeight="false" outlineLevel="0" collapsed="false">
      <c r="A160" s="38" t="s">
        <v>156</v>
      </c>
      <c r="B160" s="38" t="s">
        <v>271</v>
      </c>
      <c r="C160" s="38" t="s">
        <v>275</v>
      </c>
      <c r="D160" s="21" t="n">
        <v>657</v>
      </c>
      <c r="E160" s="21" t="n">
        <v>654</v>
      </c>
      <c r="F160" s="52" t="n">
        <f aca="false">IF(E160="","",D160-E160)</f>
        <v>3</v>
      </c>
      <c r="G160" s="21" t="n">
        <v>906</v>
      </c>
      <c r="H160" s="21" t="n">
        <v>979</v>
      </c>
      <c r="I160" s="52" t="n">
        <f aca="false">IF(H160="","",G160-H160)</f>
        <v>-73</v>
      </c>
      <c r="J160" s="39" t="n">
        <f aca="false">IF(OR(D160="",D160+G160=0),"",D160/(D160+G160))</f>
        <v>0.420345489443378</v>
      </c>
      <c r="K160" s="39" t="n">
        <f aca="false">IF(E160="","",E160/(E160+H160))</f>
        <v>0.400489895897122</v>
      </c>
      <c r="L160" s="53" t="n">
        <f aca="false">IF(OR(K160="",J160=""),"",(J160-K160)*100)</f>
        <v>1.98555935462563</v>
      </c>
      <c r="M160" s="38"/>
    </row>
    <row r="161" customFormat="false" ht="15" hidden="false" customHeight="false" outlineLevel="0" collapsed="false">
      <c r="A161" s="38" t="s">
        <v>156</v>
      </c>
      <c r="B161" s="38" t="s">
        <v>271</v>
      </c>
      <c r="C161" s="38" t="s">
        <v>276</v>
      </c>
      <c r="D161" s="21" t="n">
        <v>585</v>
      </c>
      <c r="E161" s="21" t="n">
        <v>557</v>
      </c>
      <c r="F161" s="52" t="n">
        <f aca="false">IF(E161="","",D161-E161)</f>
        <v>28</v>
      </c>
      <c r="G161" s="21" t="n">
        <v>857</v>
      </c>
      <c r="H161" s="21" t="n">
        <v>890</v>
      </c>
      <c r="I161" s="52" t="n">
        <f aca="false">IF(H161="","",G161-H161)</f>
        <v>-33</v>
      </c>
      <c r="J161" s="39" t="n">
        <f aca="false">IF(OR(D161="",D161+G161=0),"",D161/(D161+G161))</f>
        <v>0.405686546463246</v>
      </c>
      <c r="K161" s="39" t="n">
        <f aca="false">IF(E161="","",E161/(E161+H161))</f>
        <v>0.384934346924672</v>
      </c>
      <c r="L161" s="53" t="n">
        <f aca="false">IF(OR(K161="",J161=""),"",(J161-K161)*100)</f>
        <v>2.07521995385738</v>
      </c>
      <c r="M161" s="38"/>
    </row>
    <row r="162" customFormat="false" ht="15" hidden="false" customHeight="false" outlineLevel="0" collapsed="false">
      <c r="A162" s="38" t="s">
        <v>156</v>
      </c>
      <c r="B162" s="38" t="s">
        <v>271</v>
      </c>
      <c r="C162" s="38" t="s">
        <v>277</v>
      </c>
      <c r="D162" s="21" t="n">
        <v>518</v>
      </c>
      <c r="E162" s="21" t="n">
        <v>492</v>
      </c>
      <c r="F162" s="52" t="n">
        <f aca="false">IF(E162="","",D162-E162)</f>
        <v>26</v>
      </c>
      <c r="G162" s="21" t="n">
        <v>636</v>
      </c>
      <c r="H162" s="21" t="n">
        <v>675</v>
      </c>
      <c r="I162" s="52" t="n">
        <f aca="false">IF(H162="","",G162-H162)</f>
        <v>-39</v>
      </c>
      <c r="J162" s="39" t="n">
        <f aca="false">IF(OR(D162="",D162+G162=0),"",D162/(D162+G162))</f>
        <v>0.448873483535529</v>
      </c>
      <c r="K162" s="39" t="n">
        <f aca="false">IF(E162="","",E162/(E162+H162))</f>
        <v>0.42159383033419</v>
      </c>
      <c r="L162" s="53" t="n">
        <f aca="false">IF(OR(K162="",J162=""),"",(J162-K162)*100)</f>
        <v>2.72796532013384</v>
      </c>
      <c r="M162" s="38"/>
    </row>
    <row r="163" customFormat="false" ht="15" hidden="false" customHeight="false" outlineLevel="0" collapsed="false">
      <c r="A163" s="38" t="s">
        <v>156</v>
      </c>
      <c r="B163" s="38" t="s">
        <v>278</v>
      </c>
      <c r="C163" s="38" t="s">
        <v>279</v>
      </c>
      <c r="D163" s="21" t="n">
        <v>707</v>
      </c>
      <c r="E163" s="21" t="n">
        <v>668</v>
      </c>
      <c r="F163" s="52" t="n">
        <f aca="false">IF(E163="","",D163-E163)</f>
        <v>39</v>
      </c>
      <c r="G163" s="21" t="n">
        <v>686</v>
      </c>
      <c r="H163" s="21" t="n">
        <v>693</v>
      </c>
      <c r="I163" s="52" t="n">
        <f aca="false">IF(H163="","",G163-H163)</f>
        <v>-7</v>
      </c>
      <c r="J163" s="39" t="n">
        <f aca="false">IF(OR(D163="",D163+G163=0),"",D163/(D163+G163))</f>
        <v>0.507537688442211</v>
      </c>
      <c r="K163" s="39" t="n">
        <f aca="false">IF(E163="","",E163/(E163+H163))</f>
        <v>0.490815576781778</v>
      </c>
      <c r="L163" s="53" t="n">
        <f aca="false">IF(OR(K163="",J163=""),"",(J163-K163)*100)</f>
        <v>1.67221116604329</v>
      </c>
      <c r="M163" s="38"/>
    </row>
    <row r="164" customFormat="false" ht="15" hidden="false" customHeight="false" outlineLevel="0" collapsed="false">
      <c r="A164" s="38" t="s">
        <v>156</v>
      </c>
      <c r="B164" s="38" t="s">
        <v>278</v>
      </c>
      <c r="C164" s="38" t="s">
        <v>280</v>
      </c>
      <c r="D164" s="21" t="n">
        <v>832</v>
      </c>
      <c r="E164" s="21" t="n">
        <v>803</v>
      </c>
      <c r="F164" s="52" t="n">
        <f aca="false">IF(E164="","",D164-E164)</f>
        <v>29</v>
      </c>
      <c r="G164" s="21" t="n">
        <v>756</v>
      </c>
      <c r="H164" s="21" t="n">
        <v>818</v>
      </c>
      <c r="I164" s="52" t="n">
        <f aca="false">IF(H164="","",G164-H164)</f>
        <v>-62</v>
      </c>
      <c r="J164" s="39" t="n">
        <f aca="false">IF(OR(D164="",D164+G164=0),"",D164/(D164+G164))</f>
        <v>0.523929471032746</v>
      </c>
      <c r="K164" s="39" t="n">
        <f aca="false">IF(E164="","",E164/(E164+H164))</f>
        <v>0.495373226403455</v>
      </c>
      <c r="L164" s="53" t="n">
        <f aca="false">IF(OR(K164="",J164=""),"",(J164-K164)*100)</f>
        <v>2.85562446292909</v>
      </c>
      <c r="M164" s="38"/>
    </row>
    <row r="165" customFormat="false" ht="15" hidden="false" customHeight="false" outlineLevel="0" collapsed="false">
      <c r="A165" s="38" t="s">
        <v>156</v>
      </c>
      <c r="B165" s="38" t="s">
        <v>278</v>
      </c>
      <c r="C165" s="38" t="s">
        <v>281</v>
      </c>
      <c r="D165" s="21" t="n">
        <v>385</v>
      </c>
      <c r="E165" s="21" t="n">
        <v>342</v>
      </c>
      <c r="F165" s="52" t="n">
        <f aca="false">IF(E165="","",D165-E165)</f>
        <v>43</v>
      </c>
      <c r="G165" s="21" t="n">
        <v>352</v>
      </c>
      <c r="H165" s="21" t="n">
        <v>358</v>
      </c>
      <c r="I165" s="52" t="n">
        <f aca="false">IF(H165="","",G165-H165)</f>
        <v>-6</v>
      </c>
      <c r="J165" s="39" t="n">
        <f aca="false">IF(OR(D165="",D165+G165=0),"",D165/(D165+G165))</f>
        <v>0.522388059701493</v>
      </c>
      <c r="K165" s="39" t="n">
        <f aca="false">IF(E165="","",E165/(E165+H165))</f>
        <v>0.488571428571429</v>
      </c>
      <c r="L165" s="53" t="n">
        <f aca="false">IF(OR(K165="",J165=""),"",(J165-K165)*100)</f>
        <v>3.38166311300639</v>
      </c>
      <c r="M165" s="38"/>
    </row>
    <row r="166" customFormat="false" ht="15" hidden="false" customHeight="false" outlineLevel="0" collapsed="false">
      <c r="A166" s="38" t="s">
        <v>156</v>
      </c>
      <c r="B166" s="38" t="s">
        <v>278</v>
      </c>
      <c r="C166" s="38" t="s">
        <v>282</v>
      </c>
      <c r="D166" s="21" t="n">
        <v>414</v>
      </c>
      <c r="E166" s="21" t="n">
        <v>411</v>
      </c>
      <c r="F166" s="52" t="n">
        <f aca="false">IF(E166="","",D166-E166)</f>
        <v>3</v>
      </c>
      <c r="G166" s="21" t="n">
        <v>380</v>
      </c>
      <c r="H166" s="21" t="n">
        <v>417</v>
      </c>
      <c r="I166" s="52" t="n">
        <f aca="false">IF(H166="","",G166-H166)</f>
        <v>-37</v>
      </c>
      <c r="J166" s="39" t="n">
        <f aca="false">IF(OR(D166="",D166+G166=0),"",D166/(D166+G166))</f>
        <v>0.521410579345088</v>
      </c>
      <c r="K166" s="39" t="n">
        <f aca="false">IF(E166="","",E166/(E166+H166))</f>
        <v>0.496376811594203</v>
      </c>
      <c r="L166" s="53" t="n">
        <f aca="false">IF(OR(K166="",J166=""),"",(J166-K166)*100)</f>
        <v>2.50337677508853</v>
      </c>
      <c r="M166" s="38"/>
    </row>
    <row r="167" customFormat="false" ht="15" hidden="false" customHeight="false" outlineLevel="0" collapsed="false">
      <c r="A167" s="38" t="s">
        <v>156</v>
      </c>
      <c r="B167" s="38" t="s">
        <v>278</v>
      </c>
      <c r="C167" s="38" t="s">
        <v>283</v>
      </c>
      <c r="D167" s="21" t="n">
        <v>542</v>
      </c>
      <c r="E167" s="21" t="n">
        <v>525</v>
      </c>
      <c r="F167" s="52" t="n">
        <f aca="false">IF(E167="","",D167-E167)</f>
        <v>17</v>
      </c>
      <c r="G167" s="21" t="n">
        <v>553</v>
      </c>
      <c r="H167" s="21" t="n">
        <v>552</v>
      </c>
      <c r="I167" s="52" t="n">
        <f aca="false">IF(H167="","",G167-H167)</f>
        <v>1</v>
      </c>
      <c r="J167" s="39" t="n">
        <f aca="false">IF(OR(D167="",D167+G167=0),"",D167/(D167+G167))</f>
        <v>0.494977168949772</v>
      </c>
      <c r="K167" s="39" t="n">
        <f aca="false">IF(E167="","",E167/(E167+H167))</f>
        <v>0.487465181058496</v>
      </c>
      <c r="L167" s="53" t="n">
        <f aca="false">IF(OR(K167="",J167=""),"",(J167-K167)*100)</f>
        <v>0.751198789127583</v>
      </c>
      <c r="M167" s="38"/>
    </row>
    <row r="168" customFormat="false" ht="15" hidden="false" customHeight="false" outlineLevel="0" collapsed="false">
      <c r="A168" s="38" t="s">
        <v>156</v>
      </c>
      <c r="B168" s="38" t="s">
        <v>278</v>
      </c>
      <c r="C168" s="38" t="s">
        <v>284</v>
      </c>
      <c r="D168" s="21" t="n">
        <v>331</v>
      </c>
      <c r="E168" s="21" t="n">
        <v>313</v>
      </c>
      <c r="F168" s="52" t="n">
        <f aca="false">IF(E168="","",D168-E168)</f>
        <v>18</v>
      </c>
      <c r="G168" s="21" t="n">
        <v>333</v>
      </c>
      <c r="H168" s="21" t="n">
        <v>360</v>
      </c>
      <c r="I168" s="52" t="n">
        <f aca="false">IF(H168="","",G168-H168)</f>
        <v>-27</v>
      </c>
      <c r="J168" s="39" t="n">
        <f aca="false">IF(OR(D168="",D168+G168=0),"",D168/(D168+G168))</f>
        <v>0.498493975903614</v>
      </c>
      <c r="K168" s="39" t="n">
        <f aca="false">IF(E168="","",E168/(E168+H168))</f>
        <v>0.465081723625557</v>
      </c>
      <c r="L168" s="53" t="n">
        <f aca="false">IF(OR(K168="",J168=""),"",(J168-K168)*100)</f>
        <v>3.34122522780572</v>
      </c>
      <c r="M168" s="38"/>
    </row>
    <row r="169" customFormat="false" ht="15" hidden="false" customHeight="false" outlineLevel="0" collapsed="false">
      <c r="A169" s="38" t="s">
        <v>156</v>
      </c>
      <c r="B169" s="38" t="s">
        <v>278</v>
      </c>
      <c r="C169" s="38" t="s">
        <v>285</v>
      </c>
      <c r="D169" s="21" t="n">
        <v>416</v>
      </c>
      <c r="E169" s="21" t="n">
        <v>415</v>
      </c>
      <c r="F169" s="52" t="n">
        <f aca="false">IF(E169="","",D169-E169)</f>
        <v>1</v>
      </c>
      <c r="G169" s="21" t="n">
        <v>360</v>
      </c>
      <c r="H169" s="21" t="n">
        <v>371</v>
      </c>
      <c r="I169" s="52" t="n">
        <f aca="false">IF(H169="","",G169-H169)</f>
        <v>-11</v>
      </c>
      <c r="J169" s="39" t="n">
        <f aca="false">IF(OR(D169="",D169+G169=0),"",D169/(D169+G169))</f>
        <v>0.536082474226804</v>
      </c>
      <c r="K169" s="39" t="n">
        <f aca="false">IF(E169="","",E169/(E169+H169))</f>
        <v>0.527989821882952</v>
      </c>
      <c r="L169" s="53" t="n">
        <f aca="false">IF(OR(K169="",J169=""),"",(J169-K169)*100)</f>
        <v>0.809265234385248</v>
      </c>
      <c r="M169" s="38"/>
    </row>
    <row r="170" customFormat="false" ht="15" hidden="false" customHeight="false" outlineLevel="0" collapsed="false">
      <c r="A170" s="38" t="s">
        <v>156</v>
      </c>
      <c r="B170" s="38" t="s">
        <v>278</v>
      </c>
      <c r="C170" s="38" t="s">
        <v>286</v>
      </c>
      <c r="D170" s="21" t="n">
        <v>589</v>
      </c>
      <c r="E170" s="21" t="n">
        <v>533</v>
      </c>
      <c r="F170" s="52" t="n">
        <f aca="false">IF(E170="","",D170-E170)</f>
        <v>56</v>
      </c>
      <c r="G170" s="21" t="n">
        <v>546</v>
      </c>
      <c r="H170" s="21" t="n">
        <v>535</v>
      </c>
      <c r="I170" s="52" t="n">
        <f aca="false">IF(H170="","",G170-H170)</f>
        <v>11</v>
      </c>
      <c r="J170" s="39" t="n">
        <f aca="false">IF(OR(D170="",D170+G170=0),"",D170/(D170+G170))</f>
        <v>0.518942731277533</v>
      </c>
      <c r="K170" s="39" t="n">
        <f aca="false">IF(E170="","",E170/(E170+H170))</f>
        <v>0.499063670411985</v>
      </c>
      <c r="L170" s="53" t="n">
        <f aca="false">IF(OR(K170="",J170=""),"",(J170-K170)*100)</f>
        <v>1.9879060865548</v>
      </c>
      <c r="M170" s="38"/>
    </row>
    <row r="171" customFormat="false" ht="15" hidden="false" customHeight="false" outlineLevel="0" collapsed="false">
      <c r="A171" s="38" t="s">
        <v>156</v>
      </c>
      <c r="B171" s="38" t="s">
        <v>287</v>
      </c>
      <c r="C171" s="38" t="s">
        <v>288</v>
      </c>
      <c r="D171" s="21" t="n">
        <v>257</v>
      </c>
      <c r="E171" s="21" t="n">
        <v>242</v>
      </c>
      <c r="F171" s="52" t="n">
        <f aca="false">IF(E171="","",D171-E171)</f>
        <v>15</v>
      </c>
      <c r="G171" s="21" t="n">
        <v>296</v>
      </c>
      <c r="H171" s="21" t="n">
        <v>337</v>
      </c>
      <c r="I171" s="52" t="n">
        <f aca="false">IF(H171="","",G171-H171)</f>
        <v>-41</v>
      </c>
      <c r="J171" s="39" t="n">
        <f aca="false">IF(OR(D171="",D171+G171=0),"",D171/(D171+G171))</f>
        <v>0.464737793851718</v>
      </c>
      <c r="K171" s="39" t="n">
        <f aca="false">IF(E171="","",E171/(E171+H171))</f>
        <v>0.417962003454231</v>
      </c>
      <c r="L171" s="53" t="n">
        <f aca="false">IF(OR(K171="",J171=""),"",(J171-K171)*100)</f>
        <v>4.67757903974865</v>
      </c>
      <c r="M171" s="38"/>
    </row>
    <row r="172" customFormat="false" ht="15" hidden="false" customHeight="false" outlineLevel="0" collapsed="false">
      <c r="A172" s="38" t="s">
        <v>156</v>
      </c>
      <c r="B172" s="38" t="s">
        <v>287</v>
      </c>
      <c r="C172" s="38" t="s">
        <v>289</v>
      </c>
      <c r="D172" s="21" t="n">
        <v>205</v>
      </c>
      <c r="E172" s="21" t="n">
        <v>187</v>
      </c>
      <c r="F172" s="52" t="n">
        <f aca="false">IF(E172="","",D172-E172)</f>
        <v>18</v>
      </c>
      <c r="G172" s="21" t="n">
        <v>263</v>
      </c>
      <c r="H172" s="21" t="n">
        <v>292</v>
      </c>
      <c r="I172" s="52" t="n">
        <f aca="false">IF(H172="","",G172-H172)</f>
        <v>-29</v>
      </c>
      <c r="J172" s="39" t="n">
        <f aca="false">IF(OR(D172="",D172+G172=0),"",D172/(D172+G172))</f>
        <v>0.438034188034188</v>
      </c>
      <c r="K172" s="39" t="n">
        <f aca="false">IF(E172="","",E172/(E172+H172))</f>
        <v>0.390396659707724</v>
      </c>
      <c r="L172" s="53" t="n">
        <f aca="false">IF(OR(K172="",J172=""),"",(J172-K172)*100)</f>
        <v>4.76375283264636</v>
      </c>
      <c r="M172" s="38"/>
    </row>
    <row r="173" customFormat="false" ht="15" hidden="false" customHeight="false" outlineLevel="0" collapsed="false">
      <c r="A173" s="38" t="s">
        <v>156</v>
      </c>
      <c r="B173" s="38" t="s">
        <v>287</v>
      </c>
      <c r="C173" s="38" t="s">
        <v>290</v>
      </c>
      <c r="D173" s="21" t="n">
        <v>388</v>
      </c>
      <c r="E173" s="21" t="n">
        <v>371</v>
      </c>
      <c r="F173" s="52" t="n">
        <f aca="false">IF(E173="","",D173-E173)</f>
        <v>17</v>
      </c>
      <c r="G173" s="21" t="n">
        <v>489</v>
      </c>
      <c r="H173" s="21" t="n">
        <v>527</v>
      </c>
      <c r="I173" s="52" t="n">
        <f aca="false">IF(H173="","",G173-H173)</f>
        <v>-38</v>
      </c>
      <c r="J173" s="39" t="n">
        <f aca="false">IF(OR(D173="",D173+G173=0),"",D173/(D173+G173))</f>
        <v>0.442417331812999</v>
      </c>
      <c r="K173" s="39" t="n">
        <f aca="false">IF(E173="","",E173/(E173+H173))</f>
        <v>0.413140311804009</v>
      </c>
      <c r="L173" s="53" t="n">
        <f aca="false">IF(OR(K173="",J173=""),"",(J173-K173)*100)</f>
        <v>2.927702000899</v>
      </c>
      <c r="M173" s="38"/>
    </row>
    <row r="174" customFormat="false" ht="15" hidden="false" customHeight="false" outlineLevel="0" collapsed="false">
      <c r="A174" s="38" t="s">
        <v>156</v>
      </c>
      <c r="B174" s="38" t="s">
        <v>291</v>
      </c>
      <c r="C174" s="38" t="s">
        <v>292</v>
      </c>
      <c r="D174" s="21" t="n">
        <v>958</v>
      </c>
      <c r="E174" s="21" t="n">
        <v>912</v>
      </c>
      <c r="F174" s="52" t="n">
        <f aca="false">IF(E174="","",D174-E174)</f>
        <v>46</v>
      </c>
      <c r="G174" s="21" t="n">
        <v>885</v>
      </c>
      <c r="H174" s="21" t="n">
        <v>964</v>
      </c>
      <c r="I174" s="52" t="n">
        <f aca="false">IF(H174="","",G174-H174)</f>
        <v>-79</v>
      </c>
      <c r="J174" s="39" t="n">
        <f aca="false">IF(OR(D174="",D174+G174=0),"",D174/(D174+G174))</f>
        <v>0.519804666304938</v>
      </c>
      <c r="K174" s="39" t="n">
        <f aca="false">IF(E174="","",E174/(E174+H174))</f>
        <v>0.486140724946695</v>
      </c>
      <c r="L174" s="53" t="n">
        <f aca="false">IF(OR(K174="",J174=""),"",(J174-K174)*100)</f>
        <v>3.36639413582425</v>
      </c>
      <c r="M174" s="38"/>
    </row>
    <row r="175" customFormat="false" ht="15" hidden="false" customHeight="false" outlineLevel="0" collapsed="false">
      <c r="A175" s="38" t="s">
        <v>156</v>
      </c>
      <c r="B175" s="38" t="s">
        <v>291</v>
      </c>
      <c r="C175" s="38" t="s">
        <v>293</v>
      </c>
      <c r="D175" s="21" t="n">
        <v>462</v>
      </c>
      <c r="E175" s="21" t="n">
        <v>449</v>
      </c>
      <c r="F175" s="52" t="n">
        <f aca="false">IF(E175="","",D175-E175)</f>
        <v>13</v>
      </c>
      <c r="G175" s="21" t="n">
        <v>439</v>
      </c>
      <c r="H175" s="21" t="n">
        <v>448</v>
      </c>
      <c r="I175" s="52" t="n">
        <f aca="false">IF(H175="","",G175-H175)</f>
        <v>-9</v>
      </c>
      <c r="J175" s="39" t="n">
        <f aca="false">IF(OR(D175="",D175+G175=0),"",D175/(D175+G175))</f>
        <v>0.51276359600444</v>
      </c>
      <c r="K175" s="39" t="n">
        <f aca="false">IF(E175="","",E175/(E175+H175))</f>
        <v>0.500557413600892</v>
      </c>
      <c r="L175" s="53" t="n">
        <f aca="false">IF(OR(K175="",J175=""),"",(J175-K175)*100)</f>
        <v>1.22061824035477</v>
      </c>
      <c r="M175" s="38"/>
    </row>
    <row r="176" customFormat="false" ht="15" hidden="false" customHeight="false" outlineLevel="0" collapsed="false">
      <c r="A176" s="38" t="s">
        <v>156</v>
      </c>
      <c r="B176" s="38" t="s">
        <v>291</v>
      </c>
      <c r="C176" s="38" t="s">
        <v>294</v>
      </c>
      <c r="D176" s="21" t="n">
        <v>1134</v>
      </c>
      <c r="E176" s="21" t="n">
        <v>1161</v>
      </c>
      <c r="F176" s="52" t="n">
        <f aca="false">IF(E176="","",D176-E176)</f>
        <v>-27</v>
      </c>
      <c r="G176" s="21" t="n">
        <v>834</v>
      </c>
      <c r="H176" s="21" t="n">
        <v>915</v>
      </c>
      <c r="I176" s="52" t="n">
        <f aca="false">IF(H176="","",G176-H176)</f>
        <v>-81</v>
      </c>
      <c r="J176" s="39" t="n">
        <f aca="false">IF(OR(D176="",D176+G176=0),"",D176/(D176+G176))</f>
        <v>0.576219512195122</v>
      </c>
      <c r="K176" s="39" t="n">
        <f aca="false">IF(E176="","",E176/(E176+H176))</f>
        <v>0.559248554913295</v>
      </c>
      <c r="L176" s="53" t="n">
        <f aca="false">IF(OR(K176="",J176=""),"",(J176-K176)*100)</f>
        <v>1.69709572818271</v>
      </c>
      <c r="M176" s="38"/>
    </row>
    <row r="177" customFormat="false" ht="15" hidden="false" customHeight="false" outlineLevel="0" collapsed="false">
      <c r="A177" s="38" t="s">
        <v>156</v>
      </c>
      <c r="B177" s="38" t="s">
        <v>291</v>
      </c>
      <c r="C177" s="38" t="s">
        <v>295</v>
      </c>
      <c r="D177" s="21" t="n">
        <v>565</v>
      </c>
      <c r="E177" s="21" t="n">
        <v>534</v>
      </c>
      <c r="F177" s="52" t="n">
        <f aca="false">IF(E177="","",D177-E177)</f>
        <v>31</v>
      </c>
      <c r="G177" s="21" t="n">
        <v>541</v>
      </c>
      <c r="H177" s="21" t="n">
        <v>577</v>
      </c>
      <c r="I177" s="52" t="n">
        <f aca="false">IF(H177="","",G177-H177)</f>
        <v>-36</v>
      </c>
      <c r="J177" s="39" t="n">
        <f aca="false">IF(OR(D177="",D177+G177=0),"",D177/(D177+G177))</f>
        <v>0.510849909584087</v>
      </c>
      <c r="K177" s="39" t="n">
        <f aca="false">IF(E177="","",E177/(E177+H177))</f>
        <v>0.480648064806481</v>
      </c>
      <c r="L177" s="53" t="n">
        <f aca="false">IF(OR(K177="",J177=""),"",(J177-K177)*100)</f>
        <v>3.02018447776062</v>
      </c>
      <c r="M177" s="38"/>
    </row>
    <row r="178" customFormat="false" ht="15" hidden="false" customHeight="false" outlineLevel="0" collapsed="false">
      <c r="A178" s="38" t="s">
        <v>156</v>
      </c>
      <c r="B178" s="38" t="s">
        <v>291</v>
      </c>
      <c r="C178" s="38" t="s">
        <v>296</v>
      </c>
      <c r="D178" s="21" t="n">
        <v>1104</v>
      </c>
      <c r="E178" s="21" t="n">
        <v>1123</v>
      </c>
      <c r="F178" s="52" t="n">
        <f aca="false">IF(E178="","",D178-E178)</f>
        <v>-19</v>
      </c>
      <c r="G178" s="21" t="n">
        <v>734</v>
      </c>
      <c r="H178" s="21" t="n">
        <v>741</v>
      </c>
      <c r="I178" s="52" t="n">
        <f aca="false">IF(H178="","",G178-H178)</f>
        <v>-7</v>
      </c>
      <c r="J178" s="39" t="n">
        <f aca="false">IF(OR(D178="",D178+G178=0),"",D178/(D178+G178))</f>
        <v>0.600652883569097</v>
      </c>
      <c r="K178" s="39" t="n">
        <f aca="false">IF(E178="","",E178/(E178+H178))</f>
        <v>0.602467811158798</v>
      </c>
      <c r="L178" s="53" t="n">
        <f aca="false">IF(OR(K178="",J178=""),"",(J178-K178)*100)</f>
        <v>-0.181492758970148</v>
      </c>
      <c r="M178" s="38"/>
    </row>
    <row r="179" customFormat="false" ht="15" hidden="false" customHeight="false" outlineLevel="0" collapsed="false">
      <c r="A179" s="38" t="s">
        <v>156</v>
      </c>
      <c r="B179" s="38" t="s">
        <v>291</v>
      </c>
      <c r="C179" s="38" t="s">
        <v>297</v>
      </c>
      <c r="D179" s="21" t="n">
        <v>968</v>
      </c>
      <c r="E179" s="21" t="n">
        <v>1054</v>
      </c>
      <c r="F179" s="52" t="n">
        <f aca="false">IF(E179="","",D179-E179)</f>
        <v>-86</v>
      </c>
      <c r="G179" s="21" t="n">
        <v>648</v>
      </c>
      <c r="H179" s="21" t="n">
        <v>706</v>
      </c>
      <c r="I179" s="52" t="n">
        <f aca="false">IF(H179="","",G179-H179)</f>
        <v>-58</v>
      </c>
      <c r="J179" s="39" t="n">
        <f aca="false">IF(OR(D179="",D179+G179=0),"",D179/(D179+G179))</f>
        <v>0.599009900990099</v>
      </c>
      <c r="K179" s="39" t="n">
        <f aca="false">IF(E179="","",E179/(E179+H179))</f>
        <v>0.598863636363636</v>
      </c>
      <c r="L179" s="53" t="n">
        <f aca="false">IF(OR(K179="",J179=""),"",(J179-K179)*100)</f>
        <v>0.0146264626462611</v>
      </c>
      <c r="M179" s="38"/>
    </row>
    <row r="180" customFormat="false" ht="15" hidden="false" customHeight="false" outlineLevel="0" collapsed="false">
      <c r="A180" s="38" t="s">
        <v>156</v>
      </c>
      <c r="B180" s="38" t="s">
        <v>291</v>
      </c>
      <c r="C180" s="38" t="s">
        <v>298</v>
      </c>
      <c r="D180" s="21" t="n">
        <v>487</v>
      </c>
      <c r="E180" s="21" t="n">
        <v>469</v>
      </c>
      <c r="F180" s="52" t="n">
        <f aca="false">IF(E180="","",D180-E180)</f>
        <v>18</v>
      </c>
      <c r="G180" s="21" t="n">
        <v>402</v>
      </c>
      <c r="H180" s="21" t="n">
        <v>468</v>
      </c>
      <c r="I180" s="52" t="n">
        <f aca="false">IF(H180="","",G180-H180)</f>
        <v>-66</v>
      </c>
      <c r="J180" s="39" t="n">
        <f aca="false">IF(OR(D180="",D180+G180=0),"",D180/(D180+G180))</f>
        <v>0.547806524184477</v>
      </c>
      <c r="K180" s="39" t="n">
        <f aca="false">IF(E180="","",E180/(E180+H180))</f>
        <v>0.500533617929562</v>
      </c>
      <c r="L180" s="53" t="n">
        <f aca="false">IF(OR(K180="",J180=""),"",(J180-K180)*100)</f>
        <v>4.72729062549145</v>
      </c>
      <c r="M180" s="38"/>
    </row>
    <row r="181" customFormat="false" ht="15" hidden="false" customHeight="false" outlineLevel="0" collapsed="false">
      <c r="A181" s="38" t="s">
        <v>156</v>
      </c>
      <c r="B181" s="38" t="s">
        <v>291</v>
      </c>
      <c r="C181" s="38" t="s">
        <v>299</v>
      </c>
      <c r="D181" s="21" t="n">
        <v>1244</v>
      </c>
      <c r="E181" s="21" t="n">
        <v>1317</v>
      </c>
      <c r="F181" s="52" t="n">
        <f aca="false">IF(E181="","",D181-E181)</f>
        <v>-73</v>
      </c>
      <c r="G181" s="21" t="n">
        <v>1143</v>
      </c>
      <c r="H181" s="21" t="n">
        <v>1291</v>
      </c>
      <c r="I181" s="52" t="n">
        <f aca="false">IF(H181="","",G181-H181)</f>
        <v>-148</v>
      </c>
      <c r="J181" s="39" t="n">
        <f aca="false">IF(OR(D181="",D181+G181=0),"",D181/(D181+G181))</f>
        <v>0.521156263091747</v>
      </c>
      <c r="K181" s="39" t="n">
        <f aca="false">IF(E181="","",E181/(E181+H181))</f>
        <v>0.504984662576687</v>
      </c>
      <c r="L181" s="53" t="n">
        <f aca="false">IF(OR(K181="",J181=""),"",(J181-K181)*100)</f>
        <v>1.61716005150598</v>
      </c>
      <c r="M181" s="38"/>
    </row>
    <row r="182" customFormat="false" ht="15" hidden="false" customHeight="false" outlineLevel="0" collapsed="false">
      <c r="A182" s="38" t="s">
        <v>156</v>
      </c>
      <c r="B182" s="38" t="s">
        <v>300</v>
      </c>
      <c r="C182" s="38" t="s">
        <v>301</v>
      </c>
      <c r="D182" s="21" t="n">
        <v>1031</v>
      </c>
      <c r="E182" s="21" t="n">
        <v>992</v>
      </c>
      <c r="F182" s="52" t="n">
        <f aca="false">IF(E182="","",D182-E182)</f>
        <v>39</v>
      </c>
      <c r="G182" s="21" t="n">
        <v>932</v>
      </c>
      <c r="H182" s="21" t="n">
        <v>983</v>
      </c>
      <c r="I182" s="52" t="n">
        <f aca="false">IF(H182="","",G182-H182)</f>
        <v>-51</v>
      </c>
      <c r="J182" s="39" t="n">
        <f aca="false">IF(OR(D182="",D182+G182=0),"",D182/(D182+G182))</f>
        <v>0.525216505348956</v>
      </c>
      <c r="K182" s="39" t="n">
        <f aca="false">IF(E182="","",E182/(E182+H182))</f>
        <v>0.502278481012658</v>
      </c>
      <c r="L182" s="53" t="n">
        <f aca="false">IF(OR(K182="",J182=""),"",(J182-K182)*100)</f>
        <v>2.29380243362974</v>
      </c>
      <c r="M182" s="38"/>
    </row>
    <row r="183" customFormat="false" ht="15" hidden="false" customHeight="false" outlineLevel="0" collapsed="false">
      <c r="A183" s="38" t="s">
        <v>156</v>
      </c>
      <c r="B183" s="38" t="s">
        <v>300</v>
      </c>
      <c r="C183" s="38" t="s">
        <v>302</v>
      </c>
      <c r="D183" s="21" t="n">
        <v>1346</v>
      </c>
      <c r="E183" s="21" t="n">
        <v>1311</v>
      </c>
      <c r="F183" s="52" t="n">
        <f aca="false">IF(E183="","",D183-E183)</f>
        <v>35</v>
      </c>
      <c r="G183" s="21" t="n">
        <v>1239</v>
      </c>
      <c r="H183" s="21" t="n">
        <v>1258</v>
      </c>
      <c r="I183" s="52" t="n">
        <f aca="false">IF(H183="","",G183-H183)</f>
        <v>-19</v>
      </c>
      <c r="J183" s="39" t="n">
        <f aca="false">IF(OR(D183="",D183+G183=0),"",D183/(D183+G183))</f>
        <v>0.520696324951644</v>
      </c>
      <c r="K183" s="39" t="n">
        <f aca="false">IF(E183="","",E183/(E183+H183))</f>
        <v>0.510315297781238</v>
      </c>
      <c r="L183" s="53" t="n">
        <f aca="false">IF(OR(K183="",J183=""),"",(J183-K183)*100)</f>
        <v>1.03810271704062</v>
      </c>
      <c r="M183" s="38"/>
    </row>
    <row r="184" customFormat="false" ht="15" hidden="false" customHeight="false" outlineLevel="0" collapsed="false">
      <c r="A184" s="38" t="s">
        <v>156</v>
      </c>
      <c r="B184" s="38" t="s">
        <v>300</v>
      </c>
      <c r="C184" s="38" t="s">
        <v>303</v>
      </c>
      <c r="D184" s="21" t="n">
        <v>814</v>
      </c>
      <c r="E184" s="21" t="n">
        <v>914</v>
      </c>
      <c r="F184" s="52" t="n">
        <f aca="false">IF(E184="","",D184-E184)</f>
        <v>-100</v>
      </c>
      <c r="G184" s="21" t="n">
        <v>839</v>
      </c>
      <c r="H184" s="21" t="n">
        <v>1075</v>
      </c>
      <c r="I184" s="52" t="n">
        <f aca="false">IF(H184="","",G184-H184)</f>
        <v>-236</v>
      </c>
      <c r="J184" s="39" t="n">
        <f aca="false">IF(OR(D184="",D184+G184=0),"",D184/(D184+G184))</f>
        <v>0.492437991530551</v>
      </c>
      <c r="K184" s="39" t="n">
        <f aca="false">IF(E184="","",E184/(E184+H184))</f>
        <v>0.459527400703871</v>
      </c>
      <c r="L184" s="53" t="n">
        <f aca="false">IF(OR(K184="",J184=""),"",(J184-K184)*100)</f>
        <v>3.29105908266792</v>
      </c>
      <c r="M184" s="38"/>
    </row>
    <row r="185" customFormat="false" ht="15" hidden="false" customHeight="false" outlineLevel="0" collapsed="false">
      <c r="A185" s="38" t="s">
        <v>156</v>
      </c>
      <c r="B185" s="38" t="s">
        <v>300</v>
      </c>
      <c r="C185" s="38" t="s">
        <v>304</v>
      </c>
      <c r="D185" s="21" t="n">
        <v>608</v>
      </c>
      <c r="E185" s="21" t="n">
        <v>735</v>
      </c>
      <c r="F185" s="52" t="n">
        <f aca="false">IF(E185="","",D185-E185)</f>
        <v>-127</v>
      </c>
      <c r="G185" s="21" t="n">
        <v>473</v>
      </c>
      <c r="H185" s="21" t="n">
        <v>653</v>
      </c>
      <c r="I185" s="52" t="n">
        <f aca="false">IF(H185="","",G185-H185)</f>
        <v>-180</v>
      </c>
      <c r="J185" s="39" t="n">
        <f aca="false">IF(OR(D185="",D185+G185=0),"",D185/(D185+G185))</f>
        <v>0.562442183163737</v>
      </c>
      <c r="K185" s="39" t="n">
        <f aca="false">IF(E185="","",E185/(E185+H185))</f>
        <v>0.529538904899136</v>
      </c>
      <c r="L185" s="53" t="n">
        <f aca="false">IF(OR(K185="",J185=""),"",(J185-K185)*100)</f>
        <v>3.29032782646018</v>
      </c>
      <c r="M185" s="38"/>
    </row>
    <row r="186" customFormat="false" ht="15" hidden="false" customHeight="false" outlineLevel="0" collapsed="false">
      <c r="A186" s="38" t="s">
        <v>156</v>
      </c>
      <c r="B186" s="38" t="s">
        <v>300</v>
      </c>
      <c r="C186" s="38" t="s">
        <v>305</v>
      </c>
      <c r="D186" s="21" t="n">
        <v>1848</v>
      </c>
      <c r="E186" s="21" t="n">
        <v>1929</v>
      </c>
      <c r="F186" s="52" t="n">
        <f aca="false">IF(E186="","",D186-E186)</f>
        <v>-81</v>
      </c>
      <c r="G186" s="21" t="n">
        <v>1467</v>
      </c>
      <c r="H186" s="21" t="n">
        <v>1679</v>
      </c>
      <c r="I186" s="52" t="n">
        <f aca="false">IF(H186="","",G186-H186)</f>
        <v>-212</v>
      </c>
      <c r="J186" s="39" t="n">
        <f aca="false">IF(OR(D186="",D186+G186=0),"",D186/(D186+G186))</f>
        <v>0.557466063348416</v>
      </c>
      <c r="K186" s="39" t="n">
        <f aca="false">IF(E186="","",E186/(E186+H186))</f>
        <v>0.534645232815965</v>
      </c>
      <c r="L186" s="53" t="n">
        <f aca="false">IF(OR(K186="",J186=""),"",(J186-K186)*100)</f>
        <v>2.28208305324518</v>
      </c>
      <c r="M186" s="38"/>
    </row>
    <row r="187" customFormat="false" ht="15" hidden="false" customHeight="false" outlineLevel="0" collapsed="false">
      <c r="A187" s="38" t="s">
        <v>156</v>
      </c>
      <c r="B187" s="38" t="s">
        <v>300</v>
      </c>
      <c r="C187" s="38" t="s">
        <v>306</v>
      </c>
      <c r="D187" s="21" t="n">
        <v>686</v>
      </c>
      <c r="E187" s="21" t="n">
        <v>696</v>
      </c>
      <c r="F187" s="52" t="n">
        <f aca="false">IF(E187="","",D187-E187)</f>
        <v>-10</v>
      </c>
      <c r="G187" s="21" t="n">
        <v>598</v>
      </c>
      <c r="H187" s="21" t="n">
        <v>666</v>
      </c>
      <c r="I187" s="52" t="n">
        <f aca="false">IF(H187="","",G187-H187)</f>
        <v>-68</v>
      </c>
      <c r="J187" s="39" t="n">
        <f aca="false">IF(OR(D187="",D187+G187=0),"",D187/(D187+G187))</f>
        <v>0.534267912772586</v>
      </c>
      <c r="K187" s="39" t="n">
        <f aca="false">IF(E187="","",E187/(E187+H187))</f>
        <v>0.511013215859031</v>
      </c>
      <c r="L187" s="53" t="n">
        <f aca="false">IF(OR(K187="",J187=""),"",(J187-K187)*100)</f>
        <v>2.32546969135549</v>
      </c>
      <c r="M187" s="38"/>
    </row>
    <row r="188" customFormat="false" ht="15" hidden="false" customHeight="false" outlineLevel="0" collapsed="false">
      <c r="A188" s="38" t="s">
        <v>156</v>
      </c>
      <c r="B188" s="38" t="s">
        <v>300</v>
      </c>
      <c r="C188" s="38" t="s">
        <v>307</v>
      </c>
      <c r="D188" s="21" t="n">
        <v>745</v>
      </c>
      <c r="E188" s="21" t="n">
        <v>715</v>
      </c>
      <c r="F188" s="52" t="n">
        <f aca="false">IF(E188="","",D188-E188)</f>
        <v>30</v>
      </c>
      <c r="G188" s="21" t="n">
        <v>585</v>
      </c>
      <c r="H188" s="21" t="n">
        <v>601</v>
      </c>
      <c r="I188" s="52" t="n">
        <f aca="false">IF(H188="","",G188-H188)</f>
        <v>-16</v>
      </c>
      <c r="J188" s="39" t="n">
        <f aca="false">IF(OR(D188="",D188+G188=0),"",D188/(D188+G188))</f>
        <v>0.56015037593985</v>
      </c>
      <c r="K188" s="39" t="n">
        <f aca="false">IF(E188="","",E188/(E188+H188))</f>
        <v>0.543313069908815</v>
      </c>
      <c r="L188" s="53" t="n">
        <f aca="false">IF(OR(K188="",J188=""),"",(J188-K188)*100)</f>
        <v>1.68373060310351</v>
      </c>
      <c r="M188" s="38"/>
    </row>
    <row r="189" customFormat="false" ht="15" hidden="false" customHeight="false" outlineLevel="0" collapsed="false">
      <c r="A189" s="38" t="s">
        <v>156</v>
      </c>
      <c r="B189" s="38" t="s">
        <v>300</v>
      </c>
      <c r="C189" s="38" t="s">
        <v>308</v>
      </c>
      <c r="D189" s="21" t="n">
        <v>714</v>
      </c>
      <c r="E189" s="21" t="n">
        <v>728</v>
      </c>
      <c r="F189" s="52" t="n">
        <f aca="false">IF(E189="","",D189-E189)</f>
        <v>-14</v>
      </c>
      <c r="G189" s="21" t="n">
        <v>624</v>
      </c>
      <c r="H189" s="21" t="n">
        <v>692</v>
      </c>
      <c r="I189" s="52" t="n">
        <f aca="false">IF(H189="","",G189-H189)</f>
        <v>-68</v>
      </c>
      <c r="J189" s="39" t="n">
        <f aca="false">IF(OR(D189="",D189+G189=0),"",D189/(D189+G189))</f>
        <v>0.533632286995516</v>
      </c>
      <c r="K189" s="39" t="n">
        <f aca="false">IF(E189="","",E189/(E189+H189))</f>
        <v>0.512676056338028</v>
      </c>
      <c r="L189" s="53" t="n">
        <f aca="false">IF(OR(K189="",J189=""),"",(J189-K189)*100)</f>
        <v>2.09562306574875</v>
      </c>
      <c r="M189" s="38"/>
    </row>
    <row r="190" customFormat="false" ht="15" hidden="false" customHeight="false" outlineLevel="0" collapsed="false">
      <c r="A190" s="38" t="s">
        <v>156</v>
      </c>
      <c r="B190" s="38" t="s">
        <v>309</v>
      </c>
      <c r="C190" s="38" t="s">
        <v>310</v>
      </c>
      <c r="D190" s="21" t="n">
        <v>1404</v>
      </c>
      <c r="E190" s="21" t="n">
        <v>1473</v>
      </c>
      <c r="F190" s="52" t="n">
        <f aca="false">IF(E190="","",D190-E190)</f>
        <v>-69</v>
      </c>
      <c r="G190" s="21" t="n">
        <v>1457</v>
      </c>
      <c r="H190" s="21" t="n">
        <v>1690</v>
      </c>
      <c r="I190" s="52" t="n">
        <f aca="false">IF(H190="","",G190-H190)</f>
        <v>-233</v>
      </c>
      <c r="J190" s="39" t="n">
        <f aca="false">IF(OR(D190="",D190+G190=0),"",D190/(D190+G190))</f>
        <v>0.490737504369102</v>
      </c>
      <c r="K190" s="39" t="n">
        <f aca="false">IF(E190="","",E190/(E190+H190))</f>
        <v>0.465697122984508</v>
      </c>
      <c r="L190" s="53" t="n">
        <f aca="false">IF(OR(K190="",J190=""),"",(J190-K190)*100)</f>
        <v>2.50403813845934</v>
      </c>
      <c r="M190" s="38"/>
    </row>
    <row r="191" customFormat="false" ht="15" hidden="false" customHeight="false" outlineLevel="0" collapsed="false">
      <c r="A191" s="38" t="s">
        <v>156</v>
      </c>
      <c r="B191" s="38" t="s">
        <v>309</v>
      </c>
      <c r="C191" s="38" t="s">
        <v>311</v>
      </c>
      <c r="D191" s="21" t="n">
        <v>960</v>
      </c>
      <c r="E191" s="21" t="n">
        <v>907</v>
      </c>
      <c r="F191" s="52" t="n">
        <f aca="false">IF(E191="","",D191-E191)</f>
        <v>53</v>
      </c>
      <c r="G191" s="21" t="n">
        <v>1366</v>
      </c>
      <c r="H191" s="21" t="n">
        <v>1445</v>
      </c>
      <c r="I191" s="52" t="n">
        <f aca="false">IF(H191="","",G191-H191)</f>
        <v>-79</v>
      </c>
      <c r="J191" s="39" t="n">
        <f aca="false">IF(OR(D191="",D191+G191=0),"",D191/(D191+G191))</f>
        <v>0.412725709372313</v>
      </c>
      <c r="K191" s="39" t="n">
        <f aca="false">IF(E191="","",E191/(E191+H191))</f>
        <v>0.38562925170068</v>
      </c>
      <c r="L191" s="53" t="n">
        <f aca="false">IF(OR(K191="",J191=""),"",(J191-K191)*100)</f>
        <v>2.70964576716327</v>
      </c>
      <c r="M191" s="38"/>
    </row>
    <row r="192" customFormat="false" ht="15" hidden="false" customHeight="false" outlineLevel="0" collapsed="false">
      <c r="A192" s="38" t="s">
        <v>156</v>
      </c>
      <c r="B192" s="38" t="s">
        <v>312</v>
      </c>
      <c r="C192" s="38" t="s">
        <v>313</v>
      </c>
      <c r="D192" s="21" t="n">
        <v>1053</v>
      </c>
      <c r="E192" s="21" t="n">
        <v>1017</v>
      </c>
      <c r="F192" s="52" t="n">
        <f aca="false">IF(E192="","",D192-E192)</f>
        <v>36</v>
      </c>
      <c r="G192" s="21" t="n">
        <v>993</v>
      </c>
      <c r="H192" s="21" t="n">
        <v>1074</v>
      </c>
      <c r="I192" s="52" t="n">
        <f aca="false">IF(H192="","",G192-H192)</f>
        <v>-81</v>
      </c>
      <c r="J192" s="39" t="n">
        <f aca="false">IF(OR(D192="",D192+G192=0),"",D192/(D192+G192))</f>
        <v>0.514662756598241</v>
      </c>
      <c r="K192" s="39" t="n">
        <f aca="false">IF(E192="","",E192/(E192+H192))</f>
        <v>0.486370157819225</v>
      </c>
      <c r="L192" s="53" t="n">
        <f aca="false">IF(OR(K192="",J192=""),"",(J192-K192)*100)</f>
        <v>2.82925987790152</v>
      </c>
      <c r="M192" s="38"/>
    </row>
    <row r="193" customFormat="false" ht="15" hidden="false" customHeight="false" outlineLevel="0" collapsed="false">
      <c r="A193" s="38" t="s">
        <v>156</v>
      </c>
      <c r="B193" s="38" t="s">
        <v>312</v>
      </c>
      <c r="C193" s="38" t="s">
        <v>314</v>
      </c>
      <c r="D193" s="21" t="n">
        <v>716</v>
      </c>
      <c r="E193" s="21" t="n">
        <v>753</v>
      </c>
      <c r="F193" s="52" t="n">
        <f aca="false">IF(E193="","",D193-E193)</f>
        <v>-37</v>
      </c>
      <c r="G193" s="21" t="n">
        <v>748</v>
      </c>
      <c r="H193" s="21" t="n">
        <v>851</v>
      </c>
      <c r="I193" s="52" t="n">
        <f aca="false">IF(H193="","",G193-H193)</f>
        <v>-103</v>
      </c>
      <c r="J193" s="39" t="n">
        <f aca="false">IF(OR(D193="",D193+G193=0),"",D193/(D193+G193))</f>
        <v>0.489071038251366</v>
      </c>
      <c r="K193" s="39" t="n">
        <f aca="false">IF(E193="","",E193/(E193+H193))</f>
        <v>0.469451371571072</v>
      </c>
      <c r="L193" s="53" t="n">
        <f aca="false">IF(OR(K193="",J193=""),"",(J193-K193)*100)</f>
        <v>1.96196666802938</v>
      </c>
      <c r="M193" s="38"/>
    </row>
    <row r="194" customFormat="false" ht="15" hidden="false" customHeight="false" outlineLevel="0" collapsed="false">
      <c r="A194" s="38" t="s">
        <v>156</v>
      </c>
      <c r="B194" s="38" t="s">
        <v>312</v>
      </c>
      <c r="C194" s="38" t="s">
        <v>315</v>
      </c>
      <c r="D194" s="21" t="n">
        <v>547</v>
      </c>
      <c r="E194" s="21" t="n">
        <v>713</v>
      </c>
      <c r="F194" s="52" t="n">
        <f aca="false">IF(E194="","",D194-E194)</f>
        <v>-166</v>
      </c>
      <c r="G194" s="21" t="n">
        <v>551</v>
      </c>
      <c r="H194" s="21" t="n">
        <v>780</v>
      </c>
      <c r="I194" s="52" t="n">
        <f aca="false">IF(H194="","",G194-H194)</f>
        <v>-229</v>
      </c>
      <c r="J194" s="39" t="n">
        <f aca="false">IF(OR(D194="",D194+G194=0),"",D194/(D194+G194))</f>
        <v>0.498178506375228</v>
      </c>
      <c r="K194" s="39" t="n">
        <f aca="false">IF(E194="","",E194/(E194+H194))</f>
        <v>0.477561955793704</v>
      </c>
      <c r="L194" s="53" t="n">
        <f aca="false">IF(OR(K194="",J194=""),"",(J194-K194)*100)</f>
        <v>2.06165505815237</v>
      </c>
      <c r="M194" s="38"/>
    </row>
    <row r="195" customFormat="false" ht="15" hidden="false" customHeight="false" outlineLevel="0" collapsed="false">
      <c r="A195" s="38" t="s">
        <v>156</v>
      </c>
      <c r="B195" s="38" t="s">
        <v>312</v>
      </c>
      <c r="C195" s="38" t="s">
        <v>316</v>
      </c>
      <c r="D195" s="21" t="n">
        <v>1590</v>
      </c>
      <c r="E195" s="21" t="n">
        <v>1648</v>
      </c>
      <c r="F195" s="52" t="n">
        <f aca="false">IF(E195="","",D195-E195)</f>
        <v>-58</v>
      </c>
      <c r="G195" s="21" t="n">
        <v>1614</v>
      </c>
      <c r="H195" s="21" t="n">
        <v>1789</v>
      </c>
      <c r="I195" s="52" t="n">
        <f aca="false">IF(H195="","",G195-H195)</f>
        <v>-175</v>
      </c>
      <c r="J195" s="39" t="n">
        <f aca="false">IF(OR(D195="",D195+G195=0),"",D195/(D195+G195))</f>
        <v>0.49625468164794</v>
      </c>
      <c r="K195" s="39" t="n">
        <f aca="false">IF(E195="","",E195/(E195+H195))</f>
        <v>0.479487925516439</v>
      </c>
      <c r="L195" s="53" t="n">
        <f aca="false">IF(OR(K195="",J195=""),"",(J195-K195)*100)</f>
        <v>1.67667561315013</v>
      </c>
      <c r="M195" s="38"/>
    </row>
    <row r="196" customFormat="false" ht="15" hidden="false" customHeight="false" outlineLevel="0" collapsed="false">
      <c r="A196" s="38" t="s">
        <v>156</v>
      </c>
      <c r="B196" s="38" t="s">
        <v>312</v>
      </c>
      <c r="C196" s="38" t="s">
        <v>317</v>
      </c>
      <c r="D196" s="21" t="n">
        <v>682</v>
      </c>
      <c r="E196" s="21" t="n">
        <v>683</v>
      </c>
      <c r="F196" s="52" t="n">
        <f aca="false">IF(E196="","",D196-E196)</f>
        <v>-1</v>
      </c>
      <c r="G196" s="21" t="n">
        <v>655</v>
      </c>
      <c r="H196" s="21" t="n">
        <v>663</v>
      </c>
      <c r="I196" s="52" t="n">
        <f aca="false">IF(H196="","",G196-H196)</f>
        <v>-8</v>
      </c>
      <c r="J196" s="39" t="n">
        <f aca="false">IF(OR(D196="",D196+G196=0),"",D196/(D196+G196))</f>
        <v>0.510097232610322</v>
      </c>
      <c r="K196" s="39" t="n">
        <f aca="false">IF(E196="","",E196/(E196+H196))</f>
        <v>0.507429420505201</v>
      </c>
      <c r="L196" s="53" t="n">
        <f aca="false">IF(OR(K196="",J196=""),"",(J196-K196)*100)</f>
        <v>0.266781210512101</v>
      </c>
      <c r="M196" s="38"/>
    </row>
    <row r="197" customFormat="false" ht="15" hidden="false" customHeight="false" outlineLevel="0" collapsed="false">
      <c r="A197" s="38" t="s">
        <v>156</v>
      </c>
      <c r="B197" s="38" t="s">
        <v>312</v>
      </c>
      <c r="C197" s="38" t="s">
        <v>318</v>
      </c>
      <c r="D197" s="21" t="n">
        <v>642</v>
      </c>
      <c r="E197" s="21" t="n">
        <v>648</v>
      </c>
      <c r="F197" s="52" t="n">
        <f aca="false">IF(E197="","",D197-E197)</f>
        <v>-6</v>
      </c>
      <c r="G197" s="21" t="n">
        <v>568</v>
      </c>
      <c r="H197" s="21" t="n">
        <v>583</v>
      </c>
      <c r="I197" s="52" t="n">
        <f aca="false">IF(H197="","",G197-H197)</f>
        <v>-15</v>
      </c>
      <c r="J197" s="39" t="n">
        <f aca="false">IF(OR(D197="",D197+G197=0),"",D197/(D197+G197))</f>
        <v>0.530578512396694</v>
      </c>
      <c r="K197" s="39" t="n">
        <f aca="false">IF(E197="","",E197/(E197+H197))</f>
        <v>0.526401299756296</v>
      </c>
      <c r="L197" s="53" t="n">
        <f aca="false">IF(OR(K197="",J197=""),"",(J197-K197)*100)</f>
        <v>0.41772126403985</v>
      </c>
      <c r="M197" s="38"/>
    </row>
    <row r="198" customFormat="false" ht="15" hidden="false" customHeight="false" outlineLevel="0" collapsed="false">
      <c r="A198" s="38" t="s">
        <v>156</v>
      </c>
      <c r="B198" s="38" t="s">
        <v>319</v>
      </c>
      <c r="C198" s="38" t="s">
        <v>320</v>
      </c>
      <c r="D198" s="21" t="n">
        <v>246</v>
      </c>
      <c r="E198" s="21" t="n">
        <v>243</v>
      </c>
      <c r="F198" s="52" t="n">
        <f aca="false">IF(E198="","",D198-E198)</f>
        <v>3</v>
      </c>
      <c r="G198" s="21" t="n">
        <v>481</v>
      </c>
      <c r="H198" s="21" t="n">
        <v>532</v>
      </c>
      <c r="I198" s="52" t="n">
        <f aca="false">IF(H198="","",G198-H198)</f>
        <v>-51</v>
      </c>
      <c r="J198" s="39" t="n">
        <f aca="false">IF(OR(D198="",D198+G198=0),"",D198/(D198+G198))</f>
        <v>0.33837689133425</v>
      </c>
      <c r="K198" s="39" t="n">
        <f aca="false">IF(E198="","",E198/(E198+H198))</f>
        <v>0.313548387096774</v>
      </c>
      <c r="L198" s="53" t="n">
        <f aca="false">IF(OR(K198="",J198=""),"",(J198-K198)*100)</f>
        <v>2.48285042374762</v>
      </c>
      <c r="M198" s="38"/>
    </row>
    <row r="199" customFormat="false" ht="15" hidden="false" customHeight="false" outlineLevel="0" collapsed="false">
      <c r="A199" s="38" t="s">
        <v>156</v>
      </c>
      <c r="B199" s="38" t="s">
        <v>319</v>
      </c>
      <c r="C199" s="38" t="s">
        <v>321</v>
      </c>
      <c r="D199" s="21" t="n">
        <v>882</v>
      </c>
      <c r="E199" s="21" t="n">
        <v>841</v>
      </c>
      <c r="F199" s="52" t="n">
        <f aca="false">IF(E199="","",D199-E199)</f>
        <v>41</v>
      </c>
      <c r="G199" s="21" t="n">
        <v>1569</v>
      </c>
      <c r="H199" s="21" t="n">
        <v>1653</v>
      </c>
      <c r="I199" s="52" t="n">
        <f aca="false">IF(H199="","",G199-H199)</f>
        <v>-84</v>
      </c>
      <c r="J199" s="39" t="n">
        <f aca="false">IF(OR(D199="",D199+G199=0),"",D199/(D199+G199))</f>
        <v>0.359853121175031</v>
      </c>
      <c r="K199" s="39" t="n">
        <f aca="false">IF(E199="","",E199/(E199+H199))</f>
        <v>0.337209302325581</v>
      </c>
      <c r="L199" s="53" t="n">
        <f aca="false">IF(OR(K199="",J199=""),"",(J199-K199)*100)</f>
        <v>2.26438188494492</v>
      </c>
      <c r="M199" s="38"/>
    </row>
    <row r="200" customFormat="false" ht="15" hidden="false" customHeight="false" outlineLevel="0" collapsed="false">
      <c r="A200" s="38" t="s">
        <v>156</v>
      </c>
      <c r="B200" s="38" t="s">
        <v>319</v>
      </c>
      <c r="C200" s="38" t="s">
        <v>322</v>
      </c>
      <c r="D200" s="21" t="n">
        <v>213</v>
      </c>
      <c r="E200" s="21" t="n">
        <v>182</v>
      </c>
      <c r="F200" s="52" t="n">
        <f aca="false">IF(E200="","",D200-E200)</f>
        <v>31</v>
      </c>
      <c r="G200" s="21" t="n">
        <v>421</v>
      </c>
      <c r="H200" s="21" t="n">
        <v>484</v>
      </c>
      <c r="I200" s="52" t="n">
        <f aca="false">IF(H200="","",G200-H200)</f>
        <v>-63</v>
      </c>
      <c r="J200" s="39" t="n">
        <f aca="false">IF(OR(D200="",D200+G200=0),"",D200/(D200+G200))</f>
        <v>0.33596214511041</v>
      </c>
      <c r="K200" s="39" t="n">
        <f aca="false">IF(E200="","",E200/(E200+H200))</f>
        <v>0.273273273273273</v>
      </c>
      <c r="L200" s="53" t="n">
        <f aca="false">IF(OR(K200="",J200=""),"",(J200-K200)*100)</f>
        <v>6.26888718371368</v>
      </c>
      <c r="M200" s="38"/>
    </row>
    <row r="201" customFormat="false" ht="15" hidden="false" customHeight="false" outlineLevel="0" collapsed="false">
      <c r="A201" s="38" t="s">
        <v>156</v>
      </c>
      <c r="B201" s="38" t="s">
        <v>323</v>
      </c>
      <c r="C201" s="38" t="s">
        <v>323</v>
      </c>
      <c r="D201" s="21" t="n">
        <v>1181</v>
      </c>
      <c r="E201" s="21" t="n">
        <v>1172</v>
      </c>
      <c r="F201" s="52" t="n">
        <f aca="false">IF(E201="","",D201-E201)</f>
        <v>9</v>
      </c>
      <c r="G201" s="21" t="n">
        <v>2055</v>
      </c>
      <c r="H201" s="21" t="n">
        <v>2201</v>
      </c>
      <c r="I201" s="52" t="n">
        <f aca="false">IF(H201="","",G201-H201)</f>
        <v>-146</v>
      </c>
      <c r="J201" s="39" t="n">
        <f aca="false">IF(OR(D201="",D201+G201=0),"",D201/(D201+G201))</f>
        <v>0.36495673671199</v>
      </c>
      <c r="K201" s="39" t="n">
        <f aca="false">IF(E201="","",E201/(E201+H201))</f>
        <v>0.347465164541951</v>
      </c>
      <c r="L201" s="53" t="n">
        <f aca="false">IF(OR(K201="",J201=""),"",(J201-K201)*100)</f>
        <v>1.74915721700393</v>
      </c>
      <c r="M201" s="38"/>
    </row>
    <row r="202" customFormat="false" ht="15" hidden="false" customHeight="false" outlineLevel="0" collapsed="false">
      <c r="A202" s="38" t="s">
        <v>156</v>
      </c>
      <c r="B202" s="38" t="s">
        <v>324</v>
      </c>
      <c r="C202" s="38" t="s">
        <v>325</v>
      </c>
      <c r="D202" s="21" t="n">
        <v>794</v>
      </c>
      <c r="E202" s="21" t="n">
        <v>811</v>
      </c>
      <c r="F202" s="52" t="n">
        <f aca="false">IF(E202="","",D202-E202)</f>
        <v>-17</v>
      </c>
      <c r="G202" s="21" t="n">
        <v>840</v>
      </c>
      <c r="H202" s="21" t="n">
        <v>918</v>
      </c>
      <c r="I202" s="52" t="n">
        <f aca="false">IF(H202="","",G202-H202)</f>
        <v>-78</v>
      </c>
      <c r="J202" s="39" t="n">
        <f aca="false">IF(OR(D202="",D202+G202=0),"",D202/(D202+G202))</f>
        <v>0.485924112607099</v>
      </c>
      <c r="K202" s="39" t="n">
        <f aca="false">IF(E202="","",E202/(E202+H202))</f>
        <v>0.469057258530943</v>
      </c>
      <c r="L202" s="53" t="n">
        <f aca="false">IF(OR(K202="",J202=""),"",(J202-K202)*100)</f>
        <v>1.68668540761564</v>
      </c>
      <c r="M202" s="38"/>
    </row>
    <row r="203" customFormat="false" ht="15" hidden="false" customHeight="false" outlineLevel="0" collapsed="false">
      <c r="A203" s="38" t="s">
        <v>156</v>
      </c>
      <c r="B203" s="38" t="s">
        <v>324</v>
      </c>
      <c r="C203" s="38" t="s">
        <v>326</v>
      </c>
      <c r="D203" s="21" t="n">
        <v>647</v>
      </c>
      <c r="E203" s="21" t="n">
        <v>606</v>
      </c>
      <c r="F203" s="52" t="n">
        <f aca="false">IF(E203="","",D203-E203)</f>
        <v>41</v>
      </c>
      <c r="G203" s="21" t="n">
        <v>674</v>
      </c>
      <c r="H203" s="21" t="n">
        <v>669</v>
      </c>
      <c r="I203" s="52" t="n">
        <f aca="false">IF(H203="","",G203-H203)</f>
        <v>5</v>
      </c>
      <c r="J203" s="39" t="n">
        <f aca="false">IF(OR(D203="",D203+G203=0),"",D203/(D203+G203))</f>
        <v>0.489780469341408</v>
      </c>
      <c r="K203" s="39" t="n">
        <f aca="false">IF(E203="","",E203/(E203+H203))</f>
        <v>0.475294117647059</v>
      </c>
      <c r="L203" s="53" t="n">
        <f aca="false">IF(OR(K203="",J203=""),"",(J203-K203)*100)</f>
        <v>1.44863516943492</v>
      </c>
      <c r="M203" s="38"/>
    </row>
    <row r="204" customFormat="false" ht="15" hidden="false" customHeight="false" outlineLevel="0" collapsed="false">
      <c r="A204" s="38" t="s">
        <v>156</v>
      </c>
      <c r="B204" s="38" t="s">
        <v>324</v>
      </c>
      <c r="C204" s="38" t="s">
        <v>327</v>
      </c>
      <c r="D204" s="21" t="n">
        <v>807</v>
      </c>
      <c r="E204" s="21" t="n">
        <v>732</v>
      </c>
      <c r="F204" s="52" t="n">
        <f aca="false">IF(E204="","",D204-E204)</f>
        <v>75</v>
      </c>
      <c r="G204" s="21" t="n">
        <v>567</v>
      </c>
      <c r="H204" s="21" t="n">
        <v>616</v>
      </c>
      <c r="I204" s="52" t="n">
        <f aca="false">IF(H204="","",G204-H204)</f>
        <v>-49</v>
      </c>
      <c r="J204" s="39" t="n">
        <f aca="false">IF(OR(D204="",D204+G204=0),"",D204/(D204+G204))</f>
        <v>0.587336244541485</v>
      </c>
      <c r="K204" s="39" t="n">
        <f aca="false">IF(E204="","",E204/(E204+H204))</f>
        <v>0.543026706231454</v>
      </c>
      <c r="L204" s="53" t="n">
        <f aca="false">IF(OR(K204="",J204=""),"",(J204-K204)*100)</f>
        <v>4.43095383100307</v>
      </c>
      <c r="M204" s="38"/>
    </row>
    <row r="205" customFormat="false" ht="15" hidden="false" customHeight="false" outlineLevel="0" collapsed="false">
      <c r="A205" s="38" t="s">
        <v>156</v>
      </c>
      <c r="B205" s="38" t="s">
        <v>324</v>
      </c>
      <c r="C205" s="38" t="s">
        <v>328</v>
      </c>
      <c r="D205" s="21" t="n">
        <v>889</v>
      </c>
      <c r="E205" s="21" t="n">
        <v>871</v>
      </c>
      <c r="F205" s="52" t="n">
        <f aca="false">IF(E205="","",D205-E205)</f>
        <v>18</v>
      </c>
      <c r="G205" s="21" t="n">
        <v>572</v>
      </c>
      <c r="H205" s="21" t="n">
        <v>616</v>
      </c>
      <c r="I205" s="52" t="n">
        <f aca="false">IF(H205="","",G205-H205)</f>
        <v>-44</v>
      </c>
      <c r="J205" s="39" t="n">
        <f aca="false">IF(OR(D205="",D205+G205=0),"",D205/(D205+G205))</f>
        <v>0.60848733744011</v>
      </c>
      <c r="K205" s="39" t="n">
        <f aca="false">IF(E205="","",E205/(E205+H205))</f>
        <v>0.585743106926698</v>
      </c>
      <c r="L205" s="53" t="n">
        <f aca="false">IF(OR(K205="",J205=""),"",(J205-K205)*100)</f>
        <v>2.27442305134115</v>
      </c>
      <c r="M205" s="38"/>
    </row>
    <row r="206" customFormat="false" ht="15" hidden="false" customHeight="false" outlineLevel="0" collapsed="false">
      <c r="A206" s="38" t="s">
        <v>156</v>
      </c>
      <c r="B206" s="38" t="s">
        <v>324</v>
      </c>
      <c r="C206" s="38" t="s">
        <v>329</v>
      </c>
      <c r="D206" s="21" t="n">
        <v>325</v>
      </c>
      <c r="E206" s="21" t="n">
        <v>305</v>
      </c>
      <c r="F206" s="52" t="n">
        <f aca="false">IF(E206="","",D206-E206)</f>
        <v>20</v>
      </c>
      <c r="G206" s="21" t="n">
        <v>246</v>
      </c>
      <c r="H206" s="21" t="n">
        <v>262</v>
      </c>
      <c r="I206" s="52" t="n">
        <f aca="false">IF(H206="","",G206-H206)</f>
        <v>-16</v>
      </c>
      <c r="J206" s="39" t="n">
        <f aca="false">IF(OR(D206="",D206+G206=0),"",D206/(D206+G206))</f>
        <v>0.569176882661997</v>
      </c>
      <c r="K206" s="39" t="n">
        <f aca="false">IF(E206="","",E206/(E206+H206))</f>
        <v>0.537918871252205</v>
      </c>
      <c r="L206" s="53" t="n">
        <f aca="false">IF(OR(K206="",J206=""),"",(J206-K206)*100)</f>
        <v>3.12580114097919</v>
      </c>
      <c r="M206" s="38"/>
    </row>
    <row r="207" customFormat="false" ht="15" hidden="false" customHeight="false" outlineLevel="0" collapsed="false">
      <c r="A207" s="38" t="s">
        <v>156</v>
      </c>
      <c r="B207" s="38" t="s">
        <v>324</v>
      </c>
      <c r="C207" s="38" t="s">
        <v>330</v>
      </c>
      <c r="D207" s="21" t="n">
        <v>575</v>
      </c>
      <c r="E207" s="21" t="n">
        <v>535</v>
      </c>
      <c r="F207" s="52" t="n">
        <f aca="false">IF(E207="","",D207-E207)</f>
        <v>40</v>
      </c>
      <c r="G207" s="21" t="n">
        <v>296</v>
      </c>
      <c r="H207" s="21" t="n">
        <v>364</v>
      </c>
      <c r="I207" s="52" t="n">
        <f aca="false">IF(H207="","",G207-H207)</f>
        <v>-68</v>
      </c>
      <c r="J207" s="39" t="n">
        <f aca="false">IF(OR(D207="",D207+G207=0),"",D207/(D207+G207))</f>
        <v>0.660160734787601</v>
      </c>
      <c r="K207" s="39" t="n">
        <f aca="false">IF(E207="","",E207/(E207+H207))</f>
        <v>0.595105672969967</v>
      </c>
      <c r="L207" s="53" t="n">
        <f aca="false">IF(OR(K207="",J207=""),"",(J207-K207)*100)</f>
        <v>6.50550618176339</v>
      </c>
      <c r="M207" s="38"/>
    </row>
    <row r="208" customFormat="false" ht="15" hidden="false" customHeight="false" outlineLevel="0" collapsed="false">
      <c r="A208" s="38" t="s">
        <v>156</v>
      </c>
      <c r="B208" s="38" t="s">
        <v>324</v>
      </c>
      <c r="C208" s="38" t="s">
        <v>331</v>
      </c>
      <c r="D208" s="21" t="n">
        <v>548</v>
      </c>
      <c r="E208" s="21" t="n">
        <v>564</v>
      </c>
      <c r="F208" s="52" t="n">
        <f aca="false">IF(E208="","",D208-E208)</f>
        <v>-16</v>
      </c>
      <c r="G208" s="21" t="n">
        <v>411</v>
      </c>
      <c r="H208" s="21" t="n">
        <v>451</v>
      </c>
      <c r="I208" s="52" t="n">
        <f aca="false">IF(H208="","",G208-H208)</f>
        <v>-40</v>
      </c>
      <c r="J208" s="39" t="n">
        <f aca="false">IF(OR(D208="",D208+G208=0),"",D208/(D208+G208))</f>
        <v>0.571428571428571</v>
      </c>
      <c r="K208" s="39" t="n">
        <f aca="false">IF(E208="","",E208/(E208+H208))</f>
        <v>0.555665024630542</v>
      </c>
      <c r="L208" s="53" t="n">
        <f aca="false">IF(OR(K208="",J208=""),"",(J208-K208)*100)</f>
        <v>1.57635467980295</v>
      </c>
      <c r="M208" s="38"/>
    </row>
    <row r="209" customFormat="false" ht="15" hidden="false" customHeight="false" outlineLevel="0" collapsed="false">
      <c r="A209" s="38" t="s">
        <v>156</v>
      </c>
      <c r="B209" s="38" t="s">
        <v>324</v>
      </c>
      <c r="C209" s="38" t="s">
        <v>332</v>
      </c>
      <c r="D209" s="21" t="n">
        <v>283</v>
      </c>
      <c r="E209" s="21" t="n">
        <v>279</v>
      </c>
      <c r="F209" s="52" t="n">
        <f aca="false">IF(E209="","",D209-E209)</f>
        <v>4</v>
      </c>
      <c r="G209" s="21" t="n">
        <v>294</v>
      </c>
      <c r="H209" s="21" t="n">
        <v>318</v>
      </c>
      <c r="I209" s="52" t="n">
        <f aca="false">IF(H209="","",G209-H209)</f>
        <v>-24</v>
      </c>
      <c r="J209" s="39" t="n">
        <f aca="false">IF(OR(D209="",D209+G209=0),"",D209/(D209+G209))</f>
        <v>0.490467937608319</v>
      </c>
      <c r="K209" s="39" t="n">
        <f aca="false">IF(E209="","",E209/(E209+H209))</f>
        <v>0.467336683417085</v>
      </c>
      <c r="L209" s="53" t="n">
        <f aca="false">IF(OR(K209="",J209=""),"",(J209-K209)*100)</f>
        <v>2.31312541912335</v>
      </c>
      <c r="M209" s="38"/>
    </row>
    <row r="210" customFormat="false" ht="15" hidden="false" customHeight="false" outlineLevel="0" collapsed="false">
      <c r="A210" s="38" t="s">
        <v>156</v>
      </c>
      <c r="B210" s="38" t="s">
        <v>324</v>
      </c>
      <c r="C210" s="38" t="s">
        <v>333</v>
      </c>
      <c r="D210" s="21" t="n">
        <v>578</v>
      </c>
      <c r="E210" s="21" t="n">
        <v>571</v>
      </c>
      <c r="F210" s="52" t="n">
        <f aca="false">IF(E210="","",D210-E210)</f>
        <v>7</v>
      </c>
      <c r="G210" s="21" t="n">
        <v>484</v>
      </c>
      <c r="H210" s="21" t="n">
        <v>544</v>
      </c>
      <c r="I210" s="52" t="n">
        <f aca="false">IF(H210="","",G210-H210)</f>
        <v>-60</v>
      </c>
      <c r="J210" s="39" t="n">
        <f aca="false">IF(OR(D210="",D210+G210=0),"",D210/(D210+G210))</f>
        <v>0.544256120527307</v>
      </c>
      <c r="K210" s="39" t="n">
        <f aca="false">IF(E210="","",E210/(E210+H210))</f>
        <v>0.512107623318386</v>
      </c>
      <c r="L210" s="53" t="n">
        <f aca="false">IF(OR(K210="",J210=""),"",(J210-K210)*100)</f>
        <v>3.21484972089213</v>
      </c>
      <c r="M210" s="38"/>
    </row>
    <row r="211" customFormat="false" ht="15" hidden="false" customHeight="false" outlineLevel="0" collapsed="false">
      <c r="A211" s="38" t="s">
        <v>156</v>
      </c>
      <c r="B211" s="38" t="s">
        <v>324</v>
      </c>
      <c r="C211" s="38" t="s">
        <v>334</v>
      </c>
      <c r="D211" s="21" t="n">
        <v>880</v>
      </c>
      <c r="E211" s="21" t="n">
        <v>829</v>
      </c>
      <c r="F211" s="52" t="n">
        <f aca="false">IF(E211="","",D211-E211)</f>
        <v>51</v>
      </c>
      <c r="G211" s="21" t="n">
        <v>886</v>
      </c>
      <c r="H211" s="21" t="n">
        <v>968</v>
      </c>
      <c r="I211" s="52" t="n">
        <f aca="false">IF(H211="","",G211-H211)</f>
        <v>-82</v>
      </c>
      <c r="J211" s="39" t="n">
        <f aca="false">IF(OR(D211="",D211+G211=0),"",D211/(D211+G211))</f>
        <v>0.498301245753114</v>
      </c>
      <c r="K211" s="39" t="n">
        <f aca="false">IF(E211="","",E211/(E211+H211))</f>
        <v>0.461324429604897</v>
      </c>
      <c r="L211" s="53" t="n">
        <f aca="false">IF(OR(K211="",J211=""),"",(J211-K211)*100)</f>
        <v>3.69768161482174</v>
      </c>
      <c r="M211" s="38"/>
    </row>
    <row r="212" customFormat="false" ht="15" hidden="false" customHeight="false" outlineLevel="0" collapsed="false">
      <c r="A212" s="38" t="s">
        <v>156</v>
      </c>
      <c r="B212" s="38" t="s">
        <v>324</v>
      </c>
      <c r="C212" s="38" t="s">
        <v>335</v>
      </c>
      <c r="D212" s="21" t="n">
        <v>728</v>
      </c>
      <c r="E212" s="21" t="n">
        <v>698</v>
      </c>
      <c r="F212" s="52" t="n">
        <f aca="false">IF(E212="","",D212-E212)</f>
        <v>30</v>
      </c>
      <c r="G212" s="21" t="n">
        <v>700</v>
      </c>
      <c r="H212" s="21" t="n">
        <v>748</v>
      </c>
      <c r="I212" s="52" t="n">
        <f aca="false">IF(H212="","",G212-H212)</f>
        <v>-48</v>
      </c>
      <c r="J212" s="39" t="n">
        <f aca="false">IF(OR(D212="",D212+G212=0),"",D212/(D212+G212))</f>
        <v>0.509803921568627</v>
      </c>
      <c r="K212" s="39" t="n">
        <f aca="false">IF(E212="","",E212/(E212+H212))</f>
        <v>0.482710926694329</v>
      </c>
      <c r="L212" s="53" t="n">
        <f aca="false">IF(OR(K212="",J212=""),"",(J212-K212)*100)</f>
        <v>2.70929948742982</v>
      </c>
      <c r="M212" s="38"/>
    </row>
    <row r="213" customFormat="false" ht="15" hidden="false" customHeight="false" outlineLevel="0" collapsed="false">
      <c r="A213" s="38" t="s">
        <v>156</v>
      </c>
      <c r="B213" s="38" t="s">
        <v>324</v>
      </c>
      <c r="C213" s="38" t="s">
        <v>336</v>
      </c>
      <c r="D213" s="21" t="n">
        <v>634</v>
      </c>
      <c r="E213" s="21" t="n">
        <v>582</v>
      </c>
      <c r="F213" s="52" t="n">
        <f aca="false">IF(E213="","",D213-E213)</f>
        <v>52</v>
      </c>
      <c r="G213" s="21" t="n">
        <v>556</v>
      </c>
      <c r="H213" s="21" t="n">
        <v>562</v>
      </c>
      <c r="I213" s="52" t="n">
        <f aca="false">IF(H213="","",G213-H213)</f>
        <v>-6</v>
      </c>
      <c r="J213" s="39" t="n">
        <f aca="false">IF(OR(D213="",D213+G213=0),"",D213/(D213+G213))</f>
        <v>0.532773109243698</v>
      </c>
      <c r="K213" s="39" t="n">
        <f aca="false">IF(E213="","",E213/(E213+H213))</f>
        <v>0.508741258741259</v>
      </c>
      <c r="L213" s="53" t="n">
        <f aca="false">IF(OR(K213="",J213=""),"",(J213-K213)*100)</f>
        <v>2.40318505024387</v>
      </c>
      <c r="M213" s="38"/>
    </row>
    <row r="214" customFormat="false" ht="15" hidden="false" customHeight="false" outlineLevel="0" collapsed="false">
      <c r="A214" s="38" t="s">
        <v>337</v>
      </c>
      <c r="B214" s="38" t="s">
        <v>338</v>
      </c>
      <c r="C214" s="38" t="s">
        <v>339</v>
      </c>
      <c r="D214" s="21" t="n">
        <v>485</v>
      </c>
      <c r="E214" s="21" t="n">
        <v>471</v>
      </c>
      <c r="F214" s="52" t="n">
        <f aca="false">IF(E214="","",D214-E214)</f>
        <v>14</v>
      </c>
      <c r="G214" s="21" t="n">
        <v>984</v>
      </c>
      <c r="H214" s="21" t="n">
        <v>1124</v>
      </c>
      <c r="I214" s="52" t="n">
        <f aca="false">IF(H214="","",G214-H214)</f>
        <v>-140</v>
      </c>
      <c r="J214" s="39" t="n">
        <f aca="false">IF(OR(D214="",D214+G214=0),"",D214/(D214+G214))</f>
        <v>0.330156569094622</v>
      </c>
      <c r="K214" s="39" t="n">
        <f aca="false">IF(E214="","",E214/(E214+H214))</f>
        <v>0.295297805642633</v>
      </c>
      <c r="L214" s="53" t="n">
        <f aca="false">IF(OR(K214="",J214=""),"",(J214-K214)*100)</f>
        <v>3.4858763451989</v>
      </c>
      <c r="M214" s="38"/>
    </row>
    <row r="215" customFormat="false" ht="15" hidden="false" customHeight="false" outlineLevel="0" collapsed="false">
      <c r="A215" s="38" t="s">
        <v>337</v>
      </c>
      <c r="B215" s="38" t="s">
        <v>340</v>
      </c>
      <c r="C215" s="38" t="s">
        <v>341</v>
      </c>
      <c r="D215" s="21" t="n">
        <v>1344</v>
      </c>
      <c r="E215" s="21" t="n">
        <v>1414</v>
      </c>
      <c r="F215" s="52" t="n">
        <f aca="false">IF(E215="","",D215-E215)</f>
        <v>-70</v>
      </c>
      <c r="G215" s="21" t="n">
        <v>2572</v>
      </c>
      <c r="H215" s="21" t="n">
        <v>2894</v>
      </c>
      <c r="I215" s="52" t="n">
        <f aca="false">IF(H215="","",G215-H215)</f>
        <v>-322</v>
      </c>
      <c r="J215" s="39" t="n">
        <f aca="false">IF(OR(D215="",D215+G215=0),"",D215/(D215+G215))</f>
        <v>0.34320735444331</v>
      </c>
      <c r="K215" s="39" t="n">
        <f aca="false">IF(E215="","",E215/(E215+H215))</f>
        <v>0.328226555246054</v>
      </c>
      <c r="L215" s="53" t="n">
        <f aca="false">IF(OR(K215="",J215=""),"",(J215-K215)*100)</f>
        <v>1.49807991972556</v>
      </c>
      <c r="M215" s="38"/>
    </row>
    <row r="216" customFormat="false" ht="15" hidden="false" customHeight="false" outlineLevel="0" collapsed="false">
      <c r="A216" s="38" t="s">
        <v>337</v>
      </c>
      <c r="B216" s="38" t="s">
        <v>342</v>
      </c>
      <c r="C216" s="38" t="s">
        <v>343</v>
      </c>
      <c r="D216" s="21" t="n">
        <v>971</v>
      </c>
      <c r="E216" s="21" t="n">
        <v>521</v>
      </c>
      <c r="F216" s="52" t="n">
        <f aca="false">IF(E216="","",D216-E216)</f>
        <v>450</v>
      </c>
      <c r="G216" s="21" t="n">
        <v>1860</v>
      </c>
      <c r="H216" s="21" t="n">
        <v>997</v>
      </c>
      <c r="I216" s="52" t="n">
        <f aca="false">IF(H216="","",G216-H216)</f>
        <v>863</v>
      </c>
      <c r="J216" s="39" t="n">
        <f aca="false">IF(OR(D216="",D216+G216=0),"",D216/(D216+G216))</f>
        <v>0.342988343341575</v>
      </c>
      <c r="K216" s="39" t="n">
        <f aca="false">IF(E216="","",E216/(E216+H216))</f>
        <v>0.343214756258235</v>
      </c>
      <c r="L216" s="53" t="n">
        <f aca="false">IF(OR(K216="",J216=""),"",(J216-K216)*100)</f>
        <v>-0.0226412916659091</v>
      </c>
      <c r="M216" s="38"/>
    </row>
    <row r="217" customFormat="false" ht="15" hidden="false" customHeight="false" outlineLevel="0" collapsed="false">
      <c r="A217" s="38" t="s">
        <v>344</v>
      </c>
      <c r="B217" s="38" t="s">
        <v>345</v>
      </c>
      <c r="C217" s="38" t="s">
        <v>346</v>
      </c>
      <c r="D217" s="21" t="n">
        <v>697</v>
      </c>
      <c r="E217" s="21" t="n">
        <v>687</v>
      </c>
      <c r="F217" s="52" t="n">
        <f aca="false">IF(E217="","",D217-E217)</f>
        <v>10</v>
      </c>
      <c r="G217" s="21" t="n">
        <v>942</v>
      </c>
      <c r="H217" s="21" t="n">
        <v>1009</v>
      </c>
      <c r="I217" s="52" t="n">
        <f aca="false">IF(H217="","",G217-H217)</f>
        <v>-67</v>
      </c>
      <c r="J217" s="39" t="n">
        <f aca="false">IF(OR(D217="",D217+G217=0),"",D217/(D217+G217))</f>
        <v>0.425259304453935</v>
      </c>
      <c r="K217" s="39" t="n">
        <f aca="false">IF(E217="","",E217/(E217+H217))</f>
        <v>0.405070754716981</v>
      </c>
      <c r="L217" s="53" t="n">
        <f aca="false">IF(OR(K217="",J217=""),"",(J217-K217)*100)</f>
        <v>2.01885497369542</v>
      </c>
      <c r="M217" s="38"/>
    </row>
    <row r="218" customFormat="false" ht="15" hidden="false" customHeight="false" outlineLevel="0" collapsed="false">
      <c r="A218" s="38" t="s">
        <v>344</v>
      </c>
      <c r="B218" s="38" t="s">
        <v>345</v>
      </c>
      <c r="C218" s="38" t="s">
        <v>347</v>
      </c>
      <c r="D218" s="21" t="n">
        <v>837</v>
      </c>
      <c r="E218" s="21" t="n">
        <v>824</v>
      </c>
      <c r="F218" s="52" t="n">
        <f aca="false">IF(E218="","",D218-E218)</f>
        <v>13</v>
      </c>
      <c r="G218" s="21" t="n">
        <v>838</v>
      </c>
      <c r="H218" s="21" t="n">
        <v>1009</v>
      </c>
      <c r="I218" s="52" t="n">
        <f aca="false">IF(H218="","",G218-H218)</f>
        <v>-171</v>
      </c>
      <c r="J218" s="39" t="n">
        <f aca="false">IF(OR(D218="",D218+G218=0),"",D218/(D218+G218))</f>
        <v>0.499701492537313</v>
      </c>
      <c r="K218" s="39" t="n">
        <f aca="false">IF(E218="","",E218/(E218+H218))</f>
        <v>0.449536279323513</v>
      </c>
      <c r="L218" s="53" t="n">
        <f aca="false">IF(OR(K218="",J218=""),"",(J218-K218)*100)</f>
        <v>5.01652132138001</v>
      </c>
      <c r="M218" s="38"/>
    </row>
    <row r="219" customFormat="false" ht="15" hidden="false" customHeight="false" outlineLevel="0" collapsed="false">
      <c r="A219" s="38" t="s">
        <v>344</v>
      </c>
      <c r="B219" s="38" t="s">
        <v>348</v>
      </c>
      <c r="C219" s="38" t="s">
        <v>349</v>
      </c>
      <c r="D219" s="21" t="n">
        <v>487</v>
      </c>
      <c r="E219" s="21"/>
      <c r="F219" s="52" t="str">
        <f aca="false">IF(E219="","",D219-E219)</f>
        <v/>
      </c>
      <c r="G219" s="21" t="n">
        <v>639</v>
      </c>
      <c r="H219" s="21"/>
      <c r="I219" s="52" t="str">
        <f aca="false">IF(H219="","",G219-H219)</f>
        <v/>
      </c>
      <c r="J219" s="39" t="n">
        <f aca="false">IF(OR(D219="",D219+G219=0),"",D219/(D219+G219))</f>
        <v>0.432504440497336</v>
      </c>
      <c r="K219" s="39" t="str">
        <f aca="false">IF(E219="","",E219/(E219+H219))</f>
        <v/>
      </c>
      <c r="L219" s="53" t="str">
        <f aca="false">IF(OR(K219="",J219=""),"",(J219-K219)*100)</f>
        <v/>
      </c>
      <c r="M219" s="38" t="s">
        <v>650</v>
      </c>
    </row>
    <row r="220" customFormat="false" ht="15" hidden="false" customHeight="false" outlineLevel="0" collapsed="false">
      <c r="A220" s="38" t="s">
        <v>344</v>
      </c>
      <c r="B220" s="38" t="s">
        <v>348</v>
      </c>
      <c r="C220" s="38" t="s">
        <v>350</v>
      </c>
      <c r="D220" s="21" t="n">
        <v>517</v>
      </c>
      <c r="E220" s="21"/>
      <c r="F220" s="52" t="str">
        <f aca="false">IF(E220="","",D220-E220)</f>
        <v/>
      </c>
      <c r="G220" s="21" t="n">
        <v>664</v>
      </c>
      <c r="H220" s="21"/>
      <c r="I220" s="52" t="str">
        <f aca="false">IF(H220="","",G220-H220)</f>
        <v/>
      </c>
      <c r="J220" s="39" t="n">
        <f aca="false">IF(OR(D220="",D220+G220=0),"",D220/(D220+G220))</f>
        <v>0.437764606265876</v>
      </c>
      <c r="K220" s="39" t="str">
        <f aca="false">IF(E220="","",E220/(E220+H220))</f>
        <v/>
      </c>
      <c r="L220" s="53" t="str">
        <f aca="false">IF(OR(K220="",J220=""),"",(J220-K220)*100)</f>
        <v/>
      </c>
      <c r="M220" s="38" t="s">
        <v>650</v>
      </c>
    </row>
    <row r="221" customFormat="false" ht="15" hidden="false" customHeight="false" outlineLevel="0" collapsed="false">
      <c r="A221" s="38" t="s">
        <v>344</v>
      </c>
      <c r="B221" s="38" t="s">
        <v>351</v>
      </c>
      <c r="C221" s="38" t="s">
        <v>352</v>
      </c>
      <c r="D221" s="21" t="n">
        <v>601</v>
      </c>
      <c r="E221" s="21" t="n">
        <v>623</v>
      </c>
      <c r="F221" s="52" t="n">
        <f aca="false">IF(E221="","",D221-E221)</f>
        <v>-22</v>
      </c>
      <c r="G221" s="21" t="n">
        <v>673</v>
      </c>
      <c r="H221" s="21" t="n">
        <v>726</v>
      </c>
      <c r="I221" s="52" t="n">
        <f aca="false">IF(H221="","",G221-H221)</f>
        <v>-53</v>
      </c>
      <c r="J221" s="39" t="n">
        <f aca="false">IF(OR(D221="",D221+G221=0),"",D221/(D221+G221))</f>
        <v>0.471742543171115</v>
      </c>
      <c r="K221" s="39" t="n">
        <f aca="false">IF(E221="","",E221/(E221+H221))</f>
        <v>0.46182357301705</v>
      </c>
      <c r="L221" s="53" t="n">
        <f aca="false">IF(OR(K221="",J221=""),"",(J221-K221)*100)</f>
        <v>0.99189701540649</v>
      </c>
      <c r="M221" s="38"/>
    </row>
    <row r="222" customFormat="false" ht="15" hidden="false" customHeight="false" outlineLevel="0" collapsed="false">
      <c r="A222" s="38" t="s">
        <v>344</v>
      </c>
      <c r="B222" s="38" t="s">
        <v>219</v>
      </c>
      <c r="C222" s="38" t="s">
        <v>353</v>
      </c>
      <c r="D222" s="21" t="n">
        <v>704</v>
      </c>
      <c r="E222" s="21" t="n">
        <v>775</v>
      </c>
      <c r="F222" s="52" t="n">
        <f aca="false">IF(E222="","",D222-E222)</f>
        <v>-71</v>
      </c>
      <c r="G222" s="21" t="n">
        <v>430</v>
      </c>
      <c r="H222" s="21" t="n">
        <v>447</v>
      </c>
      <c r="I222" s="52" t="n">
        <f aca="false">IF(H222="","",G222-H222)</f>
        <v>-17</v>
      </c>
      <c r="J222" s="39" t="n">
        <f aca="false">IF(OR(D222="",D222+G222=0),"",D222/(D222+G222))</f>
        <v>0.620811287477954</v>
      </c>
      <c r="K222" s="39" t="n">
        <f aca="false">IF(E222="","",E222/(E222+H222))</f>
        <v>0.634206219312602</v>
      </c>
      <c r="L222" s="53" t="n">
        <f aca="false">IF(OR(K222="",J222=""),"",(J222-K222)*100)</f>
        <v>-1.33949318346481</v>
      </c>
      <c r="M222" s="38"/>
    </row>
    <row r="223" customFormat="false" ht="15" hidden="false" customHeight="false" outlineLevel="0" collapsed="false">
      <c r="A223" s="38" t="s">
        <v>344</v>
      </c>
      <c r="B223" s="38" t="s">
        <v>219</v>
      </c>
      <c r="C223" s="38" t="s">
        <v>354</v>
      </c>
      <c r="D223" s="21" t="n">
        <v>990</v>
      </c>
      <c r="E223" s="21" t="n">
        <v>982</v>
      </c>
      <c r="F223" s="52" t="n">
        <f aca="false">IF(E223="","",D223-E223)</f>
        <v>8</v>
      </c>
      <c r="G223" s="21" t="n">
        <v>629</v>
      </c>
      <c r="H223" s="21" t="n">
        <v>684</v>
      </c>
      <c r="I223" s="52" t="n">
        <f aca="false">IF(H223="","",G223-H223)</f>
        <v>-55</v>
      </c>
      <c r="J223" s="39" t="n">
        <f aca="false">IF(OR(D223="",D223+G223=0),"",D223/(D223+G223))</f>
        <v>0.611488573193329</v>
      </c>
      <c r="K223" s="39" t="n">
        <f aca="false">IF(E223="","",E223/(E223+H223))</f>
        <v>0.589435774309724</v>
      </c>
      <c r="L223" s="53" t="n">
        <f aca="false">IF(OR(K223="",J223=""),"",(J223-K223)*100)</f>
        <v>2.20527988836052</v>
      </c>
      <c r="M223" s="38"/>
    </row>
    <row r="224" customFormat="false" ht="15" hidden="false" customHeight="false" outlineLevel="0" collapsed="false">
      <c r="A224" s="38" t="s">
        <v>344</v>
      </c>
      <c r="B224" s="38" t="s">
        <v>219</v>
      </c>
      <c r="C224" s="38" t="s">
        <v>355</v>
      </c>
      <c r="D224" s="21" t="n">
        <v>778</v>
      </c>
      <c r="E224" s="21" t="n">
        <v>750</v>
      </c>
      <c r="F224" s="52" t="n">
        <f aca="false">IF(E224="","",D224-E224)</f>
        <v>28</v>
      </c>
      <c r="G224" s="21" t="n">
        <v>398</v>
      </c>
      <c r="H224" s="21" t="n">
        <v>421</v>
      </c>
      <c r="I224" s="52" t="n">
        <f aca="false">IF(H224="","",G224-H224)</f>
        <v>-23</v>
      </c>
      <c r="J224" s="39" t="n">
        <f aca="false">IF(OR(D224="",D224+G224=0),"",D224/(D224+G224))</f>
        <v>0.66156462585034</v>
      </c>
      <c r="K224" s="39" t="n">
        <f aca="false">IF(E224="","",E224/(E224+H224))</f>
        <v>0.640478223740393</v>
      </c>
      <c r="L224" s="53" t="n">
        <f aca="false">IF(OR(K224="",J224=""),"",(J224-K224)*100)</f>
        <v>2.10864021099473</v>
      </c>
      <c r="M224" s="38"/>
    </row>
    <row r="225" customFormat="false" ht="15" hidden="false" customHeight="false" outlineLevel="0" collapsed="false">
      <c r="A225" s="38" t="s">
        <v>344</v>
      </c>
      <c r="B225" s="38" t="s">
        <v>219</v>
      </c>
      <c r="C225" s="38" t="s">
        <v>356</v>
      </c>
      <c r="D225" s="21" t="n">
        <v>606</v>
      </c>
      <c r="E225" s="21" t="n">
        <v>592</v>
      </c>
      <c r="F225" s="52" t="n">
        <f aca="false">IF(E225="","",D225-E225)</f>
        <v>14</v>
      </c>
      <c r="G225" s="21" t="n">
        <v>344</v>
      </c>
      <c r="H225" s="21" t="n">
        <v>337</v>
      </c>
      <c r="I225" s="52" t="n">
        <f aca="false">IF(H225="","",G225-H225)</f>
        <v>7</v>
      </c>
      <c r="J225" s="39" t="n">
        <f aca="false">IF(OR(D225="",D225+G225=0),"",D225/(D225+G225))</f>
        <v>0.637894736842105</v>
      </c>
      <c r="K225" s="39" t="n">
        <f aca="false">IF(E225="","",E225/(E225+H225))</f>
        <v>0.63724434876211</v>
      </c>
      <c r="L225" s="53" t="n">
        <f aca="false">IF(OR(K225="",J225=""),"",(J225-K225)*100)</f>
        <v>0.0650388079995512</v>
      </c>
      <c r="M225" s="38"/>
    </row>
    <row r="226" customFormat="false" ht="15" hidden="false" customHeight="false" outlineLevel="0" collapsed="false">
      <c r="A226" s="38" t="s">
        <v>344</v>
      </c>
      <c r="B226" s="38" t="s">
        <v>219</v>
      </c>
      <c r="C226" s="38" t="s">
        <v>357</v>
      </c>
      <c r="D226" s="21" t="n">
        <v>799</v>
      </c>
      <c r="E226" s="21" t="n">
        <v>740</v>
      </c>
      <c r="F226" s="52" t="n">
        <f aca="false">IF(E226="","",D226-E226)</f>
        <v>59</v>
      </c>
      <c r="G226" s="21" t="n">
        <v>510</v>
      </c>
      <c r="H226" s="21" t="n">
        <v>506</v>
      </c>
      <c r="I226" s="52" t="n">
        <f aca="false">IF(H226="","",G226-H226)</f>
        <v>4</v>
      </c>
      <c r="J226" s="39" t="n">
        <f aca="false">IF(OR(D226="",D226+G226=0),"",D226/(D226+G226))</f>
        <v>0.61038961038961</v>
      </c>
      <c r="K226" s="39" t="n">
        <f aca="false">IF(E226="","",E226/(E226+H226))</f>
        <v>0.593900481540931</v>
      </c>
      <c r="L226" s="53" t="n">
        <f aca="false">IF(OR(K226="",J226=""),"",(J226-K226)*100)</f>
        <v>1.64891288486794</v>
      </c>
      <c r="M226" s="38"/>
    </row>
    <row r="227" customFormat="false" ht="15" hidden="false" customHeight="false" outlineLevel="0" collapsed="false">
      <c r="A227" s="38" t="s">
        <v>344</v>
      </c>
      <c r="B227" s="38" t="s">
        <v>219</v>
      </c>
      <c r="C227" s="38" t="s">
        <v>358</v>
      </c>
      <c r="D227" s="21" t="n">
        <v>1091</v>
      </c>
      <c r="E227" s="21" t="n">
        <v>1037</v>
      </c>
      <c r="F227" s="52" t="n">
        <f aca="false">IF(E227="","",D227-E227)</f>
        <v>54</v>
      </c>
      <c r="G227" s="21" t="n">
        <v>611</v>
      </c>
      <c r="H227" s="21" t="n">
        <v>623</v>
      </c>
      <c r="I227" s="52" t="n">
        <f aca="false">IF(H227="","",G227-H227)</f>
        <v>-12</v>
      </c>
      <c r="J227" s="39" t="n">
        <f aca="false">IF(OR(D227="",D227+G227=0),"",D227/(D227+G227))</f>
        <v>0.641010575793184</v>
      </c>
      <c r="K227" s="39" t="n">
        <f aca="false">IF(E227="","",E227/(E227+H227))</f>
        <v>0.624698795180723</v>
      </c>
      <c r="L227" s="53" t="n">
        <f aca="false">IF(OR(K227="",J227=""),"",(J227-K227)*100)</f>
        <v>1.63117806124615</v>
      </c>
      <c r="M227" s="38"/>
    </row>
    <row r="228" customFormat="false" ht="15" hidden="false" customHeight="false" outlineLevel="0" collapsed="false">
      <c r="A228" s="38" t="s">
        <v>344</v>
      </c>
      <c r="B228" s="38" t="s">
        <v>219</v>
      </c>
      <c r="C228" s="38" t="s">
        <v>359</v>
      </c>
      <c r="D228" s="21" t="n">
        <v>705</v>
      </c>
      <c r="E228" s="21" t="n">
        <v>681</v>
      </c>
      <c r="F228" s="52" t="n">
        <f aca="false">IF(E228="","",D228-E228)</f>
        <v>24</v>
      </c>
      <c r="G228" s="21" t="n">
        <v>487</v>
      </c>
      <c r="H228" s="21" t="n">
        <v>513</v>
      </c>
      <c r="I228" s="52" t="n">
        <f aca="false">IF(H228="","",G228-H228)</f>
        <v>-26</v>
      </c>
      <c r="J228" s="39" t="n">
        <f aca="false">IF(OR(D228="",D228+G228=0),"",D228/(D228+G228))</f>
        <v>0.591442953020134</v>
      </c>
      <c r="K228" s="39" t="n">
        <f aca="false">IF(E228="","",E228/(E228+H228))</f>
        <v>0.57035175879397</v>
      </c>
      <c r="L228" s="53" t="n">
        <f aca="false">IF(OR(K228="",J228=""),"",(J228-K228)*100)</f>
        <v>2.10911942261645</v>
      </c>
      <c r="M228" s="38"/>
    </row>
    <row r="229" customFormat="false" ht="15" hidden="false" customHeight="false" outlineLevel="0" collapsed="false">
      <c r="A229" s="38" t="s">
        <v>344</v>
      </c>
      <c r="B229" s="38" t="s">
        <v>219</v>
      </c>
      <c r="C229" s="38" t="s">
        <v>360</v>
      </c>
      <c r="D229" s="21" t="n">
        <v>555</v>
      </c>
      <c r="E229" s="21" t="n">
        <v>529</v>
      </c>
      <c r="F229" s="52" t="n">
        <f aca="false">IF(E229="","",D229-E229)</f>
        <v>26</v>
      </c>
      <c r="G229" s="21" t="n">
        <v>314</v>
      </c>
      <c r="H229" s="21" t="n">
        <v>293</v>
      </c>
      <c r="I229" s="52" t="n">
        <f aca="false">IF(H229="","",G229-H229)</f>
        <v>21</v>
      </c>
      <c r="J229" s="39" t="n">
        <f aca="false">IF(OR(D229="",D229+G229=0),"",D229/(D229+G229))</f>
        <v>0.638665132336018</v>
      </c>
      <c r="K229" s="39" t="n">
        <f aca="false">IF(E229="","",E229/(E229+H229))</f>
        <v>0.643552311435523</v>
      </c>
      <c r="L229" s="53" t="n">
        <f aca="false">IF(OR(K229="",J229=""),"",(J229-K229)*100)</f>
        <v>-0.488717909950476</v>
      </c>
      <c r="M229" s="38"/>
    </row>
    <row r="230" customFormat="false" ht="15" hidden="false" customHeight="false" outlineLevel="0" collapsed="false">
      <c r="A230" s="38" t="s">
        <v>344</v>
      </c>
      <c r="B230" s="38" t="s">
        <v>219</v>
      </c>
      <c r="C230" s="38" t="s">
        <v>361</v>
      </c>
      <c r="D230" s="21" t="n">
        <v>689</v>
      </c>
      <c r="E230" s="21" t="n">
        <v>767</v>
      </c>
      <c r="F230" s="52" t="n">
        <f aca="false">IF(E230="","",D230-E230)</f>
        <v>-78</v>
      </c>
      <c r="G230" s="21" t="n">
        <v>322</v>
      </c>
      <c r="H230" s="21" t="n">
        <v>384</v>
      </c>
      <c r="I230" s="52" t="n">
        <f aca="false">IF(H230="","",G230-H230)</f>
        <v>-62</v>
      </c>
      <c r="J230" s="39" t="n">
        <f aca="false">IF(OR(D230="",D230+G230=0),"",D230/(D230+G230))</f>
        <v>0.681503461918892</v>
      </c>
      <c r="K230" s="39" t="n">
        <f aca="false">IF(E230="","",E230/(E230+H230))</f>
        <v>0.66637706342311</v>
      </c>
      <c r="L230" s="53" t="n">
        <f aca="false">IF(OR(K230="",J230=""),"",(J230-K230)*100)</f>
        <v>1.51263984957819</v>
      </c>
      <c r="M230" s="38"/>
    </row>
    <row r="231" customFormat="false" ht="15" hidden="false" customHeight="false" outlineLevel="0" collapsed="false">
      <c r="A231" s="38" t="s">
        <v>344</v>
      </c>
      <c r="B231" s="38" t="s">
        <v>219</v>
      </c>
      <c r="C231" s="38" t="s">
        <v>362</v>
      </c>
      <c r="D231" s="21" t="n">
        <v>921</v>
      </c>
      <c r="E231" s="21" t="n">
        <v>906</v>
      </c>
      <c r="F231" s="52" t="n">
        <f aca="false">IF(E231="","",D231-E231)</f>
        <v>15</v>
      </c>
      <c r="G231" s="21" t="n">
        <v>540</v>
      </c>
      <c r="H231" s="21" t="n">
        <v>586</v>
      </c>
      <c r="I231" s="52" t="n">
        <f aca="false">IF(H231="","",G231-H231)</f>
        <v>-46</v>
      </c>
      <c r="J231" s="39" t="n">
        <f aca="false">IF(OR(D231="",D231+G231=0),"",D231/(D231+G231))</f>
        <v>0.630390143737166</v>
      </c>
      <c r="K231" s="39" t="n">
        <f aca="false">IF(E231="","",E231/(E231+H231))</f>
        <v>0.607238605898123</v>
      </c>
      <c r="L231" s="53" t="n">
        <f aca="false">IF(OR(K231="",J231=""),"",(J231-K231)*100)</f>
        <v>2.3151537839043</v>
      </c>
      <c r="M231" s="38"/>
    </row>
    <row r="232" customFormat="false" ht="15" hidden="false" customHeight="false" outlineLevel="0" collapsed="false">
      <c r="A232" s="38" t="s">
        <v>344</v>
      </c>
      <c r="B232" s="38" t="s">
        <v>219</v>
      </c>
      <c r="C232" s="38" t="s">
        <v>363</v>
      </c>
      <c r="D232" s="21" t="n">
        <v>893</v>
      </c>
      <c r="E232" s="21" t="n">
        <v>954</v>
      </c>
      <c r="F232" s="52" t="n">
        <f aca="false">IF(E232="","",D232-E232)</f>
        <v>-61</v>
      </c>
      <c r="G232" s="21" t="n">
        <v>379</v>
      </c>
      <c r="H232" s="21" t="n">
        <v>416</v>
      </c>
      <c r="I232" s="52" t="n">
        <f aca="false">IF(H232="","",G232-H232)</f>
        <v>-37</v>
      </c>
      <c r="J232" s="39" t="n">
        <f aca="false">IF(OR(D232="",D232+G232=0),"",D232/(D232+G232))</f>
        <v>0.702044025157233</v>
      </c>
      <c r="K232" s="39" t="n">
        <f aca="false">IF(E232="","",E232/(E232+H232))</f>
        <v>0.696350364963504</v>
      </c>
      <c r="L232" s="53" t="n">
        <f aca="false">IF(OR(K232="",J232=""),"",(J232-K232)*100)</f>
        <v>0.569366019372908</v>
      </c>
      <c r="M232" s="38"/>
    </row>
    <row r="233" customFormat="false" ht="15" hidden="false" customHeight="false" outlineLevel="0" collapsed="false">
      <c r="A233" s="38" t="s">
        <v>344</v>
      </c>
      <c r="B233" s="38" t="s">
        <v>219</v>
      </c>
      <c r="C233" s="38" t="s">
        <v>364</v>
      </c>
      <c r="D233" s="21" t="n">
        <v>760</v>
      </c>
      <c r="E233" s="21" t="n">
        <v>821</v>
      </c>
      <c r="F233" s="52" t="n">
        <f aca="false">IF(E233="","",D233-E233)</f>
        <v>-61</v>
      </c>
      <c r="G233" s="21" t="n">
        <v>443</v>
      </c>
      <c r="H233" s="21" t="n">
        <v>474</v>
      </c>
      <c r="I233" s="52" t="n">
        <f aca="false">IF(H233="","",G233-H233)</f>
        <v>-31</v>
      </c>
      <c r="J233" s="39" t="n">
        <f aca="false">IF(OR(D233="",D233+G233=0),"",D233/(D233+G233))</f>
        <v>0.631753948462178</v>
      </c>
      <c r="K233" s="39" t="n">
        <f aca="false">IF(E233="","",E233/(E233+H233))</f>
        <v>0.633976833976834</v>
      </c>
      <c r="L233" s="53" t="n">
        <f aca="false">IF(OR(K233="",J233=""),"",(J233-K233)*100)</f>
        <v>-0.22228855146561</v>
      </c>
      <c r="M233" s="38"/>
    </row>
    <row r="234" customFormat="false" ht="15" hidden="false" customHeight="false" outlineLevel="0" collapsed="false">
      <c r="A234" s="38" t="s">
        <v>344</v>
      </c>
      <c r="B234" s="38" t="s">
        <v>219</v>
      </c>
      <c r="C234" s="38" t="s">
        <v>365</v>
      </c>
      <c r="D234" s="21" t="n">
        <v>294</v>
      </c>
      <c r="E234" s="21" t="n">
        <v>283</v>
      </c>
      <c r="F234" s="52" t="n">
        <f aca="false">IF(E234="","",D234-E234)</f>
        <v>11</v>
      </c>
      <c r="G234" s="21" t="n">
        <v>94</v>
      </c>
      <c r="H234" s="21" t="n">
        <v>110</v>
      </c>
      <c r="I234" s="52" t="n">
        <f aca="false">IF(H234="","",G234-H234)</f>
        <v>-16</v>
      </c>
      <c r="J234" s="39" t="n">
        <f aca="false">IF(OR(D234="",D234+G234=0),"",D234/(D234+G234))</f>
        <v>0.757731958762887</v>
      </c>
      <c r="K234" s="39" t="n">
        <f aca="false">IF(E234="","",E234/(E234+H234))</f>
        <v>0.720101781170484</v>
      </c>
      <c r="L234" s="53" t="n">
        <f aca="false">IF(OR(K234="",J234=""),"",(J234-K234)*100)</f>
        <v>3.76301775924031</v>
      </c>
      <c r="M234" s="38"/>
    </row>
    <row r="235" customFormat="false" ht="15" hidden="false" customHeight="false" outlineLevel="0" collapsed="false">
      <c r="A235" s="38" t="s">
        <v>344</v>
      </c>
      <c r="B235" s="38" t="s">
        <v>219</v>
      </c>
      <c r="C235" s="38" t="s">
        <v>366</v>
      </c>
      <c r="D235" s="21" t="n">
        <v>505</v>
      </c>
      <c r="E235" s="21" t="n">
        <v>450</v>
      </c>
      <c r="F235" s="52" t="n">
        <f aca="false">IF(E235="","",D235-E235)</f>
        <v>55</v>
      </c>
      <c r="G235" s="21" t="n">
        <v>156</v>
      </c>
      <c r="H235" s="21" t="n">
        <v>179</v>
      </c>
      <c r="I235" s="52" t="n">
        <f aca="false">IF(H235="","",G235-H235)</f>
        <v>-23</v>
      </c>
      <c r="J235" s="39" t="n">
        <f aca="false">IF(OR(D235="",D235+G235=0),"",D235/(D235+G235))</f>
        <v>0.763993948562784</v>
      </c>
      <c r="K235" s="39" t="n">
        <f aca="false">IF(E235="","",E235/(E235+H235))</f>
        <v>0.715421303656598</v>
      </c>
      <c r="L235" s="53" t="n">
        <f aca="false">IF(OR(K235="",J235=""),"",(J235-K235)*100)</f>
        <v>4.8572644906186</v>
      </c>
      <c r="M235" s="38"/>
    </row>
    <row r="236" customFormat="false" ht="15" hidden="false" customHeight="false" outlineLevel="0" collapsed="false">
      <c r="A236" s="38" t="s">
        <v>344</v>
      </c>
      <c r="B236" s="38" t="s">
        <v>219</v>
      </c>
      <c r="C236" s="38" t="s">
        <v>367</v>
      </c>
      <c r="D236" s="21" t="n">
        <v>501</v>
      </c>
      <c r="E236" s="21" t="n">
        <v>442</v>
      </c>
      <c r="F236" s="52" t="n">
        <f aca="false">IF(E236="","",D236-E236)</f>
        <v>59</v>
      </c>
      <c r="G236" s="21" t="n">
        <v>165</v>
      </c>
      <c r="H236" s="21" t="n">
        <v>161</v>
      </c>
      <c r="I236" s="52" t="n">
        <f aca="false">IF(H236="","",G236-H236)</f>
        <v>4</v>
      </c>
      <c r="J236" s="39" t="n">
        <f aca="false">IF(OR(D236="",D236+G236=0),"",D236/(D236+G236))</f>
        <v>0.752252252252252</v>
      </c>
      <c r="K236" s="39" t="n">
        <f aca="false">IF(E236="","",E236/(E236+H236))</f>
        <v>0.733001658374793</v>
      </c>
      <c r="L236" s="53" t="n">
        <f aca="false">IF(OR(K236="",J236=""),"",(J236-K236)*100)</f>
        <v>1.92505938774595</v>
      </c>
      <c r="M236" s="38"/>
    </row>
    <row r="237" customFormat="false" ht="15" hidden="false" customHeight="false" outlineLevel="0" collapsed="false">
      <c r="A237" s="38" t="s">
        <v>344</v>
      </c>
      <c r="B237" s="38" t="s">
        <v>219</v>
      </c>
      <c r="C237" s="38" t="s">
        <v>368</v>
      </c>
      <c r="D237" s="21" t="n">
        <v>610</v>
      </c>
      <c r="E237" s="21" t="n">
        <v>599</v>
      </c>
      <c r="F237" s="52" t="n">
        <f aca="false">IF(E237="","",D237-E237)</f>
        <v>11</v>
      </c>
      <c r="G237" s="21" t="n">
        <v>158</v>
      </c>
      <c r="H237" s="21" t="n">
        <v>203</v>
      </c>
      <c r="I237" s="52" t="n">
        <f aca="false">IF(H237="","",G237-H237)</f>
        <v>-45</v>
      </c>
      <c r="J237" s="39" t="n">
        <f aca="false">IF(OR(D237="",D237+G237=0),"",D237/(D237+G237))</f>
        <v>0.794270833333333</v>
      </c>
      <c r="K237" s="39" t="n">
        <f aca="false">IF(E237="","",E237/(E237+H237))</f>
        <v>0.746882793017456</v>
      </c>
      <c r="L237" s="53" t="n">
        <f aca="false">IF(OR(K237="",J237=""),"",(J237-K237)*100)</f>
        <v>4.7388040315877</v>
      </c>
      <c r="M237" s="38"/>
    </row>
    <row r="238" customFormat="false" ht="15" hidden="false" customHeight="false" outlineLevel="0" collapsed="false">
      <c r="A238" s="38" t="s">
        <v>344</v>
      </c>
      <c r="B238" s="38" t="s">
        <v>219</v>
      </c>
      <c r="C238" s="38" t="s">
        <v>369</v>
      </c>
      <c r="D238" s="21" t="n">
        <v>747</v>
      </c>
      <c r="E238" s="21" t="n">
        <v>1506</v>
      </c>
      <c r="F238" s="52" t="n">
        <f aca="false">IF(E238="","",D238-E238)</f>
        <v>-759</v>
      </c>
      <c r="G238" s="21" t="n">
        <v>170</v>
      </c>
      <c r="H238" s="21" t="n">
        <v>338</v>
      </c>
      <c r="I238" s="52" t="n">
        <f aca="false">IF(H238="","",G238-H238)</f>
        <v>-168</v>
      </c>
      <c r="J238" s="39" t="n">
        <f aca="false">IF(OR(D238="",D238+G238=0),"",D238/(D238+G238))</f>
        <v>0.814612868047983</v>
      </c>
      <c r="K238" s="39" t="n">
        <f aca="false">IF(E238="","",E238/(E238+H238))</f>
        <v>0.816702819956616</v>
      </c>
      <c r="L238" s="53" t="n">
        <f aca="false">IF(OR(K238="",J238=""),"",(J238-K238)*100)</f>
        <v>-0.208995190863359</v>
      </c>
      <c r="M238" s="38"/>
    </row>
    <row r="239" customFormat="false" ht="15" hidden="false" customHeight="false" outlineLevel="0" collapsed="false">
      <c r="A239" s="38" t="s">
        <v>344</v>
      </c>
      <c r="B239" s="38" t="s">
        <v>219</v>
      </c>
      <c r="C239" s="38" t="s">
        <v>370</v>
      </c>
      <c r="D239" s="21" t="n">
        <v>663</v>
      </c>
      <c r="E239" s="21" t="n">
        <v>645</v>
      </c>
      <c r="F239" s="52" t="n">
        <f aca="false">IF(E239="","",D239-E239)</f>
        <v>18</v>
      </c>
      <c r="G239" s="21" t="n">
        <v>184</v>
      </c>
      <c r="H239" s="21" t="n">
        <v>243</v>
      </c>
      <c r="I239" s="52" t="n">
        <f aca="false">IF(H239="","",G239-H239)</f>
        <v>-59</v>
      </c>
      <c r="J239" s="39" t="n">
        <f aca="false">IF(OR(D239="",D239+G239=0),"",D239/(D239+G239))</f>
        <v>0.782762691853601</v>
      </c>
      <c r="K239" s="39" t="n">
        <f aca="false">IF(E239="","",E239/(E239+H239))</f>
        <v>0.726351351351351</v>
      </c>
      <c r="L239" s="53" t="n">
        <f aca="false">IF(OR(K239="",J239=""),"",(J239-K239)*100)</f>
        <v>5.64113405022496</v>
      </c>
      <c r="M239" s="38"/>
    </row>
    <row r="240" customFormat="false" ht="15" hidden="false" customHeight="false" outlineLevel="0" collapsed="false">
      <c r="A240" s="38" t="s">
        <v>344</v>
      </c>
      <c r="B240" s="38" t="s">
        <v>219</v>
      </c>
      <c r="C240" s="38" t="s">
        <v>371</v>
      </c>
      <c r="D240" s="21" t="n">
        <v>728</v>
      </c>
      <c r="E240" s="21" t="n">
        <v>628</v>
      </c>
      <c r="F240" s="52" t="n">
        <f aca="false">IF(E240="","",D240-E240)</f>
        <v>100</v>
      </c>
      <c r="G240" s="21" t="n">
        <v>230</v>
      </c>
      <c r="H240" s="21" t="n">
        <v>267</v>
      </c>
      <c r="I240" s="52" t="n">
        <f aca="false">IF(H240="","",G240-H240)</f>
        <v>-37</v>
      </c>
      <c r="J240" s="39" t="n">
        <f aca="false">IF(OR(D240="",D240+G240=0),"",D240/(D240+G240))</f>
        <v>0.759916492693111</v>
      </c>
      <c r="K240" s="39" t="n">
        <f aca="false">IF(E240="","",E240/(E240+H240))</f>
        <v>0.701675977653631</v>
      </c>
      <c r="L240" s="53" t="n">
        <f aca="false">IF(OR(K240="",J240=""),"",(J240-K240)*100)</f>
        <v>5.82405150394794</v>
      </c>
      <c r="M240" s="38"/>
    </row>
    <row r="241" customFormat="false" ht="15" hidden="false" customHeight="false" outlineLevel="0" collapsed="false">
      <c r="A241" s="38" t="s">
        <v>344</v>
      </c>
      <c r="B241" s="38" t="s">
        <v>219</v>
      </c>
      <c r="C241" s="38" t="s">
        <v>372</v>
      </c>
      <c r="D241" s="21" t="n">
        <v>453</v>
      </c>
      <c r="E241" s="21" t="n">
        <v>473</v>
      </c>
      <c r="F241" s="52" t="n">
        <f aca="false">IF(E241="","",D241-E241)</f>
        <v>-20</v>
      </c>
      <c r="G241" s="21" t="n">
        <v>179</v>
      </c>
      <c r="H241" s="21" t="n">
        <v>153</v>
      </c>
      <c r="I241" s="52" t="n">
        <f aca="false">IF(H241="","",G241-H241)</f>
        <v>26</v>
      </c>
      <c r="J241" s="39" t="n">
        <f aca="false">IF(OR(D241="",D241+G241=0),"",D241/(D241+G241))</f>
        <v>0.716772151898734</v>
      </c>
      <c r="K241" s="39" t="n">
        <f aca="false">IF(E241="","",E241/(E241+H241))</f>
        <v>0.755591054313099</v>
      </c>
      <c r="L241" s="53" t="n">
        <f aca="false">IF(OR(K241="",J241=""),"",(J241-K241)*100)</f>
        <v>-3.88189024143648</v>
      </c>
      <c r="M241" s="38"/>
    </row>
    <row r="242" customFormat="false" ht="15" hidden="false" customHeight="false" outlineLevel="0" collapsed="false">
      <c r="A242" s="38" t="s">
        <v>344</v>
      </c>
      <c r="B242" s="38" t="s">
        <v>219</v>
      </c>
      <c r="C242" s="38" t="s">
        <v>373</v>
      </c>
      <c r="D242" s="21" t="n">
        <v>776</v>
      </c>
      <c r="E242" s="21" t="n">
        <v>745</v>
      </c>
      <c r="F242" s="52" t="n">
        <f aca="false">IF(E242="","",D242-E242)</f>
        <v>31</v>
      </c>
      <c r="G242" s="21" t="n">
        <v>281</v>
      </c>
      <c r="H242" s="21" t="n">
        <v>301</v>
      </c>
      <c r="I242" s="52" t="n">
        <f aca="false">IF(H242="","",G242-H242)</f>
        <v>-20</v>
      </c>
      <c r="J242" s="39" t="n">
        <f aca="false">IF(OR(D242="",D242+G242=0),"",D242/(D242+G242))</f>
        <v>0.734153263954589</v>
      </c>
      <c r="K242" s="39" t="n">
        <f aca="false">IF(E242="","",E242/(E242+H242))</f>
        <v>0.712237093690249</v>
      </c>
      <c r="L242" s="53" t="n">
        <f aca="false">IF(OR(K242="",J242=""),"",(J242-K242)*100)</f>
        <v>2.19161702643399</v>
      </c>
      <c r="M242" s="38"/>
    </row>
    <row r="243" customFormat="false" ht="15" hidden="false" customHeight="false" outlineLevel="0" collapsed="false">
      <c r="A243" s="38" t="s">
        <v>344</v>
      </c>
      <c r="B243" s="38" t="s">
        <v>219</v>
      </c>
      <c r="C243" s="38" t="s">
        <v>374</v>
      </c>
      <c r="D243" s="21" t="n">
        <v>686</v>
      </c>
      <c r="E243" s="21" t="n">
        <v>682</v>
      </c>
      <c r="F243" s="52" t="n">
        <f aca="false">IF(E243="","",D243-E243)</f>
        <v>4</v>
      </c>
      <c r="G243" s="21" t="n">
        <v>277</v>
      </c>
      <c r="H243" s="21" t="n">
        <v>313</v>
      </c>
      <c r="I243" s="52" t="n">
        <f aca="false">IF(H243="","",G243-H243)</f>
        <v>-36</v>
      </c>
      <c r="J243" s="39" t="n">
        <f aca="false">IF(OR(D243="",D243+G243=0),"",D243/(D243+G243))</f>
        <v>0.712357217030114</v>
      </c>
      <c r="K243" s="39" t="n">
        <f aca="false">IF(E243="","",E243/(E243+H243))</f>
        <v>0.685427135678392</v>
      </c>
      <c r="L243" s="53" t="n">
        <f aca="false">IF(OR(K243="",J243=""),"",(J243-K243)*100)</f>
        <v>2.69300813517223</v>
      </c>
      <c r="M243" s="38"/>
    </row>
    <row r="244" customFormat="false" ht="15" hidden="false" customHeight="false" outlineLevel="0" collapsed="false">
      <c r="A244" s="38" t="s">
        <v>344</v>
      </c>
      <c r="B244" s="38" t="s">
        <v>219</v>
      </c>
      <c r="C244" s="38" t="s">
        <v>375</v>
      </c>
      <c r="D244" s="21" t="n">
        <v>746</v>
      </c>
      <c r="E244" s="21" t="n">
        <v>711</v>
      </c>
      <c r="F244" s="52" t="n">
        <f aca="false">IF(E244="","",D244-E244)</f>
        <v>35</v>
      </c>
      <c r="G244" s="21" t="n">
        <v>303</v>
      </c>
      <c r="H244" s="21" t="n">
        <v>341</v>
      </c>
      <c r="I244" s="52" t="n">
        <f aca="false">IF(H244="","",G244-H244)</f>
        <v>-38</v>
      </c>
      <c r="J244" s="39" t="n">
        <f aca="false">IF(OR(D244="",D244+G244=0),"",D244/(D244+G244))</f>
        <v>0.71115347950429</v>
      </c>
      <c r="K244" s="39" t="n">
        <f aca="false">IF(E244="","",E244/(E244+H244))</f>
        <v>0.675855513307985</v>
      </c>
      <c r="L244" s="53" t="n">
        <f aca="false">IF(OR(K244="",J244=""),"",(J244-K244)*100)</f>
        <v>3.5297966196305</v>
      </c>
      <c r="M244" s="38"/>
    </row>
    <row r="245" customFormat="false" ht="15" hidden="false" customHeight="false" outlineLevel="0" collapsed="false">
      <c r="A245" s="38" t="s">
        <v>344</v>
      </c>
      <c r="B245" s="38" t="s">
        <v>219</v>
      </c>
      <c r="C245" s="38" t="s">
        <v>376</v>
      </c>
      <c r="D245" s="21" t="n">
        <v>636</v>
      </c>
      <c r="E245" s="21"/>
      <c r="F245" s="52" t="str">
        <f aca="false">IF(E245="","",D245-E245)</f>
        <v/>
      </c>
      <c r="G245" s="21" t="n">
        <v>332</v>
      </c>
      <c r="H245" s="21"/>
      <c r="I245" s="52" t="str">
        <f aca="false">IF(H245="","",G245-H245)</f>
        <v/>
      </c>
      <c r="J245" s="39" t="n">
        <f aca="false">IF(OR(D245="",D245+G245=0),"",D245/(D245+G245))</f>
        <v>0.65702479338843</v>
      </c>
      <c r="K245" s="39" t="str">
        <f aca="false">IF(E245="","",E245/(E245+H245))</f>
        <v/>
      </c>
      <c r="L245" s="53" t="str">
        <f aca="false">IF(OR(K245="",J245=""),"",(J245-K245)*100)</f>
        <v/>
      </c>
      <c r="M245" s="38" t="s">
        <v>650</v>
      </c>
    </row>
    <row r="246" customFormat="false" ht="15" hidden="false" customHeight="false" outlineLevel="0" collapsed="false">
      <c r="A246" s="38" t="s">
        <v>344</v>
      </c>
      <c r="B246" s="38" t="s">
        <v>377</v>
      </c>
      <c r="C246" s="38" t="s">
        <v>378</v>
      </c>
      <c r="D246" s="21" t="n">
        <v>475</v>
      </c>
      <c r="E246" s="21" t="n">
        <v>466</v>
      </c>
      <c r="F246" s="52" t="n">
        <f aca="false">IF(E246="","",D246-E246)</f>
        <v>9</v>
      </c>
      <c r="G246" s="21" t="n">
        <v>405</v>
      </c>
      <c r="H246" s="21" t="n">
        <v>405</v>
      </c>
      <c r="I246" s="52" t="n">
        <f aca="false">IF(H246="","",G246-H246)</f>
        <v>0</v>
      </c>
      <c r="J246" s="39" t="n">
        <f aca="false">IF(OR(D246="",D246+G246=0),"",D246/(D246+G246))</f>
        <v>0.539772727272727</v>
      </c>
      <c r="K246" s="39" t="n">
        <f aca="false">IF(E246="","",E246/(E246+H246))</f>
        <v>0.535017221584386</v>
      </c>
      <c r="L246" s="53" t="n">
        <f aca="false">IF(OR(K246="",J246=""),"",(J246-K246)*100)</f>
        <v>0.475550568834149</v>
      </c>
      <c r="M246" s="38"/>
    </row>
    <row r="247" customFormat="false" ht="15" hidden="false" customHeight="false" outlineLevel="0" collapsed="false">
      <c r="A247" s="38" t="s">
        <v>344</v>
      </c>
      <c r="B247" s="38" t="s">
        <v>377</v>
      </c>
      <c r="C247" s="38" t="s">
        <v>379</v>
      </c>
      <c r="D247" s="21" t="n">
        <v>585</v>
      </c>
      <c r="E247" s="21" t="n">
        <v>552</v>
      </c>
      <c r="F247" s="52" t="n">
        <f aca="false">IF(E247="","",D247-E247)</f>
        <v>33</v>
      </c>
      <c r="G247" s="21" t="n">
        <v>499</v>
      </c>
      <c r="H247" s="21" t="n">
        <v>506</v>
      </c>
      <c r="I247" s="52" t="n">
        <f aca="false">IF(H247="","",G247-H247)</f>
        <v>-7</v>
      </c>
      <c r="J247" s="39" t="n">
        <f aca="false">IF(OR(D247="",D247+G247=0),"",D247/(D247+G247))</f>
        <v>0.539667896678967</v>
      </c>
      <c r="K247" s="39" t="n">
        <f aca="false">IF(E247="","",E247/(E247+H247))</f>
        <v>0.521739130434783</v>
      </c>
      <c r="L247" s="53" t="n">
        <f aca="false">IF(OR(K247="",J247=""),"",(J247-K247)*100)</f>
        <v>1.79287662441842</v>
      </c>
      <c r="M247" s="38"/>
    </row>
    <row r="248" customFormat="false" ht="15" hidden="false" customHeight="false" outlineLevel="0" collapsed="false">
      <c r="A248" s="38" t="s">
        <v>344</v>
      </c>
      <c r="B248" s="38" t="s">
        <v>377</v>
      </c>
      <c r="C248" s="38" t="s">
        <v>380</v>
      </c>
      <c r="D248" s="21" t="n">
        <v>569</v>
      </c>
      <c r="E248" s="21" t="n">
        <v>722</v>
      </c>
      <c r="F248" s="52" t="n">
        <f aca="false">IF(E248="","",D248-E248)</f>
        <v>-153</v>
      </c>
      <c r="G248" s="21" t="n">
        <v>446</v>
      </c>
      <c r="H248" s="21" t="n">
        <v>596</v>
      </c>
      <c r="I248" s="52" t="n">
        <f aca="false">IF(H248="","",G248-H248)</f>
        <v>-150</v>
      </c>
      <c r="J248" s="39" t="n">
        <f aca="false">IF(OR(D248="",D248+G248=0),"",D248/(D248+G248))</f>
        <v>0.560591133004926</v>
      </c>
      <c r="K248" s="39" t="n">
        <f aca="false">IF(E248="","",E248/(E248+H248))</f>
        <v>0.547799696509863</v>
      </c>
      <c r="L248" s="53" t="n">
        <f aca="false">IF(OR(K248="",J248=""),"",(J248-K248)*100)</f>
        <v>1.27914364950628</v>
      </c>
      <c r="M248" s="38"/>
    </row>
    <row r="249" customFormat="false" ht="15" hidden="false" customHeight="false" outlineLevel="0" collapsed="false">
      <c r="A249" s="38" t="s">
        <v>344</v>
      </c>
      <c r="B249" s="38" t="s">
        <v>377</v>
      </c>
      <c r="C249" s="38" t="s">
        <v>381</v>
      </c>
      <c r="D249" s="21" t="n">
        <v>314</v>
      </c>
      <c r="E249" s="21" t="n">
        <v>339</v>
      </c>
      <c r="F249" s="52" t="n">
        <f aca="false">IF(E249="","",D249-E249)</f>
        <v>-25</v>
      </c>
      <c r="G249" s="21" t="n">
        <v>305</v>
      </c>
      <c r="H249" s="21" t="n">
        <v>338</v>
      </c>
      <c r="I249" s="52" t="n">
        <f aca="false">IF(H249="","",G249-H249)</f>
        <v>-33</v>
      </c>
      <c r="J249" s="39" t="n">
        <f aca="false">IF(OR(D249="",D249+G249=0),"",D249/(D249+G249))</f>
        <v>0.507269789983845</v>
      </c>
      <c r="K249" s="39" t="n">
        <f aca="false">IF(E249="","",E249/(E249+H249))</f>
        <v>0.500738552437223</v>
      </c>
      <c r="L249" s="53" t="n">
        <f aca="false">IF(OR(K249="",J249=""),"",(J249-K249)*100)</f>
        <v>0.653123754662177</v>
      </c>
      <c r="M249" s="38"/>
    </row>
    <row r="250" customFormat="false" ht="15" hidden="false" customHeight="false" outlineLevel="0" collapsed="false">
      <c r="A250" s="38" t="s">
        <v>344</v>
      </c>
      <c r="B250" s="38" t="s">
        <v>377</v>
      </c>
      <c r="C250" s="38" t="s">
        <v>382</v>
      </c>
      <c r="D250" s="21" t="n">
        <v>584</v>
      </c>
      <c r="E250" s="21" t="n">
        <v>579</v>
      </c>
      <c r="F250" s="52" t="n">
        <f aca="false">IF(E250="","",D250-E250)</f>
        <v>5</v>
      </c>
      <c r="G250" s="21" t="n">
        <v>459</v>
      </c>
      <c r="H250" s="21" t="n">
        <v>482</v>
      </c>
      <c r="I250" s="52" t="n">
        <f aca="false">IF(H250="","",G250-H250)</f>
        <v>-23</v>
      </c>
      <c r="J250" s="39" t="n">
        <f aca="false">IF(OR(D250="",D250+G250=0),"",D250/(D250+G250))</f>
        <v>0.559923298178332</v>
      </c>
      <c r="K250" s="39" t="n">
        <f aca="false">IF(E250="","",E250/(E250+H250))</f>
        <v>0.545711592836946</v>
      </c>
      <c r="L250" s="53" t="n">
        <f aca="false">IF(OR(K250="",J250=""),"",(J250-K250)*100)</f>
        <v>1.42117053413855</v>
      </c>
      <c r="M250" s="38"/>
    </row>
    <row r="251" customFormat="false" ht="15" hidden="false" customHeight="false" outlineLevel="0" collapsed="false">
      <c r="A251" s="38" t="s">
        <v>344</v>
      </c>
      <c r="B251" s="38" t="s">
        <v>377</v>
      </c>
      <c r="C251" s="38" t="s">
        <v>383</v>
      </c>
      <c r="D251" s="21" t="n">
        <v>561</v>
      </c>
      <c r="E251" s="21" t="n">
        <v>562</v>
      </c>
      <c r="F251" s="52" t="n">
        <f aca="false">IF(E251="","",D251-E251)</f>
        <v>-1</v>
      </c>
      <c r="G251" s="21" t="n">
        <v>487</v>
      </c>
      <c r="H251" s="21" t="n">
        <v>525</v>
      </c>
      <c r="I251" s="52" t="n">
        <f aca="false">IF(H251="","",G251-H251)</f>
        <v>-38</v>
      </c>
      <c r="J251" s="39" t="n">
        <f aca="false">IF(OR(D251="",D251+G251=0),"",D251/(D251+G251))</f>
        <v>0.53530534351145</v>
      </c>
      <c r="K251" s="39" t="n">
        <f aca="false">IF(E251="","",E251/(E251+H251))</f>
        <v>0.517019319227231</v>
      </c>
      <c r="L251" s="53" t="n">
        <f aca="false">IF(OR(K251="",J251=""),"",(J251-K251)*100)</f>
        <v>1.82860242842195</v>
      </c>
      <c r="M251" s="38"/>
    </row>
    <row r="252" customFormat="false" ht="15" hidden="false" customHeight="false" outlineLevel="0" collapsed="false">
      <c r="A252" s="38" t="s">
        <v>344</v>
      </c>
      <c r="B252" s="38" t="s">
        <v>377</v>
      </c>
      <c r="C252" s="38" t="s">
        <v>384</v>
      </c>
      <c r="D252" s="21" t="n">
        <v>353</v>
      </c>
      <c r="E252" s="21" t="n">
        <v>337</v>
      </c>
      <c r="F252" s="52" t="n">
        <f aca="false">IF(E252="","",D252-E252)</f>
        <v>16</v>
      </c>
      <c r="G252" s="21" t="n">
        <v>278</v>
      </c>
      <c r="H252" s="21" t="n">
        <v>296</v>
      </c>
      <c r="I252" s="52" t="n">
        <f aca="false">IF(H252="","",G252-H252)</f>
        <v>-18</v>
      </c>
      <c r="J252" s="39" t="n">
        <f aca="false">IF(OR(D252="",D252+G252=0),"",D252/(D252+G252))</f>
        <v>0.559429477020602</v>
      </c>
      <c r="K252" s="39" t="n">
        <f aca="false">IF(E252="","",E252/(E252+H252))</f>
        <v>0.532385466034755</v>
      </c>
      <c r="L252" s="53" t="n">
        <f aca="false">IF(OR(K252="",J252=""),"",(J252-K252)*100)</f>
        <v>2.70440109858471</v>
      </c>
      <c r="M252" s="38"/>
    </row>
    <row r="253" customFormat="false" ht="15" hidden="false" customHeight="false" outlineLevel="0" collapsed="false">
      <c r="A253" s="38" t="s">
        <v>344</v>
      </c>
      <c r="B253" s="38" t="s">
        <v>377</v>
      </c>
      <c r="C253" s="38" t="s">
        <v>385</v>
      </c>
      <c r="D253" s="21" t="n">
        <v>458</v>
      </c>
      <c r="E253" s="21" t="n">
        <v>517</v>
      </c>
      <c r="F253" s="52" t="n">
        <f aca="false">IF(E253="","",D253-E253)</f>
        <v>-59</v>
      </c>
      <c r="G253" s="21" t="n">
        <v>322</v>
      </c>
      <c r="H253" s="21" t="n">
        <v>388</v>
      </c>
      <c r="I253" s="52" t="n">
        <f aca="false">IF(H253="","",G253-H253)</f>
        <v>-66</v>
      </c>
      <c r="J253" s="39" t="n">
        <f aca="false">IF(OR(D253="",D253+G253=0),"",D253/(D253+G253))</f>
        <v>0.587179487179487</v>
      </c>
      <c r="K253" s="39" t="n">
        <f aca="false">IF(E253="","",E253/(E253+H253))</f>
        <v>0.571270718232044</v>
      </c>
      <c r="L253" s="53" t="n">
        <f aca="false">IF(OR(K253="",J253=""),"",(J253-K253)*100)</f>
        <v>1.5908768947443</v>
      </c>
      <c r="M253" s="38"/>
    </row>
    <row r="254" customFormat="false" ht="15" hidden="false" customHeight="false" outlineLevel="0" collapsed="false">
      <c r="A254" s="38" t="s">
        <v>344</v>
      </c>
      <c r="B254" s="38" t="s">
        <v>377</v>
      </c>
      <c r="C254" s="38" t="s">
        <v>386</v>
      </c>
      <c r="D254" s="21" t="n">
        <v>324</v>
      </c>
      <c r="E254" s="21" t="n">
        <v>329</v>
      </c>
      <c r="F254" s="52" t="n">
        <f aca="false">IF(E254="","",D254-E254)</f>
        <v>-5</v>
      </c>
      <c r="G254" s="21" t="n">
        <v>220</v>
      </c>
      <c r="H254" s="21" t="n">
        <v>217</v>
      </c>
      <c r="I254" s="52" t="n">
        <f aca="false">IF(H254="","",G254-H254)</f>
        <v>3</v>
      </c>
      <c r="J254" s="39" t="n">
        <f aca="false">IF(OR(D254="",D254+G254=0),"",D254/(D254+G254))</f>
        <v>0.595588235294118</v>
      </c>
      <c r="K254" s="39" t="n">
        <f aca="false">IF(E254="","",E254/(E254+H254))</f>
        <v>0.602564102564103</v>
      </c>
      <c r="L254" s="53" t="n">
        <f aca="false">IF(OR(K254="",J254=""),"",(J254-K254)*100)</f>
        <v>-0.697586726998489</v>
      </c>
      <c r="M254" s="38"/>
    </row>
    <row r="255" customFormat="false" ht="15" hidden="false" customHeight="false" outlineLevel="0" collapsed="false">
      <c r="A255" s="38" t="s">
        <v>344</v>
      </c>
      <c r="B255" s="38" t="s">
        <v>377</v>
      </c>
      <c r="C255" s="38" t="s">
        <v>387</v>
      </c>
      <c r="D255" s="21" t="n">
        <v>359</v>
      </c>
      <c r="E255" s="21" t="n">
        <v>352</v>
      </c>
      <c r="F255" s="52" t="n">
        <f aca="false">IF(E255="","",D255-E255)</f>
        <v>7</v>
      </c>
      <c r="G255" s="21" t="n">
        <v>338</v>
      </c>
      <c r="H255" s="21" t="n">
        <v>326</v>
      </c>
      <c r="I255" s="52" t="n">
        <f aca="false">IF(H255="","",G255-H255)</f>
        <v>12</v>
      </c>
      <c r="J255" s="39" t="n">
        <f aca="false">IF(OR(D255="",D255+G255=0),"",D255/(D255+G255))</f>
        <v>0.51506456241033</v>
      </c>
      <c r="K255" s="39" t="n">
        <f aca="false">IF(E255="","",E255/(E255+H255))</f>
        <v>0.519174041297935</v>
      </c>
      <c r="L255" s="53" t="n">
        <f aca="false">IF(OR(K255="",J255=""),"",(J255-K255)*100)</f>
        <v>-0.410947888760516</v>
      </c>
      <c r="M255" s="38"/>
    </row>
    <row r="256" customFormat="false" ht="15" hidden="false" customHeight="false" outlineLevel="0" collapsed="false">
      <c r="A256" s="38" t="s">
        <v>344</v>
      </c>
      <c r="B256" s="38" t="s">
        <v>377</v>
      </c>
      <c r="C256" s="38" t="s">
        <v>388</v>
      </c>
      <c r="D256" s="21" t="n">
        <v>453</v>
      </c>
      <c r="E256" s="21" t="n">
        <v>420</v>
      </c>
      <c r="F256" s="52" t="n">
        <f aca="false">IF(E256="","",D256-E256)</f>
        <v>33</v>
      </c>
      <c r="G256" s="21" t="n">
        <v>373</v>
      </c>
      <c r="H256" s="21" t="n">
        <v>378</v>
      </c>
      <c r="I256" s="52" t="n">
        <f aca="false">IF(H256="","",G256-H256)</f>
        <v>-5</v>
      </c>
      <c r="J256" s="39" t="n">
        <f aca="false">IF(OR(D256="",D256+G256=0),"",D256/(D256+G256))</f>
        <v>0.548426150121065</v>
      </c>
      <c r="K256" s="39" t="n">
        <f aca="false">IF(E256="","",E256/(E256+H256))</f>
        <v>0.526315789473684</v>
      </c>
      <c r="L256" s="53" t="n">
        <f aca="false">IF(OR(K256="",J256=""),"",(J256-K256)*100)</f>
        <v>2.21103606473811</v>
      </c>
      <c r="M256" s="38"/>
    </row>
    <row r="257" customFormat="false" ht="15" hidden="false" customHeight="false" outlineLevel="0" collapsed="false">
      <c r="A257" s="38" t="s">
        <v>344</v>
      </c>
      <c r="B257" s="38" t="s">
        <v>377</v>
      </c>
      <c r="C257" s="38" t="s">
        <v>389</v>
      </c>
      <c r="D257" s="21" t="n">
        <v>455</v>
      </c>
      <c r="E257" s="21" t="n">
        <v>522</v>
      </c>
      <c r="F257" s="52" t="n">
        <f aca="false">IF(E257="","",D257-E257)</f>
        <v>-67</v>
      </c>
      <c r="G257" s="21" t="n">
        <v>331</v>
      </c>
      <c r="H257" s="21" t="n">
        <v>400</v>
      </c>
      <c r="I257" s="52" t="n">
        <f aca="false">IF(H257="","",G257-H257)</f>
        <v>-69</v>
      </c>
      <c r="J257" s="39" t="n">
        <f aca="false">IF(OR(D257="",D257+G257=0),"",D257/(D257+G257))</f>
        <v>0.578880407124682</v>
      </c>
      <c r="K257" s="39" t="n">
        <f aca="false">IF(E257="","",E257/(E257+H257))</f>
        <v>0.566160520607375</v>
      </c>
      <c r="L257" s="53" t="n">
        <f aca="false">IF(OR(K257="",J257=""),"",(J257-K257)*100)</f>
        <v>1.27198865173066</v>
      </c>
      <c r="M257" s="38"/>
    </row>
    <row r="258" customFormat="false" ht="15" hidden="false" customHeight="false" outlineLevel="0" collapsed="false">
      <c r="A258" s="38" t="s">
        <v>344</v>
      </c>
      <c r="B258" s="38" t="s">
        <v>377</v>
      </c>
      <c r="C258" s="38" t="s">
        <v>390</v>
      </c>
      <c r="D258" s="21" t="n">
        <v>455</v>
      </c>
      <c r="E258" s="21" t="n">
        <v>436</v>
      </c>
      <c r="F258" s="52" t="n">
        <f aca="false">IF(E258="","",D258-E258)</f>
        <v>19</v>
      </c>
      <c r="G258" s="21" t="n">
        <v>431</v>
      </c>
      <c r="H258" s="21" t="n">
        <v>423</v>
      </c>
      <c r="I258" s="52" t="n">
        <f aca="false">IF(H258="","",G258-H258)</f>
        <v>8</v>
      </c>
      <c r="J258" s="39" t="n">
        <f aca="false">IF(OR(D258="",D258+G258=0),"",D258/(D258+G258))</f>
        <v>0.513544018058691</v>
      </c>
      <c r="K258" s="39" t="n">
        <f aca="false">IF(E258="","",E258/(E258+H258))</f>
        <v>0.507566938300349</v>
      </c>
      <c r="L258" s="53" t="n">
        <f aca="false">IF(OR(K258="",J258=""),"",(J258-K258)*100)</f>
        <v>0.59770797583415</v>
      </c>
      <c r="M258" s="38"/>
    </row>
    <row r="259" customFormat="false" ht="15" hidden="false" customHeight="false" outlineLevel="0" collapsed="false">
      <c r="A259" s="38" t="s">
        <v>344</v>
      </c>
      <c r="B259" s="38" t="s">
        <v>377</v>
      </c>
      <c r="C259" s="38" t="s">
        <v>391</v>
      </c>
      <c r="D259" s="21" t="n">
        <v>922</v>
      </c>
      <c r="E259" s="21" t="n">
        <v>925</v>
      </c>
      <c r="F259" s="52" t="n">
        <f aca="false">IF(E259="","",D259-E259)</f>
        <v>-3</v>
      </c>
      <c r="G259" s="21" t="n">
        <v>686</v>
      </c>
      <c r="H259" s="21" t="n">
        <v>710</v>
      </c>
      <c r="I259" s="52" t="n">
        <f aca="false">IF(H259="","",G259-H259)</f>
        <v>-24</v>
      </c>
      <c r="J259" s="39" t="n">
        <f aca="false">IF(OR(D259="",D259+G259=0),"",D259/(D259+G259))</f>
        <v>0.573383084577114</v>
      </c>
      <c r="K259" s="39" t="n">
        <f aca="false">IF(E259="","",E259/(E259+H259))</f>
        <v>0.565749235474006</v>
      </c>
      <c r="L259" s="53" t="n">
        <f aca="false">IF(OR(K259="",J259=""),"",(J259-K259)*100)</f>
        <v>0.763384910310827</v>
      </c>
      <c r="M259" s="38"/>
    </row>
    <row r="260" customFormat="false" ht="15" hidden="false" customHeight="false" outlineLevel="0" collapsed="false">
      <c r="A260" s="38" t="s">
        <v>344</v>
      </c>
      <c r="B260" s="38" t="s">
        <v>377</v>
      </c>
      <c r="C260" s="38" t="s">
        <v>392</v>
      </c>
      <c r="D260" s="21" t="n">
        <v>528</v>
      </c>
      <c r="E260" s="21" t="n">
        <v>535</v>
      </c>
      <c r="F260" s="52" t="n">
        <f aca="false">IF(E260="","",D260-E260)</f>
        <v>-7</v>
      </c>
      <c r="G260" s="21" t="n">
        <v>499</v>
      </c>
      <c r="H260" s="21" t="n">
        <v>514</v>
      </c>
      <c r="I260" s="52" t="n">
        <f aca="false">IF(H260="","",G260-H260)</f>
        <v>-15</v>
      </c>
      <c r="J260" s="39" t="n">
        <f aca="false">IF(OR(D260="",D260+G260=0),"",D260/(D260+G260))</f>
        <v>0.514118792599805</v>
      </c>
      <c r="K260" s="39" t="n">
        <f aca="false">IF(E260="","",E260/(E260+H260))</f>
        <v>0.510009532888465</v>
      </c>
      <c r="L260" s="53" t="n">
        <f aca="false">IF(OR(K260="",J260=""),"",(J260-K260)*100)</f>
        <v>0.410925971134013</v>
      </c>
      <c r="M260" s="38"/>
    </row>
    <row r="261" customFormat="false" ht="15" hidden="false" customHeight="false" outlineLevel="0" collapsed="false">
      <c r="A261" s="38" t="s">
        <v>344</v>
      </c>
      <c r="B261" s="38" t="s">
        <v>377</v>
      </c>
      <c r="C261" s="38" t="s">
        <v>393</v>
      </c>
      <c r="D261" s="21" t="n">
        <v>512</v>
      </c>
      <c r="E261" s="21" t="n">
        <v>499</v>
      </c>
      <c r="F261" s="52" t="n">
        <f aca="false">IF(E261="","",D261-E261)</f>
        <v>13</v>
      </c>
      <c r="G261" s="21" t="n">
        <v>468</v>
      </c>
      <c r="H261" s="21" t="n">
        <v>468</v>
      </c>
      <c r="I261" s="52" t="n">
        <f aca="false">IF(H261="","",G261-H261)</f>
        <v>0</v>
      </c>
      <c r="J261" s="39" t="n">
        <f aca="false">IF(OR(D261="",D261+G261=0),"",D261/(D261+G261))</f>
        <v>0.522448979591837</v>
      </c>
      <c r="K261" s="39" t="n">
        <f aca="false">IF(E261="","",E261/(E261+H261))</f>
        <v>0.516028955532575</v>
      </c>
      <c r="L261" s="53" t="n">
        <f aca="false">IF(OR(K261="",J261=""),"",(J261-K261)*100)</f>
        <v>0.642002405926179</v>
      </c>
      <c r="M261" s="38"/>
    </row>
    <row r="262" customFormat="false" ht="15" hidden="false" customHeight="false" outlineLevel="0" collapsed="false">
      <c r="A262" s="38" t="s">
        <v>344</v>
      </c>
      <c r="B262" s="38" t="s">
        <v>377</v>
      </c>
      <c r="C262" s="38" t="s">
        <v>394</v>
      </c>
      <c r="D262" s="21" t="n">
        <v>528</v>
      </c>
      <c r="E262" s="21" t="n">
        <v>503</v>
      </c>
      <c r="F262" s="52" t="n">
        <f aca="false">IF(E262="","",D262-E262)</f>
        <v>25</v>
      </c>
      <c r="G262" s="21" t="n">
        <v>459</v>
      </c>
      <c r="H262" s="21" t="n">
        <v>468</v>
      </c>
      <c r="I262" s="52" t="n">
        <f aca="false">IF(H262="","",G262-H262)</f>
        <v>-9</v>
      </c>
      <c r="J262" s="39" t="n">
        <f aca="false">IF(OR(D262="",D262+G262=0),"",D262/(D262+G262))</f>
        <v>0.534954407294833</v>
      </c>
      <c r="K262" s="39" t="n">
        <f aca="false">IF(E262="","",E262/(E262+H262))</f>
        <v>0.518022657054583</v>
      </c>
      <c r="L262" s="53" t="n">
        <f aca="false">IF(OR(K262="",J262=""),"",(J262-K262)*100)</f>
        <v>1.69317502402498</v>
      </c>
      <c r="M262" s="38"/>
    </row>
    <row r="263" customFormat="false" ht="15" hidden="false" customHeight="false" outlineLevel="0" collapsed="false">
      <c r="A263" s="38" t="s">
        <v>344</v>
      </c>
      <c r="B263" s="38" t="s">
        <v>395</v>
      </c>
      <c r="C263" s="38" t="s">
        <v>396</v>
      </c>
      <c r="D263" s="21" t="n">
        <v>898</v>
      </c>
      <c r="E263" s="21" t="n">
        <v>939</v>
      </c>
      <c r="F263" s="52" t="n">
        <f aca="false">IF(E263="","",D263-E263)</f>
        <v>-41</v>
      </c>
      <c r="G263" s="21" t="n">
        <v>1402</v>
      </c>
      <c r="H263" s="21" t="n">
        <v>1452</v>
      </c>
      <c r="I263" s="52" t="n">
        <f aca="false">IF(H263="","",G263-H263)</f>
        <v>-50</v>
      </c>
      <c r="J263" s="39" t="n">
        <f aca="false">IF(OR(D263="",D263+G263=0),"",D263/(D263+G263))</f>
        <v>0.390434782608696</v>
      </c>
      <c r="K263" s="39" t="n">
        <f aca="false">IF(E263="","",E263/(E263+H263))</f>
        <v>0.392722710163112</v>
      </c>
      <c r="L263" s="53" t="n">
        <f aca="false">IF(OR(K263="",J263=""),"",(J263-K263)*100)</f>
        <v>-0.228792755441604</v>
      </c>
      <c r="M263" s="38"/>
    </row>
    <row r="264" customFormat="false" ht="15" hidden="false" customHeight="false" outlineLevel="0" collapsed="false">
      <c r="A264" s="38" t="s">
        <v>344</v>
      </c>
      <c r="B264" s="38" t="s">
        <v>395</v>
      </c>
      <c r="C264" s="38" t="s">
        <v>397</v>
      </c>
      <c r="D264" s="21" t="n">
        <v>841</v>
      </c>
      <c r="E264" s="21" t="n">
        <v>820</v>
      </c>
      <c r="F264" s="52" t="n">
        <f aca="false">IF(E264="","",D264-E264)</f>
        <v>21</v>
      </c>
      <c r="G264" s="21" t="n">
        <v>1116</v>
      </c>
      <c r="H264" s="21" t="n">
        <v>1185</v>
      </c>
      <c r="I264" s="52" t="n">
        <f aca="false">IF(H264="","",G264-H264)</f>
        <v>-69</v>
      </c>
      <c r="J264" s="39" t="n">
        <f aca="false">IF(OR(D264="",D264+G264=0),"",D264/(D264+G264))</f>
        <v>0.42973939703628</v>
      </c>
      <c r="K264" s="39" t="n">
        <f aca="false">IF(E264="","",E264/(E264+H264))</f>
        <v>0.408977556109726</v>
      </c>
      <c r="L264" s="53" t="n">
        <f aca="false">IF(OR(K264="",J264=""),"",(J264-K264)*100)</f>
        <v>2.07618409265543</v>
      </c>
      <c r="M264" s="38"/>
    </row>
    <row r="265" customFormat="false" ht="15" hidden="false" customHeight="false" outlineLevel="0" collapsed="false">
      <c r="A265" s="38" t="s">
        <v>344</v>
      </c>
      <c r="B265" s="38" t="s">
        <v>395</v>
      </c>
      <c r="C265" s="38" t="s">
        <v>398</v>
      </c>
      <c r="D265" s="21" t="n">
        <v>402</v>
      </c>
      <c r="E265" s="21" t="n">
        <v>410</v>
      </c>
      <c r="F265" s="52" t="n">
        <f aca="false">IF(E265="","",D265-E265)</f>
        <v>-8</v>
      </c>
      <c r="G265" s="21" t="n">
        <v>714</v>
      </c>
      <c r="H265" s="21" t="n">
        <v>822</v>
      </c>
      <c r="I265" s="52" t="n">
        <f aca="false">IF(H265="","",G265-H265)</f>
        <v>-108</v>
      </c>
      <c r="J265" s="39" t="n">
        <f aca="false">IF(OR(D265="",D265+G265=0),"",D265/(D265+G265))</f>
        <v>0.360215053763441</v>
      </c>
      <c r="K265" s="39" t="n">
        <f aca="false">IF(E265="","",E265/(E265+H265))</f>
        <v>0.332792207792208</v>
      </c>
      <c r="L265" s="53" t="n">
        <f aca="false">IF(OR(K265="",J265=""),"",(J265-K265)*100)</f>
        <v>2.74228459712331</v>
      </c>
      <c r="M265" s="38"/>
    </row>
    <row r="266" customFormat="false" ht="15" hidden="false" customHeight="false" outlineLevel="0" collapsed="false">
      <c r="A266" s="38" t="s">
        <v>344</v>
      </c>
      <c r="B266" s="38" t="s">
        <v>399</v>
      </c>
      <c r="C266" s="38" t="s">
        <v>399</v>
      </c>
      <c r="D266" s="21" t="n">
        <v>42</v>
      </c>
      <c r="E266" s="21" t="n">
        <v>40</v>
      </c>
      <c r="F266" s="52" t="n">
        <f aca="false">IF(E266="","",D266-E266)</f>
        <v>2</v>
      </c>
      <c r="G266" s="21" t="n">
        <v>76</v>
      </c>
      <c r="H266" s="21" t="n">
        <v>83</v>
      </c>
      <c r="I266" s="52" t="n">
        <f aca="false">IF(H266="","",G266-H266)</f>
        <v>-7</v>
      </c>
      <c r="J266" s="39" t="n">
        <f aca="false">IF(OR(D266="",D266+G266=0),"",D266/(D266+G266))</f>
        <v>0.355932203389831</v>
      </c>
      <c r="K266" s="39" t="n">
        <f aca="false">IF(E266="","",E266/(E266+H266))</f>
        <v>0.32520325203252</v>
      </c>
      <c r="L266" s="53" t="n">
        <f aca="false">IF(OR(K266="",J266=""),"",(J266-K266)*100)</f>
        <v>3.07289513573102</v>
      </c>
      <c r="M266" s="38"/>
    </row>
    <row r="267" customFormat="false" ht="15" hidden="false" customHeight="false" outlineLevel="0" collapsed="false">
      <c r="A267" s="38" t="s">
        <v>344</v>
      </c>
      <c r="B267" s="38" t="s">
        <v>400</v>
      </c>
      <c r="C267" s="38" t="s">
        <v>401</v>
      </c>
      <c r="D267" s="21" t="n">
        <v>613</v>
      </c>
      <c r="E267" s="21" t="n">
        <v>774</v>
      </c>
      <c r="F267" s="52" t="n">
        <f aca="false">IF(E267="","",D267-E267)</f>
        <v>-161</v>
      </c>
      <c r="G267" s="21" t="n">
        <v>781</v>
      </c>
      <c r="H267" s="21" t="n">
        <v>1032</v>
      </c>
      <c r="I267" s="52" t="n">
        <f aca="false">IF(H267="","",G267-H267)</f>
        <v>-251</v>
      </c>
      <c r="J267" s="39" t="n">
        <f aca="false">IF(OR(D267="",D267+G267=0),"",D267/(D267+G267))</f>
        <v>0.43974175035868</v>
      </c>
      <c r="K267" s="39" t="n">
        <f aca="false">IF(E267="","",E267/(E267+H267))</f>
        <v>0.428571428571429</v>
      </c>
      <c r="L267" s="53" t="n">
        <f aca="false">IF(OR(K267="",J267=""),"",(J267-K267)*100)</f>
        <v>1.11703217872515</v>
      </c>
      <c r="M267" s="38"/>
    </row>
    <row r="268" customFormat="false" ht="15" hidden="false" customHeight="false" outlineLevel="0" collapsed="false">
      <c r="A268" s="38" t="s">
        <v>344</v>
      </c>
      <c r="B268" s="38" t="s">
        <v>400</v>
      </c>
      <c r="C268" s="38" t="s">
        <v>402</v>
      </c>
      <c r="D268" s="21" t="n">
        <v>749</v>
      </c>
      <c r="E268" s="21" t="n">
        <v>710</v>
      </c>
      <c r="F268" s="52" t="n">
        <f aca="false">IF(E268="","",D268-E268)</f>
        <v>39</v>
      </c>
      <c r="G268" s="21" t="n">
        <v>856</v>
      </c>
      <c r="H268" s="21" t="n">
        <v>927</v>
      </c>
      <c r="I268" s="52" t="n">
        <f aca="false">IF(H268="","",G268-H268)</f>
        <v>-71</v>
      </c>
      <c r="J268" s="39" t="n">
        <f aca="false">IF(OR(D268="",D268+G268=0),"",D268/(D268+G268))</f>
        <v>0.466666666666667</v>
      </c>
      <c r="K268" s="39" t="n">
        <f aca="false">IF(E268="","",E268/(E268+H268))</f>
        <v>0.433720219914478</v>
      </c>
      <c r="L268" s="53" t="n">
        <f aca="false">IF(OR(K268="",J268=""),"",(J268-K268)*100)</f>
        <v>3.2946446752189</v>
      </c>
      <c r="M268" s="38"/>
    </row>
    <row r="269" customFormat="false" ht="15" hidden="false" customHeight="false" outlineLevel="0" collapsed="false">
      <c r="A269" s="38" t="s">
        <v>344</v>
      </c>
      <c r="B269" s="38" t="s">
        <v>403</v>
      </c>
      <c r="C269" s="38" t="s">
        <v>403</v>
      </c>
      <c r="D269" s="21" t="n">
        <v>200</v>
      </c>
      <c r="E269" s="21" t="n">
        <v>217</v>
      </c>
      <c r="F269" s="52" t="n">
        <f aca="false">IF(E269="","",D269-E269)</f>
        <v>-17</v>
      </c>
      <c r="G269" s="21" t="n">
        <v>298</v>
      </c>
      <c r="H269" s="21" t="n">
        <v>309</v>
      </c>
      <c r="I269" s="52" t="n">
        <f aca="false">IF(H269="","",G269-H269)</f>
        <v>-11</v>
      </c>
      <c r="J269" s="39" t="n">
        <f aca="false">IF(OR(D269="",D269+G269=0),"",D269/(D269+G269))</f>
        <v>0.401606425702811</v>
      </c>
      <c r="K269" s="39" t="n">
        <f aca="false">IF(E269="","",E269/(E269+H269))</f>
        <v>0.41254752851711</v>
      </c>
      <c r="L269" s="53" t="n">
        <f aca="false">IF(OR(K269="",J269=""),"",(J269-K269)*100)</f>
        <v>-1.0941102814299</v>
      </c>
      <c r="M269" s="38"/>
    </row>
    <row r="270" customFormat="false" ht="15" hidden="false" customHeight="false" outlineLevel="0" collapsed="false">
      <c r="A270" s="38" t="s">
        <v>344</v>
      </c>
      <c r="B270" s="38" t="s">
        <v>404</v>
      </c>
      <c r="C270" s="38" t="s">
        <v>405</v>
      </c>
      <c r="D270" s="21" t="n">
        <v>724</v>
      </c>
      <c r="E270" s="21"/>
      <c r="F270" s="52" t="str">
        <f aca="false">IF(E270="","",D270-E270)</f>
        <v/>
      </c>
      <c r="G270" s="21" t="n">
        <v>373</v>
      </c>
      <c r="H270" s="21"/>
      <c r="I270" s="52" t="str">
        <f aca="false">IF(H270="","",G270-H270)</f>
        <v/>
      </c>
      <c r="J270" s="39" t="n">
        <f aca="false">IF(OR(D270="",D270+G270=0),"",D270/(D270+G270))</f>
        <v>0.659981768459435</v>
      </c>
      <c r="K270" s="39" t="str">
        <f aca="false">IF(E270="","",E270/(E270+H270))</f>
        <v/>
      </c>
      <c r="L270" s="53" t="str">
        <f aca="false">IF(OR(K270="",J270=""),"",(J270-K270)*100)</f>
        <v/>
      </c>
      <c r="M270" s="38" t="s">
        <v>650</v>
      </c>
    </row>
    <row r="271" customFormat="false" ht="15" hidden="false" customHeight="false" outlineLevel="0" collapsed="false">
      <c r="A271" s="38" t="s">
        <v>344</v>
      </c>
      <c r="B271" s="38" t="s">
        <v>404</v>
      </c>
      <c r="C271" s="38" t="s">
        <v>406</v>
      </c>
      <c r="D271" s="21" t="n">
        <v>498</v>
      </c>
      <c r="E271" s="21"/>
      <c r="F271" s="52" t="str">
        <f aca="false">IF(E271="","",D271-E271)</f>
        <v/>
      </c>
      <c r="G271" s="21" t="n">
        <v>202</v>
      </c>
      <c r="H271" s="21"/>
      <c r="I271" s="52" t="str">
        <f aca="false">IF(H271="","",G271-H271)</f>
        <v/>
      </c>
      <c r="J271" s="39" t="n">
        <f aca="false">IF(OR(D271="",D271+G271=0),"",D271/(D271+G271))</f>
        <v>0.711428571428571</v>
      </c>
      <c r="K271" s="39" t="str">
        <f aca="false">IF(E271="","",E271/(E271+H271))</f>
        <v/>
      </c>
      <c r="L271" s="53" t="str">
        <f aca="false">IF(OR(K271="",J271=""),"",(J271-K271)*100)</f>
        <v/>
      </c>
      <c r="M271" s="38" t="s">
        <v>650</v>
      </c>
    </row>
    <row r="272" customFormat="false" ht="15" hidden="false" customHeight="false" outlineLevel="0" collapsed="false">
      <c r="A272" s="38" t="s">
        <v>344</v>
      </c>
      <c r="B272" s="38" t="s">
        <v>404</v>
      </c>
      <c r="C272" s="38" t="s">
        <v>407</v>
      </c>
      <c r="D272" s="21" t="n">
        <v>460</v>
      </c>
      <c r="E272" s="21" t="n">
        <v>492</v>
      </c>
      <c r="F272" s="52" t="n">
        <f aca="false">IF(E272="","",D272-E272)</f>
        <v>-32</v>
      </c>
      <c r="G272" s="21" t="n">
        <v>156</v>
      </c>
      <c r="H272" s="21" t="n">
        <v>197</v>
      </c>
      <c r="I272" s="52" t="n">
        <f aca="false">IF(H272="","",G272-H272)</f>
        <v>-41</v>
      </c>
      <c r="J272" s="39" t="n">
        <f aca="false">IF(OR(D272="",D272+G272=0),"",D272/(D272+G272))</f>
        <v>0.746753246753247</v>
      </c>
      <c r="K272" s="39" t="n">
        <f aca="false">IF(E272="","",E272/(E272+H272))</f>
        <v>0.714078374455733</v>
      </c>
      <c r="L272" s="53" t="n">
        <f aca="false">IF(OR(K272="",J272=""),"",(J272-K272)*100)</f>
        <v>3.26748722975138</v>
      </c>
      <c r="M272" s="38"/>
    </row>
    <row r="273" customFormat="false" ht="15" hidden="false" customHeight="false" outlineLevel="0" collapsed="false">
      <c r="A273" s="38" t="s">
        <v>344</v>
      </c>
      <c r="B273" s="38" t="s">
        <v>404</v>
      </c>
      <c r="C273" s="38" t="s">
        <v>408</v>
      </c>
      <c r="D273" s="21" t="n">
        <v>756</v>
      </c>
      <c r="E273" s="21" t="n">
        <v>743</v>
      </c>
      <c r="F273" s="52" t="n">
        <f aca="false">IF(E273="","",D273-E273)</f>
        <v>13</v>
      </c>
      <c r="G273" s="21" t="n">
        <v>274</v>
      </c>
      <c r="H273" s="21" t="n">
        <v>265</v>
      </c>
      <c r="I273" s="52" t="n">
        <f aca="false">IF(H273="","",G273-H273)</f>
        <v>9</v>
      </c>
      <c r="J273" s="39" t="n">
        <f aca="false">IF(OR(D273="",D273+G273=0),"",D273/(D273+G273))</f>
        <v>0.733980582524272</v>
      </c>
      <c r="K273" s="39" t="n">
        <f aca="false">IF(E273="","",E273/(E273+H273))</f>
        <v>0.737103174603175</v>
      </c>
      <c r="L273" s="53" t="n">
        <f aca="false">IF(OR(K273="",J273=""),"",(J273-K273)*100)</f>
        <v>-0.312259207890275</v>
      </c>
      <c r="M273" s="38"/>
    </row>
    <row r="274" customFormat="false" ht="15" hidden="false" customHeight="false" outlineLevel="0" collapsed="false">
      <c r="A274" s="38" t="s">
        <v>344</v>
      </c>
      <c r="B274" s="38" t="s">
        <v>404</v>
      </c>
      <c r="C274" s="38" t="s">
        <v>409</v>
      </c>
      <c r="D274" s="21" t="n">
        <v>449</v>
      </c>
      <c r="E274" s="21" t="n">
        <v>1109</v>
      </c>
      <c r="F274" s="52" t="n">
        <f aca="false">IF(E274="","",D274-E274)</f>
        <v>-660</v>
      </c>
      <c r="G274" s="21" t="n">
        <v>110</v>
      </c>
      <c r="H274" s="21" t="n">
        <v>290</v>
      </c>
      <c r="I274" s="52" t="n">
        <f aca="false">IF(H274="","",G274-H274)</f>
        <v>-180</v>
      </c>
      <c r="J274" s="39" t="n">
        <f aca="false">IF(OR(D274="",D274+G274=0),"",D274/(D274+G274))</f>
        <v>0.803220035778175</v>
      </c>
      <c r="K274" s="39" t="n">
        <f aca="false">IF(E274="","",E274/(E274+H274))</f>
        <v>0.792709077912795</v>
      </c>
      <c r="L274" s="53" t="n">
        <f aca="false">IF(OR(K274="",J274=""),"",(J274-K274)*100)</f>
        <v>1.05109578653805</v>
      </c>
      <c r="M274" s="38"/>
    </row>
    <row r="275" customFormat="false" ht="15" hidden="false" customHeight="false" outlineLevel="0" collapsed="false">
      <c r="A275" s="38" t="s">
        <v>344</v>
      </c>
      <c r="B275" s="38" t="s">
        <v>404</v>
      </c>
      <c r="C275" s="38" t="s">
        <v>410</v>
      </c>
      <c r="D275" s="21" t="n">
        <v>592</v>
      </c>
      <c r="E275" s="21" t="n">
        <v>566</v>
      </c>
      <c r="F275" s="52" t="n">
        <f aca="false">IF(E275="","",D275-E275)</f>
        <v>26</v>
      </c>
      <c r="G275" s="21" t="n">
        <v>226</v>
      </c>
      <c r="H275" s="21" t="n">
        <v>257</v>
      </c>
      <c r="I275" s="52" t="n">
        <f aca="false">IF(H275="","",G275-H275)</f>
        <v>-31</v>
      </c>
      <c r="J275" s="39" t="n">
        <f aca="false">IF(OR(D275="",D275+G275=0),"",D275/(D275+G275))</f>
        <v>0.723716381418093</v>
      </c>
      <c r="K275" s="39" t="n">
        <f aca="false">IF(E275="","",E275/(E275+H275))</f>
        <v>0.687727825030377</v>
      </c>
      <c r="L275" s="53" t="n">
        <f aca="false">IF(OR(K275="",J275=""),"",(J275-K275)*100)</f>
        <v>3.59885563877163</v>
      </c>
      <c r="M275" s="38"/>
    </row>
    <row r="276" customFormat="false" ht="15" hidden="false" customHeight="false" outlineLevel="0" collapsed="false">
      <c r="A276" s="38" t="s">
        <v>344</v>
      </c>
      <c r="B276" s="38" t="s">
        <v>404</v>
      </c>
      <c r="C276" s="38" t="s">
        <v>411</v>
      </c>
      <c r="D276" s="21" t="n">
        <v>558</v>
      </c>
      <c r="E276" s="21" t="n">
        <v>517</v>
      </c>
      <c r="F276" s="52" t="n">
        <f aca="false">IF(E276="","",D276-E276)</f>
        <v>41</v>
      </c>
      <c r="G276" s="21" t="n">
        <v>251</v>
      </c>
      <c r="H276" s="21" t="n">
        <v>265</v>
      </c>
      <c r="I276" s="52" t="n">
        <f aca="false">IF(H276="","",G276-H276)</f>
        <v>-14</v>
      </c>
      <c r="J276" s="39" t="n">
        <f aca="false">IF(OR(D276="",D276+G276=0),"",D276/(D276+G276))</f>
        <v>0.689740420271941</v>
      </c>
      <c r="K276" s="39" t="n">
        <f aca="false">IF(E276="","",E276/(E276+H276))</f>
        <v>0.661125319693095</v>
      </c>
      <c r="L276" s="53" t="n">
        <f aca="false">IF(OR(K276="",J276=""),"",(J276-K276)*100)</f>
        <v>2.86151005788461</v>
      </c>
      <c r="M276" s="38"/>
    </row>
    <row r="277" customFormat="false" ht="15" hidden="false" customHeight="false" outlineLevel="0" collapsed="false">
      <c r="A277" s="38" t="s">
        <v>344</v>
      </c>
      <c r="B277" s="38" t="s">
        <v>404</v>
      </c>
      <c r="C277" s="38" t="s">
        <v>412</v>
      </c>
      <c r="D277" s="21" t="n">
        <v>236</v>
      </c>
      <c r="E277" s="21" t="n">
        <v>233</v>
      </c>
      <c r="F277" s="52" t="n">
        <f aca="false">IF(E277="","",D277-E277)</f>
        <v>3</v>
      </c>
      <c r="G277" s="21" t="n">
        <v>92</v>
      </c>
      <c r="H277" s="21" t="n">
        <v>84</v>
      </c>
      <c r="I277" s="52" t="n">
        <f aca="false">IF(H277="","",G277-H277)</f>
        <v>8</v>
      </c>
      <c r="J277" s="39" t="n">
        <f aca="false">IF(OR(D277="",D277+G277=0),"",D277/(D277+G277))</f>
        <v>0.719512195121951</v>
      </c>
      <c r="K277" s="39" t="n">
        <f aca="false">IF(E277="","",E277/(E277+H277))</f>
        <v>0.735015772870662</v>
      </c>
      <c r="L277" s="53" t="n">
        <f aca="false">IF(OR(K277="",J277=""),"",(J277-K277)*100)</f>
        <v>-1.55035777487113</v>
      </c>
      <c r="M277" s="38"/>
    </row>
    <row r="278" customFormat="false" ht="15" hidden="false" customHeight="false" outlineLevel="0" collapsed="false">
      <c r="A278" s="38" t="s">
        <v>344</v>
      </c>
      <c r="B278" s="38" t="s">
        <v>404</v>
      </c>
      <c r="C278" s="38" t="s">
        <v>413</v>
      </c>
      <c r="D278" s="21" t="n">
        <v>390</v>
      </c>
      <c r="E278" s="21" t="n">
        <v>391</v>
      </c>
      <c r="F278" s="52" t="n">
        <f aca="false">IF(E278="","",D278-E278)</f>
        <v>-1</v>
      </c>
      <c r="G278" s="21" t="n">
        <v>128</v>
      </c>
      <c r="H278" s="21" t="n">
        <v>126</v>
      </c>
      <c r="I278" s="52" t="n">
        <f aca="false">IF(H278="","",G278-H278)</f>
        <v>2</v>
      </c>
      <c r="J278" s="39" t="n">
        <f aca="false">IF(OR(D278="",D278+G278=0),"",D278/(D278+G278))</f>
        <v>0.752895752895753</v>
      </c>
      <c r="K278" s="39" t="n">
        <f aca="false">IF(E278="","",E278/(E278+H278))</f>
        <v>0.756286266924565</v>
      </c>
      <c r="L278" s="53" t="n">
        <f aca="false">IF(OR(K278="",J278=""),"",(J278-K278)*100)</f>
        <v>-0.339051402881185</v>
      </c>
      <c r="M278" s="38"/>
    </row>
    <row r="279" customFormat="false" ht="15" hidden="false" customHeight="false" outlineLevel="0" collapsed="false">
      <c r="A279" s="38" t="s">
        <v>344</v>
      </c>
      <c r="B279" s="38" t="s">
        <v>404</v>
      </c>
      <c r="C279" s="38" t="s">
        <v>414</v>
      </c>
      <c r="D279" s="21" t="n">
        <v>426</v>
      </c>
      <c r="E279" s="21" t="n">
        <v>381</v>
      </c>
      <c r="F279" s="52" t="n">
        <f aca="false">IF(E279="","",D279-E279)</f>
        <v>45</v>
      </c>
      <c r="G279" s="21" t="n">
        <v>146</v>
      </c>
      <c r="H279" s="21" t="n">
        <v>184</v>
      </c>
      <c r="I279" s="52" t="n">
        <f aca="false">IF(H279="","",G279-H279)</f>
        <v>-38</v>
      </c>
      <c r="J279" s="39" t="n">
        <f aca="false">IF(OR(D279="",D279+G279=0),"",D279/(D279+G279))</f>
        <v>0.744755244755245</v>
      </c>
      <c r="K279" s="39" t="n">
        <f aca="false">IF(E279="","",E279/(E279+H279))</f>
        <v>0.674336283185841</v>
      </c>
      <c r="L279" s="53" t="n">
        <f aca="false">IF(OR(K279="",J279=""),"",(J279-K279)*100)</f>
        <v>7.04189615694041</v>
      </c>
      <c r="M279" s="38"/>
    </row>
    <row r="280" customFormat="false" ht="15" hidden="false" customHeight="false" outlineLevel="0" collapsed="false">
      <c r="A280" s="38" t="s">
        <v>344</v>
      </c>
      <c r="B280" s="38" t="s">
        <v>404</v>
      </c>
      <c r="C280" s="38" t="s">
        <v>415</v>
      </c>
      <c r="D280" s="21" t="n">
        <v>772</v>
      </c>
      <c r="E280" s="21"/>
      <c r="F280" s="52" t="str">
        <f aca="false">IF(E280="","",D280-E280)</f>
        <v/>
      </c>
      <c r="G280" s="21" t="n">
        <v>405</v>
      </c>
      <c r="H280" s="21"/>
      <c r="I280" s="52" t="str">
        <f aca="false">IF(H280="","",G280-H280)</f>
        <v/>
      </c>
      <c r="J280" s="39" t="n">
        <f aca="false">IF(OR(D280="",D280+G280=0),"",D280/(D280+G280))</f>
        <v>0.655904842820731</v>
      </c>
      <c r="K280" s="39" t="str">
        <f aca="false">IF(E280="","",E280/(E280+H280))</f>
        <v/>
      </c>
      <c r="L280" s="53" t="str">
        <f aca="false">IF(OR(K280="",J280=""),"",(J280-K280)*100)</f>
        <v/>
      </c>
      <c r="M280" s="38" t="s">
        <v>650</v>
      </c>
    </row>
    <row r="281" customFormat="false" ht="15" hidden="false" customHeight="false" outlineLevel="0" collapsed="false">
      <c r="A281" s="38" t="s">
        <v>344</v>
      </c>
      <c r="B281" s="38" t="s">
        <v>404</v>
      </c>
      <c r="C281" s="38" t="s">
        <v>416</v>
      </c>
      <c r="D281" s="21" t="n">
        <v>970</v>
      </c>
      <c r="E281" s="21" t="n">
        <v>912</v>
      </c>
      <c r="F281" s="52" t="n">
        <f aca="false">IF(E281="","",D281-E281)</f>
        <v>58</v>
      </c>
      <c r="G281" s="21" t="n">
        <v>408</v>
      </c>
      <c r="H281" s="21" t="n">
        <v>445</v>
      </c>
      <c r="I281" s="52" t="n">
        <f aca="false">IF(H281="","",G281-H281)</f>
        <v>-37</v>
      </c>
      <c r="J281" s="39" t="n">
        <f aca="false">IF(OR(D281="",D281+G281=0),"",D281/(D281+G281))</f>
        <v>0.703918722786647</v>
      </c>
      <c r="K281" s="39" t="n">
        <f aca="false">IF(E281="","",E281/(E281+H281))</f>
        <v>0.672070744288873</v>
      </c>
      <c r="L281" s="53" t="n">
        <f aca="false">IF(OR(K281="",J281=""),"",(J281-K281)*100)</f>
        <v>3.18479784977749</v>
      </c>
      <c r="M281" s="38"/>
    </row>
    <row r="282" customFormat="false" ht="15" hidden="false" customHeight="false" outlineLevel="0" collapsed="false">
      <c r="A282" s="38" t="s">
        <v>344</v>
      </c>
      <c r="B282" s="38" t="s">
        <v>417</v>
      </c>
      <c r="C282" s="38" t="s">
        <v>418</v>
      </c>
      <c r="D282" s="21" t="n">
        <v>1377</v>
      </c>
      <c r="E282" s="21"/>
      <c r="F282" s="52" t="str">
        <f aca="false">IF(E282="","",D282-E282)</f>
        <v/>
      </c>
      <c r="G282" s="21" t="n">
        <v>1260</v>
      </c>
      <c r="H282" s="21"/>
      <c r="I282" s="52" t="str">
        <f aca="false">IF(H282="","",G282-H282)</f>
        <v/>
      </c>
      <c r="J282" s="39" t="n">
        <f aca="false">IF(OR(D282="",D282+G282=0),"",D282/(D282+G282))</f>
        <v>0.522184300341297</v>
      </c>
      <c r="K282" s="39" t="str">
        <f aca="false">IF(E282="","",E282/(E282+H282))</f>
        <v/>
      </c>
      <c r="L282" s="53" t="str">
        <f aca="false">IF(OR(K282="",J282=""),"",(J282-K282)*100)</f>
        <v/>
      </c>
      <c r="M282" s="38" t="s">
        <v>650</v>
      </c>
    </row>
    <row r="283" customFormat="false" ht="15" hidden="false" customHeight="false" outlineLevel="0" collapsed="false">
      <c r="A283" s="38" t="s">
        <v>344</v>
      </c>
      <c r="B283" s="38" t="s">
        <v>417</v>
      </c>
      <c r="C283" s="38" t="s">
        <v>419</v>
      </c>
      <c r="D283" s="21" t="n">
        <v>652</v>
      </c>
      <c r="E283" s="21"/>
      <c r="F283" s="52" t="str">
        <f aca="false">IF(E283="","",D283-E283)</f>
        <v/>
      </c>
      <c r="G283" s="21" t="n">
        <v>600</v>
      </c>
      <c r="H283" s="21"/>
      <c r="I283" s="52" t="str">
        <f aca="false">IF(H283="","",G283-H283)</f>
        <v/>
      </c>
      <c r="J283" s="39" t="n">
        <f aca="false">IF(OR(D283="",D283+G283=0),"",D283/(D283+G283))</f>
        <v>0.520766773162939</v>
      </c>
      <c r="K283" s="39" t="str">
        <f aca="false">IF(E283="","",E283/(E283+H283))</f>
        <v/>
      </c>
      <c r="L283" s="53" t="str">
        <f aca="false">IF(OR(K283="",J283=""),"",(J283-K283)*100)</f>
        <v/>
      </c>
      <c r="M283" s="38" t="s">
        <v>650</v>
      </c>
    </row>
    <row r="284" customFormat="false" ht="15" hidden="false" customHeight="false" outlineLevel="0" collapsed="false">
      <c r="A284" s="38" t="s">
        <v>344</v>
      </c>
      <c r="B284" s="38" t="s">
        <v>417</v>
      </c>
      <c r="C284" s="38" t="s">
        <v>420</v>
      </c>
      <c r="D284" s="21" t="n">
        <v>796</v>
      </c>
      <c r="E284" s="21"/>
      <c r="F284" s="52" t="str">
        <f aca="false">IF(E284="","",D284-E284)</f>
        <v/>
      </c>
      <c r="G284" s="21" t="n">
        <v>677</v>
      </c>
      <c r="H284" s="21"/>
      <c r="I284" s="52" t="str">
        <f aca="false">IF(H284="","",G284-H284)</f>
        <v/>
      </c>
      <c r="J284" s="39" t="n">
        <f aca="false">IF(OR(D284="",D284+G284=0),"",D284/(D284+G284))</f>
        <v>0.540393754243041</v>
      </c>
      <c r="K284" s="39" t="str">
        <f aca="false">IF(E284="","",E284/(E284+H284))</f>
        <v/>
      </c>
      <c r="L284" s="53" t="str">
        <f aca="false">IF(OR(K284="",J284=""),"",(J284-K284)*100)</f>
        <v/>
      </c>
      <c r="M284" s="38" t="s">
        <v>650</v>
      </c>
    </row>
    <row r="285" customFormat="false" ht="15" hidden="false" customHeight="false" outlineLevel="0" collapsed="false">
      <c r="A285" s="38" t="s">
        <v>344</v>
      </c>
      <c r="B285" s="38" t="s">
        <v>417</v>
      </c>
      <c r="C285" s="38" t="s">
        <v>421</v>
      </c>
      <c r="D285" s="21" t="n">
        <v>743</v>
      </c>
      <c r="E285" s="21"/>
      <c r="F285" s="52" t="str">
        <f aca="false">IF(E285="","",D285-E285)</f>
        <v/>
      </c>
      <c r="G285" s="21" t="n">
        <v>645</v>
      </c>
      <c r="H285" s="21"/>
      <c r="I285" s="52" t="str">
        <f aca="false">IF(H285="","",G285-H285)</f>
        <v/>
      </c>
      <c r="J285" s="39" t="n">
        <f aca="false">IF(OR(D285="",D285+G285=0),"",D285/(D285+G285))</f>
        <v>0.535302593659942</v>
      </c>
      <c r="K285" s="39" t="str">
        <f aca="false">IF(E285="","",E285/(E285+H285))</f>
        <v/>
      </c>
      <c r="L285" s="53" t="str">
        <f aca="false">IF(OR(K285="",J285=""),"",(J285-K285)*100)</f>
        <v/>
      </c>
      <c r="M285" s="38" t="s">
        <v>650</v>
      </c>
    </row>
    <row r="286" customFormat="false" ht="15" hidden="false" customHeight="false" outlineLevel="0" collapsed="false">
      <c r="A286" s="38" t="s">
        <v>344</v>
      </c>
      <c r="B286" s="38" t="s">
        <v>417</v>
      </c>
      <c r="C286" s="38" t="s">
        <v>422</v>
      </c>
      <c r="D286" s="21" t="n">
        <v>996</v>
      </c>
      <c r="E286" s="21" t="n">
        <v>975</v>
      </c>
      <c r="F286" s="52" t="n">
        <f aca="false">IF(E286="","",D286-E286)</f>
        <v>21</v>
      </c>
      <c r="G286" s="21" t="n">
        <v>840</v>
      </c>
      <c r="H286" s="21" t="n">
        <v>935</v>
      </c>
      <c r="I286" s="52" t="n">
        <f aca="false">IF(H286="","",G286-H286)</f>
        <v>-95</v>
      </c>
      <c r="J286" s="39" t="n">
        <f aca="false">IF(OR(D286="",D286+G286=0),"",D286/(D286+G286))</f>
        <v>0.542483660130719</v>
      </c>
      <c r="K286" s="39" t="n">
        <f aca="false">IF(E286="","",E286/(E286+H286))</f>
        <v>0.510471204188482</v>
      </c>
      <c r="L286" s="53" t="n">
        <f aca="false">IF(OR(K286="",J286=""),"",(J286-K286)*100)</f>
        <v>3.20124559422372</v>
      </c>
      <c r="M286" s="38"/>
    </row>
    <row r="287" customFormat="false" ht="15" hidden="false" customHeight="false" outlineLevel="0" collapsed="false">
      <c r="A287" s="38" t="s">
        <v>344</v>
      </c>
      <c r="B287" s="38" t="s">
        <v>417</v>
      </c>
      <c r="C287" s="38" t="s">
        <v>423</v>
      </c>
      <c r="D287" s="21" t="n">
        <v>797</v>
      </c>
      <c r="E287" s="21"/>
      <c r="F287" s="52" t="str">
        <f aca="false">IF(E287="","",D287-E287)</f>
        <v/>
      </c>
      <c r="G287" s="21" t="n">
        <v>725</v>
      </c>
      <c r="H287" s="21"/>
      <c r="I287" s="52" t="str">
        <f aca="false">IF(H287="","",G287-H287)</f>
        <v/>
      </c>
      <c r="J287" s="39" t="n">
        <f aca="false">IF(OR(D287="",D287+G287=0),"",D287/(D287+G287))</f>
        <v>0.52365308804205</v>
      </c>
      <c r="K287" s="39" t="str">
        <f aca="false">IF(E287="","",E287/(E287+H287))</f>
        <v/>
      </c>
      <c r="L287" s="53" t="str">
        <f aca="false">IF(OR(K287="",J287=""),"",(J287-K287)*100)</f>
        <v/>
      </c>
      <c r="M287" s="38" t="s">
        <v>650</v>
      </c>
    </row>
    <row r="288" customFormat="false" ht="15" hidden="false" customHeight="false" outlineLevel="0" collapsed="false">
      <c r="A288" s="38" t="s">
        <v>344</v>
      </c>
      <c r="B288" s="38" t="s">
        <v>417</v>
      </c>
      <c r="C288" s="38" t="s">
        <v>424</v>
      </c>
      <c r="D288" s="21" t="n">
        <v>676</v>
      </c>
      <c r="E288" s="21"/>
      <c r="F288" s="52" t="str">
        <f aca="false">IF(E288="","",D288-E288)</f>
        <v/>
      </c>
      <c r="G288" s="21" t="n">
        <v>688</v>
      </c>
      <c r="H288" s="21"/>
      <c r="I288" s="52" t="str">
        <f aca="false">IF(H288="","",G288-H288)</f>
        <v/>
      </c>
      <c r="J288" s="39" t="n">
        <f aca="false">IF(OR(D288="",D288+G288=0),"",D288/(D288+G288))</f>
        <v>0.495601173020528</v>
      </c>
      <c r="K288" s="39" t="str">
        <f aca="false">IF(E288="","",E288/(E288+H288))</f>
        <v/>
      </c>
      <c r="L288" s="53" t="str">
        <f aca="false">IF(OR(K288="",J288=""),"",(J288-K288)*100)</f>
        <v/>
      </c>
      <c r="M288" s="38" t="s">
        <v>650</v>
      </c>
    </row>
    <row r="289" customFormat="false" ht="15" hidden="false" customHeight="false" outlineLevel="0" collapsed="false">
      <c r="A289" s="38" t="s">
        <v>344</v>
      </c>
      <c r="B289" s="38" t="s">
        <v>425</v>
      </c>
      <c r="C289" s="38" t="s">
        <v>425</v>
      </c>
      <c r="D289" s="21" t="n">
        <v>749</v>
      </c>
      <c r="E289" s="21" t="n">
        <v>714</v>
      </c>
      <c r="F289" s="52" t="n">
        <f aca="false">IF(E289="","",D289-E289)</f>
        <v>35</v>
      </c>
      <c r="G289" s="21" t="n">
        <v>479</v>
      </c>
      <c r="H289" s="21" t="n">
        <v>484</v>
      </c>
      <c r="I289" s="52" t="n">
        <f aca="false">IF(H289="","",G289-H289)</f>
        <v>-5</v>
      </c>
      <c r="J289" s="39" t="n">
        <f aca="false">IF(OR(D289="",D289+G289=0),"",D289/(D289+G289))</f>
        <v>0.609934853420196</v>
      </c>
      <c r="K289" s="39" t="n">
        <f aca="false">IF(E289="","",E289/(E289+H289))</f>
        <v>0.595993322203673</v>
      </c>
      <c r="L289" s="53" t="n">
        <f aca="false">IF(OR(K289="",J289=""),"",(J289-K289)*100)</f>
        <v>1.39415312165228</v>
      </c>
      <c r="M289" s="38"/>
    </row>
    <row r="290" customFormat="false" ht="15" hidden="false" customHeight="false" outlineLevel="0" collapsed="false">
      <c r="A290" s="38" t="s">
        <v>344</v>
      </c>
      <c r="B290" s="38" t="s">
        <v>426</v>
      </c>
      <c r="C290" s="38" t="s">
        <v>426</v>
      </c>
      <c r="D290" s="21" t="n">
        <v>102</v>
      </c>
      <c r="E290" s="21" t="n">
        <v>109</v>
      </c>
      <c r="F290" s="52" t="n">
        <f aca="false">IF(E290="","",D290-E290)</f>
        <v>-7</v>
      </c>
      <c r="G290" s="21" t="n">
        <v>99</v>
      </c>
      <c r="H290" s="21" t="n">
        <v>97</v>
      </c>
      <c r="I290" s="52" t="n">
        <f aca="false">IF(H290="","",G290-H290)</f>
        <v>2</v>
      </c>
      <c r="J290" s="39" t="n">
        <f aca="false">IF(OR(D290="",D290+G290=0),"",D290/(D290+G290))</f>
        <v>0.507462686567164</v>
      </c>
      <c r="K290" s="39" t="n">
        <f aca="false">IF(E290="","",E290/(E290+H290))</f>
        <v>0.529126213592233</v>
      </c>
      <c r="L290" s="53" t="n">
        <f aca="false">IF(OR(K290="",J290=""),"",(J290-K290)*100)</f>
        <v>-2.16635270250688</v>
      </c>
      <c r="M290" s="38"/>
    </row>
    <row r="291" customFormat="false" ht="15" hidden="false" customHeight="false" outlineLevel="0" collapsed="false">
      <c r="A291" s="38" t="s">
        <v>344</v>
      </c>
      <c r="B291" s="38" t="s">
        <v>251</v>
      </c>
      <c r="C291" s="38" t="s">
        <v>427</v>
      </c>
      <c r="D291" s="21" t="n">
        <v>956</v>
      </c>
      <c r="E291" s="21" t="n">
        <v>955</v>
      </c>
      <c r="F291" s="52" t="n">
        <f aca="false">IF(E291="","",D291-E291)</f>
        <v>1</v>
      </c>
      <c r="G291" s="21" t="n">
        <v>687</v>
      </c>
      <c r="H291" s="21" t="n">
        <v>692</v>
      </c>
      <c r="I291" s="52" t="n">
        <f aca="false">IF(H291="","",G291-H291)</f>
        <v>-5</v>
      </c>
      <c r="J291" s="39" t="n">
        <f aca="false">IF(OR(D291="",D291+G291=0),"",D291/(D291+G291))</f>
        <v>0.581862446743761</v>
      </c>
      <c r="K291" s="39" t="n">
        <f aca="false">IF(E291="","",E291/(E291+H291))</f>
        <v>0.579842137219186</v>
      </c>
      <c r="L291" s="53" t="n">
        <f aca="false">IF(OR(K291="",J291=""),"",(J291-K291)*100)</f>
        <v>0.202030952457499</v>
      </c>
      <c r="M291" s="38"/>
    </row>
    <row r="292" customFormat="false" ht="15" hidden="false" customHeight="false" outlineLevel="0" collapsed="false">
      <c r="A292" s="38" t="s">
        <v>344</v>
      </c>
      <c r="B292" s="38" t="s">
        <v>251</v>
      </c>
      <c r="C292" s="38" t="s">
        <v>428</v>
      </c>
      <c r="D292" s="21" t="n">
        <v>922</v>
      </c>
      <c r="E292" s="21" t="n">
        <v>910</v>
      </c>
      <c r="F292" s="52" t="n">
        <f aca="false">IF(E292="","",D292-E292)</f>
        <v>12</v>
      </c>
      <c r="G292" s="21" t="n">
        <v>750</v>
      </c>
      <c r="H292" s="21" t="n">
        <v>742</v>
      </c>
      <c r="I292" s="52" t="n">
        <f aca="false">IF(H292="","",G292-H292)</f>
        <v>8</v>
      </c>
      <c r="J292" s="39" t="n">
        <f aca="false">IF(OR(D292="",D292+G292=0),"",D292/(D292+G292))</f>
        <v>0.551435406698565</v>
      </c>
      <c r="K292" s="39" t="n">
        <f aca="false">IF(E292="","",E292/(E292+H292))</f>
        <v>0.550847457627119</v>
      </c>
      <c r="L292" s="53" t="n">
        <f aca="false">IF(OR(K292="",J292=""),"",(J292-K292)*100)</f>
        <v>0.0587949071445992</v>
      </c>
      <c r="M292" s="38"/>
    </row>
    <row r="293" customFormat="false" ht="15" hidden="false" customHeight="false" outlineLevel="0" collapsed="false">
      <c r="A293" s="38" t="s">
        <v>344</v>
      </c>
      <c r="B293" s="38" t="s">
        <v>251</v>
      </c>
      <c r="C293" s="38" t="s">
        <v>429</v>
      </c>
      <c r="D293" s="21" t="n">
        <v>450</v>
      </c>
      <c r="E293" s="21" t="n">
        <v>446</v>
      </c>
      <c r="F293" s="52" t="n">
        <f aca="false">IF(E293="","",D293-E293)</f>
        <v>4</v>
      </c>
      <c r="G293" s="21" t="n">
        <v>397</v>
      </c>
      <c r="H293" s="21" t="n">
        <v>410</v>
      </c>
      <c r="I293" s="52" t="n">
        <f aca="false">IF(H293="","",G293-H293)</f>
        <v>-13</v>
      </c>
      <c r="J293" s="39" t="n">
        <f aca="false">IF(OR(D293="",D293+G293=0),"",D293/(D293+G293))</f>
        <v>0.531286894923259</v>
      </c>
      <c r="K293" s="39" t="n">
        <f aca="false">IF(E293="","",E293/(E293+H293))</f>
        <v>0.521028037383178</v>
      </c>
      <c r="L293" s="53" t="n">
        <f aca="false">IF(OR(K293="",J293=""),"",(J293-K293)*100)</f>
        <v>1.02588575400809</v>
      </c>
      <c r="M293" s="38"/>
    </row>
    <row r="294" customFormat="false" ht="15" hidden="false" customHeight="false" outlineLevel="0" collapsed="false">
      <c r="A294" s="38" t="s">
        <v>344</v>
      </c>
      <c r="B294" s="38" t="s">
        <v>251</v>
      </c>
      <c r="C294" s="38" t="s">
        <v>430</v>
      </c>
      <c r="D294" s="21" t="n">
        <v>765</v>
      </c>
      <c r="E294" s="21" t="n">
        <v>744</v>
      </c>
      <c r="F294" s="52" t="n">
        <f aca="false">IF(E294="","",D294-E294)</f>
        <v>21</v>
      </c>
      <c r="G294" s="21" t="n">
        <v>668</v>
      </c>
      <c r="H294" s="21" t="n">
        <v>678</v>
      </c>
      <c r="I294" s="52" t="n">
        <f aca="false">IF(H294="","",G294-H294)</f>
        <v>-10</v>
      </c>
      <c r="J294" s="39" t="n">
        <f aca="false">IF(OR(D294="",D294+G294=0),"",D294/(D294+G294))</f>
        <v>0.533845080251221</v>
      </c>
      <c r="K294" s="39" t="n">
        <f aca="false">IF(E294="","",E294/(E294+H294))</f>
        <v>0.523206751054852</v>
      </c>
      <c r="L294" s="53" t="n">
        <f aca="false">IF(OR(K294="",J294=""),"",(J294-K294)*100)</f>
        <v>1.06383291963689</v>
      </c>
      <c r="M294" s="38"/>
    </row>
    <row r="295" customFormat="false" ht="15" hidden="false" customHeight="false" outlineLevel="0" collapsed="false">
      <c r="A295" s="38" t="s">
        <v>344</v>
      </c>
      <c r="B295" s="38" t="s">
        <v>251</v>
      </c>
      <c r="C295" s="38" t="s">
        <v>431</v>
      </c>
      <c r="D295" s="21" t="n">
        <v>772</v>
      </c>
      <c r="E295" s="21" t="n">
        <v>775</v>
      </c>
      <c r="F295" s="52" t="n">
        <f aca="false">IF(E295="","",D295-E295)</f>
        <v>-3</v>
      </c>
      <c r="G295" s="21" t="n">
        <v>587</v>
      </c>
      <c r="H295" s="21" t="n">
        <v>645</v>
      </c>
      <c r="I295" s="52" t="n">
        <f aca="false">IF(H295="","",G295-H295)</f>
        <v>-58</v>
      </c>
      <c r="J295" s="39" t="n">
        <f aca="false">IF(OR(D295="",D295+G295=0),"",D295/(D295+G295))</f>
        <v>0.568064753495217</v>
      </c>
      <c r="K295" s="39" t="n">
        <f aca="false">IF(E295="","",E295/(E295+H295))</f>
        <v>0.545774647887324</v>
      </c>
      <c r="L295" s="53" t="n">
        <f aca="false">IF(OR(K295="",J295=""),"",(J295-K295)*100)</f>
        <v>2.22901056078931</v>
      </c>
      <c r="M295" s="38"/>
    </row>
    <row r="296" customFormat="false" ht="15" hidden="false" customHeight="false" outlineLevel="0" collapsed="false">
      <c r="A296" s="38" t="s">
        <v>344</v>
      </c>
      <c r="B296" s="38" t="s">
        <v>251</v>
      </c>
      <c r="C296" s="38" t="s">
        <v>432</v>
      </c>
      <c r="D296" s="21" t="n">
        <v>528</v>
      </c>
      <c r="E296" s="21" t="n">
        <v>511</v>
      </c>
      <c r="F296" s="52" t="n">
        <f aca="false">IF(E296="","",D296-E296)</f>
        <v>17</v>
      </c>
      <c r="G296" s="21" t="n">
        <v>451</v>
      </c>
      <c r="H296" s="21" t="n">
        <v>453</v>
      </c>
      <c r="I296" s="52" t="n">
        <f aca="false">IF(H296="","",G296-H296)</f>
        <v>-2</v>
      </c>
      <c r="J296" s="39" t="n">
        <f aca="false">IF(OR(D296="",D296+G296=0),"",D296/(D296+G296))</f>
        <v>0.539325842696629</v>
      </c>
      <c r="K296" s="39" t="n">
        <f aca="false">IF(E296="","",E296/(E296+H296))</f>
        <v>0.530082987551867</v>
      </c>
      <c r="L296" s="53" t="n">
        <f aca="false">IF(OR(K296="",J296=""),"",(J296-K296)*100)</f>
        <v>0.924285514476197</v>
      </c>
      <c r="M296" s="38"/>
    </row>
    <row r="297" customFormat="false" ht="15" hidden="false" customHeight="false" outlineLevel="0" collapsed="false">
      <c r="A297" s="38" t="s">
        <v>344</v>
      </c>
      <c r="B297" s="38" t="s">
        <v>433</v>
      </c>
      <c r="C297" s="38" t="s">
        <v>434</v>
      </c>
      <c r="D297" s="21" t="n">
        <v>569</v>
      </c>
      <c r="E297" s="21" t="n">
        <v>553</v>
      </c>
      <c r="F297" s="52" t="n">
        <f aca="false">IF(E297="","",D297-E297)</f>
        <v>16</v>
      </c>
      <c r="G297" s="21" t="n">
        <v>555</v>
      </c>
      <c r="H297" s="21" t="n">
        <v>581</v>
      </c>
      <c r="I297" s="52" t="n">
        <f aca="false">IF(H297="","",G297-H297)</f>
        <v>-26</v>
      </c>
      <c r="J297" s="39" t="n">
        <f aca="false">IF(OR(D297="",D297+G297=0),"",D297/(D297+G297))</f>
        <v>0.506227758007117</v>
      </c>
      <c r="K297" s="39" t="n">
        <f aca="false">IF(E297="","",E297/(E297+H297))</f>
        <v>0.487654320987654</v>
      </c>
      <c r="L297" s="53" t="n">
        <f aca="false">IF(OR(K297="",J297=""),"",(J297-K297)*100)</f>
        <v>1.85734370194631</v>
      </c>
      <c r="M297" s="38"/>
    </row>
    <row r="298" customFormat="false" ht="15" hidden="false" customHeight="false" outlineLevel="0" collapsed="false">
      <c r="A298" s="38" t="s">
        <v>344</v>
      </c>
      <c r="B298" s="38" t="s">
        <v>433</v>
      </c>
      <c r="C298" s="38" t="s">
        <v>435</v>
      </c>
      <c r="D298" s="21" t="n">
        <v>463</v>
      </c>
      <c r="E298" s="21" t="n">
        <v>473</v>
      </c>
      <c r="F298" s="52" t="n">
        <f aca="false">IF(E298="","",D298-E298)</f>
        <v>-10</v>
      </c>
      <c r="G298" s="21" t="n">
        <v>402</v>
      </c>
      <c r="H298" s="21" t="n">
        <v>465</v>
      </c>
      <c r="I298" s="52" t="n">
        <f aca="false">IF(H298="","",G298-H298)</f>
        <v>-63</v>
      </c>
      <c r="J298" s="39" t="n">
        <f aca="false">IF(OR(D298="",D298+G298=0),"",D298/(D298+G298))</f>
        <v>0.535260115606936</v>
      </c>
      <c r="K298" s="39" t="n">
        <f aca="false">IF(E298="","",E298/(E298+H298))</f>
        <v>0.504264392324094</v>
      </c>
      <c r="L298" s="53" t="n">
        <f aca="false">IF(OR(K298="",J298=""),"",(J298-K298)*100)</f>
        <v>3.09957232828426</v>
      </c>
      <c r="M298" s="38"/>
    </row>
    <row r="299" customFormat="false" ht="15" hidden="false" customHeight="false" outlineLevel="0" collapsed="false">
      <c r="A299" s="38" t="s">
        <v>344</v>
      </c>
      <c r="B299" s="38" t="s">
        <v>433</v>
      </c>
      <c r="C299" s="38" t="s">
        <v>436</v>
      </c>
      <c r="D299" s="21" t="n">
        <v>700</v>
      </c>
      <c r="E299" s="21" t="n">
        <v>700</v>
      </c>
      <c r="F299" s="52" t="n">
        <f aca="false">IF(E299="","",D299-E299)</f>
        <v>0</v>
      </c>
      <c r="G299" s="21" t="n">
        <v>565</v>
      </c>
      <c r="H299" s="21" t="n">
        <v>639</v>
      </c>
      <c r="I299" s="52" t="n">
        <f aca="false">IF(H299="","",G299-H299)</f>
        <v>-74</v>
      </c>
      <c r="J299" s="39" t="n">
        <f aca="false">IF(OR(D299="",D299+G299=0),"",D299/(D299+G299))</f>
        <v>0.553359683794466</v>
      </c>
      <c r="K299" s="39" t="n">
        <f aca="false">IF(E299="","",E299/(E299+H299))</f>
        <v>0.522778192681105</v>
      </c>
      <c r="L299" s="53" t="n">
        <f aca="false">IF(OR(K299="",J299=""),"",(J299-K299)*100)</f>
        <v>3.05814911133612</v>
      </c>
      <c r="M299" s="38"/>
    </row>
    <row r="300" customFormat="false" ht="15" hidden="false" customHeight="false" outlineLevel="0" collapsed="false">
      <c r="A300" s="38" t="s">
        <v>344</v>
      </c>
      <c r="B300" s="38" t="s">
        <v>437</v>
      </c>
      <c r="C300" s="38" t="s">
        <v>438</v>
      </c>
      <c r="D300" s="21" t="n">
        <v>567</v>
      </c>
      <c r="E300" s="21" t="n">
        <v>546</v>
      </c>
      <c r="F300" s="52" t="n">
        <f aca="false">IF(E300="","",D300-E300)</f>
        <v>21</v>
      </c>
      <c r="G300" s="21" t="n">
        <v>1012</v>
      </c>
      <c r="H300" s="21" t="n">
        <v>1089</v>
      </c>
      <c r="I300" s="52" t="n">
        <f aca="false">IF(H300="","",G300-H300)</f>
        <v>-77</v>
      </c>
      <c r="J300" s="39" t="n">
        <f aca="false">IF(OR(D300="",D300+G300=0),"",D300/(D300+G300))</f>
        <v>0.359088030398987</v>
      </c>
      <c r="K300" s="39" t="n">
        <f aca="false">IF(E300="","",E300/(E300+H300))</f>
        <v>0.33394495412844</v>
      </c>
      <c r="L300" s="53" t="n">
        <f aca="false">IF(OR(K300="",J300=""),"",(J300-K300)*100)</f>
        <v>2.51430762705463</v>
      </c>
      <c r="M300" s="38"/>
    </row>
    <row r="301" customFormat="false" ht="15" hidden="false" customHeight="false" outlineLevel="0" collapsed="false">
      <c r="A301" s="38" t="s">
        <v>344</v>
      </c>
      <c r="B301" s="38" t="s">
        <v>437</v>
      </c>
      <c r="C301" s="38" t="s">
        <v>439</v>
      </c>
      <c r="D301" s="21" t="n">
        <v>658</v>
      </c>
      <c r="E301" s="21" t="n">
        <v>636</v>
      </c>
      <c r="F301" s="52" t="n">
        <f aca="false">IF(E301="","",D301-E301)</f>
        <v>22</v>
      </c>
      <c r="G301" s="21" t="n">
        <v>1137</v>
      </c>
      <c r="H301" s="21" t="n">
        <v>1262</v>
      </c>
      <c r="I301" s="52" t="n">
        <f aca="false">IF(H301="","",G301-H301)</f>
        <v>-125</v>
      </c>
      <c r="J301" s="39" t="n">
        <f aca="false">IF(OR(D301="",D301+G301=0),"",D301/(D301+G301))</f>
        <v>0.366573816155989</v>
      </c>
      <c r="K301" s="39" t="n">
        <f aca="false">IF(E301="","",E301/(E301+H301))</f>
        <v>0.33508956796628</v>
      </c>
      <c r="L301" s="53" t="n">
        <f aca="false">IF(OR(K301="",J301=""),"",(J301-K301)*100)</f>
        <v>3.14842481897086</v>
      </c>
      <c r="M301" s="38"/>
    </row>
    <row r="302" customFormat="false" ht="15" hidden="false" customHeight="false" outlineLevel="0" collapsed="false">
      <c r="A302" s="38" t="s">
        <v>344</v>
      </c>
      <c r="B302" s="38" t="s">
        <v>437</v>
      </c>
      <c r="C302" s="38" t="s">
        <v>440</v>
      </c>
      <c r="D302" s="21" t="n">
        <v>221</v>
      </c>
      <c r="E302" s="21" t="n">
        <v>224</v>
      </c>
      <c r="F302" s="52" t="n">
        <f aca="false">IF(E302="","",D302-E302)</f>
        <v>-3</v>
      </c>
      <c r="G302" s="21" t="n">
        <v>473</v>
      </c>
      <c r="H302" s="21" t="n">
        <v>495</v>
      </c>
      <c r="I302" s="52" t="n">
        <f aca="false">IF(H302="","",G302-H302)</f>
        <v>-22</v>
      </c>
      <c r="J302" s="39" t="n">
        <f aca="false">IF(OR(D302="",D302+G302=0),"",D302/(D302+G302))</f>
        <v>0.318443804034582</v>
      </c>
      <c r="K302" s="39" t="n">
        <f aca="false">IF(E302="","",E302/(E302+H302))</f>
        <v>0.311543810848401</v>
      </c>
      <c r="L302" s="53" t="n">
        <f aca="false">IF(OR(K302="",J302=""),"",(J302-K302)*100)</f>
        <v>0.689999318618156</v>
      </c>
      <c r="M302" s="38"/>
    </row>
    <row r="303" customFormat="false" ht="15" hidden="false" customHeight="false" outlineLevel="0" collapsed="false">
      <c r="A303" s="38" t="s">
        <v>344</v>
      </c>
      <c r="B303" s="38" t="s">
        <v>437</v>
      </c>
      <c r="C303" s="38" t="s">
        <v>441</v>
      </c>
      <c r="D303" s="21" t="n">
        <v>511</v>
      </c>
      <c r="E303" s="21" t="n">
        <v>478</v>
      </c>
      <c r="F303" s="52" t="n">
        <f aca="false">IF(E303="","",D303-E303)</f>
        <v>33</v>
      </c>
      <c r="G303" s="21" t="n">
        <v>877</v>
      </c>
      <c r="H303" s="21" t="n">
        <v>948</v>
      </c>
      <c r="I303" s="52" t="n">
        <f aca="false">IF(H303="","",G303-H303)</f>
        <v>-71</v>
      </c>
      <c r="J303" s="39" t="n">
        <f aca="false">IF(OR(D303="",D303+G303=0),"",D303/(D303+G303))</f>
        <v>0.368155619596542</v>
      </c>
      <c r="K303" s="39" t="n">
        <f aca="false">IF(E303="","",E303/(E303+H303))</f>
        <v>0.335203366058906</v>
      </c>
      <c r="L303" s="53" t="n">
        <f aca="false">IF(OR(K303="",J303=""),"",(J303-K303)*100)</f>
        <v>3.29522535376358</v>
      </c>
      <c r="M303" s="38"/>
    </row>
    <row r="304" customFormat="false" ht="15" hidden="false" customHeight="false" outlineLevel="0" collapsed="false">
      <c r="A304" s="38" t="s">
        <v>344</v>
      </c>
      <c r="B304" s="38" t="s">
        <v>437</v>
      </c>
      <c r="C304" s="38" t="s">
        <v>442</v>
      </c>
      <c r="D304" s="21" t="n">
        <v>336</v>
      </c>
      <c r="E304" s="21" t="n">
        <v>360</v>
      </c>
      <c r="F304" s="52" t="n">
        <f aca="false">IF(E304="","",D304-E304)</f>
        <v>-24</v>
      </c>
      <c r="G304" s="21" t="n">
        <v>603</v>
      </c>
      <c r="H304" s="21" t="n">
        <v>645</v>
      </c>
      <c r="I304" s="52" t="n">
        <f aca="false">IF(H304="","",G304-H304)</f>
        <v>-42</v>
      </c>
      <c r="J304" s="39" t="n">
        <f aca="false">IF(OR(D304="",D304+G304=0),"",D304/(D304+G304))</f>
        <v>0.357827476038339</v>
      </c>
      <c r="K304" s="39" t="n">
        <f aca="false">IF(E304="","",E304/(E304+H304))</f>
        <v>0.358208955223881</v>
      </c>
      <c r="L304" s="53" t="n">
        <f aca="false">IF(OR(K304="",J304=""),"",(J304-K304)*100)</f>
        <v>-0.0381479185541933</v>
      </c>
      <c r="M304" s="38"/>
    </row>
    <row r="305" customFormat="false" ht="15" hidden="false" customHeight="false" outlineLevel="0" collapsed="false">
      <c r="A305" s="38" t="s">
        <v>344</v>
      </c>
      <c r="B305" s="38" t="s">
        <v>443</v>
      </c>
      <c r="C305" s="38" t="s">
        <v>444</v>
      </c>
      <c r="D305" s="21" t="n">
        <v>258</v>
      </c>
      <c r="E305" s="21" t="n">
        <v>264</v>
      </c>
      <c r="F305" s="52" t="n">
        <f aca="false">IF(E305="","",D305-E305)</f>
        <v>-6</v>
      </c>
      <c r="G305" s="21" t="n">
        <v>408</v>
      </c>
      <c r="H305" s="21" t="n">
        <v>439</v>
      </c>
      <c r="I305" s="52" t="n">
        <f aca="false">IF(H305="","",G305-H305)</f>
        <v>-31</v>
      </c>
      <c r="J305" s="39" t="n">
        <f aca="false">IF(OR(D305="",D305+G305=0),"",D305/(D305+G305))</f>
        <v>0.387387387387387</v>
      </c>
      <c r="K305" s="39" t="n">
        <f aca="false">IF(E305="","",E305/(E305+H305))</f>
        <v>0.375533428165007</v>
      </c>
      <c r="L305" s="53" t="n">
        <f aca="false">IF(OR(K305="",J305=""),"",(J305-K305)*100)</f>
        <v>1.18539592223803</v>
      </c>
      <c r="M305" s="38"/>
    </row>
    <row r="306" customFormat="false" ht="15" hidden="false" customHeight="false" outlineLevel="0" collapsed="false">
      <c r="A306" s="38" t="s">
        <v>344</v>
      </c>
      <c r="B306" s="38" t="s">
        <v>443</v>
      </c>
      <c r="C306" s="38" t="s">
        <v>445</v>
      </c>
      <c r="D306" s="21" t="n">
        <v>380</v>
      </c>
      <c r="E306" s="21" t="n">
        <v>361</v>
      </c>
      <c r="F306" s="52" t="n">
        <f aca="false">IF(E306="","",D306-E306)</f>
        <v>19</v>
      </c>
      <c r="G306" s="21" t="n">
        <v>693</v>
      </c>
      <c r="H306" s="21" t="n">
        <v>775</v>
      </c>
      <c r="I306" s="52" t="n">
        <f aca="false">IF(H306="","",G306-H306)</f>
        <v>-82</v>
      </c>
      <c r="J306" s="39" t="n">
        <f aca="false">IF(OR(D306="",D306+G306=0),"",D306/(D306+G306))</f>
        <v>0.354147250698975</v>
      </c>
      <c r="K306" s="39" t="n">
        <f aca="false">IF(E306="","",E306/(E306+H306))</f>
        <v>0.317781690140845</v>
      </c>
      <c r="L306" s="53" t="n">
        <f aca="false">IF(OR(K306="",J306=""),"",(J306-K306)*100)</f>
        <v>3.63655605581298</v>
      </c>
      <c r="M306" s="38"/>
    </row>
    <row r="307" customFormat="false" ht="15" hidden="false" customHeight="false" outlineLevel="0" collapsed="false">
      <c r="A307" s="38" t="s">
        <v>344</v>
      </c>
      <c r="B307" s="38" t="s">
        <v>446</v>
      </c>
      <c r="C307" s="38" t="s">
        <v>447</v>
      </c>
      <c r="D307" s="21" t="n">
        <v>261</v>
      </c>
      <c r="E307" s="21"/>
      <c r="F307" s="52" t="str">
        <f aca="false">IF(E307="","",D307-E307)</f>
        <v/>
      </c>
      <c r="G307" s="21" t="n">
        <v>330</v>
      </c>
      <c r="H307" s="21"/>
      <c r="I307" s="52" t="str">
        <f aca="false">IF(H307="","",G307-H307)</f>
        <v/>
      </c>
      <c r="J307" s="39" t="n">
        <f aca="false">IF(OR(D307="",D307+G307=0),"",D307/(D307+G307))</f>
        <v>0.441624365482234</v>
      </c>
      <c r="K307" s="39" t="str">
        <f aca="false">IF(E307="","",E307/(E307+H307))</f>
        <v/>
      </c>
      <c r="L307" s="53" t="str">
        <f aca="false">IF(OR(K307="",J307=""),"",(J307-K307)*100)</f>
        <v/>
      </c>
      <c r="M307" s="38" t="s">
        <v>650</v>
      </c>
    </row>
    <row r="308" customFormat="false" ht="15" hidden="false" customHeight="false" outlineLevel="0" collapsed="false">
      <c r="A308" s="38" t="s">
        <v>344</v>
      </c>
      <c r="B308" s="38" t="s">
        <v>446</v>
      </c>
      <c r="C308" s="38" t="s">
        <v>448</v>
      </c>
      <c r="D308" s="21" t="n">
        <v>661</v>
      </c>
      <c r="E308" s="21"/>
      <c r="F308" s="52" t="str">
        <f aca="false">IF(E308="","",D308-E308)</f>
        <v/>
      </c>
      <c r="G308" s="21" t="n">
        <v>645</v>
      </c>
      <c r="H308" s="21"/>
      <c r="I308" s="52" t="str">
        <f aca="false">IF(H308="","",G308-H308)</f>
        <v/>
      </c>
      <c r="J308" s="39" t="n">
        <f aca="false">IF(OR(D308="",D308+G308=0),"",D308/(D308+G308))</f>
        <v>0.506125574272588</v>
      </c>
      <c r="K308" s="39" t="str">
        <f aca="false">IF(E308="","",E308/(E308+H308))</f>
        <v/>
      </c>
      <c r="L308" s="53" t="str">
        <f aca="false">IF(OR(K308="",J308=""),"",(J308-K308)*100)</f>
        <v/>
      </c>
      <c r="M308" s="38" t="s">
        <v>650</v>
      </c>
    </row>
    <row r="309" customFormat="false" ht="15" hidden="false" customHeight="false" outlineLevel="0" collapsed="false">
      <c r="A309" s="38" t="s">
        <v>344</v>
      </c>
      <c r="B309" s="38" t="s">
        <v>446</v>
      </c>
      <c r="C309" s="38" t="s">
        <v>449</v>
      </c>
      <c r="D309" s="21" t="n">
        <v>639</v>
      </c>
      <c r="E309" s="21" t="n">
        <v>606</v>
      </c>
      <c r="F309" s="52" t="n">
        <f aca="false">IF(E309="","",D309-E309)</f>
        <v>33</v>
      </c>
      <c r="G309" s="21" t="n">
        <v>778</v>
      </c>
      <c r="H309" s="21" t="n">
        <v>825</v>
      </c>
      <c r="I309" s="52" t="n">
        <f aca="false">IF(H309="","",G309-H309)</f>
        <v>-47</v>
      </c>
      <c r="J309" s="39" t="n">
        <f aca="false">IF(OR(D309="",D309+G309=0),"",D309/(D309+G309))</f>
        <v>0.450952717007763</v>
      </c>
      <c r="K309" s="39" t="n">
        <f aca="false">IF(E309="","",E309/(E309+H309))</f>
        <v>0.423480083857442</v>
      </c>
      <c r="L309" s="53" t="n">
        <f aca="false">IF(OR(K309="",J309=""),"",(J309-K309)*100)</f>
        <v>2.74726331503206</v>
      </c>
      <c r="M309" s="38"/>
    </row>
    <row r="310" customFormat="false" ht="15" hidden="false" customHeight="false" outlineLevel="0" collapsed="false">
      <c r="A310" s="38" t="s">
        <v>344</v>
      </c>
      <c r="B310" s="38" t="s">
        <v>446</v>
      </c>
      <c r="C310" s="38" t="s">
        <v>450</v>
      </c>
      <c r="D310" s="21" t="n">
        <v>630</v>
      </c>
      <c r="E310" s="21"/>
      <c r="F310" s="52" t="str">
        <f aca="false">IF(E310="","",D310-E310)</f>
        <v/>
      </c>
      <c r="G310" s="21" t="n">
        <v>688</v>
      </c>
      <c r="H310" s="21"/>
      <c r="I310" s="52" t="str">
        <f aca="false">IF(H310="","",G310-H310)</f>
        <v/>
      </c>
      <c r="J310" s="39" t="n">
        <f aca="false">IF(OR(D310="",D310+G310=0),"",D310/(D310+G310))</f>
        <v>0.477996965098634</v>
      </c>
      <c r="K310" s="39" t="str">
        <f aca="false">IF(E310="","",E310/(E310+H310))</f>
        <v/>
      </c>
      <c r="L310" s="53" t="str">
        <f aca="false">IF(OR(K310="",J310=""),"",(J310-K310)*100)</f>
        <v/>
      </c>
      <c r="M310" s="38" t="s">
        <v>650</v>
      </c>
    </row>
    <row r="311" customFormat="false" ht="15" hidden="false" customHeight="false" outlineLevel="0" collapsed="false">
      <c r="A311" s="38" t="s">
        <v>344</v>
      </c>
      <c r="B311" s="38" t="s">
        <v>451</v>
      </c>
      <c r="C311" s="38" t="s">
        <v>452</v>
      </c>
      <c r="D311" s="21" t="n">
        <v>604</v>
      </c>
      <c r="E311" s="21" t="n">
        <v>585</v>
      </c>
      <c r="F311" s="52" t="n">
        <f aca="false">IF(E311="","",D311-E311)</f>
        <v>19</v>
      </c>
      <c r="G311" s="21" t="n">
        <v>532</v>
      </c>
      <c r="H311" s="21" t="n">
        <v>527</v>
      </c>
      <c r="I311" s="52" t="n">
        <f aca="false">IF(H311="","",G311-H311)</f>
        <v>5</v>
      </c>
      <c r="J311" s="39" t="n">
        <f aca="false">IF(OR(D311="",D311+G311=0),"",D311/(D311+G311))</f>
        <v>0.53169014084507</v>
      </c>
      <c r="K311" s="39" t="n">
        <f aca="false">IF(E311="","",E311/(E311+H311))</f>
        <v>0.526079136690647</v>
      </c>
      <c r="L311" s="53" t="n">
        <f aca="false">IF(OR(K311="",J311=""),"",(J311-K311)*100)</f>
        <v>0.561100415442295</v>
      </c>
      <c r="M311" s="38"/>
    </row>
    <row r="312" customFormat="false" ht="15" hidden="false" customHeight="false" outlineLevel="0" collapsed="false">
      <c r="A312" s="38" t="s">
        <v>344</v>
      </c>
      <c r="B312" s="38" t="s">
        <v>451</v>
      </c>
      <c r="C312" s="38" t="s">
        <v>453</v>
      </c>
      <c r="D312" s="21" t="n">
        <v>675</v>
      </c>
      <c r="E312" s="21" t="n">
        <v>639</v>
      </c>
      <c r="F312" s="52" t="n">
        <f aca="false">IF(E312="","",D312-E312)</f>
        <v>36</v>
      </c>
      <c r="G312" s="21" t="n">
        <v>814</v>
      </c>
      <c r="H312" s="21" t="n">
        <v>886</v>
      </c>
      <c r="I312" s="52" t="n">
        <f aca="false">IF(H312="","",G312-H312)</f>
        <v>-72</v>
      </c>
      <c r="J312" s="39" t="n">
        <f aca="false">IF(OR(D312="",D312+G312=0),"",D312/(D312+G312))</f>
        <v>0.453324378777703</v>
      </c>
      <c r="K312" s="39" t="n">
        <f aca="false">IF(E312="","",E312/(E312+H312))</f>
        <v>0.419016393442623</v>
      </c>
      <c r="L312" s="53" t="n">
        <f aca="false">IF(OR(K312="",J312=""),"",(J312-K312)*100)</f>
        <v>3.43079853350802</v>
      </c>
      <c r="M312" s="38"/>
    </row>
    <row r="313" customFormat="false" ht="15" hidden="false" customHeight="false" outlineLevel="0" collapsed="false">
      <c r="A313" s="38" t="s">
        <v>344</v>
      </c>
      <c r="B313" s="38" t="s">
        <v>451</v>
      </c>
      <c r="C313" s="38" t="s">
        <v>454</v>
      </c>
      <c r="D313" s="21" t="n">
        <v>419</v>
      </c>
      <c r="E313" s="21"/>
      <c r="F313" s="52" t="str">
        <f aca="false">IF(E313="","",D313-E313)</f>
        <v/>
      </c>
      <c r="G313" s="21" t="n">
        <v>554</v>
      </c>
      <c r="H313" s="21"/>
      <c r="I313" s="52" t="str">
        <f aca="false">IF(H313="","",G313-H313)</f>
        <v/>
      </c>
      <c r="J313" s="39" t="n">
        <f aca="false">IF(OR(D313="",D313+G313=0),"",D313/(D313+G313))</f>
        <v>0.430626927029805</v>
      </c>
      <c r="K313" s="39" t="str">
        <f aca="false">IF(E313="","",E313/(E313+H313))</f>
        <v/>
      </c>
      <c r="L313" s="53" t="str">
        <f aca="false">IF(OR(K313="",J313=""),"",(J313-K313)*100)</f>
        <v/>
      </c>
      <c r="M313" s="38" t="s">
        <v>650</v>
      </c>
    </row>
    <row r="314" customFormat="false" ht="15" hidden="false" customHeight="false" outlineLevel="0" collapsed="false">
      <c r="A314" s="38" t="s">
        <v>344</v>
      </c>
      <c r="B314" s="38" t="s">
        <v>451</v>
      </c>
      <c r="C314" s="38" t="s">
        <v>455</v>
      </c>
      <c r="D314" s="21" t="n">
        <v>505</v>
      </c>
      <c r="E314" s="21" t="n">
        <v>496</v>
      </c>
      <c r="F314" s="52" t="n">
        <f aca="false">IF(E314="","",D314-E314)</f>
        <v>9</v>
      </c>
      <c r="G314" s="21" t="n">
        <v>449</v>
      </c>
      <c r="H314" s="21" t="n">
        <v>458</v>
      </c>
      <c r="I314" s="52" t="n">
        <f aca="false">IF(H314="","",G314-H314)</f>
        <v>-9</v>
      </c>
      <c r="J314" s="39" t="n">
        <f aca="false">IF(OR(D314="",D314+G314=0),"",D314/(D314+G314))</f>
        <v>0.529350104821803</v>
      </c>
      <c r="K314" s="39" t="n">
        <f aca="false">IF(E314="","",E314/(E314+H314))</f>
        <v>0.519916142557652</v>
      </c>
      <c r="L314" s="53" t="n">
        <f aca="false">IF(OR(K314="",J314=""),"",(J314-K314)*100)</f>
        <v>0.943396226415094</v>
      </c>
      <c r="M314" s="38"/>
    </row>
    <row r="315" customFormat="false" ht="15" hidden="false" customHeight="false" outlineLevel="0" collapsed="false">
      <c r="A315" s="38" t="s">
        <v>344</v>
      </c>
      <c r="B315" s="38" t="s">
        <v>451</v>
      </c>
      <c r="C315" s="38" t="s">
        <v>456</v>
      </c>
      <c r="D315" s="21" t="n">
        <v>419</v>
      </c>
      <c r="E315" s="21" t="n">
        <v>423</v>
      </c>
      <c r="F315" s="52" t="n">
        <f aca="false">IF(E315="","",D315-E315)</f>
        <v>-4</v>
      </c>
      <c r="G315" s="21" t="n">
        <v>537</v>
      </c>
      <c r="H315" s="21" t="n">
        <v>592</v>
      </c>
      <c r="I315" s="52" t="n">
        <f aca="false">IF(H315="","",G315-H315)</f>
        <v>-55</v>
      </c>
      <c r="J315" s="39" t="n">
        <f aca="false">IF(OR(D315="",D315+G315=0),"",D315/(D315+G315))</f>
        <v>0.438284518828452</v>
      </c>
      <c r="K315" s="39" t="n">
        <f aca="false">IF(E315="","",E315/(E315+H315))</f>
        <v>0.416748768472906</v>
      </c>
      <c r="L315" s="53" t="n">
        <f aca="false">IF(OR(K315="",J315=""),"",(J315-K315)*100)</f>
        <v>2.15357503555454</v>
      </c>
      <c r="M315" s="38"/>
    </row>
    <row r="316" customFormat="false" ht="15" hidden="false" customHeight="false" outlineLevel="0" collapsed="false">
      <c r="A316" s="38" t="s">
        <v>344</v>
      </c>
      <c r="B316" s="38" t="s">
        <v>451</v>
      </c>
      <c r="C316" s="38" t="s">
        <v>457</v>
      </c>
      <c r="D316" s="21" t="n">
        <v>815</v>
      </c>
      <c r="E316" s="21"/>
      <c r="F316" s="52" t="str">
        <f aca="false">IF(E316="","",D316-E316)</f>
        <v/>
      </c>
      <c r="G316" s="21" t="n">
        <v>874</v>
      </c>
      <c r="H316" s="21"/>
      <c r="I316" s="52" t="str">
        <f aca="false">IF(H316="","",G316-H316)</f>
        <v/>
      </c>
      <c r="J316" s="39" t="n">
        <f aca="false">IF(OR(D316="",D316+G316=0),"",D316/(D316+G316))</f>
        <v>0.482534043812907</v>
      </c>
      <c r="K316" s="39" t="str">
        <f aca="false">IF(E316="","",E316/(E316+H316))</f>
        <v/>
      </c>
      <c r="L316" s="53" t="str">
        <f aca="false">IF(OR(K316="",J316=""),"",(J316-K316)*100)</f>
        <v/>
      </c>
      <c r="M316" s="38" t="s">
        <v>650</v>
      </c>
    </row>
    <row r="317" customFormat="false" ht="15" hidden="false" customHeight="false" outlineLevel="0" collapsed="false">
      <c r="A317" s="38" t="s">
        <v>344</v>
      </c>
      <c r="B317" s="38" t="s">
        <v>458</v>
      </c>
      <c r="C317" s="38" t="s">
        <v>459</v>
      </c>
      <c r="D317" s="21" t="n">
        <v>399</v>
      </c>
      <c r="E317" s="21" t="n">
        <v>409</v>
      </c>
      <c r="F317" s="52" t="n">
        <f aca="false">IF(E317="","",D317-E317)</f>
        <v>-10</v>
      </c>
      <c r="G317" s="21" t="n">
        <v>735</v>
      </c>
      <c r="H317" s="21" t="n">
        <v>764</v>
      </c>
      <c r="I317" s="52" t="n">
        <f aca="false">IF(H317="","",G317-H317)</f>
        <v>-29</v>
      </c>
      <c r="J317" s="39" t="n">
        <f aca="false">IF(OR(D317="",D317+G317=0),"",D317/(D317+G317))</f>
        <v>0.351851851851852</v>
      </c>
      <c r="K317" s="39" t="n">
        <f aca="false">IF(E317="","",E317/(E317+H317))</f>
        <v>0.348678601875533</v>
      </c>
      <c r="L317" s="53" t="n">
        <f aca="false">IF(OR(K317="",J317=""),"",(J317-K317)*100)</f>
        <v>0.317324997631902</v>
      </c>
      <c r="M317" s="38"/>
    </row>
    <row r="318" customFormat="false" ht="15" hidden="false" customHeight="false" outlineLevel="0" collapsed="false">
      <c r="A318" s="38" t="s">
        <v>344</v>
      </c>
      <c r="B318" s="38" t="s">
        <v>458</v>
      </c>
      <c r="C318" s="38" t="s">
        <v>460</v>
      </c>
      <c r="D318" s="21" t="n">
        <v>812</v>
      </c>
      <c r="E318" s="21" t="n">
        <v>805</v>
      </c>
      <c r="F318" s="52" t="n">
        <f aca="false">IF(E318="","",D318-E318)</f>
        <v>7</v>
      </c>
      <c r="G318" s="21" t="n">
        <v>1466</v>
      </c>
      <c r="H318" s="21" t="n">
        <v>1577</v>
      </c>
      <c r="I318" s="52" t="n">
        <f aca="false">IF(H318="","",G318-H318)</f>
        <v>-111</v>
      </c>
      <c r="J318" s="39" t="n">
        <f aca="false">IF(OR(D318="",D318+G318=0),"",D318/(D318+G318))</f>
        <v>0.356453028972783</v>
      </c>
      <c r="K318" s="39" t="n">
        <f aca="false">IF(E318="","",E318/(E318+H318))</f>
        <v>0.337951301427372</v>
      </c>
      <c r="L318" s="53" t="n">
        <f aca="false">IF(OR(K318="",J318=""),"",(J318-K318)*100)</f>
        <v>1.85017275454112</v>
      </c>
      <c r="M318" s="38"/>
    </row>
    <row r="319" customFormat="false" ht="15" hidden="false" customHeight="false" outlineLevel="0" collapsed="false">
      <c r="A319" s="38" t="s">
        <v>344</v>
      </c>
      <c r="B319" s="38" t="s">
        <v>458</v>
      </c>
      <c r="C319" s="38" t="s">
        <v>461</v>
      </c>
      <c r="D319" s="21" t="n">
        <v>561</v>
      </c>
      <c r="E319" s="21" t="n">
        <v>547</v>
      </c>
      <c r="F319" s="52" t="n">
        <f aca="false">IF(E319="","",D319-E319)</f>
        <v>14</v>
      </c>
      <c r="G319" s="21" t="n">
        <v>1084</v>
      </c>
      <c r="H319" s="21" t="n">
        <v>1179</v>
      </c>
      <c r="I319" s="52" t="n">
        <f aca="false">IF(H319="","",G319-H319)</f>
        <v>-95</v>
      </c>
      <c r="J319" s="39" t="n">
        <f aca="false">IF(OR(D319="",D319+G319=0),"",D319/(D319+G319))</f>
        <v>0.341033434650456</v>
      </c>
      <c r="K319" s="39" t="n">
        <f aca="false">IF(E319="","",E319/(E319+H319))</f>
        <v>0.316917728852839</v>
      </c>
      <c r="L319" s="53" t="n">
        <f aca="false">IF(OR(K319="",J319=""),"",(J319-K319)*100)</f>
        <v>2.4115705797617</v>
      </c>
      <c r="M319" s="38"/>
    </row>
    <row r="320" customFormat="false" ht="15" hidden="false" customHeight="false" outlineLevel="0" collapsed="false">
      <c r="A320" s="38" t="s">
        <v>344</v>
      </c>
      <c r="B320" s="38" t="s">
        <v>458</v>
      </c>
      <c r="C320" s="38" t="s">
        <v>462</v>
      </c>
      <c r="D320" s="21" t="n">
        <v>259</v>
      </c>
      <c r="E320" s="21" t="n">
        <v>245</v>
      </c>
      <c r="F320" s="52" t="n">
        <f aca="false">IF(E320="","",D320-E320)</f>
        <v>14</v>
      </c>
      <c r="G320" s="21" t="n">
        <v>469</v>
      </c>
      <c r="H320" s="21" t="n">
        <v>537</v>
      </c>
      <c r="I320" s="52" t="n">
        <f aca="false">IF(H320="","",G320-H320)</f>
        <v>-68</v>
      </c>
      <c r="J320" s="39" t="n">
        <f aca="false">IF(OR(D320="",D320+G320=0),"",D320/(D320+G320))</f>
        <v>0.355769230769231</v>
      </c>
      <c r="K320" s="39" t="n">
        <f aca="false">IF(E320="","",E320/(E320+H320))</f>
        <v>0.313299232736573</v>
      </c>
      <c r="L320" s="53" t="n">
        <f aca="false">IF(OR(K320="",J320=""),"",(J320-K320)*100)</f>
        <v>4.24699980326579</v>
      </c>
      <c r="M320" s="38"/>
    </row>
    <row r="321" customFormat="false" ht="15" hidden="false" customHeight="false" outlineLevel="0" collapsed="false">
      <c r="A321" s="38" t="s">
        <v>344</v>
      </c>
      <c r="B321" s="38" t="s">
        <v>463</v>
      </c>
      <c r="C321" s="38" t="s">
        <v>464</v>
      </c>
      <c r="D321" s="21" t="n">
        <v>597</v>
      </c>
      <c r="E321" s="21" t="n">
        <v>601</v>
      </c>
      <c r="F321" s="52" t="n">
        <f aca="false">IF(E321="","",D321-E321)</f>
        <v>-4</v>
      </c>
      <c r="G321" s="21" t="n">
        <v>582</v>
      </c>
      <c r="H321" s="21" t="n">
        <v>605</v>
      </c>
      <c r="I321" s="52" t="n">
        <f aca="false">IF(H321="","",G321-H321)</f>
        <v>-23</v>
      </c>
      <c r="J321" s="39" t="n">
        <f aca="false">IF(OR(D321="",D321+G321=0),"",D321/(D321+G321))</f>
        <v>0.506361323155216</v>
      </c>
      <c r="K321" s="39" t="n">
        <f aca="false">IF(E321="","",E321/(E321+H321))</f>
        <v>0.498341625207297</v>
      </c>
      <c r="L321" s="53" t="n">
        <f aca="false">IF(OR(K321="",J321=""),"",(J321-K321)*100)</f>
        <v>0.801969794791946</v>
      </c>
      <c r="M321" s="38"/>
    </row>
    <row r="322" customFormat="false" ht="15" hidden="false" customHeight="false" outlineLevel="0" collapsed="false">
      <c r="A322" s="38" t="s">
        <v>344</v>
      </c>
      <c r="B322" s="38" t="s">
        <v>463</v>
      </c>
      <c r="C322" s="38" t="s">
        <v>465</v>
      </c>
      <c r="D322" s="21" t="n">
        <v>530</v>
      </c>
      <c r="E322" s="21" t="n">
        <v>523</v>
      </c>
      <c r="F322" s="52" t="n">
        <f aca="false">IF(E322="","",D322-E322)</f>
        <v>7</v>
      </c>
      <c r="G322" s="21" t="n">
        <v>467</v>
      </c>
      <c r="H322" s="21" t="n">
        <v>542</v>
      </c>
      <c r="I322" s="52" t="n">
        <f aca="false">IF(H322="","",G322-H322)</f>
        <v>-75</v>
      </c>
      <c r="J322" s="39" t="n">
        <f aca="false">IF(OR(D322="",D322+G322=0),"",D322/(D322+G322))</f>
        <v>0.531594784353059</v>
      </c>
      <c r="K322" s="39" t="n">
        <f aca="false">IF(E322="","",E322/(E322+H322))</f>
        <v>0.491079812206573</v>
      </c>
      <c r="L322" s="53" t="n">
        <f aca="false">IF(OR(K322="",J322=""),"",(J322-K322)*100)</f>
        <v>4.05149721464864</v>
      </c>
      <c r="M322" s="38"/>
    </row>
    <row r="323" customFormat="false" ht="15" hidden="false" customHeight="false" outlineLevel="0" collapsed="false">
      <c r="A323" s="38" t="s">
        <v>344</v>
      </c>
      <c r="B323" s="38" t="s">
        <v>463</v>
      </c>
      <c r="C323" s="38" t="s">
        <v>466</v>
      </c>
      <c r="D323" s="21" t="n">
        <v>475</v>
      </c>
      <c r="E323" s="21" t="n">
        <v>472</v>
      </c>
      <c r="F323" s="52" t="n">
        <f aca="false">IF(E323="","",D323-E323)</f>
        <v>3</v>
      </c>
      <c r="G323" s="21" t="n">
        <v>466</v>
      </c>
      <c r="H323" s="21" t="n">
        <v>517</v>
      </c>
      <c r="I323" s="52" t="n">
        <f aca="false">IF(H323="","",G323-H323)</f>
        <v>-51</v>
      </c>
      <c r="J323" s="39" t="n">
        <f aca="false">IF(OR(D323="",D323+G323=0),"",D323/(D323+G323))</f>
        <v>0.504782146652497</v>
      </c>
      <c r="K323" s="39" t="n">
        <f aca="false">IF(E323="","",E323/(E323+H323))</f>
        <v>0.477249747219414</v>
      </c>
      <c r="L323" s="53" t="n">
        <f aca="false">IF(OR(K323="",J323=""),"",(J323-K323)*100)</f>
        <v>2.75323994330838</v>
      </c>
      <c r="M323" s="38"/>
    </row>
    <row r="324" customFormat="false" ht="15" hidden="false" customHeight="false" outlineLevel="0" collapsed="false">
      <c r="A324" s="38" t="s">
        <v>344</v>
      </c>
      <c r="B324" s="38" t="s">
        <v>467</v>
      </c>
      <c r="C324" s="38" t="s">
        <v>468</v>
      </c>
      <c r="D324" s="21" t="n">
        <v>236</v>
      </c>
      <c r="E324" s="21" t="n">
        <v>222</v>
      </c>
      <c r="F324" s="52" t="n">
        <f aca="false">IF(E324="","",D324-E324)</f>
        <v>14</v>
      </c>
      <c r="G324" s="21" t="n">
        <v>260</v>
      </c>
      <c r="H324" s="21" t="n">
        <v>276</v>
      </c>
      <c r="I324" s="52" t="n">
        <f aca="false">IF(H324="","",G324-H324)</f>
        <v>-16</v>
      </c>
      <c r="J324" s="39" t="n">
        <f aca="false">IF(OR(D324="",D324+G324=0),"",D324/(D324+G324))</f>
        <v>0.475806451612903</v>
      </c>
      <c r="K324" s="39" t="n">
        <f aca="false">IF(E324="","",E324/(E324+H324))</f>
        <v>0.445783132530121</v>
      </c>
      <c r="L324" s="53" t="n">
        <f aca="false">IF(OR(K324="",J324=""),"",(J324-K324)*100)</f>
        <v>3.00233190827828</v>
      </c>
      <c r="M324" s="38"/>
    </row>
    <row r="325" customFormat="false" ht="15" hidden="false" customHeight="false" outlineLevel="0" collapsed="false">
      <c r="A325" s="38" t="s">
        <v>344</v>
      </c>
      <c r="B325" s="38" t="s">
        <v>467</v>
      </c>
      <c r="C325" s="38" t="s">
        <v>469</v>
      </c>
      <c r="D325" s="21" t="n">
        <v>558</v>
      </c>
      <c r="E325" s="21" t="n">
        <v>625</v>
      </c>
      <c r="F325" s="52" t="n">
        <f aca="false">IF(E325="","",D325-E325)</f>
        <v>-67</v>
      </c>
      <c r="G325" s="21" t="n">
        <v>520</v>
      </c>
      <c r="H325" s="21" t="n">
        <v>613</v>
      </c>
      <c r="I325" s="52" t="n">
        <f aca="false">IF(H325="","",G325-H325)</f>
        <v>-93</v>
      </c>
      <c r="J325" s="39" t="n">
        <f aca="false">IF(OR(D325="",D325+G325=0),"",D325/(D325+G325))</f>
        <v>0.517625231910946</v>
      </c>
      <c r="K325" s="39" t="n">
        <f aca="false">IF(E325="","",E325/(E325+H325))</f>
        <v>0.504846526655897</v>
      </c>
      <c r="L325" s="53" t="n">
        <f aca="false">IF(OR(K325="",J325=""),"",(J325-K325)*100)</f>
        <v>1.27787052550497</v>
      </c>
      <c r="M325" s="38"/>
    </row>
    <row r="326" customFormat="false" ht="15" hidden="false" customHeight="false" outlineLevel="0" collapsed="false">
      <c r="A326" s="38" t="s">
        <v>344</v>
      </c>
      <c r="B326" s="38" t="s">
        <v>470</v>
      </c>
      <c r="C326" s="38" t="s">
        <v>471</v>
      </c>
      <c r="D326" s="21" t="n">
        <v>633</v>
      </c>
      <c r="E326" s="21" t="n">
        <v>628</v>
      </c>
      <c r="F326" s="52" t="n">
        <f aca="false">IF(E326="","",D326-E326)</f>
        <v>5</v>
      </c>
      <c r="G326" s="21" t="n">
        <v>651</v>
      </c>
      <c r="H326" s="21" t="n">
        <v>719</v>
      </c>
      <c r="I326" s="52" t="n">
        <f aca="false">IF(H326="","",G326-H326)</f>
        <v>-68</v>
      </c>
      <c r="J326" s="39" t="n">
        <f aca="false">IF(OR(D326="",D326+G326=0),"",D326/(D326+G326))</f>
        <v>0.492990654205608</v>
      </c>
      <c r="K326" s="39" t="n">
        <f aca="false">IF(E326="","",E326/(E326+H326))</f>
        <v>0.466221232368226</v>
      </c>
      <c r="L326" s="53" t="n">
        <f aca="false">IF(OR(K326="",J326=""),"",(J326-K326)*100)</f>
        <v>2.67694218373818</v>
      </c>
      <c r="M326" s="38"/>
    </row>
    <row r="327" customFormat="false" ht="15" hidden="false" customHeight="false" outlineLevel="0" collapsed="false">
      <c r="A327" s="38" t="s">
        <v>344</v>
      </c>
      <c r="B327" s="38" t="s">
        <v>470</v>
      </c>
      <c r="C327" s="38" t="s">
        <v>472</v>
      </c>
      <c r="D327" s="21" t="n">
        <v>573</v>
      </c>
      <c r="E327" s="21" t="n">
        <v>588</v>
      </c>
      <c r="F327" s="52" t="n">
        <f aca="false">IF(E327="","",D327-E327)</f>
        <v>-15</v>
      </c>
      <c r="G327" s="21" t="n">
        <v>567</v>
      </c>
      <c r="H327" s="21" t="n">
        <v>628</v>
      </c>
      <c r="I327" s="52" t="n">
        <f aca="false">IF(H327="","",G327-H327)</f>
        <v>-61</v>
      </c>
      <c r="J327" s="39" t="n">
        <f aca="false">IF(OR(D327="",D327+G327=0),"",D327/(D327+G327))</f>
        <v>0.502631578947368</v>
      </c>
      <c r="K327" s="39" t="n">
        <f aca="false">IF(E327="","",E327/(E327+H327))</f>
        <v>0.483552631578947</v>
      </c>
      <c r="L327" s="53" t="n">
        <f aca="false">IF(OR(K327="",J327=""),"",(J327-K327)*100)</f>
        <v>1.90789473684211</v>
      </c>
      <c r="M327" s="38"/>
    </row>
    <row r="328" customFormat="false" ht="15" hidden="false" customHeight="false" outlineLevel="0" collapsed="false">
      <c r="A328" s="38" t="s">
        <v>344</v>
      </c>
      <c r="B328" s="38" t="s">
        <v>470</v>
      </c>
      <c r="C328" s="38" t="s">
        <v>473</v>
      </c>
      <c r="D328" s="21" t="n">
        <v>1148</v>
      </c>
      <c r="E328" s="21" t="n">
        <v>1120</v>
      </c>
      <c r="F328" s="52" t="n">
        <f aca="false">IF(E328="","",D328-E328)</f>
        <v>28</v>
      </c>
      <c r="G328" s="21" t="n">
        <v>1161</v>
      </c>
      <c r="H328" s="21" t="n">
        <v>1352</v>
      </c>
      <c r="I328" s="52" t="n">
        <f aca="false">IF(H328="","",G328-H328)</f>
        <v>-191</v>
      </c>
      <c r="J328" s="39" t="n">
        <f aca="false">IF(OR(D328="",D328+G328=0),"",D328/(D328+G328))</f>
        <v>0.497184928540494</v>
      </c>
      <c r="K328" s="39" t="n">
        <f aca="false">IF(E328="","",E328/(E328+H328))</f>
        <v>0.453074433656958</v>
      </c>
      <c r="L328" s="53" t="n">
        <f aca="false">IF(OR(K328="",J328=""),"",(J328-K328)*100)</f>
        <v>4.41104948835358</v>
      </c>
      <c r="M328" s="38"/>
    </row>
    <row r="329" customFormat="false" ht="15" hidden="false" customHeight="false" outlineLevel="0" collapsed="false">
      <c r="A329" s="38" t="s">
        <v>344</v>
      </c>
      <c r="B329" s="38" t="s">
        <v>470</v>
      </c>
      <c r="C329" s="38" t="s">
        <v>474</v>
      </c>
      <c r="D329" s="21" t="n">
        <v>269</v>
      </c>
      <c r="E329" s="21" t="n">
        <v>237</v>
      </c>
      <c r="F329" s="52" t="n">
        <f aca="false">IF(E329="","",D329-E329)</f>
        <v>32</v>
      </c>
      <c r="G329" s="21" t="n">
        <v>287</v>
      </c>
      <c r="H329" s="21" t="n">
        <v>324</v>
      </c>
      <c r="I329" s="52" t="n">
        <f aca="false">IF(H329="","",G329-H329)</f>
        <v>-37</v>
      </c>
      <c r="J329" s="39" t="n">
        <f aca="false">IF(OR(D329="",D329+G329=0),"",D329/(D329+G329))</f>
        <v>0.483812949640288</v>
      </c>
      <c r="K329" s="39" t="n">
        <f aca="false">IF(E329="","",E329/(E329+H329))</f>
        <v>0.422459893048128</v>
      </c>
      <c r="L329" s="53" t="n">
        <f aca="false">IF(OR(K329="",J329=""),"",(J329-K329)*100)</f>
        <v>6.13530565921594</v>
      </c>
      <c r="M329" s="38"/>
    </row>
    <row r="330" customFormat="false" ht="15" hidden="false" customHeight="false" outlineLevel="0" collapsed="false">
      <c r="A330" s="38" t="s">
        <v>344</v>
      </c>
      <c r="B330" s="38" t="s">
        <v>475</v>
      </c>
      <c r="C330" s="38" t="s">
        <v>476</v>
      </c>
      <c r="D330" s="21" t="n">
        <v>683</v>
      </c>
      <c r="E330" s="21" t="n">
        <v>600</v>
      </c>
      <c r="F330" s="52" t="n">
        <f aca="false">IF(E330="","",D330-E330)</f>
        <v>83</v>
      </c>
      <c r="G330" s="21" t="n">
        <v>647</v>
      </c>
      <c r="H330" s="21" t="n">
        <v>681</v>
      </c>
      <c r="I330" s="52" t="n">
        <f aca="false">IF(H330="","",G330-H330)</f>
        <v>-34</v>
      </c>
      <c r="J330" s="39" t="n">
        <f aca="false">IF(OR(D330="",D330+G330=0),"",D330/(D330+G330))</f>
        <v>0.513533834586466</v>
      </c>
      <c r="K330" s="39" t="n">
        <f aca="false">IF(E330="","",E330/(E330+H330))</f>
        <v>0.468384074941452</v>
      </c>
      <c r="L330" s="53" t="n">
        <f aca="false">IF(OR(K330="",J330=""),"",(J330-K330)*100)</f>
        <v>4.51497596450142</v>
      </c>
      <c r="M330" s="38"/>
    </row>
    <row r="331" customFormat="false" ht="15" hidden="false" customHeight="false" outlineLevel="0" collapsed="false">
      <c r="A331" s="38" t="s">
        <v>344</v>
      </c>
      <c r="B331" s="38" t="s">
        <v>475</v>
      </c>
      <c r="C331" s="38" t="s">
        <v>477</v>
      </c>
      <c r="D331" s="21" t="n">
        <v>537</v>
      </c>
      <c r="E331" s="21"/>
      <c r="F331" s="52" t="str">
        <f aca="false">IF(E331="","",D331-E331)</f>
        <v/>
      </c>
      <c r="G331" s="21" t="n">
        <v>466</v>
      </c>
      <c r="H331" s="21"/>
      <c r="I331" s="52" t="str">
        <f aca="false">IF(H331="","",G331-H331)</f>
        <v/>
      </c>
      <c r="J331" s="39" t="n">
        <f aca="false">IF(OR(D331="",D331+G331=0),"",D331/(D331+G331))</f>
        <v>0.535393818544367</v>
      </c>
      <c r="K331" s="39" t="str">
        <f aca="false">IF(E331="","",E331/(E331+H331))</f>
        <v/>
      </c>
      <c r="L331" s="53" t="str">
        <f aca="false">IF(OR(K331="",J331=""),"",(J331-K331)*100)</f>
        <v/>
      </c>
      <c r="M331" s="38" t="s">
        <v>650</v>
      </c>
    </row>
    <row r="332" customFormat="false" ht="15" hidden="false" customHeight="false" outlineLevel="0" collapsed="false">
      <c r="A332" s="38" t="s">
        <v>344</v>
      </c>
      <c r="B332" s="38" t="s">
        <v>475</v>
      </c>
      <c r="C332" s="38" t="s">
        <v>478</v>
      </c>
      <c r="D332" s="21" t="n">
        <v>777</v>
      </c>
      <c r="E332" s="21"/>
      <c r="F332" s="52" t="str">
        <f aca="false">IF(E332="","",D332-E332)</f>
        <v/>
      </c>
      <c r="G332" s="21" t="n">
        <v>717</v>
      </c>
      <c r="H332" s="21"/>
      <c r="I332" s="52" t="str">
        <f aca="false">IF(H332="","",G332-H332)</f>
        <v/>
      </c>
      <c r="J332" s="39" t="n">
        <f aca="false">IF(OR(D332="",D332+G332=0),"",D332/(D332+G332))</f>
        <v>0.520080321285141</v>
      </c>
      <c r="K332" s="39" t="str">
        <f aca="false">IF(E332="","",E332/(E332+H332))</f>
        <v/>
      </c>
      <c r="L332" s="53" t="str">
        <f aca="false">IF(OR(K332="",J332=""),"",(J332-K332)*100)</f>
        <v/>
      </c>
      <c r="M332" s="38" t="s">
        <v>650</v>
      </c>
    </row>
    <row r="333" customFormat="false" ht="15" hidden="false" customHeight="false" outlineLevel="0" collapsed="false">
      <c r="A333" s="38" t="s">
        <v>344</v>
      </c>
      <c r="B333" s="38" t="s">
        <v>475</v>
      </c>
      <c r="C333" s="38" t="s">
        <v>479</v>
      </c>
      <c r="D333" s="21" t="n">
        <v>806</v>
      </c>
      <c r="E333" s="21" t="n">
        <v>824</v>
      </c>
      <c r="F333" s="52" t="n">
        <f aca="false">IF(E333="","",D333-E333)</f>
        <v>-18</v>
      </c>
      <c r="G333" s="21" t="n">
        <v>691</v>
      </c>
      <c r="H333" s="21" t="n">
        <v>795</v>
      </c>
      <c r="I333" s="52" t="n">
        <f aca="false">IF(H333="","",G333-H333)</f>
        <v>-104</v>
      </c>
      <c r="J333" s="39" t="n">
        <f aca="false">IF(OR(D333="",D333+G333=0),"",D333/(D333+G333))</f>
        <v>0.538410153640615</v>
      </c>
      <c r="K333" s="39" t="n">
        <f aca="false">IF(E333="","",E333/(E333+H333))</f>
        <v>0.508956145768993</v>
      </c>
      <c r="L333" s="53" t="n">
        <f aca="false">IF(OR(K333="",J333=""),"",(J333-K333)*100)</f>
        <v>2.94540078716213</v>
      </c>
      <c r="M333" s="38"/>
    </row>
    <row r="334" customFormat="false" ht="15" hidden="false" customHeight="false" outlineLevel="0" collapsed="false">
      <c r="A334" s="38" t="s">
        <v>344</v>
      </c>
      <c r="B334" s="38" t="s">
        <v>475</v>
      </c>
      <c r="C334" s="38" t="s">
        <v>480</v>
      </c>
      <c r="D334" s="21" t="n">
        <v>1216</v>
      </c>
      <c r="E334" s="21" t="n">
        <v>1193</v>
      </c>
      <c r="F334" s="52" t="n">
        <f aca="false">IF(E334="","",D334-E334)</f>
        <v>23</v>
      </c>
      <c r="G334" s="21" t="n">
        <v>1173</v>
      </c>
      <c r="H334" s="21" t="n">
        <v>1334</v>
      </c>
      <c r="I334" s="52" t="n">
        <f aca="false">IF(H334="","",G334-H334)</f>
        <v>-161</v>
      </c>
      <c r="J334" s="39" t="n">
        <f aca="false">IF(OR(D334="",D334+G334=0),"",D334/(D334+G334))</f>
        <v>0.508999581414818</v>
      </c>
      <c r="K334" s="39" t="n">
        <f aca="false">IF(E334="","",E334/(E334+H334))</f>
        <v>0.47210130589632</v>
      </c>
      <c r="L334" s="53" t="n">
        <f aca="false">IF(OR(K334="",J334=""),"",(J334-K334)*100)</f>
        <v>3.68982755184982</v>
      </c>
      <c r="M334" s="38"/>
    </row>
    <row r="335" customFormat="false" ht="15" hidden="false" customHeight="false" outlineLevel="0" collapsed="false">
      <c r="A335" s="38" t="s">
        <v>344</v>
      </c>
      <c r="B335" s="38" t="s">
        <v>475</v>
      </c>
      <c r="C335" s="38" t="s">
        <v>481</v>
      </c>
      <c r="D335" s="21" t="n">
        <v>780</v>
      </c>
      <c r="E335" s="21" t="n">
        <v>755</v>
      </c>
      <c r="F335" s="52" t="n">
        <f aca="false">IF(E335="","",D335-E335)</f>
        <v>25</v>
      </c>
      <c r="G335" s="21" t="n">
        <v>767</v>
      </c>
      <c r="H335" s="21" t="n">
        <v>789</v>
      </c>
      <c r="I335" s="52" t="n">
        <f aca="false">IF(H335="","",G335-H335)</f>
        <v>-22</v>
      </c>
      <c r="J335" s="39" t="n">
        <f aca="false">IF(OR(D335="",D335+G335=0),"",D335/(D335+G335))</f>
        <v>0.504201680672269</v>
      </c>
      <c r="K335" s="39" t="n">
        <f aca="false">IF(E335="","",E335/(E335+H335))</f>
        <v>0.4889896373057</v>
      </c>
      <c r="L335" s="53" t="n">
        <f aca="false">IF(OR(K335="",J335=""),"",(J335-K335)*100)</f>
        <v>1.52120433665694</v>
      </c>
      <c r="M335" s="38"/>
    </row>
    <row r="336" customFormat="false" ht="15" hidden="false" customHeight="false" outlineLevel="0" collapsed="false">
      <c r="A336" s="38" t="s">
        <v>344</v>
      </c>
      <c r="B336" s="38" t="s">
        <v>475</v>
      </c>
      <c r="C336" s="38" t="s">
        <v>482</v>
      </c>
      <c r="D336" s="21" t="n">
        <v>788</v>
      </c>
      <c r="E336" s="21"/>
      <c r="F336" s="52" t="str">
        <f aca="false">IF(E336="","",D336-E336)</f>
        <v/>
      </c>
      <c r="G336" s="21" t="n">
        <v>618</v>
      </c>
      <c r="H336" s="21"/>
      <c r="I336" s="52" t="str">
        <f aca="false">IF(H336="","",G336-H336)</f>
        <v/>
      </c>
      <c r="J336" s="39" t="n">
        <f aca="false">IF(OR(D336="",D336+G336=0),"",D336/(D336+G336))</f>
        <v>0.560455192034139</v>
      </c>
      <c r="K336" s="39" t="str">
        <f aca="false">IF(E336="","",E336/(E336+H336))</f>
        <v/>
      </c>
      <c r="L336" s="53" t="str">
        <f aca="false">IF(OR(K336="",J336=""),"",(J336-K336)*100)</f>
        <v/>
      </c>
      <c r="M336" s="38" t="s">
        <v>650</v>
      </c>
    </row>
    <row r="337" customFormat="false" ht="15" hidden="false" customHeight="false" outlineLevel="0" collapsed="false">
      <c r="A337" s="38" t="s">
        <v>344</v>
      </c>
      <c r="B337" s="38" t="s">
        <v>475</v>
      </c>
      <c r="C337" s="38" t="s">
        <v>483</v>
      </c>
      <c r="D337" s="21" t="n">
        <v>689</v>
      </c>
      <c r="E337" s="21"/>
      <c r="F337" s="52" t="str">
        <f aca="false">IF(E337="","",D337-E337)</f>
        <v/>
      </c>
      <c r="G337" s="21" t="n">
        <v>695</v>
      </c>
      <c r="H337" s="21"/>
      <c r="I337" s="52" t="str">
        <f aca="false">IF(H337="","",G337-H337)</f>
        <v/>
      </c>
      <c r="J337" s="39" t="n">
        <f aca="false">IF(OR(D337="",D337+G337=0),"",D337/(D337+G337))</f>
        <v>0.497832369942197</v>
      </c>
      <c r="K337" s="39" t="str">
        <f aca="false">IF(E337="","",E337/(E337+H337))</f>
        <v/>
      </c>
      <c r="L337" s="53" t="str">
        <f aca="false">IF(OR(K337="",J337=""),"",(J337-K337)*100)</f>
        <v/>
      </c>
      <c r="M337" s="38" t="s">
        <v>650</v>
      </c>
    </row>
    <row r="338" customFormat="false" ht="15" hidden="false" customHeight="false" outlineLevel="0" collapsed="false">
      <c r="A338" s="38" t="s">
        <v>344</v>
      </c>
      <c r="B338" s="38" t="s">
        <v>475</v>
      </c>
      <c r="C338" s="38" t="s">
        <v>484</v>
      </c>
      <c r="D338" s="21" t="n">
        <v>793</v>
      </c>
      <c r="E338" s="21"/>
      <c r="F338" s="52" t="str">
        <f aca="false">IF(E338="","",D338-E338)</f>
        <v/>
      </c>
      <c r="G338" s="21" t="n">
        <v>853</v>
      </c>
      <c r="H338" s="21"/>
      <c r="I338" s="52" t="str">
        <f aca="false">IF(H338="","",G338-H338)</f>
        <v/>
      </c>
      <c r="J338" s="39" t="n">
        <f aca="false">IF(OR(D338="",D338+G338=0),"",D338/(D338+G338))</f>
        <v>0.481773997569866</v>
      </c>
      <c r="K338" s="39" t="str">
        <f aca="false">IF(E338="","",E338/(E338+H338))</f>
        <v/>
      </c>
      <c r="L338" s="53" t="str">
        <f aca="false">IF(OR(K338="",J338=""),"",(J338-K338)*100)</f>
        <v/>
      </c>
      <c r="M338" s="38" t="s">
        <v>650</v>
      </c>
    </row>
    <row r="339" customFormat="false" ht="15" hidden="false" customHeight="false" outlineLevel="0" collapsed="false">
      <c r="A339" s="38" t="s">
        <v>344</v>
      </c>
      <c r="B339" s="38" t="s">
        <v>485</v>
      </c>
      <c r="C339" s="38" t="s">
        <v>486</v>
      </c>
      <c r="D339" s="21" t="n">
        <v>102</v>
      </c>
      <c r="E339" s="21" t="n">
        <v>112</v>
      </c>
      <c r="F339" s="52" t="n">
        <f aca="false">IF(E339="","",D339-E339)</f>
        <v>-10</v>
      </c>
      <c r="G339" s="21" t="n">
        <v>164</v>
      </c>
      <c r="H339" s="21" t="n">
        <v>199</v>
      </c>
      <c r="I339" s="52" t="n">
        <f aca="false">IF(H339="","",G339-H339)</f>
        <v>-35</v>
      </c>
      <c r="J339" s="39" t="n">
        <f aca="false">IF(OR(D339="",D339+G339=0),"",D339/(D339+G339))</f>
        <v>0.383458646616541</v>
      </c>
      <c r="K339" s="39" t="n">
        <f aca="false">IF(E339="","",E339/(E339+H339))</f>
        <v>0.360128617363344</v>
      </c>
      <c r="L339" s="53" t="n">
        <f aca="false">IF(OR(K339="",J339=""),"",(J339-K339)*100)</f>
        <v>2.33300292531973</v>
      </c>
      <c r="M339" s="38"/>
    </row>
    <row r="340" customFormat="false" ht="15" hidden="false" customHeight="false" outlineLevel="0" collapsed="false">
      <c r="A340" s="38" t="s">
        <v>344</v>
      </c>
      <c r="B340" s="38" t="s">
        <v>485</v>
      </c>
      <c r="C340" s="38" t="s">
        <v>487</v>
      </c>
      <c r="D340" s="21" t="n">
        <v>260</v>
      </c>
      <c r="E340" s="21" t="n">
        <v>259</v>
      </c>
      <c r="F340" s="52" t="n">
        <f aca="false">IF(E340="","",D340-E340)</f>
        <v>1</v>
      </c>
      <c r="G340" s="21" t="n">
        <v>448</v>
      </c>
      <c r="H340" s="21" t="n">
        <v>480</v>
      </c>
      <c r="I340" s="52" t="n">
        <f aca="false">IF(H340="","",G340-H340)</f>
        <v>-32</v>
      </c>
      <c r="J340" s="39" t="n">
        <f aca="false">IF(OR(D340="",D340+G340=0),"",D340/(D340+G340))</f>
        <v>0.367231638418079</v>
      </c>
      <c r="K340" s="39" t="n">
        <f aca="false">IF(E340="","",E340/(E340+H340))</f>
        <v>0.350473612990528</v>
      </c>
      <c r="L340" s="53" t="n">
        <f aca="false">IF(OR(K340="",J340=""),"",(J340-K340)*100)</f>
        <v>1.67580254275513</v>
      </c>
      <c r="M340" s="38"/>
    </row>
    <row r="341" customFormat="false" ht="15" hidden="false" customHeight="false" outlineLevel="0" collapsed="false">
      <c r="A341" s="38" t="s">
        <v>344</v>
      </c>
      <c r="B341" s="38" t="s">
        <v>485</v>
      </c>
      <c r="C341" s="38" t="s">
        <v>488</v>
      </c>
      <c r="D341" s="21" t="n">
        <v>208</v>
      </c>
      <c r="E341" s="21" t="n">
        <v>204</v>
      </c>
      <c r="F341" s="52" t="n">
        <f aca="false">IF(E341="","",D341-E341)</f>
        <v>4</v>
      </c>
      <c r="G341" s="21" t="n">
        <v>281</v>
      </c>
      <c r="H341" s="21" t="n">
        <v>301</v>
      </c>
      <c r="I341" s="52" t="n">
        <f aca="false">IF(H341="","",G341-H341)</f>
        <v>-20</v>
      </c>
      <c r="J341" s="39" t="n">
        <f aca="false">IF(OR(D341="",D341+G341=0),"",D341/(D341+G341))</f>
        <v>0.425357873210634</v>
      </c>
      <c r="K341" s="39" t="n">
        <f aca="false">IF(E341="","",E341/(E341+H341))</f>
        <v>0.403960396039604</v>
      </c>
      <c r="L341" s="53" t="n">
        <f aca="false">IF(OR(K341="",J341=""),"",(J341-K341)*100)</f>
        <v>2.139747717103</v>
      </c>
      <c r="M341" s="38"/>
    </row>
    <row r="342" customFormat="false" ht="15" hidden="false" customHeight="false" outlineLevel="0" collapsed="false">
      <c r="A342" s="38" t="s">
        <v>344</v>
      </c>
      <c r="B342" s="38" t="s">
        <v>485</v>
      </c>
      <c r="C342" s="38" t="s">
        <v>489</v>
      </c>
      <c r="D342" s="21" t="n">
        <v>134</v>
      </c>
      <c r="E342" s="21" t="n">
        <v>128</v>
      </c>
      <c r="F342" s="52" t="n">
        <f aca="false">IF(E342="","",D342-E342)</f>
        <v>6</v>
      </c>
      <c r="G342" s="21" t="n">
        <v>170</v>
      </c>
      <c r="H342" s="21" t="n">
        <v>200</v>
      </c>
      <c r="I342" s="52" t="n">
        <f aca="false">IF(H342="","",G342-H342)</f>
        <v>-30</v>
      </c>
      <c r="J342" s="39" t="n">
        <f aca="false">IF(OR(D342="",D342+G342=0),"",D342/(D342+G342))</f>
        <v>0.440789473684211</v>
      </c>
      <c r="K342" s="39" t="n">
        <f aca="false">IF(E342="","",E342/(E342+H342))</f>
        <v>0.390243902439024</v>
      </c>
      <c r="L342" s="53" t="n">
        <f aca="false">IF(OR(K342="",J342=""),"",(J342-K342)*100)</f>
        <v>5.05455712451861</v>
      </c>
      <c r="M342" s="38"/>
    </row>
    <row r="343" customFormat="false" ht="15" hidden="false" customHeight="false" outlineLevel="0" collapsed="false">
      <c r="A343" s="38" t="s">
        <v>344</v>
      </c>
      <c r="B343" s="38" t="s">
        <v>490</v>
      </c>
      <c r="C343" s="38" t="s">
        <v>491</v>
      </c>
      <c r="D343" s="21" t="n">
        <v>411</v>
      </c>
      <c r="E343" s="21" t="n">
        <v>412</v>
      </c>
      <c r="F343" s="52" t="n">
        <f aca="false">IF(E343="","",D343-E343)</f>
        <v>-1</v>
      </c>
      <c r="G343" s="21" t="n">
        <v>755</v>
      </c>
      <c r="H343" s="21" t="n">
        <v>767</v>
      </c>
      <c r="I343" s="52" t="n">
        <f aca="false">IF(H343="","",G343-H343)</f>
        <v>-12</v>
      </c>
      <c r="J343" s="39" t="n">
        <f aca="false">IF(OR(D343="",D343+G343=0),"",D343/(D343+G343))</f>
        <v>0.352487135506003</v>
      </c>
      <c r="K343" s="39" t="n">
        <f aca="false">IF(E343="","",E343/(E343+H343))</f>
        <v>0.349448685326548</v>
      </c>
      <c r="L343" s="53" t="n">
        <f aca="false">IF(OR(K343="",J343=""),"",(J343-K343)*100)</f>
        <v>0.303845017945548</v>
      </c>
      <c r="M343" s="38"/>
    </row>
    <row r="344" customFormat="false" ht="15" hidden="false" customHeight="false" outlineLevel="0" collapsed="false">
      <c r="A344" s="38" t="s">
        <v>344</v>
      </c>
      <c r="B344" s="38" t="s">
        <v>490</v>
      </c>
      <c r="C344" s="38" t="s">
        <v>492</v>
      </c>
      <c r="D344" s="21" t="n">
        <v>336</v>
      </c>
      <c r="E344" s="21" t="n">
        <v>361</v>
      </c>
      <c r="F344" s="52" t="n">
        <f aca="false">IF(E344="","",D344-E344)</f>
        <v>-25</v>
      </c>
      <c r="G344" s="21" t="n">
        <v>603</v>
      </c>
      <c r="H344" s="21" t="n">
        <v>633</v>
      </c>
      <c r="I344" s="52" t="n">
        <f aca="false">IF(H344="","",G344-H344)</f>
        <v>-30</v>
      </c>
      <c r="J344" s="39" t="n">
        <f aca="false">IF(OR(D344="",D344+G344=0),"",D344/(D344+G344))</f>
        <v>0.357827476038339</v>
      </c>
      <c r="K344" s="39" t="n">
        <f aca="false">IF(E344="","",E344/(E344+H344))</f>
        <v>0.36317907444668</v>
      </c>
      <c r="L344" s="53" t="n">
        <f aca="false">IF(OR(K344="",J344=""),"",(J344-K344)*100)</f>
        <v>-0.535159840834143</v>
      </c>
      <c r="M344" s="38"/>
    </row>
    <row r="345" customFormat="false" ht="15" hidden="false" customHeight="false" outlineLevel="0" collapsed="false">
      <c r="A345" s="38" t="s">
        <v>344</v>
      </c>
      <c r="B345" s="38" t="s">
        <v>490</v>
      </c>
      <c r="C345" s="38" t="s">
        <v>493</v>
      </c>
      <c r="D345" s="21" t="n">
        <v>304</v>
      </c>
      <c r="E345" s="21" t="n">
        <v>286</v>
      </c>
      <c r="F345" s="52" t="n">
        <f aca="false">IF(E345="","",D345-E345)</f>
        <v>18</v>
      </c>
      <c r="G345" s="21" t="n">
        <v>566</v>
      </c>
      <c r="H345" s="21" t="n">
        <v>553</v>
      </c>
      <c r="I345" s="52" t="n">
        <f aca="false">IF(H345="","",G345-H345)</f>
        <v>13</v>
      </c>
      <c r="J345" s="39" t="n">
        <f aca="false">IF(OR(D345="",D345+G345=0),"",D345/(D345+G345))</f>
        <v>0.349425287356322</v>
      </c>
      <c r="K345" s="39" t="n">
        <f aca="false">IF(E345="","",E345/(E345+H345))</f>
        <v>0.34088200238379</v>
      </c>
      <c r="L345" s="53" t="n">
        <f aca="false">IF(OR(K345="",J345=""),"",(J345-K345)*100)</f>
        <v>0.85432849725316</v>
      </c>
      <c r="M345" s="38"/>
    </row>
    <row r="346" customFormat="false" ht="15" hidden="false" customHeight="false" outlineLevel="0" collapsed="false">
      <c r="A346" s="38" t="s">
        <v>344</v>
      </c>
      <c r="B346" s="38" t="s">
        <v>490</v>
      </c>
      <c r="C346" s="38" t="s">
        <v>494</v>
      </c>
      <c r="D346" s="21" t="n">
        <v>318</v>
      </c>
      <c r="E346" s="21" t="n">
        <v>302</v>
      </c>
      <c r="F346" s="52" t="n">
        <f aca="false">IF(E346="","",D346-E346)</f>
        <v>16</v>
      </c>
      <c r="G346" s="21" t="n">
        <v>595</v>
      </c>
      <c r="H346" s="21" t="n">
        <v>608</v>
      </c>
      <c r="I346" s="52" t="n">
        <f aca="false">IF(H346="","",G346-H346)</f>
        <v>-13</v>
      </c>
      <c r="J346" s="39" t="n">
        <f aca="false">IF(OR(D346="",D346+G346=0),"",D346/(D346+G346))</f>
        <v>0.348302300109529</v>
      </c>
      <c r="K346" s="39" t="n">
        <f aca="false">IF(E346="","",E346/(E346+H346))</f>
        <v>0.331868131868132</v>
      </c>
      <c r="L346" s="53" t="n">
        <f aca="false">IF(OR(K346="",J346=""),"",(J346-K346)*100)</f>
        <v>1.64341682413972</v>
      </c>
      <c r="M346" s="38"/>
    </row>
    <row r="347" customFormat="false" ht="15" hidden="false" customHeight="false" outlineLevel="0" collapsed="false">
      <c r="A347" s="38" t="s">
        <v>344</v>
      </c>
      <c r="B347" s="38" t="s">
        <v>495</v>
      </c>
      <c r="C347" s="38" t="s">
        <v>496</v>
      </c>
      <c r="D347" s="21" t="n">
        <v>84</v>
      </c>
      <c r="E347" s="21" t="n">
        <v>92</v>
      </c>
      <c r="F347" s="52" t="n">
        <f aca="false">IF(E347="","",D347-E347)</f>
        <v>-8</v>
      </c>
      <c r="G347" s="21" t="n">
        <v>169</v>
      </c>
      <c r="H347" s="21" t="n">
        <v>167</v>
      </c>
      <c r="I347" s="52" t="n">
        <f aca="false">IF(H347="","",G347-H347)</f>
        <v>2</v>
      </c>
      <c r="J347" s="39" t="n">
        <f aca="false">IF(OR(D347="",D347+G347=0),"",D347/(D347+G347))</f>
        <v>0.33201581027668</v>
      </c>
      <c r="K347" s="39" t="n">
        <f aca="false">IF(E347="","",E347/(E347+H347))</f>
        <v>0.355212355212355</v>
      </c>
      <c r="L347" s="53" t="n">
        <f aca="false">IF(OR(K347="",J347=""),"",(J347-K347)*100)</f>
        <v>-2.31965449356754</v>
      </c>
      <c r="M347" s="38"/>
    </row>
    <row r="348" customFormat="false" ht="15" hidden="false" customHeight="false" outlineLevel="0" collapsed="false">
      <c r="A348" s="38" t="s">
        <v>344</v>
      </c>
      <c r="B348" s="38" t="s">
        <v>497</v>
      </c>
      <c r="C348" s="38" t="s">
        <v>498</v>
      </c>
      <c r="D348" s="21" t="n">
        <v>365</v>
      </c>
      <c r="E348" s="21" t="n">
        <v>335</v>
      </c>
      <c r="F348" s="52" t="n">
        <f aca="false">IF(E348="","",D348-E348)</f>
        <v>30</v>
      </c>
      <c r="G348" s="21" t="n">
        <v>537</v>
      </c>
      <c r="H348" s="21" t="n">
        <v>581</v>
      </c>
      <c r="I348" s="52" t="n">
        <f aca="false">IF(H348="","",G348-H348)</f>
        <v>-44</v>
      </c>
      <c r="J348" s="39" t="n">
        <f aca="false">IF(OR(D348="",D348+G348=0),"",D348/(D348+G348))</f>
        <v>0.404656319290466</v>
      </c>
      <c r="K348" s="39" t="n">
        <f aca="false">IF(E348="","",E348/(E348+H348))</f>
        <v>0.365720524017467</v>
      </c>
      <c r="L348" s="53" t="n">
        <f aca="false">IF(OR(K348="",J348=""),"",(J348-K348)*100)</f>
        <v>3.89357952729984</v>
      </c>
      <c r="M348" s="38"/>
    </row>
    <row r="349" customFormat="false" ht="15" hidden="false" customHeight="false" outlineLevel="0" collapsed="false">
      <c r="A349" s="38" t="s">
        <v>344</v>
      </c>
      <c r="B349" s="38" t="s">
        <v>499</v>
      </c>
      <c r="C349" s="38" t="s">
        <v>500</v>
      </c>
      <c r="D349" s="21" t="n">
        <v>223</v>
      </c>
      <c r="E349" s="21" t="n">
        <v>210</v>
      </c>
      <c r="F349" s="52" t="n">
        <f aca="false">IF(E349="","",D349-E349)</f>
        <v>13</v>
      </c>
      <c r="G349" s="21" t="n">
        <v>297</v>
      </c>
      <c r="H349" s="21" t="n">
        <v>309</v>
      </c>
      <c r="I349" s="52" t="n">
        <f aca="false">IF(H349="","",G349-H349)</f>
        <v>-12</v>
      </c>
      <c r="J349" s="39" t="n">
        <f aca="false">IF(OR(D349="",D349+G349=0),"",D349/(D349+G349))</f>
        <v>0.428846153846154</v>
      </c>
      <c r="K349" s="39" t="n">
        <f aca="false">IF(E349="","",E349/(E349+H349))</f>
        <v>0.404624277456647</v>
      </c>
      <c r="L349" s="53" t="n">
        <f aca="false">IF(OR(K349="",J349=""),"",(J349-K349)*100)</f>
        <v>2.42218763895064</v>
      </c>
      <c r="M349" s="38"/>
    </row>
    <row r="350" customFormat="false" ht="15" hidden="false" customHeight="false" outlineLevel="0" collapsed="false">
      <c r="A350" s="38" t="s">
        <v>344</v>
      </c>
      <c r="B350" s="38" t="s">
        <v>501</v>
      </c>
      <c r="C350" s="38" t="s">
        <v>502</v>
      </c>
      <c r="D350" s="21" t="n">
        <v>308</v>
      </c>
      <c r="E350" s="21" t="n">
        <v>331</v>
      </c>
      <c r="F350" s="52" t="n">
        <f aca="false">IF(E350="","",D350-E350)</f>
        <v>-23</v>
      </c>
      <c r="G350" s="21" t="n">
        <v>364</v>
      </c>
      <c r="H350" s="21" t="n">
        <v>458</v>
      </c>
      <c r="I350" s="52" t="n">
        <f aca="false">IF(H350="","",G350-H350)</f>
        <v>-94</v>
      </c>
      <c r="J350" s="39" t="n">
        <f aca="false">IF(OR(D350="",D350+G350=0),"",D350/(D350+G350))</f>
        <v>0.458333333333333</v>
      </c>
      <c r="K350" s="39" t="n">
        <f aca="false">IF(E350="","",E350/(E350+H350))</f>
        <v>0.419518377693283</v>
      </c>
      <c r="L350" s="53" t="n">
        <f aca="false">IF(OR(K350="",J350=""),"",(J350-K350)*100)</f>
        <v>3.88149556400507</v>
      </c>
      <c r="M350" s="38"/>
    </row>
    <row r="351" customFormat="false" ht="15" hidden="false" customHeight="false" outlineLevel="0" collapsed="false">
      <c r="A351" s="38" t="s">
        <v>344</v>
      </c>
      <c r="B351" s="38" t="s">
        <v>503</v>
      </c>
      <c r="C351" s="38" t="s">
        <v>504</v>
      </c>
      <c r="D351" s="21" t="n">
        <v>311</v>
      </c>
      <c r="E351" s="21" t="n">
        <v>307</v>
      </c>
      <c r="F351" s="52" t="n">
        <f aca="false">IF(E351="","",D351-E351)</f>
        <v>4</v>
      </c>
      <c r="G351" s="21" t="n">
        <v>687</v>
      </c>
      <c r="H351" s="21" t="n">
        <v>746</v>
      </c>
      <c r="I351" s="52" t="n">
        <f aca="false">IF(H351="","",G351-H351)</f>
        <v>-59</v>
      </c>
      <c r="J351" s="39" t="n">
        <f aca="false">IF(OR(D351="",D351+G351=0),"",D351/(D351+G351))</f>
        <v>0.311623246492986</v>
      </c>
      <c r="K351" s="39" t="n">
        <f aca="false">IF(E351="","",E351/(E351+H351))</f>
        <v>0.291547958214625</v>
      </c>
      <c r="L351" s="53" t="n">
        <f aca="false">IF(OR(K351="",J351=""),"",(J351-K351)*100)</f>
        <v>2.00752882783611</v>
      </c>
      <c r="M351" s="38"/>
    </row>
    <row r="352" customFormat="false" ht="15" hidden="false" customHeight="false" outlineLevel="0" collapsed="false">
      <c r="A352" s="38" t="s">
        <v>344</v>
      </c>
      <c r="B352" s="38" t="s">
        <v>503</v>
      </c>
      <c r="C352" s="38" t="s">
        <v>505</v>
      </c>
      <c r="D352" s="21" t="n">
        <v>238</v>
      </c>
      <c r="E352" s="21" t="n">
        <v>232</v>
      </c>
      <c r="F352" s="52" t="n">
        <f aca="false">IF(E352="","",D352-E352)</f>
        <v>6</v>
      </c>
      <c r="G352" s="21" t="n">
        <v>462</v>
      </c>
      <c r="H352" s="21" t="n">
        <v>487</v>
      </c>
      <c r="I352" s="52" t="n">
        <f aca="false">IF(H352="","",G352-H352)</f>
        <v>-25</v>
      </c>
      <c r="J352" s="39" t="n">
        <f aca="false">IF(OR(D352="",D352+G352=0),"",D352/(D352+G352))</f>
        <v>0.34</v>
      </c>
      <c r="K352" s="39" t="n">
        <f aca="false">IF(E352="","",E352/(E352+H352))</f>
        <v>0.322670375521558</v>
      </c>
      <c r="L352" s="53" t="n">
        <f aca="false">IF(OR(K352="",J352=""),"",(J352-K352)*100)</f>
        <v>1.73296244784423</v>
      </c>
      <c r="M352" s="38"/>
    </row>
    <row r="353" customFormat="false" ht="15" hidden="false" customHeight="false" outlineLevel="0" collapsed="false">
      <c r="A353" s="38" t="s">
        <v>344</v>
      </c>
      <c r="B353" s="38" t="s">
        <v>503</v>
      </c>
      <c r="C353" s="38" t="s">
        <v>506</v>
      </c>
      <c r="D353" s="21" t="n">
        <v>192</v>
      </c>
      <c r="E353" s="21" t="n">
        <v>178</v>
      </c>
      <c r="F353" s="52" t="n">
        <f aca="false">IF(E353="","",D353-E353)</f>
        <v>14</v>
      </c>
      <c r="G353" s="21" t="n">
        <v>411</v>
      </c>
      <c r="H353" s="21" t="n">
        <v>480</v>
      </c>
      <c r="I353" s="52" t="n">
        <f aca="false">IF(H353="","",G353-H353)</f>
        <v>-69</v>
      </c>
      <c r="J353" s="39" t="n">
        <f aca="false">IF(OR(D353="",D353+G353=0),"",D353/(D353+G353))</f>
        <v>0.318407960199005</v>
      </c>
      <c r="K353" s="39" t="n">
        <f aca="false">IF(E353="","",E353/(E353+H353))</f>
        <v>0.270516717325228</v>
      </c>
      <c r="L353" s="53" t="n">
        <f aca="false">IF(OR(K353="",J353=""),"",(J353-K353)*100)</f>
        <v>4.7891242873777</v>
      </c>
      <c r="M353" s="38"/>
    </row>
    <row r="354" customFormat="false" ht="15" hidden="false" customHeight="false" outlineLevel="0" collapsed="false">
      <c r="A354" s="38" t="s">
        <v>344</v>
      </c>
      <c r="B354" s="38" t="s">
        <v>503</v>
      </c>
      <c r="C354" s="38" t="s">
        <v>507</v>
      </c>
      <c r="D354" s="21" t="n">
        <v>197</v>
      </c>
      <c r="E354" s="21" t="n">
        <v>180</v>
      </c>
      <c r="F354" s="52" t="n">
        <f aca="false">IF(E354="","",D354-E354)</f>
        <v>17</v>
      </c>
      <c r="G354" s="21" t="n">
        <v>397</v>
      </c>
      <c r="H354" s="21" t="n">
        <v>430</v>
      </c>
      <c r="I354" s="52" t="n">
        <f aca="false">IF(H354="","",G354-H354)</f>
        <v>-33</v>
      </c>
      <c r="J354" s="39" t="n">
        <f aca="false">IF(OR(D354="",D354+G354=0),"",D354/(D354+G354))</f>
        <v>0.331649831649832</v>
      </c>
      <c r="K354" s="39" t="n">
        <f aca="false">IF(E354="","",E354/(E354+H354))</f>
        <v>0.295081967213115</v>
      </c>
      <c r="L354" s="53" t="n">
        <f aca="false">IF(OR(K354="",J354=""),"",(J354-K354)*100)</f>
        <v>3.65678644367169</v>
      </c>
      <c r="M354" s="38"/>
    </row>
    <row r="355" customFormat="false" ht="15" hidden="false" customHeight="false" outlineLevel="0" collapsed="false">
      <c r="A355" s="38" t="s">
        <v>344</v>
      </c>
      <c r="B355" s="38" t="s">
        <v>503</v>
      </c>
      <c r="C355" s="38" t="s">
        <v>508</v>
      </c>
      <c r="D355" s="21" t="n">
        <v>341</v>
      </c>
      <c r="E355" s="21" t="n">
        <v>345</v>
      </c>
      <c r="F355" s="52" t="n">
        <f aca="false">IF(E355="","",D355-E355)</f>
        <v>-4</v>
      </c>
      <c r="G355" s="21" t="n">
        <v>572</v>
      </c>
      <c r="H355" s="21" t="n">
        <v>573</v>
      </c>
      <c r="I355" s="52" t="n">
        <f aca="false">IF(H355="","",G355-H355)</f>
        <v>-1</v>
      </c>
      <c r="J355" s="39" t="n">
        <f aca="false">IF(OR(D355="",D355+G355=0),"",D355/(D355+G355))</f>
        <v>0.373493975903614</v>
      </c>
      <c r="K355" s="39" t="n">
        <f aca="false">IF(E355="","",E355/(E355+H355))</f>
        <v>0.375816993464052</v>
      </c>
      <c r="L355" s="53" t="n">
        <f aca="false">IF(OR(K355="",J355=""),"",(J355-K355)*100)</f>
        <v>-0.232301756043785</v>
      </c>
      <c r="M355" s="38"/>
    </row>
    <row r="356" customFormat="false" ht="15" hidden="false" customHeight="false" outlineLevel="0" collapsed="false">
      <c r="A356" s="38" t="s">
        <v>344</v>
      </c>
      <c r="B356" s="38" t="s">
        <v>509</v>
      </c>
      <c r="C356" s="38" t="s">
        <v>510</v>
      </c>
      <c r="D356" s="21" t="n">
        <v>1111</v>
      </c>
      <c r="E356" s="21" t="n">
        <v>1084</v>
      </c>
      <c r="F356" s="52" t="n">
        <f aca="false">IF(E356="","",D356-E356)</f>
        <v>27</v>
      </c>
      <c r="G356" s="21" t="n">
        <v>1062</v>
      </c>
      <c r="H356" s="21" t="n">
        <v>1187</v>
      </c>
      <c r="I356" s="52" t="n">
        <f aca="false">IF(H356="","",G356-H356)</f>
        <v>-125</v>
      </c>
      <c r="J356" s="39" t="n">
        <f aca="false">IF(OR(D356="",D356+G356=0),"",D356/(D356+G356))</f>
        <v>0.511274735388863</v>
      </c>
      <c r="K356" s="39" t="n">
        <f aca="false">IF(E356="","",E356/(E356+H356))</f>
        <v>0.477322765301629</v>
      </c>
      <c r="L356" s="53" t="n">
        <f aca="false">IF(OR(K356="",J356=""),"",(J356-K356)*100)</f>
        <v>3.39519700872341</v>
      </c>
      <c r="M356" s="38"/>
    </row>
    <row r="357" customFormat="false" ht="15" hidden="false" customHeight="false" outlineLevel="0" collapsed="false">
      <c r="A357" s="38" t="s">
        <v>344</v>
      </c>
      <c r="B357" s="38" t="s">
        <v>509</v>
      </c>
      <c r="C357" s="38" t="s">
        <v>511</v>
      </c>
      <c r="D357" s="21" t="n">
        <v>366</v>
      </c>
      <c r="E357" s="21"/>
      <c r="F357" s="52" t="str">
        <f aca="false">IF(E357="","",D357-E357)</f>
        <v/>
      </c>
      <c r="G357" s="21" t="n">
        <v>342</v>
      </c>
      <c r="H357" s="21"/>
      <c r="I357" s="52" t="str">
        <f aca="false">IF(H357="","",G357-H357)</f>
        <v/>
      </c>
      <c r="J357" s="39" t="n">
        <f aca="false">IF(OR(D357="",D357+G357=0),"",D357/(D357+G357))</f>
        <v>0.516949152542373</v>
      </c>
      <c r="K357" s="39" t="str">
        <f aca="false">IF(E357="","",E357/(E357+H357))</f>
        <v/>
      </c>
      <c r="L357" s="53" t="str">
        <f aca="false">IF(OR(K357="",J357=""),"",(J357-K357)*100)</f>
        <v/>
      </c>
      <c r="M357" s="38" t="s">
        <v>650</v>
      </c>
    </row>
    <row r="358" customFormat="false" ht="15" hidden="false" customHeight="false" outlineLevel="0" collapsed="false">
      <c r="A358" s="38" t="s">
        <v>344</v>
      </c>
      <c r="B358" s="38" t="s">
        <v>509</v>
      </c>
      <c r="C358" s="38" t="s">
        <v>512</v>
      </c>
      <c r="D358" s="21" t="n">
        <v>874</v>
      </c>
      <c r="E358" s="21" t="n">
        <v>880</v>
      </c>
      <c r="F358" s="52" t="n">
        <f aca="false">IF(E358="","",D358-E358)</f>
        <v>-6</v>
      </c>
      <c r="G358" s="21" t="n">
        <v>903</v>
      </c>
      <c r="H358" s="21" t="n">
        <v>960</v>
      </c>
      <c r="I358" s="52" t="n">
        <f aca="false">IF(H358="","",G358-H358)</f>
        <v>-57</v>
      </c>
      <c r="J358" s="39" t="n">
        <f aca="false">IF(OR(D358="",D358+G358=0),"",D358/(D358+G358))</f>
        <v>0.491840180078785</v>
      </c>
      <c r="K358" s="39" t="n">
        <f aca="false">IF(E358="","",E358/(E358+H358))</f>
        <v>0.478260869565217</v>
      </c>
      <c r="L358" s="53" t="n">
        <f aca="false">IF(OR(K358="",J358=""),"",(J358-K358)*100)</f>
        <v>1.35793105135671</v>
      </c>
      <c r="M358" s="38"/>
    </row>
    <row r="359" customFormat="false" ht="15" hidden="false" customHeight="false" outlineLevel="0" collapsed="false">
      <c r="A359" s="38" t="s">
        <v>344</v>
      </c>
      <c r="B359" s="38" t="s">
        <v>509</v>
      </c>
      <c r="C359" s="38" t="s">
        <v>513</v>
      </c>
      <c r="D359" s="21" t="n">
        <v>285</v>
      </c>
      <c r="E359" s="21"/>
      <c r="F359" s="52" t="str">
        <f aca="false">IF(E359="","",D359-E359)</f>
        <v/>
      </c>
      <c r="G359" s="21" t="n">
        <v>255</v>
      </c>
      <c r="H359" s="21"/>
      <c r="I359" s="52" t="str">
        <f aca="false">IF(H359="","",G359-H359)</f>
        <v/>
      </c>
      <c r="J359" s="39" t="n">
        <f aca="false">IF(OR(D359="",D359+G359=0),"",D359/(D359+G359))</f>
        <v>0.527777777777778</v>
      </c>
      <c r="K359" s="39" t="str">
        <f aca="false">IF(E359="","",E359/(E359+H359))</f>
        <v/>
      </c>
      <c r="L359" s="53" t="str">
        <f aca="false">IF(OR(K359="",J359=""),"",(J359-K359)*100)</f>
        <v/>
      </c>
      <c r="M359" s="38" t="s">
        <v>650</v>
      </c>
    </row>
    <row r="360" customFormat="false" ht="15" hidden="false" customHeight="false" outlineLevel="0" collapsed="false">
      <c r="A360" s="38" t="s">
        <v>344</v>
      </c>
      <c r="B360" s="38" t="s">
        <v>514</v>
      </c>
      <c r="C360" s="38" t="s">
        <v>515</v>
      </c>
      <c r="D360" s="21" t="n">
        <v>412</v>
      </c>
      <c r="E360" s="21" t="n">
        <v>416</v>
      </c>
      <c r="F360" s="52" t="n">
        <f aca="false">IF(E360="","",D360-E360)</f>
        <v>-4</v>
      </c>
      <c r="G360" s="21" t="n">
        <v>572</v>
      </c>
      <c r="H360" s="21" t="n">
        <v>658</v>
      </c>
      <c r="I360" s="52" t="n">
        <f aca="false">IF(H360="","",G360-H360)</f>
        <v>-86</v>
      </c>
      <c r="J360" s="39" t="n">
        <f aca="false">IF(OR(D360="",D360+G360=0),"",D360/(D360+G360))</f>
        <v>0.41869918699187</v>
      </c>
      <c r="K360" s="39" t="n">
        <f aca="false">IF(E360="","",E360/(E360+H360))</f>
        <v>0.387337057728119</v>
      </c>
      <c r="L360" s="53" t="n">
        <f aca="false">IF(OR(K360="",J360=""),"",(J360-K360)*100)</f>
        <v>3.13621292637508</v>
      </c>
      <c r="M360" s="38"/>
    </row>
    <row r="361" customFormat="false" ht="15" hidden="false" customHeight="false" outlineLevel="0" collapsed="false">
      <c r="A361" s="38" t="s">
        <v>344</v>
      </c>
      <c r="B361" s="38" t="s">
        <v>319</v>
      </c>
      <c r="C361" s="38" t="s">
        <v>516</v>
      </c>
      <c r="D361" s="21" t="n">
        <v>823</v>
      </c>
      <c r="E361" s="21" t="n">
        <v>541</v>
      </c>
      <c r="F361" s="52" t="n">
        <f aca="false">IF(E361="","",D361-E361)</f>
        <v>282</v>
      </c>
      <c r="G361" s="21" t="n">
        <v>1486</v>
      </c>
      <c r="H361" s="21" t="n">
        <v>1106</v>
      </c>
      <c r="I361" s="52" t="n">
        <f aca="false">IF(H361="","",G361-H361)</f>
        <v>380</v>
      </c>
      <c r="J361" s="39" t="n">
        <f aca="false">IF(OR(D361="",D361+G361=0),"",D361/(D361+G361))</f>
        <v>0.35643135556518</v>
      </c>
      <c r="K361" s="39" t="n">
        <f aca="false">IF(E361="","",E361/(E361+H361))</f>
        <v>0.328476017000607</v>
      </c>
      <c r="L361" s="53" t="n">
        <f aca="false">IF(OR(K361="",J361=""),"",(J361-K361)*100)</f>
        <v>2.79553385645726</v>
      </c>
      <c r="M361" s="38"/>
    </row>
    <row r="362" customFormat="false" ht="15" hidden="false" customHeight="false" outlineLevel="0" collapsed="false">
      <c r="A362" s="38" t="s">
        <v>344</v>
      </c>
      <c r="B362" s="38" t="s">
        <v>319</v>
      </c>
      <c r="C362" s="38" t="s">
        <v>517</v>
      </c>
      <c r="D362" s="21" t="n">
        <v>519</v>
      </c>
      <c r="E362" s="21" t="n">
        <v>500</v>
      </c>
      <c r="F362" s="52" t="n">
        <f aca="false">IF(E362="","",D362-E362)</f>
        <v>19</v>
      </c>
      <c r="G362" s="21" t="n">
        <v>885</v>
      </c>
      <c r="H362" s="21" t="n">
        <v>982</v>
      </c>
      <c r="I362" s="52" t="n">
        <f aca="false">IF(H362="","",G362-H362)</f>
        <v>-97</v>
      </c>
      <c r="J362" s="39" t="n">
        <f aca="false">IF(OR(D362="",D362+G362=0),"",D362/(D362+G362))</f>
        <v>0.36965811965812</v>
      </c>
      <c r="K362" s="39" t="n">
        <f aca="false">IF(E362="","",E362/(E362+H362))</f>
        <v>0.337381916329285</v>
      </c>
      <c r="L362" s="53" t="n">
        <f aca="false">IF(OR(K362="",J362=""),"",(J362-K362)*100)</f>
        <v>3.22762033288349</v>
      </c>
      <c r="M362" s="38"/>
    </row>
    <row r="363" customFormat="false" ht="15" hidden="false" customHeight="false" outlineLevel="0" collapsed="false">
      <c r="A363" s="38" t="s">
        <v>344</v>
      </c>
      <c r="B363" s="38" t="s">
        <v>519</v>
      </c>
      <c r="C363" s="38" t="s">
        <v>519</v>
      </c>
      <c r="D363" s="21" t="n">
        <v>278</v>
      </c>
      <c r="E363" s="21" t="n">
        <v>281</v>
      </c>
      <c r="F363" s="52" t="n">
        <f aca="false">IF(E363="","",D363-E363)</f>
        <v>-3</v>
      </c>
      <c r="G363" s="21" t="n">
        <v>297</v>
      </c>
      <c r="H363" s="21" t="n">
        <v>310</v>
      </c>
      <c r="I363" s="52" t="n">
        <f aca="false">IF(H363="","",G363-H363)</f>
        <v>-13</v>
      </c>
      <c r="J363" s="39" t="n">
        <f aca="false">IF(OR(D363="",D363+G363=0),"",D363/(D363+G363))</f>
        <v>0.483478260869565</v>
      </c>
      <c r="K363" s="39" t="n">
        <f aca="false">IF(E363="","",E363/(E363+H363))</f>
        <v>0.475465313028765</v>
      </c>
      <c r="L363" s="53" t="n">
        <f aca="false">IF(OR(K363="",J363=""),"",(J363-K363)*100)</f>
        <v>0.801294784080037</v>
      </c>
      <c r="M363" s="38"/>
    </row>
    <row r="364" customFormat="false" ht="15" hidden="false" customHeight="false" outlineLevel="0" collapsed="false">
      <c r="A364" s="38" t="s">
        <v>344</v>
      </c>
      <c r="B364" s="38" t="s">
        <v>520</v>
      </c>
      <c r="C364" s="38" t="s">
        <v>521</v>
      </c>
      <c r="D364" s="21" t="n">
        <v>512</v>
      </c>
      <c r="E364" s="21" t="n">
        <v>514</v>
      </c>
      <c r="F364" s="52" t="n">
        <f aca="false">IF(E364="","",D364-E364)</f>
        <v>-2</v>
      </c>
      <c r="G364" s="21" t="n">
        <v>639</v>
      </c>
      <c r="H364" s="21" t="n">
        <v>713</v>
      </c>
      <c r="I364" s="52" t="n">
        <f aca="false">IF(H364="","",G364-H364)</f>
        <v>-74</v>
      </c>
      <c r="J364" s="39" t="n">
        <f aca="false">IF(OR(D364="",D364+G364=0),"",D364/(D364+G364))</f>
        <v>0.44483058210252</v>
      </c>
      <c r="K364" s="39" t="n">
        <f aca="false">IF(E364="","",E364/(E364+H364))</f>
        <v>0.418907905460473</v>
      </c>
      <c r="L364" s="53" t="n">
        <f aca="false">IF(OR(K364="",J364=""),"",(J364-K364)*100)</f>
        <v>2.59226766420468</v>
      </c>
      <c r="M364" s="38"/>
    </row>
    <row r="365" customFormat="false" ht="15" hidden="false" customHeight="false" outlineLevel="0" collapsed="false">
      <c r="A365" s="38" t="s">
        <v>344</v>
      </c>
      <c r="B365" s="38" t="s">
        <v>520</v>
      </c>
      <c r="C365" s="38" t="s">
        <v>522</v>
      </c>
      <c r="D365" s="21" t="n">
        <v>423</v>
      </c>
      <c r="E365" s="21" t="n">
        <v>425</v>
      </c>
      <c r="F365" s="52" t="n">
        <f aca="false">IF(E365="","",D365-E365)</f>
        <v>-2</v>
      </c>
      <c r="G365" s="21" t="n">
        <v>618</v>
      </c>
      <c r="H365" s="21" t="n">
        <v>656</v>
      </c>
      <c r="I365" s="52" t="n">
        <f aca="false">IF(H365="","",G365-H365)</f>
        <v>-38</v>
      </c>
      <c r="J365" s="39" t="n">
        <f aca="false">IF(OR(D365="",D365+G365=0),"",D365/(D365+G365))</f>
        <v>0.406340057636888</v>
      </c>
      <c r="K365" s="39" t="n">
        <f aca="false">IF(E365="","",E365/(E365+H365))</f>
        <v>0.393154486586494</v>
      </c>
      <c r="L365" s="53" t="n">
        <f aca="false">IF(OR(K365="",J365=""),"",(J365-K365)*100)</f>
        <v>1.31855710503936</v>
      </c>
      <c r="M365" s="38"/>
    </row>
    <row r="366" customFormat="false" ht="15" hidden="false" customHeight="false" outlineLevel="0" collapsed="false">
      <c r="A366" s="38" t="s">
        <v>344</v>
      </c>
      <c r="B366" s="38" t="s">
        <v>520</v>
      </c>
      <c r="C366" s="38" t="s">
        <v>523</v>
      </c>
      <c r="D366" s="21" t="n">
        <v>634</v>
      </c>
      <c r="E366" s="21" t="n">
        <v>624</v>
      </c>
      <c r="F366" s="52" t="n">
        <f aca="false">IF(E366="","",D366-E366)</f>
        <v>10</v>
      </c>
      <c r="G366" s="21" t="n">
        <v>633</v>
      </c>
      <c r="H366" s="21" t="n">
        <v>618</v>
      </c>
      <c r="I366" s="52" t="n">
        <f aca="false">IF(H366="","",G366-H366)</f>
        <v>15</v>
      </c>
      <c r="J366" s="39" t="n">
        <f aca="false">IF(OR(D366="",D366+G366=0),"",D366/(D366+G366))</f>
        <v>0.500394632991318</v>
      </c>
      <c r="K366" s="39" t="n">
        <f aca="false">IF(E366="","",E366/(E366+H366))</f>
        <v>0.502415458937198</v>
      </c>
      <c r="L366" s="53" t="n">
        <f aca="false">IF(OR(K366="",J366=""),"",(J366-K366)*100)</f>
        <v>-0.202082594588004</v>
      </c>
      <c r="M366" s="38"/>
    </row>
    <row r="367" customFormat="false" ht="15" hidden="false" customHeight="false" outlineLevel="0" collapsed="false">
      <c r="A367" s="38" t="s">
        <v>344</v>
      </c>
      <c r="B367" s="38" t="s">
        <v>520</v>
      </c>
      <c r="C367" s="38" t="s">
        <v>524</v>
      </c>
      <c r="D367" s="21" t="n">
        <v>309</v>
      </c>
      <c r="E367" s="21" t="n">
        <v>284</v>
      </c>
      <c r="F367" s="52" t="n">
        <f aca="false">IF(E367="","",D367-E367)</f>
        <v>25</v>
      </c>
      <c r="G367" s="21" t="n">
        <v>378</v>
      </c>
      <c r="H367" s="21" t="n">
        <v>414</v>
      </c>
      <c r="I367" s="52" t="n">
        <f aca="false">IF(H367="","",G367-H367)</f>
        <v>-36</v>
      </c>
      <c r="J367" s="39" t="n">
        <f aca="false">IF(OR(D367="",D367+G367=0),"",D367/(D367+G367))</f>
        <v>0.449781659388646</v>
      </c>
      <c r="K367" s="39" t="n">
        <f aca="false">IF(E367="","",E367/(E367+H367))</f>
        <v>0.406876790830946</v>
      </c>
      <c r="L367" s="53" t="n">
        <f aca="false">IF(OR(K367="",J367=""),"",(J367-K367)*100)</f>
        <v>4.29048685577007</v>
      </c>
      <c r="M367" s="38"/>
    </row>
    <row r="368" customFormat="false" ht="15" hidden="false" customHeight="false" outlineLevel="0" collapsed="false">
      <c r="A368" s="38" t="s">
        <v>344</v>
      </c>
      <c r="B368" s="38" t="s">
        <v>525</v>
      </c>
      <c r="C368" s="38" t="s">
        <v>526</v>
      </c>
      <c r="D368" s="21" t="n">
        <v>656</v>
      </c>
      <c r="E368" s="21" t="n">
        <v>648</v>
      </c>
      <c r="F368" s="52" t="n">
        <f aca="false">IF(E368="","",D368-E368)</f>
        <v>8</v>
      </c>
      <c r="G368" s="21" t="n">
        <v>416</v>
      </c>
      <c r="H368" s="21" t="n">
        <v>462</v>
      </c>
      <c r="I368" s="52" t="n">
        <f aca="false">IF(H368="","",G368-H368)</f>
        <v>-46</v>
      </c>
      <c r="J368" s="39" t="n">
        <f aca="false">IF(OR(D368="",D368+G368=0),"",D368/(D368+G368))</f>
        <v>0.611940298507463</v>
      </c>
      <c r="K368" s="39" t="n">
        <f aca="false">IF(E368="","",E368/(E368+H368))</f>
        <v>0.583783783783784</v>
      </c>
      <c r="L368" s="53" t="n">
        <f aca="false">IF(OR(K368="",J368=""),"",(J368-K368)*100)</f>
        <v>2.81565147236789</v>
      </c>
      <c r="M368" s="38"/>
    </row>
    <row r="369" customFormat="false" ht="15" hidden="false" customHeight="false" outlineLevel="0" collapsed="false">
      <c r="A369" s="38" t="s">
        <v>344</v>
      </c>
      <c r="B369" s="38" t="s">
        <v>525</v>
      </c>
      <c r="C369" s="38" t="s">
        <v>527</v>
      </c>
      <c r="D369" s="21" t="n">
        <v>522</v>
      </c>
      <c r="E369" s="21" t="n">
        <v>491</v>
      </c>
      <c r="F369" s="52" t="n">
        <f aca="false">IF(E369="","",D369-E369)</f>
        <v>31</v>
      </c>
      <c r="G369" s="21" t="n">
        <v>380</v>
      </c>
      <c r="H369" s="21" t="n">
        <v>402</v>
      </c>
      <c r="I369" s="52" t="n">
        <f aca="false">IF(H369="","",G369-H369)</f>
        <v>-22</v>
      </c>
      <c r="J369" s="39" t="n">
        <f aca="false">IF(OR(D369="",D369+G369=0),"",D369/(D369+G369))</f>
        <v>0.578713968957871</v>
      </c>
      <c r="K369" s="39" t="n">
        <f aca="false">IF(E369="","",E369/(E369+H369))</f>
        <v>0.5498320268757</v>
      </c>
      <c r="L369" s="53" t="n">
        <f aca="false">IF(OR(K369="",J369=""),"",(J369-K369)*100)</f>
        <v>2.88819420821715</v>
      </c>
      <c r="M369" s="38"/>
    </row>
    <row r="370" customFormat="false" ht="15" hidden="false" customHeight="false" outlineLevel="0" collapsed="false">
      <c r="A370" s="38" t="s">
        <v>344</v>
      </c>
      <c r="B370" s="38" t="s">
        <v>525</v>
      </c>
      <c r="C370" s="38" t="s">
        <v>528</v>
      </c>
      <c r="D370" s="21" t="n">
        <v>816</v>
      </c>
      <c r="E370" s="21" t="n">
        <v>758</v>
      </c>
      <c r="F370" s="52" t="n">
        <f aca="false">IF(E370="","",D370-E370)</f>
        <v>58</v>
      </c>
      <c r="G370" s="21" t="n">
        <v>636</v>
      </c>
      <c r="H370" s="21" t="n">
        <v>674</v>
      </c>
      <c r="I370" s="52" t="n">
        <f aca="false">IF(H370="","",G370-H370)</f>
        <v>-38</v>
      </c>
      <c r="J370" s="39" t="n">
        <f aca="false">IF(OR(D370="",D370+G370=0),"",D370/(D370+G370))</f>
        <v>0.56198347107438</v>
      </c>
      <c r="K370" s="39" t="n">
        <f aca="false">IF(E370="","",E370/(E370+H370))</f>
        <v>0.529329608938548</v>
      </c>
      <c r="L370" s="53" t="n">
        <f aca="false">IF(OR(K370="",J370=""),"",(J370-K370)*100)</f>
        <v>3.26538621358327</v>
      </c>
      <c r="M370" s="38"/>
    </row>
    <row r="371" customFormat="false" ht="15" hidden="false" customHeight="false" outlineLevel="0" collapsed="false">
      <c r="A371" s="38" t="s">
        <v>344</v>
      </c>
      <c r="B371" s="38" t="s">
        <v>529</v>
      </c>
      <c r="C371" s="38" t="s">
        <v>529</v>
      </c>
      <c r="D371" s="21" t="n">
        <v>583</v>
      </c>
      <c r="E371" s="21" t="n">
        <v>634</v>
      </c>
      <c r="F371" s="52" t="n">
        <f aca="false">IF(E371="","",D371-E371)</f>
        <v>-51</v>
      </c>
      <c r="G371" s="21" t="n">
        <v>716</v>
      </c>
      <c r="H371" s="21" t="n">
        <v>856</v>
      </c>
      <c r="I371" s="52" t="n">
        <f aca="false">IF(H371="","",G371-H371)</f>
        <v>-140</v>
      </c>
      <c r="J371" s="39" t="n">
        <f aca="false">IF(OR(D371="",D371+G371=0),"",D371/(D371+G371))</f>
        <v>0.448806774441878</v>
      </c>
      <c r="K371" s="39" t="n">
        <f aca="false">IF(E371="","",E371/(E371+H371))</f>
        <v>0.425503355704698</v>
      </c>
      <c r="L371" s="53" t="n">
        <f aca="false">IF(OR(K371="",J371=""),"",(J371-K371)*100)</f>
        <v>2.33034187371804</v>
      </c>
      <c r="M371" s="38"/>
    </row>
    <row r="373" customFormat="false" ht="15" hidden="false" customHeight="false" outlineLevel="0" collapsed="false">
      <c r="A373" s="11" t="s">
        <v>651</v>
      </c>
      <c r="B373" s="54"/>
      <c r="C373" s="54"/>
      <c r="D373" s="55" t="n">
        <f aca="false">SUMIF(E2:E371,"&lt;&gt;",D2:D371)</f>
        <v>186120</v>
      </c>
      <c r="E373" s="55" t="n">
        <f aca="false">SUM(E2:E371)</f>
        <v>183378</v>
      </c>
      <c r="F373" s="56" t="n">
        <f aca="false">D373-E373</f>
        <v>2742</v>
      </c>
      <c r="G373" s="55" t="n">
        <f aca="false">SUMIF(H2:H371,"&lt;&gt;",G2:G371)</f>
        <v>175732</v>
      </c>
      <c r="H373" s="55" t="n">
        <f aca="false">SUM(H2:H371)</f>
        <v>189309</v>
      </c>
      <c r="I373" s="56" t="n">
        <f aca="false">G373-H373</f>
        <v>-13577</v>
      </c>
      <c r="J373" s="57" t="n">
        <f aca="false">D373/(D373+G373)</f>
        <v>0.514353934757857</v>
      </c>
      <c r="K373" s="57" t="n">
        <f aca="false">E373/(E373+H373)</f>
        <v>0.492042920735094</v>
      </c>
      <c r="L373" s="58" t="n">
        <f aca="false">(J373-K373)*100</f>
        <v>2.23110140227628</v>
      </c>
    </row>
    <row r="374" customFormat="false" ht="15" hidden="false" customHeight="false" outlineLevel="0" collapsed="false">
      <c r="A374" s="11" t="s">
        <v>652</v>
      </c>
      <c r="B374" s="54"/>
      <c r="C374" s="54"/>
      <c r="D374" s="55" t="n">
        <f aca="false">SUM(D2:D371)</f>
        <v>203135</v>
      </c>
      <c r="E374" s="55"/>
      <c r="F374" s="56"/>
      <c r="G374" s="55" t="n">
        <f aca="false">SUM(G2:G371)</f>
        <v>190895</v>
      </c>
      <c r="H374" s="55"/>
      <c r="I374" s="56"/>
      <c r="J374" s="57" t="n">
        <f aca="false">D374/(D374+G374)</f>
        <v>0.515531812298556</v>
      </c>
      <c r="K374" s="57"/>
      <c r="L374" s="58"/>
    </row>
    <row r="376" customFormat="false" ht="15" hidden="false" customHeight="false" outlineLevel="0" collapsed="false">
      <c r="A376" s="2" t="s">
        <v>653</v>
      </c>
      <c r="F376" s="59" t="n">
        <f aca="false">(SUMIF(F2:F371,"&gt;0")-SUMIF(F2:F371,"&lt;0"))/COUNT(F2:F371)</f>
        <v>34.1520467836257</v>
      </c>
    </row>
    <row r="377" customFormat="false" ht="15" hidden="false" customHeight="false" outlineLevel="0" collapsed="false">
      <c r="A377" s="2" t="s">
        <v>654</v>
      </c>
      <c r="F377" s="59" t="n">
        <f aca="false">(SUMIF(I2:I371,"&gt;0")-SUMIF(I2:I371,"&lt;0"))/COUNT(I2:I371)</f>
        <v>49.1491228070175</v>
      </c>
    </row>
    <row r="378" customFormat="false" ht="15" hidden="false" customHeight="false" outlineLevel="0" collapsed="false">
      <c r="A378" s="2" t="s">
        <v>655</v>
      </c>
      <c r="F378" s="60" t="n">
        <f aca="false">(SUMIF(L2:L371,"&gt;0")-SUMIF(L2:L371,"&lt;0"))/COUNT(L2:L371)</f>
        <v>2.72623235857021</v>
      </c>
    </row>
    <row r="379" customFormat="false" ht="15" hidden="false" customHeight="false" outlineLevel="0" collapsed="false">
      <c r="A379" s="5" t="s">
        <v>656</v>
      </c>
      <c r="F379" s="61" t="n">
        <f aca="false">SQRT(SUMSQ(L2:L371)/COUNT(L2:L371))</f>
        <v>3.34385362468937</v>
      </c>
    </row>
    <row r="380" customFormat="false" ht="15" hidden="false" customHeight="false" outlineLevel="0" collapsed="false">
      <c r="A380" s="5" t="s">
        <v>657</v>
      </c>
      <c r="F380" s="62" t="n">
        <f aca="false">L373</f>
        <v>2.23110140227628</v>
      </c>
    </row>
    <row r="381" customFormat="false" ht="15" hidden="false" customHeight="false" outlineLevel="0" collapsed="false">
      <c r="A381" s="5" t="s">
        <v>658</v>
      </c>
      <c r="F381" s="61" t="n">
        <f aca="false">SQRT((SUMSQ(L2:L371)-2*L373*SUM(L2:L371)+COUNT(L2:L371)*L373^2)/COUNT(L2:L371))</f>
        <v>2.16005891267527</v>
      </c>
    </row>
    <row r="382" customFormat="false" ht="15" hidden="false" customHeight="false" outlineLevel="0" collapsed="false">
      <c r="A382" s="2" t="s">
        <v>659</v>
      </c>
      <c r="F382" s="63" t="n">
        <f aca="false">(D373+G373)/(E373+H373)-1</f>
        <v>-0.0290726534598739</v>
      </c>
    </row>
    <row r="383" customFormat="false" ht="15" hidden="false" customHeight="false" outlineLevel="0" collapsed="false">
      <c r="A383" s="2" t="s">
        <v>660</v>
      </c>
      <c r="F383" s="64" t="n">
        <f aca="false">COUNTIFS(L2:L371,"&gt;=-3",L2:L371,"&lt;=3")/COUNT(L2:L371)</f>
        <v>0.625730994152047</v>
      </c>
    </row>
    <row r="384" customFormat="false" ht="15" hidden="false" customHeight="false" outlineLevel="0" collapsed="false">
      <c r="A384" s="2" t="s">
        <v>661</v>
      </c>
      <c r="F384" s="65" t="n">
        <f aca="false">COUNT(E2:E371)</f>
        <v>342</v>
      </c>
    </row>
    <row r="385" customFormat="false" ht="15" hidden="false" customHeight="false" outlineLevel="0" collapsed="false">
      <c r="A385" s="2" t="s">
        <v>662</v>
      </c>
      <c r="F385" s="65" t="n">
        <f aca="false">COUNTA(A2:A371)</f>
        <v>370</v>
      </c>
    </row>
    <row r="387" customFormat="false" ht="15" hidden="false" customHeight="false" outlineLevel="0" collapsed="false">
      <c r="M387" s="5" t="s">
        <v>69</v>
      </c>
    </row>
    <row r="388" customFormat="false" ht="28.35" hidden="false" customHeight="false" outlineLevel="0" collapsed="false">
      <c r="M388" s="51" t="s">
        <v>663</v>
      </c>
    </row>
    <row r="389" customFormat="false" ht="28.35" hidden="false" customHeight="false" outlineLevel="0" collapsed="false">
      <c r="M389" s="51" t="s">
        <v>664</v>
      </c>
    </row>
    <row r="390" customFormat="false" ht="41.75" hidden="false" customHeight="false" outlineLevel="0" collapsed="false">
      <c r="M390" s="51" t="s">
        <v>665</v>
      </c>
    </row>
    <row r="391" customFormat="false" ht="55.2" hidden="false" customHeight="false" outlineLevel="0" collapsed="false">
      <c r="M391" s="51" t="s">
        <v>666</v>
      </c>
    </row>
    <row r="392" customFormat="false" ht="15" hidden="false" customHeight="false" outlineLevel="0" collapsed="false">
      <c r="M392" s="51" t="s">
        <v>667</v>
      </c>
    </row>
    <row r="393" customFormat="false" ht="28.35" hidden="false" customHeight="false" outlineLevel="0" collapsed="false">
      <c r="M393" s="51" t="s">
        <v>668</v>
      </c>
    </row>
    <row r="394" customFormat="false" ht="28.35" hidden="false" customHeight="false" outlineLevel="0" collapsed="false">
      <c r="M394" s="51" t="s">
        <v>669</v>
      </c>
    </row>
    <row r="395" customFormat="false" ht="28.35" hidden="false" customHeight="false" outlineLevel="0" collapsed="false">
      <c r="M395" s="51" t="s">
        <v>670</v>
      </c>
    </row>
    <row r="396" customFormat="false" ht="15" hidden="false" customHeight="false" outlineLevel="0" collapsed="false">
      <c r="M396" s="51" t="s">
        <v>671</v>
      </c>
    </row>
    <row r="397" customFormat="false" ht="41.75" hidden="false" customHeight="false" outlineLevel="0" collapsed="false">
      <c r="M397" s="51" t="s">
        <v>672</v>
      </c>
    </row>
    <row r="398" customFormat="false" ht="28.35" hidden="false" customHeight="false" outlineLevel="0" collapsed="false">
      <c r="M398" s="51" t="s">
        <v>673</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640</v>
      </c>
      <c r="E1" s="7" t="s">
        <v>641</v>
      </c>
      <c r="F1" s="7" t="s">
        <v>642</v>
      </c>
      <c r="G1" s="7" t="s">
        <v>643</v>
      </c>
      <c r="H1" s="7" t="s">
        <v>644</v>
      </c>
      <c r="I1" s="7" t="s">
        <v>645</v>
      </c>
      <c r="J1" s="7" t="s">
        <v>646</v>
      </c>
      <c r="K1" s="7" t="s">
        <v>647</v>
      </c>
      <c r="L1" s="7" t="s">
        <v>648</v>
      </c>
      <c r="M1" s="7" t="s">
        <v>649</v>
      </c>
    </row>
    <row r="2" customFormat="false" ht="15" hidden="false" customHeight="false" outlineLevel="0" collapsed="false">
      <c r="A2" s="38" t="s">
        <v>87</v>
      </c>
      <c r="B2" s="38" t="s">
        <v>88</v>
      </c>
      <c r="C2" s="38" t="s">
        <v>88</v>
      </c>
      <c r="D2" s="21" t="n">
        <v>205</v>
      </c>
      <c r="E2" s="21" t="n">
        <v>181</v>
      </c>
      <c r="F2" s="52" t="n">
        <f aca="false">IF(E2="","",D2-E2)</f>
        <v>24</v>
      </c>
      <c r="G2" s="21" t="n">
        <v>298</v>
      </c>
      <c r="H2" s="21" t="n">
        <v>284</v>
      </c>
      <c r="I2" s="52" t="n">
        <f aca="false">IF(H2="","",G2-H2)</f>
        <v>14</v>
      </c>
      <c r="J2" s="39" t="n">
        <f aca="false">IF(OR(D2="",D2+G2=0),"",D2/(D2+G2))</f>
        <v>0.407554671968191</v>
      </c>
      <c r="K2" s="39" t="n">
        <f aca="false">IF(E2="","",E2/(E2+H2))</f>
        <v>0.389247311827957</v>
      </c>
      <c r="L2" s="53" t="n">
        <f aca="false">IF(OR(K2="",J2=""),"",(J2-K2)*100)</f>
        <v>1.83073601402339</v>
      </c>
      <c r="M2" s="38"/>
    </row>
    <row r="3" customFormat="false" ht="15" hidden="false" customHeight="false" outlineLevel="0" collapsed="false">
      <c r="A3" s="38" t="s">
        <v>87</v>
      </c>
      <c r="B3" s="38" t="s">
        <v>91</v>
      </c>
      <c r="C3" s="38" t="s">
        <v>91</v>
      </c>
      <c r="D3" s="21" t="n">
        <v>116</v>
      </c>
      <c r="E3" s="21" t="n">
        <v>118</v>
      </c>
      <c r="F3" s="52" t="n">
        <f aca="false">IF(E3="","",D3-E3)</f>
        <v>-2</v>
      </c>
      <c r="G3" s="21" t="n">
        <v>287</v>
      </c>
      <c r="H3" s="21" t="n">
        <v>298</v>
      </c>
      <c r="I3" s="52" t="n">
        <f aca="false">IF(H3="","",G3-H3)</f>
        <v>-11</v>
      </c>
      <c r="J3" s="39" t="n">
        <f aca="false">IF(OR(D3="",D3+G3=0),"",D3/(D3+G3))</f>
        <v>0.287841191066998</v>
      </c>
      <c r="K3" s="39" t="n">
        <f aca="false">IF(E3="","",E3/(E3+H3))</f>
        <v>0.283653846153846</v>
      </c>
      <c r="L3" s="53" t="n">
        <f aca="false">IF(OR(K3="",J3=""),"",(J3-K3)*100)</f>
        <v>0.418734491315137</v>
      </c>
      <c r="M3" s="38"/>
    </row>
    <row r="4" customFormat="false" ht="15" hidden="false" customHeight="false" outlineLevel="0" collapsed="false">
      <c r="A4" s="38" t="s">
        <v>87</v>
      </c>
      <c r="B4" s="38" t="s">
        <v>92</v>
      </c>
      <c r="C4" s="38" t="s">
        <v>92</v>
      </c>
      <c r="D4" s="21" t="n">
        <v>151</v>
      </c>
      <c r="E4" s="21" t="n">
        <v>143</v>
      </c>
      <c r="F4" s="52" t="n">
        <f aca="false">IF(E4="","",D4-E4)</f>
        <v>8</v>
      </c>
      <c r="G4" s="21" t="n">
        <v>277</v>
      </c>
      <c r="H4" s="21" t="n">
        <v>309</v>
      </c>
      <c r="I4" s="52" t="n">
        <f aca="false">IF(H4="","",G4-H4)</f>
        <v>-32</v>
      </c>
      <c r="J4" s="39" t="n">
        <f aca="false">IF(OR(D4="",D4+G4=0),"",D4/(D4+G4))</f>
        <v>0.352803738317757</v>
      </c>
      <c r="K4" s="39" t="n">
        <f aca="false">IF(E4="","",E4/(E4+H4))</f>
        <v>0.316371681415929</v>
      </c>
      <c r="L4" s="53" t="n">
        <f aca="false">IF(OR(K4="",J4=""),"",(J4-K4)*100)</f>
        <v>3.64320569018278</v>
      </c>
      <c r="M4" s="38"/>
    </row>
    <row r="5" customFormat="false" ht="15" hidden="false" customHeight="false" outlineLevel="0" collapsed="false">
      <c r="A5" s="38" t="s">
        <v>87</v>
      </c>
      <c r="B5" s="38" t="s">
        <v>93</v>
      </c>
      <c r="C5" s="38" t="s">
        <v>94</v>
      </c>
      <c r="D5" s="21" t="n">
        <v>218</v>
      </c>
      <c r="E5" s="21" t="n">
        <v>202</v>
      </c>
      <c r="F5" s="52" t="n">
        <f aca="false">IF(E5="","",D5-E5)</f>
        <v>16</v>
      </c>
      <c r="G5" s="21" t="n">
        <v>569</v>
      </c>
      <c r="H5" s="21" t="n">
        <v>640</v>
      </c>
      <c r="I5" s="52" t="n">
        <f aca="false">IF(H5="","",G5-H5)</f>
        <v>-71</v>
      </c>
      <c r="J5" s="39" t="n">
        <f aca="false">IF(OR(D5="",D5+G5=0),"",D5/(D5+G5))</f>
        <v>0.277001270648031</v>
      </c>
      <c r="K5" s="39" t="n">
        <f aca="false">IF(E5="","",E5/(E5+H5))</f>
        <v>0.239904988123515</v>
      </c>
      <c r="L5" s="53" t="n">
        <f aca="false">IF(OR(K5="",J5=""),"",(J5-K5)*100)</f>
        <v>3.70962825245151</v>
      </c>
      <c r="M5" s="38"/>
    </row>
    <row r="6" customFormat="false" ht="15" hidden="false" customHeight="false" outlineLevel="0" collapsed="false">
      <c r="A6" s="38" t="s">
        <v>87</v>
      </c>
      <c r="B6" s="38" t="s">
        <v>93</v>
      </c>
      <c r="C6" s="38" t="s">
        <v>95</v>
      </c>
      <c r="D6" s="21" t="n">
        <v>231</v>
      </c>
      <c r="E6" s="21" t="n">
        <v>232</v>
      </c>
      <c r="F6" s="52" t="n">
        <f aca="false">IF(E6="","",D6-E6)</f>
        <v>-1</v>
      </c>
      <c r="G6" s="21" t="n">
        <v>552</v>
      </c>
      <c r="H6" s="21" t="n">
        <v>603</v>
      </c>
      <c r="I6" s="52" t="n">
        <f aca="false">IF(H6="","",G6-H6)</f>
        <v>-51</v>
      </c>
      <c r="J6" s="39" t="n">
        <f aca="false">IF(OR(D6="",D6+G6=0),"",D6/(D6+G6))</f>
        <v>0.295019157088123</v>
      </c>
      <c r="K6" s="39" t="n">
        <f aca="false">IF(E6="","",E6/(E6+H6))</f>
        <v>0.277844311377246</v>
      </c>
      <c r="L6" s="53" t="n">
        <f aca="false">IF(OR(K6="",J6=""),"",(J6-K6)*100)</f>
        <v>1.71748457108771</v>
      </c>
      <c r="M6" s="38"/>
    </row>
    <row r="7" customFormat="false" ht="15" hidden="false" customHeight="false" outlineLevel="0" collapsed="false">
      <c r="A7" s="38" t="s">
        <v>87</v>
      </c>
      <c r="B7" s="38" t="s">
        <v>96</v>
      </c>
      <c r="C7" s="38" t="s">
        <v>96</v>
      </c>
      <c r="D7" s="21" t="n">
        <v>48</v>
      </c>
      <c r="E7" s="21" t="n">
        <v>38</v>
      </c>
      <c r="F7" s="52" t="n">
        <f aca="false">IF(E7="","",D7-E7)</f>
        <v>10</v>
      </c>
      <c r="G7" s="21" t="n">
        <v>73</v>
      </c>
      <c r="H7" s="21" t="n">
        <v>78</v>
      </c>
      <c r="I7" s="52" t="n">
        <f aca="false">IF(H7="","",G7-H7)</f>
        <v>-5</v>
      </c>
      <c r="J7" s="39" t="n">
        <f aca="false">IF(OR(D7="",D7+G7=0),"",D7/(D7+G7))</f>
        <v>0.396694214876033</v>
      </c>
      <c r="K7" s="39" t="n">
        <f aca="false">IF(E7="","",E7/(E7+H7))</f>
        <v>0.327586206896552</v>
      </c>
      <c r="L7" s="53" t="n">
        <f aca="false">IF(OR(K7="",J7=""),"",(J7-K7)*100)</f>
        <v>6.91080079794814</v>
      </c>
      <c r="M7" s="38"/>
    </row>
    <row r="8" customFormat="false" ht="15" hidden="false" customHeight="false" outlineLevel="0" collapsed="false">
      <c r="A8" s="38" t="s">
        <v>87</v>
      </c>
      <c r="B8" s="38" t="s">
        <v>97</v>
      </c>
      <c r="C8" s="38" t="s">
        <v>98</v>
      </c>
      <c r="D8" s="21" t="n">
        <v>306</v>
      </c>
      <c r="E8" s="21" t="n">
        <v>301</v>
      </c>
      <c r="F8" s="52" t="n">
        <f aca="false">IF(E8="","",D8-E8)</f>
        <v>5</v>
      </c>
      <c r="G8" s="21" t="n">
        <v>715</v>
      </c>
      <c r="H8" s="21" t="n">
        <v>760</v>
      </c>
      <c r="I8" s="52" t="n">
        <f aca="false">IF(H8="","",G8-H8)</f>
        <v>-45</v>
      </c>
      <c r="J8" s="39" t="n">
        <f aca="false">IF(OR(D8="",D8+G8=0),"",D8/(D8+G8))</f>
        <v>0.299706170421156</v>
      </c>
      <c r="K8" s="39" t="n">
        <f aca="false">IF(E8="","",E8/(E8+H8))</f>
        <v>0.283694627709708</v>
      </c>
      <c r="L8" s="53" t="n">
        <f aca="false">IF(OR(K8="",J8=""),"",(J8-K8)*100)</f>
        <v>1.60115427114479</v>
      </c>
      <c r="M8" s="38"/>
    </row>
    <row r="9" customFormat="false" ht="15" hidden="false" customHeight="false" outlineLevel="0" collapsed="false">
      <c r="A9" s="38" t="s">
        <v>87</v>
      </c>
      <c r="B9" s="38" t="s">
        <v>97</v>
      </c>
      <c r="C9" s="38" t="s">
        <v>100</v>
      </c>
      <c r="D9" s="21" t="n">
        <v>179</v>
      </c>
      <c r="E9" s="21" t="n">
        <v>164</v>
      </c>
      <c r="F9" s="52" t="n">
        <f aca="false">IF(E9="","",D9-E9)</f>
        <v>15</v>
      </c>
      <c r="G9" s="21" t="n">
        <v>427</v>
      </c>
      <c r="H9" s="21" t="n">
        <v>450</v>
      </c>
      <c r="I9" s="52" t="n">
        <f aca="false">IF(H9="","",G9-H9)</f>
        <v>-23</v>
      </c>
      <c r="J9" s="39" t="n">
        <f aca="false">IF(OR(D9="",D9+G9=0),"",D9/(D9+G9))</f>
        <v>0.295379537953795</v>
      </c>
      <c r="K9" s="39" t="n">
        <f aca="false">IF(E9="","",E9/(E9+H9))</f>
        <v>0.267100977198697</v>
      </c>
      <c r="L9" s="53" t="n">
        <f aca="false">IF(OR(K9="",J9=""),"",(J9-K9)*100)</f>
        <v>2.82785607550983</v>
      </c>
      <c r="M9" s="38"/>
    </row>
    <row r="10" customFormat="false" ht="15" hidden="false" customHeight="false" outlineLevel="0" collapsed="false">
      <c r="A10" s="38" t="s">
        <v>87</v>
      </c>
      <c r="B10" s="38" t="s">
        <v>97</v>
      </c>
      <c r="C10" s="38" t="s">
        <v>101</v>
      </c>
      <c r="D10" s="21" t="n">
        <v>229</v>
      </c>
      <c r="E10" s="21" t="n">
        <v>235</v>
      </c>
      <c r="F10" s="52" t="n">
        <f aca="false">IF(E10="","",D10-E10)</f>
        <v>-6</v>
      </c>
      <c r="G10" s="21" t="n">
        <v>603</v>
      </c>
      <c r="H10" s="21" t="n">
        <v>626</v>
      </c>
      <c r="I10" s="52" t="n">
        <f aca="false">IF(H10="","",G10-H10)</f>
        <v>-23</v>
      </c>
      <c r="J10" s="39" t="n">
        <f aca="false">IF(OR(D10="",D10+G10=0),"",D10/(D10+G10))</f>
        <v>0.275240384615385</v>
      </c>
      <c r="K10" s="39" t="n">
        <f aca="false">IF(E10="","",E10/(E10+H10))</f>
        <v>0.272938443670151</v>
      </c>
      <c r="L10" s="53" t="n">
        <f aca="false">IF(OR(K10="",J10=""),"",(J10-K10)*100)</f>
        <v>0.230194094523367</v>
      </c>
      <c r="M10" s="38"/>
    </row>
    <row r="11" customFormat="false" ht="15" hidden="false" customHeight="false" outlineLevel="0" collapsed="false">
      <c r="A11" s="38" t="s">
        <v>87</v>
      </c>
      <c r="B11" s="38" t="s">
        <v>102</v>
      </c>
      <c r="C11" s="38" t="s">
        <v>103</v>
      </c>
      <c r="D11" s="21" t="n">
        <v>261</v>
      </c>
      <c r="E11" s="21" t="n">
        <v>229</v>
      </c>
      <c r="F11" s="52" t="n">
        <f aca="false">IF(E11="","",D11-E11)</f>
        <v>32</v>
      </c>
      <c r="G11" s="21" t="n">
        <v>283</v>
      </c>
      <c r="H11" s="21" t="n">
        <v>297</v>
      </c>
      <c r="I11" s="52" t="n">
        <f aca="false">IF(H11="","",G11-H11)</f>
        <v>-14</v>
      </c>
      <c r="J11" s="39" t="n">
        <f aca="false">IF(OR(D11="",D11+G11=0),"",D11/(D11+G11))</f>
        <v>0.479779411764706</v>
      </c>
      <c r="K11" s="39" t="n">
        <f aca="false">IF(E11="","",E11/(E11+H11))</f>
        <v>0.435361216730038</v>
      </c>
      <c r="L11" s="53" t="n">
        <f aca="false">IF(OR(K11="",J11=""),"",(J11-K11)*100)</f>
        <v>4.44181950346679</v>
      </c>
      <c r="M11" s="38"/>
    </row>
    <row r="12" customFormat="false" ht="15" hidden="false" customHeight="false" outlineLevel="0" collapsed="false">
      <c r="A12" s="38" t="s">
        <v>87</v>
      </c>
      <c r="B12" s="38" t="s">
        <v>102</v>
      </c>
      <c r="C12" s="38" t="s">
        <v>104</v>
      </c>
      <c r="D12" s="21" t="n">
        <v>183</v>
      </c>
      <c r="E12" s="21" t="n">
        <v>163</v>
      </c>
      <c r="F12" s="52" t="n">
        <f aca="false">IF(E12="","",D12-E12)</f>
        <v>20</v>
      </c>
      <c r="G12" s="21" t="n">
        <v>207</v>
      </c>
      <c r="H12" s="21" t="n">
        <v>226</v>
      </c>
      <c r="I12" s="52" t="n">
        <f aca="false">IF(H12="","",G12-H12)</f>
        <v>-19</v>
      </c>
      <c r="J12" s="39" t="n">
        <f aca="false">IF(OR(D12="",D12+G12=0),"",D12/(D12+G12))</f>
        <v>0.469230769230769</v>
      </c>
      <c r="K12" s="39" t="n">
        <f aca="false">IF(E12="","",E12/(E12+H12))</f>
        <v>0.419023136246787</v>
      </c>
      <c r="L12" s="53" t="n">
        <f aca="false">IF(OR(K12="",J12=""),"",(J12-K12)*100)</f>
        <v>5.02076329839826</v>
      </c>
      <c r="M12" s="38"/>
    </row>
    <row r="13" customFormat="false" ht="15" hidden="false" customHeight="false" outlineLevel="0" collapsed="false">
      <c r="A13" s="38" t="s">
        <v>87</v>
      </c>
      <c r="B13" s="38" t="s">
        <v>102</v>
      </c>
      <c r="C13" s="38" t="s">
        <v>105</v>
      </c>
      <c r="D13" s="21" t="n">
        <v>305</v>
      </c>
      <c r="E13" s="21" t="n">
        <v>286</v>
      </c>
      <c r="F13" s="52" t="n">
        <f aca="false">IF(E13="","",D13-E13)</f>
        <v>19</v>
      </c>
      <c r="G13" s="21" t="n">
        <v>422</v>
      </c>
      <c r="H13" s="21" t="n">
        <v>464</v>
      </c>
      <c r="I13" s="52" t="n">
        <f aca="false">IF(H13="","",G13-H13)</f>
        <v>-42</v>
      </c>
      <c r="J13" s="39" t="n">
        <f aca="false">IF(OR(D13="",D13+G13=0),"",D13/(D13+G13))</f>
        <v>0.419532324621733</v>
      </c>
      <c r="K13" s="39" t="n">
        <f aca="false">IF(E13="","",E13/(E13+H13))</f>
        <v>0.381333333333333</v>
      </c>
      <c r="L13" s="53" t="n">
        <f aca="false">IF(OR(K13="",J13=""),"",(J13-K13)*100)</f>
        <v>3.81989912883998</v>
      </c>
      <c r="M13" s="38"/>
    </row>
    <row r="14" customFormat="false" ht="15" hidden="false" customHeight="false" outlineLevel="0" collapsed="false">
      <c r="A14" s="38" t="s">
        <v>87</v>
      </c>
      <c r="B14" s="38" t="s">
        <v>102</v>
      </c>
      <c r="C14" s="38" t="s">
        <v>106</v>
      </c>
      <c r="D14" s="21" t="n">
        <v>165</v>
      </c>
      <c r="E14" s="21" t="n">
        <v>138</v>
      </c>
      <c r="F14" s="52" t="n">
        <f aca="false">IF(E14="","",D14-E14)</f>
        <v>27</v>
      </c>
      <c r="G14" s="21" t="n">
        <v>135</v>
      </c>
      <c r="H14" s="21" t="n">
        <v>134</v>
      </c>
      <c r="I14" s="52" t="n">
        <f aca="false">IF(H14="","",G14-H14)</f>
        <v>1</v>
      </c>
      <c r="J14" s="39" t="n">
        <f aca="false">IF(OR(D14="",D14+G14=0),"",D14/(D14+G14))</f>
        <v>0.55</v>
      </c>
      <c r="K14" s="39" t="n">
        <f aca="false">IF(E14="","",E14/(E14+H14))</f>
        <v>0.507352941176471</v>
      </c>
      <c r="L14" s="53" t="n">
        <f aca="false">IF(OR(K14="",J14=""),"",(J14-K14)*100)</f>
        <v>4.26470588235295</v>
      </c>
      <c r="M14" s="38"/>
    </row>
    <row r="15" customFormat="false" ht="15" hidden="false" customHeight="false" outlineLevel="0" collapsed="false">
      <c r="A15" s="38" t="s">
        <v>87</v>
      </c>
      <c r="B15" s="38" t="s">
        <v>102</v>
      </c>
      <c r="C15" s="38" t="s">
        <v>107</v>
      </c>
      <c r="D15" s="21" t="n">
        <v>298</v>
      </c>
      <c r="E15" s="21" t="n">
        <v>275</v>
      </c>
      <c r="F15" s="52" t="n">
        <f aca="false">IF(E15="","",D15-E15)</f>
        <v>23</v>
      </c>
      <c r="G15" s="21" t="n">
        <v>318</v>
      </c>
      <c r="H15" s="21" t="n">
        <v>352</v>
      </c>
      <c r="I15" s="52" t="n">
        <f aca="false">IF(H15="","",G15-H15)</f>
        <v>-34</v>
      </c>
      <c r="J15" s="39" t="n">
        <f aca="false">IF(OR(D15="",D15+G15=0),"",D15/(D15+G15))</f>
        <v>0.483766233766234</v>
      </c>
      <c r="K15" s="39" t="n">
        <f aca="false">IF(E15="","",E15/(E15+H15))</f>
        <v>0.43859649122807</v>
      </c>
      <c r="L15" s="53" t="n">
        <f aca="false">IF(OR(K15="",J15=""),"",(J15-K15)*100)</f>
        <v>4.51697425381636</v>
      </c>
      <c r="M15" s="38"/>
    </row>
    <row r="16" customFormat="false" ht="15" hidden="false" customHeight="false" outlineLevel="0" collapsed="false">
      <c r="A16" s="38" t="s">
        <v>87</v>
      </c>
      <c r="B16" s="38" t="s">
        <v>108</v>
      </c>
      <c r="C16" s="38" t="s">
        <v>109</v>
      </c>
      <c r="D16" s="21" t="n">
        <v>111</v>
      </c>
      <c r="E16" s="21" t="n">
        <v>120</v>
      </c>
      <c r="F16" s="52" t="n">
        <f aca="false">IF(E16="","",D16-E16)</f>
        <v>-9</v>
      </c>
      <c r="G16" s="21" t="n">
        <v>195</v>
      </c>
      <c r="H16" s="21" t="n">
        <v>202</v>
      </c>
      <c r="I16" s="52" t="n">
        <f aca="false">IF(H16="","",G16-H16)</f>
        <v>-7</v>
      </c>
      <c r="J16" s="39" t="n">
        <f aca="false">IF(OR(D16="",D16+G16=0),"",D16/(D16+G16))</f>
        <v>0.362745098039216</v>
      </c>
      <c r="K16" s="39" t="n">
        <f aca="false">IF(E16="","",E16/(E16+H16))</f>
        <v>0.372670807453416</v>
      </c>
      <c r="L16" s="53" t="n">
        <f aca="false">IF(OR(K16="",J16=""),"",(J16-K16)*100)</f>
        <v>-0.992570941420046</v>
      </c>
      <c r="M16" s="38"/>
    </row>
    <row r="17" customFormat="false" ht="15" hidden="false" customHeight="false" outlineLevel="0" collapsed="false">
      <c r="A17" s="38" t="s">
        <v>87</v>
      </c>
      <c r="B17" s="38" t="s">
        <v>108</v>
      </c>
      <c r="C17" s="38" t="s">
        <v>110</v>
      </c>
      <c r="D17" s="21" t="n">
        <v>264</v>
      </c>
      <c r="E17" s="21" t="n">
        <v>227</v>
      </c>
      <c r="F17" s="52" t="n">
        <f aca="false">IF(E17="","",D17-E17)</f>
        <v>37</v>
      </c>
      <c r="G17" s="21" t="n">
        <v>531</v>
      </c>
      <c r="H17" s="21" t="n">
        <v>484</v>
      </c>
      <c r="I17" s="52" t="n">
        <f aca="false">IF(H17="","",G17-H17)</f>
        <v>47</v>
      </c>
      <c r="J17" s="39" t="n">
        <f aca="false">IF(OR(D17="",D17+G17=0),"",D17/(D17+G17))</f>
        <v>0.332075471698113</v>
      </c>
      <c r="K17" s="39" t="n">
        <f aca="false">IF(E17="","",E17/(E17+H17))</f>
        <v>0.319268635724332</v>
      </c>
      <c r="L17" s="53" t="n">
        <f aca="false">IF(OR(K17="",J17=""),"",(J17-K17)*100)</f>
        <v>1.28068359737812</v>
      </c>
      <c r="M17" s="38"/>
    </row>
    <row r="18" customFormat="false" ht="15" hidden="false" customHeight="false" outlineLevel="0" collapsed="false">
      <c r="A18" s="38" t="s">
        <v>87</v>
      </c>
      <c r="B18" s="38" t="s">
        <v>111</v>
      </c>
      <c r="C18" s="38" t="s">
        <v>112</v>
      </c>
      <c r="D18" s="21" t="n">
        <v>298</v>
      </c>
      <c r="E18" s="21" t="n">
        <v>249</v>
      </c>
      <c r="F18" s="52" t="n">
        <f aca="false">IF(E18="","",D18-E18)</f>
        <v>49</v>
      </c>
      <c r="G18" s="21" t="n">
        <v>378</v>
      </c>
      <c r="H18" s="21" t="n">
        <v>392</v>
      </c>
      <c r="I18" s="52" t="n">
        <f aca="false">IF(H18="","",G18-H18)</f>
        <v>-14</v>
      </c>
      <c r="J18" s="39" t="n">
        <f aca="false">IF(OR(D18="",D18+G18=0),"",D18/(D18+G18))</f>
        <v>0.440828402366864</v>
      </c>
      <c r="K18" s="39" t="n">
        <f aca="false">IF(E18="","",E18/(E18+H18))</f>
        <v>0.388455538221529</v>
      </c>
      <c r="L18" s="53" t="n">
        <f aca="false">IF(OR(K18="",J18=""),"",(J18-K18)*100)</f>
        <v>5.2372864145335</v>
      </c>
      <c r="M18" s="38"/>
    </row>
    <row r="19" customFormat="false" ht="15" hidden="false" customHeight="false" outlineLevel="0" collapsed="false">
      <c r="A19" s="38" t="s">
        <v>87</v>
      </c>
      <c r="B19" s="38" t="s">
        <v>111</v>
      </c>
      <c r="C19" s="38" t="s">
        <v>113</v>
      </c>
      <c r="D19" s="21" t="n">
        <v>184</v>
      </c>
      <c r="E19" s="21" t="n">
        <v>152</v>
      </c>
      <c r="F19" s="52" t="n">
        <f aca="false">IF(E19="","",D19-E19)</f>
        <v>32</v>
      </c>
      <c r="G19" s="21" t="n">
        <v>232</v>
      </c>
      <c r="H19" s="21" t="n">
        <v>246</v>
      </c>
      <c r="I19" s="52" t="n">
        <f aca="false">IF(H19="","",G19-H19)</f>
        <v>-14</v>
      </c>
      <c r="J19" s="39" t="n">
        <f aca="false">IF(OR(D19="",D19+G19=0),"",D19/(D19+G19))</f>
        <v>0.442307692307692</v>
      </c>
      <c r="K19" s="39" t="n">
        <f aca="false">IF(E19="","",E19/(E19+H19))</f>
        <v>0.381909547738693</v>
      </c>
      <c r="L19" s="53" t="n">
        <f aca="false">IF(OR(K19="",J19=""),"",(J19-K19)*100)</f>
        <v>6.03981445689988</v>
      </c>
      <c r="M19" s="38"/>
    </row>
    <row r="20" customFormat="false" ht="15" hidden="false" customHeight="false" outlineLevel="0" collapsed="false">
      <c r="A20" s="38" t="s">
        <v>87</v>
      </c>
      <c r="B20" s="38" t="s">
        <v>111</v>
      </c>
      <c r="C20" s="38" t="s">
        <v>114</v>
      </c>
      <c r="D20" s="21" t="n">
        <v>175</v>
      </c>
      <c r="E20" s="21" t="n">
        <v>165</v>
      </c>
      <c r="F20" s="52" t="n">
        <f aca="false">IF(E20="","",D20-E20)</f>
        <v>10</v>
      </c>
      <c r="G20" s="21" t="n">
        <v>193</v>
      </c>
      <c r="H20" s="21" t="n">
        <v>237</v>
      </c>
      <c r="I20" s="52" t="n">
        <f aca="false">IF(H20="","",G20-H20)</f>
        <v>-44</v>
      </c>
      <c r="J20" s="39" t="n">
        <f aca="false">IF(OR(D20="",D20+G20=0),"",D20/(D20+G20))</f>
        <v>0.47554347826087</v>
      </c>
      <c r="K20" s="39" t="n">
        <f aca="false">IF(E20="","",E20/(E20+H20))</f>
        <v>0.41044776119403</v>
      </c>
      <c r="L20" s="53" t="n">
        <f aca="false">IF(OR(K20="",J20=""),"",(J20-K20)*100)</f>
        <v>6.50957170668397</v>
      </c>
      <c r="M20" s="38"/>
    </row>
    <row r="21" customFormat="false" ht="15" hidden="false" customHeight="false" outlineLevel="0" collapsed="false">
      <c r="A21" s="38" t="s">
        <v>87</v>
      </c>
      <c r="B21" s="38" t="s">
        <v>115</v>
      </c>
      <c r="C21" s="38" t="s">
        <v>115</v>
      </c>
      <c r="D21" s="21" t="n">
        <v>45</v>
      </c>
      <c r="E21" s="21" t="n">
        <v>38</v>
      </c>
      <c r="F21" s="52" t="n">
        <f aca="false">IF(E21="","",D21-E21)</f>
        <v>7</v>
      </c>
      <c r="G21" s="21" t="n">
        <v>96</v>
      </c>
      <c r="H21" s="21" t="n">
        <v>106</v>
      </c>
      <c r="I21" s="52" t="n">
        <f aca="false">IF(H21="","",G21-H21)</f>
        <v>-10</v>
      </c>
      <c r="J21" s="39" t="n">
        <f aca="false">IF(OR(D21="",D21+G21=0),"",D21/(D21+G21))</f>
        <v>0.319148936170213</v>
      </c>
      <c r="K21" s="39" t="n">
        <f aca="false">IF(E21="","",E21/(E21+H21))</f>
        <v>0.263888888888889</v>
      </c>
      <c r="L21" s="53" t="n">
        <f aca="false">IF(OR(K21="",J21=""),"",(J21-K21)*100)</f>
        <v>5.52600472813239</v>
      </c>
      <c r="M21" s="38"/>
    </row>
    <row r="22" customFormat="false" ht="15" hidden="false" customHeight="false" outlineLevel="0" collapsed="false">
      <c r="A22" s="38" t="s">
        <v>87</v>
      </c>
      <c r="B22" s="38" t="s">
        <v>116</v>
      </c>
      <c r="C22" s="38" t="s">
        <v>116</v>
      </c>
      <c r="D22" s="21" t="n">
        <v>67</v>
      </c>
      <c r="E22" s="21" t="n">
        <v>58</v>
      </c>
      <c r="F22" s="52" t="n">
        <f aca="false">IF(E22="","",D22-E22)</f>
        <v>9</v>
      </c>
      <c r="G22" s="21" t="n">
        <v>207</v>
      </c>
      <c r="H22" s="21" t="n">
        <v>214</v>
      </c>
      <c r="I22" s="52" t="n">
        <f aca="false">IF(H22="","",G22-H22)</f>
        <v>-7</v>
      </c>
      <c r="J22" s="39" t="n">
        <f aca="false">IF(OR(D22="",D22+G22=0),"",D22/(D22+G22))</f>
        <v>0.244525547445255</v>
      </c>
      <c r="K22" s="39" t="n">
        <f aca="false">IF(E22="","",E22/(E22+H22))</f>
        <v>0.213235294117647</v>
      </c>
      <c r="L22" s="53" t="n">
        <f aca="false">IF(OR(K22="",J22=""),"",(J22-K22)*100)</f>
        <v>3.12902533276084</v>
      </c>
      <c r="M22" s="38"/>
    </row>
    <row r="23" customFormat="false" ht="15" hidden="false" customHeight="false" outlineLevel="0" collapsed="false">
      <c r="A23" s="38" t="s">
        <v>87</v>
      </c>
      <c r="B23" s="38" t="s">
        <v>117</v>
      </c>
      <c r="C23" s="38" t="s">
        <v>118</v>
      </c>
      <c r="D23" s="21" t="n">
        <v>327</v>
      </c>
      <c r="E23" s="21" t="n">
        <v>321</v>
      </c>
      <c r="F23" s="52" t="n">
        <f aca="false">IF(E23="","",D23-E23)</f>
        <v>6</v>
      </c>
      <c r="G23" s="21" t="n">
        <v>469</v>
      </c>
      <c r="H23" s="21" t="n">
        <v>498</v>
      </c>
      <c r="I23" s="52" t="n">
        <f aca="false">IF(H23="","",G23-H23)</f>
        <v>-29</v>
      </c>
      <c r="J23" s="39" t="n">
        <f aca="false">IF(OR(D23="",D23+G23=0),"",D23/(D23+G23))</f>
        <v>0.410804020100503</v>
      </c>
      <c r="K23" s="39" t="n">
        <f aca="false">IF(E23="","",E23/(E23+H23))</f>
        <v>0.391941391941392</v>
      </c>
      <c r="L23" s="53" t="n">
        <f aca="false">IF(OR(K23="",J23=""),"",(J23-K23)*100)</f>
        <v>1.88626281591106</v>
      </c>
      <c r="M23" s="38"/>
    </row>
    <row r="24" customFormat="false" ht="15" hidden="false" customHeight="false" outlineLevel="0" collapsed="false">
      <c r="A24" s="38" t="s">
        <v>87</v>
      </c>
      <c r="B24" s="38" t="s">
        <v>117</v>
      </c>
      <c r="C24" s="38" t="s">
        <v>119</v>
      </c>
      <c r="D24" s="21" t="n">
        <v>303</v>
      </c>
      <c r="E24" s="21" t="n">
        <v>288</v>
      </c>
      <c r="F24" s="52" t="n">
        <f aca="false">IF(E24="","",D24-E24)</f>
        <v>15</v>
      </c>
      <c r="G24" s="21" t="n">
        <v>402</v>
      </c>
      <c r="H24" s="21" t="n">
        <v>448</v>
      </c>
      <c r="I24" s="52" t="n">
        <f aca="false">IF(H24="","",G24-H24)</f>
        <v>-46</v>
      </c>
      <c r="J24" s="39" t="n">
        <f aca="false">IF(OR(D24="",D24+G24=0),"",D24/(D24+G24))</f>
        <v>0.429787234042553</v>
      </c>
      <c r="K24" s="39" t="n">
        <f aca="false">IF(E24="","",E24/(E24+H24))</f>
        <v>0.391304347826087</v>
      </c>
      <c r="L24" s="53" t="n">
        <f aca="false">IF(OR(K24="",J24=""),"",(J24-K24)*100)</f>
        <v>3.84828862164662</v>
      </c>
      <c r="M24" s="38"/>
    </row>
    <row r="25" customFormat="false" ht="15" hidden="false" customHeight="false" outlineLevel="0" collapsed="false">
      <c r="A25" s="38" t="s">
        <v>87</v>
      </c>
      <c r="B25" s="38" t="s">
        <v>117</v>
      </c>
      <c r="C25" s="38" t="s">
        <v>120</v>
      </c>
      <c r="D25" s="21" t="n">
        <v>317</v>
      </c>
      <c r="E25" s="21" t="n">
        <v>317</v>
      </c>
      <c r="F25" s="52" t="n">
        <f aca="false">IF(E25="","",D25-E25)</f>
        <v>0</v>
      </c>
      <c r="G25" s="21" t="n">
        <v>433</v>
      </c>
      <c r="H25" s="21" t="n">
        <v>527</v>
      </c>
      <c r="I25" s="52" t="n">
        <f aca="false">IF(H25="","",G25-H25)</f>
        <v>-94</v>
      </c>
      <c r="J25" s="39" t="n">
        <f aca="false">IF(OR(D25="",D25+G25=0),"",D25/(D25+G25))</f>
        <v>0.422666666666667</v>
      </c>
      <c r="K25" s="39" t="n">
        <f aca="false">IF(E25="","",E25/(E25+H25))</f>
        <v>0.375592417061611</v>
      </c>
      <c r="L25" s="53" t="n">
        <f aca="false">IF(OR(K25="",J25=""),"",(J25-K25)*100)</f>
        <v>4.70742496050553</v>
      </c>
      <c r="M25" s="38"/>
    </row>
    <row r="26" customFormat="false" ht="15" hidden="false" customHeight="false" outlineLevel="0" collapsed="false">
      <c r="A26" s="38" t="s">
        <v>87</v>
      </c>
      <c r="B26" s="38" t="s">
        <v>121</v>
      </c>
      <c r="C26" s="38" t="s">
        <v>122</v>
      </c>
      <c r="D26" s="21" t="n">
        <v>331</v>
      </c>
      <c r="E26" s="21" t="n">
        <v>285</v>
      </c>
      <c r="F26" s="52" t="n">
        <f aca="false">IF(E26="","",D26-E26)</f>
        <v>46</v>
      </c>
      <c r="G26" s="21" t="n">
        <v>666</v>
      </c>
      <c r="H26" s="21" t="n">
        <v>760</v>
      </c>
      <c r="I26" s="52" t="n">
        <f aca="false">IF(H26="","",G26-H26)</f>
        <v>-94</v>
      </c>
      <c r="J26" s="39" t="n">
        <f aca="false">IF(OR(D26="",D26+G26=0),"",D26/(D26+G26))</f>
        <v>0.331995987963892</v>
      </c>
      <c r="K26" s="39" t="n">
        <f aca="false">IF(E26="","",E26/(E26+H26))</f>
        <v>0.272727272727273</v>
      </c>
      <c r="L26" s="53" t="n">
        <f aca="false">IF(OR(K26="",J26=""),"",(J26-K26)*100)</f>
        <v>5.9268715236619</v>
      </c>
      <c r="M26" s="38"/>
    </row>
    <row r="27" customFormat="false" ht="15" hidden="false" customHeight="false" outlineLevel="0" collapsed="false">
      <c r="A27" s="38" t="s">
        <v>87</v>
      </c>
      <c r="B27" s="38" t="s">
        <v>121</v>
      </c>
      <c r="C27" s="38" t="s">
        <v>123</v>
      </c>
      <c r="D27" s="21" t="n">
        <v>221</v>
      </c>
      <c r="E27" s="21" t="n">
        <v>228</v>
      </c>
      <c r="F27" s="52" t="n">
        <f aca="false">IF(E27="","",D27-E27)</f>
        <v>-7</v>
      </c>
      <c r="G27" s="21" t="n">
        <v>435</v>
      </c>
      <c r="H27" s="21" t="n">
        <v>522</v>
      </c>
      <c r="I27" s="52" t="n">
        <f aca="false">IF(H27="","",G27-H27)</f>
        <v>-87</v>
      </c>
      <c r="J27" s="39" t="n">
        <f aca="false">IF(OR(D27="",D27+G27=0),"",D27/(D27+G27))</f>
        <v>0.336890243902439</v>
      </c>
      <c r="K27" s="39" t="n">
        <f aca="false">IF(E27="","",E27/(E27+H27))</f>
        <v>0.304</v>
      </c>
      <c r="L27" s="53" t="n">
        <f aca="false">IF(OR(K27="",J27=""),"",(J27-K27)*100)</f>
        <v>3.28902439024391</v>
      </c>
      <c r="M27" s="38"/>
    </row>
    <row r="28" customFormat="false" ht="15" hidden="false" customHeight="false" outlineLevel="0" collapsed="false">
      <c r="A28" s="38" t="s">
        <v>87</v>
      </c>
      <c r="B28" s="38" t="s">
        <v>124</v>
      </c>
      <c r="C28" s="38" t="s">
        <v>125</v>
      </c>
      <c r="D28" s="21" t="n">
        <v>128</v>
      </c>
      <c r="E28" s="21" t="n">
        <v>135</v>
      </c>
      <c r="F28" s="52" t="n">
        <f aca="false">IF(E28="","",D28-E28)</f>
        <v>-7</v>
      </c>
      <c r="G28" s="21" t="n">
        <v>359</v>
      </c>
      <c r="H28" s="21" t="n">
        <v>395</v>
      </c>
      <c r="I28" s="52" t="n">
        <f aca="false">IF(H28="","",G28-H28)</f>
        <v>-36</v>
      </c>
      <c r="J28" s="39" t="n">
        <f aca="false">IF(OR(D28="",D28+G28=0),"",D28/(D28+G28))</f>
        <v>0.262833675564682</v>
      </c>
      <c r="K28" s="39" t="n">
        <f aca="false">IF(E28="","",E28/(E28+H28))</f>
        <v>0.254716981132075</v>
      </c>
      <c r="L28" s="53" t="n">
        <f aca="false">IF(OR(K28="",J28=""),"",(J28-K28)*100)</f>
        <v>0.811669443260626</v>
      </c>
      <c r="M28" s="38"/>
    </row>
    <row r="29" customFormat="false" ht="15" hidden="false" customHeight="false" outlineLevel="0" collapsed="false">
      <c r="A29" s="38" t="s">
        <v>87</v>
      </c>
      <c r="B29" s="38" t="s">
        <v>124</v>
      </c>
      <c r="C29" s="38" t="s">
        <v>126</v>
      </c>
      <c r="D29" s="21" t="n">
        <v>118</v>
      </c>
      <c r="E29" s="21" t="n">
        <v>124</v>
      </c>
      <c r="F29" s="52" t="n">
        <f aca="false">IF(E29="","",D29-E29)</f>
        <v>-6</v>
      </c>
      <c r="G29" s="21" t="n">
        <v>257</v>
      </c>
      <c r="H29" s="21" t="n">
        <v>298</v>
      </c>
      <c r="I29" s="52" t="n">
        <f aca="false">IF(H29="","",G29-H29)</f>
        <v>-41</v>
      </c>
      <c r="J29" s="39" t="n">
        <f aca="false">IF(OR(D29="",D29+G29=0),"",D29/(D29+G29))</f>
        <v>0.314666666666667</v>
      </c>
      <c r="K29" s="39" t="n">
        <f aca="false">IF(E29="","",E29/(E29+H29))</f>
        <v>0.293838862559242</v>
      </c>
      <c r="L29" s="53" t="n">
        <f aca="false">IF(OR(K29="",J29=""),"",(J29-K29)*100)</f>
        <v>2.0827804107425</v>
      </c>
      <c r="M29" s="38"/>
    </row>
    <row r="30" customFormat="false" ht="15" hidden="false" customHeight="false" outlineLevel="0" collapsed="false">
      <c r="A30" s="38" t="s">
        <v>87</v>
      </c>
      <c r="B30" s="38" t="s">
        <v>124</v>
      </c>
      <c r="C30" s="38" t="s">
        <v>127</v>
      </c>
      <c r="D30" s="21" t="n">
        <v>391</v>
      </c>
      <c r="E30" s="21" t="n">
        <v>424</v>
      </c>
      <c r="F30" s="52" t="n">
        <f aca="false">IF(E30="","",D30-E30)</f>
        <v>-33</v>
      </c>
      <c r="G30" s="21" t="n">
        <v>869</v>
      </c>
      <c r="H30" s="21" t="n">
        <v>988</v>
      </c>
      <c r="I30" s="52" t="n">
        <f aca="false">IF(H30="","",G30-H30)</f>
        <v>-119</v>
      </c>
      <c r="J30" s="39" t="n">
        <f aca="false">IF(OR(D30="",D30+G30=0),"",D30/(D30+G30))</f>
        <v>0.31031746031746</v>
      </c>
      <c r="K30" s="39" t="n">
        <f aca="false">IF(E30="","",E30/(E30+H30))</f>
        <v>0.30028328611898</v>
      </c>
      <c r="L30" s="53" t="n">
        <f aca="false">IF(OR(K30="",J30=""),"",(J30-K30)*100)</f>
        <v>1.00341741984801</v>
      </c>
      <c r="M30" s="38"/>
    </row>
    <row r="31" customFormat="false" ht="15" hidden="false" customHeight="false" outlineLevel="0" collapsed="false">
      <c r="A31" s="38" t="s">
        <v>87</v>
      </c>
      <c r="B31" s="38" t="s">
        <v>128</v>
      </c>
      <c r="C31" s="38" t="s">
        <v>129</v>
      </c>
      <c r="D31" s="21" t="n">
        <v>317</v>
      </c>
      <c r="E31" s="21" t="n">
        <v>279</v>
      </c>
      <c r="F31" s="52" t="n">
        <f aca="false">IF(E31="","",D31-E31)</f>
        <v>38</v>
      </c>
      <c r="G31" s="21" t="n">
        <v>406</v>
      </c>
      <c r="H31" s="21" t="n">
        <v>445</v>
      </c>
      <c r="I31" s="52" t="n">
        <f aca="false">IF(H31="","",G31-H31)</f>
        <v>-39</v>
      </c>
      <c r="J31" s="39" t="n">
        <f aca="false">IF(OR(D31="",D31+G31=0),"",D31/(D31+G31))</f>
        <v>0.438450899031812</v>
      </c>
      <c r="K31" s="39" t="n">
        <f aca="false">IF(E31="","",E31/(E31+H31))</f>
        <v>0.385359116022099</v>
      </c>
      <c r="L31" s="53" t="n">
        <f aca="false">IF(OR(K31="",J31=""),"",(J31-K31)*100)</f>
        <v>5.30917830097125</v>
      </c>
      <c r="M31" s="38"/>
    </row>
    <row r="32" customFormat="false" ht="15" hidden="false" customHeight="false" outlineLevel="0" collapsed="false">
      <c r="A32" s="38" t="s">
        <v>87</v>
      </c>
      <c r="B32" s="38" t="s">
        <v>128</v>
      </c>
      <c r="C32" s="38" t="s">
        <v>130</v>
      </c>
      <c r="D32" s="21" t="n">
        <v>331</v>
      </c>
      <c r="E32" s="21" t="n">
        <v>309</v>
      </c>
      <c r="F32" s="52" t="n">
        <f aca="false">IF(E32="","",D32-E32)</f>
        <v>22</v>
      </c>
      <c r="G32" s="21" t="n">
        <v>483</v>
      </c>
      <c r="H32" s="21" t="n">
        <v>488</v>
      </c>
      <c r="I32" s="52" t="n">
        <f aca="false">IF(H32="","",G32-H32)</f>
        <v>-5</v>
      </c>
      <c r="J32" s="39" t="n">
        <f aca="false">IF(OR(D32="",D32+G32=0),"",D32/(D32+G32))</f>
        <v>0.406633906633907</v>
      </c>
      <c r="K32" s="39" t="n">
        <f aca="false">IF(E32="","",E32/(E32+H32))</f>
        <v>0.387703889585947</v>
      </c>
      <c r="L32" s="53" t="n">
        <f aca="false">IF(OR(K32="",J32=""),"",(J32-K32)*100)</f>
        <v>1.89300170479593</v>
      </c>
      <c r="M32" s="38"/>
    </row>
    <row r="33" customFormat="false" ht="15" hidden="false" customHeight="false" outlineLevel="0" collapsed="false">
      <c r="A33" s="38" t="s">
        <v>87</v>
      </c>
      <c r="B33" s="38" t="s">
        <v>131</v>
      </c>
      <c r="C33" s="38" t="s">
        <v>131</v>
      </c>
      <c r="D33" s="21" t="n">
        <v>157</v>
      </c>
      <c r="E33" s="21" t="n">
        <v>134</v>
      </c>
      <c r="F33" s="52" t="n">
        <f aca="false">IF(E33="","",D33-E33)</f>
        <v>23</v>
      </c>
      <c r="G33" s="21" t="n">
        <v>483</v>
      </c>
      <c r="H33" s="21" t="n">
        <v>503</v>
      </c>
      <c r="I33" s="52" t="n">
        <f aca="false">IF(H33="","",G33-H33)</f>
        <v>-20</v>
      </c>
      <c r="J33" s="39" t="n">
        <f aca="false">IF(OR(D33="",D33+G33=0),"",D33/(D33+G33))</f>
        <v>0.2453125</v>
      </c>
      <c r="K33" s="39" t="n">
        <f aca="false">IF(E33="","",E33/(E33+H33))</f>
        <v>0.210361067503925</v>
      </c>
      <c r="L33" s="53" t="n">
        <f aca="false">IF(OR(K33="",J33=""),"",(J33-K33)*100)</f>
        <v>3.49514324960754</v>
      </c>
      <c r="M33" s="38"/>
    </row>
    <row r="34" customFormat="false" ht="15" hidden="false" customHeight="false" outlineLevel="0" collapsed="false">
      <c r="A34" s="38" t="s">
        <v>87</v>
      </c>
      <c r="B34" s="38" t="s">
        <v>132</v>
      </c>
      <c r="C34" s="38" t="s">
        <v>133</v>
      </c>
      <c r="D34" s="21" t="n">
        <v>321</v>
      </c>
      <c r="E34" s="21" t="n">
        <v>281</v>
      </c>
      <c r="F34" s="52" t="n">
        <f aca="false">IF(E34="","",D34-E34)</f>
        <v>40</v>
      </c>
      <c r="G34" s="21" t="n">
        <v>542</v>
      </c>
      <c r="H34" s="21" t="n">
        <v>592</v>
      </c>
      <c r="I34" s="52" t="n">
        <f aca="false">IF(H34="","",G34-H34)</f>
        <v>-50</v>
      </c>
      <c r="J34" s="39" t="n">
        <f aca="false">IF(OR(D34="",D34+G34=0),"",D34/(D34+G34))</f>
        <v>0.371958285052144</v>
      </c>
      <c r="K34" s="39" t="n">
        <f aca="false">IF(E34="","",E34/(E34+H34))</f>
        <v>0.321878579610538</v>
      </c>
      <c r="L34" s="53" t="n">
        <f aca="false">IF(OR(K34="",J34=""),"",(J34-K34)*100)</f>
        <v>5.00797054416053</v>
      </c>
      <c r="M34" s="38"/>
    </row>
    <row r="35" customFormat="false" ht="15" hidden="false" customHeight="false" outlineLevel="0" collapsed="false">
      <c r="A35" s="38" t="s">
        <v>87</v>
      </c>
      <c r="B35" s="38" t="s">
        <v>132</v>
      </c>
      <c r="C35" s="38" t="s">
        <v>134</v>
      </c>
      <c r="D35" s="21" t="n">
        <v>529</v>
      </c>
      <c r="E35" s="21" t="n">
        <v>467</v>
      </c>
      <c r="F35" s="52" t="n">
        <f aca="false">IF(E35="","",D35-E35)</f>
        <v>62</v>
      </c>
      <c r="G35" s="21" t="n">
        <v>741</v>
      </c>
      <c r="H35" s="21" t="n">
        <v>782</v>
      </c>
      <c r="I35" s="52" t="n">
        <f aca="false">IF(H35="","",G35-H35)</f>
        <v>-41</v>
      </c>
      <c r="J35" s="39" t="n">
        <f aca="false">IF(OR(D35="",D35+G35=0),"",D35/(D35+G35))</f>
        <v>0.416535433070866</v>
      </c>
      <c r="K35" s="39" t="n">
        <f aca="false">IF(E35="","",E35/(E35+H35))</f>
        <v>0.373899119295436</v>
      </c>
      <c r="L35" s="53" t="n">
        <f aca="false">IF(OR(K35="",J35=""),"",(J35-K35)*100)</f>
        <v>4.26363137754298</v>
      </c>
      <c r="M35" s="38"/>
    </row>
    <row r="36" customFormat="false" ht="15" hidden="false" customHeight="false" outlineLevel="0" collapsed="false">
      <c r="A36" s="38" t="s">
        <v>87</v>
      </c>
      <c r="B36" s="38" t="s">
        <v>132</v>
      </c>
      <c r="C36" s="38" t="s">
        <v>135</v>
      </c>
      <c r="D36" s="21" t="n">
        <v>158</v>
      </c>
      <c r="E36" s="21" t="n">
        <v>136</v>
      </c>
      <c r="F36" s="52" t="n">
        <f aca="false">IF(E36="","",D36-E36)</f>
        <v>22</v>
      </c>
      <c r="G36" s="21" t="n">
        <v>248</v>
      </c>
      <c r="H36" s="21" t="n">
        <v>278</v>
      </c>
      <c r="I36" s="52" t="n">
        <f aca="false">IF(H36="","",G36-H36)</f>
        <v>-30</v>
      </c>
      <c r="J36" s="39" t="n">
        <f aca="false">IF(OR(D36="",D36+G36=0),"",D36/(D36+G36))</f>
        <v>0.389162561576355</v>
      </c>
      <c r="K36" s="39" t="n">
        <f aca="false">IF(E36="","",E36/(E36+H36))</f>
        <v>0.328502415458937</v>
      </c>
      <c r="L36" s="53" t="n">
        <f aca="false">IF(OR(K36="",J36=""),"",(J36-K36)*100)</f>
        <v>6.06601461174175</v>
      </c>
      <c r="M36" s="38"/>
    </row>
    <row r="37" customFormat="false" ht="15" hidden="false" customHeight="false" outlineLevel="0" collapsed="false">
      <c r="A37" s="38" t="s">
        <v>87</v>
      </c>
      <c r="B37" s="38" t="s">
        <v>136</v>
      </c>
      <c r="C37" s="38" t="s">
        <v>136</v>
      </c>
      <c r="D37" s="21" t="n">
        <v>65</v>
      </c>
      <c r="E37" s="21" t="n">
        <v>68</v>
      </c>
      <c r="F37" s="52" t="n">
        <f aca="false">IF(E37="","",D37-E37)</f>
        <v>-3</v>
      </c>
      <c r="G37" s="21" t="n">
        <v>154</v>
      </c>
      <c r="H37" s="21" t="n">
        <v>153</v>
      </c>
      <c r="I37" s="52" t="n">
        <f aca="false">IF(H37="","",G37-H37)</f>
        <v>1</v>
      </c>
      <c r="J37" s="39" t="n">
        <f aca="false">IF(OR(D37="",D37+G37=0),"",D37/(D37+G37))</f>
        <v>0.296803652968037</v>
      </c>
      <c r="K37" s="39" t="n">
        <f aca="false">IF(E37="","",E37/(E37+H37))</f>
        <v>0.307692307692308</v>
      </c>
      <c r="L37" s="53" t="n">
        <f aca="false">IF(OR(K37="",J37=""),"",(J37-K37)*100)</f>
        <v>-1.08886547242712</v>
      </c>
      <c r="M37" s="38"/>
    </row>
    <row r="38" customFormat="false" ht="15" hidden="false" customHeight="false" outlineLevel="0" collapsed="false">
      <c r="A38" s="38" t="s">
        <v>87</v>
      </c>
      <c r="B38" s="38" t="s">
        <v>137</v>
      </c>
      <c r="C38" s="38" t="s">
        <v>138</v>
      </c>
      <c r="D38" s="21" t="n">
        <v>453</v>
      </c>
      <c r="E38" s="21" t="n">
        <v>432</v>
      </c>
      <c r="F38" s="52" t="n">
        <f aca="false">IF(E38="","",D38-E38)</f>
        <v>21</v>
      </c>
      <c r="G38" s="21" t="n">
        <v>677</v>
      </c>
      <c r="H38" s="21" t="n">
        <v>705</v>
      </c>
      <c r="I38" s="52" t="n">
        <f aca="false">IF(H38="","",G38-H38)</f>
        <v>-28</v>
      </c>
      <c r="J38" s="39" t="n">
        <f aca="false">IF(OR(D38="",D38+G38=0),"",D38/(D38+G38))</f>
        <v>0.400884955752212</v>
      </c>
      <c r="K38" s="39" t="n">
        <f aca="false">IF(E38="","",E38/(E38+H38))</f>
        <v>0.379947229551451</v>
      </c>
      <c r="L38" s="53" t="n">
        <f aca="false">IF(OR(K38="",J38=""),"",(J38-K38)*100)</f>
        <v>2.09377262007612</v>
      </c>
      <c r="M38" s="38"/>
    </row>
    <row r="39" customFormat="false" ht="15" hidden="false" customHeight="false" outlineLevel="0" collapsed="false">
      <c r="A39" s="38" t="s">
        <v>87</v>
      </c>
      <c r="B39" s="38" t="s">
        <v>137</v>
      </c>
      <c r="C39" s="38" t="s">
        <v>139</v>
      </c>
      <c r="D39" s="21" t="n">
        <v>319</v>
      </c>
      <c r="E39" s="21" t="n">
        <v>296</v>
      </c>
      <c r="F39" s="52" t="n">
        <f aca="false">IF(E39="","",D39-E39)</f>
        <v>23</v>
      </c>
      <c r="G39" s="21" t="n">
        <v>504</v>
      </c>
      <c r="H39" s="21" t="n">
        <v>529</v>
      </c>
      <c r="I39" s="52" t="n">
        <f aca="false">IF(H39="","",G39-H39)</f>
        <v>-25</v>
      </c>
      <c r="J39" s="39" t="n">
        <f aca="false">IF(OR(D39="",D39+G39=0),"",D39/(D39+G39))</f>
        <v>0.387606318347509</v>
      </c>
      <c r="K39" s="39" t="n">
        <f aca="false">IF(E39="","",E39/(E39+H39))</f>
        <v>0.358787878787879</v>
      </c>
      <c r="L39" s="53" t="n">
        <f aca="false">IF(OR(K39="",J39=""),"",(J39-K39)*100)</f>
        <v>2.88184395596304</v>
      </c>
      <c r="M39" s="38"/>
    </row>
    <row r="40" customFormat="false" ht="15" hidden="false" customHeight="false" outlineLevel="0" collapsed="false">
      <c r="A40" s="38" t="s">
        <v>87</v>
      </c>
      <c r="B40" s="38" t="s">
        <v>137</v>
      </c>
      <c r="C40" s="38" t="s">
        <v>140</v>
      </c>
      <c r="D40" s="21" t="n">
        <v>493</v>
      </c>
      <c r="E40" s="21" t="n">
        <v>460</v>
      </c>
      <c r="F40" s="52" t="n">
        <f aca="false">IF(E40="","",D40-E40)</f>
        <v>33</v>
      </c>
      <c r="G40" s="21" t="n">
        <v>752</v>
      </c>
      <c r="H40" s="21" t="n">
        <v>791</v>
      </c>
      <c r="I40" s="52" t="n">
        <f aca="false">IF(H40="","",G40-H40)</f>
        <v>-39</v>
      </c>
      <c r="J40" s="39" t="n">
        <f aca="false">IF(OR(D40="",D40+G40=0),"",D40/(D40+G40))</f>
        <v>0.395983935742972</v>
      </c>
      <c r="K40" s="39" t="n">
        <f aca="false">IF(E40="","",E40/(E40+H40))</f>
        <v>0.367705835331735</v>
      </c>
      <c r="L40" s="53" t="n">
        <f aca="false">IF(OR(K40="",J40=""),"",(J40-K40)*100)</f>
        <v>2.82781004112372</v>
      </c>
      <c r="M40" s="38"/>
    </row>
    <row r="41" customFormat="false" ht="15" hidden="false" customHeight="false" outlineLevel="0" collapsed="false">
      <c r="A41" s="38" t="s">
        <v>87</v>
      </c>
      <c r="B41" s="38" t="s">
        <v>137</v>
      </c>
      <c r="C41" s="38" t="s">
        <v>141</v>
      </c>
      <c r="D41" s="21" t="n">
        <v>413</v>
      </c>
      <c r="E41" s="21" t="n">
        <v>425</v>
      </c>
      <c r="F41" s="52" t="n">
        <f aca="false">IF(E41="","",D41-E41)</f>
        <v>-12</v>
      </c>
      <c r="G41" s="21" t="n">
        <v>789</v>
      </c>
      <c r="H41" s="21" t="n">
        <v>920</v>
      </c>
      <c r="I41" s="52" t="n">
        <f aca="false">IF(H41="","",G41-H41)</f>
        <v>-131</v>
      </c>
      <c r="J41" s="39" t="n">
        <f aca="false">IF(OR(D41="",D41+G41=0),"",D41/(D41+G41))</f>
        <v>0.343594009983361</v>
      </c>
      <c r="K41" s="39" t="n">
        <f aca="false">IF(E41="","",E41/(E41+H41))</f>
        <v>0.315985130111524</v>
      </c>
      <c r="L41" s="53" t="n">
        <f aca="false">IF(OR(K41="",J41=""),"",(J41-K41)*100)</f>
        <v>2.76088798718369</v>
      </c>
      <c r="M41" s="38"/>
    </row>
    <row r="42" customFormat="false" ht="15" hidden="false" customHeight="false" outlineLevel="0" collapsed="false">
      <c r="A42" s="38" t="s">
        <v>87</v>
      </c>
      <c r="B42" s="38" t="s">
        <v>137</v>
      </c>
      <c r="C42" s="38" t="s">
        <v>142</v>
      </c>
      <c r="D42" s="21" t="n">
        <v>395</v>
      </c>
      <c r="E42" s="21" t="n">
        <v>397</v>
      </c>
      <c r="F42" s="52" t="n">
        <f aca="false">IF(E42="","",D42-E42)</f>
        <v>-2</v>
      </c>
      <c r="G42" s="21" t="n">
        <v>676</v>
      </c>
      <c r="H42" s="21" t="n">
        <v>692</v>
      </c>
      <c r="I42" s="52" t="n">
        <f aca="false">IF(H42="","",G42-H42)</f>
        <v>-16</v>
      </c>
      <c r="J42" s="39" t="n">
        <f aca="false">IF(OR(D42="",D42+G42=0),"",D42/(D42+G42))</f>
        <v>0.368814192343604</v>
      </c>
      <c r="K42" s="39" t="n">
        <f aca="false">IF(E42="","",E42/(E42+H42))</f>
        <v>0.36455463728191</v>
      </c>
      <c r="L42" s="53" t="n">
        <f aca="false">IF(OR(K42="",J42=""),"",(J42-K42)*100)</f>
        <v>0.425955506169412</v>
      </c>
      <c r="M42" s="38"/>
    </row>
    <row r="43" customFormat="false" ht="15" hidden="false" customHeight="false" outlineLevel="0" collapsed="false">
      <c r="A43" s="38" t="s">
        <v>87</v>
      </c>
      <c r="B43" s="38" t="s">
        <v>143</v>
      </c>
      <c r="C43" s="38" t="s">
        <v>144</v>
      </c>
      <c r="D43" s="21" t="n">
        <v>195</v>
      </c>
      <c r="E43" s="21" t="n">
        <v>175</v>
      </c>
      <c r="F43" s="52" t="n">
        <f aca="false">IF(E43="","",D43-E43)</f>
        <v>20</v>
      </c>
      <c r="G43" s="21" t="n">
        <v>188</v>
      </c>
      <c r="H43" s="21" t="n">
        <v>212</v>
      </c>
      <c r="I43" s="52" t="n">
        <f aca="false">IF(H43="","",G43-H43)</f>
        <v>-24</v>
      </c>
      <c r="J43" s="39" t="n">
        <f aca="false">IF(OR(D43="",D43+G43=0),"",D43/(D43+G43))</f>
        <v>0.509138381201044</v>
      </c>
      <c r="K43" s="39" t="n">
        <f aca="false">IF(E43="","",E43/(E43+H43))</f>
        <v>0.452196382428941</v>
      </c>
      <c r="L43" s="53" t="n">
        <f aca="false">IF(OR(K43="",J43=""),"",(J43-K43)*100)</f>
        <v>5.69419987721038</v>
      </c>
      <c r="M43" s="38"/>
    </row>
    <row r="44" customFormat="false" ht="15" hidden="false" customHeight="false" outlineLevel="0" collapsed="false">
      <c r="A44" s="38" t="s">
        <v>87</v>
      </c>
      <c r="B44" s="38" t="s">
        <v>143</v>
      </c>
      <c r="C44" s="38" t="s">
        <v>145</v>
      </c>
      <c r="D44" s="21" t="n">
        <v>198</v>
      </c>
      <c r="E44" s="21" t="n">
        <v>184</v>
      </c>
      <c r="F44" s="52" t="n">
        <f aca="false">IF(E44="","",D44-E44)</f>
        <v>14</v>
      </c>
      <c r="G44" s="21" t="n">
        <v>188</v>
      </c>
      <c r="H44" s="21" t="n">
        <v>208</v>
      </c>
      <c r="I44" s="52" t="n">
        <f aca="false">IF(H44="","",G44-H44)</f>
        <v>-20</v>
      </c>
      <c r="J44" s="39" t="n">
        <f aca="false">IF(OR(D44="",D44+G44=0),"",D44/(D44+G44))</f>
        <v>0.512953367875648</v>
      </c>
      <c r="K44" s="39" t="n">
        <f aca="false">IF(E44="","",E44/(E44+H44))</f>
        <v>0.469387755102041</v>
      </c>
      <c r="L44" s="53" t="n">
        <f aca="false">IF(OR(K44="",J44=""),"",(J44-K44)*100)</f>
        <v>4.35656127736069</v>
      </c>
      <c r="M44" s="38"/>
    </row>
    <row r="45" customFormat="false" ht="15" hidden="false" customHeight="false" outlineLevel="0" collapsed="false">
      <c r="A45" s="38" t="s">
        <v>87</v>
      </c>
      <c r="B45" s="38" t="s">
        <v>143</v>
      </c>
      <c r="C45" s="38" t="s">
        <v>146</v>
      </c>
      <c r="D45" s="21" t="n">
        <v>122</v>
      </c>
      <c r="E45" s="21" t="n">
        <v>102</v>
      </c>
      <c r="F45" s="52" t="n">
        <f aca="false">IF(E45="","",D45-E45)</f>
        <v>20</v>
      </c>
      <c r="G45" s="21" t="n">
        <v>178</v>
      </c>
      <c r="H45" s="21" t="n">
        <v>192</v>
      </c>
      <c r="I45" s="52" t="n">
        <f aca="false">IF(H45="","",G45-H45)</f>
        <v>-14</v>
      </c>
      <c r="J45" s="39" t="n">
        <f aca="false">IF(OR(D45="",D45+G45=0),"",D45/(D45+G45))</f>
        <v>0.406666666666667</v>
      </c>
      <c r="K45" s="39" t="n">
        <f aca="false">IF(E45="","",E45/(E45+H45))</f>
        <v>0.346938775510204</v>
      </c>
      <c r="L45" s="53" t="n">
        <f aca="false">IF(OR(K45="",J45=""),"",(J45-K45)*100)</f>
        <v>5.97278911564626</v>
      </c>
      <c r="M45" s="38"/>
    </row>
    <row r="46" customFormat="false" ht="15" hidden="false" customHeight="false" outlineLevel="0" collapsed="false">
      <c r="A46" s="38" t="s">
        <v>87</v>
      </c>
      <c r="B46" s="38" t="s">
        <v>143</v>
      </c>
      <c r="C46" s="38" t="s">
        <v>147</v>
      </c>
      <c r="D46" s="21" t="n">
        <v>208</v>
      </c>
      <c r="E46" s="21" t="n">
        <v>194</v>
      </c>
      <c r="F46" s="52" t="n">
        <f aca="false">IF(E46="","",D46-E46)</f>
        <v>14</v>
      </c>
      <c r="G46" s="21" t="n">
        <v>260</v>
      </c>
      <c r="H46" s="21" t="n">
        <v>296</v>
      </c>
      <c r="I46" s="52" t="n">
        <f aca="false">IF(H46="","",G46-H46)</f>
        <v>-36</v>
      </c>
      <c r="J46" s="39" t="n">
        <f aca="false">IF(OR(D46="",D46+G46=0),"",D46/(D46+G46))</f>
        <v>0.444444444444444</v>
      </c>
      <c r="K46" s="39" t="n">
        <f aca="false">IF(E46="","",E46/(E46+H46))</f>
        <v>0.395918367346939</v>
      </c>
      <c r="L46" s="53" t="n">
        <f aca="false">IF(OR(K46="",J46=""),"",(J46-K46)*100)</f>
        <v>4.85260770975057</v>
      </c>
      <c r="M46" s="38"/>
    </row>
    <row r="47" customFormat="false" ht="15" hidden="false" customHeight="false" outlineLevel="0" collapsed="false">
      <c r="A47" s="38" t="s">
        <v>87</v>
      </c>
      <c r="B47" s="38" t="s">
        <v>148</v>
      </c>
      <c r="C47" s="38" t="s">
        <v>149</v>
      </c>
      <c r="D47" s="21" t="n">
        <v>268</v>
      </c>
      <c r="E47" s="21" t="n">
        <v>298</v>
      </c>
      <c r="F47" s="52" t="n">
        <f aca="false">IF(E47="","",D47-E47)</f>
        <v>-30</v>
      </c>
      <c r="G47" s="21" t="n">
        <v>598</v>
      </c>
      <c r="H47" s="21" t="n">
        <v>649</v>
      </c>
      <c r="I47" s="52" t="n">
        <f aca="false">IF(H47="","",G47-H47)</f>
        <v>-51</v>
      </c>
      <c r="J47" s="39" t="n">
        <f aca="false">IF(OR(D47="",D47+G47=0),"",D47/(D47+G47))</f>
        <v>0.309468822170901</v>
      </c>
      <c r="K47" s="39" t="n">
        <f aca="false">IF(E47="","",E47/(E47+H47))</f>
        <v>0.31467793030623</v>
      </c>
      <c r="L47" s="53" t="n">
        <f aca="false">IF(OR(K47="",J47=""),"",(J47-K47)*100)</f>
        <v>-0.520910813532949</v>
      </c>
      <c r="M47" s="38"/>
    </row>
    <row r="48" customFormat="false" ht="15" hidden="false" customHeight="false" outlineLevel="0" collapsed="false">
      <c r="A48" s="38" t="s">
        <v>87</v>
      </c>
      <c r="B48" s="38" t="s">
        <v>148</v>
      </c>
      <c r="C48" s="38" t="s">
        <v>150</v>
      </c>
      <c r="D48" s="21" t="n">
        <v>259</v>
      </c>
      <c r="E48" s="21" t="n">
        <v>253</v>
      </c>
      <c r="F48" s="52" t="n">
        <f aca="false">IF(E48="","",D48-E48)</f>
        <v>6</v>
      </c>
      <c r="G48" s="21" t="n">
        <v>649</v>
      </c>
      <c r="H48" s="21" t="n">
        <v>710</v>
      </c>
      <c r="I48" s="52" t="n">
        <f aca="false">IF(H48="","",G48-H48)</f>
        <v>-61</v>
      </c>
      <c r="J48" s="39" t="n">
        <f aca="false">IF(OR(D48="",D48+G48=0),"",D48/(D48+G48))</f>
        <v>0.285242290748899</v>
      </c>
      <c r="K48" s="39" t="n">
        <f aca="false">IF(E48="","",E48/(E48+H48))</f>
        <v>0.262720664589823</v>
      </c>
      <c r="L48" s="53" t="n">
        <f aca="false">IF(OR(K48="",J48=""),"",(J48-K48)*100)</f>
        <v>2.25216261590752</v>
      </c>
      <c r="M48" s="38"/>
    </row>
    <row r="49" customFormat="false" ht="15" hidden="false" customHeight="false" outlineLevel="0" collapsed="false">
      <c r="A49" s="38" t="s">
        <v>87</v>
      </c>
      <c r="B49" s="38" t="s">
        <v>148</v>
      </c>
      <c r="C49" s="38" t="s">
        <v>151</v>
      </c>
      <c r="D49" s="21" t="n">
        <v>261</v>
      </c>
      <c r="E49" s="21" t="n">
        <v>238</v>
      </c>
      <c r="F49" s="52" t="n">
        <f aca="false">IF(E49="","",D49-E49)</f>
        <v>23</v>
      </c>
      <c r="G49" s="21" t="n">
        <v>580</v>
      </c>
      <c r="H49" s="21" t="n">
        <v>586</v>
      </c>
      <c r="I49" s="52" t="n">
        <f aca="false">IF(H49="","",G49-H49)</f>
        <v>-6</v>
      </c>
      <c r="J49" s="39" t="n">
        <f aca="false">IF(OR(D49="",D49+G49=0),"",D49/(D49+G49))</f>
        <v>0.310344827586207</v>
      </c>
      <c r="K49" s="39" t="n">
        <f aca="false">IF(E49="","",E49/(E49+H49))</f>
        <v>0.288834951456311</v>
      </c>
      <c r="L49" s="53" t="n">
        <f aca="false">IF(OR(K49="",J49=""),"",(J49-K49)*100)</f>
        <v>2.15098761298962</v>
      </c>
      <c r="M49" s="38"/>
    </row>
    <row r="50" customFormat="false" ht="15" hidden="false" customHeight="false" outlineLevel="0" collapsed="false">
      <c r="A50" s="38" t="s">
        <v>87</v>
      </c>
      <c r="B50" s="38" t="s">
        <v>152</v>
      </c>
      <c r="C50" s="38" t="s">
        <v>153</v>
      </c>
      <c r="D50" s="21" t="n">
        <v>238</v>
      </c>
      <c r="E50" s="21" t="n">
        <v>238</v>
      </c>
      <c r="F50" s="52" t="n">
        <f aca="false">IF(E50="","",D50-E50)</f>
        <v>0</v>
      </c>
      <c r="G50" s="21" t="n">
        <v>595</v>
      </c>
      <c r="H50" s="21" t="n">
        <v>541</v>
      </c>
      <c r="I50" s="52" t="n">
        <f aca="false">IF(H50="","",G50-H50)</f>
        <v>54</v>
      </c>
      <c r="J50" s="39" t="n">
        <f aca="false">IF(OR(D50="",D50+G50=0),"",D50/(D50+G50))</f>
        <v>0.285714285714286</v>
      </c>
      <c r="K50" s="39" t="n">
        <f aca="false">IF(E50="","",E50/(E50+H50))</f>
        <v>0.305519897304236</v>
      </c>
      <c r="L50" s="53" t="n">
        <f aca="false">IF(OR(K50="",J50=""),"",(J50-K50)*100)</f>
        <v>-1.98056115899505</v>
      </c>
      <c r="M50" s="38"/>
    </row>
    <row r="51" customFormat="false" ht="15" hidden="false" customHeight="false" outlineLevel="0" collapsed="false">
      <c r="A51" s="38" t="s">
        <v>87</v>
      </c>
      <c r="B51" s="38" t="s">
        <v>152</v>
      </c>
      <c r="C51" s="38" t="s">
        <v>154</v>
      </c>
      <c r="D51" s="21" t="n">
        <v>112</v>
      </c>
      <c r="E51" s="21" t="n">
        <v>103</v>
      </c>
      <c r="F51" s="52" t="n">
        <f aca="false">IF(E51="","",D51-E51)</f>
        <v>9</v>
      </c>
      <c r="G51" s="21" t="n">
        <v>276</v>
      </c>
      <c r="H51" s="21" t="n">
        <v>292</v>
      </c>
      <c r="I51" s="52" t="n">
        <f aca="false">IF(H51="","",G51-H51)</f>
        <v>-16</v>
      </c>
      <c r="J51" s="39" t="n">
        <f aca="false">IF(OR(D51="",D51+G51=0),"",D51/(D51+G51))</f>
        <v>0.288659793814433</v>
      </c>
      <c r="K51" s="39" t="n">
        <f aca="false">IF(E51="","",E51/(E51+H51))</f>
        <v>0.260759493670886</v>
      </c>
      <c r="L51" s="53" t="n">
        <f aca="false">IF(OR(K51="",J51=""),"",(J51-K51)*100)</f>
        <v>2.79003001435469</v>
      </c>
      <c r="M51" s="38"/>
    </row>
    <row r="52" customFormat="false" ht="15" hidden="false" customHeight="false" outlineLevel="0" collapsed="false">
      <c r="A52" s="38" t="s">
        <v>87</v>
      </c>
      <c r="B52" s="38" t="s">
        <v>155</v>
      </c>
      <c r="C52" s="38" t="s">
        <v>155</v>
      </c>
      <c r="D52" s="21" t="n">
        <v>66</v>
      </c>
      <c r="E52" s="21" t="n">
        <v>53</v>
      </c>
      <c r="F52" s="52" t="n">
        <f aca="false">IF(E52="","",D52-E52)</f>
        <v>13</v>
      </c>
      <c r="G52" s="21" t="n">
        <v>87</v>
      </c>
      <c r="H52" s="21" t="n">
        <v>99</v>
      </c>
      <c r="I52" s="52" t="n">
        <f aca="false">IF(H52="","",G52-H52)</f>
        <v>-12</v>
      </c>
      <c r="J52" s="39" t="n">
        <f aca="false">IF(OR(D52="",D52+G52=0),"",D52/(D52+G52))</f>
        <v>0.431372549019608</v>
      </c>
      <c r="K52" s="39" t="n">
        <f aca="false">IF(E52="","",E52/(E52+H52))</f>
        <v>0.348684210526316</v>
      </c>
      <c r="L52" s="53" t="n">
        <f aca="false">IF(OR(K52="",J52=""),"",(J52-K52)*100)</f>
        <v>8.26883384932921</v>
      </c>
      <c r="M52" s="38"/>
    </row>
    <row r="53" customFormat="false" ht="15" hidden="false" customHeight="false" outlineLevel="0" collapsed="false">
      <c r="A53" s="38" t="s">
        <v>156</v>
      </c>
      <c r="B53" s="38" t="s">
        <v>157</v>
      </c>
      <c r="C53" s="38" t="s">
        <v>157</v>
      </c>
      <c r="D53" s="21" t="n">
        <v>708</v>
      </c>
      <c r="E53" s="21" t="n">
        <v>601</v>
      </c>
      <c r="F53" s="52" t="n">
        <f aca="false">IF(E53="","",D53-E53)</f>
        <v>107</v>
      </c>
      <c r="G53" s="21" t="n">
        <v>676</v>
      </c>
      <c r="H53" s="21" t="n">
        <v>766</v>
      </c>
      <c r="I53" s="52" t="n">
        <f aca="false">IF(H53="","",G53-H53)</f>
        <v>-90</v>
      </c>
      <c r="J53" s="39" t="n">
        <f aca="false">IF(OR(D53="",D53+G53=0),"",D53/(D53+G53))</f>
        <v>0.511560693641619</v>
      </c>
      <c r="K53" s="39" t="n">
        <f aca="false">IF(E53="","",E53/(E53+H53))</f>
        <v>0.439648866130212</v>
      </c>
      <c r="L53" s="53" t="n">
        <f aca="false">IF(OR(K53="",J53=""),"",(J53-K53)*100)</f>
        <v>7.19118275114063</v>
      </c>
      <c r="M53" s="38"/>
    </row>
    <row r="54" customFormat="false" ht="15" hidden="false" customHeight="false" outlineLevel="0" collapsed="false">
      <c r="A54" s="38" t="s">
        <v>156</v>
      </c>
      <c r="B54" s="38" t="s">
        <v>158</v>
      </c>
      <c r="C54" s="38" t="s">
        <v>159</v>
      </c>
      <c r="D54" s="21" t="n">
        <v>513</v>
      </c>
      <c r="E54" s="21" t="n">
        <v>437</v>
      </c>
      <c r="F54" s="52" t="n">
        <f aca="false">IF(E54="","",D54-E54)</f>
        <v>76</v>
      </c>
      <c r="G54" s="21" t="n">
        <v>160</v>
      </c>
      <c r="H54" s="21" t="n">
        <v>173</v>
      </c>
      <c r="I54" s="52" t="n">
        <f aca="false">IF(H54="","",G54-H54)</f>
        <v>-13</v>
      </c>
      <c r="J54" s="39" t="n">
        <f aca="false">IF(OR(D54="",D54+G54=0),"",D54/(D54+G54))</f>
        <v>0.762258543833581</v>
      </c>
      <c r="K54" s="39" t="n">
        <f aca="false">IF(E54="","",E54/(E54+H54))</f>
        <v>0.716393442622951</v>
      </c>
      <c r="L54" s="53" t="n">
        <f aca="false">IF(OR(K54="",J54=""),"",(J54-K54)*100)</f>
        <v>4.58651012106301</v>
      </c>
      <c r="M54" s="38"/>
    </row>
    <row r="55" customFormat="false" ht="15" hidden="false" customHeight="false" outlineLevel="0" collapsed="false">
      <c r="A55" s="38" t="s">
        <v>156</v>
      </c>
      <c r="B55" s="38" t="s">
        <v>158</v>
      </c>
      <c r="C55" s="38" t="s">
        <v>160</v>
      </c>
      <c r="D55" s="21" t="n">
        <v>379</v>
      </c>
      <c r="E55" s="21" t="n">
        <v>328</v>
      </c>
      <c r="F55" s="52" t="n">
        <f aca="false">IF(E55="","",D55-E55)</f>
        <v>51</v>
      </c>
      <c r="G55" s="21" t="n">
        <v>130</v>
      </c>
      <c r="H55" s="21" t="n">
        <v>173</v>
      </c>
      <c r="I55" s="52" t="n">
        <f aca="false">IF(H55="","",G55-H55)</f>
        <v>-43</v>
      </c>
      <c r="J55" s="39" t="n">
        <f aca="false">IF(OR(D55="",D55+G55=0),"",D55/(D55+G55))</f>
        <v>0.744597249508841</v>
      </c>
      <c r="K55" s="39" t="n">
        <f aca="false">IF(E55="","",E55/(E55+H55))</f>
        <v>0.654690618762475</v>
      </c>
      <c r="L55" s="53" t="n">
        <f aca="false">IF(OR(K55="",J55=""),"",(J55-K55)*100)</f>
        <v>8.99066307463659</v>
      </c>
      <c r="M55" s="38"/>
    </row>
    <row r="56" customFormat="false" ht="15" hidden="false" customHeight="false" outlineLevel="0" collapsed="false">
      <c r="A56" s="38" t="s">
        <v>156</v>
      </c>
      <c r="B56" s="38" t="s">
        <v>158</v>
      </c>
      <c r="C56" s="38" t="s">
        <v>161</v>
      </c>
      <c r="D56" s="21" t="n">
        <v>392</v>
      </c>
      <c r="E56" s="21" t="n">
        <v>347</v>
      </c>
      <c r="F56" s="52" t="n">
        <f aca="false">IF(E56="","",D56-E56)</f>
        <v>45</v>
      </c>
      <c r="G56" s="21" t="n">
        <v>126</v>
      </c>
      <c r="H56" s="21" t="n">
        <v>147</v>
      </c>
      <c r="I56" s="52" t="n">
        <f aca="false">IF(H56="","",G56-H56)</f>
        <v>-21</v>
      </c>
      <c r="J56" s="39" t="n">
        <f aca="false">IF(OR(D56="",D56+G56=0),"",D56/(D56+G56))</f>
        <v>0.756756756756757</v>
      </c>
      <c r="K56" s="39" t="n">
        <f aca="false">IF(E56="","",E56/(E56+H56))</f>
        <v>0.702429149797571</v>
      </c>
      <c r="L56" s="53" t="n">
        <f aca="false">IF(OR(K56="",J56=""),"",(J56-K56)*100)</f>
        <v>5.43276069591859</v>
      </c>
      <c r="M56" s="38"/>
    </row>
    <row r="57" customFormat="false" ht="15" hidden="false" customHeight="false" outlineLevel="0" collapsed="false">
      <c r="A57" s="38" t="s">
        <v>156</v>
      </c>
      <c r="B57" s="38" t="s">
        <v>158</v>
      </c>
      <c r="C57" s="38" t="s">
        <v>162</v>
      </c>
      <c r="D57" s="21" t="n">
        <v>337</v>
      </c>
      <c r="E57" s="21" t="n">
        <v>314</v>
      </c>
      <c r="F57" s="52" t="n">
        <f aca="false">IF(E57="","",D57-E57)</f>
        <v>23</v>
      </c>
      <c r="G57" s="21" t="n">
        <v>132</v>
      </c>
      <c r="H57" s="21" t="n">
        <v>149</v>
      </c>
      <c r="I57" s="52" t="n">
        <f aca="false">IF(H57="","",G57-H57)</f>
        <v>-17</v>
      </c>
      <c r="J57" s="39" t="n">
        <f aca="false">IF(OR(D57="",D57+G57=0),"",D57/(D57+G57))</f>
        <v>0.718550106609808</v>
      </c>
      <c r="K57" s="39" t="n">
        <f aca="false">IF(E57="","",E57/(E57+H57))</f>
        <v>0.678185745140389</v>
      </c>
      <c r="L57" s="53" t="n">
        <f aca="false">IF(OR(K57="",J57=""),"",(J57-K57)*100)</f>
        <v>4.03643614694194</v>
      </c>
      <c r="M57" s="38"/>
    </row>
    <row r="58" customFormat="false" ht="15" hidden="false" customHeight="false" outlineLevel="0" collapsed="false">
      <c r="A58" s="38" t="s">
        <v>156</v>
      </c>
      <c r="B58" s="38" t="s">
        <v>158</v>
      </c>
      <c r="C58" s="38" t="s">
        <v>163</v>
      </c>
      <c r="D58" s="21" t="n">
        <v>418</v>
      </c>
      <c r="E58" s="21" t="n">
        <v>364</v>
      </c>
      <c r="F58" s="52" t="n">
        <f aca="false">IF(E58="","",D58-E58)</f>
        <v>54</v>
      </c>
      <c r="G58" s="21" t="n">
        <v>131</v>
      </c>
      <c r="H58" s="21" t="n">
        <v>137</v>
      </c>
      <c r="I58" s="52" t="n">
        <f aca="false">IF(H58="","",G58-H58)</f>
        <v>-6</v>
      </c>
      <c r="J58" s="39" t="n">
        <f aca="false">IF(OR(D58="",D58+G58=0),"",D58/(D58+G58))</f>
        <v>0.761384335154827</v>
      </c>
      <c r="K58" s="39" t="n">
        <f aca="false">IF(E58="","",E58/(E58+H58))</f>
        <v>0.726546906187625</v>
      </c>
      <c r="L58" s="53" t="n">
        <f aca="false">IF(OR(K58="",J58=""),"",(J58-K58)*100)</f>
        <v>3.48374289672022</v>
      </c>
      <c r="M58" s="38"/>
    </row>
    <row r="59" customFormat="false" ht="15" hidden="false" customHeight="false" outlineLevel="0" collapsed="false">
      <c r="A59" s="38" t="s">
        <v>156</v>
      </c>
      <c r="B59" s="38" t="s">
        <v>158</v>
      </c>
      <c r="C59" s="38" t="s">
        <v>164</v>
      </c>
      <c r="D59" s="21" t="n">
        <v>470</v>
      </c>
      <c r="E59" s="21" t="n">
        <v>399</v>
      </c>
      <c r="F59" s="52" t="n">
        <f aca="false">IF(E59="","",D59-E59)</f>
        <v>71</v>
      </c>
      <c r="G59" s="21" t="n">
        <v>179</v>
      </c>
      <c r="H59" s="21" t="n">
        <v>171</v>
      </c>
      <c r="I59" s="52" t="n">
        <f aca="false">IF(H59="","",G59-H59)</f>
        <v>8</v>
      </c>
      <c r="J59" s="39" t="n">
        <f aca="false">IF(OR(D59="",D59+G59=0),"",D59/(D59+G59))</f>
        <v>0.724191063174114</v>
      </c>
      <c r="K59" s="39" t="n">
        <f aca="false">IF(E59="","",E59/(E59+H59))</f>
        <v>0.7</v>
      </c>
      <c r="L59" s="53" t="n">
        <f aca="false">IF(OR(K59="",J59=""),"",(J59-K59)*100)</f>
        <v>2.4191063174114</v>
      </c>
      <c r="M59" s="38"/>
    </row>
    <row r="60" customFormat="false" ht="15" hidden="false" customHeight="false" outlineLevel="0" collapsed="false">
      <c r="A60" s="38" t="s">
        <v>156</v>
      </c>
      <c r="B60" s="38" t="s">
        <v>158</v>
      </c>
      <c r="C60" s="38" t="s">
        <v>165</v>
      </c>
      <c r="D60" s="21" t="n">
        <v>794</v>
      </c>
      <c r="E60" s="21" t="n">
        <v>1034</v>
      </c>
      <c r="F60" s="52" t="n">
        <f aca="false">IF(E60="","",D60-E60)</f>
        <v>-240</v>
      </c>
      <c r="G60" s="21" t="n">
        <v>256</v>
      </c>
      <c r="H60" s="21" t="n">
        <v>285</v>
      </c>
      <c r="I60" s="52" t="n">
        <f aca="false">IF(H60="","",G60-H60)</f>
        <v>-29</v>
      </c>
      <c r="J60" s="39" t="n">
        <f aca="false">IF(OR(D60="",D60+G60=0),"",D60/(D60+G60))</f>
        <v>0.756190476190476</v>
      </c>
      <c r="K60" s="39" t="n">
        <f aca="false">IF(E60="","",E60/(E60+H60))</f>
        <v>0.783927217589083</v>
      </c>
      <c r="L60" s="53" t="n">
        <f aca="false">IF(OR(K60="",J60=""),"",(J60-K60)*100)</f>
        <v>-2.77367413986065</v>
      </c>
      <c r="M60" s="38"/>
    </row>
    <row r="61" customFormat="false" ht="15" hidden="false" customHeight="false" outlineLevel="0" collapsed="false">
      <c r="A61" s="38" t="s">
        <v>156</v>
      </c>
      <c r="B61" s="38" t="s">
        <v>158</v>
      </c>
      <c r="C61" s="38" t="s">
        <v>166</v>
      </c>
      <c r="D61" s="21" t="n">
        <v>405</v>
      </c>
      <c r="E61" s="21" t="n">
        <v>377</v>
      </c>
      <c r="F61" s="52" t="n">
        <f aca="false">IF(E61="","",D61-E61)</f>
        <v>28</v>
      </c>
      <c r="G61" s="21" t="n">
        <v>196</v>
      </c>
      <c r="H61" s="21" t="n">
        <v>190</v>
      </c>
      <c r="I61" s="52" t="n">
        <f aca="false">IF(H61="","",G61-H61)</f>
        <v>6</v>
      </c>
      <c r="J61" s="39" t="n">
        <f aca="false">IF(OR(D61="",D61+G61=0),"",D61/(D61+G61))</f>
        <v>0.6738768718802</v>
      </c>
      <c r="K61" s="39" t="n">
        <f aca="false">IF(E61="","",E61/(E61+H61))</f>
        <v>0.664902998236332</v>
      </c>
      <c r="L61" s="53" t="n">
        <f aca="false">IF(OR(K61="",J61=""),"",(J61-K61)*100)</f>
        <v>0.897387364386804</v>
      </c>
      <c r="M61" s="38"/>
    </row>
    <row r="62" customFormat="false" ht="15" hidden="false" customHeight="false" outlineLevel="0" collapsed="false">
      <c r="A62" s="38" t="s">
        <v>156</v>
      </c>
      <c r="B62" s="38" t="s">
        <v>158</v>
      </c>
      <c r="C62" s="38" t="s">
        <v>167</v>
      </c>
      <c r="D62" s="21" t="n">
        <v>624</v>
      </c>
      <c r="E62" s="21" t="n">
        <v>619</v>
      </c>
      <c r="F62" s="52" t="n">
        <f aca="false">IF(E62="","",D62-E62)</f>
        <v>5</v>
      </c>
      <c r="G62" s="21" t="n">
        <v>377</v>
      </c>
      <c r="H62" s="21" t="n">
        <v>400</v>
      </c>
      <c r="I62" s="52" t="n">
        <f aca="false">IF(H62="","",G62-H62)</f>
        <v>-23</v>
      </c>
      <c r="J62" s="39" t="n">
        <f aca="false">IF(OR(D62="",D62+G62=0),"",D62/(D62+G62))</f>
        <v>0.623376623376623</v>
      </c>
      <c r="K62" s="39" t="n">
        <f aca="false">IF(E62="","",E62/(E62+H62))</f>
        <v>0.607458292443572</v>
      </c>
      <c r="L62" s="53" t="n">
        <f aca="false">IF(OR(K62="",J62=""),"",(J62-K62)*100)</f>
        <v>1.59183309330513</v>
      </c>
      <c r="M62" s="38"/>
    </row>
    <row r="63" customFormat="false" ht="15" hidden="false" customHeight="false" outlineLevel="0" collapsed="false">
      <c r="A63" s="38" t="s">
        <v>156</v>
      </c>
      <c r="B63" s="38" t="s">
        <v>158</v>
      </c>
      <c r="C63" s="38" t="s">
        <v>168</v>
      </c>
      <c r="D63" s="21" t="n">
        <v>442</v>
      </c>
      <c r="E63" s="21" t="n">
        <v>438</v>
      </c>
      <c r="F63" s="52" t="n">
        <f aca="false">IF(E63="","",D63-E63)</f>
        <v>4</v>
      </c>
      <c r="G63" s="21" t="n">
        <v>270</v>
      </c>
      <c r="H63" s="21" t="n">
        <v>259</v>
      </c>
      <c r="I63" s="52" t="n">
        <f aca="false">IF(H63="","",G63-H63)</f>
        <v>11</v>
      </c>
      <c r="J63" s="39" t="n">
        <f aca="false">IF(OR(D63="",D63+G63=0),"",D63/(D63+G63))</f>
        <v>0.620786516853933</v>
      </c>
      <c r="K63" s="39" t="n">
        <f aca="false">IF(E63="","",E63/(E63+H63))</f>
        <v>0.628407460545194</v>
      </c>
      <c r="L63" s="53" t="n">
        <f aca="false">IF(OR(K63="",J63=""),"",(J63-K63)*100)</f>
        <v>-0.76209436912611</v>
      </c>
      <c r="M63" s="38"/>
    </row>
    <row r="64" customFormat="false" ht="15" hidden="false" customHeight="false" outlineLevel="0" collapsed="false">
      <c r="A64" s="38" t="s">
        <v>156</v>
      </c>
      <c r="B64" s="38" t="s">
        <v>158</v>
      </c>
      <c r="C64" s="38" t="s">
        <v>169</v>
      </c>
      <c r="D64" s="21" t="n">
        <v>480</v>
      </c>
      <c r="E64" s="21" t="n">
        <v>428</v>
      </c>
      <c r="F64" s="52" t="n">
        <f aca="false">IF(E64="","",D64-E64)</f>
        <v>52</v>
      </c>
      <c r="G64" s="21" t="n">
        <v>195</v>
      </c>
      <c r="H64" s="21" t="n">
        <v>195</v>
      </c>
      <c r="I64" s="52" t="n">
        <f aca="false">IF(H64="","",G64-H64)</f>
        <v>0</v>
      </c>
      <c r="J64" s="39" t="n">
        <f aca="false">IF(OR(D64="",D64+G64=0),"",D64/(D64+G64))</f>
        <v>0.711111111111111</v>
      </c>
      <c r="K64" s="39" t="n">
        <f aca="false">IF(E64="","",E64/(E64+H64))</f>
        <v>0.686998394863563</v>
      </c>
      <c r="L64" s="53" t="n">
        <f aca="false">IF(OR(K64="",J64=""),"",(J64-K64)*100)</f>
        <v>2.41127162475477</v>
      </c>
      <c r="M64" s="38"/>
    </row>
    <row r="65" customFormat="false" ht="15" hidden="false" customHeight="false" outlineLevel="0" collapsed="false">
      <c r="A65" s="38" t="s">
        <v>156</v>
      </c>
      <c r="B65" s="38" t="s">
        <v>158</v>
      </c>
      <c r="C65" s="38" t="s">
        <v>170</v>
      </c>
      <c r="D65" s="21" t="n">
        <v>600</v>
      </c>
      <c r="E65" s="21" t="n">
        <v>563</v>
      </c>
      <c r="F65" s="52" t="n">
        <f aca="false">IF(E65="","",D65-E65)</f>
        <v>37</v>
      </c>
      <c r="G65" s="21" t="n">
        <v>290</v>
      </c>
      <c r="H65" s="21" t="n">
        <v>322</v>
      </c>
      <c r="I65" s="52" t="n">
        <f aca="false">IF(H65="","",G65-H65)</f>
        <v>-32</v>
      </c>
      <c r="J65" s="39" t="n">
        <f aca="false">IF(OR(D65="",D65+G65=0),"",D65/(D65+G65))</f>
        <v>0.674157303370787</v>
      </c>
      <c r="K65" s="39" t="n">
        <f aca="false">IF(E65="","",E65/(E65+H65))</f>
        <v>0.636158192090396</v>
      </c>
      <c r="L65" s="53" t="n">
        <f aca="false">IF(OR(K65="",J65=""),"",(J65-K65)*100)</f>
        <v>3.7999111280391</v>
      </c>
      <c r="M65" s="38"/>
    </row>
    <row r="66" customFormat="false" ht="15" hidden="false" customHeight="false" outlineLevel="0" collapsed="false">
      <c r="A66" s="38" t="s">
        <v>156</v>
      </c>
      <c r="B66" s="38" t="s">
        <v>158</v>
      </c>
      <c r="C66" s="38" t="s">
        <v>171</v>
      </c>
      <c r="D66" s="21" t="n">
        <v>421</v>
      </c>
      <c r="E66" s="21" t="n">
        <v>472</v>
      </c>
      <c r="F66" s="52" t="n">
        <f aca="false">IF(E66="","",D66-E66)</f>
        <v>-51</v>
      </c>
      <c r="G66" s="21" t="n">
        <v>252</v>
      </c>
      <c r="H66" s="21" t="n">
        <v>273</v>
      </c>
      <c r="I66" s="52" t="n">
        <f aca="false">IF(H66="","",G66-H66)</f>
        <v>-21</v>
      </c>
      <c r="J66" s="39" t="n">
        <f aca="false">IF(OR(D66="",D66+G66=0),"",D66/(D66+G66))</f>
        <v>0.62555720653789</v>
      </c>
      <c r="K66" s="39" t="n">
        <f aca="false">IF(E66="","",E66/(E66+H66))</f>
        <v>0.633557046979866</v>
      </c>
      <c r="L66" s="53" t="n">
        <f aca="false">IF(OR(K66="",J66=""),"",(J66-K66)*100)</f>
        <v>-0.799984044197577</v>
      </c>
      <c r="M66" s="38"/>
    </row>
    <row r="67" customFormat="false" ht="15" hidden="false" customHeight="false" outlineLevel="0" collapsed="false">
      <c r="A67" s="38" t="s">
        <v>156</v>
      </c>
      <c r="B67" s="38" t="s">
        <v>158</v>
      </c>
      <c r="C67" s="38" t="s">
        <v>172</v>
      </c>
      <c r="D67" s="21" t="n">
        <v>446</v>
      </c>
      <c r="E67" s="21" t="n">
        <v>426</v>
      </c>
      <c r="F67" s="52" t="n">
        <f aca="false">IF(E67="","",D67-E67)</f>
        <v>20</v>
      </c>
      <c r="G67" s="21" t="n">
        <v>300</v>
      </c>
      <c r="H67" s="21" t="n">
        <v>331</v>
      </c>
      <c r="I67" s="52" t="n">
        <f aca="false">IF(H67="","",G67-H67)</f>
        <v>-31</v>
      </c>
      <c r="J67" s="39" t="n">
        <f aca="false">IF(OR(D67="",D67+G67=0),"",D67/(D67+G67))</f>
        <v>0.597855227882038</v>
      </c>
      <c r="K67" s="39" t="n">
        <f aca="false">IF(E67="","",E67/(E67+H67))</f>
        <v>0.562747688243065</v>
      </c>
      <c r="L67" s="53" t="n">
        <f aca="false">IF(OR(K67="",J67=""),"",(J67-K67)*100)</f>
        <v>3.51075396389727</v>
      </c>
      <c r="M67" s="38"/>
    </row>
    <row r="68" customFormat="false" ht="15" hidden="false" customHeight="false" outlineLevel="0" collapsed="false">
      <c r="A68" s="38" t="s">
        <v>156</v>
      </c>
      <c r="B68" s="38" t="s">
        <v>158</v>
      </c>
      <c r="C68" s="38" t="s">
        <v>173</v>
      </c>
      <c r="D68" s="21" t="n">
        <v>465</v>
      </c>
      <c r="E68" s="21" t="n">
        <v>418</v>
      </c>
      <c r="F68" s="52" t="n">
        <f aca="false">IF(E68="","",D68-E68)</f>
        <v>47</v>
      </c>
      <c r="G68" s="21" t="n">
        <v>263</v>
      </c>
      <c r="H68" s="21" t="n">
        <v>278</v>
      </c>
      <c r="I68" s="52" t="n">
        <f aca="false">IF(H68="","",G68-H68)</f>
        <v>-15</v>
      </c>
      <c r="J68" s="39" t="n">
        <f aca="false">IF(OR(D68="",D68+G68=0),"",D68/(D68+G68))</f>
        <v>0.638736263736264</v>
      </c>
      <c r="K68" s="39" t="n">
        <f aca="false">IF(E68="","",E68/(E68+H68))</f>
        <v>0.600574712643678</v>
      </c>
      <c r="L68" s="53" t="n">
        <f aca="false">IF(OR(K68="",J68=""),"",(J68-K68)*100)</f>
        <v>3.81615510925856</v>
      </c>
      <c r="M68" s="38"/>
    </row>
    <row r="69" customFormat="false" ht="15" hidden="false" customHeight="false" outlineLevel="0" collapsed="false">
      <c r="A69" s="38" t="s">
        <v>156</v>
      </c>
      <c r="B69" s="38" t="s">
        <v>158</v>
      </c>
      <c r="C69" s="38" t="s">
        <v>174</v>
      </c>
      <c r="D69" s="21" t="n">
        <v>480</v>
      </c>
      <c r="E69" s="21" t="n">
        <v>424</v>
      </c>
      <c r="F69" s="52" t="n">
        <f aca="false">IF(E69="","",D69-E69)</f>
        <v>56</v>
      </c>
      <c r="G69" s="21" t="n">
        <v>164</v>
      </c>
      <c r="H69" s="21" t="n">
        <v>188</v>
      </c>
      <c r="I69" s="52" t="n">
        <f aca="false">IF(H69="","",G69-H69)</f>
        <v>-24</v>
      </c>
      <c r="J69" s="39" t="n">
        <f aca="false">IF(OR(D69="",D69+G69=0),"",D69/(D69+G69))</f>
        <v>0.745341614906832</v>
      </c>
      <c r="K69" s="39" t="n">
        <f aca="false">IF(E69="","",E69/(E69+H69))</f>
        <v>0.69281045751634</v>
      </c>
      <c r="L69" s="53" t="n">
        <f aca="false">IF(OR(K69="",J69=""),"",(J69-K69)*100)</f>
        <v>5.25311573904924</v>
      </c>
      <c r="M69" s="38"/>
    </row>
    <row r="70" customFormat="false" ht="15" hidden="false" customHeight="false" outlineLevel="0" collapsed="false">
      <c r="A70" s="38" t="s">
        <v>156</v>
      </c>
      <c r="B70" s="38" t="s">
        <v>158</v>
      </c>
      <c r="C70" s="38" t="s">
        <v>175</v>
      </c>
      <c r="D70" s="21" t="n">
        <v>369</v>
      </c>
      <c r="E70" s="21" t="n">
        <v>330</v>
      </c>
      <c r="F70" s="52" t="n">
        <f aca="false">IF(E70="","",D70-E70)</f>
        <v>39</v>
      </c>
      <c r="G70" s="21" t="n">
        <v>165</v>
      </c>
      <c r="H70" s="21" t="n">
        <v>195</v>
      </c>
      <c r="I70" s="52" t="n">
        <f aca="false">IF(H70="","",G70-H70)</f>
        <v>-30</v>
      </c>
      <c r="J70" s="39" t="n">
        <f aca="false">IF(OR(D70="",D70+G70=0),"",D70/(D70+G70))</f>
        <v>0.691011235955056</v>
      </c>
      <c r="K70" s="39" t="n">
        <f aca="false">IF(E70="","",E70/(E70+H70))</f>
        <v>0.628571428571429</v>
      </c>
      <c r="L70" s="53" t="n">
        <f aca="false">IF(OR(K70="",J70=""),"",(J70-K70)*100)</f>
        <v>6.24398073836276</v>
      </c>
      <c r="M70" s="38"/>
    </row>
    <row r="71" customFormat="false" ht="15" hidden="false" customHeight="false" outlineLevel="0" collapsed="false">
      <c r="A71" s="38" t="s">
        <v>156</v>
      </c>
      <c r="B71" s="38" t="s">
        <v>158</v>
      </c>
      <c r="C71" s="38" t="s">
        <v>176</v>
      </c>
      <c r="D71" s="21" t="n">
        <v>448</v>
      </c>
      <c r="E71" s="21" t="n">
        <v>441</v>
      </c>
      <c r="F71" s="52" t="n">
        <f aca="false">IF(E71="","",D71-E71)</f>
        <v>7</v>
      </c>
      <c r="G71" s="21" t="n">
        <v>212</v>
      </c>
      <c r="H71" s="21" t="n">
        <v>232</v>
      </c>
      <c r="I71" s="52" t="n">
        <f aca="false">IF(H71="","",G71-H71)</f>
        <v>-20</v>
      </c>
      <c r="J71" s="39" t="n">
        <f aca="false">IF(OR(D71="",D71+G71=0),"",D71/(D71+G71))</f>
        <v>0.678787878787879</v>
      </c>
      <c r="K71" s="39" t="n">
        <f aca="false">IF(E71="","",E71/(E71+H71))</f>
        <v>0.655274888558692</v>
      </c>
      <c r="L71" s="53" t="n">
        <f aca="false">IF(OR(K71="",J71=""),"",(J71-K71)*100)</f>
        <v>2.35129902291864</v>
      </c>
      <c r="M71" s="38"/>
    </row>
    <row r="72" customFormat="false" ht="15" hidden="false" customHeight="false" outlineLevel="0" collapsed="false">
      <c r="A72" s="38" t="s">
        <v>156</v>
      </c>
      <c r="B72" s="38" t="s">
        <v>158</v>
      </c>
      <c r="C72" s="38" t="s">
        <v>177</v>
      </c>
      <c r="D72" s="21" t="n">
        <v>322</v>
      </c>
      <c r="E72" s="21" t="n">
        <v>313</v>
      </c>
      <c r="F72" s="52" t="n">
        <f aca="false">IF(E72="","",D72-E72)</f>
        <v>9</v>
      </c>
      <c r="G72" s="21" t="n">
        <v>137</v>
      </c>
      <c r="H72" s="21" t="n">
        <v>155</v>
      </c>
      <c r="I72" s="52" t="n">
        <f aca="false">IF(H72="","",G72-H72)</f>
        <v>-18</v>
      </c>
      <c r="J72" s="39" t="n">
        <f aca="false">IF(OR(D72="",D72+G72=0),"",D72/(D72+G72))</f>
        <v>0.701525054466231</v>
      </c>
      <c r="K72" s="39" t="n">
        <f aca="false">IF(E72="","",E72/(E72+H72))</f>
        <v>0.668803418803419</v>
      </c>
      <c r="L72" s="53" t="n">
        <f aca="false">IF(OR(K72="",J72=""),"",(J72-K72)*100)</f>
        <v>3.27216356628122</v>
      </c>
      <c r="M72" s="38"/>
    </row>
    <row r="73" customFormat="false" ht="15" hidden="false" customHeight="false" outlineLevel="0" collapsed="false">
      <c r="A73" s="38" t="s">
        <v>156</v>
      </c>
      <c r="B73" s="38" t="s">
        <v>158</v>
      </c>
      <c r="C73" s="38" t="s">
        <v>178</v>
      </c>
      <c r="D73" s="21" t="n">
        <v>688</v>
      </c>
      <c r="E73" s="21" t="n">
        <v>658</v>
      </c>
      <c r="F73" s="52" t="n">
        <f aca="false">IF(E73="","",D73-E73)</f>
        <v>30</v>
      </c>
      <c r="G73" s="21" t="n">
        <v>364</v>
      </c>
      <c r="H73" s="21" t="n">
        <v>375</v>
      </c>
      <c r="I73" s="52" t="n">
        <f aca="false">IF(H73="","",G73-H73)</f>
        <v>-11</v>
      </c>
      <c r="J73" s="39" t="n">
        <f aca="false">IF(OR(D73="",D73+G73=0),"",D73/(D73+G73))</f>
        <v>0.653992395437262</v>
      </c>
      <c r="K73" s="39" t="n">
        <f aca="false">IF(E73="","",E73/(E73+H73))</f>
        <v>0.636979670861568</v>
      </c>
      <c r="L73" s="53" t="n">
        <f aca="false">IF(OR(K73="",J73=""),"",(J73-K73)*100)</f>
        <v>1.70127245756941</v>
      </c>
      <c r="M73" s="38"/>
    </row>
    <row r="74" customFormat="false" ht="15" hidden="false" customHeight="false" outlineLevel="0" collapsed="false">
      <c r="A74" s="38" t="s">
        <v>156</v>
      </c>
      <c r="B74" s="38" t="s">
        <v>158</v>
      </c>
      <c r="C74" s="38" t="s">
        <v>179</v>
      </c>
      <c r="D74" s="21" t="n">
        <v>796</v>
      </c>
      <c r="E74" s="21" t="n">
        <v>693</v>
      </c>
      <c r="F74" s="52" t="n">
        <f aca="false">IF(E74="","",D74-E74)</f>
        <v>103</v>
      </c>
      <c r="G74" s="21" t="n">
        <v>310</v>
      </c>
      <c r="H74" s="21" t="n">
        <v>389</v>
      </c>
      <c r="I74" s="52" t="n">
        <f aca="false">IF(H74="","",G74-H74)</f>
        <v>-79</v>
      </c>
      <c r="J74" s="39" t="n">
        <f aca="false">IF(OR(D74="",D74+G74=0),"",D74/(D74+G74))</f>
        <v>0.719710669077758</v>
      </c>
      <c r="K74" s="39" t="n">
        <f aca="false">IF(E74="","",E74/(E74+H74))</f>
        <v>0.640480591497227</v>
      </c>
      <c r="L74" s="53" t="n">
        <f aca="false">IF(OR(K74="",J74=""),"",(J74-K74)*100)</f>
        <v>7.92300775805304</v>
      </c>
      <c r="M74" s="38"/>
    </row>
    <row r="75" customFormat="false" ht="15" hidden="false" customHeight="false" outlineLevel="0" collapsed="false">
      <c r="A75" s="38" t="s">
        <v>156</v>
      </c>
      <c r="B75" s="38" t="s">
        <v>158</v>
      </c>
      <c r="C75" s="38" t="s">
        <v>180</v>
      </c>
      <c r="D75" s="21" t="n">
        <v>508</v>
      </c>
      <c r="E75" s="21" t="n">
        <v>446</v>
      </c>
      <c r="F75" s="52" t="n">
        <f aca="false">IF(E75="","",D75-E75)</f>
        <v>62</v>
      </c>
      <c r="G75" s="21" t="n">
        <v>308</v>
      </c>
      <c r="H75" s="21" t="n">
        <v>382</v>
      </c>
      <c r="I75" s="52" t="n">
        <f aca="false">IF(H75="","",G75-H75)</f>
        <v>-74</v>
      </c>
      <c r="J75" s="39" t="n">
        <f aca="false">IF(OR(D75="",D75+G75=0),"",D75/(D75+G75))</f>
        <v>0.622549019607843</v>
      </c>
      <c r="K75" s="39" t="n">
        <f aca="false">IF(E75="","",E75/(E75+H75))</f>
        <v>0.538647342995169</v>
      </c>
      <c r="L75" s="53" t="n">
        <f aca="false">IF(OR(K75="",J75=""),"",(J75-K75)*100)</f>
        <v>8.39016766126741</v>
      </c>
      <c r="M75" s="38"/>
    </row>
    <row r="76" customFormat="false" ht="15" hidden="false" customHeight="false" outlineLevel="0" collapsed="false">
      <c r="A76" s="38" t="s">
        <v>156</v>
      </c>
      <c r="B76" s="38" t="s">
        <v>158</v>
      </c>
      <c r="C76" s="38" t="s">
        <v>181</v>
      </c>
      <c r="D76" s="21" t="n">
        <v>658</v>
      </c>
      <c r="E76" s="21" t="n">
        <v>627</v>
      </c>
      <c r="F76" s="52" t="n">
        <f aca="false">IF(E76="","",D76-E76)</f>
        <v>31</v>
      </c>
      <c r="G76" s="21" t="n">
        <v>353</v>
      </c>
      <c r="H76" s="21" t="n">
        <v>389</v>
      </c>
      <c r="I76" s="52" t="n">
        <f aca="false">IF(H76="","",G76-H76)</f>
        <v>-36</v>
      </c>
      <c r="J76" s="39" t="n">
        <f aca="false">IF(OR(D76="",D76+G76=0),"",D76/(D76+G76))</f>
        <v>0.65084075173096</v>
      </c>
      <c r="K76" s="39" t="n">
        <f aca="false">IF(E76="","",E76/(E76+H76))</f>
        <v>0.617125984251969</v>
      </c>
      <c r="L76" s="53" t="n">
        <f aca="false">IF(OR(K76="",J76=""),"",(J76-K76)*100)</f>
        <v>3.37147674789909</v>
      </c>
      <c r="M76" s="38"/>
    </row>
    <row r="77" customFormat="false" ht="15" hidden="false" customHeight="false" outlineLevel="0" collapsed="false">
      <c r="A77" s="38" t="s">
        <v>156</v>
      </c>
      <c r="B77" s="38" t="s">
        <v>158</v>
      </c>
      <c r="C77" s="38" t="s">
        <v>182</v>
      </c>
      <c r="D77" s="21" t="n">
        <v>682</v>
      </c>
      <c r="E77" s="21" t="n">
        <v>645</v>
      </c>
      <c r="F77" s="52" t="n">
        <f aca="false">IF(E77="","",D77-E77)</f>
        <v>37</v>
      </c>
      <c r="G77" s="21" t="n">
        <v>374</v>
      </c>
      <c r="H77" s="21" t="n">
        <v>418</v>
      </c>
      <c r="I77" s="52" t="n">
        <f aca="false">IF(H77="","",G77-H77)</f>
        <v>-44</v>
      </c>
      <c r="J77" s="39" t="n">
        <f aca="false">IF(OR(D77="",D77+G77=0),"",D77/(D77+G77))</f>
        <v>0.645833333333333</v>
      </c>
      <c r="K77" s="39" t="n">
        <f aca="false">IF(E77="","",E77/(E77+H77))</f>
        <v>0.606773283160865</v>
      </c>
      <c r="L77" s="53" t="n">
        <f aca="false">IF(OR(K77="",J77=""),"",(J77-K77)*100)</f>
        <v>3.90600501724679</v>
      </c>
      <c r="M77" s="38"/>
    </row>
    <row r="78" customFormat="false" ht="15" hidden="false" customHeight="false" outlineLevel="0" collapsed="false">
      <c r="A78" s="38" t="s">
        <v>156</v>
      </c>
      <c r="B78" s="38" t="s">
        <v>158</v>
      </c>
      <c r="C78" s="38" t="s">
        <v>183</v>
      </c>
      <c r="D78" s="21" t="n">
        <v>478</v>
      </c>
      <c r="E78" s="21" t="n">
        <v>452</v>
      </c>
      <c r="F78" s="52" t="n">
        <f aca="false">IF(E78="","",D78-E78)</f>
        <v>26</v>
      </c>
      <c r="G78" s="21" t="n">
        <v>267</v>
      </c>
      <c r="H78" s="21" t="n">
        <v>341</v>
      </c>
      <c r="I78" s="52" t="n">
        <f aca="false">IF(H78="","",G78-H78)</f>
        <v>-74</v>
      </c>
      <c r="J78" s="39" t="n">
        <f aca="false">IF(OR(D78="",D78+G78=0),"",D78/(D78+G78))</f>
        <v>0.641610738255034</v>
      </c>
      <c r="K78" s="39" t="n">
        <f aca="false">IF(E78="","",E78/(E78+H78))</f>
        <v>0.569987389659521</v>
      </c>
      <c r="L78" s="53" t="n">
        <f aca="false">IF(OR(K78="",J78=""),"",(J78-K78)*100)</f>
        <v>7.16233485955128</v>
      </c>
      <c r="M78" s="38"/>
    </row>
    <row r="79" customFormat="false" ht="15" hidden="false" customHeight="false" outlineLevel="0" collapsed="false">
      <c r="A79" s="38" t="s">
        <v>156</v>
      </c>
      <c r="B79" s="38" t="s">
        <v>158</v>
      </c>
      <c r="C79" s="38" t="s">
        <v>184</v>
      </c>
      <c r="D79" s="21" t="n">
        <v>569</v>
      </c>
      <c r="E79" s="21" t="n">
        <v>541</v>
      </c>
      <c r="F79" s="52" t="n">
        <f aca="false">IF(E79="","",D79-E79)</f>
        <v>28</v>
      </c>
      <c r="G79" s="21" t="n">
        <v>309</v>
      </c>
      <c r="H79" s="21" t="n">
        <v>325</v>
      </c>
      <c r="I79" s="52" t="n">
        <f aca="false">IF(H79="","",G79-H79)</f>
        <v>-16</v>
      </c>
      <c r="J79" s="39" t="n">
        <f aca="false">IF(OR(D79="",D79+G79=0),"",D79/(D79+G79))</f>
        <v>0.648063781321185</v>
      </c>
      <c r="K79" s="39" t="n">
        <f aca="false">IF(E79="","",E79/(E79+H79))</f>
        <v>0.624711316397229</v>
      </c>
      <c r="L79" s="53" t="n">
        <f aca="false">IF(OR(K79="",J79=""),"",(J79-K79)*100)</f>
        <v>2.33524649239558</v>
      </c>
      <c r="M79" s="38"/>
    </row>
    <row r="80" customFormat="false" ht="15" hidden="false" customHeight="false" outlineLevel="0" collapsed="false">
      <c r="A80" s="38" t="s">
        <v>156</v>
      </c>
      <c r="B80" s="38" t="s">
        <v>158</v>
      </c>
      <c r="C80" s="38" t="s">
        <v>185</v>
      </c>
      <c r="D80" s="21" t="n">
        <v>810</v>
      </c>
      <c r="E80" s="21" t="n">
        <v>783</v>
      </c>
      <c r="F80" s="52" t="n">
        <f aca="false">IF(E80="","",D80-E80)</f>
        <v>27</v>
      </c>
      <c r="G80" s="21" t="n">
        <v>485</v>
      </c>
      <c r="H80" s="21" t="n">
        <v>562</v>
      </c>
      <c r="I80" s="52" t="n">
        <f aca="false">IF(H80="","",G80-H80)</f>
        <v>-77</v>
      </c>
      <c r="J80" s="39" t="n">
        <f aca="false">IF(OR(D80="",D80+G80=0),"",D80/(D80+G80))</f>
        <v>0.625482625482626</v>
      </c>
      <c r="K80" s="39" t="n">
        <f aca="false">IF(E80="","",E80/(E80+H80))</f>
        <v>0.582156133828996</v>
      </c>
      <c r="L80" s="53" t="n">
        <f aca="false">IF(OR(K80="",J80=""),"",(J80-K80)*100)</f>
        <v>4.33264916536291</v>
      </c>
      <c r="M80" s="38"/>
    </row>
    <row r="81" customFormat="false" ht="15" hidden="false" customHeight="false" outlineLevel="0" collapsed="false">
      <c r="A81" s="38" t="s">
        <v>156</v>
      </c>
      <c r="B81" s="38" t="s">
        <v>158</v>
      </c>
      <c r="C81" s="38" t="s">
        <v>186</v>
      </c>
      <c r="D81" s="21" t="n">
        <v>474</v>
      </c>
      <c r="E81" s="21" t="n">
        <v>454</v>
      </c>
      <c r="F81" s="52" t="n">
        <f aca="false">IF(E81="","",D81-E81)</f>
        <v>20</v>
      </c>
      <c r="G81" s="21" t="n">
        <v>210</v>
      </c>
      <c r="H81" s="21" t="n">
        <v>218</v>
      </c>
      <c r="I81" s="52" t="n">
        <f aca="false">IF(H81="","",G81-H81)</f>
        <v>-8</v>
      </c>
      <c r="J81" s="39" t="n">
        <f aca="false">IF(OR(D81="",D81+G81=0),"",D81/(D81+G81))</f>
        <v>0.692982456140351</v>
      </c>
      <c r="K81" s="39" t="n">
        <f aca="false">IF(E81="","",E81/(E81+H81))</f>
        <v>0.675595238095238</v>
      </c>
      <c r="L81" s="53" t="n">
        <f aca="false">IF(OR(K81="",J81=""),"",(J81-K81)*100)</f>
        <v>1.73872180451128</v>
      </c>
      <c r="M81" s="38"/>
    </row>
    <row r="82" customFormat="false" ht="15" hidden="false" customHeight="false" outlineLevel="0" collapsed="false">
      <c r="A82" s="38" t="s">
        <v>156</v>
      </c>
      <c r="B82" s="38" t="s">
        <v>158</v>
      </c>
      <c r="C82" s="38" t="s">
        <v>187</v>
      </c>
      <c r="D82" s="21" t="n">
        <v>489</v>
      </c>
      <c r="E82" s="21" t="n">
        <v>502</v>
      </c>
      <c r="F82" s="52" t="n">
        <f aca="false">IF(E82="","",D82-E82)</f>
        <v>-13</v>
      </c>
      <c r="G82" s="21" t="n">
        <v>279</v>
      </c>
      <c r="H82" s="21" t="n">
        <v>274</v>
      </c>
      <c r="I82" s="52" t="n">
        <f aca="false">IF(H82="","",G82-H82)</f>
        <v>5</v>
      </c>
      <c r="J82" s="39" t="n">
        <f aca="false">IF(OR(D82="",D82+G82=0),"",D82/(D82+G82))</f>
        <v>0.63671875</v>
      </c>
      <c r="K82" s="39" t="n">
        <f aca="false">IF(E82="","",E82/(E82+H82))</f>
        <v>0.646907216494845</v>
      </c>
      <c r="L82" s="53" t="n">
        <f aca="false">IF(OR(K82="",J82=""),"",(J82-K82)*100)</f>
        <v>-1.01884664948454</v>
      </c>
      <c r="M82" s="38"/>
    </row>
    <row r="83" customFormat="false" ht="15" hidden="false" customHeight="false" outlineLevel="0" collapsed="false">
      <c r="A83" s="38" t="s">
        <v>156</v>
      </c>
      <c r="B83" s="38" t="s">
        <v>158</v>
      </c>
      <c r="C83" s="38" t="s">
        <v>188</v>
      </c>
      <c r="D83" s="21" t="n">
        <v>488</v>
      </c>
      <c r="E83" s="21" t="n">
        <v>502</v>
      </c>
      <c r="F83" s="52" t="n">
        <f aca="false">IF(E83="","",D83-E83)</f>
        <v>-14</v>
      </c>
      <c r="G83" s="21" t="n">
        <v>303</v>
      </c>
      <c r="H83" s="21" t="n">
        <v>283</v>
      </c>
      <c r="I83" s="52" t="n">
        <f aca="false">IF(H83="","",G83-H83)</f>
        <v>20</v>
      </c>
      <c r="J83" s="39" t="n">
        <f aca="false">IF(OR(D83="",D83+G83=0),"",D83/(D83+G83))</f>
        <v>0.616940581542351</v>
      </c>
      <c r="K83" s="39" t="n">
        <f aca="false">IF(E83="","",E83/(E83+H83))</f>
        <v>0.639490445859873</v>
      </c>
      <c r="L83" s="53" t="n">
        <f aca="false">IF(OR(K83="",J83=""),"",(J83-K83)*100)</f>
        <v>-2.25498643175212</v>
      </c>
      <c r="M83" s="38"/>
    </row>
    <row r="84" customFormat="false" ht="15" hidden="false" customHeight="false" outlineLevel="0" collapsed="false">
      <c r="A84" s="38" t="s">
        <v>156</v>
      </c>
      <c r="B84" s="38" t="s">
        <v>158</v>
      </c>
      <c r="C84" s="38" t="s">
        <v>189</v>
      </c>
      <c r="D84" s="21" t="n">
        <v>354</v>
      </c>
      <c r="E84" s="21"/>
      <c r="F84" s="52" t="str">
        <f aca="false">IF(E84="","",D84-E84)</f>
        <v/>
      </c>
      <c r="G84" s="21" t="n">
        <v>238</v>
      </c>
      <c r="H84" s="21"/>
      <c r="I84" s="52" t="str">
        <f aca="false">IF(H84="","",G84-H84)</f>
        <v/>
      </c>
      <c r="J84" s="39" t="n">
        <f aca="false">IF(OR(D84="",D84+G84=0),"",D84/(D84+G84))</f>
        <v>0.597972972972973</v>
      </c>
      <c r="K84" s="39" t="str">
        <f aca="false">IF(E84="","",E84/(E84+H84))</f>
        <v/>
      </c>
      <c r="L84" s="53" t="str">
        <f aca="false">IF(OR(K84="",J84=""),"",(J84-K84)*100)</f>
        <v/>
      </c>
      <c r="M84" s="38" t="s">
        <v>650</v>
      </c>
    </row>
    <row r="85" customFormat="false" ht="15" hidden="false" customHeight="false" outlineLevel="0" collapsed="false">
      <c r="A85" s="38" t="s">
        <v>156</v>
      </c>
      <c r="B85" s="38" t="s">
        <v>158</v>
      </c>
      <c r="C85" s="38" t="s">
        <v>191</v>
      </c>
      <c r="D85" s="21" t="n">
        <v>971</v>
      </c>
      <c r="E85" s="21"/>
      <c r="F85" s="52" t="str">
        <f aca="false">IF(E85="","",D85-E85)</f>
        <v/>
      </c>
      <c r="G85" s="21" t="n">
        <v>637</v>
      </c>
      <c r="H85" s="21"/>
      <c r="I85" s="52" t="str">
        <f aca="false">IF(H85="","",G85-H85)</f>
        <v/>
      </c>
      <c r="J85" s="39" t="n">
        <f aca="false">IF(OR(D85="",D85+G85=0),"",D85/(D85+G85))</f>
        <v>0.603855721393035</v>
      </c>
      <c r="K85" s="39" t="str">
        <f aca="false">IF(E85="","",E85/(E85+H85))</f>
        <v/>
      </c>
      <c r="L85" s="53" t="str">
        <f aca="false">IF(OR(K85="",J85=""),"",(J85-K85)*100)</f>
        <v/>
      </c>
      <c r="M85" s="38" t="s">
        <v>650</v>
      </c>
    </row>
    <row r="86" customFormat="false" ht="15" hidden="false" customHeight="false" outlineLevel="0" collapsed="false">
      <c r="A86" s="38" t="s">
        <v>156</v>
      </c>
      <c r="B86" s="38" t="s">
        <v>158</v>
      </c>
      <c r="C86" s="38" t="s">
        <v>193</v>
      </c>
      <c r="D86" s="21" t="n">
        <v>508</v>
      </c>
      <c r="E86" s="21" t="n">
        <v>488</v>
      </c>
      <c r="F86" s="52" t="n">
        <f aca="false">IF(E86="","",D86-E86)</f>
        <v>20</v>
      </c>
      <c r="G86" s="21" t="n">
        <v>244</v>
      </c>
      <c r="H86" s="21" t="n">
        <v>252</v>
      </c>
      <c r="I86" s="52" t="n">
        <f aca="false">IF(H86="","",G86-H86)</f>
        <v>-8</v>
      </c>
      <c r="J86" s="39" t="n">
        <f aca="false">IF(OR(D86="",D86+G86=0),"",D86/(D86+G86))</f>
        <v>0.675531914893617</v>
      </c>
      <c r="K86" s="39" t="n">
        <f aca="false">IF(E86="","",E86/(E86+H86))</f>
        <v>0.65945945945946</v>
      </c>
      <c r="L86" s="53" t="n">
        <f aca="false">IF(OR(K86="",J86=""),"",(J86-K86)*100)</f>
        <v>1.60724554341575</v>
      </c>
      <c r="M86" s="38"/>
    </row>
    <row r="87" customFormat="false" ht="15" hidden="false" customHeight="false" outlineLevel="0" collapsed="false">
      <c r="A87" s="38" t="s">
        <v>156</v>
      </c>
      <c r="B87" s="38" t="s">
        <v>158</v>
      </c>
      <c r="C87" s="38" t="s">
        <v>194</v>
      </c>
      <c r="D87" s="21" t="n">
        <v>606</v>
      </c>
      <c r="E87" s="21" t="n">
        <v>601</v>
      </c>
      <c r="F87" s="52" t="n">
        <f aca="false">IF(E87="","",D87-E87)</f>
        <v>5</v>
      </c>
      <c r="G87" s="21" t="n">
        <v>383</v>
      </c>
      <c r="H87" s="21" t="n">
        <v>394</v>
      </c>
      <c r="I87" s="52" t="n">
        <f aca="false">IF(H87="","",G87-H87)</f>
        <v>-11</v>
      </c>
      <c r="J87" s="39" t="n">
        <f aca="false">IF(OR(D87="",D87+G87=0),"",D87/(D87+G87))</f>
        <v>0.612740141557128</v>
      </c>
      <c r="K87" s="39" t="n">
        <f aca="false">IF(E87="","",E87/(E87+H87))</f>
        <v>0.604020100502513</v>
      </c>
      <c r="L87" s="53" t="n">
        <f aca="false">IF(OR(K87="",J87=""),"",(J87-K87)*100)</f>
        <v>0.872004105461588</v>
      </c>
      <c r="M87" s="38"/>
    </row>
    <row r="88" customFormat="false" ht="15" hidden="false" customHeight="false" outlineLevel="0" collapsed="false">
      <c r="A88" s="38" t="s">
        <v>156</v>
      </c>
      <c r="B88" s="38" t="s">
        <v>158</v>
      </c>
      <c r="C88" s="38" t="s">
        <v>195</v>
      </c>
      <c r="D88" s="21" t="n">
        <v>18</v>
      </c>
      <c r="E88" s="21"/>
      <c r="F88" s="52" t="str">
        <f aca="false">IF(E88="","",D88-E88)</f>
        <v/>
      </c>
      <c r="G88" s="21" t="n">
        <v>14</v>
      </c>
      <c r="H88" s="21"/>
      <c r="I88" s="52" t="str">
        <f aca="false">IF(H88="","",G88-H88)</f>
        <v/>
      </c>
      <c r="J88" s="39" t="n">
        <f aca="false">IF(OR(D88="",D88+G88=0),"",D88/(D88+G88))</f>
        <v>0.5625</v>
      </c>
      <c r="K88" s="39" t="str">
        <f aca="false">IF(E88="","",E88/(E88+H88))</f>
        <v/>
      </c>
      <c r="L88" s="53" t="str">
        <f aca="false">IF(OR(K88="",J88=""),"",(J88-K88)*100)</f>
        <v/>
      </c>
      <c r="M88" s="38" t="s">
        <v>650</v>
      </c>
    </row>
    <row r="89" customFormat="false" ht="15" hidden="false" customHeight="false" outlineLevel="0" collapsed="false">
      <c r="A89" s="38" t="s">
        <v>156</v>
      </c>
      <c r="B89" s="38" t="s">
        <v>158</v>
      </c>
      <c r="C89" s="38" t="s">
        <v>196</v>
      </c>
      <c r="D89" s="21" t="n">
        <v>354</v>
      </c>
      <c r="E89" s="21" t="n">
        <v>330</v>
      </c>
      <c r="F89" s="52" t="n">
        <f aca="false">IF(E89="","",D89-E89)</f>
        <v>24</v>
      </c>
      <c r="G89" s="21" t="n">
        <v>229</v>
      </c>
      <c r="H89" s="21" t="n">
        <v>270</v>
      </c>
      <c r="I89" s="52" t="n">
        <f aca="false">IF(H89="","",G89-H89)</f>
        <v>-41</v>
      </c>
      <c r="J89" s="39" t="n">
        <f aca="false">IF(OR(D89="",D89+G89=0),"",D89/(D89+G89))</f>
        <v>0.607204116638079</v>
      </c>
      <c r="K89" s="39" t="n">
        <f aca="false">IF(E89="","",E89/(E89+H89))</f>
        <v>0.55</v>
      </c>
      <c r="L89" s="53" t="n">
        <f aca="false">IF(OR(K89="",J89=""),"",(J89-K89)*100)</f>
        <v>5.72041166380789</v>
      </c>
      <c r="M89" s="38"/>
    </row>
    <row r="90" customFormat="false" ht="15" hidden="false" customHeight="false" outlineLevel="0" collapsed="false">
      <c r="A90" s="38" t="s">
        <v>156</v>
      </c>
      <c r="B90" s="38" t="s">
        <v>158</v>
      </c>
      <c r="C90" s="38" t="s">
        <v>197</v>
      </c>
      <c r="D90" s="21" t="n">
        <v>680</v>
      </c>
      <c r="E90" s="21" t="n">
        <v>591</v>
      </c>
      <c r="F90" s="52" t="n">
        <f aca="false">IF(E90="","",D90-E90)</f>
        <v>89</v>
      </c>
      <c r="G90" s="21" t="n">
        <v>287</v>
      </c>
      <c r="H90" s="21" t="n">
        <v>333</v>
      </c>
      <c r="I90" s="52" t="n">
        <f aca="false">IF(H90="","",G90-H90)</f>
        <v>-46</v>
      </c>
      <c r="J90" s="39" t="n">
        <f aca="false">IF(OR(D90="",D90+G90=0),"",D90/(D90+G90))</f>
        <v>0.703205791106515</v>
      </c>
      <c r="K90" s="39" t="n">
        <f aca="false">IF(E90="","",E90/(E90+H90))</f>
        <v>0.63961038961039</v>
      </c>
      <c r="L90" s="53" t="n">
        <f aca="false">IF(OR(K90="",J90=""),"",(J90-K90)*100)</f>
        <v>6.35954014961254</v>
      </c>
      <c r="M90" s="38"/>
    </row>
    <row r="91" customFormat="false" ht="15" hidden="false" customHeight="false" outlineLevel="0" collapsed="false">
      <c r="A91" s="38" t="s">
        <v>156</v>
      </c>
      <c r="B91" s="38" t="s">
        <v>158</v>
      </c>
      <c r="C91" s="38" t="s">
        <v>198</v>
      </c>
      <c r="D91" s="21" t="n">
        <v>359</v>
      </c>
      <c r="E91" s="21" t="n">
        <v>347</v>
      </c>
      <c r="F91" s="52" t="n">
        <f aca="false">IF(E91="","",D91-E91)</f>
        <v>12</v>
      </c>
      <c r="G91" s="21" t="n">
        <v>235</v>
      </c>
      <c r="H91" s="21" t="n">
        <v>243</v>
      </c>
      <c r="I91" s="52" t="n">
        <f aca="false">IF(H91="","",G91-H91)</f>
        <v>-8</v>
      </c>
      <c r="J91" s="39" t="n">
        <f aca="false">IF(OR(D91="",D91+G91=0),"",D91/(D91+G91))</f>
        <v>0.604377104377104</v>
      </c>
      <c r="K91" s="39" t="n">
        <f aca="false">IF(E91="","",E91/(E91+H91))</f>
        <v>0.588135593220339</v>
      </c>
      <c r="L91" s="53" t="n">
        <f aca="false">IF(OR(K91="",J91=""),"",(J91-K91)*100)</f>
        <v>1.62415111567653</v>
      </c>
      <c r="M91" s="38"/>
    </row>
    <row r="92" customFormat="false" ht="15" hidden="false" customHeight="false" outlineLevel="0" collapsed="false">
      <c r="A92" s="38" t="s">
        <v>156</v>
      </c>
      <c r="B92" s="38" t="s">
        <v>158</v>
      </c>
      <c r="C92" s="38" t="s">
        <v>199</v>
      </c>
      <c r="D92" s="21" t="n">
        <v>526</v>
      </c>
      <c r="E92" s="21" t="n">
        <v>440</v>
      </c>
      <c r="F92" s="52" t="n">
        <f aca="false">IF(E92="","",D92-E92)</f>
        <v>86</v>
      </c>
      <c r="G92" s="21" t="n">
        <v>237</v>
      </c>
      <c r="H92" s="21" t="n">
        <v>259</v>
      </c>
      <c r="I92" s="52" t="n">
        <f aca="false">IF(H92="","",G92-H92)</f>
        <v>-22</v>
      </c>
      <c r="J92" s="39" t="n">
        <f aca="false">IF(OR(D92="",D92+G92=0),"",D92/(D92+G92))</f>
        <v>0.689384010484928</v>
      </c>
      <c r="K92" s="39" t="n">
        <f aca="false">IF(E92="","",E92/(E92+H92))</f>
        <v>0.629470672389127</v>
      </c>
      <c r="L92" s="53" t="n">
        <f aca="false">IF(OR(K92="",J92=""),"",(J92-K92)*100)</f>
        <v>5.99133380958006</v>
      </c>
      <c r="M92" s="38"/>
    </row>
    <row r="93" customFormat="false" ht="15" hidden="false" customHeight="false" outlineLevel="0" collapsed="false">
      <c r="A93" s="38" t="s">
        <v>156</v>
      </c>
      <c r="B93" s="38" t="s">
        <v>158</v>
      </c>
      <c r="C93" s="38" t="s">
        <v>200</v>
      </c>
      <c r="D93" s="21" t="n">
        <v>558</v>
      </c>
      <c r="E93" s="21" t="n">
        <v>553</v>
      </c>
      <c r="F93" s="52" t="n">
        <f aca="false">IF(E93="","",D93-E93)</f>
        <v>5</v>
      </c>
      <c r="G93" s="21" t="n">
        <v>368</v>
      </c>
      <c r="H93" s="21" t="n">
        <v>367</v>
      </c>
      <c r="I93" s="52" t="n">
        <f aca="false">IF(H93="","",G93-H93)</f>
        <v>1</v>
      </c>
      <c r="J93" s="39" t="n">
        <f aca="false">IF(OR(D93="",D93+G93=0),"",D93/(D93+G93))</f>
        <v>0.602591792656588</v>
      </c>
      <c r="K93" s="39" t="n">
        <f aca="false">IF(E93="","",E93/(E93+H93))</f>
        <v>0.601086956521739</v>
      </c>
      <c r="L93" s="53" t="n">
        <f aca="false">IF(OR(K93="",J93=""),"",(J93-K93)*100)</f>
        <v>0.150483613484831</v>
      </c>
      <c r="M93" s="38"/>
    </row>
    <row r="94" customFormat="false" ht="15" hidden="false" customHeight="false" outlineLevel="0" collapsed="false">
      <c r="A94" s="38" t="s">
        <v>156</v>
      </c>
      <c r="B94" s="38" t="s">
        <v>158</v>
      </c>
      <c r="C94" s="38" t="s">
        <v>201</v>
      </c>
      <c r="D94" s="21" t="n">
        <v>1</v>
      </c>
      <c r="E94" s="21"/>
      <c r="F94" s="52" t="str">
        <f aca="false">IF(E94="","",D94-E94)</f>
        <v/>
      </c>
      <c r="G94" s="21" t="n">
        <v>2</v>
      </c>
      <c r="H94" s="21"/>
      <c r="I94" s="52" t="str">
        <f aca="false">IF(H94="","",G94-H94)</f>
        <v/>
      </c>
      <c r="J94" s="39" t="n">
        <f aca="false">IF(OR(D94="",D94+G94=0),"",D94/(D94+G94))</f>
        <v>0.333333333333333</v>
      </c>
      <c r="K94" s="39" t="str">
        <f aca="false">IF(E94="","",E94/(E94+H94))</f>
        <v/>
      </c>
      <c r="L94" s="53" t="str">
        <f aca="false">IF(OR(K94="",J94=""),"",(J94-K94)*100)</f>
        <v/>
      </c>
      <c r="M94" s="38" t="s">
        <v>650</v>
      </c>
    </row>
    <row r="95" customFormat="false" ht="15" hidden="false" customHeight="false" outlineLevel="0" collapsed="false">
      <c r="A95" s="38" t="s">
        <v>156</v>
      </c>
      <c r="B95" s="38" t="s">
        <v>158</v>
      </c>
      <c r="C95" s="38" t="s">
        <v>202</v>
      </c>
      <c r="D95" s="21" t="n">
        <v>889</v>
      </c>
      <c r="E95" s="21" t="n">
        <v>821</v>
      </c>
      <c r="F95" s="52" t="n">
        <f aca="false">IF(E95="","",D95-E95)</f>
        <v>68</v>
      </c>
      <c r="G95" s="21" t="n">
        <v>487</v>
      </c>
      <c r="H95" s="21" t="n">
        <v>504</v>
      </c>
      <c r="I95" s="52" t="n">
        <f aca="false">IF(H95="","",G95-H95)</f>
        <v>-17</v>
      </c>
      <c r="J95" s="39" t="n">
        <f aca="false">IF(OR(D95="",D95+G95=0),"",D95/(D95+G95))</f>
        <v>0.646075581395349</v>
      </c>
      <c r="K95" s="39" t="n">
        <f aca="false">IF(E95="","",E95/(E95+H95))</f>
        <v>0.619622641509434</v>
      </c>
      <c r="L95" s="53" t="n">
        <f aca="false">IF(OR(K95="",J95=""),"",(J95-K95)*100)</f>
        <v>2.64529398859149</v>
      </c>
      <c r="M95" s="38"/>
    </row>
    <row r="96" customFormat="false" ht="15" hidden="false" customHeight="false" outlineLevel="0" collapsed="false">
      <c r="A96" s="38" t="s">
        <v>156</v>
      </c>
      <c r="B96" s="38" t="s">
        <v>158</v>
      </c>
      <c r="C96" s="38" t="s">
        <v>203</v>
      </c>
      <c r="D96" s="21" t="n">
        <v>514</v>
      </c>
      <c r="E96" s="21" t="n">
        <v>487</v>
      </c>
      <c r="F96" s="52" t="n">
        <f aca="false">IF(E96="","",D96-E96)</f>
        <v>27</v>
      </c>
      <c r="G96" s="21" t="n">
        <v>145</v>
      </c>
      <c r="H96" s="21" t="n">
        <v>191</v>
      </c>
      <c r="I96" s="52" t="n">
        <f aca="false">IF(H96="","",G96-H96)</f>
        <v>-46</v>
      </c>
      <c r="J96" s="39" t="n">
        <f aca="false">IF(OR(D96="",D96+G96=0),"",D96/(D96+G96))</f>
        <v>0.779969650986343</v>
      </c>
      <c r="K96" s="39" t="n">
        <f aca="false">IF(E96="","",E96/(E96+H96))</f>
        <v>0.718289085545723</v>
      </c>
      <c r="L96" s="53" t="n">
        <f aca="false">IF(OR(K96="",J96=""),"",(J96-K96)*100)</f>
        <v>6.16805654406203</v>
      </c>
      <c r="M96" s="38"/>
    </row>
    <row r="97" customFormat="false" ht="15" hidden="false" customHeight="false" outlineLevel="0" collapsed="false">
      <c r="A97" s="38" t="s">
        <v>156</v>
      </c>
      <c r="B97" s="38" t="s">
        <v>158</v>
      </c>
      <c r="C97" s="38" t="s">
        <v>204</v>
      </c>
      <c r="D97" s="21" t="n">
        <v>441</v>
      </c>
      <c r="E97" s="21" t="n">
        <v>418</v>
      </c>
      <c r="F97" s="52" t="n">
        <f aca="false">IF(E97="","",D97-E97)</f>
        <v>23</v>
      </c>
      <c r="G97" s="21" t="n">
        <v>155</v>
      </c>
      <c r="H97" s="21" t="n">
        <v>181</v>
      </c>
      <c r="I97" s="52" t="n">
        <f aca="false">IF(H97="","",G97-H97)</f>
        <v>-26</v>
      </c>
      <c r="J97" s="39" t="n">
        <f aca="false">IF(OR(D97="",D97+G97=0),"",D97/(D97+G97))</f>
        <v>0.73993288590604</v>
      </c>
      <c r="K97" s="39" t="n">
        <f aca="false">IF(E97="","",E97/(E97+H97))</f>
        <v>0.697829716193656</v>
      </c>
      <c r="L97" s="53" t="n">
        <f aca="false">IF(OR(K97="",J97=""),"",(J97-K97)*100)</f>
        <v>4.21031697123842</v>
      </c>
      <c r="M97" s="38"/>
    </row>
    <row r="98" customFormat="false" ht="15" hidden="false" customHeight="false" outlineLevel="0" collapsed="false">
      <c r="A98" s="38" t="s">
        <v>156</v>
      </c>
      <c r="B98" s="38" t="s">
        <v>158</v>
      </c>
      <c r="C98" s="38" t="s">
        <v>205</v>
      </c>
      <c r="D98" s="21" t="n">
        <v>524</v>
      </c>
      <c r="E98" s="21" t="n">
        <v>677</v>
      </c>
      <c r="F98" s="52" t="n">
        <f aca="false">IF(E98="","",D98-E98)</f>
        <v>-153</v>
      </c>
      <c r="G98" s="21" t="n">
        <v>171</v>
      </c>
      <c r="H98" s="21" t="n">
        <v>264</v>
      </c>
      <c r="I98" s="52" t="n">
        <f aca="false">IF(H98="","",G98-H98)</f>
        <v>-93</v>
      </c>
      <c r="J98" s="39" t="n">
        <f aca="false">IF(OR(D98="",D98+G98=0),"",D98/(D98+G98))</f>
        <v>0.753956834532374</v>
      </c>
      <c r="K98" s="39" t="n">
        <f aca="false">IF(E98="","",E98/(E98+H98))</f>
        <v>0.719447396386823</v>
      </c>
      <c r="L98" s="53" t="n">
        <f aca="false">IF(OR(K98="",J98=""),"",(J98-K98)*100)</f>
        <v>3.45094381455515</v>
      </c>
      <c r="M98" s="38"/>
    </row>
    <row r="99" customFormat="false" ht="15" hidden="false" customHeight="false" outlineLevel="0" collapsed="false">
      <c r="A99" s="38" t="s">
        <v>156</v>
      </c>
      <c r="B99" s="38" t="s">
        <v>158</v>
      </c>
      <c r="C99" s="38" t="s">
        <v>206</v>
      </c>
      <c r="D99" s="21" t="n">
        <v>306</v>
      </c>
      <c r="E99" s="21" t="n">
        <v>283</v>
      </c>
      <c r="F99" s="52" t="n">
        <f aca="false">IF(E99="","",D99-E99)</f>
        <v>23</v>
      </c>
      <c r="G99" s="21" t="n">
        <v>112</v>
      </c>
      <c r="H99" s="21" t="n">
        <v>138</v>
      </c>
      <c r="I99" s="52" t="n">
        <f aca="false">IF(H99="","",G99-H99)</f>
        <v>-26</v>
      </c>
      <c r="J99" s="39" t="n">
        <f aca="false">IF(OR(D99="",D99+G99=0),"",D99/(D99+G99))</f>
        <v>0.732057416267943</v>
      </c>
      <c r="K99" s="39" t="n">
        <f aca="false">IF(E99="","",E99/(E99+H99))</f>
        <v>0.672209026128266</v>
      </c>
      <c r="L99" s="53" t="n">
        <f aca="false">IF(OR(K99="",J99=""),"",(J99-K99)*100)</f>
        <v>5.98483901396766</v>
      </c>
      <c r="M99" s="38"/>
    </row>
    <row r="100" customFormat="false" ht="15" hidden="false" customHeight="false" outlineLevel="0" collapsed="false">
      <c r="A100" s="38" t="s">
        <v>156</v>
      </c>
      <c r="B100" s="38" t="s">
        <v>158</v>
      </c>
      <c r="C100" s="38" t="s">
        <v>207</v>
      </c>
      <c r="D100" s="21" t="n">
        <v>417</v>
      </c>
      <c r="E100" s="21" t="n">
        <v>447</v>
      </c>
      <c r="F100" s="52" t="n">
        <f aca="false">IF(E100="","",D100-E100)</f>
        <v>-30</v>
      </c>
      <c r="G100" s="21" t="n">
        <v>123</v>
      </c>
      <c r="H100" s="21" t="n">
        <v>152</v>
      </c>
      <c r="I100" s="52" t="n">
        <f aca="false">IF(H100="","",G100-H100)</f>
        <v>-29</v>
      </c>
      <c r="J100" s="39" t="n">
        <f aca="false">IF(OR(D100="",D100+G100=0),"",D100/(D100+G100))</f>
        <v>0.772222222222222</v>
      </c>
      <c r="K100" s="39" t="n">
        <f aca="false">IF(E100="","",E100/(E100+H100))</f>
        <v>0.746243739565943</v>
      </c>
      <c r="L100" s="53" t="n">
        <f aca="false">IF(OR(K100="",J100=""),"",(J100-K100)*100)</f>
        <v>2.5978482656279</v>
      </c>
      <c r="M100" s="38"/>
    </row>
    <row r="101" customFormat="false" ht="15" hidden="false" customHeight="false" outlineLevel="0" collapsed="false">
      <c r="A101" s="38" t="s">
        <v>156</v>
      </c>
      <c r="B101" s="38" t="s">
        <v>158</v>
      </c>
      <c r="C101" s="38" t="s">
        <v>208</v>
      </c>
      <c r="D101" s="21" t="n">
        <v>245</v>
      </c>
      <c r="E101" s="21" t="n">
        <v>179</v>
      </c>
      <c r="F101" s="52" t="n">
        <f aca="false">IF(E101="","",D101-E101)</f>
        <v>66</v>
      </c>
      <c r="G101" s="21" t="n">
        <v>85</v>
      </c>
      <c r="H101" s="21" t="n">
        <v>112</v>
      </c>
      <c r="I101" s="52" t="n">
        <f aca="false">IF(H101="","",G101-H101)</f>
        <v>-27</v>
      </c>
      <c r="J101" s="39" t="n">
        <f aca="false">IF(OR(D101="",D101+G101=0),"",D101/(D101+G101))</f>
        <v>0.742424242424242</v>
      </c>
      <c r="K101" s="39" t="n">
        <f aca="false">IF(E101="","",E101/(E101+H101))</f>
        <v>0.615120274914089</v>
      </c>
      <c r="L101" s="53" t="n">
        <f aca="false">IF(OR(K101="",J101=""),"",(J101-K101)*100)</f>
        <v>12.7303967510153</v>
      </c>
      <c r="M101" s="38"/>
    </row>
    <row r="102" customFormat="false" ht="15" hidden="false" customHeight="false" outlineLevel="0" collapsed="false">
      <c r="A102" s="38" t="s">
        <v>156</v>
      </c>
      <c r="B102" s="38" t="s">
        <v>158</v>
      </c>
      <c r="C102" s="38" t="s">
        <v>209</v>
      </c>
      <c r="D102" s="21" t="n">
        <v>393</v>
      </c>
      <c r="E102" s="21" t="n">
        <v>357</v>
      </c>
      <c r="F102" s="52" t="n">
        <f aca="false">IF(E102="","",D102-E102)</f>
        <v>36</v>
      </c>
      <c r="G102" s="21" t="n">
        <v>161</v>
      </c>
      <c r="H102" s="21" t="n">
        <v>225</v>
      </c>
      <c r="I102" s="52" t="n">
        <f aca="false">IF(H102="","",G102-H102)</f>
        <v>-64</v>
      </c>
      <c r="J102" s="39" t="n">
        <f aca="false">IF(OR(D102="",D102+G102=0),"",D102/(D102+G102))</f>
        <v>0.709386281588448</v>
      </c>
      <c r="K102" s="39" t="n">
        <f aca="false">IF(E102="","",E102/(E102+H102))</f>
        <v>0.61340206185567</v>
      </c>
      <c r="L102" s="53" t="n">
        <f aca="false">IF(OR(K102="",J102=""),"",(J102-K102)*100)</f>
        <v>9.59842197327775</v>
      </c>
      <c r="M102" s="38"/>
    </row>
    <row r="103" customFormat="false" ht="15" hidden="false" customHeight="false" outlineLevel="0" collapsed="false">
      <c r="A103" s="38" t="s">
        <v>156</v>
      </c>
      <c r="B103" s="38" t="s">
        <v>158</v>
      </c>
      <c r="C103" s="38" t="s">
        <v>210</v>
      </c>
      <c r="D103" s="21" t="n">
        <v>613</v>
      </c>
      <c r="E103" s="21" t="n">
        <v>520</v>
      </c>
      <c r="F103" s="52" t="n">
        <f aca="false">IF(E103="","",D103-E103)</f>
        <v>93</v>
      </c>
      <c r="G103" s="21" t="n">
        <v>199</v>
      </c>
      <c r="H103" s="21" t="n">
        <v>193</v>
      </c>
      <c r="I103" s="52" t="n">
        <f aca="false">IF(H103="","",G103-H103)</f>
        <v>6</v>
      </c>
      <c r="J103" s="39" t="n">
        <f aca="false">IF(OR(D103="",D103+G103=0),"",D103/(D103+G103))</f>
        <v>0.754926108374384</v>
      </c>
      <c r="K103" s="39" t="n">
        <f aca="false">IF(E103="","",E103/(E103+H103))</f>
        <v>0.729312762973352</v>
      </c>
      <c r="L103" s="53" t="n">
        <f aca="false">IF(OR(K103="",J103=""),"",(J103-K103)*100)</f>
        <v>2.56133454010322</v>
      </c>
      <c r="M103" s="38"/>
    </row>
    <row r="104" customFormat="false" ht="15" hidden="false" customHeight="false" outlineLevel="0" collapsed="false">
      <c r="A104" s="38" t="s">
        <v>156</v>
      </c>
      <c r="B104" s="38" t="s">
        <v>158</v>
      </c>
      <c r="C104" s="38" t="s">
        <v>211</v>
      </c>
      <c r="D104" s="21" t="n">
        <v>232</v>
      </c>
      <c r="E104" s="21" t="n">
        <v>218</v>
      </c>
      <c r="F104" s="52" t="n">
        <f aca="false">IF(E104="","",D104-E104)</f>
        <v>14</v>
      </c>
      <c r="G104" s="21" t="n">
        <v>74</v>
      </c>
      <c r="H104" s="21" t="n">
        <v>86</v>
      </c>
      <c r="I104" s="52" t="n">
        <f aca="false">IF(H104="","",G104-H104)</f>
        <v>-12</v>
      </c>
      <c r="J104" s="39" t="n">
        <f aca="false">IF(OR(D104="",D104+G104=0),"",D104/(D104+G104))</f>
        <v>0.758169934640523</v>
      </c>
      <c r="K104" s="39" t="n">
        <f aca="false">IF(E104="","",E104/(E104+H104))</f>
        <v>0.717105263157895</v>
      </c>
      <c r="L104" s="53" t="n">
        <f aca="false">IF(OR(K104="",J104=""),"",(J104-K104)*100)</f>
        <v>4.10646714826282</v>
      </c>
      <c r="M104" s="38"/>
    </row>
    <row r="105" customFormat="false" ht="15" hidden="false" customHeight="false" outlineLevel="0" collapsed="false">
      <c r="A105" s="38" t="s">
        <v>156</v>
      </c>
      <c r="B105" s="38" t="s">
        <v>158</v>
      </c>
      <c r="C105" s="38" t="s">
        <v>212</v>
      </c>
      <c r="D105" s="21" t="n">
        <v>290</v>
      </c>
      <c r="E105" s="21" t="n">
        <v>262</v>
      </c>
      <c r="F105" s="52" t="n">
        <f aca="false">IF(E105="","",D105-E105)</f>
        <v>28</v>
      </c>
      <c r="G105" s="21" t="n">
        <v>85</v>
      </c>
      <c r="H105" s="21" t="n">
        <v>109</v>
      </c>
      <c r="I105" s="52" t="n">
        <f aca="false">IF(H105="","",G105-H105)</f>
        <v>-24</v>
      </c>
      <c r="J105" s="39" t="n">
        <f aca="false">IF(OR(D105="",D105+G105=0),"",D105/(D105+G105))</f>
        <v>0.773333333333333</v>
      </c>
      <c r="K105" s="39" t="n">
        <f aca="false">IF(E105="","",E105/(E105+H105))</f>
        <v>0.706199460916442</v>
      </c>
      <c r="L105" s="53" t="n">
        <f aca="false">IF(OR(K105="",J105=""),"",(J105-K105)*100)</f>
        <v>6.71338724168913</v>
      </c>
      <c r="M105" s="38"/>
    </row>
    <row r="106" customFormat="false" ht="15" hidden="false" customHeight="false" outlineLevel="0" collapsed="false">
      <c r="A106" s="38" t="s">
        <v>156</v>
      </c>
      <c r="B106" s="38" t="s">
        <v>158</v>
      </c>
      <c r="C106" s="38" t="s">
        <v>213</v>
      </c>
      <c r="D106" s="21" t="n">
        <v>477</v>
      </c>
      <c r="E106" s="21" t="n">
        <v>424</v>
      </c>
      <c r="F106" s="52" t="n">
        <f aca="false">IF(E106="","",D106-E106)</f>
        <v>53</v>
      </c>
      <c r="G106" s="21" t="n">
        <v>144</v>
      </c>
      <c r="H106" s="21" t="n">
        <v>151</v>
      </c>
      <c r="I106" s="52" t="n">
        <f aca="false">IF(H106="","",G106-H106)</f>
        <v>-7</v>
      </c>
      <c r="J106" s="39" t="n">
        <f aca="false">IF(OR(D106="",D106+G106=0),"",D106/(D106+G106))</f>
        <v>0.768115942028986</v>
      </c>
      <c r="K106" s="39" t="n">
        <f aca="false">IF(E106="","",E106/(E106+H106))</f>
        <v>0.737391304347826</v>
      </c>
      <c r="L106" s="53" t="n">
        <f aca="false">IF(OR(K106="",J106=""),"",(J106-K106)*100)</f>
        <v>3.07246376811594</v>
      </c>
      <c r="M106" s="38"/>
    </row>
    <row r="107" customFormat="false" ht="15" hidden="false" customHeight="false" outlineLevel="0" collapsed="false">
      <c r="A107" s="38" t="s">
        <v>156</v>
      </c>
      <c r="B107" s="38" t="s">
        <v>158</v>
      </c>
      <c r="C107" s="38" t="s">
        <v>214</v>
      </c>
      <c r="D107" s="21" t="n">
        <v>556</v>
      </c>
      <c r="E107" s="21" t="n">
        <v>565</v>
      </c>
      <c r="F107" s="52" t="n">
        <f aca="false">IF(E107="","",D107-E107)</f>
        <v>-9</v>
      </c>
      <c r="G107" s="21" t="n">
        <v>258</v>
      </c>
      <c r="H107" s="21" t="n">
        <v>277</v>
      </c>
      <c r="I107" s="52" t="n">
        <f aca="false">IF(H107="","",G107-H107)</f>
        <v>-19</v>
      </c>
      <c r="J107" s="39" t="n">
        <f aca="false">IF(OR(D107="",D107+G107=0),"",D107/(D107+G107))</f>
        <v>0.683046683046683</v>
      </c>
      <c r="K107" s="39" t="n">
        <f aca="false">IF(E107="","",E107/(E107+H107))</f>
        <v>0.671021377672209</v>
      </c>
      <c r="L107" s="53" t="n">
        <f aca="false">IF(OR(K107="",J107=""),"",(J107-K107)*100)</f>
        <v>1.2025305374474</v>
      </c>
      <c r="M107" s="38"/>
    </row>
    <row r="108" customFormat="false" ht="15" hidden="false" customHeight="false" outlineLevel="0" collapsed="false">
      <c r="A108" s="38" t="s">
        <v>156</v>
      </c>
      <c r="B108" s="38" t="s">
        <v>158</v>
      </c>
      <c r="C108" s="38" t="s">
        <v>215</v>
      </c>
      <c r="D108" s="21" t="n">
        <v>254</v>
      </c>
      <c r="E108" s="21" t="n">
        <v>260</v>
      </c>
      <c r="F108" s="52" t="n">
        <f aca="false">IF(E108="","",D108-E108)</f>
        <v>-6</v>
      </c>
      <c r="G108" s="21" t="n">
        <v>98</v>
      </c>
      <c r="H108" s="21" t="n">
        <v>121</v>
      </c>
      <c r="I108" s="52" t="n">
        <f aca="false">IF(H108="","",G108-H108)</f>
        <v>-23</v>
      </c>
      <c r="J108" s="39" t="n">
        <f aca="false">IF(OR(D108="",D108+G108=0),"",D108/(D108+G108))</f>
        <v>0.721590909090909</v>
      </c>
      <c r="K108" s="39" t="n">
        <f aca="false">IF(E108="","",E108/(E108+H108))</f>
        <v>0.68241469816273</v>
      </c>
      <c r="L108" s="53" t="n">
        <f aca="false">IF(OR(K108="",J108=""),"",(J108-K108)*100)</f>
        <v>3.91762109281794</v>
      </c>
      <c r="M108" s="38"/>
    </row>
    <row r="109" customFormat="false" ht="15" hidden="false" customHeight="false" outlineLevel="0" collapsed="false">
      <c r="A109" s="38" t="s">
        <v>156</v>
      </c>
      <c r="B109" s="38" t="s">
        <v>158</v>
      </c>
      <c r="C109" s="38" t="s">
        <v>216</v>
      </c>
      <c r="D109" s="21" t="n">
        <v>373</v>
      </c>
      <c r="E109" s="21" t="n">
        <v>317</v>
      </c>
      <c r="F109" s="52" t="n">
        <f aca="false">IF(E109="","",D109-E109)</f>
        <v>56</v>
      </c>
      <c r="G109" s="21" t="n">
        <v>124</v>
      </c>
      <c r="H109" s="21" t="n">
        <v>152</v>
      </c>
      <c r="I109" s="52" t="n">
        <f aca="false">IF(H109="","",G109-H109)</f>
        <v>-28</v>
      </c>
      <c r="J109" s="39" t="n">
        <f aca="false">IF(OR(D109="",D109+G109=0),"",D109/(D109+G109))</f>
        <v>0.750503018108652</v>
      </c>
      <c r="K109" s="39" t="n">
        <f aca="false">IF(E109="","",E109/(E109+H109))</f>
        <v>0.67590618336887</v>
      </c>
      <c r="L109" s="53" t="n">
        <f aca="false">IF(OR(K109="",J109=""),"",(J109-K109)*100)</f>
        <v>7.4596834739782</v>
      </c>
      <c r="M109" s="38"/>
    </row>
    <row r="110" customFormat="false" ht="15" hidden="false" customHeight="false" outlineLevel="0" collapsed="false">
      <c r="A110" s="38" t="s">
        <v>156</v>
      </c>
      <c r="B110" s="38" t="s">
        <v>158</v>
      </c>
      <c r="C110" s="38" t="s">
        <v>217</v>
      </c>
      <c r="D110" s="21" t="n">
        <v>456</v>
      </c>
      <c r="E110" s="21" t="n">
        <v>424</v>
      </c>
      <c r="F110" s="52" t="n">
        <f aca="false">IF(E110="","",D110-E110)</f>
        <v>32</v>
      </c>
      <c r="G110" s="21" t="n">
        <v>254</v>
      </c>
      <c r="H110" s="21" t="n">
        <v>264</v>
      </c>
      <c r="I110" s="52" t="n">
        <f aca="false">IF(H110="","",G110-H110)</f>
        <v>-10</v>
      </c>
      <c r="J110" s="39" t="n">
        <f aca="false">IF(OR(D110="",D110+G110=0),"",D110/(D110+G110))</f>
        <v>0.642253521126761</v>
      </c>
      <c r="K110" s="39" t="n">
        <f aca="false">IF(E110="","",E110/(E110+H110))</f>
        <v>0.616279069767442</v>
      </c>
      <c r="L110" s="53" t="n">
        <f aca="false">IF(OR(K110="",J110=""),"",(J110-K110)*100)</f>
        <v>2.59744513593188</v>
      </c>
      <c r="M110" s="38"/>
    </row>
    <row r="111" customFormat="false" ht="15" hidden="false" customHeight="false" outlineLevel="0" collapsed="false">
      <c r="A111" s="38" t="s">
        <v>156</v>
      </c>
      <c r="B111" s="38" t="s">
        <v>158</v>
      </c>
      <c r="C111" s="38" t="s">
        <v>218</v>
      </c>
      <c r="D111" s="21" t="n">
        <v>468</v>
      </c>
      <c r="E111" s="21" t="n">
        <v>469</v>
      </c>
      <c r="F111" s="52" t="n">
        <f aca="false">IF(E111="","",D111-E111)</f>
        <v>-1</v>
      </c>
      <c r="G111" s="21" t="n">
        <v>142</v>
      </c>
      <c r="H111" s="21" t="n">
        <v>215</v>
      </c>
      <c r="I111" s="52" t="n">
        <f aca="false">IF(H111="","",G111-H111)</f>
        <v>-73</v>
      </c>
      <c r="J111" s="39" t="n">
        <f aca="false">IF(OR(D111="",D111+G111=0),"",D111/(D111+G111))</f>
        <v>0.767213114754098</v>
      </c>
      <c r="K111" s="39" t="n">
        <f aca="false">IF(E111="","",E111/(E111+H111))</f>
        <v>0.685672514619883</v>
      </c>
      <c r="L111" s="53" t="n">
        <f aca="false">IF(OR(K111="",J111=""),"",(J111-K111)*100)</f>
        <v>8.15406001342154</v>
      </c>
      <c r="M111" s="38"/>
    </row>
    <row r="112" customFormat="false" ht="15" hidden="false" customHeight="false" outlineLevel="0" collapsed="false">
      <c r="A112" s="38" t="s">
        <v>156</v>
      </c>
      <c r="B112" s="38" t="s">
        <v>219</v>
      </c>
      <c r="C112" s="38" t="s">
        <v>220</v>
      </c>
      <c r="D112" s="21" t="n">
        <v>594</v>
      </c>
      <c r="E112" s="21" t="n">
        <v>598</v>
      </c>
      <c r="F112" s="52" t="n">
        <f aca="false">IF(E112="","",D112-E112)</f>
        <v>-4</v>
      </c>
      <c r="G112" s="21" t="n">
        <v>231</v>
      </c>
      <c r="H112" s="21" t="n">
        <v>253</v>
      </c>
      <c r="I112" s="52" t="n">
        <f aca="false">IF(H112="","",G112-H112)</f>
        <v>-22</v>
      </c>
      <c r="J112" s="39" t="n">
        <f aca="false">IF(OR(D112="",D112+G112=0),"",D112/(D112+G112))</f>
        <v>0.72</v>
      </c>
      <c r="K112" s="39" t="n">
        <f aca="false">IF(E112="","",E112/(E112+H112))</f>
        <v>0.702702702702703</v>
      </c>
      <c r="L112" s="53" t="n">
        <f aca="false">IF(OR(K112="",J112=""),"",(J112-K112)*100)</f>
        <v>1.72972972972972</v>
      </c>
      <c r="M112" s="38"/>
    </row>
    <row r="113" customFormat="false" ht="15" hidden="false" customHeight="false" outlineLevel="0" collapsed="false">
      <c r="A113" s="38" t="s">
        <v>156</v>
      </c>
      <c r="B113" s="38" t="s">
        <v>219</v>
      </c>
      <c r="C113" s="38" t="s">
        <v>221</v>
      </c>
      <c r="D113" s="21" t="n">
        <v>431</v>
      </c>
      <c r="E113" s="21" t="n">
        <v>420</v>
      </c>
      <c r="F113" s="52" t="n">
        <f aca="false">IF(E113="","",D113-E113)</f>
        <v>11</v>
      </c>
      <c r="G113" s="21" t="n">
        <v>200</v>
      </c>
      <c r="H113" s="21" t="n">
        <v>214</v>
      </c>
      <c r="I113" s="52" t="n">
        <f aca="false">IF(H113="","",G113-H113)</f>
        <v>-14</v>
      </c>
      <c r="J113" s="39" t="n">
        <f aca="false">IF(OR(D113="",D113+G113=0),"",D113/(D113+G113))</f>
        <v>0.683042789223455</v>
      </c>
      <c r="K113" s="39" t="n">
        <f aca="false">IF(E113="","",E113/(E113+H113))</f>
        <v>0.662460567823344</v>
      </c>
      <c r="L113" s="53" t="n">
        <f aca="false">IF(OR(K113="",J113=""),"",(J113-K113)*100)</f>
        <v>2.0582221400111</v>
      </c>
      <c r="M113" s="38"/>
    </row>
    <row r="114" customFormat="false" ht="15" hidden="false" customHeight="false" outlineLevel="0" collapsed="false">
      <c r="A114" s="38" t="s">
        <v>156</v>
      </c>
      <c r="B114" s="38" t="s">
        <v>219</v>
      </c>
      <c r="C114" s="38" t="s">
        <v>222</v>
      </c>
      <c r="D114" s="21" t="n">
        <v>443</v>
      </c>
      <c r="E114" s="21" t="n">
        <v>438</v>
      </c>
      <c r="F114" s="52" t="n">
        <f aca="false">IF(E114="","",D114-E114)</f>
        <v>5</v>
      </c>
      <c r="G114" s="21" t="n">
        <v>170</v>
      </c>
      <c r="H114" s="21" t="n">
        <v>176</v>
      </c>
      <c r="I114" s="52" t="n">
        <f aca="false">IF(H114="","",G114-H114)</f>
        <v>-6</v>
      </c>
      <c r="J114" s="39" t="n">
        <f aca="false">IF(OR(D114="",D114+G114=0),"",D114/(D114+G114))</f>
        <v>0.722675367047308</v>
      </c>
      <c r="K114" s="39" t="n">
        <f aca="false">IF(E114="","",E114/(E114+H114))</f>
        <v>0.713355048859935</v>
      </c>
      <c r="L114" s="53" t="n">
        <f aca="false">IF(OR(K114="",J114=""),"",(J114-K114)*100)</f>
        <v>0.932031818737344</v>
      </c>
      <c r="M114" s="38"/>
    </row>
    <row r="115" customFormat="false" ht="15" hidden="false" customHeight="false" outlineLevel="0" collapsed="false">
      <c r="A115" s="38" t="s">
        <v>156</v>
      </c>
      <c r="B115" s="38" t="s">
        <v>219</v>
      </c>
      <c r="C115" s="38" t="s">
        <v>223</v>
      </c>
      <c r="D115" s="21" t="n">
        <v>478</v>
      </c>
      <c r="E115" s="21" t="n">
        <v>463</v>
      </c>
      <c r="F115" s="52" t="n">
        <f aca="false">IF(E115="","",D115-E115)</f>
        <v>15</v>
      </c>
      <c r="G115" s="21" t="n">
        <v>204</v>
      </c>
      <c r="H115" s="21" t="n">
        <v>219</v>
      </c>
      <c r="I115" s="52" t="n">
        <f aca="false">IF(H115="","",G115-H115)</f>
        <v>-15</v>
      </c>
      <c r="J115" s="39" t="n">
        <f aca="false">IF(OR(D115="",D115+G115=0),"",D115/(D115+G115))</f>
        <v>0.700879765395895</v>
      </c>
      <c r="K115" s="39" t="n">
        <f aca="false">IF(E115="","",E115/(E115+H115))</f>
        <v>0.678885630498534</v>
      </c>
      <c r="L115" s="53" t="n">
        <f aca="false">IF(OR(K115="",J115=""),"",(J115-K115)*100)</f>
        <v>2.19941348973608</v>
      </c>
      <c r="M115" s="38"/>
    </row>
    <row r="116" customFormat="false" ht="15" hidden="false" customHeight="false" outlineLevel="0" collapsed="false">
      <c r="A116" s="38" t="s">
        <v>156</v>
      </c>
      <c r="B116" s="38" t="s">
        <v>219</v>
      </c>
      <c r="C116" s="38" t="s">
        <v>224</v>
      </c>
      <c r="D116" s="21" t="n">
        <v>804</v>
      </c>
      <c r="E116" s="21" t="n">
        <v>782</v>
      </c>
      <c r="F116" s="52" t="n">
        <f aca="false">IF(E116="","",D116-E116)</f>
        <v>22</v>
      </c>
      <c r="G116" s="21" t="n">
        <v>426</v>
      </c>
      <c r="H116" s="21" t="n">
        <v>404</v>
      </c>
      <c r="I116" s="52" t="n">
        <f aca="false">IF(H116="","",G116-H116)</f>
        <v>22</v>
      </c>
      <c r="J116" s="39" t="n">
        <f aca="false">IF(OR(D116="",D116+G116=0),"",D116/(D116+G116))</f>
        <v>0.653658536585366</v>
      </c>
      <c r="K116" s="39" t="n">
        <f aca="false">IF(E116="","",E116/(E116+H116))</f>
        <v>0.659359190556492</v>
      </c>
      <c r="L116" s="53" t="n">
        <f aca="false">IF(OR(K116="",J116=""),"",(J116-K116)*100)</f>
        <v>-0.570065397112651</v>
      </c>
      <c r="M116" s="38"/>
    </row>
    <row r="117" customFormat="false" ht="15" hidden="false" customHeight="false" outlineLevel="0" collapsed="false">
      <c r="A117" s="38" t="s">
        <v>156</v>
      </c>
      <c r="B117" s="38" t="s">
        <v>219</v>
      </c>
      <c r="C117" s="38" t="s">
        <v>225</v>
      </c>
      <c r="D117" s="21" t="n">
        <v>522</v>
      </c>
      <c r="E117" s="21" t="n">
        <v>503</v>
      </c>
      <c r="F117" s="52" t="n">
        <f aca="false">IF(E117="","",D117-E117)</f>
        <v>19</v>
      </c>
      <c r="G117" s="21" t="n">
        <v>285</v>
      </c>
      <c r="H117" s="21" t="n">
        <v>318</v>
      </c>
      <c r="I117" s="52" t="n">
        <f aca="false">IF(H117="","",G117-H117)</f>
        <v>-33</v>
      </c>
      <c r="J117" s="39" t="n">
        <f aca="false">IF(OR(D117="",D117+G117=0),"",D117/(D117+G117))</f>
        <v>0.646840148698885</v>
      </c>
      <c r="K117" s="39" t="n">
        <f aca="false">IF(E117="","",E117/(E117+H117))</f>
        <v>0.612667478684531</v>
      </c>
      <c r="L117" s="53" t="n">
        <f aca="false">IF(OR(K117="",J117=""),"",(J117-K117)*100)</f>
        <v>3.41726700143536</v>
      </c>
      <c r="M117" s="38"/>
    </row>
    <row r="118" customFormat="false" ht="15" hidden="false" customHeight="false" outlineLevel="0" collapsed="false">
      <c r="A118" s="38" t="s">
        <v>156</v>
      </c>
      <c r="B118" s="38" t="s">
        <v>219</v>
      </c>
      <c r="C118" s="38" t="s">
        <v>226</v>
      </c>
      <c r="D118" s="21" t="n">
        <v>625</v>
      </c>
      <c r="E118" s="21" t="n">
        <v>597</v>
      </c>
      <c r="F118" s="52" t="n">
        <f aca="false">IF(E118="","",D118-E118)</f>
        <v>28</v>
      </c>
      <c r="G118" s="21" t="n">
        <v>407</v>
      </c>
      <c r="H118" s="21" t="n">
        <v>396</v>
      </c>
      <c r="I118" s="52" t="n">
        <f aca="false">IF(H118="","",G118-H118)</f>
        <v>11</v>
      </c>
      <c r="J118" s="39" t="n">
        <f aca="false">IF(OR(D118="",D118+G118=0),"",D118/(D118+G118))</f>
        <v>0.60562015503876</v>
      </c>
      <c r="K118" s="39" t="n">
        <f aca="false">IF(E118="","",E118/(E118+H118))</f>
        <v>0.601208459214502</v>
      </c>
      <c r="L118" s="53" t="n">
        <f aca="false">IF(OR(K118="",J118=""),"",(J118-K118)*100)</f>
        <v>0.441169582425816</v>
      </c>
      <c r="M118" s="38"/>
    </row>
    <row r="119" customFormat="false" ht="15" hidden="false" customHeight="false" outlineLevel="0" collapsed="false">
      <c r="A119" s="38" t="s">
        <v>156</v>
      </c>
      <c r="B119" s="38" t="s">
        <v>219</v>
      </c>
      <c r="C119" s="38" t="s">
        <v>227</v>
      </c>
      <c r="D119" s="21" t="n">
        <v>677</v>
      </c>
      <c r="E119" s="21" t="n">
        <v>678</v>
      </c>
      <c r="F119" s="52" t="n">
        <f aca="false">IF(E119="","",D119-E119)</f>
        <v>-1</v>
      </c>
      <c r="G119" s="21" t="n">
        <v>422</v>
      </c>
      <c r="H119" s="21" t="n">
        <v>451</v>
      </c>
      <c r="I119" s="52" t="n">
        <f aca="false">IF(H119="","",G119-H119)</f>
        <v>-29</v>
      </c>
      <c r="J119" s="39" t="n">
        <f aca="false">IF(OR(D119="",D119+G119=0),"",D119/(D119+G119))</f>
        <v>0.616014558689718</v>
      </c>
      <c r="K119" s="39" t="n">
        <f aca="false">IF(E119="","",E119/(E119+H119))</f>
        <v>0.600531443755536</v>
      </c>
      <c r="L119" s="53" t="n">
        <f aca="false">IF(OR(K119="",J119=""),"",(J119-K119)*100)</f>
        <v>1.5483114934182</v>
      </c>
      <c r="M119" s="38"/>
    </row>
    <row r="120" customFormat="false" ht="15" hidden="false" customHeight="false" outlineLevel="0" collapsed="false">
      <c r="A120" s="38" t="s">
        <v>156</v>
      </c>
      <c r="B120" s="38" t="s">
        <v>219</v>
      </c>
      <c r="C120" s="38" t="s">
        <v>228</v>
      </c>
      <c r="D120" s="21" t="n">
        <v>530</v>
      </c>
      <c r="E120" s="21" t="n">
        <v>524</v>
      </c>
      <c r="F120" s="52" t="n">
        <f aca="false">IF(E120="","",D120-E120)</f>
        <v>6</v>
      </c>
      <c r="G120" s="21" t="n">
        <v>318</v>
      </c>
      <c r="H120" s="21" t="n">
        <v>327</v>
      </c>
      <c r="I120" s="52" t="n">
        <f aca="false">IF(H120="","",G120-H120)</f>
        <v>-9</v>
      </c>
      <c r="J120" s="39" t="n">
        <f aca="false">IF(OR(D120="",D120+G120=0),"",D120/(D120+G120))</f>
        <v>0.625</v>
      </c>
      <c r="K120" s="39" t="n">
        <f aca="false">IF(E120="","",E120/(E120+H120))</f>
        <v>0.615746180963572</v>
      </c>
      <c r="L120" s="53" t="n">
        <f aca="false">IF(OR(K120="",J120=""),"",(J120-K120)*100)</f>
        <v>0.925381903642775</v>
      </c>
      <c r="M120" s="38"/>
    </row>
    <row r="121" customFormat="false" ht="15" hidden="false" customHeight="false" outlineLevel="0" collapsed="false">
      <c r="A121" s="38" t="s">
        <v>156</v>
      </c>
      <c r="B121" s="38" t="s">
        <v>219</v>
      </c>
      <c r="C121" s="38" t="s">
        <v>229</v>
      </c>
      <c r="D121" s="21" t="n">
        <v>413</v>
      </c>
      <c r="E121" s="21" t="n">
        <v>437</v>
      </c>
      <c r="F121" s="52" t="n">
        <f aca="false">IF(E121="","",D121-E121)</f>
        <v>-24</v>
      </c>
      <c r="G121" s="21" t="n">
        <v>298</v>
      </c>
      <c r="H121" s="21" t="n">
        <v>344</v>
      </c>
      <c r="I121" s="52" t="n">
        <f aca="false">IF(H121="","",G121-H121)</f>
        <v>-46</v>
      </c>
      <c r="J121" s="39" t="n">
        <f aca="false">IF(OR(D121="",D121+G121=0),"",D121/(D121+G121))</f>
        <v>0.580872011251758</v>
      </c>
      <c r="K121" s="39" t="n">
        <f aca="false">IF(E121="","",E121/(E121+H121))</f>
        <v>0.559539052496799</v>
      </c>
      <c r="L121" s="53" t="n">
        <f aca="false">IF(OR(K121="",J121=""),"",(J121-K121)*100)</f>
        <v>2.13329587549591</v>
      </c>
      <c r="M121" s="38"/>
    </row>
    <row r="122" customFormat="false" ht="15" hidden="false" customHeight="false" outlineLevel="0" collapsed="false">
      <c r="A122" s="38" t="s">
        <v>156</v>
      </c>
      <c r="B122" s="38" t="s">
        <v>219</v>
      </c>
      <c r="C122" s="38" t="s">
        <v>230</v>
      </c>
      <c r="D122" s="21" t="n">
        <v>565</v>
      </c>
      <c r="E122" s="21" t="n">
        <v>581</v>
      </c>
      <c r="F122" s="52" t="n">
        <f aca="false">IF(E122="","",D122-E122)</f>
        <v>-16</v>
      </c>
      <c r="G122" s="21" t="n">
        <v>320</v>
      </c>
      <c r="H122" s="21" t="n">
        <v>342</v>
      </c>
      <c r="I122" s="52" t="n">
        <f aca="false">IF(H122="","",G122-H122)</f>
        <v>-22</v>
      </c>
      <c r="J122" s="39" t="n">
        <f aca="false">IF(OR(D122="",D122+G122=0),"",D122/(D122+G122))</f>
        <v>0.638418079096045</v>
      </c>
      <c r="K122" s="39" t="n">
        <f aca="false">IF(E122="","",E122/(E122+H122))</f>
        <v>0.629469122426869</v>
      </c>
      <c r="L122" s="53" t="n">
        <f aca="false">IF(OR(K122="",J122=""),"",(J122-K122)*100)</f>
        <v>0.894895666917628</v>
      </c>
      <c r="M122" s="38"/>
    </row>
    <row r="123" customFormat="false" ht="15" hidden="false" customHeight="false" outlineLevel="0" collapsed="false">
      <c r="A123" s="38" t="s">
        <v>156</v>
      </c>
      <c r="B123" s="38" t="s">
        <v>219</v>
      </c>
      <c r="C123" s="38" t="s">
        <v>231</v>
      </c>
      <c r="D123" s="21" t="n">
        <v>559</v>
      </c>
      <c r="E123" s="21" t="n">
        <v>591</v>
      </c>
      <c r="F123" s="52" t="n">
        <f aca="false">IF(E123="","",D123-E123)</f>
        <v>-32</v>
      </c>
      <c r="G123" s="21" t="n">
        <v>351</v>
      </c>
      <c r="H123" s="21" t="n">
        <v>390</v>
      </c>
      <c r="I123" s="52" t="n">
        <f aca="false">IF(H123="","",G123-H123)</f>
        <v>-39</v>
      </c>
      <c r="J123" s="39" t="n">
        <f aca="false">IF(OR(D123="",D123+G123=0),"",D123/(D123+G123))</f>
        <v>0.614285714285714</v>
      </c>
      <c r="K123" s="39" t="n">
        <f aca="false">IF(E123="","",E123/(E123+H123))</f>
        <v>0.602446483180428</v>
      </c>
      <c r="L123" s="53" t="n">
        <f aca="false">IF(OR(K123="",J123=""),"",(J123-K123)*100)</f>
        <v>1.18392311052862</v>
      </c>
      <c r="M123" s="38"/>
    </row>
    <row r="124" customFormat="false" ht="15" hidden="false" customHeight="false" outlineLevel="0" collapsed="false">
      <c r="A124" s="38" t="s">
        <v>156</v>
      </c>
      <c r="B124" s="38" t="s">
        <v>232</v>
      </c>
      <c r="C124" s="38" t="s">
        <v>233</v>
      </c>
      <c r="D124" s="21" t="n">
        <v>570</v>
      </c>
      <c r="E124" s="21" t="n">
        <v>557</v>
      </c>
      <c r="F124" s="52" t="n">
        <f aca="false">IF(E124="","",D124-E124)</f>
        <v>13</v>
      </c>
      <c r="G124" s="21" t="n">
        <v>401</v>
      </c>
      <c r="H124" s="21" t="n">
        <v>454</v>
      </c>
      <c r="I124" s="52" t="n">
        <f aca="false">IF(H124="","",G124-H124)</f>
        <v>-53</v>
      </c>
      <c r="J124" s="39" t="n">
        <f aca="false">IF(OR(D124="",D124+G124=0),"",D124/(D124+G124))</f>
        <v>0.5870236869207</v>
      </c>
      <c r="K124" s="39" t="n">
        <f aca="false">IF(E124="","",E124/(E124+H124))</f>
        <v>0.550939663699308</v>
      </c>
      <c r="L124" s="53" t="n">
        <f aca="false">IF(OR(K124="",J124=""),"",(J124-K124)*100)</f>
        <v>3.60840232213927</v>
      </c>
      <c r="M124" s="38"/>
    </row>
    <row r="125" customFormat="false" ht="15" hidden="false" customHeight="false" outlineLevel="0" collapsed="false">
      <c r="A125" s="38" t="s">
        <v>156</v>
      </c>
      <c r="B125" s="38" t="s">
        <v>232</v>
      </c>
      <c r="C125" s="38" t="s">
        <v>234</v>
      </c>
      <c r="D125" s="21" t="n">
        <v>539</v>
      </c>
      <c r="E125" s="21" t="n">
        <v>467</v>
      </c>
      <c r="F125" s="52" t="n">
        <f aca="false">IF(E125="","",D125-E125)</f>
        <v>72</v>
      </c>
      <c r="G125" s="21" t="n">
        <v>493</v>
      </c>
      <c r="H125" s="21" t="n">
        <v>513</v>
      </c>
      <c r="I125" s="52" t="n">
        <f aca="false">IF(H125="","",G125-H125)</f>
        <v>-20</v>
      </c>
      <c r="J125" s="39" t="n">
        <f aca="false">IF(OR(D125="",D125+G125=0),"",D125/(D125+G125))</f>
        <v>0.522286821705426</v>
      </c>
      <c r="K125" s="39" t="n">
        <f aca="false">IF(E125="","",E125/(E125+H125))</f>
        <v>0.476530612244898</v>
      </c>
      <c r="L125" s="53" t="n">
        <f aca="false">IF(OR(K125="",J125=""),"",(J125-K125)*100)</f>
        <v>4.57562094605284</v>
      </c>
      <c r="M125" s="38"/>
    </row>
    <row r="126" customFormat="false" ht="15" hidden="false" customHeight="false" outlineLevel="0" collapsed="false">
      <c r="A126" s="38" t="s">
        <v>156</v>
      </c>
      <c r="B126" s="38" t="s">
        <v>232</v>
      </c>
      <c r="C126" s="38" t="s">
        <v>235</v>
      </c>
      <c r="D126" s="21" t="n">
        <v>582</v>
      </c>
      <c r="E126" s="21" t="n">
        <v>536</v>
      </c>
      <c r="F126" s="52" t="n">
        <f aca="false">IF(E126="","",D126-E126)</f>
        <v>46</v>
      </c>
      <c r="G126" s="21" t="n">
        <v>495</v>
      </c>
      <c r="H126" s="21" t="n">
        <v>524</v>
      </c>
      <c r="I126" s="52" t="n">
        <f aca="false">IF(H126="","",G126-H126)</f>
        <v>-29</v>
      </c>
      <c r="J126" s="39" t="n">
        <f aca="false">IF(OR(D126="",D126+G126=0),"",D126/(D126+G126))</f>
        <v>0.540389972144847</v>
      </c>
      <c r="K126" s="39" t="n">
        <f aca="false">IF(E126="","",E126/(E126+H126))</f>
        <v>0.505660377358491</v>
      </c>
      <c r="L126" s="53" t="n">
        <f aca="false">IF(OR(K126="",J126=""),"",(J126-K126)*100)</f>
        <v>3.47295947863562</v>
      </c>
      <c r="M126" s="38"/>
    </row>
    <row r="127" customFormat="false" ht="15" hidden="false" customHeight="false" outlineLevel="0" collapsed="false">
      <c r="A127" s="38" t="s">
        <v>156</v>
      </c>
      <c r="B127" s="38" t="s">
        <v>236</v>
      </c>
      <c r="C127" s="38" t="s">
        <v>236</v>
      </c>
      <c r="D127" s="21" t="n">
        <v>753</v>
      </c>
      <c r="E127" s="21" t="n">
        <v>735</v>
      </c>
      <c r="F127" s="52" t="n">
        <f aca="false">IF(E127="","",D127-E127)</f>
        <v>18</v>
      </c>
      <c r="G127" s="21" t="n">
        <v>743</v>
      </c>
      <c r="H127" s="21" t="n">
        <v>804</v>
      </c>
      <c r="I127" s="52" t="n">
        <f aca="false">IF(H127="","",G127-H127)</f>
        <v>-61</v>
      </c>
      <c r="J127" s="39" t="n">
        <f aca="false">IF(OR(D127="",D127+G127=0),"",D127/(D127+G127))</f>
        <v>0.503342245989305</v>
      </c>
      <c r="K127" s="39" t="n">
        <f aca="false">IF(E127="","",E127/(E127+H127))</f>
        <v>0.477582846003899</v>
      </c>
      <c r="L127" s="53" t="n">
        <f aca="false">IF(OR(K127="",J127=""),"",(J127-K127)*100)</f>
        <v>2.57593999854062</v>
      </c>
      <c r="M127" s="38"/>
    </row>
    <row r="128" customFormat="false" ht="15" hidden="false" customHeight="false" outlineLevel="0" collapsed="false">
      <c r="A128" s="38" t="s">
        <v>156</v>
      </c>
      <c r="B128" s="38" t="s">
        <v>237</v>
      </c>
      <c r="C128" s="38" t="s">
        <v>238</v>
      </c>
      <c r="D128" s="21" t="n">
        <v>424</v>
      </c>
      <c r="E128" s="21" t="n">
        <v>372</v>
      </c>
      <c r="F128" s="52" t="n">
        <f aca="false">IF(E128="","",D128-E128)</f>
        <v>52</v>
      </c>
      <c r="G128" s="21" t="n">
        <v>362</v>
      </c>
      <c r="H128" s="21" t="n">
        <v>383</v>
      </c>
      <c r="I128" s="52" t="n">
        <f aca="false">IF(H128="","",G128-H128)</f>
        <v>-21</v>
      </c>
      <c r="J128" s="39" t="n">
        <f aca="false">IF(OR(D128="",D128+G128=0),"",D128/(D128+G128))</f>
        <v>0.539440203562341</v>
      </c>
      <c r="K128" s="39" t="n">
        <f aca="false">IF(E128="","",E128/(E128+H128))</f>
        <v>0.492715231788079</v>
      </c>
      <c r="L128" s="53" t="n">
        <f aca="false">IF(OR(K128="",J128=""),"",(J128-K128)*100)</f>
        <v>4.67249717742616</v>
      </c>
      <c r="M128" s="38"/>
    </row>
    <row r="129" customFormat="false" ht="15" hidden="false" customHeight="false" outlineLevel="0" collapsed="false">
      <c r="A129" s="38" t="s">
        <v>156</v>
      </c>
      <c r="B129" s="38" t="s">
        <v>237</v>
      </c>
      <c r="C129" s="38" t="s">
        <v>239</v>
      </c>
      <c r="D129" s="21" t="n">
        <v>531</v>
      </c>
      <c r="E129" s="21" t="n">
        <v>527</v>
      </c>
      <c r="F129" s="52" t="n">
        <f aca="false">IF(E129="","",D129-E129)</f>
        <v>4</v>
      </c>
      <c r="G129" s="21" t="n">
        <v>433</v>
      </c>
      <c r="H129" s="21" t="n">
        <v>515</v>
      </c>
      <c r="I129" s="52" t="n">
        <f aca="false">IF(H129="","",G129-H129)</f>
        <v>-82</v>
      </c>
      <c r="J129" s="39" t="n">
        <f aca="false">IF(OR(D129="",D129+G129=0),"",D129/(D129+G129))</f>
        <v>0.550829875518672</v>
      </c>
      <c r="K129" s="39" t="n">
        <f aca="false">IF(E129="","",E129/(E129+H129))</f>
        <v>0.505758157389635</v>
      </c>
      <c r="L129" s="53" t="n">
        <f aca="false">IF(OR(K129="",J129=""),"",(J129-K129)*100)</f>
        <v>4.50717181290369</v>
      </c>
      <c r="M129" s="38"/>
    </row>
    <row r="130" customFormat="false" ht="15" hidden="false" customHeight="false" outlineLevel="0" collapsed="false">
      <c r="A130" s="38" t="s">
        <v>156</v>
      </c>
      <c r="B130" s="38" t="s">
        <v>240</v>
      </c>
      <c r="C130" s="38" t="s">
        <v>241</v>
      </c>
      <c r="D130" s="21" t="n">
        <v>589</v>
      </c>
      <c r="E130" s="21" t="n">
        <v>562</v>
      </c>
      <c r="F130" s="52" t="n">
        <f aca="false">IF(E130="","",D130-E130)</f>
        <v>27</v>
      </c>
      <c r="G130" s="21" t="n">
        <v>454</v>
      </c>
      <c r="H130" s="21" t="n">
        <v>497</v>
      </c>
      <c r="I130" s="52" t="n">
        <f aca="false">IF(H130="","",G130-H130)</f>
        <v>-43</v>
      </c>
      <c r="J130" s="39" t="n">
        <f aca="false">IF(OR(D130="",D130+G130=0),"",D130/(D130+G130))</f>
        <v>0.564717162032598</v>
      </c>
      <c r="K130" s="39" t="n">
        <f aca="false">IF(E130="","",E130/(E130+H130))</f>
        <v>0.530689329556185</v>
      </c>
      <c r="L130" s="53" t="n">
        <f aca="false">IF(OR(K130="",J130=""),"",(J130-K130)*100)</f>
        <v>3.40278324764132</v>
      </c>
      <c r="M130" s="38"/>
    </row>
    <row r="131" customFormat="false" ht="15" hidden="false" customHeight="false" outlineLevel="0" collapsed="false">
      <c r="A131" s="38" t="s">
        <v>156</v>
      </c>
      <c r="B131" s="38" t="s">
        <v>240</v>
      </c>
      <c r="C131" s="38" t="s">
        <v>242</v>
      </c>
      <c r="D131" s="21" t="n">
        <v>567</v>
      </c>
      <c r="E131" s="21" t="n">
        <v>566</v>
      </c>
      <c r="F131" s="52" t="n">
        <f aca="false">IF(E131="","",D131-E131)</f>
        <v>1</v>
      </c>
      <c r="G131" s="21" t="n">
        <v>464</v>
      </c>
      <c r="H131" s="21" t="n">
        <v>509</v>
      </c>
      <c r="I131" s="52" t="n">
        <f aca="false">IF(H131="","",G131-H131)</f>
        <v>-45</v>
      </c>
      <c r="J131" s="39" t="n">
        <f aca="false">IF(OR(D131="",D131+G131=0),"",D131/(D131+G131))</f>
        <v>0.549951503394762</v>
      </c>
      <c r="K131" s="39" t="n">
        <f aca="false">IF(E131="","",E131/(E131+H131))</f>
        <v>0.526511627906977</v>
      </c>
      <c r="L131" s="53" t="n">
        <f aca="false">IF(OR(K131="",J131=""),"",(J131-K131)*100)</f>
        <v>2.34398754877857</v>
      </c>
      <c r="M131" s="38"/>
    </row>
    <row r="132" customFormat="false" ht="15" hidden="false" customHeight="false" outlineLevel="0" collapsed="false">
      <c r="A132" s="38" t="s">
        <v>156</v>
      </c>
      <c r="B132" s="38" t="s">
        <v>240</v>
      </c>
      <c r="C132" s="38" t="s">
        <v>243</v>
      </c>
      <c r="D132" s="21" t="n">
        <v>708</v>
      </c>
      <c r="E132" s="21" t="n">
        <v>826</v>
      </c>
      <c r="F132" s="52" t="n">
        <f aca="false">IF(E132="","",D132-E132)</f>
        <v>-118</v>
      </c>
      <c r="G132" s="21" t="n">
        <v>621</v>
      </c>
      <c r="H132" s="21" t="n">
        <v>801</v>
      </c>
      <c r="I132" s="52" t="n">
        <f aca="false">IF(H132="","",G132-H132)</f>
        <v>-180</v>
      </c>
      <c r="J132" s="39" t="n">
        <f aca="false">IF(OR(D132="",D132+G132=0),"",D132/(D132+G132))</f>
        <v>0.532731376975169</v>
      </c>
      <c r="K132" s="39" t="n">
        <f aca="false">IF(E132="","",E132/(E132+H132))</f>
        <v>0.507682851874616</v>
      </c>
      <c r="L132" s="53" t="n">
        <f aca="false">IF(OR(K132="",J132=""),"",(J132-K132)*100)</f>
        <v>2.50485251005534</v>
      </c>
      <c r="M132" s="38"/>
    </row>
    <row r="133" customFormat="false" ht="15" hidden="false" customHeight="false" outlineLevel="0" collapsed="false">
      <c r="A133" s="38" t="s">
        <v>156</v>
      </c>
      <c r="B133" s="38" t="s">
        <v>240</v>
      </c>
      <c r="C133" s="38" t="s">
        <v>244</v>
      </c>
      <c r="D133" s="21" t="n">
        <v>702</v>
      </c>
      <c r="E133" s="21" t="n">
        <v>686</v>
      </c>
      <c r="F133" s="52" t="n">
        <f aca="false">IF(E133="","",D133-E133)</f>
        <v>16</v>
      </c>
      <c r="G133" s="21" t="n">
        <v>527</v>
      </c>
      <c r="H133" s="21" t="n">
        <v>580</v>
      </c>
      <c r="I133" s="52" t="n">
        <f aca="false">IF(H133="","",G133-H133)</f>
        <v>-53</v>
      </c>
      <c r="J133" s="39" t="n">
        <f aca="false">IF(OR(D133="",D133+G133=0),"",D133/(D133+G133))</f>
        <v>0.571196094385679</v>
      </c>
      <c r="K133" s="39" t="n">
        <f aca="false">IF(E133="","",E133/(E133+H133))</f>
        <v>0.541864139020537</v>
      </c>
      <c r="L133" s="53" t="n">
        <f aca="false">IF(OR(K133="",J133=""),"",(J133-K133)*100)</f>
        <v>2.93319553651423</v>
      </c>
      <c r="M133" s="38"/>
    </row>
    <row r="134" customFormat="false" ht="15" hidden="false" customHeight="false" outlineLevel="0" collapsed="false">
      <c r="A134" s="38" t="s">
        <v>156</v>
      </c>
      <c r="B134" s="38" t="s">
        <v>240</v>
      </c>
      <c r="C134" s="38" t="s">
        <v>245</v>
      </c>
      <c r="D134" s="21" t="n">
        <v>352</v>
      </c>
      <c r="E134" s="21" t="n">
        <v>332</v>
      </c>
      <c r="F134" s="52" t="n">
        <f aca="false">IF(E134="","",D134-E134)</f>
        <v>20</v>
      </c>
      <c r="G134" s="21" t="n">
        <v>307</v>
      </c>
      <c r="H134" s="21" t="n">
        <v>340</v>
      </c>
      <c r="I134" s="52" t="n">
        <f aca="false">IF(H134="","",G134-H134)</f>
        <v>-33</v>
      </c>
      <c r="J134" s="39" t="n">
        <f aca="false">IF(OR(D134="",D134+G134=0),"",D134/(D134+G134))</f>
        <v>0.534142640364188</v>
      </c>
      <c r="K134" s="39" t="n">
        <f aca="false">IF(E134="","",E134/(E134+H134))</f>
        <v>0.494047619047619</v>
      </c>
      <c r="L134" s="53" t="n">
        <f aca="false">IF(OR(K134="",J134=""),"",(J134-K134)*100)</f>
        <v>4.00950213165691</v>
      </c>
      <c r="M134" s="38"/>
    </row>
    <row r="135" customFormat="false" ht="15" hidden="false" customHeight="false" outlineLevel="0" collapsed="false">
      <c r="A135" s="38" t="s">
        <v>156</v>
      </c>
      <c r="B135" s="38" t="s">
        <v>240</v>
      </c>
      <c r="C135" s="38" t="s">
        <v>246</v>
      </c>
      <c r="D135" s="21" t="n">
        <v>669</v>
      </c>
      <c r="E135" s="21" t="n">
        <v>691</v>
      </c>
      <c r="F135" s="52" t="n">
        <f aca="false">IF(E135="","",D135-E135)</f>
        <v>-22</v>
      </c>
      <c r="G135" s="21" t="n">
        <v>519</v>
      </c>
      <c r="H135" s="21" t="n">
        <v>509</v>
      </c>
      <c r="I135" s="52" t="n">
        <f aca="false">IF(H135="","",G135-H135)</f>
        <v>10</v>
      </c>
      <c r="J135" s="39" t="n">
        <f aca="false">IF(OR(D135="",D135+G135=0),"",D135/(D135+G135))</f>
        <v>0.563131313131313</v>
      </c>
      <c r="K135" s="39" t="n">
        <f aca="false">IF(E135="","",E135/(E135+H135))</f>
        <v>0.575833333333333</v>
      </c>
      <c r="L135" s="53" t="n">
        <f aca="false">IF(OR(K135="",J135=""),"",(J135-K135)*100)</f>
        <v>-1.27020202020202</v>
      </c>
      <c r="M135" s="38"/>
    </row>
    <row r="136" customFormat="false" ht="15" hidden="false" customHeight="false" outlineLevel="0" collapsed="false">
      <c r="A136" s="38" t="s">
        <v>156</v>
      </c>
      <c r="B136" s="38" t="s">
        <v>247</v>
      </c>
      <c r="C136" s="38" t="s">
        <v>248</v>
      </c>
      <c r="D136" s="21" t="n">
        <v>621</v>
      </c>
      <c r="E136" s="21" t="n">
        <v>579</v>
      </c>
      <c r="F136" s="52" t="n">
        <f aca="false">IF(E136="","",D136-E136)</f>
        <v>42</v>
      </c>
      <c r="G136" s="21" t="n">
        <v>257</v>
      </c>
      <c r="H136" s="21" t="n">
        <v>292</v>
      </c>
      <c r="I136" s="52" t="n">
        <f aca="false">IF(H136="","",G136-H136)</f>
        <v>-35</v>
      </c>
      <c r="J136" s="39" t="n">
        <f aca="false">IF(OR(D136="",D136+G136=0),"",D136/(D136+G136))</f>
        <v>0.707289293849658</v>
      </c>
      <c r="K136" s="39" t="n">
        <f aca="false">IF(E136="","",E136/(E136+H136))</f>
        <v>0.664753157290471</v>
      </c>
      <c r="L136" s="53" t="n">
        <f aca="false">IF(OR(K136="",J136=""),"",(J136-K136)*100)</f>
        <v>4.25361365591876</v>
      </c>
      <c r="M136" s="38"/>
    </row>
    <row r="137" customFormat="false" ht="15" hidden="false" customHeight="false" outlineLevel="0" collapsed="false">
      <c r="A137" s="38" t="s">
        <v>156</v>
      </c>
      <c r="B137" s="38" t="s">
        <v>247</v>
      </c>
      <c r="C137" s="38" t="s">
        <v>249</v>
      </c>
      <c r="D137" s="21" t="n">
        <v>449</v>
      </c>
      <c r="E137" s="21" t="n">
        <v>440</v>
      </c>
      <c r="F137" s="52" t="n">
        <f aca="false">IF(E137="","",D137-E137)</f>
        <v>9</v>
      </c>
      <c r="G137" s="21" t="n">
        <v>228</v>
      </c>
      <c r="H137" s="21" t="n">
        <v>262</v>
      </c>
      <c r="I137" s="52" t="n">
        <f aca="false">IF(H137="","",G137-H137)</f>
        <v>-34</v>
      </c>
      <c r="J137" s="39" t="n">
        <f aca="false">IF(OR(D137="",D137+G137=0),"",D137/(D137+G137))</f>
        <v>0.663220088626292</v>
      </c>
      <c r="K137" s="39" t="n">
        <f aca="false">IF(E137="","",E137/(E137+H137))</f>
        <v>0.626780626780627</v>
      </c>
      <c r="L137" s="53" t="n">
        <f aca="false">IF(OR(K137="",J137=""),"",(J137-K137)*100)</f>
        <v>3.64394618456657</v>
      </c>
      <c r="M137" s="38"/>
    </row>
    <row r="138" customFormat="false" ht="15" hidden="false" customHeight="false" outlineLevel="0" collapsed="false">
      <c r="A138" s="38" t="s">
        <v>156</v>
      </c>
      <c r="B138" s="38" t="s">
        <v>247</v>
      </c>
      <c r="C138" s="38" t="s">
        <v>250</v>
      </c>
      <c r="D138" s="21" t="n">
        <v>452</v>
      </c>
      <c r="E138" s="21" t="n">
        <v>414</v>
      </c>
      <c r="F138" s="52" t="n">
        <f aca="false">IF(E138="","",D138-E138)</f>
        <v>38</v>
      </c>
      <c r="G138" s="21" t="n">
        <v>213</v>
      </c>
      <c r="H138" s="21" t="n">
        <v>239</v>
      </c>
      <c r="I138" s="52" t="n">
        <f aca="false">IF(H138="","",G138-H138)</f>
        <v>-26</v>
      </c>
      <c r="J138" s="39" t="n">
        <f aca="false">IF(OR(D138="",D138+G138=0),"",D138/(D138+G138))</f>
        <v>0.679699248120301</v>
      </c>
      <c r="K138" s="39" t="n">
        <f aca="false">IF(E138="","",E138/(E138+H138))</f>
        <v>0.633996937212864</v>
      </c>
      <c r="L138" s="53" t="n">
        <f aca="false">IF(OR(K138="",J138=""),"",(J138-K138)*100)</f>
        <v>4.57023109074371</v>
      </c>
      <c r="M138" s="38"/>
    </row>
    <row r="139" customFormat="false" ht="15" hidden="false" customHeight="false" outlineLevel="0" collapsed="false">
      <c r="A139" s="38" t="s">
        <v>156</v>
      </c>
      <c r="B139" s="38" t="s">
        <v>251</v>
      </c>
      <c r="C139" s="38" t="s">
        <v>251</v>
      </c>
      <c r="D139" s="21" t="n">
        <v>409</v>
      </c>
      <c r="E139" s="21" t="n">
        <v>379</v>
      </c>
      <c r="F139" s="52" t="n">
        <f aca="false">IF(E139="","",D139-E139)</f>
        <v>30</v>
      </c>
      <c r="G139" s="21" t="n">
        <v>302</v>
      </c>
      <c r="H139" s="21" t="n">
        <v>330</v>
      </c>
      <c r="I139" s="52" t="n">
        <f aca="false">IF(H139="","",G139-H139)</f>
        <v>-28</v>
      </c>
      <c r="J139" s="39" t="n">
        <f aca="false">IF(OR(D139="",D139+G139=0),"",D139/(D139+G139))</f>
        <v>0.575246132208158</v>
      </c>
      <c r="K139" s="39" t="n">
        <f aca="false">IF(E139="","",E139/(E139+H139))</f>
        <v>0.534555712270804</v>
      </c>
      <c r="L139" s="53" t="n">
        <f aca="false">IF(OR(K139="",J139=""),"",(J139-K139)*100)</f>
        <v>4.06904199373537</v>
      </c>
      <c r="M139" s="38"/>
    </row>
    <row r="140" customFormat="false" ht="15" hidden="false" customHeight="false" outlineLevel="0" collapsed="false">
      <c r="A140" s="38" t="s">
        <v>156</v>
      </c>
      <c r="B140" s="38" t="s">
        <v>252</v>
      </c>
      <c r="C140" s="38" t="s">
        <v>252</v>
      </c>
      <c r="D140" s="21" t="n">
        <v>617</v>
      </c>
      <c r="E140" s="21" t="n">
        <v>654</v>
      </c>
      <c r="F140" s="52" t="n">
        <f aca="false">IF(E140="","",D140-E140)</f>
        <v>-37</v>
      </c>
      <c r="G140" s="21" t="n">
        <v>1327</v>
      </c>
      <c r="H140" s="21" t="n">
        <v>1439</v>
      </c>
      <c r="I140" s="52" t="n">
        <f aca="false">IF(H140="","",G140-H140)</f>
        <v>-112</v>
      </c>
      <c r="J140" s="39" t="n">
        <f aca="false">IF(OR(D140="",D140+G140=0),"",D140/(D140+G140))</f>
        <v>0.31738683127572</v>
      </c>
      <c r="K140" s="39" t="n">
        <f aca="false">IF(E140="","",E140/(E140+H140))</f>
        <v>0.312470138557095</v>
      </c>
      <c r="L140" s="53" t="n">
        <f aca="false">IF(OR(K140="",J140=""),"",(J140-K140)*100)</f>
        <v>0.491669271862505</v>
      </c>
      <c r="M140" s="38"/>
    </row>
    <row r="141" customFormat="false" ht="15" hidden="false" customHeight="false" outlineLevel="0" collapsed="false">
      <c r="A141" s="38" t="s">
        <v>156</v>
      </c>
      <c r="B141" s="38" t="s">
        <v>253</v>
      </c>
      <c r="C141" s="38" t="s">
        <v>254</v>
      </c>
      <c r="D141" s="21" t="n">
        <v>943</v>
      </c>
      <c r="E141" s="21" t="n">
        <v>928</v>
      </c>
      <c r="F141" s="52" t="n">
        <f aca="false">IF(E141="","",D141-E141)</f>
        <v>15</v>
      </c>
      <c r="G141" s="21" t="n">
        <v>943</v>
      </c>
      <c r="H141" s="21" t="n">
        <v>988</v>
      </c>
      <c r="I141" s="52" t="n">
        <f aca="false">IF(H141="","",G141-H141)</f>
        <v>-45</v>
      </c>
      <c r="J141" s="39" t="n">
        <f aca="false">IF(OR(D141="",D141+G141=0),"",D141/(D141+G141))</f>
        <v>0.5</v>
      </c>
      <c r="K141" s="39" t="n">
        <f aca="false">IF(E141="","",E141/(E141+H141))</f>
        <v>0.484342379958246</v>
      </c>
      <c r="L141" s="53" t="n">
        <f aca="false">IF(OR(K141="",J141=""),"",(J141-K141)*100)</f>
        <v>1.56576200417536</v>
      </c>
      <c r="M141" s="38"/>
    </row>
    <row r="142" customFormat="false" ht="15" hidden="false" customHeight="false" outlineLevel="0" collapsed="false">
      <c r="A142" s="38" t="s">
        <v>156</v>
      </c>
      <c r="B142" s="38" t="s">
        <v>253</v>
      </c>
      <c r="C142" s="38" t="s">
        <v>255</v>
      </c>
      <c r="D142" s="21" t="n">
        <v>1153</v>
      </c>
      <c r="E142" s="21" t="n">
        <v>1082</v>
      </c>
      <c r="F142" s="52" t="n">
        <f aca="false">IF(E142="","",D142-E142)</f>
        <v>71</v>
      </c>
      <c r="G142" s="21" t="n">
        <v>1055</v>
      </c>
      <c r="H142" s="21" t="n">
        <v>1101</v>
      </c>
      <c r="I142" s="52" t="n">
        <f aca="false">IF(H142="","",G142-H142)</f>
        <v>-46</v>
      </c>
      <c r="J142" s="39" t="n">
        <f aca="false">IF(OR(D142="",D142+G142=0),"",D142/(D142+G142))</f>
        <v>0.522192028985507</v>
      </c>
      <c r="K142" s="39" t="n">
        <f aca="false">IF(E142="","",E142/(E142+H142))</f>
        <v>0.495648190563445</v>
      </c>
      <c r="L142" s="53" t="n">
        <f aca="false">IF(OR(K142="",J142=""),"",(J142-K142)*100)</f>
        <v>2.65438384220624</v>
      </c>
      <c r="M142" s="38"/>
    </row>
    <row r="143" customFormat="false" ht="15" hidden="false" customHeight="false" outlineLevel="0" collapsed="false">
      <c r="A143" s="38" t="s">
        <v>156</v>
      </c>
      <c r="B143" s="38" t="s">
        <v>253</v>
      </c>
      <c r="C143" s="38" t="s">
        <v>256</v>
      </c>
      <c r="D143" s="21" t="n">
        <v>1896</v>
      </c>
      <c r="E143" s="21" t="n">
        <v>1799</v>
      </c>
      <c r="F143" s="52" t="n">
        <f aca="false">IF(E143="","",D143-E143)</f>
        <v>97</v>
      </c>
      <c r="G143" s="21" t="n">
        <v>1807</v>
      </c>
      <c r="H143" s="21" t="n">
        <v>1810</v>
      </c>
      <c r="I143" s="52" t="n">
        <f aca="false">IF(H143="","",G143-H143)</f>
        <v>-3</v>
      </c>
      <c r="J143" s="39" t="n">
        <f aca="false">IF(OR(D143="",D143+G143=0),"",D143/(D143+G143))</f>
        <v>0.512017283283824</v>
      </c>
      <c r="K143" s="39" t="n">
        <f aca="false">IF(E143="","",E143/(E143+H143))</f>
        <v>0.498476032141868</v>
      </c>
      <c r="L143" s="53" t="n">
        <f aca="false">IF(OR(K143="",J143=""),"",(J143-K143)*100)</f>
        <v>1.35412511419564</v>
      </c>
      <c r="M143" s="38"/>
    </row>
    <row r="144" customFormat="false" ht="15" hidden="false" customHeight="false" outlineLevel="0" collapsed="false">
      <c r="A144" s="38" t="s">
        <v>156</v>
      </c>
      <c r="B144" s="38" t="s">
        <v>253</v>
      </c>
      <c r="C144" s="38" t="s">
        <v>257</v>
      </c>
      <c r="D144" s="21" t="n">
        <v>918</v>
      </c>
      <c r="E144" s="21" t="n">
        <v>906</v>
      </c>
      <c r="F144" s="52" t="n">
        <f aca="false">IF(E144="","",D144-E144)</f>
        <v>12</v>
      </c>
      <c r="G144" s="21" t="n">
        <v>883</v>
      </c>
      <c r="H144" s="21" t="n">
        <v>980</v>
      </c>
      <c r="I144" s="52" t="n">
        <f aca="false">IF(H144="","",G144-H144)</f>
        <v>-97</v>
      </c>
      <c r="J144" s="39" t="n">
        <f aca="false">IF(OR(D144="",D144+G144=0),"",D144/(D144+G144))</f>
        <v>0.509716823986674</v>
      </c>
      <c r="K144" s="39" t="n">
        <f aca="false">IF(E144="","",E144/(E144+H144))</f>
        <v>0.480381760339343</v>
      </c>
      <c r="L144" s="53" t="n">
        <f aca="false">IF(OR(K144="",J144=""),"",(J144-K144)*100)</f>
        <v>2.93350636473315</v>
      </c>
      <c r="M144" s="38"/>
    </row>
    <row r="145" customFormat="false" ht="15" hidden="false" customHeight="false" outlineLevel="0" collapsed="false">
      <c r="A145" s="38" t="s">
        <v>156</v>
      </c>
      <c r="B145" s="38" t="s">
        <v>253</v>
      </c>
      <c r="C145" s="38" t="s">
        <v>258</v>
      </c>
      <c r="D145" s="21" t="n">
        <v>908</v>
      </c>
      <c r="E145" s="21" t="n">
        <v>852</v>
      </c>
      <c r="F145" s="52" t="n">
        <f aca="false">IF(E145="","",D145-E145)</f>
        <v>56</v>
      </c>
      <c r="G145" s="21" t="n">
        <v>835</v>
      </c>
      <c r="H145" s="21" t="n">
        <v>912</v>
      </c>
      <c r="I145" s="52" t="n">
        <f aca="false">IF(H145="","",G145-H145)</f>
        <v>-77</v>
      </c>
      <c r="J145" s="39" t="n">
        <f aca="false">IF(OR(D145="",D145+G145=0),"",D145/(D145+G145))</f>
        <v>0.520940906483075</v>
      </c>
      <c r="K145" s="39" t="n">
        <f aca="false">IF(E145="","",E145/(E145+H145))</f>
        <v>0.482993197278912</v>
      </c>
      <c r="L145" s="53" t="n">
        <f aca="false">IF(OR(K145="",J145=""),"",(J145-K145)*100)</f>
        <v>3.79477092041636</v>
      </c>
      <c r="M145" s="38"/>
    </row>
    <row r="146" customFormat="false" ht="15" hidden="false" customHeight="false" outlineLevel="0" collapsed="false">
      <c r="A146" s="38" t="s">
        <v>156</v>
      </c>
      <c r="B146" s="38" t="s">
        <v>253</v>
      </c>
      <c r="C146" s="38" t="s">
        <v>259</v>
      </c>
      <c r="D146" s="21" t="n">
        <v>692</v>
      </c>
      <c r="E146" s="21" t="n">
        <v>715</v>
      </c>
      <c r="F146" s="52" t="n">
        <f aca="false">IF(E146="","",D146-E146)</f>
        <v>-23</v>
      </c>
      <c r="G146" s="21" t="n">
        <v>676</v>
      </c>
      <c r="H146" s="21" t="n">
        <v>677</v>
      </c>
      <c r="I146" s="52" t="n">
        <f aca="false">IF(H146="","",G146-H146)</f>
        <v>-1</v>
      </c>
      <c r="J146" s="39" t="n">
        <f aca="false">IF(OR(D146="",D146+G146=0),"",D146/(D146+G146))</f>
        <v>0.505847953216374</v>
      </c>
      <c r="K146" s="39" t="n">
        <f aca="false">IF(E146="","",E146/(E146+H146))</f>
        <v>0.513649425287356</v>
      </c>
      <c r="L146" s="53" t="n">
        <f aca="false">IF(OR(K146="",J146=""),"",(J146-K146)*100)</f>
        <v>-0.780147207098203</v>
      </c>
      <c r="M146" s="38"/>
    </row>
    <row r="147" customFormat="false" ht="15" hidden="false" customHeight="false" outlineLevel="0" collapsed="false">
      <c r="A147" s="38" t="s">
        <v>156</v>
      </c>
      <c r="B147" s="38" t="s">
        <v>253</v>
      </c>
      <c r="C147" s="38" t="s">
        <v>260</v>
      </c>
      <c r="D147" s="21" t="n">
        <v>1503</v>
      </c>
      <c r="E147" s="21" t="n">
        <v>1480</v>
      </c>
      <c r="F147" s="52" t="n">
        <f aca="false">IF(E147="","",D147-E147)</f>
        <v>23</v>
      </c>
      <c r="G147" s="21" t="n">
        <v>1315</v>
      </c>
      <c r="H147" s="21" t="n">
        <v>1588</v>
      </c>
      <c r="I147" s="52" t="n">
        <f aca="false">IF(H147="","",G147-H147)</f>
        <v>-273</v>
      </c>
      <c r="J147" s="39" t="n">
        <f aca="false">IF(OR(D147="",D147+G147=0),"",D147/(D147+G147))</f>
        <v>0.533356990773598</v>
      </c>
      <c r="K147" s="39" t="n">
        <f aca="false">IF(E147="","",E147/(E147+H147))</f>
        <v>0.482398956975228</v>
      </c>
      <c r="L147" s="53" t="n">
        <f aca="false">IF(OR(K147="",J147=""),"",(J147-K147)*100)</f>
        <v>5.09580337983702</v>
      </c>
      <c r="M147" s="38"/>
    </row>
    <row r="148" customFormat="false" ht="15" hidden="false" customHeight="false" outlineLevel="0" collapsed="false">
      <c r="A148" s="38" t="s">
        <v>156</v>
      </c>
      <c r="B148" s="38" t="s">
        <v>253</v>
      </c>
      <c r="C148" s="38" t="s">
        <v>261</v>
      </c>
      <c r="D148" s="21" t="n">
        <v>911</v>
      </c>
      <c r="E148" s="21" t="n">
        <v>890</v>
      </c>
      <c r="F148" s="52" t="n">
        <f aca="false">IF(E148="","",D148-E148)</f>
        <v>21</v>
      </c>
      <c r="G148" s="21" t="n">
        <v>777</v>
      </c>
      <c r="H148" s="21" t="n">
        <v>789</v>
      </c>
      <c r="I148" s="52" t="n">
        <f aca="false">IF(H148="","",G148-H148)</f>
        <v>-12</v>
      </c>
      <c r="J148" s="39" t="n">
        <f aca="false">IF(OR(D148="",D148+G148=0),"",D148/(D148+G148))</f>
        <v>0.539691943127962</v>
      </c>
      <c r="K148" s="39" t="n">
        <f aca="false">IF(E148="","",E148/(E148+H148))</f>
        <v>0.530077427039905</v>
      </c>
      <c r="L148" s="53" t="n">
        <f aca="false">IF(OR(K148="",J148=""),"",(J148-K148)*100)</f>
        <v>0.961451608805741</v>
      </c>
      <c r="M148" s="38"/>
    </row>
    <row r="149" customFormat="false" ht="15" hidden="false" customHeight="false" outlineLevel="0" collapsed="false">
      <c r="A149" s="38" t="s">
        <v>156</v>
      </c>
      <c r="B149" s="38" t="s">
        <v>253</v>
      </c>
      <c r="C149" s="38" t="s">
        <v>262</v>
      </c>
      <c r="D149" s="21" t="n">
        <v>756</v>
      </c>
      <c r="E149" s="21" t="n">
        <v>817</v>
      </c>
      <c r="F149" s="52" t="n">
        <f aca="false">IF(E149="","",D149-E149)</f>
        <v>-61</v>
      </c>
      <c r="G149" s="21" t="n">
        <v>704</v>
      </c>
      <c r="H149" s="21" t="n">
        <v>798</v>
      </c>
      <c r="I149" s="52" t="n">
        <f aca="false">IF(H149="","",G149-H149)</f>
        <v>-94</v>
      </c>
      <c r="J149" s="39" t="n">
        <f aca="false">IF(OR(D149="",D149+G149=0),"",D149/(D149+G149))</f>
        <v>0.517808219178082</v>
      </c>
      <c r="K149" s="39" t="n">
        <f aca="false">IF(E149="","",E149/(E149+H149))</f>
        <v>0.505882352941176</v>
      </c>
      <c r="L149" s="53" t="n">
        <f aca="false">IF(OR(K149="",J149=""),"",(J149-K149)*100)</f>
        <v>1.19258662369057</v>
      </c>
      <c r="M149" s="38"/>
    </row>
    <row r="150" customFormat="false" ht="15" hidden="false" customHeight="false" outlineLevel="0" collapsed="false">
      <c r="A150" s="38" t="s">
        <v>156</v>
      </c>
      <c r="B150" s="38" t="s">
        <v>253</v>
      </c>
      <c r="C150" s="38" t="s">
        <v>263</v>
      </c>
      <c r="D150" s="21" t="n">
        <v>619</v>
      </c>
      <c r="E150" s="21" t="n">
        <v>552</v>
      </c>
      <c r="F150" s="52" t="n">
        <f aca="false">IF(E150="","",D150-E150)</f>
        <v>67</v>
      </c>
      <c r="G150" s="21" t="n">
        <v>546</v>
      </c>
      <c r="H150" s="21" t="n">
        <v>556</v>
      </c>
      <c r="I150" s="52" t="n">
        <f aca="false">IF(H150="","",G150-H150)</f>
        <v>-10</v>
      </c>
      <c r="J150" s="39" t="n">
        <f aca="false">IF(OR(D150="",D150+G150=0),"",D150/(D150+G150))</f>
        <v>0.531330472103004</v>
      </c>
      <c r="K150" s="39" t="n">
        <f aca="false">IF(E150="","",E150/(E150+H150))</f>
        <v>0.498194945848375</v>
      </c>
      <c r="L150" s="53" t="n">
        <f aca="false">IF(OR(K150="",J150=""),"",(J150-K150)*100)</f>
        <v>3.31355262546289</v>
      </c>
      <c r="M150" s="38"/>
    </row>
    <row r="151" customFormat="false" ht="15" hidden="false" customHeight="false" outlineLevel="0" collapsed="false">
      <c r="A151" s="38" t="s">
        <v>156</v>
      </c>
      <c r="B151" s="38" t="s">
        <v>264</v>
      </c>
      <c r="C151" s="38" t="s">
        <v>264</v>
      </c>
      <c r="D151" s="21" t="n">
        <v>956</v>
      </c>
      <c r="E151" s="21" t="n">
        <v>985</v>
      </c>
      <c r="F151" s="52" t="n">
        <f aca="false">IF(E151="","",D151-E151)</f>
        <v>-29</v>
      </c>
      <c r="G151" s="21" t="n">
        <v>1565</v>
      </c>
      <c r="H151" s="21" t="n">
        <v>1586</v>
      </c>
      <c r="I151" s="52" t="n">
        <f aca="false">IF(H151="","",G151-H151)</f>
        <v>-21</v>
      </c>
      <c r="J151" s="39" t="n">
        <f aca="false">IF(OR(D151="",D151+G151=0),"",D151/(D151+G151))</f>
        <v>0.379214597381991</v>
      </c>
      <c r="K151" s="39" t="n">
        <f aca="false">IF(E151="","",E151/(E151+H151))</f>
        <v>0.383119408790354</v>
      </c>
      <c r="L151" s="53" t="n">
        <f aca="false">IF(OR(K151="",J151=""),"",(J151-K151)*100)</f>
        <v>-0.390481140836269</v>
      </c>
      <c r="M151" s="38"/>
    </row>
    <row r="152" customFormat="false" ht="15" hidden="false" customHeight="false" outlineLevel="0" collapsed="false">
      <c r="A152" s="38" t="s">
        <v>156</v>
      </c>
      <c r="B152" s="38" t="s">
        <v>265</v>
      </c>
      <c r="C152" s="38" t="s">
        <v>265</v>
      </c>
      <c r="D152" s="21" t="n">
        <v>545</v>
      </c>
      <c r="E152" s="21" t="n">
        <v>543</v>
      </c>
      <c r="F152" s="52" t="n">
        <f aca="false">IF(E152="","",D152-E152)</f>
        <v>2</v>
      </c>
      <c r="G152" s="21" t="n">
        <v>944</v>
      </c>
      <c r="H152" s="21" t="n">
        <v>990</v>
      </c>
      <c r="I152" s="52" t="n">
        <f aca="false">IF(H152="","",G152-H152)</f>
        <v>-46</v>
      </c>
      <c r="J152" s="39" t="n">
        <f aca="false">IF(OR(D152="",D152+G152=0),"",D152/(D152+G152))</f>
        <v>0.366017461383479</v>
      </c>
      <c r="K152" s="39" t="n">
        <f aca="false">IF(E152="","",E152/(E152+H152))</f>
        <v>0.354207436399217</v>
      </c>
      <c r="L152" s="53" t="n">
        <f aca="false">IF(OR(K152="",J152=""),"",(J152-K152)*100)</f>
        <v>1.18100249842616</v>
      </c>
      <c r="M152" s="38"/>
    </row>
    <row r="153" customFormat="false" ht="15" hidden="false" customHeight="false" outlineLevel="0" collapsed="false">
      <c r="A153" s="38" t="s">
        <v>156</v>
      </c>
      <c r="B153" s="38" t="s">
        <v>266</v>
      </c>
      <c r="C153" s="38" t="s">
        <v>267</v>
      </c>
      <c r="D153" s="21" t="n">
        <v>182</v>
      </c>
      <c r="E153" s="21" t="n">
        <v>181</v>
      </c>
      <c r="F153" s="52" t="n">
        <f aca="false">IF(E153="","",D153-E153)</f>
        <v>1</v>
      </c>
      <c r="G153" s="21" t="n">
        <v>451</v>
      </c>
      <c r="H153" s="21" t="n">
        <v>482</v>
      </c>
      <c r="I153" s="52" t="n">
        <f aca="false">IF(H153="","",G153-H153)</f>
        <v>-31</v>
      </c>
      <c r="J153" s="39" t="n">
        <f aca="false">IF(OR(D153="",D153+G153=0),"",D153/(D153+G153))</f>
        <v>0.287519747235387</v>
      </c>
      <c r="K153" s="39" t="n">
        <f aca="false">IF(E153="","",E153/(E153+H153))</f>
        <v>0.273001508295626</v>
      </c>
      <c r="L153" s="53" t="n">
        <f aca="false">IF(OR(K153="",J153=""),"",(J153-K153)*100)</f>
        <v>1.45182389397611</v>
      </c>
      <c r="M153" s="38"/>
    </row>
    <row r="154" customFormat="false" ht="15" hidden="false" customHeight="false" outlineLevel="0" collapsed="false">
      <c r="A154" s="38" t="s">
        <v>156</v>
      </c>
      <c r="B154" s="38" t="s">
        <v>266</v>
      </c>
      <c r="C154" s="38" t="s">
        <v>268</v>
      </c>
      <c r="D154" s="21" t="n">
        <v>146</v>
      </c>
      <c r="E154" s="21" t="n">
        <v>147</v>
      </c>
      <c r="F154" s="52" t="n">
        <f aca="false">IF(E154="","",D154-E154)</f>
        <v>-1</v>
      </c>
      <c r="G154" s="21" t="n">
        <v>305</v>
      </c>
      <c r="H154" s="21" t="n">
        <v>314</v>
      </c>
      <c r="I154" s="52" t="n">
        <f aca="false">IF(H154="","",G154-H154)</f>
        <v>-9</v>
      </c>
      <c r="J154" s="39" t="n">
        <f aca="false">IF(OR(D154="",D154+G154=0),"",D154/(D154+G154))</f>
        <v>0.323725055432373</v>
      </c>
      <c r="K154" s="39" t="n">
        <f aca="false">IF(E154="","",E154/(E154+H154))</f>
        <v>0.318872017353579</v>
      </c>
      <c r="L154" s="53" t="n">
        <f aca="false">IF(OR(K154="",J154=""),"",(J154-K154)*100)</f>
        <v>0.485303807879334</v>
      </c>
      <c r="M154" s="38"/>
    </row>
    <row r="155" customFormat="false" ht="15" hidden="false" customHeight="false" outlineLevel="0" collapsed="false">
      <c r="A155" s="38" t="s">
        <v>156</v>
      </c>
      <c r="B155" s="38" t="s">
        <v>266</v>
      </c>
      <c r="C155" s="38" t="s">
        <v>269</v>
      </c>
      <c r="D155" s="21" t="n">
        <v>518</v>
      </c>
      <c r="E155" s="21" t="n">
        <v>522</v>
      </c>
      <c r="F155" s="52" t="n">
        <f aca="false">IF(E155="","",D155-E155)</f>
        <v>-4</v>
      </c>
      <c r="G155" s="21" t="n">
        <v>1032</v>
      </c>
      <c r="H155" s="21" t="n">
        <v>1060</v>
      </c>
      <c r="I155" s="52" t="n">
        <f aca="false">IF(H155="","",G155-H155)</f>
        <v>-28</v>
      </c>
      <c r="J155" s="39" t="n">
        <f aca="false">IF(OR(D155="",D155+G155=0),"",D155/(D155+G155))</f>
        <v>0.334193548387097</v>
      </c>
      <c r="K155" s="39" t="n">
        <f aca="false">IF(E155="","",E155/(E155+H155))</f>
        <v>0.329962073324905</v>
      </c>
      <c r="L155" s="53" t="n">
        <f aca="false">IF(OR(K155="",J155=""),"",(J155-K155)*100)</f>
        <v>0.423147506219157</v>
      </c>
      <c r="M155" s="38"/>
    </row>
    <row r="156" customFormat="false" ht="15" hidden="false" customHeight="false" outlineLevel="0" collapsed="false">
      <c r="A156" s="38" t="s">
        <v>156</v>
      </c>
      <c r="B156" s="38" t="s">
        <v>270</v>
      </c>
      <c r="C156" s="38" t="s">
        <v>270</v>
      </c>
      <c r="D156" s="21" t="n">
        <v>1016</v>
      </c>
      <c r="E156" s="21" t="n">
        <v>980</v>
      </c>
      <c r="F156" s="52" t="n">
        <f aca="false">IF(E156="","",D156-E156)</f>
        <v>36</v>
      </c>
      <c r="G156" s="21" t="n">
        <v>848</v>
      </c>
      <c r="H156" s="21" t="n">
        <v>872</v>
      </c>
      <c r="I156" s="52" t="n">
        <f aca="false">IF(H156="","",G156-H156)</f>
        <v>-24</v>
      </c>
      <c r="J156" s="39" t="n">
        <f aca="false">IF(OR(D156="",D156+G156=0),"",D156/(D156+G156))</f>
        <v>0.545064377682404</v>
      </c>
      <c r="K156" s="39" t="n">
        <f aca="false">IF(E156="","",E156/(E156+H156))</f>
        <v>0.529157667386609</v>
      </c>
      <c r="L156" s="53" t="n">
        <f aca="false">IF(OR(K156="",J156=""),"",(J156-K156)*100)</f>
        <v>1.59067102957944</v>
      </c>
      <c r="M156" s="38"/>
    </row>
    <row r="157" customFormat="false" ht="15" hidden="false" customHeight="false" outlineLevel="0" collapsed="false">
      <c r="A157" s="38" t="s">
        <v>156</v>
      </c>
      <c r="B157" s="38" t="s">
        <v>271</v>
      </c>
      <c r="C157" s="38" t="s">
        <v>272</v>
      </c>
      <c r="D157" s="21" t="n">
        <v>966</v>
      </c>
      <c r="E157" s="21" t="n">
        <v>1010</v>
      </c>
      <c r="F157" s="52" t="n">
        <f aca="false">IF(E157="","",D157-E157)</f>
        <v>-44</v>
      </c>
      <c r="G157" s="21" t="n">
        <v>1340</v>
      </c>
      <c r="H157" s="21" t="n">
        <v>1334</v>
      </c>
      <c r="I157" s="52" t="n">
        <f aca="false">IF(H157="","",G157-H157)</f>
        <v>6</v>
      </c>
      <c r="J157" s="39" t="n">
        <f aca="false">IF(OR(D157="",D157+G157=0),"",D157/(D157+G157))</f>
        <v>0.418907198612316</v>
      </c>
      <c r="K157" s="39" t="n">
        <f aca="false">IF(E157="","",E157/(E157+H157))</f>
        <v>0.430887372013652</v>
      </c>
      <c r="L157" s="53" t="n">
        <f aca="false">IF(OR(K157="",J157=""),"",(J157-K157)*100)</f>
        <v>-1.19801734013362</v>
      </c>
      <c r="M157" s="38"/>
    </row>
    <row r="158" customFormat="false" ht="15" hidden="false" customHeight="false" outlineLevel="0" collapsed="false">
      <c r="A158" s="38" t="s">
        <v>156</v>
      </c>
      <c r="B158" s="38" t="s">
        <v>271</v>
      </c>
      <c r="C158" s="38" t="s">
        <v>273</v>
      </c>
      <c r="D158" s="21" t="n">
        <v>869</v>
      </c>
      <c r="E158" s="21" t="n">
        <v>860</v>
      </c>
      <c r="F158" s="52" t="n">
        <f aca="false">IF(E158="","",D158-E158)</f>
        <v>9</v>
      </c>
      <c r="G158" s="21" t="n">
        <v>1279</v>
      </c>
      <c r="H158" s="21" t="n">
        <v>1332</v>
      </c>
      <c r="I158" s="52" t="n">
        <f aca="false">IF(H158="","",G158-H158)</f>
        <v>-53</v>
      </c>
      <c r="J158" s="39" t="n">
        <f aca="false">IF(OR(D158="",D158+G158=0),"",D158/(D158+G158))</f>
        <v>0.404562383612663</v>
      </c>
      <c r="K158" s="39" t="n">
        <f aca="false">IF(E158="","",E158/(E158+H158))</f>
        <v>0.392335766423358</v>
      </c>
      <c r="L158" s="53" t="n">
        <f aca="false">IF(OR(K158="",J158=""),"",(J158-K158)*100)</f>
        <v>1.22266171893053</v>
      </c>
      <c r="M158" s="38"/>
    </row>
    <row r="159" customFormat="false" ht="15" hidden="false" customHeight="false" outlineLevel="0" collapsed="false">
      <c r="A159" s="38" t="s">
        <v>156</v>
      </c>
      <c r="B159" s="38" t="s">
        <v>271</v>
      </c>
      <c r="C159" s="38" t="s">
        <v>274</v>
      </c>
      <c r="D159" s="21" t="n">
        <v>477</v>
      </c>
      <c r="E159" s="21" t="n">
        <v>449</v>
      </c>
      <c r="F159" s="52" t="n">
        <f aca="false">IF(E159="","",D159-E159)</f>
        <v>28</v>
      </c>
      <c r="G159" s="21" t="n">
        <v>682</v>
      </c>
      <c r="H159" s="21" t="n">
        <v>705</v>
      </c>
      <c r="I159" s="52" t="n">
        <f aca="false">IF(H159="","",G159-H159)</f>
        <v>-23</v>
      </c>
      <c r="J159" s="39" t="n">
        <f aca="false">IF(OR(D159="",D159+G159=0),"",D159/(D159+G159))</f>
        <v>0.411561691113029</v>
      </c>
      <c r="K159" s="39" t="n">
        <f aca="false">IF(E159="","",E159/(E159+H159))</f>
        <v>0.389081455805893</v>
      </c>
      <c r="L159" s="53" t="n">
        <f aca="false">IF(OR(K159="",J159=""),"",(J159-K159)*100)</f>
        <v>2.24802353071359</v>
      </c>
      <c r="M159" s="38"/>
    </row>
    <row r="160" customFormat="false" ht="15" hidden="false" customHeight="false" outlineLevel="0" collapsed="false">
      <c r="A160" s="38" t="s">
        <v>156</v>
      </c>
      <c r="B160" s="38" t="s">
        <v>271</v>
      </c>
      <c r="C160" s="38" t="s">
        <v>275</v>
      </c>
      <c r="D160" s="21" t="n">
        <v>644</v>
      </c>
      <c r="E160" s="21" t="n">
        <v>654</v>
      </c>
      <c r="F160" s="52" t="n">
        <f aca="false">IF(E160="","",D160-E160)</f>
        <v>-10</v>
      </c>
      <c r="G160" s="21" t="n">
        <v>919</v>
      </c>
      <c r="H160" s="21" t="n">
        <v>979</v>
      </c>
      <c r="I160" s="52" t="n">
        <f aca="false">IF(H160="","",G160-H160)</f>
        <v>-60</v>
      </c>
      <c r="J160" s="39" t="n">
        <f aca="false">IF(OR(D160="",D160+G160=0),"",D160/(D160+G160))</f>
        <v>0.412028150991683</v>
      </c>
      <c r="K160" s="39" t="n">
        <f aca="false">IF(E160="","",E160/(E160+H160))</f>
        <v>0.400489895897122</v>
      </c>
      <c r="L160" s="53" t="n">
        <f aca="false">IF(OR(K160="",J160=""),"",(J160-K160)*100)</f>
        <v>1.15382550945608</v>
      </c>
      <c r="M160" s="38"/>
    </row>
    <row r="161" customFormat="false" ht="15" hidden="false" customHeight="false" outlineLevel="0" collapsed="false">
      <c r="A161" s="38" t="s">
        <v>156</v>
      </c>
      <c r="B161" s="38" t="s">
        <v>271</v>
      </c>
      <c r="C161" s="38" t="s">
        <v>276</v>
      </c>
      <c r="D161" s="21" t="n">
        <v>565</v>
      </c>
      <c r="E161" s="21" t="n">
        <v>557</v>
      </c>
      <c r="F161" s="52" t="n">
        <f aca="false">IF(E161="","",D161-E161)</f>
        <v>8</v>
      </c>
      <c r="G161" s="21" t="n">
        <v>877</v>
      </c>
      <c r="H161" s="21" t="n">
        <v>890</v>
      </c>
      <c r="I161" s="52" t="n">
        <f aca="false">IF(H161="","",G161-H161)</f>
        <v>-13</v>
      </c>
      <c r="J161" s="39" t="n">
        <f aca="false">IF(OR(D161="",D161+G161=0),"",D161/(D161+G161))</f>
        <v>0.391816920943135</v>
      </c>
      <c r="K161" s="39" t="n">
        <f aca="false">IF(E161="","",E161/(E161+H161))</f>
        <v>0.384934346924672</v>
      </c>
      <c r="L161" s="53" t="n">
        <f aca="false">IF(OR(K161="",J161=""),"",(J161-K161)*100)</f>
        <v>0.688257401846282</v>
      </c>
      <c r="M161" s="38"/>
    </row>
    <row r="162" customFormat="false" ht="15" hidden="false" customHeight="false" outlineLevel="0" collapsed="false">
      <c r="A162" s="38" t="s">
        <v>156</v>
      </c>
      <c r="B162" s="38" t="s">
        <v>271</v>
      </c>
      <c r="C162" s="38" t="s">
        <v>277</v>
      </c>
      <c r="D162" s="21" t="n">
        <v>509</v>
      </c>
      <c r="E162" s="21" t="n">
        <v>492</v>
      </c>
      <c r="F162" s="52" t="n">
        <f aca="false">IF(E162="","",D162-E162)</f>
        <v>17</v>
      </c>
      <c r="G162" s="21" t="n">
        <v>645</v>
      </c>
      <c r="H162" s="21" t="n">
        <v>675</v>
      </c>
      <c r="I162" s="52" t="n">
        <f aca="false">IF(H162="","",G162-H162)</f>
        <v>-30</v>
      </c>
      <c r="J162" s="39" t="n">
        <f aca="false">IF(OR(D162="",D162+G162=0),"",D162/(D162+G162))</f>
        <v>0.44107452339688</v>
      </c>
      <c r="K162" s="39" t="n">
        <f aca="false">IF(E162="","",E162/(E162+H162))</f>
        <v>0.42159383033419</v>
      </c>
      <c r="L162" s="53" t="n">
        <f aca="false">IF(OR(K162="",J162=""),"",(J162-K162)*100)</f>
        <v>1.94806930626902</v>
      </c>
      <c r="M162" s="38"/>
    </row>
    <row r="163" customFormat="false" ht="15" hidden="false" customHeight="false" outlineLevel="0" collapsed="false">
      <c r="A163" s="38" t="s">
        <v>156</v>
      </c>
      <c r="B163" s="38" t="s">
        <v>278</v>
      </c>
      <c r="C163" s="38" t="s">
        <v>279</v>
      </c>
      <c r="D163" s="21" t="n">
        <v>724</v>
      </c>
      <c r="E163" s="21" t="n">
        <v>668</v>
      </c>
      <c r="F163" s="52" t="n">
        <f aca="false">IF(E163="","",D163-E163)</f>
        <v>56</v>
      </c>
      <c r="G163" s="21" t="n">
        <v>669</v>
      </c>
      <c r="H163" s="21" t="n">
        <v>693</v>
      </c>
      <c r="I163" s="52" t="n">
        <f aca="false">IF(H163="","",G163-H163)</f>
        <v>-24</v>
      </c>
      <c r="J163" s="39" t="n">
        <f aca="false">IF(OR(D163="",D163+G163=0),"",D163/(D163+G163))</f>
        <v>0.519741564967696</v>
      </c>
      <c r="K163" s="39" t="n">
        <f aca="false">IF(E163="","",E163/(E163+H163))</f>
        <v>0.490815576781778</v>
      </c>
      <c r="L163" s="53" t="n">
        <f aca="false">IF(OR(K163="",J163=""),"",(J163-K163)*100)</f>
        <v>2.89259881859175</v>
      </c>
      <c r="M163" s="38"/>
    </row>
    <row r="164" customFormat="false" ht="15" hidden="false" customHeight="false" outlineLevel="0" collapsed="false">
      <c r="A164" s="38" t="s">
        <v>156</v>
      </c>
      <c r="B164" s="38" t="s">
        <v>278</v>
      </c>
      <c r="C164" s="38" t="s">
        <v>280</v>
      </c>
      <c r="D164" s="21" t="n">
        <v>846</v>
      </c>
      <c r="E164" s="21" t="n">
        <v>803</v>
      </c>
      <c r="F164" s="52" t="n">
        <f aca="false">IF(E164="","",D164-E164)</f>
        <v>43</v>
      </c>
      <c r="G164" s="21" t="n">
        <v>742</v>
      </c>
      <c r="H164" s="21" t="n">
        <v>818</v>
      </c>
      <c r="I164" s="52" t="n">
        <f aca="false">IF(H164="","",G164-H164)</f>
        <v>-76</v>
      </c>
      <c r="J164" s="39" t="n">
        <f aca="false">IF(OR(D164="",D164+G164=0),"",D164/(D164+G164))</f>
        <v>0.532745591939547</v>
      </c>
      <c r="K164" s="39" t="n">
        <f aca="false">IF(E164="","",E164/(E164+H164))</f>
        <v>0.495373226403455</v>
      </c>
      <c r="L164" s="53" t="n">
        <f aca="false">IF(OR(K164="",J164=""),"",(J164-K164)*100)</f>
        <v>3.7372365536092</v>
      </c>
      <c r="M164" s="38"/>
    </row>
    <row r="165" customFormat="false" ht="15" hidden="false" customHeight="false" outlineLevel="0" collapsed="false">
      <c r="A165" s="38" t="s">
        <v>156</v>
      </c>
      <c r="B165" s="38" t="s">
        <v>278</v>
      </c>
      <c r="C165" s="38" t="s">
        <v>281</v>
      </c>
      <c r="D165" s="21" t="n">
        <v>385</v>
      </c>
      <c r="E165" s="21" t="n">
        <v>342</v>
      </c>
      <c r="F165" s="52" t="n">
        <f aca="false">IF(E165="","",D165-E165)</f>
        <v>43</v>
      </c>
      <c r="G165" s="21" t="n">
        <v>352</v>
      </c>
      <c r="H165" s="21" t="n">
        <v>358</v>
      </c>
      <c r="I165" s="52" t="n">
        <f aca="false">IF(H165="","",G165-H165)</f>
        <v>-6</v>
      </c>
      <c r="J165" s="39" t="n">
        <f aca="false">IF(OR(D165="",D165+G165=0),"",D165/(D165+G165))</f>
        <v>0.522388059701493</v>
      </c>
      <c r="K165" s="39" t="n">
        <f aca="false">IF(E165="","",E165/(E165+H165))</f>
        <v>0.488571428571429</v>
      </c>
      <c r="L165" s="53" t="n">
        <f aca="false">IF(OR(K165="",J165=""),"",(J165-K165)*100)</f>
        <v>3.38166311300639</v>
      </c>
      <c r="M165" s="38"/>
    </row>
    <row r="166" customFormat="false" ht="15" hidden="false" customHeight="false" outlineLevel="0" collapsed="false">
      <c r="A166" s="38" t="s">
        <v>156</v>
      </c>
      <c r="B166" s="38" t="s">
        <v>278</v>
      </c>
      <c r="C166" s="38" t="s">
        <v>282</v>
      </c>
      <c r="D166" s="21" t="n">
        <v>422</v>
      </c>
      <c r="E166" s="21" t="n">
        <v>411</v>
      </c>
      <c r="F166" s="52" t="n">
        <f aca="false">IF(E166="","",D166-E166)</f>
        <v>11</v>
      </c>
      <c r="G166" s="21" t="n">
        <v>372</v>
      </c>
      <c r="H166" s="21" t="n">
        <v>417</v>
      </c>
      <c r="I166" s="52" t="n">
        <f aca="false">IF(H166="","",G166-H166)</f>
        <v>-45</v>
      </c>
      <c r="J166" s="39" t="n">
        <f aca="false">IF(OR(D166="",D166+G166=0),"",D166/(D166+G166))</f>
        <v>0.531486146095718</v>
      </c>
      <c r="K166" s="39" t="n">
        <f aca="false">IF(E166="","",E166/(E166+H166))</f>
        <v>0.496376811594203</v>
      </c>
      <c r="L166" s="53" t="n">
        <f aca="false">IF(OR(K166="",J166=""),"",(J166-K166)*100)</f>
        <v>3.5109334501515</v>
      </c>
      <c r="M166" s="38"/>
    </row>
    <row r="167" customFormat="false" ht="15" hidden="false" customHeight="false" outlineLevel="0" collapsed="false">
      <c r="A167" s="38" t="s">
        <v>156</v>
      </c>
      <c r="B167" s="38" t="s">
        <v>278</v>
      </c>
      <c r="C167" s="38" t="s">
        <v>283</v>
      </c>
      <c r="D167" s="21" t="n">
        <v>539</v>
      </c>
      <c r="E167" s="21" t="n">
        <v>525</v>
      </c>
      <c r="F167" s="52" t="n">
        <f aca="false">IF(E167="","",D167-E167)</f>
        <v>14</v>
      </c>
      <c r="G167" s="21" t="n">
        <v>556</v>
      </c>
      <c r="H167" s="21" t="n">
        <v>552</v>
      </c>
      <c r="I167" s="52" t="n">
        <f aca="false">IF(H167="","",G167-H167)</f>
        <v>4</v>
      </c>
      <c r="J167" s="39" t="n">
        <f aca="false">IF(OR(D167="",D167+G167=0),"",D167/(D167+G167))</f>
        <v>0.492237442922374</v>
      </c>
      <c r="K167" s="39" t="n">
        <f aca="false">IF(E167="","",E167/(E167+H167))</f>
        <v>0.487465181058496</v>
      </c>
      <c r="L167" s="53" t="n">
        <f aca="false">IF(OR(K167="",J167=""),"",(J167-K167)*100)</f>
        <v>0.477226186387858</v>
      </c>
      <c r="M167" s="38"/>
    </row>
    <row r="168" customFormat="false" ht="15" hidden="false" customHeight="false" outlineLevel="0" collapsed="false">
      <c r="A168" s="38" t="s">
        <v>156</v>
      </c>
      <c r="B168" s="38" t="s">
        <v>278</v>
      </c>
      <c r="C168" s="38" t="s">
        <v>284</v>
      </c>
      <c r="D168" s="21" t="n">
        <v>334</v>
      </c>
      <c r="E168" s="21" t="n">
        <v>313</v>
      </c>
      <c r="F168" s="52" t="n">
        <f aca="false">IF(E168="","",D168-E168)</f>
        <v>21</v>
      </c>
      <c r="G168" s="21" t="n">
        <v>330</v>
      </c>
      <c r="H168" s="21" t="n">
        <v>360</v>
      </c>
      <c r="I168" s="52" t="n">
        <f aca="false">IF(H168="","",G168-H168)</f>
        <v>-30</v>
      </c>
      <c r="J168" s="39" t="n">
        <f aca="false">IF(OR(D168="",D168+G168=0),"",D168/(D168+G168))</f>
        <v>0.503012048192771</v>
      </c>
      <c r="K168" s="39" t="n">
        <f aca="false">IF(E168="","",E168/(E168+H168))</f>
        <v>0.465081723625557</v>
      </c>
      <c r="L168" s="53" t="n">
        <f aca="false">IF(OR(K168="",J168=""),"",(J168-K168)*100)</f>
        <v>3.79303245672139</v>
      </c>
      <c r="M168" s="38"/>
    </row>
    <row r="169" customFormat="false" ht="15" hidden="false" customHeight="false" outlineLevel="0" collapsed="false">
      <c r="A169" s="38" t="s">
        <v>156</v>
      </c>
      <c r="B169" s="38" t="s">
        <v>278</v>
      </c>
      <c r="C169" s="38" t="s">
        <v>285</v>
      </c>
      <c r="D169" s="21" t="n">
        <v>408</v>
      </c>
      <c r="E169" s="21" t="n">
        <v>415</v>
      </c>
      <c r="F169" s="52" t="n">
        <f aca="false">IF(E169="","",D169-E169)</f>
        <v>-7</v>
      </c>
      <c r="G169" s="21" t="n">
        <v>368</v>
      </c>
      <c r="H169" s="21" t="n">
        <v>371</v>
      </c>
      <c r="I169" s="52" t="n">
        <f aca="false">IF(H169="","",G169-H169)</f>
        <v>-3</v>
      </c>
      <c r="J169" s="39" t="n">
        <f aca="false">IF(OR(D169="",D169+G169=0),"",D169/(D169+G169))</f>
        <v>0.525773195876289</v>
      </c>
      <c r="K169" s="39" t="n">
        <f aca="false">IF(E169="","",E169/(E169+H169))</f>
        <v>0.527989821882952</v>
      </c>
      <c r="L169" s="53" t="n">
        <f aca="false">IF(OR(K169="",J169=""),"",(J169-K169)*100)</f>
        <v>-0.221662600666295</v>
      </c>
      <c r="M169" s="38"/>
    </row>
    <row r="170" customFormat="false" ht="15" hidden="false" customHeight="false" outlineLevel="0" collapsed="false">
      <c r="A170" s="38" t="s">
        <v>156</v>
      </c>
      <c r="B170" s="38" t="s">
        <v>278</v>
      </c>
      <c r="C170" s="38" t="s">
        <v>286</v>
      </c>
      <c r="D170" s="21" t="n">
        <v>580</v>
      </c>
      <c r="E170" s="21" t="n">
        <v>533</v>
      </c>
      <c r="F170" s="52" t="n">
        <f aca="false">IF(E170="","",D170-E170)</f>
        <v>47</v>
      </c>
      <c r="G170" s="21" t="n">
        <v>555</v>
      </c>
      <c r="H170" s="21" t="n">
        <v>535</v>
      </c>
      <c r="I170" s="52" t="n">
        <f aca="false">IF(H170="","",G170-H170)</f>
        <v>20</v>
      </c>
      <c r="J170" s="39" t="n">
        <f aca="false">IF(OR(D170="",D170+G170=0),"",D170/(D170+G170))</f>
        <v>0.511013215859031</v>
      </c>
      <c r="K170" s="39" t="n">
        <f aca="false">IF(E170="","",E170/(E170+H170))</f>
        <v>0.499063670411985</v>
      </c>
      <c r="L170" s="53" t="n">
        <f aca="false">IF(OR(K170="",J170=""),"",(J170-K170)*100)</f>
        <v>1.19495454470458</v>
      </c>
      <c r="M170" s="38"/>
    </row>
    <row r="171" customFormat="false" ht="15" hidden="false" customHeight="false" outlineLevel="0" collapsed="false">
      <c r="A171" s="38" t="s">
        <v>156</v>
      </c>
      <c r="B171" s="38" t="s">
        <v>287</v>
      </c>
      <c r="C171" s="38" t="s">
        <v>288</v>
      </c>
      <c r="D171" s="21" t="n">
        <v>268</v>
      </c>
      <c r="E171" s="21" t="n">
        <v>242</v>
      </c>
      <c r="F171" s="52" t="n">
        <f aca="false">IF(E171="","",D171-E171)</f>
        <v>26</v>
      </c>
      <c r="G171" s="21" t="n">
        <v>285</v>
      </c>
      <c r="H171" s="21" t="n">
        <v>337</v>
      </c>
      <c r="I171" s="52" t="n">
        <f aca="false">IF(H171="","",G171-H171)</f>
        <v>-52</v>
      </c>
      <c r="J171" s="39" t="n">
        <f aca="false">IF(OR(D171="",D171+G171=0),"",D171/(D171+G171))</f>
        <v>0.484629294755877</v>
      </c>
      <c r="K171" s="39" t="n">
        <f aca="false">IF(E171="","",E171/(E171+H171))</f>
        <v>0.417962003454231</v>
      </c>
      <c r="L171" s="53" t="n">
        <f aca="false">IF(OR(K171="",J171=""),"",(J171-K171)*100)</f>
        <v>6.66672913016456</v>
      </c>
      <c r="M171" s="38"/>
    </row>
    <row r="172" customFormat="false" ht="15" hidden="false" customHeight="false" outlineLevel="0" collapsed="false">
      <c r="A172" s="38" t="s">
        <v>156</v>
      </c>
      <c r="B172" s="38" t="s">
        <v>287</v>
      </c>
      <c r="C172" s="38" t="s">
        <v>289</v>
      </c>
      <c r="D172" s="21" t="n">
        <v>211</v>
      </c>
      <c r="E172" s="21" t="n">
        <v>187</v>
      </c>
      <c r="F172" s="52" t="n">
        <f aca="false">IF(E172="","",D172-E172)</f>
        <v>24</v>
      </c>
      <c r="G172" s="21" t="n">
        <v>257</v>
      </c>
      <c r="H172" s="21" t="n">
        <v>292</v>
      </c>
      <c r="I172" s="52" t="n">
        <f aca="false">IF(H172="","",G172-H172)</f>
        <v>-35</v>
      </c>
      <c r="J172" s="39" t="n">
        <f aca="false">IF(OR(D172="",D172+G172=0),"",D172/(D172+G172))</f>
        <v>0.450854700854701</v>
      </c>
      <c r="K172" s="39" t="n">
        <f aca="false">IF(E172="","",E172/(E172+H172))</f>
        <v>0.390396659707724</v>
      </c>
      <c r="L172" s="53" t="n">
        <f aca="false">IF(OR(K172="",J172=""),"",(J172-K172)*100)</f>
        <v>6.04580411469765</v>
      </c>
      <c r="M172" s="38"/>
    </row>
    <row r="173" customFormat="false" ht="15" hidden="false" customHeight="false" outlineLevel="0" collapsed="false">
      <c r="A173" s="38" t="s">
        <v>156</v>
      </c>
      <c r="B173" s="38" t="s">
        <v>287</v>
      </c>
      <c r="C173" s="38" t="s">
        <v>290</v>
      </c>
      <c r="D173" s="21" t="n">
        <v>390</v>
      </c>
      <c r="E173" s="21" t="n">
        <v>371</v>
      </c>
      <c r="F173" s="52" t="n">
        <f aca="false">IF(E173="","",D173-E173)</f>
        <v>19</v>
      </c>
      <c r="G173" s="21" t="n">
        <v>487</v>
      </c>
      <c r="H173" s="21" t="n">
        <v>527</v>
      </c>
      <c r="I173" s="52" t="n">
        <f aca="false">IF(H173="","",G173-H173)</f>
        <v>-40</v>
      </c>
      <c r="J173" s="39" t="n">
        <f aca="false">IF(OR(D173="",D173+G173=0),"",D173/(D173+G173))</f>
        <v>0.444697833523375</v>
      </c>
      <c r="K173" s="39" t="n">
        <f aca="false">IF(E173="","",E173/(E173+H173))</f>
        <v>0.413140311804009</v>
      </c>
      <c r="L173" s="53" t="n">
        <f aca="false">IF(OR(K173="",J173=""),"",(J173-K173)*100)</f>
        <v>3.15575217193663</v>
      </c>
      <c r="M173" s="38"/>
    </row>
    <row r="174" customFormat="false" ht="15" hidden="false" customHeight="false" outlineLevel="0" collapsed="false">
      <c r="A174" s="38" t="s">
        <v>156</v>
      </c>
      <c r="B174" s="38" t="s">
        <v>291</v>
      </c>
      <c r="C174" s="38" t="s">
        <v>292</v>
      </c>
      <c r="D174" s="21" t="n">
        <v>983</v>
      </c>
      <c r="E174" s="21" t="n">
        <v>912</v>
      </c>
      <c r="F174" s="52" t="n">
        <f aca="false">IF(E174="","",D174-E174)</f>
        <v>71</v>
      </c>
      <c r="G174" s="21" t="n">
        <v>860</v>
      </c>
      <c r="H174" s="21" t="n">
        <v>964</v>
      </c>
      <c r="I174" s="52" t="n">
        <f aca="false">IF(H174="","",G174-H174)</f>
        <v>-104</v>
      </c>
      <c r="J174" s="39" t="n">
        <f aca="false">IF(OR(D174="",D174+G174=0),"",D174/(D174+G174))</f>
        <v>0.533369506239826</v>
      </c>
      <c r="K174" s="39" t="n">
        <f aca="false">IF(E174="","",E174/(E174+H174))</f>
        <v>0.486140724946695</v>
      </c>
      <c r="L174" s="53" t="n">
        <f aca="false">IF(OR(K174="",J174=""),"",(J174-K174)*100)</f>
        <v>4.72287812931313</v>
      </c>
      <c r="M174" s="38"/>
    </row>
    <row r="175" customFormat="false" ht="15" hidden="false" customHeight="false" outlineLevel="0" collapsed="false">
      <c r="A175" s="38" t="s">
        <v>156</v>
      </c>
      <c r="B175" s="38" t="s">
        <v>291</v>
      </c>
      <c r="C175" s="38" t="s">
        <v>293</v>
      </c>
      <c r="D175" s="21" t="n">
        <v>484</v>
      </c>
      <c r="E175" s="21" t="n">
        <v>449</v>
      </c>
      <c r="F175" s="52" t="n">
        <f aca="false">IF(E175="","",D175-E175)</f>
        <v>35</v>
      </c>
      <c r="G175" s="21" t="n">
        <v>417</v>
      </c>
      <c r="H175" s="21" t="n">
        <v>448</v>
      </c>
      <c r="I175" s="52" t="n">
        <f aca="false">IF(H175="","",G175-H175)</f>
        <v>-31</v>
      </c>
      <c r="J175" s="39" t="n">
        <f aca="false">IF(OR(D175="",D175+G175=0),"",D175/(D175+G175))</f>
        <v>0.537180910099889</v>
      </c>
      <c r="K175" s="39" t="n">
        <f aca="false">IF(E175="","",E175/(E175+H175))</f>
        <v>0.500557413600892</v>
      </c>
      <c r="L175" s="53" t="n">
        <f aca="false">IF(OR(K175="",J175=""),"",(J175-K175)*100)</f>
        <v>3.66234964989971</v>
      </c>
      <c r="M175" s="38"/>
    </row>
    <row r="176" customFormat="false" ht="15" hidden="false" customHeight="false" outlineLevel="0" collapsed="false">
      <c r="A176" s="38" t="s">
        <v>156</v>
      </c>
      <c r="B176" s="38" t="s">
        <v>291</v>
      </c>
      <c r="C176" s="38" t="s">
        <v>294</v>
      </c>
      <c r="D176" s="21" t="n">
        <v>1131</v>
      </c>
      <c r="E176" s="21" t="n">
        <v>1161</v>
      </c>
      <c r="F176" s="52" t="n">
        <f aca="false">IF(E176="","",D176-E176)</f>
        <v>-30</v>
      </c>
      <c r="G176" s="21" t="n">
        <v>837</v>
      </c>
      <c r="H176" s="21" t="n">
        <v>915</v>
      </c>
      <c r="I176" s="52" t="n">
        <f aca="false">IF(H176="","",G176-H176)</f>
        <v>-78</v>
      </c>
      <c r="J176" s="39" t="n">
        <f aca="false">IF(OR(D176="",D176+G176=0),"",D176/(D176+G176))</f>
        <v>0.57469512195122</v>
      </c>
      <c r="K176" s="39" t="n">
        <f aca="false">IF(E176="","",E176/(E176+H176))</f>
        <v>0.559248554913295</v>
      </c>
      <c r="L176" s="53" t="n">
        <f aca="false">IF(OR(K176="",J176=""),"",(J176-K176)*100)</f>
        <v>1.54465670379247</v>
      </c>
      <c r="M176" s="38"/>
    </row>
    <row r="177" customFormat="false" ht="15" hidden="false" customHeight="false" outlineLevel="0" collapsed="false">
      <c r="A177" s="38" t="s">
        <v>156</v>
      </c>
      <c r="B177" s="38" t="s">
        <v>291</v>
      </c>
      <c r="C177" s="38" t="s">
        <v>295</v>
      </c>
      <c r="D177" s="21" t="n">
        <v>573</v>
      </c>
      <c r="E177" s="21" t="n">
        <v>534</v>
      </c>
      <c r="F177" s="52" t="n">
        <f aca="false">IF(E177="","",D177-E177)</f>
        <v>39</v>
      </c>
      <c r="G177" s="21" t="n">
        <v>533</v>
      </c>
      <c r="H177" s="21" t="n">
        <v>577</v>
      </c>
      <c r="I177" s="52" t="n">
        <f aca="false">IF(H177="","",G177-H177)</f>
        <v>-44</v>
      </c>
      <c r="J177" s="39" t="n">
        <f aca="false">IF(OR(D177="",D177+G177=0),"",D177/(D177+G177))</f>
        <v>0.518083182640145</v>
      </c>
      <c r="K177" s="39" t="n">
        <f aca="false">IF(E177="","",E177/(E177+H177))</f>
        <v>0.480648064806481</v>
      </c>
      <c r="L177" s="53" t="n">
        <f aca="false">IF(OR(K177="",J177=""),"",(J177-K177)*100)</f>
        <v>3.7435117833664</v>
      </c>
      <c r="M177" s="38"/>
    </row>
    <row r="178" customFormat="false" ht="15" hidden="false" customHeight="false" outlineLevel="0" collapsed="false">
      <c r="A178" s="38" t="s">
        <v>156</v>
      </c>
      <c r="B178" s="38" t="s">
        <v>291</v>
      </c>
      <c r="C178" s="38" t="s">
        <v>296</v>
      </c>
      <c r="D178" s="21" t="n">
        <v>1070</v>
      </c>
      <c r="E178" s="21" t="n">
        <v>1123</v>
      </c>
      <c r="F178" s="52" t="n">
        <f aca="false">IF(E178="","",D178-E178)</f>
        <v>-53</v>
      </c>
      <c r="G178" s="21" t="n">
        <v>768</v>
      </c>
      <c r="H178" s="21" t="n">
        <v>741</v>
      </c>
      <c r="I178" s="52" t="n">
        <f aca="false">IF(H178="","",G178-H178)</f>
        <v>27</v>
      </c>
      <c r="J178" s="39" t="n">
        <f aca="false">IF(OR(D178="",D178+G178=0),"",D178/(D178+G178))</f>
        <v>0.58215451577802</v>
      </c>
      <c r="K178" s="39" t="n">
        <f aca="false">IF(E178="","",E178/(E178+H178))</f>
        <v>0.602467811158798</v>
      </c>
      <c r="L178" s="53" t="n">
        <f aca="false">IF(OR(K178="",J178=""),"",(J178-K178)*100)</f>
        <v>-2.03132953807788</v>
      </c>
      <c r="M178" s="38"/>
    </row>
    <row r="179" customFormat="false" ht="15" hidden="false" customHeight="false" outlineLevel="0" collapsed="false">
      <c r="A179" s="38" t="s">
        <v>156</v>
      </c>
      <c r="B179" s="38" t="s">
        <v>291</v>
      </c>
      <c r="C179" s="38" t="s">
        <v>297</v>
      </c>
      <c r="D179" s="21" t="n">
        <v>955</v>
      </c>
      <c r="E179" s="21" t="n">
        <v>1054</v>
      </c>
      <c r="F179" s="52" t="n">
        <f aca="false">IF(E179="","",D179-E179)</f>
        <v>-99</v>
      </c>
      <c r="G179" s="21" t="n">
        <v>661</v>
      </c>
      <c r="H179" s="21" t="n">
        <v>706</v>
      </c>
      <c r="I179" s="52" t="n">
        <f aca="false">IF(H179="","",G179-H179)</f>
        <v>-45</v>
      </c>
      <c r="J179" s="39" t="n">
        <f aca="false">IF(OR(D179="",D179+G179=0),"",D179/(D179+G179))</f>
        <v>0.590965346534654</v>
      </c>
      <c r="K179" s="39" t="n">
        <f aca="false">IF(E179="","",E179/(E179+H179))</f>
        <v>0.598863636363636</v>
      </c>
      <c r="L179" s="53" t="n">
        <f aca="false">IF(OR(K179="",J179=""),"",(J179-K179)*100)</f>
        <v>-0.789828982898289</v>
      </c>
      <c r="M179" s="38"/>
    </row>
    <row r="180" customFormat="false" ht="15" hidden="false" customHeight="false" outlineLevel="0" collapsed="false">
      <c r="A180" s="38" t="s">
        <v>156</v>
      </c>
      <c r="B180" s="38" t="s">
        <v>291</v>
      </c>
      <c r="C180" s="38" t="s">
        <v>298</v>
      </c>
      <c r="D180" s="21" t="n">
        <v>491</v>
      </c>
      <c r="E180" s="21" t="n">
        <v>469</v>
      </c>
      <c r="F180" s="52" t="n">
        <f aca="false">IF(E180="","",D180-E180)</f>
        <v>22</v>
      </c>
      <c r="G180" s="21" t="n">
        <v>398</v>
      </c>
      <c r="H180" s="21" t="n">
        <v>468</v>
      </c>
      <c r="I180" s="52" t="n">
        <f aca="false">IF(H180="","",G180-H180)</f>
        <v>-70</v>
      </c>
      <c r="J180" s="39" t="n">
        <f aca="false">IF(OR(D180="",D180+G180=0),"",D180/(D180+G180))</f>
        <v>0.552305961754781</v>
      </c>
      <c r="K180" s="39" t="n">
        <f aca="false">IF(E180="","",E180/(E180+H180))</f>
        <v>0.500533617929562</v>
      </c>
      <c r="L180" s="53" t="n">
        <f aca="false">IF(OR(K180="",J180=""),"",(J180-K180)*100)</f>
        <v>5.17723438252182</v>
      </c>
      <c r="M180" s="38"/>
    </row>
    <row r="181" customFormat="false" ht="15" hidden="false" customHeight="false" outlineLevel="0" collapsed="false">
      <c r="A181" s="38" t="s">
        <v>156</v>
      </c>
      <c r="B181" s="38" t="s">
        <v>291</v>
      </c>
      <c r="C181" s="38" t="s">
        <v>299</v>
      </c>
      <c r="D181" s="21" t="n">
        <v>1260</v>
      </c>
      <c r="E181" s="21" t="n">
        <v>1317</v>
      </c>
      <c r="F181" s="52" t="n">
        <f aca="false">IF(E181="","",D181-E181)</f>
        <v>-57</v>
      </c>
      <c r="G181" s="21" t="n">
        <v>1127</v>
      </c>
      <c r="H181" s="21" t="n">
        <v>1291</v>
      </c>
      <c r="I181" s="52" t="n">
        <f aca="false">IF(H181="","",G181-H181)</f>
        <v>-164</v>
      </c>
      <c r="J181" s="39" t="n">
        <f aca="false">IF(OR(D181="",D181+G181=0),"",D181/(D181+G181))</f>
        <v>0.527859237536657</v>
      </c>
      <c r="K181" s="39" t="n">
        <f aca="false">IF(E181="","",E181/(E181+H181))</f>
        <v>0.504984662576687</v>
      </c>
      <c r="L181" s="53" t="n">
        <f aca="false">IF(OR(K181="",J181=""),"",(J181-K181)*100)</f>
        <v>2.28745749599697</v>
      </c>
      <c r="M181" s="38"/>
    </row>
    <row r="182" customFormat="false" ht="15" hidden="false" customHeight="false" outlineLevel="0" collapsed="false">
      <c r="A182" s="38" t="s">
        <v>156</v>
      </c>
      <c r="B182" s="38" t="s">
        <v>300</v>
      </c>
      <c r="C182" s="38" t="s">
        <v>301</v>
      </c>
      <c r="D182" s="21" t="n">
        <v>1035</v>
      </c>
      <c r="E182" s="21" t="n">
        <v>992</v>
      </c>
      <c r="F182" s="52" t="n">
        <f aca="false">IF(E182="","",D182-E182)</f>
        <v>43</v>
      </c>
      <c r="G182" s="21" t="n">
        <v>928</v>
      </c>
      <c r="H182" s="21" t="n">
        <v>983</v>
      </c>
      <c r="I182" s="52" t="n">
        <f aca="false">IF(H182="","",G182-H182)</f>
        <v>-55</v>
      </c>
      <c r="J182" s="39" t="n">
        <f aca="false">IF(OR(D182="",D182+G182=0),"",D182/(D182+G182))</f>
        <v>0.527254202750892</v>
      </c>
      <c r="K182" s="39" t="n">
        <f aca="false">IF(E182="","",E182/(E182+H182))</f>
        <v>0.502278481012658</v>
      </c>
      <c r="L182" s="53" t="n">
        <f aca="false">IF(OR(K182="",J182=""),"",(J182-K182)*100)</f>
        <v>2.49757217382333</v>
      </c>
      <c r="M182" s="38"/>
    </row>
    <row r="183" customFormat="false" ht="15" hidden="false" customHeight="false" outlineLevel="0" collapsed="false">
      <c r="A183" s="38" t="s">
        <v>156</v>
      </c>
      <c r="B183" s="38" t="s">
        <v>300</v>
      </c>
      <c r="C183" s="38" t="s">
        <v>302</v>
      </c>
      <c r="D183" s="21" t="n">
        <v>1345</v>
      </c>
      <c r="E183" s="21" t="n">
        <v>1311</v>
      </c>
      <c r="F183" s="52" t="n">
        <f aca="false">IF(E183="","",D183-E183)</f>
        <v>34</v>
      </c>
      <c r="G183" s="21" t="n">
        <v>1240</v>
      </c>
      <c r="H183" s="21" t="n">
        <v>1258</v>
      </c>
      <c r="I183" s="52" t="n">
        <f aca="false">IF(H183="","",G183-H183)</f>
        <v>-18</v>
      </c>
      <c r="J183" s="39" t="n">
        <f aca="false">IF(OR(D183="",D183+G183=0),"",D183/(D183+G183))</f>
        <v>0.520309477756286</v>
      </c>
      <c r="K183" s="39" t="n">
        <f aca="false">IF(E183="","",E183/(E183+H183))</f>
        <v>0.510315297781238</v>
      </c>
      <c r="L183" s="53" t="n">
        <f aca="false">IF(OR(K183="",J183=""),"",(J183-K183)*100)</f>
        <v>0.999417997504837</v>
      </c>
      <c r="M183" s="38"/>
    </row>
    <row r="184" customFormat="false" ht="15" hidden="false" customHeight="false" outlineLevel="0" collapsed="false">
      <c r="A184" s="38" t="s">
        <v>156</v>
      </c>
      <c r="B184" s="38" t="s">
        <v>300</v>
      </c>
      <c r="C184" s="38" t="s">
        <v>303</v>
      </c>
      <c r="D184" s="21" t="n">
        <v>819</v>
      </c>
      <c r="E184" s="21" t="n">
        <v>914</v>
      </c>
      <c r="F184" s="52" t="n">
        <f aca="false">IF(E184="","",D184-E184)</f>
        <v>-95</v>
      </c>
      <c r="G184" s="21" t="n">
        <v>834</v>
      </c>
      <c r="H184" s="21" t="n">
        <v>1075</v>
      </c>
      <c r="I184" s="52" t="n">
        <f aca="false">IF(H184="","",G184-H184)</f>
        <v>-241</v>
      </c>
      <c r="J184" s="39" t="n">
        <f aca="false">IF(OR(D184="",D184+G184=0),"",D184/(D184+G184))</f>
        <v>0.49546279491833</v>
      </c>
      <c r="K184" s="39" t="n">
        <f aca="false">IF(E184="","",E184/(E184+H184))</f>
        <v>0.459527400703871</v>
      </c>
      <c r="L184" s="53" t="n">
        <f aca="false">IF(OR(K184="",J184=""),"",(J184-K184)*100)</f>
        <v>3.5935394214459</v>
      </c>
      <c r="M184" s="38"/>
    </row>
    <row r="185" customFormat="false" ht="15" hidden="false" customHeight="false" outlineLevel="0" collapsed="false">
      <c r="A185" s="38" t="s">
        <v>156</v>
      </c>
      <c r="B185" s="38" t="s">
        <v>300</v>
      </c>
      <c r="C185" s="38" t="s">
        <v>304</v>
      </c>
      <c r="D185" s="21" t="n">
        <v>607</v>
      </c>
      <c r="E185" s="21" t="n">
        <v>735</v>
      </c>
      <c r="F185" s="52" t="n">
        <f aca="false">IF(E185="","",D185-E185)</f>
        <v>-128</v>
      </c>
      <c r="G185" s="21" t="n">
        <v>474</v>
      </c>
      <c r="H185" s="21" t="n">
        <v>653</v>
      </c>
      <c r="I185" s="52" t="n">
        <f aca="false">IF(H185="","",G185-H185)</f>
        <v>-179</v>
      </c>
      <c r="J185" s="39" t="n">
        <f aca="false">IF(OR(D185="",D185+G185=0),"",D185/(D185+G185))</f>
        <v>0.561517113783534</v>
      </c>
      <c r="K185" s="39" t="n">
        <f aca="false">IF(E185="","",E185/(E185+H185))</f>
        <v>0.529538904899136</v>
      </c>
      <c r="L185" s="53" t="n">
        <f aca="false">IF(OR(K185="",J185=""),"",(J185-K185)*100)</f>
        <v>3.19782088843983</v>
      </c>
      <c r="M185" s="38"/>
    </row>
    <row r="186" customFormat="false" ht="15" hidden="false" customHeight="false" outlineLevel="0" collapsed="false">
      <c r="A186" s="38" t="s">
        <v>156</v>
      </c>
      <c r="B186" s="38" t="s">
        <v>300</v>
      </c>
      <c r="C186" s="38" t="s">
        <v>305</v>
      </c>
      <c r="D186" s="21" t="n">
        <v>1821</v>
      </c>
      <c r="E186" s="21" t="n">
        <v>1929</v>
      </c>
      <c r="F186" s="52" t="n">
        <f aca="false">IF(E186="","",D186-E186)</f>
        <v>-108</v>
      </c>
      <c r="G186" s="21" t="n">
        <v>1494</v>
      </c>
      <c r="H186" s="21" t="n">
        <v>1679</v>
      </c>
      <c r="I186" s="52" t="n">
        <f aca="false">IF(H186="","",G186-H186)</f>
        <v>-185</v>
      </c>
      <c r="J186" s="39" t="n">
        <f aca="false">IF(OR(D186="",D186+G186=0),"",D186/(D186+G186))</f>
        <v>0.549321266968326</v>
      </c>
      <c r="K186" s="39" t="n">
        <f aca="false">IF(E186="","",E186/(E186+H186))</f>
        <v>0.534645232815965</v>
      </c>
      <c r="L186" s="53" t="n">
        <f aca="false">IF(OR(K186="",J186=""),"",(J186-K186)*100)</f>
        <v>1.46760341523613</v>
      </c>
      <c r="M186" s="38"/>
    </row>
    <row r="187" customFormat="false" ht="15" hidden="false" customHeight="false" outlineLevel="0" collapsed="false">
      <c r="A187" s="38" t="s">
        <v>156</v>
      </c>
      <c r="B187" s="38" t="s">
        <v>300</v>
      </c>
      <c r="C187" s="38" t="s">
        <v>306</v>
      </c>
      <c r="D187" s="21" t="n">
        <v>692</v>
      </c>
      <c r="E187" s="21" t="n">
        <v>696</v>
      </c>
      <c r="F187" s="52" t="n">
        <f aca="false">IF(E187="","",D187-E187)</f>
        <v>-4</v>
      </c>
      <c r="G187" s="21" t="n">
        <v>592</v>
      </c>
      <c r="H187" s="21" t="n">
        <v>666</v>
      </c>
      <c r="I187" s="52" t="n">
        <f aca="false">IF(H187="","",G187-H187)</f>
        <v>-74</v>
      </c>
      <c r="J187" s="39" t="n">
        <f aca="false">IF(OR(D187="",D187+G187=0),"",D187/(D187+G187))</f>
        <v>0.538940809968847</v>
      </c>
      <c r="K187" s="39" t="n">
        <f aca="false">IF(E187="","",E187/(E187+H187))</f>
        <v>0.511013215859031</v>
      </c>
      <c r="L187" s="53" t="n">
        <f aca="false">IF(OR(K187="",J187=""),"",(J187-K187)*100)</f>
        <v>2.79275941098165</v>
      </c>
      <c r="M187" s="38"/>
    </row>
    <row r="188" customFormat="false" ht="15" hidden="false" customHeight="false" outlineLevel="0" collapsed="false">
      <c r="A188" s="38" t="s">
        <v>156</v>
      </c>
      <c r="B188" s="38" t="s">
        <v>300</v>
      </c>
      <c r="C188" s="38" t="s">
        <v>307</v>
      </c>
      <c r="D188" s="21" t="n">
        <v>745</v>
      </c>
      <c r="E188" s="21" t="n">
        <v>715</v>
      </c>
      <c r="F188" s="52" t="n">
        <f aca="false">IF(E188="","",D188-E188)</f>
        <v>30</v>
      </c>
      <c r="G188" s="21" t="n">
        <v>585</v>
      </c>
      <c r="H188" s="21" t="n">
        <v>601</v>
      </c>
      <c r="I188" s="52" t="n">
        <f aca="false">IF(H188="","",G188-H188)</f>
        <v>-16</v>
      </c>
      <c r="J188" s="39" t="n">
        <f aca="false">IF(OR(D188="",D188+G188=0),"",D188/(D188+G188))</f>
        <v>0.56015037593985</v>
      </c>
      <c r="K188" s="39" t="n">
        <f aca="false">IF(E188="","",E188/(E188+H188))</f>
        <v>0.543313069908815</v>
      </c>
      <c r="L188" s="53" t="n">
        <f aca="false">IF(OR(K188="",J188=""),"",(J188-K188)*100)</f>
        <v>1.68373060310351</v>
      </c>
      <c r="M188" s="38"/>
    </row>
    <row r="189" customFormat="false" ht="15" hidden="false" customHeight="false" outlineLevel="0" collapsed="false">
      <c r="A189" s="38" t="s">
        <v>156</v>
      </c>
      <c r="B189" s="38" t="s">
        <v>300</v>
      </c>
      <c r="C189" s="38" t="s">
        <v>308</v>
      </c>
      <c r="D189" s="21" t="n">
        <v>724</v>
      </c>
      <c r="E189" s="21" t="n">
        <v>728</v>
      </c>
      <c r="F189" s="52" t="n">
        <f aca="false">IF(E189="","",D189-E189)</f>
        <v>-4</v>
      </c>
      <c r="G189" s="21" t="n">
        <v>614</v>
      </c>
      <c r="H189" s="21" t="n">
        <v>692</v>
      </c>
      <c r="I189" s="52" t="n">
        <f aca="false">IF(H189="","",G189-H189)</f>
        <v>-78</v>
      </c>
      <c r="J189" s="39" t="n">
        <f aca="false">IF(OR(D189="",D189+G189=0),"",D189/(D189+G189))</f>
        <v>0.541106128550075</v>
      </c>
      <c r="K189" s="39" t="n">
        <f aca="false">IF(E189="","",E189/(E189+H189))</f>
        <v>0.512676056338028</v>
      </c>
      <c r="L189" s="53" t="n">
        <f aca="false">IF(OR(K189="",J189=""),"",(J189-K189)*100)</f>
        <v>2.84300722120466</v>
      </c>
      <c r="M189" s="38"/>
    </row>
    <row r="190" customFormat="false" ht="15" hidden="false" customHeight="false" outlineLevel="0" collapsed="false">
      <c r="A190" s="38" t="s">
        <v>156</v>
      </c>
      <c r="B190" s="38" t="s">
        <v>309</v>
      </c>
      <c r="C190" s="38" t="s">
        <v>310</v>
      </c>
      <c r="D190" s="21" t="n">
        <v>1364</v>
      </c>
      <c r="E190" s="21" t="n">
        <v>1473</v>
      </c>
      <c r="F190" s="52" t="n">
        <f aca="false">IF(E190="","",D190-E190)</f>
        <v>-109</v>
      </c>
      <c r="G190" s="21" t="n">
        <v>1497</v>
      </c>
      <c r="H190" s="21" t="n">
        <v>1690</v>
      </c>
      <c r="I190" s="52" t="n">
        <f aca="false">IF(H190="","",G190-H190)</f>
        <v>-193</v>
      </c>
      <c r="J190" s="39" t="n">
        <f aca="false">IF(OR(D190="",D190+G190=0),"",D190/(D190+G190))</f>
        <v>0.476756378888501</v>
      </c>
      <c r="K190" s="39" t="n">
        <f aca="false">IF(E190="","",E190/(E190+H190))</f>
        <v>0.465697122984508</v>
      </c>
      <c r="L190" s="53" t="n">
        <f aca="false">IF(OR(K190="",J190=""),"",(J190-K190)*100)</f>
        <v>1.10592559039922</v>
      </c>
      <c r="M190" s="38"/>
    </row>
    <row r="191" customFormat="false" ht="15" hidden="false" customHeight="false" outlineLevel="0" collapsed="false">
      <c r="A191" s="38" t="s">
        <v>156</v>
      </c>
      <c r="B191" s="38" t="s">
        <v>309</v>
      </c>
      <c r="C191" s="38" t="s">
        <v>311</v>
      </c>
      <c r="D191" s="21" t="n">
        <v>930</v>
      </c>
      <c r="E191" s="21" t="n">
        <v>907</v>
      </c>
      <c r="F191" s="52" t="n">
        <f aca="false">IF(E191="","",D191-E191)</f>
        <v>23</v>
      </c>
      <c r="G191" s="21" t="n">
        <v>1396</v>
      </c>
      <c r="H191" s="21" t="n">
        <v>1445</v>
      </c>
      <c r="I191" s="52" t="n">
        <f aca="false">IF(H191="","",G191-H191)</f>
        <v>-49</v>
      </c>
      <c r="J191" s="39" t="n">
        <f aca="false">IF(OR(D191="",D191+G191=0),"",D191/(D191+G191))</f>
        <v>0.399828030954428</v>
      </c>
      <c r="K191" s="39" t="n">
        <f aca="false">IF(E191="","",E191/(E191+H191))</f>
        <v>0.38562925170068</v>
      </c>
      <c r="L191" s="53" t="n">
        <f aca="false">IF(OR(K191="",J191=""),"",(J191-K191)*100)</f>
        <v>1.41987792537479</v>
      </c>
      <c r="M191" s="38"/>
    </row>
    <row r="192" customFormat="false" ht="15" hidden="false" customHeight="false" outlineLevel="0" collapsed="false">
      <c r="A192" s="38" t="s">
        <v>156</v>
      </c>
      <c r="B192" s="38" t="s">
        <v>312</v>
      </c>
      <c r="C192" s="38" t="s">
        <v>313</v>
      </c>
      <c r="D192" s="21" t="n">
        <v>1050</v>
      </c>
      <c r="E192" s="21" t="n">
        <v>1017</v>
      </c>
      <c r="F192" s="52" t="n">
        <f aca="false">IF(E192="","",D192-E192)</f>
        <v>33</v>
      </c>
      <c r="G192" s="21" t="n">
        <v>996</v>
      </c>
      <c r="H192" s="21" t="n">
        <v>1074</v>
      </c>
      <c r="I192" s="52" t="n">
        <f aca="false">IF(H192="","",G192-H192)</f>
        <v>-78</v>
      </c>
      <c r="J192" s="39" t="n">
        <f aca="false">IF(OR(D192="",D192+G192=0),"",D192/(D192+G192))</f>
        <v>0.513196480938416</v>
      </c>
      <c r="K192" s="39" t="n">
        <f aca="false">IF(E192="","",E192/(E192+H192))</f>
        <v>0.486370157819225</v>
      </c>
      <c r="L192" s="53" t="n">
        <f aca="false">IF(OR(K192="",J192=""),"",(J192-K192)*100)</f>
        <v>2.68263231191911</v>
      </c>
      <c r="M192" s="38"/>
    </row>
    <row r="193" customFormat="false" ht="15" hidden="false" customHeight="false" outlineLevel="0" collapsed="false">
      <c r="A193" s="38" t="s">
        <v>156</v>
      </c>
      <c r="B193" s="38" t="s">
        <v>312</v>
      </c>
      <c r="C193" s="38" t="s">
        <v>314</v>
      </c>
      <c r="D193" s="21" t="n">
        <v>716</v>
      </c>
      <c r="E193" s="21" t="n">
        <v>753</v>
      </c>
      <c r="F193" s="52" t="n">
        <f aca="false">IF(E193="","",D193-E193)</f>
        <v>-37</v>
      </c>
      <c r="G193" s="21" t="n">
        <v>748</v>
      </c>
      <c r="H193" s="21" t="n">
        <v>851</v>
      </c>
      <c r="I193" s="52" t="n">
        <f aca="false">IF(H193="","",G193-H193)</f>
        <v>-103</v>
      </c>
      <c r="J193" s="39" t="n">
        <f aca="false">IF(OR(D193="",D193+G193=0),"",D193/(D193+G193))</f>
        <v>0.489071038251366</v>
      </c>
      <c r="K193" s="39" t="n">
        <f aca="false">IF(E193="","",E193/(E193+H193))</f>
        <v>0.469451371571072</v>
      </c>
      <c r="L193" s="53" t="n">
        <f aca="false">IF(OR(K193="",J193=""),"",(J193-K193)*100)</f>
        <v>1.96196666802938</v>
      </c>
      <c r="M193" s="38"/>
    </row>
    <row r="194" customFormat="false" ht="15" hidden="false" customHeight="false" outlineLevel="0" collapsed="false">
      <c r="A194" s="38" t="s">
        <v>156</v>
      </c>
      <c r="B194" s="38" t="s">
        <v>312</v>
      </c>
      <c r="C194" s="38" t="s">
        <v>315</v>
      </c>
      <c r="D194" s="21" t="n">
        <v>535</v>
      </c>
      <c r="E194" s="21" t="n">
        <v>713</v>
      </c>
      <c r="F194" s="52" t="n">
        <f aca="false">IF(E194="","",D194-E194)</f>
        <v>-178</v>
      </c>
      <c r="G194" s="21" t="n">
        <v>563</v>
      </c>
      <c r="H194" s="21" t="n">
        <v>780</v>
      </c>
      <c r="I194" s="52" t="n">
        <f aca="false">IF(H194="","",G194-H194)</f>
        <v>-217</v>
      </c>
      <c r="J194" s="39" t="n">
        <f aca="false">IF(OR(D194="",D194+G194=0),"",D194/(D194+G194))</f>
        <v>0.487249544626594</v>
      </c>
      <c r="K194" s="39" t="n">
        <f aca="false">IF(E194="","",E194/(E194+H194))</f>
        <v>0.477561955793704</v>
      </c>
      <c r="L194" s="53" t="n">
        <f aca="false">IF(OR(K194="",J194=""),"",(J194-K194)*100)</f>
        <v>0.968758883288984</v>
      </c>
      <c r="M194" s="38"/>
    </row>
    <row r="195" customFormat="false" ht="15" hidden="false" customHeight="false" outlineLevel="0" collapsed="false">
      <c r="A195" s="38" t="s">
        <v>156</v>
      </c>
      <c r="B195" s="38" t="s">
        <v>312</v>
      </c>
      <c r="C195" s="38" t="s">
        <v>316</v>
      </c>
      <c r="D195" s="21" t="n">
        <v>1571</v>
      </c>
      <c r="E195" s="21" t="n">
        <v>1648</v>
      </c>
      <c r="F195" s="52" t="n">
        <f aca="false">IF(E195="","",D195-E195)</f>
        <v>-77</v>
      </c>
      <c r="G195" s="21" t="n">
        <v>1633</v>
      </c>
      <c r="H195" s="21" t="n">
        <v>1789</v>
      </c>
      <c r="I195" s="52" t="n">
        <f aca="false">IF(H195="","",G195-H195)</f>
        <v>-156</v>
      </c>
      <c r="J195" s="39" t="n">
        <f aca="false">IF(OR(D195="",D195+G195=0),"",D195/(D195+G195))</f>
        <v>0.490324594257179</v>
      </c>
      <c r="K195" s="39" t="n">
        <f aca="false">IF(E195="","",E195/(E195+H195))</f>
        <v>0.479487925516439</v>
      </c>
      <c r="L195" s="53" t="n">
        <f aca="false">IF(OR(K195="",J195=""),"",(J195-K195)*100)</f>
        <v>1.08366687407397</v>
      </c>
      <c r="M195" s="38"/>
    </row>
    <row r="196" customFormat="false" ht="15" hidden="false" customHeight="false" outlineLevel="0" collapsed="false">
      <c r="A196" s="38" t="s">
        <v>156</v>
      </c>
      <c r="B196" s="38" t="s">
        <v>312</v>
      </c>
      <c r="C196" s="38" t="s">
        <v>317</v>
      </c>
      <c r="D196" s="21" t="n">
        <v>667</v>
      </c>
      <c r="E196" s="21" t="n">
        <v>683</v>
      </c>
      <c r="F196" s="52" t="n">
        <f aca="false">IF(E196="","",D196-E196)</f>
        <v>-16</v>
      </c>
      <c r="G196" s="21" t="n">
        <v>670</v>
      </c>
      <c r="H196" s="21" t="n">
        <v>663</v>
      </c>
      <c r="I196" s="52" t="n">
        <f aca="false">IF(H196="","",G196-H196)</f>
        <v>7</v>
      </c>
      <c r="J196" s="39" t="n">
        <f aca="false">IF(OR(D196="",D196+G196=0),"",D196/(D196+G196))</f>
        <v>0.49887808526552</v>
      </c>
      <c r="K196" s="39" t="n">
        <f aca="false">IF(E196="","",E196/(E196+H196))</f>
        <v>0.507429420505201</v>
      </c>
      <c r="L196" s="53" t="n">
        <f aca="false">IF(OR(K196="",J196=""),"",(J196-K196)*100)</f>
        <v>-0.855133523968077</v>
      </c>
      <c r="M196" s="38"/>
    </row>
    <row r="197" customFormat="false" ht="15" hidden="false" customHeight="false" outlineLevel="0" collapsed="false">
      <c r="A197" s="38" t="s">
        <v>156</v>
      </c>
      <c r="B197" s="38" t="s">
        <v>312</v>
      </c>
      <c r="C197" s="38" t="s">
        <v>318</v>
      </c>
      <c r="D197" s="21" t="n">
        <v>633</v>
      </c>
      <c r="E197" s="21" t="n">
        <v>648</v>
      </c>
      <c r="F197" s="52" t="n">
        <f aca="false">IF(E197="","",D197-E197)</f>
        <v>-15</v>
      </c>
      <c r="G197" s="21" t="n">
        <v>577</v>
      </c>
      <c r="H197" s="21" t="n">
        <v>583</v>
      </c>
      <c r="I197" s="52" t="n">
        <f aca="false">IF(H197="","",G197-H197)</f>
        <v>-6</v>
      </c>
      <c r="J197" s="39" t="n">
        <f aca="false">IF(OR(D197="",D197+G197=0),"",D197/(D197+G197))</f>
        <v>0.523140495867769</v>
      </c>
      <c r="K197" s="39" t="n">
        <f aca="false">IF(E197="","",E197/(E197+H197))</f>
        <v>0.526401299756296</v>
      </c>
      <c r="L197" s="53" t="n">
        <f aca="false">IF(OR(K197="",J197=""),"",(J197-K197)*100)</f>
        <v>-0.326080388852712</v>
      </c>
      <c r="M197" s="38"/>
    </row>
    <row r="198" customFormat="false" ht="15" hidden="false" customHeight="false" outlineLevel="0" collapsed="false">
      <c r="A198" s="38" t="s">
        <v>156</v>
      </c>
      <c r="B198" s="38" t="s">
        <v>319</v>
      </c>
      <c r="C198" s="38" t="s">
        <v>320</v>
      </c>
      <c r="D198" s="21" t="n">
        <v>243</v>
      </c>
      <c r="E198" s="21" t="n">
        <v>243</v>
      </c>
      <c r="F198" s="52" t="n">
        <f aca="false">IF(E198="","",D198-E198)</f>
        <v>0</v>
      </c>
      <c r="G198" s="21" t="n">
        <v>484</v>
      </c>
      <c r="H198" s="21" t="n">
        <v>532</v>
      </c>
      <c r="I198" s="52" t="n">
        <f aca="false">IF(H198="","",G198-H198)</f>
        <v>-48</v>
      </c>
      <c r="J198" s="39" t="n">
        <f aca="false">IF(OR(D198="",D198+G198=0),"",D198/(D198+G198))</f>
        <v>0.334250343878955</v>
      </c>
      <c r="K198" s="39" t="n">
        <f aca="false">IF(E198="","",E198/(E198+H198))</f>
        <v>0.313548387096774</v>
      </c>
      <c r="L198" s="53" t="n">
        <f aca="false">IF(OR(K198="",J198=""),"",(J198-K198)*100)</f>
        <v>2.07019567821804</v>
      </c>
      <c r="M198" s="38"/>
    </row>
    <row r="199" customFormat="false" ht="15" hidden="false" customHeight="false" outlineLevel="0" collapsed="false">
      <c r="A199" s="38" t="s">
        <v>156</v>
      </c>
      <c r="B199" s="38" t="s">
        <v>319</v>
      </c>
      <c r="C199" s="38" t="s">
        <v>321</v>
      </c>
      <c r="D199" s="21" t="n">
        <v>884</v>
      </c>
      <c r="E199" s="21" t="n">
        <v>841</v>
      </c>
      <c r="F199" s="52" t="n">
        <f aca="false">IF(E199="","",D199-E199)</f>
        <v>43</v>
      </c>
      <c r="G199" s="21" t="n">
        <v>1567</v>
      </c>
      <c r="H199" s="21" t="n">
        <v>1653</v>
      </c>
      <c r="I199" s="52" t="n">
        <f aca="false">IF(H199="","",G199-H199)</f>
        <v>-86</v>
      </c>
      <c r="J199" s="39" t="n">
        <f aca="false">IF(OR(D199="",D199+G199=0),"",D199/(D199+G199))</f>
        <v>0.360669114647083</v>
      </c>
      <c r="K199" s="39" t="n">
        <f aca="false">IF(E199="","",E199/(E199+H199))</f>
        <v>0.337209302325581</v>
      </c>
      <c r="L199" s="53" t="n">
        <f aca="false">IF(OR(K199="",J199=""),"",(J199-K199)*100)</f>
        <v>2.34598123215015</v>
      </c>
      <c r="M199" s="38"/>
    </row>
    <row r="200" customFormat="false" ht="15" hidden="false" customHeight="false" outlineLevel="0" collapsed="false">
      <c r="A200" s="38" t="s">
        <v>156</v>
      </c>
      <c r="B200" s="38" t="s">
        <v>319</v>
      </c>
      <c r="C200" s="38" t="s">
        <v>322</v>
      </c>
      <c r="D200" s="21" t="n">
        <v>201</v>
      </c>
      <c r="E200" s="21" t="n">
        <v>182</v>
      </c>
      <c r="F200" s="52" t="n">
        <f aca="false">IF(E200="","",D200-E200)</f>
        <v>19</v>
      </c>
      <c r="G200" s="21" t="n">
        <v>433</v>
      </c>
      <c r="H200" s="21" t="n">
        <v>484</v>
      </c>
      <c r="I200" s="52" t="n">
        <f aca="false">IF(H200="","",G200-H200)</f>
        <v>-51</v>
      </c>
      <c r="J200" s="39" t="n">
        <f aca="false">IF(OR(D200="",D200+G200=0),"",D200/(D200+G200))</f>
        <v>0.317034700315457</v>
      </c>
      <c r="K200" s="39" t="n">
        <f aca="false">IF(E200="","",E200/(E200+H200))</f>
        <v>0.273273273273273</v>
      </c>
      <c r="L200" s="53" t="n">
        <f aca="false">IF(OR(K200="",J200=""),"",(J200-K200)*100)</f>
        <v>4.37614270421842</v>
      </c>
      <c r="M200" s="38"/>
    </row>
    <row r="201" customFormat="false" ht="15" hidden="false" customHeight="false" outlineLevel="0" collapsed="false">
      <c r="A201" s="38" t="s">
        <v>156</v>
      </c>
      <c r="B201" s="38" t="s">
        <v>323</v>
      </c>
      <c r="C201" s="38" t="s">
        <v>323</v>
      </c>
      <c r="D201" s="21" t="n">
        <v>1120</v>
      </c>
      <c r="E201" s="21" t="n">
        <v>1172</v>
      </c>
      <c r="F201" s="52" t="n">
        <f aca="false">IF(E201="","",D201-E201)</f>
        <v>-52</v>
      </c>
      <c r="G201" s="21" t="n">
        <v>2116</v>
      </c>
      <c r="H201" s="21" t="n">
        <v>2201</v>
      </c>
      <c r="I201" s="52" t="n">
        <f aca="false">IF(H201="","",G201-H201)</f>
        <v>-85</v>
      </c>
      <c r="J201" s="39" t="n">
        <f aca="false">IF(OR(D201="",D201+G201=0),"",D201/(D201+G201))</f>
        <v>0.34610630407911</v>
      </c>
      <c r="K201" s="39" t="n">
        <f aca="false">IF(E201="","",E201/(E201+H201))</f>
        <v>0.347465164541951</v>
      </c>
      <c r="L201" s="53" t="n">
        <f aca="false">IF(OR(K201="",J201=""),"",(J201-K201)*100)</f>
        <v>-0.135886046284078</v>
      </c>
      <c r="M201" s="38"/>
    </row>
    <row r="202" customFormat="false" ht="15" hidden="false" customHeight="false" outlineLevel="0" collapsed="false">
      <c r="A202" s="38" t="s">
        <v>156</v>
      </c>
      <c r="B202" s="38" t="s">
        <v>324</v>
      </c>
      <c r="C202" s="38" t="s">
        <v>325</v>
      </c>
      <c r="D202" s="21" t="n">
        <v>815</v>
      </c>
      <c r="E202" s="21" t="n">
        <v>811</v>
      </c>
      <c r="F202" s="52" t="n">
        <f aca="false">IF(E202="","",D202-E202)</f>
        <v>4</v>
      </c>
      <c r="G202" s="21" t="n">
        <v>819</v>
      </c>
      <c r="H202" s="21" t="n">
        <v>918</v>
      </c>
      <c r="I202" s="52" t="n">
        <f aca="false">IF(H202="","",G202-H202)</f>
        <v>-99</v>
      </c>
      <c r="J202" s="39" t="n">
        <f aca="false">IF(OR(D202="",D202+G202=0),"",D202/(D202+G202))</f>
        <v>0.498776009791922</v>
      </c>
      <c r="K202" s="39" t="n">
        <f aca="false">IF(E202="","",E202/(E202+H202))</f>
        <v>0.469057258530943</v>
      </c>
      <c r="L202" s="53" t="n">
        <f aca="false">IF(OR(K202="",J202=""),"",(J202-K202)*100)</f>
        <v>2.97187512609789</v>
      </c>
      <c r="M202" s="38"/>
    </row>
    <row r="203" customFormat="false" ht="15" hidden="false" customHeight="false" outlineLevel="0" collapsed="false">
      <c r="A203" s="38" t="s">
        <v>156</v>
      </c>
      <c r="B203" s="38" t="s">
        <v>324</v>
      </c>
      <c r="C203" s="38" t="s">
        <v>326</v>
      </c>
      <c r="D203" s="21" t="n">
        <v>673</v>
      </c>
      <c r="E203" s="21" t="n">
        <v>606</v>
      </c>
      <c r="F203" s="52" t="n">
        <f aca="false">IF(E203="","",D203-E203)</f>
        <v>67</v>
      </c>
      <c r="G203" s="21" t="n">
        <v>648</v>
      </c>
      <c r="H203" s="21" t="n">
        <v>669</v>
      </c>
      <c r="I203" s="52" t="n">
        <f aca="false">IF(H203="","",G203-H203)</f>
        <v>-21</v>
      </c>
      <c r="J203" s="39" t="n">
        <f aca="false">IF(OR(D203="",D203+G203=0),"",D203/(D203+G203))</f>
        <v>0.509462528387585</v>
      </c>
      <c r="K203" s="39" t="n">
        <f aca="false">IF(E203="","",E203/(E203+H203))</f>
        <v>0.475294117647059</v>
      </c>
      <c r="L203" s="53" t="n">
        <f aca="false">IF(OR(K203="",J203=""),"",(J203-K203)*100)</f>
        <v>3.41684107405264</v>
      </c>
      <c r="M203" s="38"/>
    </row>
    <row r="204" customFormat="false" ht="15" hidden="false" customHeight="false" outlineLevel="0" collapsed="false">
      <c r="A204" s="38" t="s">
        <v>156</v>
      </c>
      <c r="B204" s="38" t="s">
        <v>324</v>
      </c>
      <c r="C204" s="38" t="s">
        <v>327</v>
      </c>
      <c r="D204" s="21" t="n">
        <v>814</v>
      </c>
      <c r="E204" s="21" t="n">
        <v>732</v>
      </c>
      <c r="F204" s="52" t="n">
        <f aca="false">IF(E204="","",D204-E204)</f>
        <v>82</v>
      </c>
      <c r="G204" s="21" t="n">
        <v>560</v>
      </c>
      <c r="H204" s="21" t="n">
        <v>616</v>
      </c>
      <c r="I204" s="52" t="n">
        <f aca="false">IF(H204="","",G204-H204)</f>
        <v>-56</v>
      </c>
      <c r="J204" s="39" t="n">
        <f aca="false">IF(OR(D204="",D204+G204=0),"",D204/(D204+G204))</f>
        <v>0.592430858806405</v>
      </c>
      <c r="K204" s="39" t="n">
        <f aca="false">IF(E204="","",E204/(E204+H204))</f>
        <v>0.543026706231454</v>
      </c>
      <c r="L204" s="53" t="n">
        <f aca="false">IF(OR(K204="",J204=""),"",(J204-K204)*100)</f>
        <v>4.94041525749507</v>
      </c>
      <c r="M204" s="38"/>
    </row>
    <row r="205" customFormat="false" ht="15" hidden="false" customHeight="false" outlineLevel="0" collapsed="false">
      <c r="A205" s="38" t="s">
        <v>156</v>
      </c>
      <c r="B205" s="38" t="s">
        <v>324</v>
      </c>
      <c r="C205" s="38" t="s">
        <v>328</v>
      </c>
      <c r="D205" s="21" t="n">
        <v>889</v>
      </c>
      <c r="E205" s="21" t="n">
        <v>871</v>
      </c>
      <c r="F205" s="52" t="n">
        <f aca="false">IF(E205="","",D205-E205)</f>
        <v>18</v>
      </c>
      <c r="G205" s="21" t="n">
        <v>572</v>
      </c>
      <c r="H205" s="21" t="n">
        <v>616</v>
      </c>
      <c r="I205" s="52" t="n">
        <f aca="false">IF(H205="","",G205-H205)</f>
        <v>-44</v>
      </c>
      <c r="J205" s="39" t="n">
        <f aca="false">IF(OR(D205="",D205+G205=0),"",D205/(D205+G205))</f>
        <v>0.60848733744011</v>
      </c>
      <c r="K205" s="39" t="n">
        <f aca="false">IF(E205="","",E205/(E205+H205))</f>
        <v>0.585743106926698</v>
      </c>
      <c r="L205" s="53" t="n">
        <f aca="false">IF(OR(K205="",J205=""),"",(J205-K205)*100)</f>
        <v>2.27442305134115</v>
      </c>
      <c r="M205" s="38"/>
    </row>
    <row r="206" customFormat="false" ht="15" hidden="false" customHeight="false" outlineLevel="0" collapsed="false">
      <c r="A206" s="38" t="s">
        <v>156</v>
      </c>
      <c r="B206" s="38" t="s">
        <v>324</v>
      </c>
      <c r="C206" s="38" t="s">
        <v>329</v>
      </c>
      <c r="D206" s="21" t="n">
        <v>328</v>
      </c>
      <c r="E206" s="21" t="n">
        <v>305</v>
      </c>
      <c r="F206" s="52" t="n">
        <f aca="false">IF(E206="","",D206-E206)</f>
        <v>23</v>
      </c>
      <c r="G206" s="21" t="n">
        <v>243</v>
      </c>
      <c r="H206" s="21" t="n">
        <v>262</v>
      </c>
      <c r="I206" s="52" t="n">
        <f aca="false">IF(H206="","",G206-H206)</f>
        <v>-19</v>
      </c>
      <c r="J206" s="39" t="n">
        <f aca="false">IF(OR(D206="",D206+G206=0),"",D206/(D206+G206))</f>
        <v>0.574430823117338</v>
      </c>
      <c r="K206" s="39" t="n">
        <f aca="false">IF(E206="","",E206/(E206+H206))</f>
        <v>0.537918871252205</v>
      </c>
      <c r="L206" s="53" t="n">
        <f aca="false">IF(OR(K206="",J206=""),"",(J206-K206)*100)</f>
        <v>3.65119518651333</v>
      </c>
      <c r="M206" s="38"/>
    </row>
    <row r="207" customFormat="false" ht="15" hidden="false" customHeight="false" outlineLevel="0" collapsed="false">
      <c r="A207" s="38" t="s">
        <v>156</v>
      </c>
      <c r="B207" s="38" t="s">
        <v>324</v>
      </c>
      <c r="C207" s="38" t="s">
        <v>330</v>
      </c>
      <c r="D207" s="21" t="n">
        <v>565</v>
      </c>
      <c r="E207" s="21" t="n">
        <v>535</v>
      </c>
      <c r="F207" s="52" t="n">
        <f aca="false">IF(E207="","",D207-E207)</f>
        <v>30</v>
      </c>
      <c r="G207" s="21" t="n">
        <v>306</v>
      </c>
      <c r="H207" s="21" t="n">
        <v>364</v>
      </c>
      <c r="I207" s="52" t="n">
        <f aca="false">IF(H207="","",G207-H207)</f>
        <v>-58</v>
      </c>
      <c r="J207" s="39" t="n">
        <f aca="false">IF(OR(D207="",D207+G207=0),"",D207/(D207+G207))</f>
        <v>0.648679678530425</v>
      </c>
      <c r="K207" s="39" t="n">
        <f aca="false">IF(E207="","",E207/(E207+H207))</f>
        <v>0.595105672969967</v>
      </c>
      <c r="L207" s="53" t="n">
        <f aca="false">IF(OR(K207="",J207=""),"",(J207-K207)*100)</f>
        <v>5.35740055604582</v>
      </c>
      <c r="M207" s="38"/>
    </row>
    <row r="208" customFormat="false" ht="15" hidden="false" customHeight="false" outlineLevel="0" collapsed="false">
      <c r="A208" s="38" t="s">
        <v>156</v>
      </c>
      <c r="B208" s="38" t="s">
        <v>324</v>
      </c>
      <c r="C208" s="38" t="s">
        <v>331</v>
      </c>
      <c r="D208" s="21" t="n">
        <v>549</v>
      </c>
      <c r="E208" s="21" t="n">
        <v>564</v>
      </c>
      <c r="F208" s="52" t="n">
        <f aca="false">IF(E208="","",D208-E208)</f>
        <v>-15</v>
      </c>
      <c r="G208" s="21" t="n">
        <v>410</v>
      </c>
      <c r="H208" s="21" t="n">
        <v>451</v>
      </c>
      <c r="I208" s="52" t="n">
        <f aca="false">IF(H208="","",G208-H208)</f>
        <v>-41</v>
      </c>
      <c r="J208" s="39" t="n">
        <f aca="false">IF(OR(D208="",D208+G208=0),"",D208/(D208+G208))</f>
        <v>0.572471324296142</v>
      </c>
      <c r="K208" s="39" t="n">
        <f aca="false">IF(E208="","",E208/(E208+H208))</f>
        <v>0.555665024630542</v>
      </c>
      <c r="L208" s="53" t="n">
        <f aca="false">IF(OR(K208="",J208=""),"",(J208-K208)*100)</f>
        <v>1.68062996655999</v>
      </c>
      <c r="M208" s="38"/>
    </row>
    <row r="209" customFormat="false" ht="15" hidden="false" customHeight="false" outlineLevel="0" collapsed="false">
      <c r="A209" s="38" t="s">
        <v>156</v>
      </c>
      <c r="B209" s="38" t="s">
        <v>324</v>
      </c>
      <c r="C209" s="38" t="s">
        <v>332</v>
      </c>
      <c r="D209" s="21" t="n">
        <v>300</v>
      </c>
      <c r="E209" s="21" t="n">
        <v>279</v>
      </c>
      <c r="F209" s="52" t="n">
        <f aca="false">IF(E209="","",D209-E209)</f>
        <v>21</v>
      </c>
      <c r="G209" s="21" t="n">
        <v>277</v>
      </c>
      <c r="H209" s="21" t="n">
        <v>318</v>
      </c>
      <c r="I209" s="52" t="n">
        <f aca="false">IF(H209="","",G209-H209)</f>
        <v>-41</v>
      </c>
      <c r="J209" s="39" t="n">
        <f aca="false">IF(OR(D209="",D209+G209=0),"",D209/(D209+G209))</f>
        <v>0.519930675909879</v>
      </c>
      <c r="K209" s="39" t="n">
        <f aca="false">IF(E209="","",E209/(E209+H209))</f>
        <v>0.467336683417085</v>
      </c>
      <c r="L209" s="53" t="n">
        <f aca="false">IF(OR(K209="",J209=""),"",(J209-K209)*100)</f>
        <v>5.25939924927933</v>
      </c>
      <c r="M209" s="38"/>
    </row>
    <row r="210" customFormat="false" ht="15" hidden="false" customHeight="false" outlineLevel="0" collapsed="false">
      <c r="A210" s="38" t="s">
        <v>156</v>
      </c>
      <c r="B210" s="38" t="s">
        <v>324</v>
      </c>
      <c r="C210" s="38" t="s">
        <v>333</v>
      </c>
      <c r="D210" s="21" t="n">
        <v>601</v>
      </c>
      <c r="E210" s="21" t="n">
        <v>571</v>
      </c>
      <c r="F210" s="52" t="n">
        <f aca="false">IF(E210="","",D210-E210)</f>
        <v>30</v>
      </c>
      <c r="G210" s="21" t="n">
        <v>461</v>
      </c>
      <c r="H210" s="21" t="n">
        <v>544</v>
      </c>
      <c r="I210" s="52" t="n">
        <f aca="false">IF(H210="","",G210-H210)</f>
        <v>-83</v>
      </c>
      <c r="J210" s="39" t="n">
        <f aca="false">IF(OR(D210="",D210+G210=0),"",D210/(D210+G210))</f>
        <v>0.565913370998117</v>
      </c>
      <c r="K210" s="39" t="n">
        <f aca="false">IF(E210="","",E210/(E210+H210))</f>
        <v>0.512107623318386</v>
      </c>
      <c r="L210" s="53" t="n">
        <f aca="false">IF(OR(K210="",J210=""),"",(J210-K210)*100)</f>
        <v>5.38057476797311</v>
      </c>
      <c r="M210" s="38"/>
    </row>
    <row r="211" customFormat="false" ht="15" hidden="false" customHeight="false" outlineLevel="0" collapsed="false">
      <c r="A211" s="38" t="s">
        <v>156</v>
      </c>
      <c r="B211" s="38" t="s">
        <v>324</v>
      </c>
      <c r="C211" s="38" t="s">
        <v>334</v>
      </c>
      <c r="D211" s="21" t="n">
        <v>886</v>
      </c>
      <c r="E211" s="21" t="n">
        <v>829</v>
      </c>
      <c r="F211" s="52" t="n">
        <f aca="false">IF(E211="","",D211-E211)</f>
        <v>57</v>
      </c>
      <c r="G211" s="21" t="n">
        <v>880</v>
      </c>
      <c r="H211" s="21" t="n">
        <v>968</v>
      </c>
      <c r="I211" s="52" t="n">
        <f aca="false">IF(H211="","",G211-H211)</f>
        <v>-88</v>
      </c>
      <c r="J211" s="39" t="n">
        <f aca="false">IF(OR(D211="",D211+G211=0),"",D211/(D211+G211))</f>
        <v>0.501698754246886</v>
      </c>
      <c r="K211" s="39" t="n">
        <f aca="false">IF(E211="","",E211/(E211+H211))</f>
        <v>0.461324429604897</v>
      </c>
      <c r="L211" s="53" t="n">
        <f aca="false">IF(OR(K211="",J211=""),"",(J211-K211)*100)</f>
        <v>4.03743246419885</v>
      </c>
      <c r="M211" s="38"/>
    </row>
    <row r="212" customFormat="false" ht="15" hidden="false" customHeight="false" outlineLevel="0" collapsed="false">
      <c r="A212" s="38" t="s">
        <v>156</v>
      </c>
      <c r="B212" s="38" t="s">
        <v>324</v>
      </c>
      <c r="C212" s="38" t="s">
        <v>335</v>
      </c>
      <c r="D212" s="21" t="n">
        <v>746</v>
      </c>
      <c r="E212" s="21" t="n">
        <v>698</v>
      </c>
      <c r="F212" s="52" t="n">
        <f aca="false">IF(E212="","",D212-E212)</f>
        <v>48</v>
      </c>
      <c r="G212" s="21" t="n">
        <v>682</v>
      </c>
      <c r="H212" s="21" t="n">
        <v>748</v>
      </c>
      <c r="I212" s="52" t="n">
        <f aca="false">IF(H212="","",G212-H212)</f>
        <v>-66</v>
      </c>
      <c r="J212" s="39" t="n">
        <f aca="false">IF(OR(D212="",D212+G212=0),"",D212/(D212+G212))</f>
        <v>0.522408963585434</v>
      </c>
      <c r="K212" s="39" t="n">
        <f aca="false">IF(E212="","",E212/(E212+H212))</f>
        <v>0.482710926694329</v>
      </c>
      <c r="L212" s="53" t="n">
        <f aca="false">IF(OR(K212="",J212=""),"",(J212-K212)*100)</f>
        <v>3.9698036891105</v>
      </c>
      <c r="M212" s="38"/>
    </row>
    <row r="213" customFormat="false" ht="15" hidden="false" customHeight="false" outlineLevel="0" collapsed="false">
      <c r="A213" s="38" t="s">
        <v>156</v>
      </c>
      <c r="B213" s="38" t="s">
        <v>324</v>
      </c>
      <c r="C213" s="38" t="s">
        <v>336</v>
      </c>
      <c r="D213" s="21" t="n">
        <v>664</v>
      </c>
      <c r="E213" s="21" t="n">
        <v>582</v>
      </c>
      <c r="F213" s="52" t="n">
        <f aca="false">IF(E213="","",D213-E213)</f>
        <v>82</v>
      </c>
      <c r="G213" s="21" t="n">
        <v>526</v>
      </c>
      <c r="H213" s="21" t="n">
        <v>562</v>
      </c>
      <c r="I213" s="52" t="n">
        <f aca="false">IF(H213="","",G213-H213)</f>
        <v>-36</v>
      </c>
      <c r="J213" s="39" t="n">
        <f aca="false">IF(OR(D213="",D213+G213=0),"",D213/(D213+G213))</f>
        <v>0.557983193277311</v>
      </c>
      <c r="K213" s="39" t="n">
        <f aca="false">IF(E213="","",E213/(E213+H213))</f>
        <v>0.508741258741259</v>
      </c>
      <c r="L213" s="53" t="n">
        <f aca="false">IF(OR(K213="",J213=""),"",(J213-K213)*100)</f>
        <v>4.92419345360522</v>
      </c>
      <c r="M213" s="38"/>
    </row>
    <row r="214" customFormat="false" ht="15" hidden="false" customHeight="false" outlineLevel="0" collapsed="false">
      <c r="A214" s="38" t="s">
        <v>337</v>
      </c>
      <c r="B214" s="38" t="s">
        <v>338</v>
      </c>
      <c r="C214" s="38" t="s">
        <v>339</v>
      </c>
      <c r="D214" s="21" t="n">
        <v>487</v>
      </c>
      <c r="E214" s="21" t="n">
        <v>471</v>
      </c>
      <c r="F214" s="52" t="n">
        <f aca="false">IF(E214="","",D214-E214)</f>
        <v>16</v>
      </c>
      <c r="G214" s="21" t="n">
        <v>982</v>
      </c>
      <c r="H214" s="21" t="n">
        <v>1124</v>
      </c>
      <c r="I214" s="52" t="n">
        <f aca="false">IF(H214="","",G214-H214)</f>
        <v>-142</v>
      </c>
      <c r="J214" s="39" t="n">
        <f aca="false">IF(OR(D214="",D214+G214=0),"",D214/(D214+G214))</f>
        <v>0.331518039482641</v>
      </c>
      <c r="K214" s="39" t="n">
        <f aca="false">IF(E214="","",E214/(E214+H214))</f>
        <v>0.295297805642633</v>
      </c>
      <c r="L214" s="53" t="n">
        <f aca="false">IF(OR(K214="",J214=""),"",(J214-K214)*100)</f>
        <v>3.6220233840008</v>
      </c>
      <c r="M214" s="38"/>
    </row>
    <row r="215" customFormat="false" ht="15" hidden="false" customHeight="false" outlineLevel="0" collapsed="false">
      <c r="A215" s="38" t="s">
        <v>337</v>
      </c>
      <c r="B215" s="38" t="s">
        <v>340</v>
      </c>
      <c r="C215" s="38" t="s">
        <v>341</v>
      </c>
      <c r="D215" s="21" t="n">
        <v>1376</v>
      </c>
      <c r="E215" s="21" t="n">
        <v>1414</v>
      </c>
      <c r="F215" s="52" t="n">
        <f aca="false">IF(E215="","",D215-E215)</f>
        <v>-38</v>
      </c>
      <c r="G215" s="21" t="n">
        <v>2540</v>
      </c>
      <c r="H215" s="21" t="n">
        <v>2894</v>
      </c>
      <c r="I215" s="52" t="n">
        <f aca="false">IF(H215="","",G215-H215)</f>
        <v>-354</v>
      </c>
      <c r="J215" s="39" t="n">
        <f aca="false">IF(OR(D215="",D215+G215=0),"",D215/(D215+G215))</f>
        <v>0.351378958120531</v>
      </c>
      <c r="K215" s="39" t="n">
        <f aca="false">IF(E215="","",E215/(E215+H215))</f>
        <v>0.328226555246054</v>
      </c>
      <c r="L215" s="53" t="n">
        <f aca="false">IF(OR(K215="",J215=""),"",(J215-K215)*100)</f>
        <v>2.31524028744773</v>
      </c>
      <c r="M215" s="38"/>
    </row>
    <row r="216" customFormat="false" ht="15" hidden="false" customHeight="false" outlineLevel="0" collapsed="false">
      <c r="A216" s="38" t="s">
        <v>337</v>
      </c>
      <c r="B216" s="38" t="s">
        <v>342</v>
      </c>
      <c r="C216" s="38" t="s">
        <v>343</v>
      </c>
      <c r="D216" s="21" t="n">
        <v>968</v>
      </c>
      <c r="E216" s="21" t="n">
        <v>521</v>
      </c>
      <c r="F216" s="52" t="n">
        <f aca="false">IF(E216="","",D216-E216)</f>
        <v>447</v>
      </c>
      <c r="G216" s="21" t="n">
        <v>1863</v>
      </c>
      <c r="H216" s="21" t="n">
        <v>997</v>
      </c>
      <c r="I216" s="52" t="n">
        <f aca="false">IF(H216="","",G216-H216)</f>
        <v>866</v>
      </c>
      <c r="J216" s="39" t="n">
        <f aca="false">IF(OR(D216="",D216+G216=0),"",D216/(D216+G216))</f>
        <v>0.341928647121159</v>
      </c>
      <c r="K216" s="39" t="n">
        <f aca="false">IF(E216="","",E216/(E216+H216))</f>
        <v>0.343214756258235</v>
      </c>
      <c r="L216" s="53" t="n">
        <f aca="false">IF(OR(K216="",J216=""),"",(J216-K216)*100)</f>
        <v>-0.128610913707589</v>
      </c>
      <c r="M216" s="38"/>
    </row>
    <row r="217" customFormat="false" ht="15" hidden="false" customHeight="false" outlineLevel="0" collapsed="false">
      <c r="A217" s="38" t="s">
        <v>344</v>
      </c>
      <c r="B217" s="38" t="s">
        <v>345</v>
      </c>
      <c r="C217" s="38" t="s">
        <v>346</v>
      </c>
      <c r="D217" s="21" t="n">
        <v>687</v>
      </c>
      <c r="E217" s="21" t="n">
        <v>687</v>
      </c>
      <c r="F217" s="52" t="n">
        <f aca="false">IF(E217="","",D217-E217)</f>
        <v>0</v>
      </c>
      <c r="G217" s="21" t="n">
        <v>952</v>
      </c>
      <c r="H217" s="21" t="n">
        <v>1009</v>
      </c>
      <c r="I217" s="52" t="n">
        <f aca="false">IF(H217="","",G217-H217)</f>
        <v>-57</v>
      </c>
      <c r="J217" s="39" t="n">
        <f aca="false">IF(OR(D217="",D217+G217=0),"",D217/(D217+G217))</f>
        <v>0.419158023184869</v>
      </c>
      <c r="K217" s="39" t="n">
        <f aca="false">IF(E217="","",E217/(E217+H217))</f>
        <v>0.405070754716981</v>
      </c>
      <c r="L217" s="53" t="n">
        <f aca="false">IF(OR(K217="",J217=""),"",(J217-K217)*100)</f>
        <v>1.40872684678877</v>
      </c>
      <c r="M217" s="38"/>
    </row>
    <row r="218" customFormat="false" ht="15" hidden="false" customHeight="false" outlineLevel="0" collapsed="false">
      <c r="A218" s="38" t="s">
        <v>344</v>
      </c>
      <c r="B218" s="38" t="s">
        <v>345</v>
      </c>
      <c r="C218" s="38" t="s">
        <v>347</v>
      </c>
      <c r="D218" s="21" t="n">
        <v>858</v>
      </c>
      <c r="E218" s="21" t="n">
        <v>824</v>
      </c>
      <c r="F218" s="52" t="n">
        <f aca="false">IF(E218="","",D218-E218)</f>
        <v>34</v>
      </c>
      <c r="G218" s="21" t="n">
        <v>817</v>
      </c>
      <c r="H218" s="21" t="n">
        <v>1009</v>
      </c>
      <c r="I218" s="52" t="n">
        <f aca="false">IF(H218="","",G218-H218)</f>
        <v>-192</v>
      </c>
      <c r="J218" s="39" t="n">
        <f aca="false">IF(OR(D218="",D218+G218=0),"",D218/(D218+G218))</f>
        <v>0.512238805970149</v>
      </c>
      <c r="K218" s="39" t="n">
        <f aca="false">IF(E218="","",E218/(E218+H218))</f>
        <v>0.449536279323513</v>
      </c>
      <c r="L218" s="53" t="n">
        <f aca="false">IF(OR(K218="",J218=""),"",(J218-K218)*100)</f>
        <v>6.27025266466359</v>
      </c>
      <c r="M218" s="38"/>
    </row>
    <row r="219" customFormat="false" ht="15" hidden="false" customHeight="false" outlineLevel="0" collapsed="false">
      <c r="A219" s="38" t="s">
        <v>344</v>
      </c>
      <c r="B219" s="38" t="s">
        <v>348</v>
      </c>
      <c r="C219" s="38" t="s">
        <v>349</v>
      </c>
      <c r="D219" s="21" t="n">
        <v>475</v>
      </c>
      <c r="E219" s="21"/>
      <c r="F219" s="52" t="str">
        <f aca="false">IF(E219="","",D219-E219)</f>
        <v/>
      </c>
      <c r="G219" s="21" t="n">
        <v>651</v>
      </c>
      <c r="H219" s="21"/>
      <c r="I219" s="52" t="str">
        <f aca="false">IF(H219="","",G219-H219)</f>
        <v/>
      </c>
      <c r="J219" s="39" t="n">
        <f aca="false">IF(OR(D219="",D219+G219=0),"",D219/(D219+G219))</f>
        <v>0.421847246891652</v>
      </c>
      <c r="K219" s="39" t="str">
        <f aca="false">IF(E219="","",E219/(E219+H219))</f>
        <v/>
      </c>
      <c r="L219" s="53" t="str">
        <f aca="false">IF(OR(K219="",J219=""),"",(J219-K219)*100)</f>
        <v/>
      </c>
      <c r="M219" s="38" t="s">
        <v>650</v>
      </c>
    </row>
    <row r="220" customFormat="false" ht="15" hidden="false" customHeight="false" outlineLevel="0" collapsed="false">
      <c r="A220" s="38" t="s">
        <v>344</v>
      </c>
      <c r="B220" s="38" t="s">
        <v>348</v>
      </c>
      <c r="C220" s="38" t="s">
        <v>350</v>
      </c>
      <c r="D220" s="21" t="n">
        <v>528</v>
      </c>
      <c r="E220" s="21"/>
      <c r="F220" s="52" t="str">
        <f aca="false">IF(E220="","",D220-E220)</f>
        <v/>
      </c>
      <c r="G220" s="21" t="n">
        <v>653</v>
      </c>
      <c r="H220" s="21"/>
      <c r="I220" s="52" t="str">
        <f aca="false">IF(H220="","",G220-H220)</f>
        <v/>
      </c>
      <c r="J220" s="39" t="n">
        <f aca="false">IF(OR(D220="",D220+G220=0),"",D220/(D220+G220))</f>
        <v>0.447078746824725</v>
      </c>
      <c r="K220" s="39" t="str">
        <f aca="false">IF(E220="","",E220/(E220+H220))</f>
        <v/>
      </c>
      <c r="L220" s="53" t="str">
        <f aca="false">IF(OR(K220="",J220=""),"",(J220-K220)*100)</f>
        <v/>
      </c>
      <c r="M220" s="38" t="s">
        <v>650</v>
      </c>
    </row>
    <row r="221" customFormat="false" ht="15" hidden="false" customHeight="false" outlineLevel="0" collapsed="false">
      <c r="A221" s="38" t="s">
        <v>344</v>
      </c>
      <c r="B221" s="38" t="s">
        <v>351</v>
      </c>
      <c r="C221" s="38" t="s">
        <v>352</v>
      </c>
      <c r="D221" s="21" t="n">
        <v>624</v>
      </c>
      <c r="E221" s="21" t="n">
        <v>623</v>
      </c>
      <c r="F221" s="52" t="n">
        <f aca="false">IF(E221="","",D221-E221)</f>
        <v>1</v>
      </c>
      <c r="G221" s="21" t="n">
        <v>650</v>
      </c>
      <c r="H221" s="21" t="n">
        <v>726</v>
      </c>
      <c r="I221" s="52" t="n">
        <f aca="false">IF(H221="","",G221-H221)</f>
        <v>-76</v>
      </c>
      <c r="J221" s="39" t="n">
        <f aca="false">IF(OR(D221="",D221+G221=0),"",D221/(D221+G221))</f>
        <v>0.489795918367347</v>
      </c>
      <c r="K221" s="39" t="n">
        <f aca="false">IF(E221="","",E221/(E221+H221))</f>
        <v>0.46182357301705</v>
      </c>
      <c r="L221" s="53" t="n">
        <f aca="false">IF(OR(K221="",J221=""),"",(J221-K221)*100)</f>
        <v>2.79723453502972</v>
      </c>
      <c r="M221" s="38"/>
    </row>
    <row r="222" customFormat="false" ht="15" hidden="false" customHeight="false" outlineLevel="0" collapsed="false">
      <c r="A222" s="38" t="s">
        <v>344</v>
      </c>
      <c r="B222" s="38" t="s">
        <v>219</v>
      </c>
      <c r="C222" s="38" t="s">
        <v>353</v>
      </c>
      <c r="D222" s="21" t="n">
        <v>708</v>
      </c>
      <c r="E222" s="21" t="n">
        <v>775</v>
      </c>
      <c r="F222" s="52" t="n">
        <f aca="false">IF(E222="","",D222-E222)</f>
        <v>-67</v>
      </c>
      <c r="G222" s="21" t="n">
        <v>426</v>
      </c>
      <c r="H222" s="21" t="n">
        <v>447</v>
      </c>
      <c r="I222" s="52" t="n">
        <f aca="false">IF(H222="","",G222-H222)</f>
        <v>-21</v>
      </c>
      <c r="J222" s="39" t="n">
        <f aca="false">IF(OR(D222="",D222+G222=0),"",D222/(D222+G222))</f>
        <v>0.624338624338624</v>
      </c>
      <c r="K222" s="39" t="n">
        <f aca="false">IF(E222="","",E222/(E222+H222))</f>
        <v>0.634206219312602</v>
      </c>
      <c r="L222" s="53" t="n">
        <f aca="false">IF(OR(K222="",J222=""),"",(J222-K222)*100)</f>
        <v>-0.986759497397793</v>
      </c>
      <c r="M222" s="38"/>
    </row>
    <row r="223" customFormat="false" ht="15" hidden="false" customHeight="false" outlineLevel="0" collapsed="false">
      <c r="A223" s="38" t="s">
        <v>344</v>
      </c>
      <c r="B223" s="38" t="s">
        <v>219</v>
      </c>
      <c r="C223" s="38" t="s">
        <v>354</v>
      </c>
      <c r="D223" s="21" t="n">
        <v>982</v>
      </c>
      <c r="E223" s="21" t="n">
        <v>982</v>
      </c>
      <c r="F223" s="52" t="n">
        <f aca="false">IF(E223="","",D223-E223)</f>
        <v>0</v>
      </c>
      <c r="G223" s="21" t="n">
        <v>637</v>
      </c>
      <c r="H223" s="21" t="n">
        <v>684</v>
      </c>
      <c r="I223" s="52" t="n">
        <f aca="false">IF(H223="","",G223-H223)</f>
        <v>-47</v>
      </c>
      <c r="J223" s="39" t="n">
        <f aca="false">IF(OR(D223="",D223+G223=0),"",D223/(D223+G223))</f>
        <v>0.606547251389747</v>
      </c>
      <c r="K223" s="39" t="n">
        <f aca="false">IF(E223="","",E223/(E223+H223))</f>
        <v>0.589435774309724</v>
      </c>
      <c r="L223" s="53" t="n">
        <f aca="false">IF(OR(K223="",J223=""),"",(J223-K223)*100)</f>
        <v>1.71114770800228</v>
      </c>
      <c r="M223" s="38"/>
    </row>
    <row r="224" customFormat="false" ht="15" hidden="false" customHeight="false" outlineLevel="0" collapsed="false">
      <c r="A224" s="38" t="s">
        <v>344</v>
      </c>
      <c r="B224" s="38" t="s">
        <v>219</v>
      </c>
      <c r="C224" s="38" t="s">
        <v>355</v>
      </c>
      <c r="D224" s="21" t="n">
        <v>774</v>
      </c>
      <c r="E224" s="21" t="n">
        <v>750</v>
      </c>
      <c r="F224" s="52" t="n">
        <f aca="false">IF(E224="","",D224-E224)</f>
        <v>24</v>
      </c>
      <c r="G224" s="21" t="n">
        <v>402</v>
      </c>
      <c r="H224" s="21" t="n">
        <v>421</v>
      </c>
      <c r="I224" s="52" t="n">
        <f aca="false">IF(H224="","",G224-H224)</f>
        <v>-19</v>
      </c>
      <c r="J224" s="39" t="n">
        <f aca="false">IF(OR(D224="",D224+G224=0),"",D224/(D224+G224))</f>
        <v>0.658163265306123</v>
      </c>
      <c r="K224" s="39" t="n">
        <f aca="false">IF(E224="","",E224/(E224+H224))</f>
        <v>0.640478223740393</v>
      </c>
      <c r="L224" s="53" t="n">
        <f aca="false">IF(OR(K224="",J224=""),"",(J224-K224)*100)</f>
        <v>1.76850415657296</v>
      </c>
      <c r="M224" s="38"/>
    </row>
    <row r="225" customFormat="false" ht="15" hidden="false" customHeight="false" outlineLevel="0" collapsed="false">
      <c r="A225" s="38" t="s">
        <v>344</v>
      </c>
      <c r="B225" s="38" t="s">
        <v>219</v>
      </c>
      <c r="C225" s="38" t="s">
        <v>356</v>
      </c>
      <c r="D225" s="21" t="n">
        <v>615</v>
      </c>
      <c r="E225" s="21" t="n">
        <v>592</v>
      </c>
      <c r="F225" s="52" t="n">
        <f aca="false">IF(E225="","",D225-E225)</f>
        <v>23</v>
      </c>
      <c r="G225" s="21" t="n">
        <v>335</v>
      </c>
      <c r="H225" s="21" t="n">
        <v>337</v>
      </c>
      <c r="I225" s="52" t="n">
        <f aca="false">IF(H225="","",G225-H225)</f>
        <v>-2</v>
      </c>
      <c r="J225" s="39" t="n">
        <f aca="false">IF(OR(D225="",D225+G225=0),"",D225/(D225+G225))</f>
        <v>0.647368421052632</v>
      </c>
      <c r="K225" s="39" t="n">
        <f aca="false">IF(E225="","",E225/(E225+H225))</f>
        <v>0.63724434876211</v>
      </c>
      <c r="L225" s="53" t="n">
        <f aca="false">IF(OR(K225="",J225=""),"",(J225-K225)*100)</f>
        <v>1.01240722905218</v>
      </c>
      <c r="M225" s="38"/>
    </row>
    <row r="226" customFormat="false" ht="15" hidden="false" customHeight="false" outlineLevel="0" collapsed="false">
      <c r="A226" s="38" t="s">
        <v>344</v>
      </c>
      <c r="B226" s="38" t="s">
        <v>219</v>
      </c>
      <c r="C226" s="38" t="s">
        <v>357</v>
      </c>
      <c r="D226" s="21" t="n">
        <v>818</v>
      </c>
      <c r="E226" s="21" t="n">
        <v>740</v>
      </c>
      <c r="F226" s="52" t="n">
        <f aca="false">IF(E226="","",D226-E226)</f>
        <v>78</v>
      </c>
      <c r="G226" s="21" t="n">
        <v>491</v>
      </c>
      <c r="H226" s="21" t="n">
        <v>506</v>
      </c>
      <c r="I226" s="52" t="n">
        <f aca="false">IF(H226="","",G226-H226)</f>
        <v>-15</v>
      </c>
      <c r="J226" s="39" t="n">
        <f aca="false">IF(OR(D226="",D226+G226=0),"",D226/(D226+G226))</f>
        <v>0.624904507257448</v>
      </c>
      <c r="K226" s="39" t="n">
        <f aca="false">IF(E226="","",E226/(E226+H226))</f>
        <v>0.593900481540931</v>
      </c>
      <c r="L226" s="53" t="n">
        <f aca="false">IF(OR(K226="",J226=""),"",(J226-K226)*100)</f>
        <v>3.10040257165174</v>
      </c>
      <c r="M226" s="38"/>
    </row>
    <row r="227" customFormat="false" ht="15" hidden="false" customHeight="false" outlineLevel="0" collapsed="false">
      <c r="A227" s="38" t="s">
        <v>344</v>
      </c>
      <c r="B227" s="38" t="s">
        <v>219</v>
      </c>
      <c r="C227" s="38" t="s">
        <v>358</v>
      </c>
      <c r="D227" s="21" t="n">
        <v>1098</v>
      </c>
      <c r="E227" s="21" t="n">
        <v>1037</v>
      </c>
      <c r="F227" s="52" t="n">
        <f aca="false">IF(E227="","",D227-E227)</f>
        <v>61</v>
      </c>
      <c r="G227" s="21" t="n">
        <v>604</v>
      </c>
      <c r="H227" s="21" t="n">
        <v>623</v>
      </c>
      <c r="I227" s="52" t="n">
        <f aca="false">IF(H227="","",G227-H227)</f>
        <v>-19</v>
      </c>
      <c r="J227" s="39" t="n">
        <f aca="false">IF(OR(D227="",D227+G227=0),"",D227/(D227+G227))</f>
        <v>0.645123384253819</v>
      </c>
      <c r="K227" s="39" t="n">
        <f aca="false">IF(E227="","",E227/(E227+H227))</f>
        <v>0.624698795180723</v>
      </c>
      <c r="L227" s="53" t="n">
        <f aca="false">IF(OR(K227="",J227=""),"",(J227-K227)*100)</f>
        <v>2.04245890730961</v>
      </c>
      <c r="M227" s="38"/>
    </row>
    <row r="228" customFormat="false" ht="15" hidden="false" customHeight="false" outlineLevel="0" collapsed="false">
      <c r="A228" s="38" t="s">
        <v>344</v>
      </c>
      <c r="B228" s="38" t="s">
        <v>219</v>
      </c>
      <c r="C228" s="38" t="s">
        <v>359</v>
      </c>
      <c r="D228" s="21" t="n">
        <v>713</v>
      </c>
      <c r="E228" s="21" t="n">
        <v>681</v>
      </c>
      <c r="F228" s="52" t="n">
        <f aca="false">IF(E228="","",D228-E228)</f>
        <v>32</v>
      </c>
      <c r="G228" s="21" t="n">
        <v>479</v>
      </c>
      <c r="H228" s="21" t="n">
        <v>513</v>
      </c>
      <c r="I228" s="52" t="n">
        <f aca="false">IF(H228="","",G228-H228)</f>
        <v>-34</v>
      </c>
      <c r="J228" s="39" t="n">
        <f aca="false">IF(OR(D228="",D228+G228=0),"",D228/(D228+G228))</f>
        <v>0.598154362416107</v>
      </c>
      <c r="K228" s="39" t="n">
        <f aca="false">IF(E228="","",E228/(E228+H228))</f>
        <v>0.57035175879397</v>
      </c>
      <c r="L228" s="53" t="n">
        <f aca="false">IF(OR(K228="",J228=""),"",(J228-K228)*100)</f>
        <v>2.78026036221376</v>
      </c>
      <c r="M228" s="38"/>
    </row>
    <row r="229" customFormat="false" ht="15" hidden="false" customHeight="false" outlineLevel="0" collapsed="false">
      <c r="A229" s="38" t="s">
        <v>344</v>
      </c>
      <c r="B229" s="38" t="s">
        <v>219</v>
      </c>
      <c r="C229" s="38" t="s">
        <v>360</v>
      </c>
      <c r="D229" s="21" t="n">
        <v>557</v>
      </c>
      <c r="E229" s="21" t="n">
        <v>529</v>
      </c>
      <c r="F229" s="52" t="n">
        <f aca="false">IF(E229="","",D229-E229)</f>
        <v>28</v>
      </c>
      <c r="G229" s="21" t="n">
        <v>312</v>
      </c>
      <c r="H229" s="21" t="n">
        <v>293</v>
      </c>
      <c r="I229" s="52" t="n">
        <f aca="false">IF(H229="","",G229-H229)</f>
        <v>19</v>
      </c>
      <c r="J229" s="39" t="n">
        <f aca="false">IF(OR(D229="",D229+G229=0),"",D229/(D229+G229))</f>
        <v>0.640966628308401</v>
      </c>
      <c r="K229" s="39" t="n">
        <f aca="false">IF(E229="","",E229/(E229+H229))</f>
        <v>0.643552311435523</v>
      </c>
      <c r="L229" s="53" t="n">
        <f aca="false">IF(OR(K229="",J229=""),"",(J229-K229)*100)</f>
        <v>-0.258568312712271</v>
      </c>
      <c r="M229" s="38"/>
    </row>
    <row r="230" customFormat="false" ht="15" hidden="false" customHeight="false" outlineLevel="0" collapsed="false">
      <c r="A230" s="38" t="s">
        <v>344</v>
      </c>
      <c r="B230" s="38" t="s">
        <v>219</v>
      </c>
      <c r="C230" s="38" t="s">
        <v>361</v>
      </c>
      <c r="D230" s="21" t="n">
        <v>691</v>
      </c>
      <c r="E230" s="21" t="n">
        <v>767</v>
      </c>
      <c r="F230" s="52" t="n">
        <f aca="false">IF(E230="","",D230-E230)</f>
        <v>-76</v>
      </c>
      <c r="G230" s="21" t="n">
        <v>320</v>
      </c>
      <c r="H230" s="21" t="n">
        <v>384</v>
      </c>
      <c r="I230" s="52" t="n">
        <f aca="false">IF(H230="","",G230-H230)</f>
        <v>-64</v>
      </c>
      <c r="J230" s="39" t="n">
        <f aca="false">IF(OR(D230="",D230+G230=0),"",D230/(D230+G230))</f>
        <v>0.683481701285856</v>
      </c>
      <c r="K230" s="39" t="n">
        <f aca="false">IF(E230="","",E230/(E230+H230))</f>
        <v>0.66637706342311</v>
      </c>
      <c r="L230" s="53" t="n">
        <f aca="false">IF(OR(K230="",J230=""),"",(J230-K230)*100)</f>
        <v>1.71046378627453</v>
      </c>
      <c r="M230" s="38"/>
    </row>
    <row r="231" customFormat="false" ht="15" hidden="false" customHeight="false" outlineLevel="0" collapsed="false">
      <c r="A231" s="38" t="s">
        <v>344</v>
      </c>
      <c r="B231" s="38" t="s">
        <v>219</v>
      </c>
      <c r="C231" s="38" t="s">
        <v>362</v>
      </c>
      <c r="D231" s="21" t="n">
        <v>933</v>
      </c>
      <c r="E231" s="21" t="n">
        <v>906</v>
      </c>
      <c r="F231" s="52" t="n">
        <f aca="false">IF(E231="","",D231-E231)</f>
        <v>27</v>
      </c>
      <c r="G231" s="21" t="n">
        <v>528</v>
      </c>
      <c r="H231" s="21" t="n">
        <v>586</v>
      </c>
      <c r="I231" s="52" t="n">
        <f aca="false">IF(H231="","",G231-H231)</f>
        <v>-58</v>
      </c>
      <c r="J231" s="39" t="n">
        <f aca="false">IF(OR(D231="",D231+G231=0),"",D231/(D231+G231))</f>
        <v>0.638603696098563</v>
      </c>
      <c r="K231" s="39" t="n">
        <f aca="false">IF(E231="","",E231/(E231+H231))</f>
        <v>0.607238605898123</v>
      </c>
      <c r="L231" s="53" t="n">
        <f aca="false">IF(OR(K231="",J231=""),"",(J231-K231)*100)</f>
        <v>3.13650902004393</v>
      </c>
      <c r="M231" s="38"/>
    </row>
    <row r="232" customFormat="false" ht="15" hidden="false" customHeight="false" outlineLevel="0" collapsed="false">
      <c r="A232" s="38" t="s">
        <v>344</v>
      </c>
      <c r="B232" s="38" t="s">
        <v>219</v>
      </c>
      <c r="C232" s="38" t="s">
        <v>363</v>
      </c>
      <c r="D232" s="21" t="n">
        <v>903</v>
      </c>
      <c r="E232" s="21" t="n">
        <v>954</v>
      </c>
      <c r="F232" s="52" t="n">
        <f aca="false">IF(E232="","",D232-E232)</f>
        <v>-51</v>
      </c>
      <c r="G232" s="21" t="n">
        <v>369</v>
      </c>
      <c r="H232" s="21" t="n">
        <v>416</v>
      </c>
      <c r="I232" s="52" t="n">
        <f aca="false">IF(H232="","",G232-H232)</f>
        <v>-47</v>
      </c>
      <c r="J232" s="39" t="n">
        <f aca="false">IF(OR(D232="",D232+G232=0),"",D232/(D232+G232))</f>
        <v>0.709905660377359</v>
      </c>
      <c r="K232" s="39" t="n">
        <f aca="false">IF(E232="","",E232/(E232+H232))</f>
        <v>0.696350364963504</v>
      </c>
      <c r="L232" s="53" t="n">
        <f aca="false">IF(OR(K232="",J232=""),"",(J232-K232)*100)</f>
        <v>1.35552954138548</v>
      </c>
      <c r="M232" s="38"/>
    </row>
    <row r="233" customFormat="false" ht="15" hidden="false" customHeight="false" outlineLevel="0" collapsed="false">
      <c r="A233" s="38" t="s">
        <v>344</v>
      </c>
      <c r="B233" s="38" t="s">
        <v>219</v>
      </c>
      <c r="C233" s="38" t="s">
        <v>364</v>
      </c>
      <c r="D233" s="21" t="n">
        <v>762</v>
      </c>
      <c r="E233" s="21" t="n">
        <v>821</v>
      </c>
      <c r="F233" s="52" t="n">
        <f aca="false">IF(E233="","",D233-E233)</f>
        <v>-59</v>
      </c>
      <c r="G233" s="21" t="n">
        <v>441</v>
      </c>
      <c r="H233" s="21" t="n">
        <v>474</v>
      </c>
      <c r="I233" s="52" t="n">
        <f aca="false">IF(H233="","",G233-H233)</f>
        <v>-33</v>
      </c>
      <c r="J233" s="39" t="n">
        <f aca="false">IF(OR(D233="",D233+G233=0),"",D233/(D233+G233))</f>
        <v>0.633416458852868</v>
      </c>
      <c r="K233" s="39" t="n">
        <f aca="false">IF(E233="","",E233/(E233+H233))</f>
        <v>0.633976833976834</v>
      </c>
      <c r="L233" s="53" t="n">
        <f aca="false">IF(OR(K233="",J233=""),"",(J233-K233)*100)</f>
        <v>-0.0560375123966228</v>
      </c>
      <c r="M233" s="38"/>
    </row>
    <row r="234" customFormat="false" ht="15" hidden="false" customHeight="false" outlineLevel="0" collapsed="false">
      <c r="A234" s="38" t="s">
        <v>344</v>
      </c>
      <c r="B234" s="38" t="s">
        <v>219</v>
      </c>
      <c r="C234" s="38" t="s">
        <v>365</v>
      </c>
      <c r="D234" s="21" t="n">
        <v>293</v>
      </c>
      <c r="E234" s="21" t="n">
        <v>283</v>
      </c>
      <c r="F234" s="52" t="n">
        <f aca="false">IF(E234="","",D234-E234)</f>
        <v>10</v>
      </c>
      <c r="G234" s="21" t="n">
        <v>95</v>
      </c>
      <c r="H234" s="21" t="n">
        <v>110</v>
      </c>
      <c r="I234" s="52" t="n">
        <f aca="false">IF(H234="","",G234-H234)</f>
        <v>-15</v>
      </c>
      <c r="J234" s="39" t="n">
        <f aca="false">IF(OR(D234="",D234+G234=0),"",D234/(D234+G234))</f>
        <v>0.755154639175258</v>
      </c>
      <c r="K234" s="39" t="n">
        <f aca="false">IF(E234="","",E234/(E234+H234))</f>
        <v>0.720101781170484</v>
      </c>
      <c r="L234" s="53" t="n">
        <f aca="false">IF(OR(K234="",J234=""),"",(J234-K234)*100)</f>
        <v>3.50528580047742</v>
      </c>
      <c r="M234" s="38"/>
    </row>
    <row r="235" customFormat="false" ht="15" hidden="false" customHeight="false" outlineLevel="0" collapsed="false">
      <c r="A235" s="38" t="s">
        <v>344</v>
      </c>
      <c r="B235" s="38" t="s">
        <v>219</v>
      </c>
      <c r="C235" s="38" t="s">
        <v>366</v>
      </c>
      <c r="D235" s="21" t="n">
        <v>500</v>
      </c>
      <c r="E235" s="21" t="n">
        <v>450</v>
      </c>
      <c r="F235" s="52" t="n">
        <f aca="false">IF(E235="","",D235-E235)</f>
        <v>50</v>
      </c>
      <c r="G235" s="21" t="n">
        <v>161</v>
      </c>
      <c r="H235" s="21" t="n">
        <v>179</v>
      </c>
      <c r="I235" s="52" t="n">
        <f aca="false">IF(H235="","",G235-H235)</f>
        <v>-18</v>
      </c>
      <c r="J235" s="39" t="n">
        <f aca="false">IF(OR(D235="",D235+G235=0),"",D235/(D235+G235))</f>
        <v>0.75642965204236</v>
      </c>
      <c r="K235" s="39" t="n">
        <f aca="false">IF(E235="","",E235/(E235+H235))</f>
        <v>0.715421303656598</v>
      </c>
      <c r="L235" s="53" t="n">
        <f aca="false">IF(OR(K235="",J235=""),"",(J235-K235)*100)</f>
        <v>4.10083483857623</v>
      </c>
      <c r="M235" s="38"/>
    </row>
    <row r="236" customFormat="false" ht="15" hidden="false" customHeight="false" outlineLevel="0" collapsed="false">
      <c r="A236" s="38" t="s">
        <v>344</v>
      </c>
      <c r="B236" s="38" t="s">
        <v>219</v>
      </c>
      <c r="C236" s="38" t="s">
        <v>367</v>
      </c>
      <c r="D236" s="21" t="n">
        <v>494</v>
      </c>
      <c r="E236" s="21" t="n">
        <v>442</v>
      </c>
      <c r="F236" s="52" t="n">
        <f aca="false">IF(E236="","",D236-E236)</f>
        <v>52</v>
      </c>
      <c r="G236" s="21" t="n">
        <v>172</v>
      </c>
      <c r="H236" s="21" t="n">
        <v>161</v>
      </c>
      <c r="I236" s="52" t="n">
        <f aca="false">IF(H236="","",G236-H236)</f>
        <v>11</v>
      </c>
      <c r="J236" s="39" t="n">
        <f aca="false">IF(OR(D236="",D236+G236=0),"",D236/(D236+G236))</f>
        <v>0.741741741741742</v>
      </c>
      <c r="K236" s="39" t="n">
        <f aca="false">IF(E236="","",E236/(E236+H236))</f>
        <v>0.733001658374793</v>
      </c>
      <c r="L236" s="53" t="n">
        <f aca="false">IF(OR(K236="",J236=""),"",(J236-K236)*100)</f>
        <v>0.874008336694909</v>
      </c>
      <c r="M236" s="38"/>
    </row>
    <row r="237" customFormat="false" ht="15" hidden="false" customHeight="false" outlineLevel="0" collapsed="false">
      <c r="A237" s="38" t="s">
        <v>344</v>
      </c>
      <c r="B237" s="38" t="s">
        <v>219</v>
      </c>
      <c r="C237" s="38" t="s">
        <v>368</v>
      </c>
      <c r="D237" s="21" t="n">
        <v>587</v>
      </c>
      <c r="E237" s="21" t="n">
        <v>599</v>
      </c>
      <c r="F237" s="52" t="n">
        <f aca="false">IF(E237="","",D237-E237)</f>
        <v>-12</v>
      </c>
      <c r="G237" s="21" t="n">
        <v>181</v>
      </c>
      <c r="H237" s="21" t="n">
        <v>203</v>
      </c>
      <c r="I237" s="52" t="n">
        <f aca="false">IF(H237="","",G237-H237)</f>
        <v>-22</v>
      </c>
      <c r="J237" s="39" t="n">
        <f aca="false">IF(OR(D237="",D237+G237=0),"",D237/(D237+G237))</f>
        <v>0.764322916666667</v>
      </c>
      <c r="K237" s="39" t="n">
        <f aca="false">IF(E237="","",E237/(E237+H237))</f>
        <v>0.746882793017456</v>
      </c>
      <c r="L237" s="53" t="n">
        <f aca="false">IF(OR(K237="",J237=""),"",(J237-K237)*100)</f>
        <v>1.74401236492102</v>
      </c>
      <c r="M237" s="38"/>
    </row>
    <row r="238" customFormat="false" ht="15" hidden="false" customHeight="false" outlineLevel="0" collapsed="false">
      <c r="A238" s="38" t="s">
        <v>344</v>
      </c>
      <c r="B238" s="38" t="s">
        <v>219</v>
      </c>
      <c r="C238" s="38" t="s">
        <v>369</v>
      </c>
      <c r="D238" s="21" t="n">
        <v>714</v>
      </c>
      <c r="E238" s="21" t="n">
        <v>1506</v>
      </c>
      <c r="F238" s="52" t="n">
        <f aca="false">IF(E238="","",D238-E238)</f>
        <v>-792</v>
      </c>
      <c r="G238" s="21" t="n">
        <v>203</v>
      </c>
      <c r="H238" s="21" t="n">
        <v>338</v>
      </c>
      <c r="I238" s="52" t="n">
        <f aca="false">IF(H238="","",G238-H238)</f>
        <v>-135</v>
      </c>
      <c r="J238" s="39" t="n">
        <f aca="false">IF(OR(D238="",D238+G238=0),"",D238/(D238+G238))</f>
        <v>0.778625954198473</v>
      </c>
      <c r="K238" s="39" t="n">
        <f aca="false">IF(E238="","",E238/(E238+H238))</f>
        <v>0.816702819956616</v>
      </c>
      <c r="L238" s="53" t="n">
        <f aca="false">IF(OR(K238="",J238=""),"",(J238-K238)*100)</f>
        <v>-3.80768657581428</v>
      </c>
      <c r="M238" s="38"/>
    </row>
    <row r="239" customFormat="false" ht="15" hidden="false" customHeight="false" outlineLevel="0" collapsed="false">
      <c r="A239" s="38" t="s">
        <v>344</v>
      </c>
      <c r="B239" s="38" t="s">
        <v>219</v>
      </c>
      <c r="C239" s="38" t="s">
        <v>370</v>
      </c>
      <c r="D239" s="21" t="n">
        <v>641</v>
      </c>
      <c r="E239" s="21" t="n">
        <v>645</v>
      </c>
      <c r="F239" s="52" t="n">
        <f aca="false">IF(E239="","",D239-E239)</f>
        <v>-4</v>
      </c>
      <c r="G239" s="21" t="n">
        <v>206</v>
      </c>
      <c r="H239" s="21" t="n">
        <v>243</v>
      </c>
      <c r="I239" s="52" t="n">
        <f aca="false">IF(H239="","",G239-H239)</f>
        <v>-37</v>
      </c>
      <c r="J239" s="39" t="n">
        <f aca="false">IF(OR(D239="",D239+G239=0),"",D239/(D239+G239))</f>
        <v>0.756788665879575</v>
      </c>
      <c r="K239" s="39" t="n">
        <f aca="false">IF(E239="","",E239/(E239+H239))</f>
        <v>0.726351351351351</v>
      </c>
      <c r="L239" s="53" t="n">
        <f aca="false">IF(OR(K239="",J239=""),"",(J239-K239)*100)</f>
        <v>3.04373145282236</v>
      </c>
      <c r="M239" s="38"/>
    </row>
    <row r="240" customFormat="false" ht="15" hidden="false" customHeight="false" outlineLevel="0" collapsed="false">
      <c r="A240" s="38" t="s">
        <v>344</v>
      </c>
      <c r="B240" s="38" t="s">
        <v>219</v>
      </c>
      <c r="C240" s="38" t="s">
        <v>371</v>
      </c>
      <c r="D240" s="21" t="n">
        <v>723</v>
      </c>
      <c r="E240" s="21" t="n">
        <v>628</v>
      </c>
      <c r="F240" s="52" t="n">
        <f aca="false">IF(E240="","",D240-E240)</f>
        <v>95</v>
      </c>
      <c r="G240" s="21" t="n">
        <v>235</v>
      </c>
      <c r="H240" s="21" t="n">
        <v>267</v>
      </c>
      <c r="I240" s="52" t="n">
        <f aca="false">IF(H240="","",G240-H240)</f>
        <v>-32</v>
      </c>
      <c r="J240" s="39" t="n">
        <f aca="false">IF(OR(D240="",D240+G240=0),"",D240/(D240+G240))</f>
        <v>0.754697286012526</v>
      </c>
      <c r="K240" s="39" t="n">
        <f aca="false">IF(E240="","",E240/(E240+H240))</f>
        <v>0.701675977653631</v>
      </c>
      <c r="L240" s="53" t="n">
        <f aca="false">IF(OR(K240="",J240=""),"",(J240-K240)*100)</f>
        <v>5.30213083588947</v>
      </c>
      <c r="M240" s="38"/>
    </row>
    <row r="241" customFormat="false" ht="15" hidden="false" customHeight="false" outlineLevel="0" collapsed="false">
      <c r="A241" s="38" t="s">
        <v>344</v>
      </c>
      <c r="B241" s="38" t="s">
        <v>219</v>
      </c>
      <c r="C241" s="38" t="s">
        <v>372</v>
      </c>
      <c r="D241" s="21" t="n">
        <v>451</v>
      </c>
      <c r="E241" s="21" t="n">
        <v>473</v>
      </c>
      <c r="F241" s="52" t="n">
        <f aca="false">IF(E241="","",D241-E241)</f>
        <v>-22</v>
      </c>
      <c r="G241" s="21" t="n">
        <v>181</v>
      </c>
      <c r="H241" s="21" t="n">
        <v>153</v>
      </c>
      <c r="I241" s="52" t="n">
        <f aca="false">IF(H241="","",G241-H241)</f>
        <v>28</v>
      </c>
      <c r="J241" s="39" t="n">
        <f aca="false">IF(OR(D241="",D241+G241=0),"",D241/(D241+G241))</f>
        <v>0.713607594936709</v>
      </c>
      <c r="K241" s="39" t="n">
        <f aca="false">IF(E241="","",E241/(E241+H241))</f>
        <v>0.755591054313099</v>
      </c>
      <c r="L241" s="53" t="n">
        <f aca="false">IF(OR(K241="",J241=""),"",(J241-K241)*100)</f>
        <v>-4.19834593763901</v>
      </c>
      <c r="M241" s="38"/>
    </row>
    <row r="242" customFormat="false" ht="15" hidden="false" customHeight="false" outlineLevel="0" collapsed="false">
      <c r="A242" s="38" t="s">
        <v>344</v>
      </c>
      <c r="B242" s="38" t="s">
        <v>219</v>
      </c>
      <c r="C242" s="38" t="s">
        <v>373</v>
      </c>
      <c r="D242" s="21" t="n">
        <v>775</v>
      </c>
      <c r="E242" s="21" t="n">
        <v>745</v>
      </c>
      <c r="F242" s="52" t="n">
        <f aca="false">IF(E242="","",D242-E242)</f>
        <v>30</v>
      </c>
      <c r="G242" s="21" t="n">
        <v>282</v>
      </c>
      <c r="H242" s="21" t="n">
        <v>301</v>
      </c>
      <c r="I242" s="52" t="n">
        <f aca="false">IF(H242="","",G242-H242)</f>
        <v>-19</v>
      </c>
      <c r="J242" s="39" t="n">
        <f aca="false">IF(OR(D242="",D242+G242=0),"",D242/(D242+G242))</f>
        <v>0.733207190160833</v>
      </c>
      <c r="K242" s="39" t="n">
        <f aca="false">IF(E242="","",E242/(E242+H242))</f>
        <v>0.712237093690249</v>
      </c>
      <c r="L242" s="53" t="n">
        <f aca="false">IF(OR(K242="",J242=""),"",(J242-K242)*100)</f>
        <v>2.0970096470584</v>
      </c>
      <c r="M242" s="38"/>
    </row>
    <row r="243" customFormat="false" ht="15" hidden="false" customHeight="false" outlineLevel="0" collapsed="false">
      <c r="A243" s="38" t="s">
        <v>344</v>
      </c>
      <c r="B243" s="38" t="s">
        <v>219</v>
      </c>
      <c r="C243" s="38" t="s">
        <v>374</v>
      </c>
      <c r="D243" s="21" t="n">
        <v>678</v>
      </c>
      <c r="E243" s="21" t="n">
        <v>682</v>
      </c>
      <c r="F243" s="52" t="n">
        <f aca="false">IF(E243="","",D243-E243)</f>
        <v>-4</v>
      </c>
      <c r="G243" s="21" t="n">
        <v>285</v>
      </c>
      <c r="H243" s="21" t="n">
        <v>313</v>
      </c>
      <c r="I243" s="52" t="n">
        <f aca="false">IF(H243="","",G243-H243)</f>
        <v>-28</v>
      </c>
      <c r="J243" s="39" t="n">
        <f aca="false">IF(OR(D243="",D243+G243=0),"",D243/(D243+G243))</f>
        <v>0.70404984423676</v>
      </c>
      <c r="K243" s="39" t="n">
        <f aca="false">IF(E243="","",E243/(E243+H243))</f>
        <v>0.685427135678392</v>
      </c>
      <c r="L243" s="53" t="n">
        <f aca="false">IF(OR(K243="",J243=""),"",(J243-K243)*100)</f>
        <v>1.86227085583681</v>
      </c>
      <c r="M243" s="38"/>
    </row>
    <row r="244" customFormat="false" ht="15" hidden="false" customHeight="false" outlineLevel="0" collapsed="false">
      <c r="A244" s="38" t="s">
        <v>344</v>
      </c>
      <c r="B244" s="38" t="s">
        <v>219</v>
      </c>
      <c r="C244" s="38" t="s">
        <v>375</v>
      </c>
      <c r="D244" s="21" t="n">
        <v>738</v>
      </c>
      <c r="E244" s="21" t="n">
        <v>711</v>
      </c>
      <c r="F244" s="52" t="n">
        <f aca="false">IF(E244="","",D244-E244)</f>
        <v>27</v>
      </c>
      <c r="G244" s="21" t="n">
        <v>311</v>
      </c>
      <c r="H244" s="21" t="n">
        <v>341</v>
      </c>
      <c r="I244" s="52" t="n">
        <f aca="false">IF(H244="","",G244-H244)</f>
        <v>-30</v>
      </c>
      <c r="J244" s="39" t="n">
        <f aca="false">IF(OR(D244="",D244+G244=0),"",D244/(D244+G244))</f>
        <v>0.703527168732126</v>
      </c>
      <c r="K244" s="39" t="n">
        <f aca="false">IF(E244="","",E244/(E244+H244))</f>
        <v>0.675855513307985</v>
      </c>
      <c r="L244" s="53" t="n">
        <f aca="false">IF(OR(K244="",J244=""),"",(J244-K244)*100)</f>
        <v>2.76716554241411</v>
      </c>
      <c r="M244" s="38"/>
    </row>
    <row r="245" customFormat="false" ht="15" hidden="false" customHeight="false" outlineLevel="0" collapsed="false">
      <c r="A245" s="38" t="s">
        <v>344</v>
      </c>
      <c r="B245" s="38" t="s">
        <v>219</v>
      </c>
      <c r="C245" s="38" t="s">
        <v>376</v>
      </c>
      <c r="D245" s="21" t="n">
        <v>635</v>
      </c>
      <c r="E245" s="21"/>
      <c r="F245" s="52" t="str">
        <f aca="false">IF(E245="","",D245-E245)</f>
        <v/>
      </c>
      <c r="G245" s="21" t="n">
        <v>333</v>
      </c>
      <c r="H245" s="21"/>
      <c r="I245" s="52" t="str">
        <f aca="false">IF(H245="","",G245-H245)</f>
        <v/>
      </c>
      <c r="J245" s="39" t="n">
        <f aca="false">IF(OR(D245="",D245+G245=0),"",D245/(D245+G245))</f>
        <v>0.65599173553719</v>
      </c>
      <c r="K245" s="39" t="str">
        <f aca="false">IF(E245="","",E245/(E245+H245))</f>
        <v/>
      </c>
      <c r="L245" s="53" t="str">
        <f aca="false">IF(OR(K245="",J245=""),"",(J245-K245)*100)</f>
        <v/>
      </c>
      <c r="M245" s="38" t="s">
        <v>650</v>
      </c>
    </row>
    <row r="246" customFormat="false" ht="15" hidden="false" customHeight="false" outlineLevel="0" collapsed="false">
      <c r="A246" s="38" t="s">
        <v>344</v>
      </c>
      <c r="B246" s="38" t="s">
        <v>377</v>
      </c>
      <c r="C246" s="38" t="s">
        <v>378</v>
      </c>
      <c r="D246" s="21" t="n">
        <v>479</v>
      </c>
      <c r="E246" s="21" t="n">
        <v>466</v>
      </c>
      <c r="F246" s="52" t="n">
        <f aca="false">IF(E246="","",D246-E246)</f>
        <v>13</v>
      </c>
      <c r="G246" s="21" t="n">
        <v>401</v>
      </c>
      <c r="H246" s="21" t="n">
        <v>405</v>
      </c>
      <c r="I246" s="52" t="n">
        <f aca="false">IF(H246="","",G246-H246)</f>
        <v>-4</v>
      </c>
      <c r="J246" s="39" t="n">
        <f aca="false">IF(OR(D246="",D246+G246=0),"",D246/(D246+G246))</f>
        <v>0.544318181818182</v>
      </c>
      <c r="K246" s="39" t="n">
        <f aca="false">IF(E246="","",E246/(E246+H246))</f>
        <v>0.535017221584386</v>
      </c>
      <c r="L246" s="53" t="n">
        <f aca="false">IF(OR(K246="",J246=""),"",(J246-K246)*100)</f>
        <v>0.930096023379601</v>
      </c>
      <c r="M246" s="38"/>
    </row>
    <row r="247" customFormat="false" ht="15" hidden="false" customHeight="false" outlineLevel="0" collapsed="false">
      <c r="A247" s="38" t="s">
        <v>344</v>
      </c>
      <c r="B247" s="38" t="s">
        <v>377</v>
      </c>
      <c r="C247" s="38" t="s">
        <v>379</v>
      </c>
      <c r="D247" s="21" t="n">
        <v>588</v>
      </c>
      <c r="E247" s="21" t="n">
        <v>552</v>
      </c>
      <c r="F247" s="52" t="n">
        <f aca="false">IF(E247="","",D247-E247)</f>
        <v>36</v>
      </c>
      <c r="G247" s="21" t="n">
        <v>496</v>
      </c>
      <c r="H247" s="21" t="n">
        <v>506</v>
      </c>
      <c r="I247" s="52" t="n">
        <f aca="false">IF(H247="","",G247-H247)</f>
        <v>-10</v>
      </c>
      <c r="J247" s="39" t="n">
        <f aca="false">IF(OR(D247="",D247+G247=0),"",D247/(D247+G247))</f>
        <v>0.542435424354244</v>
      </c>
      <c r="K247" s="39" t="n">
        <f aca="false">IF(E247="","",E247/(E247+H247))</f>
        <v>0.521739130434783</v>
      </c>
      <c r="L247" s="53" t="n">
        <f aca="false">IF(OR(K247="",J247=""),"",(J247-K247)*100)</f>
        <v>2.06962939194609</v>
      </c>
      <c r="M247" s="38"/>
    </row>
    <row r="248" customFormat="false" ht="15" hidden="false" customHeight="false" outlineLevel="0" collapsed="false">
      <c r="A248" s="38" t="s">
        <v>344</v>
      </c>
      <c r="B248" s="38" t="s">
        <v>377</v>
      </c>
      <c r="C248" s="38" t="s">
        <v>380</v>
      </c>
      <c r="D248" s="21" t="n">
        <v>570</v>
      </c>
      <c r="E248" s="21" t="n">
        <v>722</v>
      </c>
      <c r="F248" s="52" t="n">
        <f aca="false">IF(E248="","",D248-E248)</f>
        <v>-152</v>
      </c>
      <c r="G248" s="21" t="n">
        <v>445</v>
      </c>
      <c r="H248" s="21" t="n">
        <v>596</v>
      </c>
      <c r="I248" s="52" t="n">
        <f aca="false">IF(H248="","",G248-H248)</f>
        <v>-151</v>
      </c>
      <c r="J248" s="39" t="n">
        <f aca="false">IF(OR(D248="",D248+G248=0),"",D248/(D248+G248))</f>
        <v>0.561576354679803</v>
      </c>
      <c r="K248" s="39" t="n">
        <f aca="false">IF(E248="","",E248/(E248+H248))</f>
        <v>0.547799696509863</v>
      </c>
      <c r="L248" s="53" t="n">
        <f aca="false">IF(OR(K248="",J248=""),"",(J248-K248)*100)</f>
        <v>1.37766581699396</v>
      </c>
      <c r="M248" s="38"/>
    </row>
    <row r="249" customFormat="false" ht="15" hidden="false" customHeight="false" outlineLevel="0" collapsed="false">
      <c r="A249" s="38" t="s">
        <v>344</v>
      </c>
      <c r="B249" s="38" t="s">
        <v>377</v>
      </c>
      <c r="C249" s="38" t="s">
        <v>381</v>
      </c>
      <c r="D249" s="21" t="n">
        <v>316</v>
      </c>
      <c r="E249" s="21" t="n">
        <v>339</v>
      </c>
      <c r="F249" s="52" t="n">
        <f aca="false">IF(E249="","",D249-E249)</f>
        <v>-23</v>
      </c>
      <c r="G249" s="21" t="n">
        <v>303</v>
      </c>
      <c r="H249" s="21" t="n">
        <v>338</v>
      </c>
      <c r="I249" s="52" t="n">
        <f aca="false">IF(H249="","",G249-H249)</f>
        <v>-35</v>
      </c>
      <c r="J249" s="39" t="n">
        <f aca="false">IF(OR(D249="",D249+G249=0),"",D249/(D249+G249))</f>
        <v>0.510500807754443</v>
      </c>
      <c r="K249" s="39" t="n">
        <f aca="false">IF(E249="","",E249/(E249+H249))</f>
        <v>0.500738552437223</v>
      </c>
      <c r="L249" s="53" t="n">
        <f aca="false">IF(OR(K249="",J249=""),"",(J249-K249)*100)</f>
        <v>0.976225531721953</v>
      </c>
      <c r="M249" s="38"/>
    </row>
    <row r="250" customFormat="false" ht="15" hidden="false" customHeight="false" outlineLevel="0" collapsed="false">
      <c r="A250" s="38" t="s">
        <v>344</v>
      </c>
      <c r="B250" s="38" t="s">
        <v>377</v>
      </c>
      <c r="C250" s="38" t="s">
        <v>382</v>
      </c>
      <c r="D250" s="21" t="n">
        <v>600</v>
      </c>
      <c r="E250" s="21" t="n">
        <v>579</v>
      </c>
      <c r="F250" s="52" t="n">
        <f aca="false">IF(E250="","",D250-E250)</f>
        <v>21</v>
      </c>
      <c r="G250" s="21" t="n">
        <v>443</v>
      </c>
      <c r="H250" s="21" t="n">
        <v>482</v>
      </c>
      <c r="I250" s="52" t="n">
        <f aca="false">IF(H250="","",G250-H250)</f>
        <v>-39</v>
      </c>
      <c r="J250" s="39" t="n">
        <f aca="false">IF(OR(D250="",D250+G250=0),"",D250/(D250+G250))</f>
        <v>0.575263662511985</v>
      </c>
      <c r="K250" s="39" t="n">
        <f aca="false">IF(E250="","",E250/(E250+H250))</f>
        <v>0.545711592836946</v>
      </c>
      <c r="L250" s="53" t="n">
        <f aca="false">IF(OR(K250="",J250=""),"",(J250-K250)*100)</f>
        <v>2.95520696750384</v>
      </c>
      <c r="M250" s="38"/>
    </row>
    <row r="251" customFormat="false" ht="15" hidden="false" customHeight="false" outlineLevel="0" collapsed="false">
      <c r="A251" s="38" t="s">
        <v>344</v>
      </c>
      <c r="B251" s="38" t="s">
        <v>377</v>
      </c>
      <c r="C251" s="38" t="s">
        <v>383</v>
      </c>
      <c r="D251" s="21" t="n">
        <v>581</v>
      </c>
      <c r="E251" s="21" t="n">
        <v>562</v>
      </c>
      <c r="F251" s="52" t="n">
        <f aca="false">IF(E251="","",D251-E251)</f>
        <v>19</v>
      </c>
      <c r="G251" s="21" t="n">
        <v>467</v>
      </c>
      <c r="H251" s="21" t="n">
        <v>525</v>
      </c>
      <c r="I251" s="52" t="n">
        <f aca="false">IF(H251="","",G251-H251)</f>
        <v>-58</v>
      </c>
      <c r="J251" s="39" t="n">
        <f aca="false">IF(OR(D251="",D251+G251=0),"",D251/(D251+G251))</f>
        <v>0.554389312977099</v>
      </c>
      <c r="K251" s="39" t="n">
        <f aca="false">IF(E251="","",E251/(E251+H251))</f>
        <v>0.517019319227231</v>
      </c>
      <c r="L251" s="53" t="n">
        <f aca="false">IF(OR(K251="",J251=""),"",(J251-K251)*100)</f>
        <v>3.73699937498684</v>
      </c>
      <c r="M251" s="38"/>
    </row>
    <row r="252" customFormat="false" ht="15" hidden="false" customHeight="false" outlineLevel="0" collapsed="false">
      <c r="A252" s="38" t="s">
        <v>344</v>
      </c>
      <c r="B252" s="38" t="s">
        <v>377</v>
      </c>
      <c r="C252" s="38" t="s">
        <v>384</v>
      </c>
      <c r="D252" s="21" t="n">
        <v>360</v>
      </c>
      <c r="E252" s="21" t="n">
        <v>337</v>
      </c>
      <c r="F252" s="52" t="n">
        <f aca="false">IF(E252="","",D252-E252)</f>
        <v>23</v>
      </c>
      <c r="G252" s="21" t="n">
        <v>271</v>
      </c>
      <c r="H252" s="21" t="n">
        <v>296</v>
      </c>
      <c r="I252" s="52" t="n">
        <f aca="false">IF(H252="","",G252-H252)</f>
        <v>-25</v>
      </c>
      <c r="J252" s="39" t="n">
        <f aca="false">IF(OR(D252="",D252+G252=0),"",D252/(D252+G252))</f>
        <v>0.570522979397781</v>
      </c>
      <c r="K252" s="39" t="n">
        <f aca="false">IF(E252="","",E252/(E252+H252))</f>
        <v>0.532385466034755</v>
      </c>
      <c r="L252" s="53" t="n">
        <f aca="false">IF(OR(K252="",J252=""),"",(J252-K252)*100)</f>
        <v>3.81375133630262</v>
      </c>
      <c r="M252" s="38"/>
    </row>
    <row r="253" customFormat="false" ht="15" hidden="false" customHeight="false" outlineLevel="0" collapsed="false">
      <c r="A253" s="38" t="s">
        <v>344</v>
      </c>
      <c r="B253" s="38" t="s">
        <v>377</v>
      </c>
      <c r="C253" s="38" t="s">
        <v>385</v>
      </c>
      <c r="D253" s="21" t="n">
        <v>460</v>
      </c>
      <c r="E253" s="21" t="n">
        <v>517</v>
      </c>
      <c r="F253" s="52" t="n">
        <f aca="false">IF(E253="","",D253-E253)</f>
        <v>-57</v>
      </c>
      <c r="G253" s="21" t="n">
        <v>320</v>
      </c>
      <c r="H253" s="21" t="n">
        <v>388</v>
      </c>
      <c r="I253" s="52" t="n">
        <f aca="false">IF(H253="","",G253-H253)</f>
        <v>-68</v>
      </c>
      <c r="J253" s="39" t="n">
        <f aca="false">IF(OR(D253="",D253+G253=0),"",D253/(D253+G253))</f>
        <v>0.58974358974359</v>
      </c>
      <c r="K253" s="39" t="n">
        <f aca="false">IF(E253="","",E253/(E253+H253))</f>
        <v>0.571270718232044</v>
      </c>
      <c r="L253" s="53" t="n">
        <f aca="false">IF(OR(K253="",J253=""),"",(J253-K253)*100)</f>
        <v>1.84728715115455</v>
      </c>
      <c r="M253" s="38"/>
    </row>
    <row r="254" customFormat="false" ht="15" hidden="false" customHeight="false" outlineLevel="0" collapsed="false">
      <c r="A254" s="38" t="s">
        <v>344</v>
      </c>
      <c r="B254" s="38" t="s">
        <v>377</v>
      </c>
      <c r="C254" s="38" t="s">
        <v>386</v>
      </c>
      <c r="D254" s="21" t="n">
        <v>324</v>
      </c>
      <c r="E254" s="21" t="n">
        <v>329</v>
      </c>
      <c r="F254" s="52" t="n">
        <f aca="false">IF(E254="","",D254-E254)</f>
        <v>-5</v>
      </c>
      <c r="G254" s="21" t="n">
        <v>220</v>
      </c>
      <c r="H254" s="21" t="n">
        <v>217</v>
      </c>
      <c r="I254" s="52" t="n">
        <f aca="false">IF(H254="","",G254-H254)</f>
        <v>3</v>
      </c>
      <c r="J254" s="39" t="n">
        <f aca="false">IF(OR(D254="",D254+G254=0),"",D254/(D254+G254))</f>
        <v>0.595588235294118</v>
      </c>
      <c r="K254" s="39" t="n">
        <f aca="false">IF(E254="","",E254/(E254+H254))</f>
        <v>0.602564102564103</v>
      </c>
      <c r="L254" s="53" t="n">
        <f aca="false">IF(OR(K254="",J254=""),"",(J254-K254)*100)</f>
        <v>-0.697586726998489</v>
      </c>
      <c r="M254" s="38"/>
    </row>
    <row r="255" customFormat="false" ht="15" hidden="false" customHeight="false" outlineLevel="0" collapsed="false">
      <c r="A255" s="38" t="s">
        <v>344</v>
      </c>
      <c r="B255" s="38" t="s">
        <v>377</v>
      </c>
      <c r="C255" s="38" t="s">
        <v>387</v>
      </c>
      <c r="D255" s="21" t="n">
        <v>366</v>
      </c>
      <c r="E255" s="21" t="n">
        <v>352</v>
      </c>
      <c r="F255" s="52" t="n">
        <f aca="false">IF(E255="","",D255-E255)</f>
        <v>14</v>
      </c>
      <c r="G255" s="21" t="n">
        <v>331</v>
      </c>
      <c r="H255" s="21" t="n">
        <v>326</v>
      </c>
      <c r="I255" s="52" t="n">
        <f aca="false">IF(H255="","",G255-H255)</f>
        <v>5</v>
      </c>
      <c r="J255" s="39" t="n">
        <f aca="false">IF(OR(D255="",D255+G255=0),"",D255/(D255+G255))</f>
        <v>0.525107604017217</v>
      </c>
      <c r="K255" s="39" t="n">
        <f aca="false">IF(E255="","",E255/(E255+H255))</f>
        <v>0.519174041297935</v>
      </c>
      <c r="L255" s="53" t="n">
        <f aca="false">IF(OR(K255="",J255=""),"",(J255-K255)*100)</f>
        <v>0.593356271928158</v>
      </c>
      <c r="M255" s="38"/>
    </row>
    <row r="256" customFormat="false" ht="15" hidden="false" customHeight="false" outlineLevel="0" collapsed="false">
      <c r="A256" s="38" t="s">
        <v>344</v>
      </c>
      <c r="B256" s="38" t="s">
        <v>377</v>
      </c>
      <c r="C256" s="38" t="s">
        <v>388</v>
      </c>
      <c r="D256" s="21" t="n">
        <v>458</v>
      </c>
      <c r="E256" s="21" t="n">
        <v>420</v>
      </c>
      <c r="F256" s="52" t="n">
        <f aca="false">IF(E256="","",D256-E256)</f>
        <v>38</v>
      </c>
      <c r="G256" s="21" t="n">
        <v>368</v>
      </c>
      <c r="H256" s="21" t="n">
        <v>378</v>
      </c>
      <c r="I256" s="52" t="n">
        <f aca="false">IF(H256="","",G256-H256)</f>
        <v>-10</v>
      </c>
      <c r="J256" s="39" t="n">
        <f aca="false">IF(OR(D256="",D256+G256=0),"",D256/(D256+G256))</f>
        <v>0.554479418886199</v>
      </c>
      <c r="K256" s="39" t="n">
        <f aca="false">IF(E256="","",E256/(E256+H256))</f>
        <v>0.526315789473684</v>
      </c>
      <c r="L256" s="53" t="n">
        <f aca="false">IF(OR(K256="",J256=""),"",(J256-K256)*100)</f>
        <v>2.81636294125144</v>
      </c>
      <c r="M256" s="38"/>
    </row>
    <row r="257" customFormat="false" ht="15" hidden="false" customHeight="false" outlineLevel="0" collapsed="false">
      <c r="A257" s="38" t="s">
        <v>344</v>
      </c>
      <c r="B257" s="38" t="s">
        <v>377</v>
      </c>
      <c r="C257" s="38" t="s">
        <v>389</v>
      </c>
      <c r="D257" s="21" t="n">
        <v>452</v>
      </c>
      <c r="E257" s="21" t="n">
        <v>522</v>
      </c>
      <c r="F257" s="52" t="n">
        <f aca="false">IF(E257="","",D257-E257)</f>
        <v>-70</v>
      </c>
      <c r="G257" s="21" t="n">
        <v>334</v>
      </c>
      <c r="H257" s="21" t="n">
        <v>400</v>
      </c>
      <c r="I257" s="52" t="n">
        <f aca="false">IF(H257="","",G257-H257)</f>
        <v>-66</v>
      </c>
      <c r="J257" s="39" t="n">
        <f aca="false">IF(OR(D257="",D257+G257=0),"",D257/(D257+G257))</f>
        <v>0.575063613231552</v>
      </c>
      <c r="K257" s="39" t="n">
        <f aca="false">IF(E257="","",E257/(E257+H257))</f>
        <v>0.566160520607375</v>
      </c>
      <c r="L257" s="53" t="n">
        <f aca="false">IF(OR(K257="",J257=""),"",(J257-K257)*100)</f>
        <v>0.890309262417688</v>
      </c>
      <c r="M257" s="38"/>
    </row>
    <row r="258" customFormat="false" ht="15" hidden="false" customHeight="false" outlineLevel="0" collapsed="false">
      <c r="A258" s="38" t="s">
        <v>344</v>
      </c>
      <c r="B258" s="38" t="s">
        <v>377</v>
      </c>
      <c r="C258" s="38" t="s">
        <v>390</v>
      </c>
      <c r="D258" s="21" t="n">
        <v>466</v>
      </c>
      <c r="E258" s="21" t="n">
        <v>436</v>
      </c>
      <c r="F258" s="52" t="n">
        <f aca="false">IF(E258="","",D258-E258)</f>
        <v>30</v>
      </c>
      <c r="G258" s="21" t="n">
        <v>420</v>
      </c>
      <c r="H258" s="21" t="n">
        <v>423</v>
      </c>
      <c r="I258" s="52" t="n">
        <f aca="false">IF(H258="","",G258-H258)</f>
        <v>-3</v>
      </c>
      <c r="J258" s="39" t="n">
        <f aca="false">IF(OR(D258="",D258+G258=0),"",D258/(D258+G258))</f>
        <v>0.525959367945824</v>
      </c>
      <c r="K258" s="39" t="n">
        <f aca="false">IF(E258="","",E258/(E258+H258))</f>
        <v>0.507566938300349</v>
      </c>
      <c r="L258" s="53" t="n">
        <f aca="false">IF(OR(K258="",J258=""),"",(J258-K258)*100)</f>
        <v>1.83924296454746</v>
      </c>
      <c r="M258" s="38"/>
    </row>
    <row r="259" customFormat="false" ht="15" hidden="false" customHeight="false" outlineLevel="0" collapsed="false">
      <c r="A259" s="38" t="s">
        <v>344</v>
      </c>
      <c r="B259" s="38" t="s">
        <v>377</v>
      </c>
      <c r="C259" s="38" t="s">
        <v>391</v>
      </c>
      <c r="D259" s="21" t="n">
        <v>915</v>
      </c>
      <c r="E259" s="21" t="n">
        <v>925</v>
      </c>
      <c r="F259" s="52" t="n">
        <f aca="false">IF(E259="","",D259-E259)</f>
        <v>-10</v>
      </c>
      <c r="G259" s="21" t="n">
        <v>693</v>
      </c>
      <c r="H259" s="21" t="n">
        <v>710</v>
      </c>
      <c r="I259" s="52" t="n">
        <f aca="false">IF(H259="","",G259-H259)</f>
        <v>-17</v>
      </c>
      <c r="J259" s="39" t="n">
        <f aca="false">IF(OR(D259="",D259+G259=0),"",D259/(D259+G259))</f>
        <v>0.569029850746269</v>
      </c>
      <c r="K259" s="39" t="n">
        <f aca="false">IF(E259="","",E259/(E259+H259))</f>
        <v>0.565749235474006</v>
      </c>
      <c r="L259" s="53" t="n">
        <f aca="false">IF(OR(K259="",J259=""),"",(J259-K259)*100)</f>
        <v>0.328061527226253</v>
      </c>
      <c r="M259" s="38"/>
    </row>
    <row r="260" customFormat="false" ht="15" hidden="false" customHeight="false" outlineLevel="0" collapsed="false">
      <c r="A260" s="38" t="s">
        <v>344</v>
      </c>
      <c r="B260" s="38" t="s">
        <v>377</v>
      </c>
      <c r="C260" s="38" t="s">
        <v>392</v>
      </c>
      <c r="D260" s="21" t="n">
        <v>532</v>
      </c>
      <c r="E260" s="21" t="n">
        <v>535</v>
      </c>
      <c r="F260" s="52" t="n">
        <f aca="false">IF(E260="","",D260-E260)</f>
        <v>-3</v>
      </c>
      <c r="G260" s="21" t="n">
        <v>495</v>
      </c>
      <c r="H260" s="21" t="n">
        <v>514</v>
      </c>
      <c r="I260" s="52" t="n">
        <f aca="false">IF(H260="","",G260-H260)</f>
        <v>-19</v>
      </c>
      <c r="J260" s="39" t="n">
        <f aca="false">IF(OR(D260="",D260+G260=0),"",D260/(D260+G260))</f>
        <v>0.518013631937683</v>
      </c>
      <c r="K260" s="39" t="n">
        <f aca="false">IF(E260="","",E260/(E260+H260))</f>
        <v>0.510009532888465</v>
      </c>
      <c r="L260" s="53" t="n">
        <f aca="false">IF(OR(K260="",J260=""),"",(J260-K260)*100)</f>
        <v>0.80040990492174</v>
      </c>
      <c r="M260" s="38"/>
    </row>
    <row r="261" customFormat="false" ht="15" hidden="false" customHeight="false" outlineLevel="0" collapsed="false">
      <c r="A261" s="38" t="s">
        <v>344</v>
      </c>
      <c r="B261" s="38" t="s">
        <v>377</v>
      </c>
      <c r="C261" s="38" t="s">
        <v>393</v>
      </c>
      <c r="D261" s="21" t="n">
        <v>524</v>
      </c>
      <c r="E261" s="21" t="n">
        <v>499</v>
      </c>
      <c r="F261" s="52" t="n">
        <f aca="false">IF(E261="","",D261-E261)</f>
        <v>25</v>
      </c>
      <c r="G261" s="21" t="n">
        <v>456</v>
      </c>
      <c r="H261" s="21" t="n">
        <v>468</v>
      </c>
      <c r="I261" s="52" t="n">
        <f aca="false">IF(H261="","",G261-H261)</f>
        <v>-12</v>
      </c>
      <c r="J261" s="39" t="n">
        <f aca="false">IF(OR(D261="",D261+G261=0),"",D261/(D261+G261))</f>
        <v>0.53469387755102</v>
      </c>
      <c r="K261" s="39" t="n">
        <f aca="false">IF(E261="","",E261/(E261+H261))</f>
        <v>0.516028955532575</v>
      </c>
      <c r="L261" s="53" t="n">
        <f aca="false">IF(OR(K261="",J261=""),"",(J261-K261)*100)</f>
        <v>1.86649220184454</v>
      </c>
      <c r="M261" s="38"/>
    </row>
    <row r="262" customFormat="false" ht="15" hidden="false" customHeight="false" outlineLevel="0" collapsed="false">
      <c r="A262" s="38" t="s">
        <v>344</v>
      </c>
      <c r="B262" s="38" t="s">
        <v>377</v>
      </c>
      <c r="C262" s="38" t="s">
        <v>394</v>
      </c>
      <c r="D262" s="21" t="n">
        <v>543</v>
      </c>
      <c r="E262" s="21" t="n">
        <v>503</v>
      </c>
      <c r="F262" s="52" t="n">
        <f aca="false">IF(E262="","",D262-E262)</f>
        <v>40</v>
      </c>
      <c r="G262" s="21" t="n">
        <v>444</v>
      </c>
      <c r="H262" s="21" t="n">
        <v>468</v>
      </c>
      <c r="I262" s="52" t="n">
        <f aca="false">IF(H262="","",G262-H262)</f>
        <v>-24</v>
      </c>
      <c r="J262" s="39" t="n">
        <f aca="false">IF(OR(D262="",D262+G262=0),"",D262/(D262+G262))</f>
        <v>0.550151975683891</v>
      </c>
      <c r="K262" s="39" t="n">
        <f aca="false">IF(E262="","",E262/(E262+H262))</f>
        <v>0.518022657054583</v>
      </c>
      <c r="L262" s="53" t="n">
        <f aca="false">IF(OR(K262="",J262=""),"",(J262-K262)*100)</f>
        <v>3.21293186293077</v>
      </c>
      <c r="M262" s="38"/>
    </row>
    <row r="263" customFormat="false" ht="15" hidden="false" customHeight="false" outlineLevel="0" collapsed="false">
      <c r="A263" s="38" t="s">
        <v>344</v>
      </c>
      <c r="B263" s="38" t="s">
        <v>395</v>
      </c>
      <c r="C263" s="38" t="s">
        <v>396</v>
      </c>
      <c r="D263" s="21" t="n">
        <v>881</v>
      </c>
      <c r="E263" s="21" t="n">
        <v>939</v>
      </c>
      <c r="F263" s="52" t="n">
        <f aca="false">IF(E263="","",D263-E263)</f>
        <v>-58</v>
      </c>
      <c r="G263" s="21" t="n">
        <v>1419</v>
      </c>
      <c r="H263" s="21" t="n">
        <v>1452</v>
      </c>
      <c r="I263" s="52" t="n">
        <f aca="false">IF(H263="","",G263-H263)</f>
        <v>-33</v>
      </c>
      <c r="J263" s="39" t="n">
        <f aca="false">IF(OR(D263="",D263+G263=0),"",D263/(D263+G263))</f>
        <v>0.38304347826087</v>
      </c>
      <c r="K263" s="39" t="n">
        <f aca="false">IF(E263="","",E263/(E263+H263))</f>
        <v>0.392722710163112</v>
      </c>
      <c r="L263" s="53" t="n">
        <f aca="false">IF(OR(K263="",J263=""),"",(J263-K263)*100)</f>
        <v>-0.967923190224213</v>
      </c>
      <c r="M263" s="38"/>
    </row>
    <row r="264" customFormat="false" ht="15" hidden="false" customHeight="false" outlineLevel="0" collapsed="false">
      <c r="A264" s="38" t="s">
        <v>344</v>
      </c>
      <c r="B264" s="38" t="s">
        <v>395</v>
      </c>
      <c r="C264" s="38" t="s">
        <v>397</v>
      </c>
      <c r="D264" s="21" t="n">
        <v>807</v>
      </c>
      <c r="E264" s="21" t="n">
        <v>820</v>
      </c>
      <c r="F264" s="52" t="n">
        <f aca="false">IF(E264="","",D264-E264)</f>
        <v>-13</v>
      </c>
      <c r="G264" s="21" t="n">
        <v>1150</v>
      </c>
      <c r="H264" s="21" t="n">
        <v>1185</v>
      </c>
      <c r="I264" s="52" t="n">
        <f aca="false">IF(H264="","",G264-H264)</f>
        <v>-35</v>
      </c>
      <c r="J264" s="39" t="n">
        <f aca="false">IF(OR(D264="",D264+G264=0),"",D264/(D264+G264))</f>
        <v>0.412365866121615</v>
      </c>
      <c r="K264" s="39" t="n">
        <f aca="false">IF(E264="","",E264/(E264+H264))</f>
        <v>0.408977556109726</v>
      </c>
      <c r="L264" s="53" t="n">
        <f aca="false">IF(OR(K264="",J264=""),"",(J264-K264)*100)</f>
        <v>0.338831001188905</v>
      </c>
      <c r="M264" s="38"/>
    </row>
    <row r="265" customFormat="false" ht="15" hidden="false" customHeight="false" outlineLevel="0" collapsed="false">
      <c r="A265" s="38" t="s">
        <v>344</v>
      </c>
      <c r="B265" s="38" t="s">
        <v>395</v>
      </c>
      <c r="C265" s="38" t="s">
        <v>398</v>
      </c>
      <c r="D265" s="21" t="n">
        <v>396</v>
      </c>
      <c r="E265" s="21" t="n">
        <v>410</v>
      </c>
      <c r="F265" s="52" t="n">
        <f aca="false">IF(E265="","",D265-E265)</f>
        <v>-14</v>
      </c>
      <c r="G265" s="21" t="n">
        <v>720</v>
      </c>
      <c r="H265" s="21" t="n">
        <v>822</v>
      </c>
      <c r="I265" s="52" t="n">
        <f aca="false">IF(H265="","",G265-H265)</f>
        <v>-102</v>
      </c>
      <c r="J265" s="39" t="n">
        <f aca="false">IF(OR(D265="",D265+G265=0),"",D265/(D265+G265))</f>
        <v>0.354838709677419</v>
      </c>
      <c r="K265" s="39" t="n">
        <f aca="false">IF(E265="","",E265/(E265+H265))</f>
        <v>0.332792207792208</v>
      </c>
      <c r="L265" s="53" t="n">
        <f aca="false">IF(OR(K265="",J265=""),"",(J265-K265)*100)</f>
        <v>2.20465018852116</v>
      </c>
      <c r="M265" s="38"/>
    </row>
    <row r="266" customFormat="false" ht="15" hidden="false" customHeight="false" outlineLevel="0" collapsed="false">
      <c r="A266" s="38" t="s">
        <v>344</v>
      </c>
      <c r="B266" s="38" t="s">
        <v>399</v>
      </c>
      <c r="C266" s="38" t="s">
        <v>399</v>
      </c>
      <c r="D266" s="21" t="n">
        <v>43</v>
      </c>
      <c r="E266" s="21" t="n">
        <v>40</v>
      </c>
      <c r="F266" s="52" t="n">
        <f aca="false">IF(E266="","",D266-E266)</f>
        <v>3</v>
      </c>
      <c r="G266" s="21" t="n">
        <v>75</v>
      </c>
      <c r="H266" s="21" t="n">
        <v>83</v>
      </c>
      <c r="I266" s="52" t="n">
        <f aca="false">IF(H266="","",G266-H266)</f>
        <v>-8</v>
      </c>
      <c r="J266" s="39" t="n">
        <f aca="false">IF(OR(D266="",D266+G266=0),"",D266/(D266+G266))</f>
        <v>0.364406779661017</v>
      </c>
      <c r="K266" s="39" t="n">
        <f aca="false">IF(E266="","",E266/(E266+H266))</f>
        <v>0.32520325203252</v>
      </c>
      <c r="L266" s="53" t="n">
        <f aca="false">IF(OR(K266="",J266=""),"",(J266-K266)*100)</f>
        <v>3.92035276284966</v>
      </c>
      <c r="M266" s="38"/>
    </row>
    <row r="267" customFormat="false" ht="15" hidden="false" customHeight="false" outlineLevel="0" collapsed="false">
      <c r="A267" s="38" t="s">
        <v>344</v>
      </c>
      <c r="B267" s="38" t="s">
        <v>400</v>
      </c>
      <c r="C267" s="38" t="s">
        <v>401</v>
      </c>
      <c r="D267" s="21" t="n">
        <v>596</v>
      </c>
      <c r="E267" s="21" t="n">
        <v>774</v>
      </c>
      <c r="F267" s="52" t="n">
        <f aca="false">IF(E267="","",D267-E267)</f>
        <v>-178</v>
      </c>
      <c r="G267" s="21" t="n">
        <v>798</v>
      </c>
      <c r="H267" s="21" t="n">
        <v>1032</v>
      </c>
      <c r="I267" s="52" t="n">
        <f aca="false">IF(H267="","",G267-H267)</f>
        <v>-234</v>
      </c>
      <c r="J267" s="39" t="n">
        <f aca="false">IF(OR(D267="",D267+G267=0),"",D267/(D267+G267))</f>
        <v>0.427546628407461</v>
      </c>
      <c r="K267" s="39" t="n">
        <f aca="false">IF(E267="","",E267/(E267+H267))</f>
        <v>0.428571428571429</v>
      </c>
      <c r="L267" s="53" t="n">
        <f aca="false">IF(OR(K267="",J267=""),"",(J267-K267)*100)</f>
        <v>-0.1024800163968</v>
      </c>
      <c r="M267" s="38"/>
    </row>
    <row r="268" customFormat="false" ht="15" hidden="false" customHeight="false" outlineLevel="0" collapsed="false">
      <c r="A268" s="38" t="s">
        <v>344</v>
      </c>
      <c r="B268" s="38" t="s">
        <v>400</v>
      </c>
      <c r="C268" s="38" t="s">
        <v>402</v>
      </c>
      <c r="D268" s="21" t="n">
        <v>740</v>
      </c>
      <c r="E268" s="21" t="n">
        <v>710</v>
      </c>
      <c r="F268" s="52" t="n">
        <f aca="false">IF(E268="","",D268-E268)</f>
        <v>30</v>
      </c>
      <c r="G268" s="21" t="n">
        <v>865</v>
      </c>
      <c r="H268" s="21" t="n">
        <v>927</v>
      </c>
      <c r="I268" s="52" t="n">
        <f aca="false">IF(H268="","",G268-H268)</f>
        <v>-62</v>
      </c>
      <c r="J268" s="39" t="n">
        <f aca="false">IF(OR(D268="",D268+G268=0),"",D268/(D268+G268))</f>
        <v>0.461059190031153</v>
      </c>
      <c r="K268" s="39" t="n">
        <f aca="false">IF(E268="","",E268/(E268+H268))</f>
        <v>0.433720219914478</v>
      </c>
      <c r="L268" s="53" t="n">
        <f aca="false">IF(OR(K268="",J268=""),"",(J268-K268)*100)</f>
        <v>2.7338970116675</v>
      </c>
      <c r="M268" s="38"/>
    </row>
    <row r="269" customFormat="false" ht="15" hidden="false" customHeight="false" outlineLevel="0" collapsed="false">
      <c r="A269" s="38" t="s">
        <v>344</v>
      </c>
      <c r="B269" s="38" t="s">
        <v>403</v>
      </c>
      <c r="C269" s="38" t="s">
        <v>403</v>
      </c>
      <c r="D269" s="21" t="n">
        <v>195</v>
      </c>
      <c r="E269" s="21" t="n">
        <v>217</v>
      </c>
      <c r="F269" s="52" t="n">
        <f aca="false">IF(E269="","",D269-E269)</f>
        <v>-22</v>
      </c>
      <c r="G269" s="21" t="n">
        <v>303</v>
      </c>
      <c r="H269" s="21" t="n">
        <v>309</v>
      </c>
      <c r="I269" s="52" t="n">
        <f aca="false">IF(H269="","",G269-H269)</f>
        <v>-6</v>
      </c>
      <c r="J269" s="39" t="n">
        <f aca="false">IF(OR(D269="",D269+G269=0),"",D269/(D269+G269))</f>
        <v>0.391566265060241</v>
      </c>
      <c r="K269" s="39" t="n">
        <f aca="false">IF(E269="","",E269/(E269+H269))</f>
        <v>0.41254752851711</v>
      </c>
      <c r="L269" s="53" t="n">
        <f aca="false">IF(OR(K269="",J269=""),"",(J269-K269)*100)</f>
        <v>-2.09812634568693</v>
      </c>
      <c r="M269" s="38"/>
    </row>
    <row r="270" customFormat="false" ht="15" hidden="false" customHeight="false" outlineLevel="0" collapsed="false">
      <c r="A270" s="38" t="s">
        <v>344</v>
      </c>
      <c r="B270" s="38" t="s">
        <v>404</v>
      </c>
      <c r="C270" s="38" t="s">
        <v>405</v>
      </c>
      <c r="D270" s="21" t="n">
        <v>725</v>
      </c>
      <c r="E270" s="21"/>
      <c r="F270" s="52" t="str">
        <f aca="false">IF(E270="","",D270-E270)</f>
        <v/>
      </c>
      <c r="G270" s="21" t="n">
        <v>372</v>
      </c>
      <c r="H270" s="21"/>
      <c r="I270" s="52" t="str">
        <f aca="false">IF(H270="","",G270-H270)</f>
        <v/>
      </c>
      <c r="J270" s="39" t="n">
        <f aca="false">IF(OR(D270="",D270+G270=0),"",D270/(D270+G270))</f>
        <v>0.660893345487694</v>
      </c>
      <c r="K270" s="39" t="str">
        <f aca="false">IF(E270="","",E270/(E270+H270))</f>
        <v/>
      </c>
      <c r="L270" s="53" t="str">
        <f aca="false">IF(OR(K270="",J270=""),"",(J270-K270)*100)</f>
        <v/>
      </c>
      <c r="M270" s="38" t="s">
        <v>650</v>
      </c>
    </row>
    <row r="271" customFormat="false" ht="15" hidden="false" customHeight="false" outlineLevel="0" collapsed="false">
      <c r="A271" s="38" t="s">
        <v>344</v>
      </c>
      <c r="B271" s="38" t="s">
        <v>404</v>
      </c>
      <c r="C271" s="38" t="s">
        <v>406</v>
      </c>
      <c r="D271" s="21" t="n">
        <v>501</v>
      </c>
      <c r="E271" s="21"/>
      <c r="F271" s="52" t="str">
        <f aca="false">IF(E271="","",D271-E271)</f>
        <v/>
      </c>
      <c r="G271" s="21" t="n">
        <v>199</v>
      </c>
      <c r="H271" s="21"/>
      <c r="I271" s="52" t="str">
        <f aca="false">IF(H271="","",G271-H271)</f>
        <v/>
      </c>
      <c r="J271" s="39" t="n">
        <f aca="false">IF(OR(D271="",D271+G271=0),"",D271/(D271+G271))</f>
        <v>0.715714285714286</v>
      </c>
      <c r="K271" s="39" t="str">
        <f aca="false">IF(E271="","",E271/(E271+H271))</f>
        <v/>
      </c>
      <c r="L271" s="53" t="str">
        <f aca="false">IF(OR(K271="",J271=""),"",(J271-K271)*100)</f>
        <v/>
      </c>
      <c r="M271" s="38" t="s">
        <v>650</v>
      </c>
    </row>
    <row r="272" customFormat="false" ht="15" hidden="false" customHeight="false" outlineLevel="0" collapsed="false">
      <c r="A272" s="38" t="s">
        <v>344</v>
      </c>
      <c r="B272" s="38" t="s">
        <v>404</v>
      </c>
      <c r="C272" s="38" t="s">
        <v>407</v>
      </c>
      <c r="D272" s="21" t="n">
        <v>454</v>
      </c>
      <c r="E272" s="21" t="n">
        <v>492</v>
      </c>
      <c r="F272" s="52" t="n">
        <f aca="false">IF(E272="","",D272-E272)</f>
        <v>-38</v>
      </c>
      <c r="G272" s="21" t="n">
        <v>162</v>
      </c>
      <c r="H272" s="21" t="n">
        <v>197</v>
      </c>
      <c r="I272" s="52" t="n">
        <f aca="false">IF(H272="","",G272-H272)</f>
        <v>-35</v>
      </c>
      <c r="J272" s="39" t="n">
        <f aca="false">IF(OR(D272="",D272+G272=0),"",D272/(D272+G272))</f>
        <v>0.737012987012987</v>
      </c>
      <c r="K272" s="39" t="n">
        <f aca="false">IF(E272="","",E272/(E272+H272))</f>
        <v>0.714078374455733</v>
      </c>
      <c r="L272" s="53" t="n">
        <f aca="false">IF(OR(K272="",J272=""),"",(J272-K272)*100)</f>
        <v>2.2934612557254</v>
      </c>
      <c r="M272" s="38"/>
    </row>
    <row r="273" customFormat="false" ht="15" hidden="false" customHeight="false" outlineLevel="0" collapsed="false">
      <c r="A273" s="38" t="s">
        <v>344</v>
      </c>
      <c r="B273" s="38" t="s">
        <v>404</v>
      </c>
      <c r="C273" s="38" t="s">
        <v>408</v>
      </c>
      <c r="D273" s="21" t="n">
        <v>755</v>
      </c>
      <c r="E273" s="21" t="n">
        <v>743</v>
      </c>
      <c r="F273" s="52" t="n">
        <f aca="false">IF(E273="","",D273-E273)</f>
        <v>12</v>
      </c>
      <c r="G273" s="21" t="n">
        <v>275</v>
      </c>
      <c r="H273" s="21" t="n">
        <v>265</v>
      </c>
      <c r="I273" s="52" t="n">
        <f aca="false">IF(H273="","",G273-H273)</f>
        <v>10</v>
      </c>
      <c r="J273" s="39" t="n">
        <f aca="false">IF(OR(D273="",D273+G273=0),"",D273/(D273+G273))</f>
        <v>0.733009708737864</v>
      </c>
      <c r="K273" s="39" t="n">
        <f aca="false">IF(E273="","",E273/(E273+H273))</f>
        <v>0.737103174603175</v>
      </c>
      <c r="L273" s="53" t="n">
        <f aca="false">IF(OR(K273="",J273=""),"",(J273-K273)*100)</f>
        <v>-0.409346586531056</v>
      </c>
      <c r="M273" s="38"/>
    </row>
    <row r="274" customFormat="false" ht="15" hidden="false" customHeight="false" outlineLevel="0" collapsed="false">
      <c r="A274" s="38" t="s">
        <v>344</v>
      </c>
      <c r="B274" s="38" t="s">
        <v>404</v>
      </c>
      <c r="C274" s="38" t="s">
        <v>409</v>
      </c>
      <c r="D274" s="21" t="n">
        <v>434</v>
      </c>
      <c r="E274" s="21" t="n">
        <v>1109</v>
      </c>
      <c r="F274" s="52" t="n">
        <f aca="false">IF(E274="","",D274-E274)</f>
        <v>-675</v>
      </c>
      <c r="G274" s="21" t="n">
        <v>125</v>
      </c>
      <c r="H274" s="21" t="n">
        <v>290</v>
      </c>
      <c r="I274" s="52" t="n">
        <f aca="false">IF(H274="","",G274-H274)</f>
        <v>-165</v>
      </c>
      <c r="J274" s="39" t="n">
        <f aca="false">IF(OR(D274="",D274+G274=0),"",D274/(D274+G274))</f>
        <v>0.776386404293381</v>
      </c>
      <c r="K274" s="39" t="n">
        <f aca="false">IF(E274="","",E274/(E274+H274))</f>
        <v>0.792709077912795</v>
      </c>
      <c r="L274" s="53" t="n">
        <f aca="false">IF(OR(K274="",J274=""),"",(J274-K274)*100)</f>
        <v>-1.63226736194139</v>
      </c>
      <c r="M274" s="38"/>
    </row>
    <row r="275" customFormat="false" ht="15" hidden="false" customHeight="false" outlineLevel="0" collapsed="false">
      <c r="A275" s="38" t="s">
        <v>344</v>
      </c>
      <c r="B275" s="38" t="s">
        <v>404</v>
      </c>
      <c r="C275" s="38" t="s">
        <v>410</v>
      </c>
      <c r="D275" s="21" t="n">
        <v>592</v>
      </c>
      <c r="E275" s="21" t="n">
        <v>566</v>
      </c>
      <c r="F275" s="52" t="n">
        <f aca="false">IF(E275="","",D275-E275)</f>
        <v>26</v>
      </c>
      <c r="G275" s="21" t="n">
        <v>226</v>
      </c>
      <c r="H275" s="21" t="n">
        <v>257</v>
      </c>
      <c r="I275" s="52" t="n">
        <f aca="false">IF(H275="","",G275-H275)</f>
        <v>-31</v>
      </c>
      <c r="J275" s="39" t="n">
        <f aca="false">IF(OR(D275="",D275+G275=0),"",D275/(D275+G275))</f>
        <v>0.723716381418093</v>
      </c>
      <c r="K275" s="39" t="n">
        <f aca="false">IF(E275="","",E275/(E275+H275))</f>
        <v>0.687727825030377</v>
      </c>
      <c r="L275" s="53" t="n">
        <f aca="false">IF(OR(K275="",J275=""),"",(J275-K275)*100)</f>
        <v>3.59885563877163</v>
      </c>
      <c r="M275" s="38"/>
    </row>
    <row r="276" customFormat="false" ht="15" hidden="false" customHeight="false" outlineLevel="0" collapsed="false">
      <c r="A276" s="38" t="s">
        <v>344</v>
      </c>
      <c r="B276" s="38" t="s">
        <v>404</v>
      </c>
      <c r="C276" s="38" t="s">
        <v>411</v>
      </c>
      <c r="D276" s="21" t="n">
        <v>555</v>
      </c>
      <c r="E276" s="21" t="n">
        <v>517</v>
      </c>
      <c r="F276" s="52" t="n">
        <f aca="false">IF(E276="","",D276-E276)</f>
        <v>38</v>
      </c>
      <c r="G276" s="21" t="n">
        <v>254</v>
      </c>
      <c r="H276" s="21" t="n">
        <v>265</v>
      </c>
      <c r="I276" s="52" t="n">
        <f aca="false">IF(H276="","",G276-H276)</f>
        <v>-11</v>
      </c>
      <c r="J276" s="39" t="n">
        <f aca="false">IF(OR(D276="",D276+G276=0),"",D276/(D276+G276))</f>
        <v>0.686032138442522</v>
      </c>
      <c r="K276" s="39" t="n">
        <f aca="false">IF(E276="","",E276/(E276+H276))</f>
        <v>0.661125319693095</v>
      </c>
      <c r="L276" s="53" t="n">
        <f aca="false">IF(OR(K276="",J276=""),"",(J276-K276)*100)</f>
        <v>2.4906818749427</v>
      </c>
      <c r="M276" s="38"/>
    </row>
    <row r="277" customFormat="false" ht="15" hidden="false" customHeight="false" outlineLevel="0" collapsed="false">
      <c r="A277" s="38" t="s">
        <v>344</v>
      </c>
      <c r="B277" s="38" t="s">
        <v>404</v>
      </c>
      <c r="C277" s="38" t="s">
        <v>412</v>
      </c>
      <c r="D277" s="21" t="n">
        <v>239</v>
      </c>
      <c r="E277" s="21" t="n">
        <v>233</v>
      </c>
      <c r="F277" s="52" t="n">
        <f aca="false">IF(E277="","",D277-E277)</f>
        <v>6</v>
      </c>
      <c r="G277" s="21" t="n">
        <v>89</v>
      </c>
      <c r="H277" s="21" t="n">
        <v>84</v>
      </c>
      <c r="I277" s="52" t="n">
        <f aca="false">IF(H277="","",G277-H277)</f>
        <v>5</v>
      </c>
      <c r="J277" s="39" t="n">
        <f aca="false">IF(OR(D277="",D277+G277=0),"",D277/(D277+G277))</f>
        <v>0.728658536585366</v>
      </c>
      <c r="K277" s="39" t="n">
        <f aca="false">IF(E277="","",E277/(E277+H277))</f>
        <v>0.735015772870662</v>
      </c>
      <c r="L277" s="53" t="n">
        <f aca="false">IF(OR(K277="",J277=""),"",(J277-K277)*100)</f>
        <v>-0.635723628529661</v>
      </c>
      <c r="M277" s="38"/>
    </row>
    <row r="278" customFormat="false" ht="15" hidden="false" customHeight="false" outlineLevel="0" collapsed="false">
      <c r="A278" s="38" t="s">
        <v>344</v>
      </c>
      <c r="B278" s="38" t="s">
        <v>404</v>
      </c>
      <c r="C278" s="38" t="s">
        <v>413</v>
      </c>
      <c r="D278" s="21" t="n">
        <v>388</v>
      </c>
      <c r="E278" s="21" t="n">
        <v>391</v>
      </c>
      <c r="F278" s="52" t="n">
        <f aca="false">IF(E278="","",D278-E278)</f>
        <v>-3</v>
      </c>
      <c r="G278" s="21" t="n">
        <v>130</v>
      </c>
      <c r="H278" s="21" t="n">
        <v>126</v>
      </c>
      <c r="I278" s="52" t="n">
        <f aca="false">IF(H278="","",G278-H278)</f>
        <v>4</v>
      </c>
      <c r="J278" s="39" t="n">
        <f aca="false">IF(OR(D278="",D278+G278=0),"",D278/(D278+G278))</f>
        <v>0.749034749034749</v>
      </c>
      <c r="K278" s="39" t="n">
        <f aca="false">IF(E278="","",E278/(E278+H278))</f>
        <v>0.756286266924565</v>
      </c>
      <c r="L278" s="53" t="n">
        <f aca="false">IF(OR(K278="",J278=""),"",(J278-K278)*100)</f>
        <v>-0.725151788981582</v>
      </c>
      <c r="M278" s="38"/>
    </row>
    <row r="279" customFormat="false" ht="15" hidden="false" customHeight="false" outlineLevel="0" collapsed="false">
      <c r="A279" s="38" t="s">
        <v>344</v>
      </c>
      <c r="B279" s="38" t="s">
        <v>404</v>
      </c>
      <c r="C279" s="38" t="s">
        <v>414</v>
      </c>
      <c r="D279" s="21" t="n">
        <v>420</v>
      </c>
      <c r="E279" s="21" t="n">
        <v>381</v>
      </c>
      <c r="F279" s="52" t="n">
        <f aca="false">IF(E279="","",D279-E279)</f>
        <v>39</v>
      </c>
      <c r="G279" s="21" t="n">
        <v>152</v>
      </c>
      <c r="H279" s="21" t="n">
        <v>184</v>
      </c>
      <c r="I279" s="52" t="n">
        <f aca="false">IF(H279="","",G279-H279)</f>
        <v>-32</v>
      </c>
      <c r="J279" s="39" t="n">
        <f aca="false">IF(OR(D279="",D279+G279=0),"",D279/(D279+G279))</f>
        <v>0.734265734265734</v>
      </c>
      <c r="K279" s="39" t="n">
        <f aca="false">IF(E279="","",E279/(E279+H279))</f>
        <v>0.674336283185841</v>
      </c>
      <c r="L279" s="53" t="n">
        <f aca="false">IF(OR(K279="",J279=""),"",(J279-K279)*100)</f>
        <v>5.99294510798936</v>
      </c>
      <c r="M279" s="38"/>
    </row>
    <row r="280" customFormat="false" ht="15" hidden="false" customHeight="false" outlineLevel="0" collapsed="false">
      <c r="A280" s="38" t="s">
        <v>344</v>
      </c>
      <c r="B280" s="38" t="s">
        <v>404</v>
      </c>
      <c r="C280" s="38" t="s">
        <v>415</v>
      </c>
      <c r="D280" s="21" t="n">
        <v>761</v>
      </c>
      <c r="E280" s="21"/>
      <c r="F280" s="52" t="str">
        <f aca="false">IF(E280="","",D280-E280)</f>
        <v/>
      </c>
      <c r="G280" s="21" t="n">
        <v>416</v>
      </c>
      <c r="H280" s="21"/>
      <c r="I280" s="52" t="str">
        <f aca="false">IF(H280="","",G280-H280)</f>
        <v/>
      </c>
      <c r="J280" s="39" t="n">
        <f aca="false">IF(OR(D280="",D280+G280=0),"",D280/(D280+G280))</f>
        <v>0.646559048428207</v>
      </c>
      <c r="K280" s="39" t="str">
        <f aca="false">IF(E280="","",E280/(E280+H280))</f>
        <v/>
      </c>
      <c r="L280" s="53" t="str">
        <f aca="false">IF(OR(K280="",J280=""),"",(J280-K280)*100)</f>
        <v/>
      </c>
      <c r="M280" s="38" t="s">
        <v>650</v>
      </c>
    </row>
    <row r="281" customFormat="false" ht="15" hidden="false" customHeight="false" outlineLevel="0" collapsed="false">
      <c r="A281" s="38" t="s">
        <v>344</v>
      </c>
      <c r="B281" s="38" t="s">
        <v>404</v>
      </c>
      <c r="C281" s="38" t="s">
        <v>416</v>
      </c>
      <c r="D281" s="21" t="n">
        <v>996</v>
      </c>
      <c r="E281" s="21" t="n">
        <v>912</v>
      </c>
      <c r="F281" s="52" t="n">
        <f aca="false">IF(E281="","",D281-E281)</f>
        <v>84</v>
      </c>
      <c r="G281" s="21" t="n">
        <v>382</v>
      </c>
      <c r="H281" s="21" t="n">
        <v>445</v>
      </c>
      <c r="I281" s="52" t="n">
        <f aca="false">IF(H281="","",G281-H281)</f>
        <v>-63</v>
      </c>
      <c r="J281" s="39" t="n">
        <f aca="false">IF(OR(D281="",D281+G281=0),"",D281/(D281+G281))</f>
        <v>0.722786647314949</v>
      </c>
      <c r="K281" s="39" t="n">
        <f aca="false">IF(E281="","",E281/(E281+H281))</f>
        <v>0.672070744288873</v>
      </c>
      <c r="L281" s="53" t="n">
        <f aca="false">IF(OR(K281="",J281=""),"",(J281-K281)*100)</f>
        <v>5.07159030260768</v>
      </c>
      <c r="M281" s="38"/>
    </row>
    <row r="282" customFormat="false" ht="15" hidden="false" customHeight="false" outlineLevel="0" collapsed="false">
      <c r="A282" s="38" t="s">
        <v>344</v>
      </c>
      <c r="B282" s="38" t="s">
        <v>417</v>
      </c>
      <c r="C282" s="38" t="s">
        <v>418</v>
      </c>
      <c r="D282" s="21" t="n">
        <v>1385</v>
      </c>
      <c r="E282" s="21"/>
      <c r="F282" s="52" t="str">
        <f aca="false">IF(E282="","",D282-E282)</f>
        <v/>
      </c>
      <c r="G282" s="21" t="n">
        <v>1252</v>
      </c>
      <c r="H282" s="21"/>
      <c r="I282" s="52" t="str">
        <f aca="false">IF(H282="","",G282-H282)</f>
        <v/>
      </c>
      <c r="J282" s="39" t="n">
        <f aca="false">IF(OR(D282="",D282+G282=0),"",D282/(D282+G282))</f>
        <v>0.525218050815321</v>
      </c>
      <c r="K282" s="39" t="str">
        <f aca="false">IF(E282="","",E282/(E282+H282))</f>
        <v/>
      </c>
      <c r="L282" s="53" t="str">
        <f aca="false">IF(OR(K282="",J282=""),"",(J282-K282)*100)</f>
        <v/>
      </c>
      <c r="M282" s="38" t="s">
        <v>650</v>
      </c>
    </row>
    <row r="283" customFormat="false" ht="15" hidden="false" customHeight="false" outlineLevel="0" collapsed="false">
      <c r="A283" s="38" t="s">
        <v>344</v>
      </c>
      <c r="B283" s="38" t="s">
        <v>417</v>
      </c>
      <c r="C283" s="38" t="s">
        <v>419</v>
      </c>
      <c r="D283" s="21" t="n">
        <v>647</v>
      </c>
      <c r="E283" s="21"/>
      <c r="F283" s="52" t="str">
        <f aca="false">IF(E283="","",D283-E283)</f>
        <v/>
      </c>
      <c r="G283" s="21" t="n">
        <v>605</v>
      </c>
      <c r="H283" s="21"/>
      <c r="I283" s="52" t="str">
        <f aca="false">IF(H283="","",G283-H283)</f>
        <v/>
      </c>
      <c r="J283" s="39" t="n">
        <f aca="false">IF(OR(D283="",D283+G283=0),"",D283/(D283+G283))</f>
        <v>0.516773162939297</v>
      </c>
      <c r="K283" s="39" t="str">
        <f aca="false">IF(E283="","",E283/(E283+H283))</f>
        <v/>
      </c>
      <c r="L283" s="53" t="str">
        <f aca="false">IF(OR(K283="",J283=""),"",(J283-K283)*100)</f>
        <v/>
      </c>
      <c r="M283" s="38" t="s">
        <v>650</v>
      </c>
    </row>
    <row r="284" customFormat="false" ht="15" hidden="false" customHeight="false" outlineLevel="0" collapsed="false">
      <c r="A284" s="38" t="s">
        <v>344</v>
      </c>
      <c r="B284" s="38" t="s">
        <v>417</v>
      </c>
      <c r="C284" s="38" t="s">
        <v>420</v>
      </c>
      <c r="D284" s="21" t="n">
        <v>769</v>
      </c>
      <c r="E284" s="21"/>
      <c r="F284" s="52" t="str">
        <f aca="false">IF(E284="","",D284-E284)</f>
        <v/>
      </c>
      <c r="G284" s="21" t="n">
        <v>704</v>
      </c>
      <c r="H284" s="21"/>
      <c r="I284" s="52" t="str">
        <f aca="false">IF(H284="","",G284-H284)</f>
        <v/>
      </c>
      <c r="J284" s="39" t="n">
        <f aca="false">IF(OR(D284="",D284+G284=0),"",D284/(D284+G284))</f>
        <v>0.522063815342838</v>
      </c>
      <c r="K284" s="39" t="str">
        <f aca="false">IF(E284="","",E284/(E284+H284))</f>
        <v/>
      </c>
      <c r="L284" s="53" t="str">
        <f aca="false">IF(OR(K284="",J284=""),"",(J284-K284)*100)</f>
        <v/>
      </c>
      <c r="M284" s="38" t="s">
        <v>650</v>
      </c>
    </row>
    <row r="285" customFormat="false" ht="15" hidden="false" customHeight="false" outlineLevel="0" collapsed="false">
      <c r="A285" s="38" t="s">
        <v>344</v>
      </c>
      <c r="B285" s="38" t="s">
        <v>417</v>
      </c>
      <c r="C285" s="38" t="s">
        <v>421</v>
      </c>
      <c r="D285" s="21" t="n">
        <v>740</v>
      </c>
      <c r="E285" s="21"/>
      <c r="F285" s="52" t="str">
        <f aca="false">IF(E285="","",D285-E285)</f>
        <v/>
      </c>
      <c r="G285" s="21" t="n">
        <v>648</v>
      </c>
      <c r="H285" s="21"/>
      <c r="I285" s="52" t="str">
        <f aca="false">IF(H285="","",G285-H285)</f>
        <v/>
      </c>
      <c r="J285" s="39" t="n">
        <f aca="false">IF(OR(D285="",D285+G285=0),"",D285/(D285+G285))</f>
        <v>0.53314121037464</v>
      </c>
      <c r="K285" s="39" t="str">
        <f aca="false">IF(E285="","",E285/(E285+H285))</f>
        <v/>
      </c>
      <c r="L285" s="53" t="str">
        <f aca="false">IF(OR(K285="",J285=""),"",(J285-K285)*100)</f>
        <v/>
      </c>
      <c r="M285" s="38" t="s">
        <v>650</v>
      </c>
    </row>
    <row r="286" customFormat="false" ht="15" hidden="false" customHeight="false" outlineLevel="0" collapsed="false">
      <c r="A286" s="38" t="s">
        <v>344</v>
      </c>
      <c r="B286" s="38" t="s">
        <v>417</v>
      </c>
      <c r="C286" s="38" t="s">
        <v>422</v>
      </c>
      <c r="D286" s="21" t="n">
        <v>1013</v>
      </c>
      <c r="E286" s="21" t="n">
        <v>975</v>
      </c>
      <c r="F286" s="52" t="n">
        <f aca="false">IF(E286="","",D286-E286)</f>
        <v>38</v>
      </c>
      <c r="G286" s="21" t="n">
        <v>823</v>
      </c>
      <c r="H286" s="21" t="n">
        <v>935</v>
      </c>
      <c r="I286" s="52" t="n">
        <f aca="false">IF(H286="","",G286-H286)</f>
        <v>-112</v>
      </c>
      <c r="J286" s="39" t="n">
        <f aca="false">IF(OR(D286="",D286+G286=0),"",D286/(D286+G286))</f>
        <v>0.551742919389978</v>
      </c>
      <c r="K286" s="39" t="n">
        <f aca="false">IF(E286="","",E286/(E286+H286))</f>
        <v>0.510471204188482</v>
      </c>
      <c r="L286" s="53" t="n">
        <f aca="false">IF(OR(K286="",J286=""),"",(J286-K286)*100)</f>
        <v>4.12717152014965</v>
      </c>
      <c r="M286" s="38"/>
    </row>
    <row r="287" customFormat="false" ht="15" hidden="false" customHeight="false" outlineLevel="0" collapsed="false">
      <c r="A287" s="38" t="s">
        <v>344</v>
      </c>
      <c r="B287" s="38" t="s">
        <v>417</v>
      </c>
      <c r="C287" s="38" t="s">
        <v>423</v>
      </c>
      <c r="D287" s="21" t="n">
        <v>793</v>
      </c>
      <c r="E287" s="21"/>
      <c r="F287" s="52" t="str">
        <f aca="false">IF(E287="","",D287-E287)</f>
        <v/>
      </c>
      <c r="G287" s="21" t="n">
        <v>729</v>
      </c>
      <c r="H287" s="21"/>
      <c r="I287" s="52" t="str">
        <f aca="false">IF(H287="","",G287-H287)</f>
        <v/>
      </c>
      <c r="J287" s="39" t="n">
        <f aca="false">IF(OR(D287="",D287+G287=0),"",D287/(D287+G287))</f>
        <v>0.521024967148489</v>
      </c>
      <c r="K287" s="39" t="str">
        <f aca="false">IF(E287="","",E287/(E287+H287))</f>
        <v/>
      </c>
      <c r="L287" s="53" t="str">
        <f aca="false">IF(OR(K287="",J287=""),"",(J287-K287)*100)</f>
        <v/>
      </c>
      <c r="M287" s="38" t="s">
        <v>650</v>
      </c>
    </row>
    <row r="288" customFormat="false" ht="15" hidden="false" customHeight="false" outlineLevel="0" collapsed="false">
      <c r="A288" s="38" t="s">
        <v>344</v>
      </c>
      <c r="B288" s="38" t="s">
        <v>417</v>
      </c>
      <c r="C288" s="38" t="s">
        <v>424</v>
      </c>
      <c r="D288" s="21" t="n">
        <v>669</v>
      </c>
      <c r="E288" s="21"/>
      <c r="F288" s="52" t="str">
        <f aca="false">IF(E288="","",D288-E288)</f>
        <v/>
      </c>
      <c r="G288" s="21" t="n">
        <v>695</v>
      </c>
      <c r="H288" s="21"/>
      <c r="I288" s="52" t="str">
        <f aca="false">IF(H288="","",G288-H288)</f>
        <v/>
      </c>
      <c r="J288" s="39" t="n">
        <f aca="false">IF(OR(D288="",D288+G288=0),"",D288/(D288+G288))</f>
        <v>0.490469208211144</v>
      </c>
      <c r="K288" s="39" t="str">
        <f aca="false">IF(E288="","",E288/(E288+H288))</f>
        <v/>
      </c>
      <c r="L288" s="53" t="str">
        <f aca="false">IF(OR(K288="",J288=""),"",(J288-K288)*100)</f>
        <v/>
      </c>
      <c r="M288" s="38" t="s">
        <v>650</v>
      </c>
    </row>
    <row r="289" customFormat="false" ht="15" hidden="false" customHeight="false" outlineLevel="0" collapsed="false">
      <c r="A289" s="38" t="s">
        <v>344</v>
      </c>
      <c r="B289" s="38" t="s">
        <v>425</v>
      </c>
      <c r="C289" s="38" t="s">
        <v>425</v>
      </c>
      <c r="D289" s="21" t="n">
        <v>754</v>
      </c>
      <c r="E289" s="21" t="n">
        <v>714</v>
      </c>
      <c r="F289" s="52" t="n">
        <f aca="false">IF(E289="","",D289-E289)</f>
        <v>40</v>
      </c>
      <c r="G289" s="21" t="n">
        <v>474</v>
      </c>
      <c r="H289" s="21" t="n">
        <v>484</v>
      </c>
      <c r="I289" s="52" t="n">
        <f aca="false">IF(H289="","",G289-H289)</f>
        <v>-10</v>
      </c>
      <c r="J289" s="39" t="n">
        <f aca="false">IF(OR(D289="",D289+G289=0),"",D289/(D289+G289))</f>
        <v>0.614006514657981</v>
      </c>
      <c r="K289" s="39" t="n">
        <f aca="false">IF(E289="","",E289/(E289+H289))</f>
        <v>0.595993322203673</v>
      </c>
      <c r="L289" s="53" t="n">
        <f aca="false">IF(OR(K289="",J289=""),"",(J289-K289)*100)</f>
        <v>1.80131924543078</v>
      </c>
      <c r="M289" s="38"/>
    </row>
    <row r="290" customFormat="false" ht="15" hidden="false" customHeight="false" outlineLevel="0" collapsed="false">
      <c r="A290" s="38" t="s">
        <v>344</v>
      </c>
      <c r="B290" s="38" t="s">
        <v>426</v>
      </c>
      <c r="C290" s="38" t="s">
        <v>426</v>
      </c>
      <c r="D290" s="21" t="n">
        <v>107</v>
      </c>
      <c r="E290" s="21" t="n">
        <v>109</v>
      </c>
      <c r="F290" s="52" t="n">
        <f aca="false">IF(E290="","",D290-E290)</f>
        <v>-2</v>
      </c>
      <c r="G290" s="21" t="n">
        <v>94</v>
      </c>
      <c r="H290" s="21" t="n">
        <v>97</v>
      </c>
      <c r="I290" s="52" t="n">
        <f aca="false">IF(H290="","",G290-H290)</f>
        <v>-3</v>
      </c>
      <c r="J290" s="39" t="n">
        <f aca="false">IF(OR(D290="",D290+G290=0),"",D290/(D290+G290))</f>
        <v>0.532338308457712</v>
      </c>
      <c r="K290" s="39" t="n">
        <f aca="false">IF(E290="","",E290/(E290+H290))</f>
        <v>0.529126213592233</v>
      </c>
      <c r="L290" s="53" t="n">
        <f aca="false">IF(OR(K290="",J290=""),"",(J290-K290)*100)</f>
        <v>0.321209486547847</v>
      </c>
      <c r="M290" s="38"/>
    </row>
    <row r="291" customFormat="false" ht="15" hidden="false" customHeight="false" outlineLevel="0" collapsed="false">
      <c r="A291" s="38" t="s">
        <v>344</v>
      </c>
      <c r="B291" s="38" t="s">
        <v>251</v>
      </c>
      <c r="C291" s="38" t="s">
        <v>427</v>
      </c>
      <c r="D291" s="21" t="n">
        <v>946</v>
      </c>
      <c r="E291" s="21" t="n">
        <v>955</v>
      </c>
      <c r="F291" s="52" t="n">
        <f aca="false">IF(E291="","",D291-E291)</f>
        <v>-9</v>
      </c>
      <c r="G291" s="21" t="n">
        <v>697</v>
      </c>
      <c r="H291" s="21" t="n">
        <v>692</v>
      </c>
      <c r="I291" s="52" t="n">
        <f aca="false">IF(H291="","",G291-H291)</f>
        <v>5</v>
      </c>
      <c r="J291" s="39" t="n">
        <f aca="false">IF(OR(D291="",D291+G291=0),"",D291/(D291+G291))</f>
        <v>0.575776019476567</v>
      </c>
      <c r="K291" s="39" t="n">
        <f aca="false">IF(E291="","",E291/(E291+H291))</f>
        <v>0.579842137219186</v>
      </c>
      <c r="L291" s="53" t="n">
        <f aca="false">IF(OR(K291="",J291=""),"",(J291-K291)*100)</f>
        <v>-0.406611774261922</v>
      </c>
      <c r="M291" s="38"/>
    </row>
    <row r="292" customFormat="false" ht="15" hidden="false" customHeight="false" outlineLevel="0" collapsed="false">
      <c r="A292" s="38" t="s">
        <v>344</v>
      </c>
      <c r="B292" s="38" t="s">
        <v>251</v>
      </c>
      <c r="C292" s="38" t="s">
        <v>428</v>
      </c>
      <c r="D292" s="21" t="n">
        <v>932</v>
      </c>
      <c r="E292" s="21" t="n">
        <v>910</v>
      </c>
      <c r="F292" s="52" t="n">
        <f aca="false">IF(E292="","",D292-E292)</f>
        <v>22</v>
      </c>
      <c r="G292" s="21" t="n">
        <v>740</v>
      </c>
      <c r="H292" s="21" t="n">
        <v>742</v>
      </c>
      <c r="I292" s="52" t="n">
        <f aca="false">IF(H292="","",G292-H292)</f>
        <v>-2</v>
      </c>
      <c r="J292" s="39" t="n">
        <f aca="false">IF(OR(D292="",D292+G292=0),"",D292/(D292+G292))</f>
        <v>0.557416267942584</v>
      </c>
      <c r="K292" s="39" t="n">
        <f aca="false">IF(E292="","",E292/(E292+H292))</f>
        <v>0.550847457627119</v>
      </c>
      <c r="L292" s="53" t="n">
        <f aca="false">IF(OR(K292="",J292=""),"",(J292-K292)*100)</f>
        <v>0.656881031546508</v>
      </c>
      <c r="M292" s="38"/>
    </row>
    <row r="293" customFormat="false" ht="15" hidden="false" customHeight="false" outlineLevel="0" collapsed="false">
      <c r="A293" s="38" t="s">
        <v>344</v>
      </c>
      <c r="B293" s="38" t="s">
        <v>251</v>
      </c>
      <c r="C293" s="38" t="s">
        <v>429</v>
      </c>
      <c r="D293" s="21" t="n">
        <v>454</v>
      </c>
      <c r="E293" s="21" t="n">
        <v>446</v>
      </c>
      <c r="F293" s="52" t="n">
        <f aca="false">IF(E293="","",D293-E293)</f>
        <v>8</v>
      </c>
      <c r="G293" s="21" t="n">
        <v>393</v>
      </c>
      <c r="H293" s="21" t="n">
        <v>410</v>
      </c>
      <c r="I293" s="52" t="n">
        <f aca="false">IF(H293="","",G293-H293)</f>
        <v>-17</v>
      </c>
      <c r="J293" s="39" t="n">
        <f aca="false">IF(OR(D293="",D293+G293=0),"",D293/(D293+G293))</f>
        <v>0.536009445100354</v>
      </c>
      <c r="K293" s="39" t="n">
        <f aca="false">IF(E293="","",E293/(E293+H293))</f>
        <v>0.521028037383178</v>
      </c>
      <c r="L293" s="53" t="n">
        <f aca="false">IF(OR(K293="",J293=""),"",(J293-K293)*100)</f>
        <v>1.49814077171766</v>
      </c>
      <c r="M293" s="38"/>
    </row>
    <row r="294" customFormat="false" ht="15" hidden="false" customHeight="false" outlineLevel="0" collapsed="false">
      <c r="A294" s="38" t="s">
        <v>344</v>
      </c>
      <c r="B294" s="38" t="s">
        <v>251</v>
      </c>
      <c r="C294" s="38" t="s">
        <v>430</v>
      </c>
      <c r="D294" s="21" t="n">
        <v>771</v>
      </c>
      <c r="E294" s="21" t="n">
        <v>744</v>
      </c>
      <c r="F294" s="52" t="n">
        <f aca="false">IF(E294="","",D294-E294)</f>
        <v>27</v>
      </c>
      <c r="G294" s="21" t="n">
        <v>662</v>
      </c>
      <c r="H294" s="21" t="n">
        <v>678</v>
      </c>
      <c r="I294" s="52" t="n">
        <f aca="false">IF(H294="","",G294-H294)</f>
        <v>-16</v>
      </c>
      <c r="J294" s="39" t="n">
        <f aca="false">IF(OR(D294="",D294+G294=0),"",D294/(D294+G294))</f>
        <v>0.538032100488486</v>
      </c>
      <c r="K294" s="39" t="n">
        <f aca="false">IF(E294="","",E294/(E294+H294))</f>
        <v>0.523206751054852</v>
      </c>
      <c r="L294" s="53" t="n">
        <f aca="false">IF(OR(K294="",J294=""),"",(J294-K294)*100)</f>
        <v>1.48253494336333</v>
      </c>
      <c r="M294" s="38"/>
    </row>
    <row r="295" customFormat="false" ht="15" hidden="false" customHeight="false" outlineLevel="0" collapsed="false">
      <c r="A295" s="38" t="s">
        <v>344</v>
      </c>
      <c r="B295" s="38" t="s">
        <v>251</v>
      </c>
      <c r="C295" s="38" t="s">
        <v>431</v>
      </c>
      <c r="D295" s="21" t="n">
        <v>766</v>
      </c>
      <c r="E295" s="21" t="n">
        <v>775</v>
      </c>
      <c r="F295" s="52" t="n">
        <f aca="false">IF(E295="","",D295-E295)</f>
        <v>-9</v>
      </c>
      <c r="G295" s="21" t="n">
        <v>593</v>
      </c>
      <c r="H295" s="21" t="n">
        <v>645</v>
      </c>
      <c r="I295" s="52" t="n">
        <f aca="false">IF(H295="","",G295-H295)</f>
        <v>-52</v>
      </c>
      <c r="J295" s="39" t="n">
        <f aca="false">IF(OR(D295="",D295+G295=0),"",D295/(D295+G295))</f>
        <v>0.56364974245769</v>
      </c>
      <c r="K295" s="39" t="n">
        <f aca="false">IF(E295="","",E295/(E295+H295))</f>
        <v>0.545774647887324</v>
      </c>
      <c r="L295" s="53" t="n">
        <f aca="false">IF(OR(K295="",J295=""),"",(J295-K295)*100)</f>
        <v>1.78750945703655</v>
      </c>
      <c r="M295" s="38"/>
    </row>
    <row r="296" customFormat="false" ht="15" hidden="false" customHeight="false" outlineLevel="0" collapsed="false">
      <c r="A296" s="38" t="s">
        <v>344</v>
      </c>
      <c r="B296" s="38" t="s">
        <v>251</v>
      </c>
      <c r="C296" s="38" t="s">
        <v>432</v>
      </c>
      <c r="D296" s="21" t="n">
        <v>532</v>
      </c>
      <c r="E296" s="21" t="n">
        <v>511</v>
      </c>
      <c r="F296" s="52" t="n">
        <f aca="false">IF(E296="","",D296-E296)</f>
        <v>21</v>
      </c>
      <c r="G296" s="21" t="n">
        <v>447</v>
      </c>
      <c r="H296" s="21" t="n">
        <v>453</v>
      </c>
      <c r="I296" s="52" t="n">
        <f aca="false">IF(H296="","",G296-H296)</f>
        <v>-6</v>
      </c>
      <c r="J296" s="39" t="n">
        <f aca="false">IF(OR(D296="",D296+G296=0),"",D296/(D296+G296))</f>
        <v>0.54341164453524</v>
      </c>
      <c r="K296" s="39" t="n">
        <f aca="false">IF(E296="","",E296/(E296+H296))</f>
        <v>0.530082987551867</v>
      </c>
      <c r="L296" s="53" t="n">
        <f aca="false">IF(OR(K296="",J296=""),"",(J296-K296)*100)</f>
        <v>1.33286569833728</v>
      </c>
      <c r="M296" s="38"/>
    </row>
    <row r="297" customFormat="false" ht="15" hidden="false" customHeight="false" outlineLevel="0" collapsed="false">
      <c r="A297" s="38" t="s">
        <v>344</v>
      </c>
      <c r="B297" s="38" t="s">
        <v>433</v>
      </c>
      <c r="C297" s="38" t="s">
        <v>434</v>
      </c>
      <c r="D297" s="21" t="n">
        <v>590</v>
      </c>
      <c r="E297" s="21" t="n">
        <v>553</v>
      </c>
      <c r="F297" s="52" t="n">
        <f aca="false">IF(E297="","",D297-E297)</f>
        <v>37</v>
      </c>
      <c r="G297" s="21" t="n">
        <v>534</v>
      </c>
      <c r="H297" s="21" t="n">
        <v>581</v>
      </c>
      <c r="I297" s="52" t="n">
        <f aca="false">IF(H297="","",G297-H297)</f>
        <v>-47</v>
      </c>
      <c r="J297" s="39" t="n">
        <f aca="false">IF(OR(D297="",D297+G297=0),"",D297/(D297+G297))</f>
        <v>0.52491103202847</v>
      </c>
      <c r="K297" s="39" t="n">
        <f aca="false">IF(E297="","",E297/(E297+H297))</f>
        <v>0.487654320987654</v>
      </c>
      <c r="L297" s="53" t="n">
        <f aca="false">IF(OR(K297="",J297=""),"",(J297-K297)*100)</f>
        <v>3.72567110408155</v>
      </c>
      <c r="M297" s="38"/>
    </row>
    <row r="298" customFormat="false" ht="15" hidden="false" customHeight="false" outlineLevel="0" collapsed="false">
      <c r="A298" s="38" t="s">
        <v>344</v>
      </c>
      <c r="B298" s="38" t="s">
        <v>433</v>
      </c>
      <c r="C298" s="38" t="s">
        <v>435</v>
      </c>
      <c r="D298" s="21" t="n">
        <v>474</v>
      </c>
      <c r="E298" s="21" t="n">
        <v>473</v>
      </c>
      <c r="F298" s="52" t="n">
        <f aca="false">IF(E298="","",D298-E298)</f>
        <v>1</v>
      </c>
      <c r="G298" s="21" t="n">
        <v>391</v>
      </c>
      <c r="H298" s="21" t="n">
        <v>465</v>
      </c>
      <c r="I298" s="52" t="n">
        <f aca="false">IF(H298="","",G298-H298)</f>
        <v>-74</v>
      </c>
      <c r="J298" s="39" t="n">
        <f aca="false">IF(OR(D298="",D298+G298=0),"",D298/(D298+G298))</f>
        <v>0.547976878612717</v>
      </c>
      <c r="K298" s="39" t="n">
        <f aca="false">IF(E298="","",E298/(E298+H298))</f>
        <v>0.504264392324094</v>
      </c>
      <c r="L298" s="53" t="n">
        <f aca="false">IF(OR(K298="",J298=""),"",(J298-K298)*100)</f>
        <v>4.37124862886229</v>
      </c>
      <c r="M298" s="38"/>
    </row>
    <row r="299" customFormat="false" ht="15" hidden="false" customHeight="false" outlineLevel="0" collapsed="false">
      <c r="A299" s="38" t="s">
        <v>344</v>
      </c>
      <c r="B299" s="38" t="s">
        <v>433</v>
      </c>
      <c r="C299" s="38" t="s">
        <v>436</v>
      </c>
      <c r="D299" s="21" t="n">
        <v>704</v>
      </c>
      <c r="E299" s="21" t="n">
        <v>700</v>
      </c>
      <c r="F299" s="52" t="n">
        <f aca="false">IF(E299="","",D299-E299)</f>
        <v>4</v>
      </c>
      <c r="G299" s="21" t="n">
        <v>561</v>
      </c>
      <c r="H299" s="21" t="n">
        <v>639</v>
      </c>
      <c r="I299" s="52" t="n">
        <f aca="false">IF(H299="","",G299-H299)</f>
        <v>-78</v>
      </c>
      <c r="J299" s="39" t="n">
        <f aca="false">IF(OR(D299="",D299+G299=0),"",D299/(D299+G299))</f>
        <v>0.556521739130435</v>
      </c>
      <c r="K299" s="39" t="n">
        <f aca="false">IF(E299="","",E299/(E299+H299))</f>
        <v>0.522778192681105</v>
      </c>
      <c r="L299" s="53" t="n">
        <f aca="false">IF(OR(K299="",J299=""),"",(J299-K299)*100)</f>
        <v>3.37435464493295</v>
      </c>
      <c r="M299" s="38"/>
    </row>
    <row r="300" customFormat="false" ht="15" hidden="false" customHeight="false" outlineLevel="0" collapsed="false">
      <c r="A300" s="38" t="s">
        <v>344</v>
      </c>
      <c r="B300" s="38" t="s">
        <v>437</v>
      </c>
      <c r="C300" s="38" t="s">
        <v>438</v>
      </c>
      <c r="D300" s="21" t="n">
        <v>569</v>
      </c>
      <c r="E300" s="21" t="n">
        <v>546</v>
      </c>
      <c r="F300" s="52" t="n">
        <f aca="false">IF(E300="","",D300-E300)</f>
        <v>23</v>
      </c>
      <c r="G300" s="21" t="n">
        <v>1010</v>
      </c>
      <c r="H300" s="21" t="n">
        <v>1089</v>
      </c>
      <c r="I300" s="52" t="n">
        <f aca="false">IF(H300="","",G300-H300)</f>
        <v>-79</v>
      </c>
      <c r="J300" s="39" t="n">
        <f aca="false">IF(OR(D300="",D300+G300=0),"",D300/(D300+G300))</f>
        <v>0.360354654844839</v>
      </c>
      <c r="K300" s="39" t="n">
        <f aca="false">IF(E300="","",E300/(E300+H300))</f>
        <v>0.33394495412844</v>
      </c>
      <c r="L300" s="53" t="n">
        <f aca="false">IF(OR(K300="",J300=""),"",(J300-K300)*100)</f>
        <v>2.64097007163981</v>
      </c>
      <c r="M300" s="38"/>
    </row>
    <row r="301" customFormat="false" ht="15" hidden="false" customHeight="false" outlineLevel="0" collapsed="false">
      <c r="A301" s="38" t="s">
        <v>344</v>
      </c>
      <c r="B301" s="38" t="s">
        <v>437</v>
      </c>
      <c r="C301" s="38" t="s">
        <v>439</v>
      </c>
      <c r="D301" s="21" t="n">
        <v>659</v>
      </c>
      <c r="E301" s="21" t="n">
        <v>636</v>
      </c>
      <c r="F301" s="52" t="n">
        <f aca="false">IF(E301="","",D301-E301)</f>
        <v>23</v>
      </c>
      <c r="G301" s="21" t="n">
        <v>1136</v>
      </c>
      <c r="H301" s="21" t="n">
        <v>1262</v>
      </c>
      <c r="I301" s="52" t="n">
        <f aca="false">IF(H301="","",G301-H301)</f>
        <v>-126</v>
      </c>
      <c r="J301" s="39" t="n">
        <f aca="false">IF(OR(D301="",D301+G301=0),"",D301/(D301+G301))</f>
        <v>0.367130919220056</v>
      </c>
      <c r="K301" s="39" t="n">
        <f aca="false">IF(E301="","",E301/(E301+H301))</f>
        <v>0.33508956796628</v>
      </c>
      <c r="L301" s="53" t="n">
        <f aca="false">IF(OR(K301="",J301=""),"",(J301-K301)*100)</f>
        <v>3.20413512537754</v>
      </c>
      <c r="M301" s="38"/>
    </row>
    <row r="302" customFormat="false" ht="15" hidden="false" customHeight="false" outlineLevel="0" collapsed="false">
      <c r="A302" s="38" t="s">
        <v>344</v>
      </c>
      <c r="B302" s="38" t="s">
        <v>437</v>
      </c>
      <c r="C302" s="38" t="s">
        <v>440</v>
      </c>
      <c r="D302" s="21" t="n">
        <v>227</v>
      </c>
      <c r="E302" s="21" t="n">
        <v>224</v>
      </c>
      <c r="F302" s="52" t="n">
        <f aca="false">IF(E302="","",D302-E302)</f>
        <v>3</v>
      </c>
      <c r="G302" s="21" t="n">
        <v>467</v>
      </c>
      <c r="H302" s="21" t="n">
        <v>495</v>
      </c>
      <c r="I302" s="52" t="n">
        <f aca="false">IF(H302="","",G302-H302)</f>
        <v>-28</v>
      </c>
      <c r="J302" s="39" t="n">
        <f aca="false">IF(OR(D302="",D302+G302=0),"",D302/(D302+G302))</f>
        <v>0.327089337175793</v>
      </c>
      <c r="K302" s="39" t="n">
        <f aca="false">IF(E302="","",E302/(E302+H302))</f>
        <v>0.311543810848401</v>
      </c>
      <c r="L302" s="53" t="n">
        <f aca="false">IF(OR(K302="",J302=""),"",(J302-K302)*100)</f>
        <v>1.5545526327392</v>
      </c>
      <c r="M302" s="38"/>
    </row>
    <row r="303" customFormat="false" ht="15" hidden="false" customHeight="false" outlineLevel="0" collapsed="false">
      <c r="A303" s="38" t="s">
        <v>344</v>
      </c>
      <c r="B303" s="38" t="s">
        <v>437</v>
      </c>
      <c r="C303" s="38" t="s">
        <v>441</v>
      </c>
      <c r="D303" s="21" t="n">
        <v>504</v>
      </c>
      <c r="E303" s="21" t="n">
        <v>478</v>
      </c>
      <c r="F303" s="52" t="n">
        <f aca="false">IF(E303="","",D303-E303)</f>
        <v>26</v>
      </c>
      <c r="G303" s="21" t="n">
        <v>884</v>
      </c>
      <c r="H303" s="21" t="n">
        <v>948</v>
      </c>
      <c r="I303" s="52" t="n">
        <f aca="false">IF(H303="","",G303-H303)</f>
        <v>-64</v>
      </c>
      <c r="J303" s="39" t="n">
        <f aca="false">IF(OR(D303="",D303+G303=0),"",D303/(D303+G303))</f>
        <v>0.363112391930836</v>
      </c>
      <c r="K303" s="39" t="n">
        <f aca="false">IF(E303="","",E303/(E303+H303))</f>
        <v>0.335203366058906</v>
      </c>
      <c r="L303" s="53" t="n">
        <f aca="false">IF(OR(K303="",J303=""),"",(J303-K303)*100)</f>
        <v>2.79090258719297</v>
      </c>
      <c r="M303" s="38"/>
    </row>
    <row r="304" customFormat="false" ht="15" hidden="false" customHeight="false" outlineLevel="0" collapsed="false">
      <c r="A304" s="38" t="s">
        <v>344</v>
      </c>
      <c r="B304" s="38" t="s">
        <v>437</v>
      </c>
      <c r="C304" s="38" t="s">
        <v>442</v>
      </c>
      <c r="D304" s="21" t="n">
        <v>337</v>
      </c>
      <c r="E304" s="21" t="n">
        <v>360</v>
      </c>
      <c r="F304" s="52" t="n">
        <f aca="false">IF(E304="","",D304-E304)</f>
        <v>-23</v>
      </c>
      <c r="G304" s="21" t="n">
        <v>602</v>
      </c>
      <c r="H304" s="21" t="n">
        <v>645</v>
      </c>
      <c r="I304" s="52" t="n">
        <f aca="false">IF(H304="","",G304-H304)</f>
        <v>-43</v>
      </c>
      <c r="J304" s="39" t="n">
        <f aca="false">IF(OR(D304="",D304+G304=0),"",D304/(D304+G304))</f>
        <v>0.358892438764643</v>
      </c>
      <c r="K304" s="39" t="n">
        <f aca="false">IF(E304="","",E304/(E304+H304))</f>
        <v>0.358208955223881</v>
      </c>
      <c r="L304" s="53" t="n">
        <f aca="false">IF(OR(K304="",J304=""),"",(J304-K304)*100)</f>
        <v>0.0683483540762642</v>
      </c>
      <c r="M304" s="38"/>
    </row>
    <row r="305" customFormat="false" ht="15" hidden="false" customHeight="false" outlineLevel="0" collapsed="false">
      <c r="A305" s="38" t="s">
        <v>344</v>
      </c>
      <c r="B305" s="38" t="s">
        <v>443</v>
      </c>
      <c r="C305" s="38" t="s">
        <v>444</v>
      </c>
      <c r="D305" s="21" t="n">
        <v>253</v>
      </c>
      <c r="E305" s="21" t="n">
        <v>264</v>
      </c>
      <c r="F305" s="52" t="n">
        <f aca="false">IF(E305="","",D305-E305)</f>
        <v>-11</v>
      </c>
      <c r="G305" s="21" t="n">
        <v>413</v>
      </c>
      <c r="H305" s="21" t="n">
        <v>439</v>
      </c>
      <c r="I305" s="52" t="n">
        <f aca="false">IF(H305="","",G305-H305)</f>
        <v>-26</v>
      </c>
      <c r="J305" s="39" t="n">
        <f aca="false">IF(OR(D305="",D305+G305=0),"",D305/(D305+G305))</f>
        <v>0.37987987987988</v>
      </c>
      <c r="K305" s="39" t="n">
        <f aca="false">IF(E305="","",E305/(E305+H305))</f>
        <v>0.375533428165007</v>
      </c>
      <c r="L305" s="53" t="n">
        <f aca="false">IF(OR(K305="",J305=""),"",(J305-K305)*100)</f>
        <v>0.434645171487275</v>
      </c>
      <c r="M305" s="38"/>
    </row>
    <row r="306" customFormat="false" ht="15" hidden="false" customHeight="false" outlineLevel="0" collapsed="false">
      <c r="A306" s="38" t="s">
        <v>344</v>
      </c>
      <c r="B306" s="38" t="s">
        <v>443</v>
      </c>
      <c r="C306" s="38" t="s">
        <v>445</v>
      </c>
      <c r="D306" s="21" t="n">
        <v>378</v>
      </c>
      <c r="E306" s="21" t="n">
        <v>361</v>
      </c>
      <c r="F306" s="52" t="n">
        <f aca="false">IF(E306="","",D306-E306)</f>
        <v>17</v>
      </c>
      <c r="G306" s="21" t="n">
        <v>695</v>
      </c>
      <c r="H306" s="21" t="n">
        <v>775</v>
      </c>
      <c r="I306" s="52" t="n">
        <f aca="false">IF(H306="","",G306-H306)</f>
        <v>-80</v>
      </c>
      <c r="J306" s="39" t="n">
        <f aca="false">IF(OR(D306="",D306+G306=0),"",D306/(D306+G306))</f>
        <v>0.352283317800559</v>
      </c>
      <c r="K306" s="39" t="n">
        <f aca="false">IF(E306="","",E306/(E306+H306))</f>
        <v>0.317781690140845</v>
      </c>
      <c r="L306" s="53" t="n">
        <f aca="false">IF(OR(K306="",J306=""),"",(J306-K306)*100)</f>
        <v>3.45016276597141</v>
      </c>
      <c r="M306" s="38"/>
    </row>
    <row r="307" customFormat="false" ht="15" hidden="false" customHeight="false" outlineLevel="0" collapsed="false">
      <c r="A307" s="38" t="s">
        <v>344</v>
      </c>
      <c r="B307" s="38" t="s">
        <v>446</v>
      </c>
      <c r="C307" s="38" t="s">
        <v>447</v>
      </c>
      <c r="D307" s="21" t="n">
        <v>252</v>
      </c>
      <c r="E307" s="21"/>
      <c r="F307" s="52" t="str">
        <f aca="false">IF(E307="","",D307-E307)</f>
        <v/>
      </c>
      <c r="G307" s="21" t="n">
        <v>339</v>
      </c>
      <c r="H307" s="21"/>
      <c r="I307" s="52" t="str">
        <f aca="false">IF(H307="","",G307-H307)</f>
        <v/>
      </c>
      <c r="J307" s="39" t="n">
        <f aca="false">IF(OR(D307="",D307+G307=0),"",D307/(D307+G307))</f>
        <v>0.426395939086294</v>
      </c>
      <c r="K307" s="39" t="str">
        <f aca="false">IF(E307="","",E307/(E307+H307))</f>
        <v/>
      </c>
      <c r="L307" s="53" t="str">
        <f aca="false">IF(OR(K307="",J307=""),"",(J307-K307)*100)</f>
        <v/>
      </c>
      <c r="M307" s="38" t="s">
        <v>650</v>
      </c>
    </row>
    <row r="308" customFormat="false" ht="15" hidden="false" customHeight="false" outlineLevel="0" collapsed="false">
      <c r="A308" s="38" t="s">
        <v>344</v>
      </c>
      <c r="B308" s="38" t="s">
        <v>446</v>
      </c>
      <c r="C308" s="38" t="s">
        <v>448</v>
      </c>
      <c r="D308" s="21" t="n">
        <v>651</v>
      </c>
      <c r="E308" s="21"/>
      <c r="F308" s="52" t="str">
        <f aca="false">IF(E308="","",D308-E308)</f>
        <v/>
      </c>
      <c r="G308" s="21" t="n">
        <v>655</v>
      </c>
      <c r="H308" s="21"/>
      <c r="I308" s="52" t="str">
        <f aca="false">IF(H308="","",G308-H308)</f>
        <v/>
      </c>
      <c r="J308" s="39" t="n">
        <f aca="false">IF(OR(D308="",D308+G308=0),"",D308/(D308+G308))</f>
        <v>0.498468606431853</v>
      </c>
      <c r="K308" s="39" t="str">
        <f aca="false">IF(E308="","",E308/(E308+H308))</f>
        <v/>
      </c>
      <c r="L308" s="53" t="str">
        <f aca="false">IF(OR(K308="",J308=""),"",(J308-K308)*100)</f>
        <v/>
      </c>
      <c r="M308" s="38" t="s">
        <v>650</v>
      </c>
    </row>
    <row r="309" customFormat="false" ht="15" hidden="false" customHeight="false" outlineLevel="0" collapsed="false">
      <c r="A309" s="38" t="s">
        <v>344</v>
      </c>
      <c r="B309" s="38" t="s">
        <v>446</v>
      </c>
      <c r="C309" s="38" t="s">
        <v>449</v>
      </c>
      <c r="D309" s="21" t="n">
        <v>624</v>
      </c>
      <c r="E309" s="21" t="n">
        <v>606</v>
      </c>
      <c r="F309" s="52" t="n">
        <f aca="false">IF(E309="","",D309-E309)</f>
        <v>18</v>
      </c>
      <c r="G309" s="21" t="n">
        <v>793</v>
      </c>
      <c r="H309" s="21" t="n">
        <v>825</v>
      </c>
      <c r="I309" s="52" t="n">
        <f aca="false">IF(H309="","",G309-H309)</f>
        <v>-32</v>
      </c>
      <c r="J309" s="39" t="n">
        <f aca="false">IF(OR(D309="",D309+G309=0),"",D309/(D309+G309))</f>
        <v>0.440366972477064</v>
      </c>
      <c r="K309" s="39" t="n">
        <f aca="false">IF(E309="","",E309/(E309+H309))</f>
        <v>0.423480083857442</v>
      </c>
      <c r="L309" s="53" t="n">
        <f aca="false">IF(OR(K309="",J309=""),"",(J309-K309)*100)</f>
        <v>1.68868886196219</v>
      </c>
      <c r="M309" s="38"/>
    </row>
    <row r="310" customFormat="false" ht="15" hidden="false" customHeight="false" outlineLevel="0" collapsed="false">
      <c r="A310" s="38" t="s">
        <v>344</v>
      </c>
      <c r="B310" s="38" t="s">
        <v>446</v>
      </c>
      <c r="C310" s="38" t="s">
        <v>450</v>
      </c>
      <c r="D310" s="21" t="n">
        <v>624</v>
      </c>
      <c r="E310" s="21"/>
      <c r="F310" s="52" t="str">
        <f aca="false">IF(E310="","",D310-E310)</f>
        <v/>
      </c>
      <c r="G310" s="21" t="n">
        <v>694</v>
      </c>
      <c r="H310" s="21"/>
      <c r="I310" s="52" t="str">
        <f aca="false">IF(H310="","",G310-H310)</f>
        <v/>
      </c>
      <c r="J310" s="39" t="n">
        <f aca="false">IF(OR(D310="",D310+G310=0),"",D310/(D310+G310))</f>
        <v>0.473444613050076</v>
      </c>
      <c r="K310" s="39" t="str">
        <f aca="false">IF(E310="","",E310/(E310+H310))</f>
        <v/>
      </c>
      <c r="L310" s="53" t="str">
        <f aca="false">IF(OR(K310="",J310=""),"",(J310-K310)*100)</f>
        <v/>
      </c>
      <c r="M310" s="38" t="s">
        <v>650</v>
      </c>
    </row>
    <row r="311" customFormat="false" ht="15" hidden="false" customHeight="false" outlineLevel="0" collapsed="false">
      <c r="A311" s="38" t="s">
        <v>344</v>
      </c>
      <c r="B311" s="38" t="s">
        <v>451</v>
      </c>
      <c r="C311" s="38" t="s">
        <v>452</v>
      </c>
      <c r="D311" s="21" t="n">
        <v>599</v>
      </c>
      <c r="E311" s="21" t="n">
        <v>585</v>
      </c>
      <c r="F311" s="52" t="n">
        <f aca="false">IF(E311="","",D311-E311)</f>
        <v>14</v>
      </c>
      <c r="G311" s="21" t="n">
        <v>537</v>
      </c>
      <c r="H311" s="21" t="n">
        <v>527</v>
      </c>
      <c r="I311" s="52" t="n">
        <f aca="false">IF(H311="","",G311-H311)</f>
        <v>10</v>
      </c>
      <c r="J311" s="39" t="n">
        <f aca="false">IF(OR(D311="",D311+G311=0),"",D311/(D311+G311))</f>
        <v>0.527288732394366</v>
      </c>
      <c r="K311" s="39" t="n">
        <f aca="false">IF(E311="","",E311/(E311+H311))</f>
        <v>0.526079136690647</v>
      </c>
      <c r="L311" s="53" t="n">
        <f aca="false">IF(OR(K311="",J311=""),"",(J311-K311)*100)</f>
        <v>0.120959570371881</v>
      </c>
      <c r="M311" s="38"/>
    </row>
    <row r="312" customFormat="false" ht="15" hidden="false" customHeight="false" outlineLevel="0" collapsed="false">
      <c r="A312" s="38" t="s">
        <v>344</v>
      </c>
      <c r="B312" s="38" t="s">
        <v>451</v>
      </c>
      <c r="C312" s="38" t="s">
        <v>453</v>
      </c>
      <c r="D312" s="21" t="n">
        <v>681</v>
      </c>
      <c r="E312" s="21" t="n">
        <v>639</v>
      </c>
      <c r="F312" s="52" t="n">
        <f aca="false">IF(E312="","",D312-E312)</f>
        <v>42</v>
      </c>
      <c r="G312" s="21" t="n">
        <v>808</v>
      </c>
      <c r="H312" s="21" t="n">
        <v>886</v>
      </c>
      <c r="I312" s="52" t="n">
        <f aca="false">IF(H312="","",G312-H312)</f>
        <v>-78</v>
      </c>
      <c r="J312" s="39" t="n">
        <f aca="false">IF(OR(D312="",D312+G312=0),"",D312/(D312+G312))</f>
        <v>0.457353928811283</v>
      </c>
      <c r="K312" s="39" t="n">
        <f aca="false">IF(E312="","",E312/(E312+H312))</f>
        <v>0.419016393442623</v>
      </c>
      <c r="L312" s="53" t="n">
        <f aca="false">IF(OR(K312="",J312=""),"",(J312-K312)*100)</f>
        <v>3.83375353686598</v>
      </c>
      <c r="M312" s="38"/>
    </row>
    <row r="313" customFormat="false" ht="15" hidden="false" customHeight="false" outlineLevel="0" collapsed="false">
      <c r="A313" s="38" t="s">
        <v>344</v>
      </c>
      <c r="B313" s="38" t="s">
        <v>451</v>
      </c>
      <c r="C313" s="38" t="s">
        <v>454</v>
      </c>
      <c r="D313" s="21" t="n">
        <v>417</v>
      </c>
      <c r="E313" s="21"/>
      <c r="F313" s="52" t="str">
        <f aca="false">IF(E313="","",D313-E313)</f>
        <v/>
      </c>
      <c r="G313" s="21" t="n">
        <v>556</v>
      </c>
      <c r="H313" s="21"/>
      <c r="I313" s="52" t="str">
        <f aca="false">IF(H313="","",G313-H313)</f>
        <v/>
      </c>
      <c r="J313" s="39" t="n">
        <f aca="false">IF(OR(D313="",D313+G313=0),"",D313/(D313+G313))</f>
        <v>0.428571428571429</v>
      </c>
      <c r="K313" s="39" t="str">
        <f aca="false">IF(E313="","",E313/(E313+H313))</f>
        <v/>
      </c>
      <c r="L313" s="53" t="str">
        <f aca="false">IF(OR(K313="",J313=""),"",(J313-K313)*100)</f>
        <v/>
      </c>
      <c r="M313" s="38" t="s">
        <v>650</v>
      </c>
    </row>
    <row r="314" customFormat="false" ht="15" hidden="false" customHeight="false" outlineLevel="0" collapsed="false">
      <c r="A314" s="38" t="s">
        <v>344</v>
      </c>
      <c r="B314" s="38" t="s">
        <v>451</v>
      </c>
      <c r="C314" s="38" t="s">
        <v>455</v>
      </c>
      <c r="D314" s="21" t="n">
        <v>508</v>
      </c>
      <c r="E314" s="21" t="n">
        <v>496</v>
      </c>
      <c r="F314" s="52" t="n">
        <f aca="false">IF(E314="","",D314-E314)</f>
        <v>12</v>
      </c>
      <c r="G314" s="21" t="n">
        <v>446</v>
      </c>
      <c r="H314" s="21" t="n">
        <v>458</v>
      </c>
      <c r="I314" s="52" t="n">
        <f aca="false">IF(H314="","",G314-H314)</f>
        <v>-12</v>
      </c>
      <c r="J314" s="39" t="n">
        <f aca="false">IF(OR(D314="",D314+G314=0),"",D314/(D314+G314))</f>
        <v>0.532494758909853</v>
      </c>
      <c r="K314" s="39" t="n">
        <f aca="false">IF(E314="","",E314/(E314+H314))</f>
        <v>0.519916142557652</v>
      </c>
      <c r="L314" s="53" t="n">
        <f aca="false">IF(OR(K314="",J314=""),"",(J314-K314)*100)</f>
        <v>1.25786163522013</v>
      </c>
      <c r="M314" s="38"/>
    </row>
    <row r="315" customFormat="false" ht="15" hidden="false" customHeight="false" outlineLevel="0" collapsed="false">
      <c r="A315" s="38" t="s">
        <v>344</v>
      </c>
      <c r="B315" s="38" t="s">
        <v>451</v>
      </c>
      <c r="C315" s="38" t="s">
        <v>456</v>
      </c>
      <c r="D315" s="21" t="n">
        <v>413</v>
      </c>
      <c r="E315" s="21" t="n">
        <v>423</v>
      </c>
      <c r="F315" s="52" t="n">
        <f aca="false">IF(E315="","",D315-E315)</f>
        <v>-10</v>
      </c>
      <c r="G315" s="21" t="n">
        <v>543</v>
      </c>
      <c r="H315" s="21" t="n">
        <v>592</v>
      </c>
      <c r="I315" s="52" t="n">
        <f aca="false">IF(H315="","",G315-H315)</f>
        <v>-49</v>
      </c>
      <c r="J315" s="39" t="n">
        <f aca="false">IF(OR(D315="",D315+G315=0),"",D315/(D315+G315))</f>
        <v>0.432008368200837</v>
      </c>
      <c r="K315" s="39" t="n">
        <f aca="false">IF(E315="","",E315/(E315+H315))</f>
        <v>0.416748768472906</v>
      </c>
      <c r="L315" s="53" t="n">
        <f aca="false">IF(OR(K315="",J315=""),"",(J315-K315)*100)</f>
        <v>1.52595997279304</v>
      </c>
      <c r="M315" s="38"/>
    </row>
    <row r="316" customFormat="false" ht="15" hidden="false" customHeight="false" outlineLevel="0" collapsed="false">
      <c r="A316" s="38" t="s">
        <v>344</v>
      </c>
      <c r="B316" s="38" t="s">
        <v>451</v>
      </c>
      <c r="C316" s="38" t="s">
        <v>457</v>
      </c>
      <c r="D316" s="21" t="n">
        <v>803</v>
      </c>
      <c r="E316" s="21"/>
      <c r="F316" s="52" t="str">
        <f aca="false">IF(E316="","",D316-E316)</f>
        <v/>
      </c>
      <c r="G316" s="21" t="n">
        <v>886</v>
      </c>
      <c r="H316" s="21"/>
      <c r="I316" s="52" t="str">
        <f aca="false">IF(H316="","",G316-H316)</f>
        <v/>
      </c>
      <c r="J316" s="39" t="n">
        <f aca="false">IF(OR(D316="",D316+G316=0),"",D316/(D316+G316))</f>
        <v>0.475429248075784</v>
      </c>
      <c r="K316" s="39" t="str">
        <f aca="false">IF(E316="","",E316/(E316+H316))</f>
        <v/>
      </c>
      <c r="L316" s="53" t="str">
        <f aca="false">IF(OR(K316="",J316=""),"",(J316-K316)*100)</f>
        <v/>
      </c>
      <c r="M316" s="38" t="s">
        <v>650</v>
      </c>
    </row>
    <row r="317" customFormat="false" ht="15" hidden="false" customHeight="false" outlineLevel="0" collapsed="false">
      <c r="A317" s="38" t="s">
        <v>344</v>
      </c>
      <c r="B317" s="38" t="s">
        <v>458</v>
      </c>
      <c r="C317" s="38" t="s">
        <v>459</v>
      </c>
      <c r="D317" s="21" t="n">
        <v>396</v>
      </c>
      <c r="E317" s="21" t="n">
        <v>409</v>
      </c>
      <c r="F317" s="52" t="n">
        <f aca="false">IF(E317="","",D317-E317)</f>
        <v>-13</v>
      </c>
      <c r="G317" s="21" t="n">
        <v>738</v>
      </c>
      <c r="H317" s="21" t="n">
        <v>764</v>
      </c>
      <c r="I317" s="52" t="n">
        <f aca="false">IF(H317="","",G317-H317)</f>
        <v>-26</v>
      </c>
      <c r="J317" s="39" t="n">
        <f aca="false">IF(OR(D317="",D317+G317=0),"",D317/(D317+G317))</f>
        <v>0.349206349206349</v>
      </c>
      <c r="K317" s="39" t="n">
        <f aca="false">IF(E317="","",E317/(E317+H317))</f>
        <v>0.348678601875533</v>
      </c>
      <c r="L317" s="53" t="n">
        <f aca="false">IF(OR(K317="",J317=""),"",(J317-K317)*100)</f>
        <v>0.0527747330816342</v>
      </c>
      <c r="M317" s="38"/>
    </row>
    <row r="318" customFormat="false" ht="15" hidden="false" customHeight="false" outlineLevel="0" collapsed="false">
      <c r="A318" s="38" t="s">
        <v>344</v>
      </c>
      <c r="B318" s="38" t="s">
        <v>458</v>
      </c>
      <c r="C318" s="38" t="s">
        <v>460</v>
      </c>
      <c r="D318" s="21" t="n">
        <v>815</v>
      </c>
      <c r="E318" s="21" t="n">
        <v>805</v>
      </c>
      <c r="F318" s="52" t="n">
        <f aca="false">IF(E318="","",D318-E318)</f>
        <v>10</v>
      </c>
      <c r="G318" s="21" t="n">
        <v>1463</v>
      </c>
      <c r="H318" s="21" t="n">
        <v>1577</v>
      </c>
      <c r="I318" s="52" t="n">
        <f aca="false">IF(H318="","",G318-H318)</f>
        <v>-114</v>
      </c>
      <c r="J318" s="39" t="n">
        <f aca="false">IF(OR(D318="",D318+G318=0),"",D318/(D318+G318))</f>
        <v>0.357769973661106</v>
      </c>
      <c r="K318" s="39" t="n">
        <f aca="false">IF(E318="","",E318/(E318+H318))</f>
        <v>0.337951301427372</v>
      </c>
      <c r="L318" s="53" t="n">
        <f aca="false">IF(OR(K318="",J318=""),"",(J318-K318)*100)</f>
        <v>1.98186722337343</v>
      </c>
      <c r="M318" s="38"/>
    </row>
    <row r="319" customFormat="false" ht="15" hidden="false" customHeight="false" outlineLevel="0" collapsed="false">
      <c r="A319" s="38" t="s">
        <v>344</v>
      </c>
      <c r="B319" s="38" t="s">
        <v>458</v>
      </c>
      <c r="C319" s="38" t="s">
        <v>461</v>
      </c>
      <c r="D319" s="21" t="n">
        <v>553</v>
      </c>
      <c r="E319" s="21" t="n">
        <v>547</v>
      </c>
      <c r="F319" s="52" t="n">
        <f aca="false">IF(E319="","",D319-E319)</f>
        <v>6</v>
      </c>
      <c r="G319" s="21" t="n">
        <v>1092</v>
      </c>
      <c r="H319" s="21" t="n">
        <v>1179</v>
      </c>
      <c r="I319" s="52" t="n">
        <f aca="false">IF(H319="","",G319-H319)</f>
        <v>-87</v>
      </c>
      <c r="J319" s="39" t="n">
        <f aca="false">IF(OR(D319="",D319+G319=0),"",D319/(D319+G319))</f>
        <v>0.336170212765957</v>
      </c>
      <c r="K319" s="39" t="n">
        <f aca="false">IF(E319="","",E319/(E319+H319))</f>
        <v>0.316917728852839</v>
      </c>
      <c r="L319" s="53" t="n">
        <f aca="false">IF(OR(K319="",J319=""),"",(J319-K319)*100)</f>
        <v>1.92524839131185</v>
      </c>
      <c r="M319" s="38"/>
    </row>
    <row r="320" customFormat="false" ht="15" hidden="false" customHeight="false" outlineLevel="0" collapsed="false">
      <c r="A320" s="38" t="s">
        <v>344</v>
      </c>
      <c r="B320" s="38" t="s">
        <v>458</v>
      </c>
      <c r="C320" s="38" t="s">
        <v>462</v>
      </c>
      <c r="D320" s="21" t="n">
        <v>257</v>
      </c>
      <c r="E320" s="21" t="n">
        <v>245</v>
      </c>
      <c r="F320" s="52" t="n">
        <f aca="false">IF(E320="","",D320-E320)</f>
        <v>12</v>
      </c>
      <c r="G320" s="21" t="n">
        <v>471</v>
      </c>
      <c r="H320" s="21" t="n">
        <v>537</v>
      </c>
      <c r="I320" s="52" t="n">
        <f aca="false">IF(H320="","",G320-H320)</f>
        <v>-66</v>
      </c>
      <c r="J320" s="39" t="n">
        <f aca="false">IF(OR(D320="",D320+G320=0),"",D320/(D320+G320))</f>
        <v>0.353021978021978</v>
      </c>
      <c r="K320" s="39" t="n">
        <f aca="false">IF(E320="","",E320/(E320+H320))</f>
        <v>0.313299232736573</v>
      </c>
      <c r="L320" s="53" t="n">
        <f aca="false">IF(OR(K320="",J320=""),"",(J320-K320)*100)</f>
        <v>3.97227452854052</v>
      </c>
      <c r="M320" s="38"/>
    </row>
    <row r="321" customFormat="false" ht="15" hidden="false" customHeight="false" outlineLevel="0" collapsed="false">
      <c r="A321" s="38" t="s">
        <v>344</v>
      </c>
      <c r="B321" s="38" t="s">
        <v>463</v>
      </c>
      <c r="C321" s="38" t="s">
        <v>464</v>
      </c>
      <c r="D321" s="21" t="n">
        <v>605</v>
      </c>
      <c r="E321" s="21" t="n">
        <v>601</v>
      </c>
      <c r="F321" s="52" t="n">
        <f aca="false">IF(E321="","",D321-E321)</f>
        <v>4</v>
      </c>
      <c r="G321" s="21" t="n">
        <v>574</v>
      </c>
      <c r="H321" s="21" t="n">
        <v>605</v>
      </c>
      <c r="I321" s="52" t="n">
        <f aca="false">IF(H321="","",G321-H321)</f>
        <v>-31</v>
      </c>
      <c r="J321" s="39" t="n">
        <f aca="false">IF(OR(D321="",D321+G321=0),"",D321/(D321+G321))</f>
        <v>0.51314673452078</v>
      </c>
      <c r="K321" s="39" t="n">
        <f aca="false">IF(E321="","",E321/(E321+H321))</f>
        <v>0.498341625207297</v>
      </c>
      <c r="L321" s="53" t="n">
        <f aca="false">IF(OR(K321="",J321=""),"",(J321-K321)*100)</f>
        <v>1.48051093134834</v>
      </c>
      <c r="M321" s="38"/>
    </row>
    <row r="322" customFormat="false" ht="15" hidden="false" customHeight="false" outlineLevel="0" collapsed="false">
      <c r="A322" s="38" t="s">
        <v>344</v>
      </c>
      <c r="B322" s="38" t="s">
        <v>463</v>
      </c>
      <c r="C322" s="38" t="s">
        <v>465</v>
      </c>
      <c r="D322" s="21" t="n">
        <v>539</v>
      </c>
      <c r="E322" s="21" t="n">
        <v>523</v>
      </c>
      <c r="F322" s="52" t="n">
        <f aca="false">IF(E322="","",D322-E322)</f>
        <v>16</v>
      </c>
      <c r="G322" s="21" t="n">
        <v>458</v>
      </c>
      <c r="H322" s="21" t="n">
        <v>542</v>
      </c>
      <c r="I322" s="52" t="n">
        <f aca="false">IF(H322="","",G322-H322)</f>
        <v>-84</v>
      </c>
      <c r="J322" s="39" t="n">
        <f aca="false">IF(OR(D322="",D322+G322=0),"",D322/(D322+G322))</f>
        <v>0.54062186559679</v>
      </c>
      <c r="K322" s="39" t="n">
        <f aca="false">IF(E322="","",E322/(E322+H322))</f>
        <v>0.491079812206573</v>
      </c>
      <c r="L322" s="53" t="n">
        <f aca="false">IF(OR(K322="",J322=""),"",(J322-K322)*100)</f>
        <v>4.95420533902176</v>
      </c>
      <c r="M322" s="38"/>
    </row>
    <row r="323" customFormat="false" ht="15" hidden="false" customHeight="false" outlineLevel="0" collapsed="false">
      <c r="A323" s="38" t="s">
        <v>344</v>
      </c>
      <c r="B323" s="38" t="s">
        <v>463</v>
      </c>
      <c r="C323" s="38" t="s">
        <v>466</v>
      </c>
      <c r="D323" s="21" t="n">
        <v>489</v>
      </c>
      <c r="E323" s="21" t="n">
        <v>472</v>
      </c>
      <c r="F323" s="52" t="n">
        <f aca="false">IF(E323="","",D323-E323)</f>
        <v>17</v>
      </c>
      <c r="G323" s="21" t="n">
        <v>452</v>
      </c>
      <c r="H323" s="21" t="n">
        <v>517</v>
      </c>
      <c r="I323" s="52" t="n">
        <f aca="false">IF(H323="","",G323-H323)</f>
        <v>-65</v>
      </c>
      <c r="J323" s="39" t="n">
        <f aca="false">IF(OR(D323="",D323+G323=0),"",D323/(D323+G323))</f>
        <v>0.519659936238045</v>
      </c>
      <c r="K323" s="39" t="n">
        <f aca="false">IF(E323="","",E323/(E323+H323))</f>
        <v>0.477249747219414</v>
      </c>
      <c r="L323" s="53" t="n">
        <f aca="false">IF(OR(K323="",J323=""),"",(J323-K323)*100)</f>
        <v>4.24101890186311</v>
      </c>
      <c r="M323" s="38"/>
    </row>
    <row r="324" customFormat="false" ht="15" hidden="false" customHeight="false" outlineLevel="0" collapsed="false">
      <c r="A324" s="38" t="s">
        <v>344</v>
      </c>
      <c r="B324" s="38" t="s">
        <v>467</v>
      </c>
      <c r="C324" s="38" t="s">
        <v>468</v>
      </c>
      <c r="D324" s="21" t="n">
        <v>239</v>
      </c>
      <c r="E324" s="21" t="n">
        <v>222</v>
      </c>
      <c r="F324" s="52" t="n">
        <f aca="false">IF(E324="","",D324-E324)</f>
        <v>17</v>
      </c>
      <c r="G324" s="21" t="n">
        <v>257</v>
      </c>
      <c r="H324" s="21" t="n">
        <v>276</v>
      </c>
      <c r="I324" s="52" t="n">
        <f aca="false">IF(H324="","",G324-H324)</f>
        <v>-19</v>
      </c>
      <c r="J324" s="39" t="n">
        <f aca="false">IF(OR(D324="",D324+G324=0),"",D324/(D324+G324))</f>
        <v>0.481854838709677</v>
      </c>
      <c r="K324" s="39" t="n">
        <f aca="false">IF(E324="","",E324/(E324+H324))</f>
        <v>0.445783132530121</v>
      </c>
      <c r="L324" s="53" t="n">
        <f aca="false">IF(OR(K324="",J324=""),"",(J324-K324)*100)</f>
        <v>3.6071706179557</v>
      </c>
      <c r="M324" s="38"/>
    </row>
    <row r="325" customFormat="false" ht="15" hidden="false" customHeight="false" outlineLevel="0" collapsed="false">
      <c r="A325" s="38" t="s">
        <v>344</v>
      </c>
      <c r="B325" s="38" t="s">
        <v>467</v>
      </c>
      <c r="C325" s="38" t="s">
        <v>469</v>
      </c>
      <c r="D325" s="21" t="n">
        <v>570</v>
      </c>
      <c r="E325" s="21" t="n">
        <v>625</v>
      </c>
      <c r="F325" s="52" t="n">
        <f aca="false">IF(E325="","",D325-E325)</f>
        <v>-55</v>
      </c>
      <c r="G325" s="21" t="n">
        <v>508</v>
      </c>
      <c r="H325" s="21" t="n">
        <v>613</v>
      </c>
      <c r="I325" s="52" t="n">
        <f aca="false">IF(H325="","",G325-H325)</f>
        <v>-105</v>
      </c>
      <c r="J325" s="39" t="n">
        <f aca="false">IF(OR(D325="",D325+G325=0),"",D325/(D325+G325))</f>
        <v>0.528756957328386</v>
      </c>
      <c r="K325" s="39" t="n">
        <f aca="false">IF(E325="","",E325/(E325+H325))</f>
        <v>0.504846526655897</v>
      </c>
      <c r="L325" s="53" t="n">
        <f aca="false">IF(OR(K325="",J325=""),"",(J325-K325)*100)</f>
        <v>2.39104306724893</v>
      </c>
      <c r="M325" s="38"/>
    </row>
    <row r="326" customFormat="false" ht="15" hidden="false" customHeight="false" outlineLevel="0" collapsed="false">
      <c r="A326" s="38" t="s">
        <v>344</v>
      </c>
      <c r="B326" s="38" t="s">
        <v>470</v>
      </c>
      <c r="C326" s="38" t="s">
        <v>471</v>
      </c>
      <c r="D326" s="21" t="n">
        <v>650</v>
      </c>
      <c r="E326" s="21" t="n">
        <v>628</v>
      </c>
      <c r="F326" s="52" t="n">
        <f aca="false">IF(E326="","",D326-E326)</f>
        <v>22</v>
      </c>
      <c r="G326" s="21" t="n">
        <v>634</v>
      </c>
      <c r="H326" s="21" t="n">
        <v>719</v>
      </c>
      <c r="I326" s="52" t="n">
        <f aca="false">IF(H326="","",G326-H326)</f>
        <v>-85</v>
      </c>
      <c r="J326" s="39" t="n">
        <f aca="false">IF(OR(D326="",D326+G326=0),"",D326/(D326+G326))</f>
        <v>0.506230529595016</v>
      </c>
      <c r="K326" s="39" t="n">
        <f aca="false">IF(E326="","",E326/(E326+H326))</f>
        <v>0.466221232368226</v>
      </c>
      <c r="L326" s="53" t="n">
        <f aca="false">IF(OR(K326="",J326=""),"",(J326-K326)*100)</f>
        <v>4.00092972267899</v>
      </c>
      <c r="M326" s="38"/>
    </row>
    <row r="327" customFormat="false" ht="15" hidden="false" customHeight="false" outlineLevel="0" collapsed="false">
      <c r="A327" s="38" t="s">
        <v>344</v>
      </c>
      <c r="B327" s="38" t="s">
        <v>470</v>
      </c>
      <c r="C327" s="38" t="s">
        <v>472</v>
      </c>
      <c r="D327" s="21" t="n">
        <v>584</v>
      </c>
      <c r="E327" s="21" t="n">
        <v>588</v>
      </c>
      <c r="F327" s="52" t="n">
        <f aca="false">IF(E327="","",D327-E327)</f>
        <v>-4</v>
      </c>
      <c r="G327" s="21" t="n">
        <v>556</v>
      </c>
      <c r="H327" s="21" t="n">
        <v>628</v>
      </c>
      <c r="I327" s="52" t="n">
        <f aca="false">IF(H327="","",G327-H327)</f>
        <v>-72</v>
      </c>
      <c r="J327" s="39" t="n">
        <f aca="false">IF(OR(D327="",D327+G327=0),"",D327/(D327+G327))</f>
        <v>0.512280701754386</v>
      </c>
      <c r="K327" s="39" t="n">
        <f aca="false">IF(E327="","",E327/(E327+H327))</f>
        <v>0.483552631578947</v>
      </c>
      <c r="L327" s="53" t="n">
        <f aca="false">IF(OR(K327="",J327=""),"",(J327-K327)*100)</f>
        <v>2.87280701754387</v>
      </c>
      <c r="M327" s="38"/>
    </row>
    <row r="328" customFormat="false" ht="15" hidden="false" customHeight="false" outlineLevel="0" collapsed="false">
      <c r="A328" s="38" t="s">
        <v>344</v>
      </c>
      <c r="B328" s="38" t="s">
        <v>470</v>
      </c>
      <c r="C328" s="38" t="s">
        <v>473</v>
      </c>
      <c r="D328" s="21" t="n">
        <v>1167</v>
      </c>
      <c r="E328" s="21" t="n">
        <v>1120</v>
      </c>
      <c r="F328" s="52" t="n">
        <f aca="false">IF(E328="","",D328-E328)</f>
        <v>47</v>
      </c>
      <c r="G328" s="21" t="n">
        <v>1142</v>
      </c>
      <c r="H328" s="21" t="n">
        <v>1352</v>
      </c>
      <c r="I328" s="52" t="n">
        <f aca="false">IF(H328="","",G328-H328)</f>
        <v>-210</v>
      </c>
      <c r="J328" s="39" t="n">
        <f aca="false">IF(OR(D328="",D328+G328=0),"",D328/(D328+G328))</f>
        <v>0.505413598960589</v>
      </c>
      <c r="K328" s="39" t="n">
        <f aca="false">IF(E328="","",E328/(E328+H328))</f>
        <v>0.453074433656958</v>
      </c>
      <c r="L328" s="53" t="n">
        <f aca="false">IF(OR(K328="",J328=""),"",(J328-K328)*100)</f>
        <v>5.23391653036311</v>
      </c>
      <c r="M328" s="38"/>
    </row>
    <row r="329" customFormat="false" ht="15" hidden="false" customHeight="false" outlineLevel="0" collapsed="false">
      <c r="A329" s="38" t="s">
        <v>344</v>
      </c>
      <c r="B329" s="38" t="s">
        <v>470</v>
      </c>
      <c r="C329" s="38" t="s">
        <v>474</v>
      </c>
      <c r="D329" s="21" t="n">
        <v>281</v>
      </c>
      <c r="E329" s="21" t="n">
        <v>237</v>
      </c>
      <c r="F329" s="52" t="n">
        <f aca="false">IF(E329="","",D329-E329)</f>
        <v>44</v>
      </c>
      <c r="G329" s="21" t="n">
        <v>275</v>
      </c>
      <c r="H329" s="21" t="n">
        <v>324</v>
      </c>
      <c r="I329" s="52" t="n">
        <f aca="false">IF(H329="","",G329-H329)</f>
        <v>-49</v>
      </c>
      <c r="J329" s="39" t="n">
        <f aca="false">IF(OR(D329="",D329+G329=0),"",D329/(D329+G329))</f>
        <v>0.505395683453237</v>
      </c>
      <c r="K329" s="39" t="n">
        <f aca="false">IF(E329="","",E329/(E329+H329))</f>
        <v>0.422459893048128</v>
      </c>
      <c r="L329" s="53" t="n">
        <f aca="false">IF(OR(K329="",J329=""),"",(J329-K329)*100)</f>
        <v>8.2935790405109</v>
      </c>
      <c r="M329" s="38"/>
    </row>
    <row r="330" customFormat="false" ht="15" hidden="false" customHeight="false" outlineLevel="0" collapsed="false">
      <c r="A330" s="38" t="s">
        <v>344</v>
      </c>
      <c r="B330" s="38" t="s">
        <v>475</v>
      </c>
      <c r="C330" s="38" t="s">
        <v>476</v>
      </c>
      <c r="D330" s="21" t="n">
        <v>695</v>
      </c>
      <c r="E330" s="21" t="n">
        <v>600</v>
      </c>
      <c r="F330" s="52" t="n">
        <f aca="false">IF(E330="","",D330-E330)</f>
        <v>95</v>
      </c>
      <c r="G330" s="21" t="n">
        <v>635</v>
      </c>
      <c r="H330" s="21" t="n">
        <v>681</v>
      </c>
      <c r="I330" s="52" t="n">
        <f aca="false">IF(H330="","",G330-H330)</f>
        <v>-46</v>
      </c>
      <c r="J330" s="39" t="n">
        <f aca="false">IF(OR(D330="",D330+G330=0),"",D330/(D330+G330))</f>
        <v>0.522556390977444</v>
      </c>
      <c r="K330" s="39" t="n">
        <f aca="false">IF(E330="","",E330/(E330+H330))</f>
        <v>0.468384074941452</v>
      </c>
      <c r="L330" s="53" t="n">
        <f aca="false">IF(OR(K330="",J330=""),"",(J330-K330)*100)</f>
        <v>5.41723160359917</v>
      </c>
      <c r="M330" s="38"/>
    </row>
    <row r="331" customFormat="false" ht="15" hidden="false" customHeight="false" outlineLevel="0" collapsed="false">
      <c r="A331" s="38" t="s">
        <v>344</v>
      </c>
      <c r="B331" s="38" t="s">
        <v>475</v>
      </c>
      <c r="C331" s="38" t="s">
        <v>477</v>
      </c>
      <c r="D331" s="21" t="n">
        <v>533</v>
      </c>
      <c r="E331" s="21"/>
      <c r="F331" s="52" t="str">
        <f aca="false">IF(E331="","",D331-E331)</f>
        <v/>
      </c>
      <c r="G331" s="21" t="n">
        <v>470</v>
      </c>
      <c r="H331" s="21"/>
      <c r="I331" s="52" t="str">
        <f aca="false">IF(H331="","",G331-H331)</f>
        <v/>
      </c>
      <c r="J331" s="39" t="n">
        <f aca="false">IF(OR(D331="",D331+G331=0),"",D331/(D331+G331))</f>
        <v>0.531405782652044</v>
      </c>
      <c r="K331" s="39" t="str">
        <f aca="false">IF(E331="","",E331/(E331+H331))</f>
        <v/>
      </c>
      <c r="L331" s="53" t="str">
        <f aca="false">IF(OR(K331="",J331=""),"",(J331-K331)*100)</f>
        <v/>
      </c>
      <c r="M331" s="38" t="s">
        <v>650</v>
      </c>
    </row>
    <row r="332" customFormat="false" ht="15" hidden="false" customHeight="false" outlineLevel="0" collapsed="false">
      <c r="A332" s="38" t="s">
        <v>344</v>
      </c>
      <c r="B332" s="38" t="s">
        <v>475</v>
      </c>
      <c r="C332" s="38" t="s">
        <v>478</v>
      </c>
      <c r="D332" s="21" t="n">
        <v>772</v>
      </c>
      <c r="E332" s="21"/>
      <c r="F332" s="52" t="str">
        <f aca="false">IF(E332="","",D332-E332)</f>
        <v/>
      </c>
      <c r="G332" s="21" t="n">
        <v>722</v>
      </c>
      <c r="H332" s="21"/>
      <c r="I332" s="52" t="str">
        <f aca="false">IF(H332="","",G332-H332)</f>
        <v/>
      </c>
      <c r="J332" s="39" t="n">
        <f aca="false">IF(OR(D332="",D332+G332=0),"",D332/(D332+G332))</f>
        <v>0.516733601070951</v>
      </c>
      <c r="K332" s="39" t="str">
        <f aca="false">IF(E332="","",E332/(E332+H332))</f>
        <v/>
      </c>
      <c r="L332" s="53" t="str">
        <f aca="false">IF(OR(K332="",J332=""),"",(J332-K332)*100)</f>
        <v/>
      </c>
      <c r="M332" s="38" t="s">
        <v>650</v>
      </c>
    </row>
    <row r="333" customFormat="false" ht="15" hidden="false" customHeight="false" outlineLevel="0" collapsed="false">
      <c r="A333" s="38" t="s">
        <v>344</v>
      </c>
      <c r="B333" s="38" t="s">
        <v>475</v>
      </c>
      <c r="C333" s="38" t="s">
        <v>479</v>
      </c>
      <c r="D333" s="21" t="n">
        <v>812</v>
      </c>
      <c r="E333" s="21" t="n">
        <v>824</v>
      </c>
      <c r="F333" s="52" t="n">
        <f aca="false">IF(E333="","",D333-E333)</f>
        <v>-12</v>
      </c>
      <c r="G333" s="21" t="n">
        <v>685</v>
      </c>
      <c r="H333" s="21" t="n">
        <v>795</v>
      </c>
      <c r="I333" s="52" t="n">
        <f aca="false">IF(H333="","",G333-H333)</f>
        <v>-110</v>
      </c>
      <c r="J333" s="39" t="n">
        <f aca="false">IF(OR(D333="",D333+G333=0),"",D333/(D333+G333))</f>
        <v>0.542418169672679</v>
      </c>
      <c r="K333" s="39" t="n">
        <f aca="false">IF(E333="","",E333/(E333+H333))</f>
        <v>0.508956145768993</v>
      </c>
      <c r="L333" s="53" t="n">
        <f aca="false">IF(OR(K333="",J333=""),"",(J333-K333)*100)</f>
        <v>3.34620239036855</v>
      </c>
      <c r="M333" s="38"/>
    </row>
    <row r="334" customFormat="false" ht="15" hidden="false" customHeight="false" outlineLevel="0" collapsed="false">
      <c r="A334" s="38" t="s">
        <v>344</v>
      </c>
      <c r="B334" s="38" t="s">
        <v>475</v>
      </c>
      <c r="C334" s="38" t="s">
        <v>480</v>
      </c>
      <c r="D334" s="21" t="n">
        <v>1224</v>
      </c>
      <c r="E334" s="21" t="n">
        <v>1193</v>
      </c>
      <c r="F334" s="52" t="n">
        <f aca="false">IF(E334="","",D334-E334)</f>
        <v>31</v>
      </c>
      <c r="G334" s="21" t="n">
        <v>1165</v>
      </c>
      <c r="H334" s="21" t="n">
        <v>1334</v>
      </c>
      <c r="I334" s="52" t="n">
        <f aca="false">IF(H334="","",G334-H334)</f>
        <v>-169</v>
      </c>
      <c r="J334" s="39" t="n">
        <f aca="false">IF(OR(D334="",D334+G334=0),"",D334/(D334+G334))</f>
        <v>0.512348262871494</v>
      </c>
      <c r="K334" s="39" t="n">
        <f aca="false">IF(E334="","",E334/(E334+H334))</f>
        <v>0.47210130589632</v>
      </c>
      <c r="L334" s="53" t="n">
        <f aca="false">IF(OR(K334="",J334=""),"",(J334-K334)*100)</f>
        <v>4.02469569751746</v>
      </c>
      <c r="M334" s="38"/>
    </row>
    <row r="335" customFormat="false" ht="15" hidden="false" customHeight="false" outlineLevel="0" collapsed="false">
      <c r="A335" s="38" t="s">
        <v>344</v>
      </c>
      <c r="B335" s="38" t="s">
        <v>475</v>
      </c>
      <c r="C335" s="38" t="s">
        <v>481</v>
      </c>
      <c r="D335" s="21" t="n">
        <v>802</v>
      </c>
      <c r="E335" s="21" t="n">
        <v>755</v>
      </c>
      <c r="F335" s="52" t="n">
        <f aca="false">IF(E335="","",D335-E335)</f>
        <v>47</v>
      </c>
      <c r="G335" s="21" t="n">
        <v>745</v>
      </c>
      <c r="H335" s="21" t="n">
        <v>789</v>
      </c>
      <c r="I335" s="52" t="n">
        <f aca="false">IF(H335="","",G335-H335)</f>
        <v>-44</v>
      </c>
      <c r="J335" s="39" t="n">
        <f aca="false">IF(OR(D335="",D335+G335=0),"",D335/(D335+G335))</f>
        <v>0.518422753716871</v>
      </c>
      <c r="K335" s="39" t="n">
        <f aca="false">IF(E335="","",E335/(E335+H335))</f>
        <v>0.4889896373057</v>
      </c>
      <c r="L335" s="53" t="n">
        <f aca="false">IF(OR(K335="",J335=""),"",(J335-K335)*100)</f>
        <v>2.94331164111719</v>
      </c>
      <c r="M335" s="38"/>
    </row>
    <row r="336" customFormat="false" ht="15" hidden="false" customHeight="false" outlineLevel="0" collapsed="false">
      <c r="A336" s="38" t="s">
        <v>344</v>
      </c>
      <c r="B336" s="38" t="s">
        <v>475</v>
      </c>
      <c r="C336" s="38" t="s">
        <v>482</v>
      </c>
      <c r="D336" s="21" t="n">
        <v>771</v>
      </c>
      <c r="E336" s="21"/>
      <c r="F336" s="52" t="str">
        <f aca="false">IF(E336="","",D336-E336)</f>
        <v/>
      </c>
      <c r="G336" s="21" t="n">
        <v>635</v>
      </c>
      <c r="H336" s="21"/>
      <c r="I336" s="52" t="str">
        <f aca="false">IF(H336="","",G336-H336)</f>
        <v/>
      </c>
      <c r="J336" s="39" t="n">
        <f aca="false">IF(OR(D336="",D336+G336=0),"",D336/(D336+G336))</f>
        <v>0.548364153627312</v>
      </c>
      <c r="K336" s="39" t="str">
        <f aca="false">IF(E336="","",E336/(E336+H336))</f>
        <v/>
      </c>
      <c r="L336" s="53" t="str">
        <f aca="false">IF(OR(K336="",J336=""),"",(J336-K336)*100)</f>
        <v/>
      </c>
      <c r="M336" s="38" t="s">
        <v>650</v>
      </c>
    </row>
    <row r="337" customFormat="false" ht="15" hidden="false" customHeight="false" outlineLevel="0" collapsed="false">
      <c r="A337" s="38" t="s">
        <v>344</v>
      </c>
      <c r="B337" s="38" t="s">
        <v>475</v>
      </c>
      <c r="C337" s="38" t="s">
        <v>483</v>
      </c>
      <c r="D337" s="21" t="n">
        <v>681</v>
      </c>
      <c r="E337" s="21"/>
      <c r="F337" s="52" t="str">
        <f aca="false">IF(E337="","",D337-E337)</f>
        <v/>
      </c>
      <c r="G337" s="21" t="n">
        <v>703</v>
      </c>
      <c r="H337" s="21"/>
      <c r="I337" s="52" t="str">
        <f aca="false">IF(H337="","",G337-H337)</f>
        <v/>
      </c>
      <c r="J337" s="39" t="n">
        <f aca="false">IF(OR(D337="",D337+G337=0),"",D337/(D337+G337))</f>
        <v>0.492052023121387</v>
      </c>
      <c r="K337" s="39" t="str">
        <f aca="false">IF(E337="","",E337/(E337+H337))</f>
        <v/>
      </c>
      <c r="L337" s="53" t="str">
        <f aca="false">IF(OR(K337="",J337=""),"",(J337-K337)*100)</f>
        <v/>
      </c>
      <c r="M337" s="38" t="s">
        <v>650</v>
      </c>
    </row>
    <row r="338" customFormat="false" ht="15" hidden="false" customHeight="false" outlineLevel="0" collapsed="false">
      <c r="A338" s="38" t="s">
        <v>344</v>
      </c>
      <c r="B338" s="38" t="s">
        <v>475</v>
      </c>
      <c r="C338" s="38" t="s">
        <v>484</v>
      </c>
      <c r="D338" s="21" t="n">
        <v>796</v>
      </c>
      <c r="E338" s="21"/>
      <c r="F338" s="52" t="str">
        <f aca="false">IF(E338="","",D338-E338)</f>
        <v/>
      </c>
      <c r="G338" s="21" t="n">
        <v>850</v>
      </c>
      <c r="H338" s="21"/>
      <c r="I338" s="52" t="str">
        <f aca="false">IF(H338="","",G338-H338)</f>
        <v/>
      </c>
      <c r="J338" s="39" t="n">
        <f aca="false">IF(OR(D338="",D338+G338=0),"",D338/(D338+G338))</f>
        <v>0.48359659781288</v>
      </c>
      <c r="K338" s="39" t="str">
        <f aca="false">IF(E338="","",E338/(E338+H338))</f>
        <v/>
      </c>
      <c r="L338" s="53" t="str">
        <f aca="false">IF(OR(K338="",J338=""),"",(J338-K338)*100)</f>
        <v/>
      </c>
      <c r="M338" s="38" t="s">
        <v>650</v>
      </c>
    </row>
    <row r="339" customFormat="false" ht="15" hidden="false" customHeight="false" outlineLevel="0" collapsed="false">
      <c r="A339" s="38" t="s">
        <v>344</v>
      </c>
      <c r="B339" s="38" t="s">
        <v>485</v>
      </c>
      <c r="C339" s="38" t="s">
        <v>486</v>
      </c>
      <c r="D339" s="21" t="n">
        <v>103</v>
      </c>
      <c r="E339" s="21" t="n">
        <v>112</v>
      </c>
      <c r="F339" s="52" t="n">
        <f aca="false">IF(E339="","",D339-E339)</f>
        <v>-9</v>
      </c>
      <c r="G339" s="21" t="n">
        <v>163</v>
      </c>
      <c r="H339" s="21" t="n">
        <v>199</v>
      </c>
      <c r="I339" s="52" t="n">
        <f aca="false">IF(H339="","",G339-H339)</f>
        <v>-36</v>
      </c>
      <c r="J339" s="39" t="n">
        <f aca="false">IF(OR(D339="",D339+G339=0),"",D339/(D339+G339))</f>
        <v>0.387218045112782</v>
      </c>
      <c r="K339" s="39" t="n">
        <f aca="false">IF(E339="","",E339/(E339+H339))</f>
        <v>0.360128617363344</v>
      </c>
      <c r="L339" s="53" t="n">
        <f aca="false">IF(OR(K339="",J339=""),"",(J339-K339)*100)</f>
        <v>2.70894277494379</v>
      </c>
      <c r="M339" s="38"/>
    </row>
    <row r="340" customFormat="false" ht="15" hidden="false" customHeight="false" outlineLevel="0" collapsed="false">
      <c r="A340" s="38" t="s">
        <v>344</v>
      </c>
      <c r="B340" s="38" t="s">
        <v>485</v>
      </c>
      <c r="C340" s="38" t="s">
        <v>487</v>
      </c>
      <c r="D340" s="21" t="n">
        <v>257</v>
      </c>
      <c r="E340" s="21" t="n">
        <v>259</v>
      </c>
      <c r="F340" s="52" t="n">
        <f aca="false">IF(E340="","",D340-E340)</f>
        <v>-2</v>
      </c>
      <c r="G340" s="21" t="n">
        <v>451</v>
      </c>
      <c r="H340" s="21" t="n">
        <v>480</v>
      </c>
      <c r="I340" s="52" t="n">
        <f aca="false">IF(H340="","",G340-H340)</f>
        <v>-29</v>
      </c>
      <c r="J340" s="39" t="n">
        <f aca="false">IF(OR(D340="",D340+G340=0),"",D340/(D340+G340))</f>
        <v>0.362994350282486</v>
      </c>
      <c r="K340" s="39" t="n">
        <f aca="false">IF(E340="","",E340/(E340+H340))</f>
        <v>0.350473612990528</v>
      </c>
      <c r="L340" s="53" t="n">
        <f aca="false">IF(OR(K340="",J340=""),"",(J340-K340)*100)</f>
        <v>1.25207372919581</v>
      </c>
      <c r="M340" s="38"/>
    </row>
    <row r="341" customFormat="false" ht="15" hidden="false" customHeight="false" outlineLevel="0" collapsed="false">
      <c r="A341" s="38" t="s">
        <v>344</v>
      </c>
      <c r="B341" s="38" t="s">
        <v>485</v>
      </c>
      <c r="C341" s="38" t="s">
        <v>488</v>
      </c>
      <c r="D341" s="21" t="n">
        <v>210</v>
      </c>
      <c r="E341" s="21" t="n">
        <v>204</v>
      </c>
      <c r="F341" s="52" t="n">
        <f aca="false">IF(E341="","",D341-E341)</f>
        <v>6</v>
      </c>
      <c r="G341" s="21" t="n">
        <v>279</v>
      </c>
      <c r="H341" s="21" t="n">
        <v>301</v>
      </c>
      <c r="I341" s="52" t="n">
        <f aca="false">IF(H341="","",G341-H341)</f>
        <v>-22</v>
      </c>
      <c r="J341" s="39" t="n">
        <f aca="false">IF(OR(D341="",D341+G341=0),"",D341/(D341+G341))</f>
        <v>0.429447852760736</v>
      </c>
      <c r="K341" s="39" t="n">
        <f aca="false">IF(E341="","",E341/(E341+H341))</f>
        <v>0.403960396039604</v>
      </c>
      <c r="L341" s="53" t="n">
        <f aca="false">IF(OR(K341="",J341=""),"",(J341-K341)*100)</f>
        <v>2.54874567211322</v>
      </c>
      <c r="M341" s="38"/>
    </row>
    <row r="342" customFormat="false" ht="15" hidden="false" customHeight="false" outlineLevel="0" collapsed="false">
      <c r="A342" s="38" t="s">
        <v>344</v>
      </c>
      <c r="B342" s="38" t="s">
        <v>485</v>
      </c>
      <c r="C342" s="38" t="s">
        <v>489</v>
      </c>
      <c r="D342" s="21" t="n">
        <v>136</v>
      </c>
      <c r="E342" s="21" t="n">
        <v>128</v>
      </c>
      <c r="F342" s="52" t="n">
        <f aca="false">IF(E342="","",D342-E342)</f>
        <v>8</v>
      </c>
      <c r="G342" s="21" t="n">
        <v>168</v>
      </c>
      <c r="H342" s="21" t="n">
        <v>200</v>
      </c>
      <c r="I342" s="52" t="n">
        <f aca="false">IF(H342="","",G342-H342)</f>
        <v>-32</v>
      </c>
      <c r="J342" s="39" t="n">
        <f aca="false">IF(OR(D342="",D342+G342=0),"",D342/(D342+G342))</f>
        <v>0.447368421052632</v>
      </c>
      <c r="K342" s="39" t="n">
        <f aca="false">IF(E342="","",E342/(E342+H342))</f>
        <v>0.390243902439024</v>
      </c>
      <c r="L342" s="53" t="n">
        <f aca="false">IF(OR(K342="",J342=""),"",(J342-K342)*100)</f>
        <v>5.71245186136072</v>
      </c>
      <c r="M342" s="38"/>
    </row>
    <row r="343" customFormat="false" ht="15" hidden="false" customHeight="false" outlineLevel="0" collapsed="false">
      <c r="A343" s="38" t="s">
        <v>344</v>
      </c>
      <c r="B343" s="38" t="s">
        <v>490</v>
      </c>
      <c r="C343" s="38" t="s">
        <v>491</v>
      </c>
      <c r="D343" s="21" t="n">
        <v>417</v>
      </c>
      <c r="E343" s="21" t="n">
        <v>412</v>
      </c>
      <c r="F343" s="52" t="n">
        <f aca="false">IF(E343="","",D343-E343)</f>
        <v>5</v>
      </c>
      <c r="G343" s="21" t="n">
        <v>749</v>
      </c>
      <c r="H343" s="21" t="n">
        <v>767</v>
      </c>
      <c r="I343" s="52" t="n">
        <f aca="false">IF(H343="","",G343-H343)</f>
        <v>-18</v>
      </c>
      <c r="J343" s="39" t="n">
        <f aca="false">IF(OR(D343="",D343+G343=0),"",D343/(D343+G343))</f>
        <v>0.357632933104631</v>
      </c>
      <c r="K343" s="39" t="n">
        <f aca="false">IF(E343="","",E343/(E343+H343))</f>
        <v>0.349448685326548</v>
      </c>
      <c r="L343" s="53" t="n">
        <f aca="false">IF(OR(K343="",J343=""),"",(J343-K343)*100)</f>
        <v>0.81842477780833</v>
      </c>
      <c r="M343" s="38"/>
    </row>
    <row r="344" customFormat="false" ht="15" hidden="false" customHeight="false" outlineLevel="0" collapsed="false">
      <c r="A344" s="38" t="s">
        <v>344</v>
      </c>
      <c r="B344" s="38" t="s">
        <v>490</v>
      </c>
      <c r="C344" s="38" t="s">
        <v>492</v>
      </c>
      <c r="D344" s="21" t="n">
        <v>340</v>
      </c>
      <c r="E344" s="21" t="n">
        <v>361</v>
      </c>
      <c r="F344" s="52" t="n">
        <f aca="false">IF(E344="","",D344-E344)</f>
        <v>-21</v>
      </c>
      <c r="G344" s="21" t="n">
        <v>599</v>
      </c>
      <c r="H344" s="21" t="n">
        <v>633</v>
      </c>
      <c r="I344" s="52" t="n">
        <f aca="false">IF(H344="","",G344-H344)</f>
        <v>-34</v>
      </c>
      <c r="J344" s="39" t="n">
        <f aca="false">IF(OR(D344="",D344+G344=0),"",D344/(D344+G344))</f>
        <v>0.362087326943557</v>
      </c>
      <c r="K344" s="39" t="n">
        <f aca="false">IF(E344="","",E344/(E344+H344))</f>
        <v>0.36317907444668</v>
      </c>
      <c r="L344" s="53" t="n">
        <f aca="false">IF(OR(K344="",J344=""),"",(J344-K344)*100)</f>
        <v>-0.109174750312308</v>
      </c>
      <c r="M344" s="38"/>
    </row>
    <row r="345" customFormat="false" ht="15" hidden="false" customHeight="false" outlineLevel="0" collapsed="false">
      <c r="A345" s="38" t="s">
        <v>344</v>
      </c>
      <c r="B345" s="38" t="s">
        <v>490</v>
      </c>
      <c r="C345" s="38" t="s">
        <v>493</v>
      </c>
      <c r="D345" s="21" t="n">
        <v>300</v>
      </c>
      <c r="E345" s="21" t="n">
        <v>286</v>
      </c>
      <c r="F345" s="52" t="n">
        <f aca="false">IF(E345="","",D345-E345)</f>
        <v>14</v>
      </c>
      <c r="G345" s="21" t="n">
        <v>570</v>
      </c>
      <c r="H345" s="21" t="n">
        <v>553</v>
      </c>
      <c r="I345" s="52" t="n">
        <f aca="false">IF(H345="","",G345-H345)</f>
        <v>17</v>
      </c>
      <c r="J345" s="39" t="n">
        <f aca="false">IF(OR(D345="",D345+G345=0),"",D345/(D345+G345))</f>
        <v>0.344827586206897</v>
      </c>
      <c r="K345" s="39" t="n">
        <f aca="false">IF(E345="","",E345/(E345+H345))</f>
        <v>0.34088200238379</v>
      </c>
      <c r="L345" s="53" t="n">
        <f aca="false">IF(OR(K345="",J345=""),"",(J345-K345)*100)</f>
        <v>0.394558382310634</v>
      </c>
      <c r="M345" s="38"/>
    </row>
    <row r="346" customFormat="false" ht="15" hidden="false" customHeight="false" outlineLevel="0" collapsed="false">
      <c r="A346" s="38" t="s">
        <v>344</v>
      </c>
      <c r="B346" s="38" t="s">
        <v>490</v>
      </c>
      <c r="C346" s="38" t="s">
        <v>494</v>
      </c>
      <c r="D346" s="21" t="n">
        <v>324</v>
      </c>
      <c r="E346" s="21" t="n">
        <v>302</v>
      </c>
      <c r="F346" s="52" t="n">
        <f aca="false">IF(E346="","",D346-E346)</f>
        <v>22</v>
      </c>
      <c r="G346" s="21" t="n">
        <v>589</v>
      </c>
      <c r="H346" s="21" t="n">
        <v>608</v>
      </c>
      <c r="I346" s="52" t="n">
        <f aca="false">IF(H346="","",G346-H346)</f>
        <v>-19</v>
      </c>
      <c r="J346" s="39" t="n">
        <f aca="false">IF(OR(D346="",D346+G346=0),"",D346/(D346+G346))</f>
        <v>0.35487404162103</v>
      </c>
      <c r="K346" s="39" t="n">
        <f aca="false">IF(E346="","",E346/(E346+H346))</f>
        <v>0.331868131868132</v>
      </c>
      <c r="L346" s="53" t="n">
        <f aca="false">IF(OR(K346="",J346=""),"",(J346-K346)*100)</f>
        <v>2.30059097528977</v>
      </c>
      <c r="M346" s="38"/>
    </row>
    <row r="347" customFormat="false" ht="15" hidden="false" customHeight="false" outlineLevel="0" collapsed="false">
      <c r="A347" s="38" t="s">
        <v>344</v>
      </c>
      <c r="B347" s="38" t="s">
        <v>495</v>
      </c>
      <c r="C347" s="38" t="s">
        <v>496</v>
      </c>
      <c r="D347" s="21" t="n">
        <v>85</v>
      </c>
      <c r="E347" s="21" t="n">
        <v>92</v>
      </c>
      <c r="F347" s="52" t="n">
        <f aca="false">IF(E347="","",D347-E347)</f>
        <v>-7</v>
      </c>
      <c r="G347" s="21" t="n">
        <v>168</v>
      </c>
      <c r="H347" s="21" t="n">
        <v>167</v>
      </c>
      <c r="I347" s="52" t="n">
        <f aca="false">IF(H347="","",G347-H347)</f>
        <v>1</v>
      </c>
      <c r="J347" s="39" t="n">
        <f aca="false">IF(OR(D347="",D347+G347=0),"",D347/(D347+G347))</f>
        <v>0.33596837944664</v>
      </c>
      <c r="K347" s="39" t="n">
        <f aca="false">IF(E347="","",E347/(E347+H347))</f>
        <v>0.355212355212355</v>
      </c>
      <c r="L347" s="53" t="n">
        <f aca="false">IF(OR(K347="",J347=""),"",(J347-K347)*100)</f>
        <v>-1.92439757657149</v>
      </c>
      <c r="M347" s="38"/>
    </row>
    <row r="348" customFormat="false" ht="15" hidden="false" customHeight="false" outlineLevel="0" collapsed="false">
      <c r="A348" s="38" t="s">
        <v>344</v>
      </c>
      <c r="B348" s="38" t="s">
        <v>497</v>
      </c>
      <c r="C348" s="38" t="s">
        <v>498</v>
      </c>
      <c r="D348" s="21" t="n">
        <v>364</v>
      </c>
      <c r="E348" s="21" t="n">
        <v>335</v>
      </c>
      <c r="F348" s="52" t="n">
        <f aca="false">IF(E348="","",D348-E348)</f>
        <v>29</v>
      </c>
      <c r="G348" s="21" t="n">
        <v>538</v>
      </c>
      <c r="H348" s="21" t="n">
        <v>581</v>
      </c>
      <c r="I348" s="52" t="n">
        <f aca="false">IF(H348="","",G348-H348)</f>
        <v>-43</v>
      </c>
      <c r="J348" s="39" t="n">
        <f aca="false">IF(OR(D348="",D348+G348=0),"",D348/(D348+G348))</f>
        <v>0.403547671840355</v>
      </c>
      <c r="K348" s="39" t="n">
        <f aca="false">IF(E348="","",E348/(E348+H348))</f>
        <v>0.365720524017467</v>
      </c>
      <c r="L348" s="53" t="n">
        <f aca="false">IF(OR(K348="",J348=""),"",(J348-K348)*100)</f>
        <v>3.78271478228875</v>
      </c>
      <c r="M348" s="38"/>
    </row>
    <row r="349" customFormat="false" ht="15" hidden="false" customHeight="false" outlineLevel="0" collapsed="false">
      <c r="A349" s="38" t="s">
        <v>344</v>
      </c>
      <c r="B349" s="38" t="s">
        <v>499</v>
      </c>
      <c r="C349" s="38" t="s">
        <v>500</v>
      </c>
      <c r="D349" s="21" t="n">
        <v>224</v>
      </c>
      <c r="E349" s="21" t="n">
        <v>210</v>
      </c>
      <c r="F349" s="52" t="n">
        <f aca="false">IF(E349="","",D349-E349)</f>
        <v>14</v>
      </c>
      <c r="G349" s="21" t="n">
        <v>296</v>
      </c>
      <c r="H349" s="21" t="n">
        <v>309</v>
      </c>
      <c r="I349" s="52" t="n">
        <f aca="false">IF(H349="","",G349-H349)</f>
        <v>-13</v>
      </c>
      <c r="J349" s="39" t="n">
        <f aca="false">IF(OR(D349="",D349+G349=0),"",D349/(D349+G349))</f>
        <v>0.430769230769231</v>
      </c>
      <c r="K349" s="39" t="n">
        <f aca="false">IF(E349="","",E349/(E349+H349))</f>
        <v>0.404624277456647</v>
      </c>
      <c r="L349" s="53" t="n">
        <f aca="false">IF(OR(K349="",J349=""),"",(J349-K349)*100)</f>
        <v>2.61449533125834</v>
      </c>
      <c r="M349" s="38"/>
    </row>
    <row r="350" customFormat="false" ht="15" hidden="false" customHeight="false" outlineLevel="0" collapsed="false">
      <c r="A350" s="38" t="s">
        <v>344</v>
      </c>
      <c r="B350" s="38" t="s">
        <v>501</v>
      </c>
      <c r="C350" s="38" t="s">
        <v>502</v>
      </c>
      <c r="D350" s="21" t="n">
        <v>300</v>
      </c>
      <c r="E350" s="21" t="n">
        <v>331</v>
      </c>
      <c r="F350" s="52" t="n">
        <f aca="false">IF(E350="","",D350-E350)</f>
        <v>-31</v>
      </c>
      <c r="G350" s="21" t="n">
        <v>372</v>
      </c>
      <c r="H350" s="21" t="n">
        <v>458</v>
      </c>
      <c r="I350" s="52" t="n">
        <f aca="false">IF(H350="","",G350-H350)</f>
        <v>-86</v>
      </c>
      <c r="J350" s="39" t="n">
        <f aca="false">IF(OR(D350="",D350+G350=0),"",D350/(D350+G350))</f>
        <v>0.446428571428571</v>
      </c>
      <c r="K350" s="39" t="n">
        <f aca="false">IF(E350="","",E350/(E350+H350))</f>
        <v>0.419518377693283</v>
      </c>
      <c r="L350" s="53" t="n">
        <f aca="false">IF(OR(K350="",J350=""),"",(J350-K350)*100)</f>
        <v>2.69101937352888</v>
      </c>
      <c r="M350" s="38"/>
    </row>
    <row r="351" customFormat="false" ht="15" hidden="false" customHeight="false" outlineLevel="0" collapsed="false">
      <c r="A351" s="38" t="s">
        <v>344</v>
      </c>
      <c r="B351" s="38" t="s">
        <v>503</v>
      </c>
      <c r="C351" s="38" t="s">
        <v>504</v>
      </c>
      <c r="D351" s="21" t="n">
        <v>298</v>
      </c>
      <c r="E351" s="21" t="n">
        <v>307</v>
      </c>
      <c r="F351" s="52" t="n">
        <f aca="false">IF(E351="","",D351-E351)</f>
        <v>-9</v>
      </c>
      <c r="G351" s="21" t="n">
        <v>700</v>
      </c>
      <c r="H351" s="21" t="n">
        <v>746</v>
      </c>
      <c r="I351" s="52" t="n">
        <f aca="false">IF(H351="","",G351-H351)</f>
        <v>-46</v>
      </c>
      <c r="J351" s="39" t="n">
        <f aca="false">IF(OR(D351="",D351+G351=0),"",D351/(D351+G351))</f>
        <v>0.298597194388778</v>
      </c>
      <c r="K351" s="39" t="n">
        <f aca="false">IF(E351="","",E351/(E351+H351))</f>
        <v>0.291547958214625</v>
      </c>
      <c r="L351" s="53" t="n">
        <f aca="false">IF(OR(K351="",J351=""),"",(J351-K351)*100)</f>
        <v>0.704923617415271</v>
      </c>
      <c r="M351" s="38"/>
    </row>
    <row r="352" customFormat="false" ht="15" hidden="false" customHeight="false" outlineLevel="0" collapsed="false">
      <c r="A352" s="38" t="s">
        <v>344</v>
      </c>
      <c r="B352" s="38" t="s">
        <v>503</v>
      </c>
      <c r="C352" s="38" t="s">
        <v>505</v>
      </c>
      <c r="D352" s="21" t="n">
        <v>238</v>
      </c>
      <c r="E352" s="21" t="n">
        <v>232</v>
      </c>
      <c r="F352" s="52" t="n">
        <f aca="false">IF(E352="","",D352-E352)</f>
        <v>6</v>
      </c>
      <c r="G352" s="21" t="n">
        <v>462</v>
      </c>
      <c r="H352" s="21" t="n">
        <v>487</v>
      </c>
      <c r="I352" s="52" t="n">
        <f aca="false">IF(H352="","",G352-H352)</f>
        <v>-25</v>
      </c>
      <c r="J352" s="39" t="n">
        <f aca="false">IF(OR(D352="",D352+G352=0),"",D352/(D352+G352))</f>
        <v>0.34</v>
      </c>
      <c r="K352" s="39" t="n">
        <f aca="false">IF(E352="","",E352/(E352+H352))</f>
        <v>0.322670375521558</v>
      </c>
      <c r="L352" s="53" t="n">
        <f aca="false">IF(OR(K352="",J352=""),"",(J352-K352)*100)</f>
        <v>1.73296244784423</v>
      </c>
      <c r="M352" s="38"/>
    </row>
    <row r="353" customFormat="false" ht="15" hidden="false" customHeight="false" outlineLevel="0" collapsed="false">
      <c r="A353" s="38" t="s">
        <v>344</v>
      </c>
      <c r="B353" s="38" t="s">
        <v>503</v>
      </c>
      <c r="C353" s="38" t="s">
        <v>506</v>
      </c>
      <c r="D353" s="21" t="n">
        <v>188</v>
      </c>
      <c r="E353" s="21" t="n">
        <v>178</v>
      </c>
      <c r="F353" s="52" t="n">
        <f aca="false">IF(E353="","",D353-E353)</f>
        <v>10</v>
      </c>
      <c r="G353" s="21" t="n">
        <v>415</v>
      </c>
      <c r="H353" s="21" t="n">
        <v>480</v>
      </c>
      <c r="I353" s="52" t="n">
        <f aca="false">IF(H353="","",G353-H353)</f>
        <v>-65</v>
      </c>
      <c r="J353" s="39" t="n">
        <f aca="false">IF(OR(D353="",D353+G353=0),"",D353/(D353+G353))</f>
        <v>0.311774461028192</v>
      </c>
      <c r="K353" s="39" t="n">
        <f aca="false">IF(E353="","",E353/(E353+H353))</f>
        <v>0.270516717325228</v>
      </c>
      <c r="L353" s="53" t="n">
        <f aca="false">IF(OR(K353="",J353=""),"",(J353-K353)*100)</f>
        <v>4.12577437029644</v>
      </c>
      <c r="M353" s="38"/>
    </row>
    <row r="354" customFormat="false" ht="15" hidden="false" customHeight="false" outlineLevel="0" collapsed="false">
      <c r="A354" s="38" t="s">
        <v>344</v>
      </c>
      <c r="B354" s="38" t="s">
        <v>503</v>
      </c>
      <c r="C354" s="38" t="s">
        <v>507</v>
      </c>
      <c r="D354" s="21" t="n">
        <v>194</v>
      </c>
      <c r="E354" s="21" t="n">
        <v>180</v>
      </c>
      <c r="F354" s="52" t="n">
        <f aca="false">IF(E354="","",D354-E354)</f>
        <v>14</v>
      </c>
      <c r="G354" s="21" t="n">
        <v>400</v>
      </c>
      <c r="H354" s="21" t="n">
        <v>430</v>
      </c>
      <c r="I354" s="52" t="n">
        <f aca="false">IF(H354="","",G354-H354)</f>
        <v>-30</v>
      </c>
      <c r="J354" s="39" t="n">
        <f aca="false">IF(OR(D354="",D354+G354=0),"",D354/(D354+G354))</f>
        <v>0.326599326599327</v>
      </c>
      <c r="K354" s="39" t="n">
        <f aca="false">IF(E354="","",E354/(E354+H354))</f>
        <v>0.295081967213115</v>
      </c>
      <c r="L354" s="53" t="n">
        <f aca="false">IF(OR(K354="",J354=""),"",(J354-K354)*100)</f>
        <v>3.15173593862119</v>
      </c>
      <c r="M354" s="38"/>
    </row>
    <row r="355" customFormat="false" ht="15" hidden="false" customHeight="false" outlineLevel="0" collapsed="false">
      <c r="A355" s="38" t="s">
        <v>344</v>
      </c>
      <c r="B355" s="38" t="s">
        <v>503</v>
      </c>
      <c r="C355" s="38" t="s">
        <v>508</v>
      </c>
      <c r="D355" s="21" t="n">
        <v>335</v>
      </c>
      <c r="E355" s="21" t="n">
        <v>345</v>
      </c>
      <c r="F355" s="52" t="n">
        <f aca="false">IF(E355="","",D355-E355)</f>
        <v>-10</v>
      </c>
      <c r="G355" s="21" t="n">
        <v>578</v>
      </c>
      <c r="H355" s="21" t="n">
        <v>573</v>
      </c>
      <c r="I355" s="52" t="n">
        <f aca="false">IF(H355="","",G355-H355)</f>
        <v>5</v>
      </c>
      <c r="J355" s="39" t="n">
        <f aca="false">IF(OR(D355="",D355+G355=0),"",D355/(D355+G355))</f>
        <v>0.366922234392114</v>
      </c>
      <c r="K355" s="39" t="n">
        <f aca="false">IF(E355="","",E355/(E355+H355))</f>
        <v>0.375816993464052</v>
      </c>
      <c r="L355" s="53" t="n">
        <f aca="false">IF(OR(K355="",J355=""),"",(J355-K355)*100)</f>
        <v>-0.889475907193837</v>
      </c>
      <c r="M355" s="38"/>
    </row>
    <row r="356" customFormat="false" ht="15" hidden="false" customHeight="false" outlineLevel="0" collapsed="false">
      <c r="A356" s="38" t="s">
        <v>344</v>
      </c>
      <c r="B356" s="38" t="s">
        <v>509</v>
      </c>
      <c r="C356" s="38" t="s">
        <v>510</v>
      </c>
      <c r="D356" s="21" t="n">
        <v>1095</v>
      </c>
      <c r="E356" s="21" t="n">
        <v>1084</v>
      </c>
      <c r="F356" s="52" t="n">
        <f aca="false">IF(E356="","",D356-E356)</f>
        <v>11</v>
      </c>
      <c r="G356" s="21" t="n">
        <v>1078</v>
      </c>
      <c r="H356" s="21" t="n">
        <v>1187</v>
      </c>
      <c r="I356" s="52" t="n">
        <f aca="false">IF(H356="","",G356-H356)</f>
        <v>-109</v>
      </c>
      <c r="J356" s="39" t="n">
        <f aca="false">IF(OR(D356="",D356+G356=0),"",D356/(D356+G356))</f>
        <v>0.503911642890014</v>
      </c>
      <c r="K356" s="39" t="n">
        <f aca="false">IF(E356="","",E356/(E356+H356))</f>
        <v>0.477322765301629</v>
      </c>
      <c r="L356" s="53" t="n">
        <f aca="false">IF(OR(K356="",J356=""),"",(J356-K356)*100)</f>
        <v>2.65888775883845</v>
      </c>
      <c r="M356" s="38"/>
    </row>
    <row r="357" customFormat="false" ht="15" hidden="false" customHeight="false" outlineLevel="0" collapsed="false">
      <c r="A357" s="38" t="s">
        <v>344</v>
      </c>
      <c r="B357" s="38" t="s">
        <v>509</v>
      </c>
      <c r="C357" s="38" t="s">
        <v>511</v>
      </c>
      <c r="D357" s="21" t="n">
        <v>364</v>
      </c>
      <c r="E357" s="21"/>
      <c r="F357" s="52" t="str">
        <f aca="false">IF(E357="","",D357-E357)</f>
        <v/>
      </c>
      <c r="G357" s="21" t="n">
        <v>344</v>
      </c>
      <c r="H357" s="21"/>
      <c r="I357" s="52" t="str">
        <f aca="false">IF(H357="","",G357-H357)</f>
        <v/>
      </c>
      <c r="J357" s="39" t="n">
        <f aca="false">IF(OR(D357="",D357+G357=0),"",D357/(D357+G357))</f>
        <v>0.514124293785311</v>
      </c>
      <c r="K357" s="39" t="str">
        <f aca="false">IF(E357="","",E357/(E357+H357))</f>
        <v/>
      </c>
      <c r="L357" s="53" t="str">
        <f aca="false">IF(OR(K357="",J357=""),"",(J357-K357)*100)</f>
        <v/>
      </c>
      <c r="M357" s="38" t="s">
        <v>650</v>
      </c>
    </row>
    <row r="358" customFormat="false" ht="15" hidden="false" customHeight="false" outlineLevel="0" collapsed="false">
      <c r="A358" s="38" t="s">
        <v>344</v>
      </c>
      <c r="B358" s="38" t="s">
        <v>509</v>
      </c>
      <c r="C358" s="38" t="s">
        <v>512</v>
      </c>
      <c r="D358" s="21" t="n">
        <v>882</v>
      </c>
      <c r="E358" s="21" t="n">
        <v>880</v>
      </c>
      <c r="F358" s="52" t="n">
        <f aca="false">IF(E358="","",D358-E358)</f>
        <v>2</v>
      </c>
      <c r="G358" s="21" t="n">
        <v>895</v>
      </c>
      <c r="H358" s="21" t="n">
        <v>960</v>
      </c>
      <c r="I358" s="52" t="n">
        <f aca="false">IF(H358="","",G358-H358)</f>
        <v>-65</v>
      </c>
      <c r="J358" s="39" t="n">
        <f aca="false">IF(OR(D358="",D358+G358=0),"",D358/(D358+G358))</f>
        <v>0.49634214969049</v>
      </c>
      <c r="K358" s="39" t="n">
        <f aca="false">IF(E358="","",E358/(E358+H358))</f>
        <v>0.478260869565217</v>
      </c>
      <c r="L358" s="53" t="n">
        <f aca="false">IF(OR(K358="",J358=""),"",(J358-K358)*100)</f>
        <v>1.80812801252722</v>
      </c>
      <c r="M358" s="38"/>
    </row>
    <row r="359" customFormat="false" ht="15" hidden="false" customHeight="false" outlineLevel="0" collapsed="false">
      <c r="A359" s="38" t="s">
        <v>344</v>
      </c>
      <c r="B359" s="38" t="s">
        <v>509</v>
      </c>
      <c r="C359" s="38" t="s">
        <v>513</v>
      </c>
      <c r="D359" s="21" t="n">
        <v>276</v>
      </c>
      <c r="E359" s="21"/>
      <c r="F359" s="52" t="str">
        <f aca="false">IF(E359="","",D359-E359)</f>
        <v/>
      </c>
      <c r="G359" s="21" t="n">
        <v>264</v>
      </c>
      <c r="H359" s="21"/>
      <c r="I359" s="52" t="str">
        <f aca="false">IF(H359="","",G359-H359)</f>
        <v/>
      </c>
      <c r="J359" s="39" t="n">
        <f aca="false">IF(OR(D359="",D359+G359=0),"",D359/(D359+G359))</f>
        <v>0.511111111111111</v>
      </c>
      <c r="K359" s="39" t="str">
        <f aca="false">IF(E359="","",E359/(E359+H359))</f>
        <v/>
      </c>
      <c r="L359" s="53" t="str">
        <f aca="false">IF(OR(K359="",J359=""),"",(J359-K359)*100)</f>
        <v/>
      </c>
      <c r="M359" s="38" t="s">
        <v>650</v>
      </c>
    </row>
    <row r="360" customFormat="false" ht="15" hidden="false" customHeight="false" outlineLevel="0" collapsed="false">
      <c r="A360" s="38" t="s">
        <v>344</v>
      </c>
      <c r="B360" s="38" t="s">
        <v>514</v>
      </c>
      <c r="C360" s="38" t="s">
        <v>515</v>
      </c>
      <c r="D360" s="21" t="n">
        <v>419</v>
      </c>
      <c r="E360" s="21" t="n">
        <v>416</v>
      </c>
      <c r="F360" s="52" t="n">
        <f aca="false">IF(E360="","",D360-E360)</f>
        <v>3</v>
      </c>
      <c r="G360" s="21" t="n">
        <v>565</v>
      </c>
      <c r="H360" s="21" t="n">
        <v>658</v>
      </c>
      <c r="I360" s="52" t="n">
        <f aca="false">IF(H360="","",G360-H360)</f>
        <v>-93</v>
      </c>
      <c r="J360" s="39" t="n">
        <f aca="false">IF(OR(D360="",D360+G360=0),"",D360/(D360+G360))</f>
        <v>0.425813008130081</v>
      </c>
      <c r="K360" s="39" t="n">
        <f aca="false">IF(E360="","",E360/(E360+H360))</f>
        <v>0.387337057728119</v>
      </c>
      <c r="L360" s="53" t="n">
        <f aca="false">IF(OR(K360="",J360=""),"",(J360-K360)*100)</f>
        <v>3.84759504019622</v>
      </c>
      <c r="M360" s="38"/>
    </row>
    <row r="361" customFormat="false" ht="15" hidden="false" customHeight="false" outlineLevel="0" collapsed="false">
      <c r="A361" s="38" t="s">
        <v>344</v>
      </c>
      <c r="B361" s="38" t="s">
        <v>319</v>
      </c>
      <c r="C361" s="38" t="s">
        <v>516</v>
      </c>
      <c r="D361" s="21" t="n">
        <v>832</v>
      </c>
      <c r="E361" s="21" t="n">
        <v>541</v>
      </c>
      <c r="F361" s="52" t="n">
        <f aca="false">IF(E361="","",D361-E361)</f>
        <v>291</v>
      </c>
      <c r="G361" s="21" t="n">
        <v>1477</v>
      </c>
      <c r="H361" s="21" t="n">
        <v>1106</v>
      </c>
      <c r="I361" s="52" t="n">
        <f aca="false">IF(H361="","",G361-H361)</f>
        <v>371</v>
      </c>
      <c r="J361" s="39" t="n">
        <f aca="false">IF(OR(D361="",D361+G361=0),"",D361/(D361+G361))</f>
        <v>0.360329146816804</v>
      </c>
      <c r="K361" s="39" t="n">
        <f aca="false">IF(E361="","",E361/(E361+H361))</f>
        <v>0.328476017000607</v>
      </c>
      <c r="L361" s="53" t="n">
        <f aca="false">IF(OR(K361="",J361=""),"",(J361-K361)*100)</f>
        <v>3.18531298161966</v>
      </c>
      <c r="M361" s="38"/>
    </row>
    <row r="362" customFormat="false" ht="15" hidden="false" customHeight="false" outlineLevel="0" collapsed="false">
      <c r="A362" s="38" t="s">
        <v>344</v>
      </c>
      <c r="B362" s="38" t="s">
        <v>319</v>
      </c>
      <c r="C362" s="38" t="s">
        <v>517</v>
      </c>
      <c r="D362" s="21" t="n">
        <v>505</v>
      </c>
      <c r="E362" s="21" t="n">
        <v>500</v>
      </c>
      <c r="F362" s="52" t="n">
        <f aca="false">IF(E362="","",D362-E362)</f>
        <v>5</v>
      </c>
      <c r="G362" s="21" t="n">
        <v>899</v>
      </c>
      <c r="H362" s="21" t="n">
        <v>982</v>
      </c>
      <c r="I362" s="52" t="n">
        <f aca="false">IF(H362="","",G362-H362)</f>
        <v>-83</v>
      </c>
      <c r="J362" s="39" t="n">
        <f aca="false">IF(OR(D362="",D362+G362=0),"",D362/(D362+G362))</f>
        <v>0.35968660968661</v>
      </c>
      <c r="K362" s="39" t="n">
        <f aca="false">IF(E362="","",E362/(E362+H362))</f>
        <v>0.337381916329285</v>
      </c>
      <c r="L362" s="53" t="n">
        <f aca="false">IF(OR(K362="",J362=""),"",(J362-K362)*100)</f>
        <v>2.23046933573249</v>
      </c>
      <c r="M362" s="38"/>
    </row>
    <row r="363" customFormat="false" ht="15" hidden="false" customHeight="false" outlineLevel="0" collapsed="false">
      <c r="A363" s="38" t="s">
        <v>344</v>
      </c>
      <c r="B363" s="38" t="s">
        <v>519</v>
      </c>
      <c r="C363" s="38" t="s">
        <v>519</v>
      </c>
      <c r="D363" s="21" t="n">
        <v>287</v>
      </c>
      <c r="E363" s="21" t="n">
        <v>281</v>
      </c>
      <c r="F363" s="52" t="n">
        <f aca="false">IF(E363="","",D363-E363)</f>
        <v>6</v>
      </c>
      <c r="G363" s="21" t="n">
        <v>288</v>
      </c>
      <c r="H363" s="21" t="n">
        <v>310</v>
      </c>
      <c r="I363" s="52" t="n">
        <f aca="false">IF(H363="","",G363-H363)</f>
        <v>-22</v>
      </c>
      <c r="J363" s="39" t="n">
        <f aca="false">IF(OR(D363="",D363+G363=0),"",D363/(D363+G363))</f>
        <v>0.499130434782609</v>
      </c>
      <c r="K363" s="39" t="n">
        <f aca="false">IF(E363="","",E363/(E363+H363))</f>
        <v>0.475465313028765</v>
      </c>
      <c r="L363" s="53" t="n">
        <f aca="false">IF(OR(K363="",J363=""),"",(J363-K363)*100)</f>
        <v>2.36651217538439</v>
      </c>
      <c r="M363" s="38"/>
    </row>
    <row r="364" customFormat="false" ht="15" hidden="false" customHeight="false" outlineLevel="0" collapsed="false">
      <c r="A364" s="38" t="s">
        <v>344</v>
      </c>
      <c r="B364" s="38" t="s">
        <v>520</v>
      </c>
      <c r="C364" s="38" t="s">
        <v>521</v>
      </c>
      <c r="D364" s="21" t="n">
        <v>500</v>
      </c>
      <c r="E364" s="21" t="n">
        <v>514</v>
      </c>
      <c r="F364" s="52" t="n">
        <f aca="false">IF(E364="","",D364-E364)</f>
        <v>-14</v>
      </c>
      <c r="G364" s="21" t="n">
        <v>651</v>
      </c>
      <c r="H364" s="21" t="n">
        <v>713</v>
      </c>
      <c r="I364" s="52" t="n">
        <f aca="false">IF(H364="","",G364-H364)</f>
        <v>-62</v>
      </c>
      <c r="J364" s="39" t="n">
        <f aca="false">IF(OR(D364="",D364+G364=0),"",D364/(D364+G364))</f>
        <v>0.434404865334492</v>
      </c>
      <c r="K364" s="39" t="n">
        <f aca="false">IF(E364="","",E364/(E364+H364))</f>
        <v>0.418907905460473</v>
      </c>
      <c r="L364" s="53" t="n">
        <f aca="false">IF(OR(K364="",J364=""),"",(J364-K364)*100)</f>
        <v>1.54969598740191</v>
      </c>
      <c r="M364" s="38"/>
    </row>
    <row r="365" customFormat="false" ht="15" hidden="false" customHeight="false" outlineLevel="0" collapsed="false">
      <c r="A365" s="38" t="s">
        <v>344</v>
      </c>
      <c r="B365" s="38" t="s">
        <v>520</v>
      </c>
      <c r="C365" s="38" t="s">
        <v>522</v>
      </c>
      <c r="D365" s="21" t="n">
        <v>410</v>
      </c>
      <c r="E365" s="21" t="n">
        <v>425</v>
      </c>
      <c r="F365" s="52" t="n">
        <f aca="false">IF(E365="","",D365-E365)</f>
        <v>-15</v>
      </c>
      <c r="G365" s="21" t="n">
        <v>631</v>
      </c>
      <c r="H365" s="21" t="n">
        <v>656</v>
      </c>
      <c r="I365" s="52" t="n">
        <f aca="false">IF(H365="","",G365-H365)</f>
        <v>-25</v>
      </c>
      <c r="J365" s="39" t="n">
        <f aca="false">IF(OR(D365="",D365+G365=0),"",D365/(D365+G365))</f>
        <v>0.393852065321806</v>
      </c>
      <c r="K365" s="39" t="n">
        <f aca="false">IF(E365="","",E365/(E365+H365))</f>
        <v>0.393154486586494</v>
      </c>
      <c r="L365" s="53" t="n">
        <f aca="false">IF(OR(K365="",J365=""),"",(J365-K365)*100)</f>
        <v>0.0697578735311955</v>
      </c>
      <c r="M365" s="38"/>
    </row>
    <row r="366" customFormat="false" ht="15" hidden="false" customHeight="false" outlineLevel="0" collapsed="false">
      <c r="A366" s="38" t="s">
        <v>344</v>
      </c>
      <c r="B366" s="38" t="s">
        <v>520</v>
      </c>
      <c r="C366" s="38" t="s">
        <v>523</v>
      </c>
      <c r="D366" s="21" t="n">
        <v>637</v>
      </c>
      <c r="E366" s="21" t="n">
        <v>624</v>
      </c>
      <c r="F366" s="52" t="n">
        <f aca="false">IF(E366="","",D366-E366)</f>
        <v>13</v>
      </c>
      <c r="G366" s="21" t="n">
        <v>630</v>
      </c>
      <c r="H366" s="21" t="n">
        <v>618</v>
      </c>
      <c r="I366" s="52" t="n">
        <f aca="false">IF(H366="","",G366-H366)</f>
        <v>12</v>
      </c>
      <c r="J366" s="39" t="n">
        <f aca="false">IF(OR(D366="",D366+G366=0),"",D366/(D366+G366))</f>
        <v>0.502762430939227</v>
      </c>
      <c r="K366" s="39" t="n">
        <f aca="false">IF(E366="","",E366/(E366+H366))</f>
        <v>0.502415458937198</v>
      </c>
      <c r="L366" s="53" t="n">
        <f aca="false">IF(OR(K366="",J366=""),"",(J366-K366)*100)</f>
        <v>0.0346972002028489</v>
      </c>
      <c r="M366" s="38"/>
    </row>
    <row r="367" customFormat="false" ht="15" hidden="false" customHeight="false" outlineLevel="0" collapsed="false">
      <c r="A367" s="38" t="s">
        <v>344</v>
      </c>
      <c r="B367" s="38" t="s">
        <v>520</v>
      </c>
      <c r="C367" s="38" t="s">
        <v>524</v>
      </c>
      <c r="D367" s="21" t="n">
        <v>306</v>
      </c>
      <c r="E367" s="21" t="n">
        <v>284</v>
      </c>
      <c r="F367" s="52" t="n">
        <f aca="false">IF(E367="","",D367-E367)</f>
        <v>22</v>
      </c>
      <c r="G367" s="21" t="n">
        <v>381</v>
      </c>
      <c r="H367" s="21" t="n">
        <v>414</v>
      </c>
      <c r="I367" s="52" t="n">
        <f aca="false">IF(H367="","",G367-H367)</f>
        <v>-33</v>
      </c>
      <c r="J367" s="39" t="n">
        <f aca="false">IF(OR(D367="",D367+G367=0),"",D367/(D367+G367))</f>
        <v>0.445414847161572</v>
      </c>
      <c r="K367" s="39" t="n">
        <f aca="false">IF(E367="","",E367/(E367+H367))</f>
        <v>0.406876790830946</v>
      </c>
      <c r="L367" s="53" t="n">
        <f aca="false">IF(OR(K367="",J367=""),"",(J367-K367)*100)</f>
        <v>3.85380563306265</v>
      </c>
      <c r="M367" s="38"/>
    </row>
    <row r="368" customFormat="false" ht="15" hidden="false" customHeight="false" outlineLevel="0" collapsed="false">
      <c r="A368" s="38" t="s">
        <v>344</v>
      </c>
      <c r="B368" s="38" t="s">
        <v>525</v>
      </c>
      <c r="C368" s="38" t="s">
        <v>526</v>
      </c>
      <c r="D368" s="21" t="n">
        <v>649</v>
      </c>
      <c r="E368" s="21" t="n">
        <v>648</v>
      </c>
      <c r="F368" s="52" t="n">
        <f aca="false">IF(E368="","",D368-E368)</f>
        <v>1</v>
      </c>
      <c r="G368" s="21" t="n">
        <v>423</v>
      </c>
      <c r="H368" s="21" t="n">
        <v>462</v>
      </c>
      <c r="I368" s="52" t="n">
        <f aca="false">IF(H368="","",G368-H368)</f>
        <v>-39</v>
      </c>
      <c r="J368" s="39" t="n">
        <f aca="false">IF(OR(D368="",D368+G368=0),"",D368/(D368+G368))</f>
        <v>0.605410447761194</v>
      </c>
      <c r="K368" s="39" t="n">
        <f aca="false">IF(E368="","",E368/(E368+H368))</f>
        <v>0.583783783783784</v>
      </c>
      <c r="L368" s="53" t="n">
        <f aca="false">IF(OR(K368="",J368=""),"",(J368-K368)*100)</f>
        <v>2.16266639774102</v>
      </c>
      <c r="M368" s="38"/>
    </row>
    <row r="369" customFormat="false" ht="15" hidden="false" customHeight="false" outlineLevel="0" collapsed="false">
      <c r="A369" s="38" t="s">
        <v>344</v>
      </c>
      <c r="B369" s="38" t="s">
        <v>525</v>
      </c>
      <c r="C369" s="38" t="s">
        <v>527</v>
      </c>
      <c r="D369" s="21" t="n">
        <v>528</v>
      </c>
      <c r="E369" s="21" t="n">
        <v>491</v>
      </c>
      <c r="F369" s="52" t="n">
        <f aca="false">IF(E369="","",D369-E369)</f>
        <v>37</v>
      </c>
      <c r="G369" s="21" t="n">
        <v>374</v>
      </c>
      <c r="H369" s="21" t="n">
        <v>402</v>
      </c>
      <c r="I369" s="52" t="n">
        <f aca="false">IF(H369="","",G369-H369)</f>
        <v>-28</v>
      </c>
      <c r="J369" s="39" t="n">
        <f aca="false">IF(OR(D369="",D369+G369=0),"",D369/(D369+G369))</f>
        <v>0.585365853658537</v>
      </c>
      <c r="K369" s="39" t="n">
        <f aca="false">IF(E369="","",E369/(E369+H369))</f>
        <v>0.5498320268757</v>
      </c>
      <c r="L369" s="53" t="n">
        <f aca="false">IF(OR(K369="",J369=""),"",(J369-K369)*100)</f>
        <v>3.55338267828367</v>
      </c>
      <c r="M369" s="38"/>
    </row>
    <row r="370" customFormat="false" ht="15" hidden="false" customHeight="false" outlineLevel="0" collapsed="false">
      <c r="A370" s="38" t="s">
        <v>344</v>
      </c>
      <c r="B370" s="38" t="s">
        <v>525</v>
      </c>
      <c r="C370" s="38" t="s">
        <v>528</v>
      </c>
      <c r="D370" s="21" t="n">
        <v>829</v>
      </c>
      <c r="E370" s="21" t="n">
        <v>758</v>
      </c>
      <c r="F370" s="52" t="n">
        <f aca="false">IF(E370="","",D370-E370)</f>
        <v>71</v>
      </c>
      <c r="G370" s="21" t="n">
        <v>623</v>
      </c>
      <c r="H370" s="21" t="n">
        <v>674</v>
      </c>
      <c r="I370" s="52" t="n">
        <f aca="false">IF(H370="","",G370-H370)</f>
        <v>-51</v>
      </c>
      <c r="J370" s="39" t="n">
        <f aca="false">IF(OR(D370="",D370+G370=0),"",D370/(D370+G370))</f>
        <v>0.570936639118457</v>
      </c>
      <c r="K370" s="39" t="n">
        <f aca="false">IF(E370="","",E370/(E370+H370))</f>
        <v>0.529329608938548</v>
      </c>
      <c r="L370" s="53" t="n">
        <f aca="false">IF(OR(K370="",J370=""),"",(J370-K370)*100)</f>
        <v>4.16070301799097</v>
      </c>
      <c r="M370" s="38"/>
    </row>
    <row r="371" customFormat="false" ht="15" hidden="false" customHeight="false" outlineLevel="0" collapsed="false">
      <c r="A371" s="38" t="s">
        <v>344</v>
      </c>
      <c r="B371" s="38" t="s">
        <v>529</v>
      </c>
      <c r="C371" s="38" t="s">
        <v>529</v>
      </c>
      <c r="D371" s="21" t="n">
        <v>593</v>
      </c>
      <c r="E371" s="21" t="n">
        <v>634</v>
      </c>
      <c r="F371" s="52" t="n">
        <f aca="false">IF(E371="","",D371-E371)</f>
        <v>-41</v>
      </c>
      <c r="G371" s="21" t="n">
        <v>706</v>
      </c>
      <c r="H371" s="21" t="n">
        <v>856</v>
      </c>
      <c r="I371" s="52" t="n">
        <f aca="false">IF(H371="","",G371-H371)</f>
        <v>-150</v>
      </c>
      <c r="J371" s="39" t="n">
        <f aca="false">IF(OR(D371="",D371+G371=0),"",D371/(D371+G371))</f>
        <v>0.456505003849115</v>
      </c>
      <c r="K371" s="39" t="n">
        <f aca="false">IF(E371="","",E371/(E371+H371))</f>
        <v>0.425503355704698</v>
      </c>
      <c r="L371" s="53" t="n">
        <f aca="false">IF(OR(K371="",J371=""),"",(J371-K371)*100)</f>
        <v>3.10016481444167</v>
      </c>
      <c r="M371" s="38"/>
    </row>
    <row r="373" customFormat="false" ht="15" hidden="false" customHeight="false" outlineLevel="0" collapsed="false">
      <c r="A373" s="11" t="s">
        <v>651</v>
      </c>
      <c r="B373" s="54"/>
      <c r="C373" s="54"/>
      <c r="D373" s="55" t="n">
        <f aca="false">SUMIF(E2:E371,"&lt;&gt;",D2:D371)</f>
        <v>186129</v>
      </c>
      <c r="E373" s="55" t="n">
        <f aca="false">SUM(E2:E371)</f>
        <v>183378</v>
      </c>
      <c r="F373" s="56" t="n">
        <f aca="false">D373-E373</f>
        <v>2751</v>
      </c>
      <c r="G373" s="55" t="n">
        <f aca="false">SUMIF(H2:H371,"&lt;&gt;",G2:G371)</f>
        <v>175723</v>
      </c>
      <c r="H373" s="55" t="n">
        <f aca="false">SUM(H2:H371)</f>
        <v>189309</v>
      </c>
      <c r="I373" s="56" t="n">
        <f aca="false">G373-H373</f>
        <v>-13586</v>
      </c>
      <c r="J373" s="57" t="n">
        <f aca="false">D373/(D373+G373)</f>
        <v>0.514378806804992</v>
      </c>
      <c r="K373" s="57" t="n">
        <f aca="false">E373/(E373+H373)</f>
        <v>0.492042920735094</v>
      </c>
      <c r="L373" s="58" t="n">
        <f aca="false">(J373-K373)*100</f>
        <v>2.23358860698981</v>
      </c>
    </row>
    <row r="374" customFormat="false" ht="15" hidden="false" customHeight="false" outlineLevel="0" collapsed="false">
      <c r="A374" s="11" t="s">
        <v>652</v>
      </c>
      <c r="B374" s="54"/>
      <c r="C374" s="54"/>
      <c r="D374" s="55" t="n">
        <f aca="false">SUM(D2:D371)</f>
        <v>203041</v>
      </c>
      <c r="E374" s="55"/>
      <c r="F374" s="56"/>
      <c r="G374" s="55" t="n">
        <f aca="false">SUM(G2:G371)</f>
        <v>190989</v>
      </c>
      <c r="H374" s="55"/>
      <c r="I374" s="56"/>
      <c r="J374" s="57" t="n">
        <f aca="false">D374/(D374+G374)</f>
        <v>0.515293251782859</v>
      </c>
      <c r="K374" s="57"/>
      <c r="L374" s="58"/>
    </row>
    <row r="376" customFormat="false" ht="15" hidden="false" customHeight="false" outlineLevel="0" collapsed="false">
      <c r="A376" s="2" t="s">
        <v>653</v>
      </c>
      <c r="F376" s="59" t="n">
        <f aca="false">(SUMIF(F2:F371,"&gt;0")-SUMIF(F2:F371,"&lt;0"))/COUNT(F2:F371)</f>
        <v>36.687134502924</v>
      </c>
    </row>
    <row r="377" customFormat="false" ht="15" hidden="false" customHeight="false" outlineLevel="0" collapsed="false">
      <c r="A377" s="2" t="s">
        <v>654</v>
      </c>
      <c r="F377" s="59" t="n">
        <f aca="false">(SUMIF(I2:I371,"&gt;0")-SUMIF(I2:I371,"&lt;0"))/COUNT(I2:I371)</f>
        <v>49.3918128654971</v>
      </c>
    </row>
    <row r="378" customFormat="false" ht="15" hidden="false" customHeight="false" outlineLevel="0" collapsed="false">
      <c r="A378" s="2" t="s">
        <v>655</v>
      </c>
      <c r="F378" s="60" t="n">
        <f aca="false">(SUMIF(L2:L371,"&gt;0")-SUMIF(L2:L371,"&lt;0"))/COUNT(L2:L371)</f>
        <v>2.85169538228628</v>
      </c>
    </row>
    <row r="379" customFormat="false" ht="15" hidden="false" customHeight="false" outlineLevel="0" collapsed="false">
      <c r="A379" s="5" t="s">
        <v>656</v>
      </c>
      <c r="F379" s="61" t="n">
        <f aca="false">SQRT(SUMSQ(L2:L371)/COUNT(L2:L371))</f>
        <v>3.44372641432581</v>
      </c>
    </row>
    <row r="380" customFormat="false" ht="15" hidden="false" customHeight="false" outlineLevel="0" collapsed="false">
      <c r="A380" s="5" t="s">
        <v>657</v>
      </c>
      <c r="F380" s="62" t="n">
        <f aca="false">L373</f>
        <v>2.23358860698981</v>
      </c>
    </row>
    <row r="381" customFormat="false" ht="15" hidden="false" customHeight="false" outlineLevel="0" collapsed="false">
      <c r="A381" s="5" t="s">
        <v>658</v>
      </c>
      <c r="F381" s="61" t="n">
        <f aca="false">SQRT((SUMSQ(L2:L371)-2*L373*SUM(L2:L371)+COUNT(L2:L371)*L373^2)/COUNT(L2:L371))</f>
        <v>2.27483603393027</v>
      </c>
    </row>
    <row r="382" customFormat="false" ht="15" hidden="false" customHeight="false" outlineLevel="0" collapsed="false">
      <c r="A382" s="2" t="s">
        <v>659</v>
      </c>
      <c r="F382" s="63" t="n">
        <f aca="false">(D373+G373)/(E373+H373)-1</f>
        <v>-0.0290726534598739</v>
      </c>
    </row>
    <row r="383" customFormat="false" ht="15" hidden="false" customHeight="false" outlineLevel="0" collapsed="false">
      <c r="A383" s="2" t="s">
        <v>660</v>
      </c>
      <c r="F383" s="64" t="n">
        <f aca="false">COUNTIFS(L2:L371,"&gt;=-3",L2:L371,"&lt;=3")/COUNT(L2:L371)</f>
        <v>0.584795321637427</v>
      </c>
    </row>
    <row r="384" customFormat="false" ht="15" hidden="false" customHeight="false" outlineLevel="0" collapsed="false">
      <c r="A384" s="2" t="s">
        <v>661</v>
      </c>
      <c r="F384" s="65" t="n">
        <f aca="false">COUNT(E2:E371)</f>
        <v>342</v>
      </c>
    </row>
    <row r="385" customFormat="false" ht="15" hidden="false" customHeight="false" outlineLevel="0" collapsed="false">
      <c r="A385" s="2" t="s">
        <v>662</v>
      </c>
      <c r="F385" s="65" t="n">
        <f aca="false">COUNTA(A2:A371)</f>
        <v>370</v>
      </c>
    </row>
    <row r="387" customFormat="false" ht="15" hidden="false" customHeight="false" outlineLevel="0" collapsed="false">
      <c r="M387" s="5" t="s">
        <v>69</v>
      </c>
    </row>
    <row r="388" customFormat="false" ht="28.35" hidden="false" customHeight="false" outlineLevel="0" collapsed="false">
      <c r="M388" s="51" t="s">
        <v>663</v>
      </c>
    </row>
    <row r="389" customFormat="false" ht="28.35" hidden="false" customHeight="false" outlineLevel="0" collapsed="false">
      <c r="M389" s="51" t="s">
        <v>664</v>
      </c>
    </row>
    <row r="390" customFormat="false" ht="41.75" hidden="false" customHeight="false" outlineLevel="0" collapsed="false">
      <c r="M390" s="51" t="s">
        <v>665</v>
      </c>
    </row>
    <row r="391" customFormat="false" ht="55.2" hidden="false" customHeight="false" outlineLevel="0" collapsed="false">
      <c r="M391" s="51" t="s">
        <v>666</v>
      </c>
    </row>
    <row r="392" customFormat="false" ht="28.35" hidden="false" customHeight="false" outlineLevel="0" collapsed="false">
      <c r="M392" s="51" t="s">
        <v>674</v>
      </c>
    </row>
    <row r="393" customFormat="false" ht="28.35" hidden="false" customHeight="false" outlineLevel="0" collapsed="false">
      <c r="M393" s="51" t="s">
        <v>668</v>
      </c>
    </row>
    <row r="394" customFormat="false" ht="28.35" hidden="false" customHeight="false" outlineLevel="0" collapsed="false">
      <c r="M394" s="51" t="s">
        <v>669</v>
      </c>
    </row>
    <row r="395" customFormat="false" ht="28.35" hidden="false" customHeight="false" outlineLevel="0" collapsed="false">
      <c r="M395" s="51" t="s">
        <v>670</v>
      </c>
    </row>
    <row r="396" customFormat="false" ht="15" hidden="false" customHeight="false" outlineLevel="0" collapsed="false">
      <c r="M396" s="51" t="s">
        <v>671</v>
      </c>
    </row>
    <row r="397" customFormat="false" ht="41.75" hidden="false" customHeight="false" outlineLevel="0" collapsed="false">
      <c r="M397" s="51" t="s">
        <v>672</v>
      </c>
    </row>
    <row r="398" customFormat="false" ht="28.35" hidden="false" customHeight="false" outlineLevel="0" collapsed="false">
      <c r="M398" s="51" t="s">
        <v>673</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640</v>
      </c>
      <c r="E1" s="7" t="s">
        <v>641</v>
      </c>
      <c r="F1" s="7" t="s">
        <v>642</v>
      </c>
      <c r="G1" s="7" t="s">
        <v>643</v>
      </c>
      <c r="H1" s="7" t="s">
        <v>644</v>
      </c>
      <c r="I1" s="7" t="s">
        <v>645</v>
      </c>
      <c r="J1" s="7" t="s">
        <v>646</v>
      </c>
      <c r="K1" s="7" t="s">
        <v>647</v>
      </c>
      <c r="L1" s="7" t="s">
        <v>648</v>
      </c>
      <c r="M1" s="7" t="s">
        <v>649</v>
      </c>
    </row>
    <row r="2" customFormat="false" ht="15" hidden="false" customHeight="false" outlineLevel="0" collapsed="false">
      <c r="A2" s="38" t="s">
        <v>87</v>
      </c>
      <c r="B2" s="38" t="s">
        <v>88</v>
      </c>
      <c r="C2" s="38" t="s">
        <v>88</v>
      </c>
      <c r="D2" s="21" t="n">
        <v>198</v>
      </c>
      <c r="E2" s="21" t="n">
        <v>181</v>
      </c>
      <c r="F2" s="52" t="n">
        <f aca="false">IF(E2="","",D2-E2)</f>
        <v>17</v>
      </c>
      <c r="G2" s="21" t="n">
        <v>305</v>
      </c>
      <c r="H2" s="21" t="n">
        <v>284</v>
      </c>
      <c r="I2" s="52" t="n">
        <f aca="false">IF(H2="","",G2-H2)</f>
        <v>21</v>
      </c>
      <c r="J2" s="39" t="n">
        <f aca="false">IF(OR(D2="",D2+G2=0),"",D2/(D2+G2))</f>
        <v>0.393638170974155</v>
      </c>
      <c r="K2" s="39" t="n">
        <f aca="false">IF(E2="","",E2/(E2+H2))</f>
        <v>0.389247311827957</v>
      </c>
      <c r="L2" s="53" t="n">
        <f aca="false">IF(OR(K2="",J2=""),"",(J2-K2)*100)</f>
        <v>0.439085914619808</v>
      </c>
      <c r="M2" s="38"/>
    </row>
    <row r="3" customFormat="false" ht="15" hidden="false" customHeight="false" outlineLevel="0" collapsed="false">
      <c r="A3" s="38" t="s">
        <v>87</v>
      </c>
      <c r="B3" s="38" t="s">
        <v>91</v>
      </c>
      <c r="C3" s="38" t="s">
        <v>91</v>
      </c>
      <c r="D3" s="21" t="n">
        <v>113</v>
      </c>
      <c r="E3" s="21" t="n">
        <v>118</v>
      </c>
      <c r="F3" s="52" t="n">
        <f aca="false">IF(E3="","",D3-E3)</f>
        <v>-5</v>
      </c>
      <c r="G3" s="21" t="n">
        <v>290</v>
      </c>
      <c r="H3" s="21" t="n">
        <v>298</v>
      </c>
      <c r="I3" s="52" t="n">
        <f aca="false">IF(H3="","",G3-H3)</f>
        <v>-8</v>
      </c>
      <c r="J3" s="39" t="n">
        <f aca="false">IF(OR(D3="",D3+G3=0),"",D3/(D3+G3))</f>
        <v>0.280397022332506</v>
      </c>
      <c r="K3" s="39" t="n">
        <f aca="false">IF(E3="","",E3/(E3+H3))</f>
        <v>0.283653846153846</v>
      </c>
      <c r="L3" s="53" t="n">
        <f aca="false">IF(OR(K3="",J3=""),"",(J3-K3)*100)</f>
        <v>-0.325682382133996</v>
      </c>
      <c r="M3" s="38"/>
    </row>
    <row r="4" customFormat="false" ht="15" hidden="false" customHeight="false" outlineLevel="0" collapsed="false">
      <c r="A4" s="38" t="s">
        <v>87</v>
      </c>
      <c r="B4" s="38" t="s">
        <v>92</v>
      </c>
      <c r="C4" s="38" t="s">
        <v>92</v>
      </c>
      <c r="D4" s="21" t="n">
        <v>151</v>
      </c>
      <c r="E4" s="21" t="n">
        <v>143</v>
      </c>
      <c r="F4" s="52" t="n">
        <f aca="false">IF(E4="","",D4-E4)</f>
        <v>8</v>
      </c>
      <c r="G4" s="21" t="n">
        <v>277</v>
      </c>
      <c r="H4" s="21" t="n">
        <v>309</v>
      </c>
      <c r="I4" s="52" t="n">
        <f aca="false">IF(H4="","",G4-H4)</f>
        <v>-32</v>
      </c>
      <c r="J4" s="39" t="n">
        <f aca="false">IF(OR(D4="",D4+G4=0),"",D4/(D4+G4))</f>
        <v>0.352803738317757</v>
      </c>
      <c r="K4" s="39" t="n">
        <f aca="false">IF(E4="","",E4/(E4+H4))</f>
        <v>0.316371681415929</v>
      </c>
      <c r="L4" s="53" t="n">
        <f aca="false">IF(OR(K4="",J4=""),"",(J4-K4)*100)</f>
        <v>3.64320569018278</v>
      </c>
      <c r="M4" s="38"/>
    </row>
    <row r="5" customFormat="false" ht="15" hidden="false" customHeight="false" outlineLevel="0" collapsed="false">
      <c r="A5" s="38" t="s">
        <v>87</v>
      </c>
      <c r="B5" s="38" t="s">
        <v>93</v>
      </c>
      <c r="C5" s="38" t="s">
        <v>94</v>
      </c>
      <c r="D5" s="21" t="n">
        <v>224</v>
      </c>
      <c r="E5" s="21" t="n">
        <v>202</v>
      </c>
      <c r="F5" s="52" t="n">
        <f aca="false">IF(E5="","",D5-E5)</f>
        <v>22</v>
      </c>
      <c r="G5" s="21" t="n">
        <v>563</v>
      </c>
      <c r="H5" s="21" t="n">
        <v>640</v>
      </c>
      <c r="I5" s="52" t="n">
        <f aca="false">IF(H5="","",G5-H5)</f>
        <v>-77</v>
      </c>
      <c r="J5" s="39" t="n">
        <f aca="false">IF(OR(D5="",D5+G5=0),"",D5/(D5+G5))</f>
        <v>0.284625158831004</v>
      </c>
      <c r="K5" s="39" t="n">
        <f aca="false">IF(E5="","",E5/(E5+H5))</f>
        <v>0.239904988123515</v>
      </c>
      <c r="L5" s="53" t="n">
        <f aca="false">IF(OR(K5="",J5=""),"",(J5-K5)*100)</f>
        <v>4.47201707074884</v>
      </c>
      <c r="M5" s="38"/>
    </row>
    <row r="6" customFormat="false" ht="15" hidden="false" customHeight="false" outlineLevel="0" collapsed="false">
      <c r="A6" s="38" t="s">
        <v>87</v>
      </c>
      <c r="B6" s="38" t="s">
        <v>93</v>
      </c>
      <c r="C6" s="38" t="s">
        <v>95</v>
      </c>
      <c r="D6" s="21" t="n">
        <v>233</v>
      </c>
      <c r="E6" s="21" t="n">
        <v>232</v>
      </c>
      <c r="F6" s="52" t="n">
        <f aca="false">IF(E6="","",D6-E6)</f>
        <v>1</v>
      </c>
      <c r="G6" s="21" t="n">
        <v>550</v>
      </c>
      <c r="H6" s="21" t="n">
        <v>603</v>
      </c>
      <c r="I6" s="52" t="n">
        <f aca="false">IF(H6="","",G6-H6)</f>
        <v>-53</v>
      </c>
      <c r="J6" s="39" t="n">
        <f aca="false">IF(OR(D6="",D6+G6=0),"",D6/(D6+G6))</f>
        <v>0.29757343550447</v>
      </c>
      <c r="K6" s="39" t="n">
        <f aca="false">IF(E6="","",E6/(E6+H6))</f>
        <v>0.277844311377246</v>
      </c>
      <c r="L6" s="53" t="n">
        <f aca="false">IF(OR(K6="",J6=""),"",(J6-K6)*100)</f>
        <v>1.97291241272244</v>
      </c>
      <c r="M6" s="38"/>
    </row>
    <row r="7" customFormat="false" ht="15" hidden="false" customHeight="false" outlineLevel="0" collapsed="false">
      <c r="A7" s="38" t="s">
        <v>87</v>
      </c>
      <c r="B7" s="38" t="s">
        <v>96</v>
      </c>
      <c r="C7" s="38" t="s">
        <v>96</v>
      </c>
      <c r="D7" s="21" t="n">
        <v>45</v>
      </c>
      <c r="E7" s="21" t="n">
        <v>38</v>
      </c>
      <c r="F7" s="52" t="n">
        <f aca="false">IF(E7="","",D7-E7)</f>
        <v>7</v>
      </c>
      <c r="G7" s="21" t="n">
        <v>76</v>
      </c>
      <c r="H7" s="21" t="n">
        <v>78</v>
      </c>
      <c r="I7" s="52" t="n">
        <f aca="false">IF(H7="","",G7-H7)</f>
        <v>-2</v>
      </c>
      <c r="J7" s="39" t="n">
        <f aca="false">IF(OR(D7="",D7+G7=0),"",D7/(D7+G7))</f>
        <v>0.371900826446281</v>
      </c>
      <c r="K7" s="39" t="n">
        <f aca="false">IF(E7="","",E7/(E7+H7))</f>
        <v>0.327586206896552</v>
      </c>
      <c r="L7" s="53" t="n">
        <f aca="false">IF(OR(K7="",J7=""),"",(J7-K7)*100)</f>
        <v>4.43146195497293</v>
      </c>
      <c r="M7" s="38"/>
    </row>
    <row r="8" customFormat="false" ht="15" hidden="false" customHeight="false" outlineLevel="0" collapsed="false">
      <c r="A8" s="38" t="s">
        <v>87</v>
      </c>
      <c r="B8" s="38" t="s">
        <v>97</v>
      </c>
      <c r="C8" s="38" t="s">
        <v>98</v>
      </c>
      <c r="D8" s="21" t="n">
        <v>308</v>
      </c>
      <c r="E8" s="21" t="n">
        <v>301</v>
      </c>
      <c r="F8" s="52" t="n">
        <f aca="false">IF(E8="","",D8-E8)</f>
        <v>7</v>
      </c>
      <c r="G8" s="21" t="n">
        <v>713</v>
      </c>
      <c r="H8" s="21" t="n">
        <v>760</v>
      </c>
      <c r="I8" s="52" t="n">
        <f aca="false">IF(H8="","",G8-H8)</f>
        <v>-47</v>
      </c>
      <c r="J8" s="39" t="n">
        <f aca="false">IF(OR(D8="",D8+G8=0),"",D8/(D8+G8))</f>
        <v>0.301665034280118</v>
      </c>
      <c r="K8" s="39" t="n">
        <f aca="false">IF(E8="","",E8/(E8+H8))</f>
        <v>0.283694627709708</v>
      </c>
      <c r="L8" s="53" t="n">
        <f aca="false">IF(OR(K8="",J8=""),"",(J8-K8)*100)</f>
        <v>1.79704065704097</v>
      </c>
      <c r="M8" s="38"/>
    </row>
    <row r="9" customFormat="false" ht="15" hidden="false" customHeight="false" outlineLevel="0" collapsed="false">
      <c r="A9" s="38" t="s">
        <v>87</v>
      </c>
      <c r="B9" s="38" t="s">
        <v>97</v>
      </c>
      <c r="C9" s="38" t="s">
        <v>100</v>
      </c>
      <c r="D9" s="21" t="n">
        <v>181</v>
      </c>
      <c r="E9" s="21" t="n">
        <v>164</v>
      </c>
      <c r="F9" s="52" t="n">
        <f aca="false">IF(E9="","",D9-E9)</f>
        <v>17</v>
      </c>
      <c r="G9" s="21" t="n">
        <v>425</v>
      </c>
      <c r="H9" s="21" t="n">
        <v>450</v>
      </c>
      <c r="I9" s="52" t="n">
        <f aca="false">IF(H9="","",G9-H9)</f>
        <v>-25</v>
      </c>
      <c r="J9" s="39" t="n">
        <f aca="false">IF(OR(D9="",D9+G9=0),"",D9/(D9+G9))</f>
        <v>0.298679867986799</v>
      </c>
      <c r="K9" s="39" t="n">
        <f aca="false">IF(E9="","",E9/(E9+H9))</f>
        <v>0.267100977198697</v>
      </c>
      <c r="L9" s="53" t="n">
        <f aca="false">IF(OR(K9="",J9=""),"",(J9-K9)*100)</f>
        <v>3.15788907881016</v>
      </c>
      <c r="M9" s="38"/>
    </row>
    <row r="10" customFormat="false" ht="15" hidden="false" customHeight="false" outlineLevel="0" collapsed="false">
      <c r="A10" s="38" t="s">
        <v>87</v>
      </c>
      <c r="B10" s="38" t="s">
        <v>97</v>
      </c>
      <c r="C10" s="38" t="s">
        <v>101</v>
      </c>
      <c r="D10" s="21" t="n">
        <v>236</v>
      </c>
      <c r="E10" s="21" t="n">
        <v>235</v>
      </c>
      <c r="F10" s="52" t="n">
        <f aca="false">IF(E10="","",D10-E10)</f>
        <v>1</v>
      </c>
      <c r="G10" s="21" t="n">
        <v>596</v>
      </c>
      <c r="H10" s="21" t="n">
        <v>626</v>
      </c>
      <c r="I10" s="52" t="n">
        <f aca="false">IF(H10="","",G10-H10)</f>
        <v>-30</v>
      </c>
      <c r="J10" s="39" t="n">
        <f aca="false">IF(OR(D10="",D10+G10=0),"",D10/(D10+G10))</f>
        <v>0.283653846153846</v>
      </c>
      <c r="K10" s="39" t="n">
        <f aca="false">IF(E10="","",E10/(E10+H10))</f>
        <v>0.272938443670151</v>
      </c>
      <c r="L10" s="53" t="n">
        <f aca="false">IF(OR(K10="",J10=""),"",(J10-K10)*100)</f>
        <v>1.07154024836952</v>
      </c>
      <c r="M10" s="38"/>
    </row>
    <row r="11" customFormat="false" ht="15" hidden="false" customHeight="false" outlineLevel="0" collapsed="false">
      <c r="A11" s="38" t="s">
        <v>87</v>
      </c>
      <c r="B11" s="38" t="s">
        <v>102</v>
      </c>
      <c r="C11" s="38" t="s">
        <v>103</v>
      </c>
      <c r="D11" s="21" t="n">
        <v>262</v>
      </c>
      <c r="E11" s="21" t="n">
        <v>229</v>
      </c>
      <c r="F11" s="52" t="n">
        <f aca="false">IF(E11="","",D11-E11)</f>
        <v>33</v>
      </c>
      <c r="G11" s="21" t="n">
        <v>282</v>
      </c>
      <c r="H11" s="21" t="n">
        <v>297</v>
      </c>
      <c r="I11" s="52" t="n">
        <f aca="false">IF(H11="","",G11-H11)</f>
        <v>-15</v>
      </c>
      <c r="J11" s="39" t="n">
        <f aca="false">IF(OR(D11="",D11+G11=0),"",D11/(D11+G11))</f>
        <v>0.481617647058824</v>
      </c>
      <c r="K11" s="39" t="n">
        <f aca="false">IF(E11="","",E11/(E11+H11))</f>
        <v>0.435361216730038</v>
      </c>
      <c r="L11" s="53" t="n">
        <f aca="false">IF(OR(K11="",J11=""),"",(J11-K11)*100)</f>
        <v>4.62564303287855</v>
      </c>
      <c r="M11" s="38"/>
    </row>
    <row r="12" customFormat="false" ht="15" hidden="false" customHeight="false" outlineLevel="0" collapsed="false">
      <c r="A12" s="38" t="s">
        <v>87</v>
      </c>
      <c r="B12" s="38" t="s">
        <v>102</v>
      </c>
      <c r="C12" s="38" t="s">
        <v>104</v>
      </c>
      <c r="D12" s="21" t="n">
        <v>178</v>
      </c>
      <c r="E12" s="21" t="n">
        <v>163</v>
      </c>
      <c r="F12" s="52" t="n">
        <f aca="false">IF(E12="","",D12-E12)</f>
        <v>15</v>
      </c>
      <c r="G12" s="21" t="n">
        <v>212</v>
      </c>
      <c r="H12" s="21" t="n">
        <v>226</v>
      </c>
      <c r="I12" s="52" t="n">
        <f aca="false">IF(H12="","",G12-H12)</f>
        <v>-14</v>
      </c>
      <c r="J12" s="39" t="n">
        <f aca="false">IF(OR(D12="",D12+G12=0),"",D12/(D12+G12))</f>
        <v>0.456410256410256</v>
      </c>
      <c r="K12" s="39" t="n">
        <f aca="false">IF(E12="","",E12/(E12+H12))</f>
        <v>0.419023136246787</v>
      </c>
      <c r="L12" s="53" t="n">
        <f aca="false">IF(OR(K12="",J12=""),"",(J12-K12)*100)</f>
        <v>3.73871201634698</v>
      </c>
      <c r="M12" s="38"/>
    </row>
    <row r="13" customFormat="false" ht="15" hidden="false" customHeight="false" outlineLevel="0" collapsed="false">
      <c r="A13" s="38" t="s">
        <v>87</v>
      </c>
      <c r="B13" s="38" t="s">
        <v>102</v>
      </c>
      <c r="C13" s="38" t="s">
        <v>105</v>
      </c>
      <c r="D13" s="21" t="n">
        <v>298</v>
      </c>
      <c r="E13" s="21" t="n">
        <v>286</v>
      </c>
      <c r="F13" s="52" t="n">
        <f aca="false">IF(E13="","",D13-E13)</f>
        <v>12</v>
      </c>
      <c r="G13" s="21" t="n">
        <v>429</v>
      </c>
      <c r="H13" s="21" t="n">
        <v>464</v>
      </c>
      <c r="I13" s="52" t="n">
        <f aca="false">IF(H13="","",G13-H13)</f>
        <v>-35</v>
      </c>
      <c r="J13" s="39" t="n">
        <f aca="false">IF(OR(D13="",D13+G13=0),"",D13/(D13+G13))</f>
        <v>0.40990371389271</v>
      </c>
      <c r="K13" s="39" t="n">
        <f aca="false">IF(E13="","",E13/(E13+H13))</f>
        <v>0.381333333333333</v>
      </c>
      <c r="L13" s="53" t="n">
        <f aca="false">IF(OR(K13="",J13=""),"",(J13-K13)*100)</f>
        <v>2.85703805593764</v>
      </c>
      <c r="M13" s="38"/>
    </row>
    <row r="14" customFormat="false" ht="15" hidden="false" customHeight="false" outlineLevel="0" collapsed="false">
      <c r="A14" s="38" t="s">
        <v>87</v>
      </c>
      <c r="B14" s="38" t="s">
        <v>102</v>
      </c>
      <c r="C14" s="38" t="s">
        <v>106</v>
      </c>
      <c r="D14" s="21" t="n">
        <v>163</v>
      </c>
      <c r="E14" s="21" t="n">
        <v>138</v>
      </c>
      <c r="F14" s="52" t="n">
        <f aca="false">IF(E14="","",D14-E14)</f>
        <v>25</v>
      </c>
      <c r="G14" s="21" t="n">
        <v>137</v>
      </c>
      <c r="H14" s="21" t="n">
        <v>134</v>
      </c>
      <c r="I14" s="52" t="n">
        <f aca="false">IF(H14="","",G14-H14)</f>
        <v>3</v>
      </c>
      <c r="J14" s="39" t="n">
        <f aca="false">IF(OR(D14="",D14+G14=0),"",D14/(D14+G14))</f>
        <v>0.543333333333333</v>
      </c>
      <c r="K14" s="39" t="n">
        <f aca="false">IF(E14="","",E14/(E14+H14))</f>
        <v>0.507352941176471</v>
      </c>
      <c r="L14" s="53" t="n">
        <f aca="false">IF(OR(K14="",J14=""),"",(J14-K14)*100)</f>
        <v>3.59803921568628</v>
      </c>
      <c r="M14" s="38"/>
    </row>
    <row r="15" customFormat="false" ht="15" hidden="false" customHeight="false" outlineLevel="0" collapsed="false">
      <c r="A15" s="38" t="s">
        <v>87</v>
      </c>
      <c r="B15" s="38" t="s">
        <v>102</v>
      </c>
      <c r="C15" s="38" t="s">
        <v>107</v>
      </c>
      <c r="D15" s="21" t="n">
        <v>304</v>
      </c>
      <c r="E15" s="21" t="n">
        <v>275</v>
      </c>
      <c r="F15" s="52" t="n">
        <f aca="false">IF(E15="","",D15-E15)</f>
        <v>29</v>
      </c>
      <c r="G15" s="21" t="n">
        <v>312</v>
      </c>
      <c r="H15" s="21" t="n">
        <v>352</v>
      </c>
      <c r="I15" s="52" t="n">
        <f aca="false">IF(H15="","",G15-H15)</f>
        <v>-40</v>
      </c>
      <c r="J15" s="39" t="n">
        <f aca="false">IF(OR(D15="",D15+G15=0),"",D15/(D15+G15))</f>
        <v>0.493506493506494</v>
      </c>
      <c r="K15" s="39" t="n">
        <f aca="false">IF(E15="","",E15/(E15+H15))</f>
        <v>0.43859649122807</v>
      </c>
      <c r="L15" s="53" t="n">
        <f aca="false">IF(OR(K15="",J15=""),"",(J15-K15)*100)</f>
        <v>5.49100022784234</v>
      </c>
      <c r="M15" s="38"/>
    </row>
    <row r="16" customFormat="false" ht="15" hidden="false" customHeight="false" outlineLevel="0" collapsed="false">
      <c r="A16" s="38" t="s">
        <v>87</v>
      </c>
      <c r="B16" s="38" t="s">
        <v>108</v>
      </c>
      <c r="C16" s="38" t="s">
        <v>109</v>
      </c>
      <c r="D16" s="21" t="n">
        <v>109</v>
      </c>
      <c r="E16" s="21" t="n">
        <v>120</v>
      </c>
      <c r="F16" s="52" t="n">
        <f aca="false">IF(E16="","",D16-E16)</f>
        <v>-11</v>
      </c>
      <c r="G16" s="21" t="n">
        <v>197</v>
      </c>
      <c r="H16" s="21" t="n">
        <v>202</v>
      </c>
      <c r="I16" s="52" t="n">
        <f aca="false">IF(H16="","",G16-H16)</f>
        <v>-5</v>
      </c>
      <c r="J16" s="39" t="n">
        <f aca="false">IF(OR(D16="",D16+G16=0),"",D16/(D16+G16))</f>
        <v>0.356209150326797</v>
      </c>
      <c r="K16" s="39" t="n">
        <f aca="false">IF(E16="","",E16/(E16+H16))</f>
        <v>0.372670807453416</v>
      </c>
      <c r="L16" s="53" t="n">
        <f aca="false">IF(OR(K16="",J16=""),"",(J16-K16)*100)</f>
        <v>-1.64616571266187</v>
      </c>
      <c r="M16" s="38"/>
    </row>
    <row r="17" customFormat="false" ht="15" hidden="false" customHeight="false" outlineLevel="0" collapsed="false">
      <c r="A17" s="38" t="s">
        <v>87</v>
      </c>
      <c r="B17" s="38" t="s">
        <v>108</v>
      </c>
      <c r="C17" s="38" t="s">
        <v>110</v>
      </c>
      <c r="D17" s="21" t="n">
        <v>257</v>
      </c>
      <c r="E17" s="21" t="n">
        <v>227</v>
      </c>
      <c r="F17" s="52" t="n">
        <f aca="false">IF(E17="","",D17-E17)</f>
        <v>30</v>
      </c>
      <c r="G17" s="21" t="n">
        <v>538</v>
      </c>
      <c r="H17" s="21" t="n">
        <v>484</v>
      </c>
      <c r="I17" s="52" t="n">
        <f aca="false">IF(H17="","",G17-H17)</f>
        <v>54</v>
      </c>
      <c r="J17" s="39" t="n">
        <f aca="false">IF(OR(D17="",D17+G17=0),"",D17/(D17+G17))</f>
        <v>0.323270440251572</v>
      </c>
      <c r="K17" s="39" t="n">
        <f aca="false">IF(E17="","",E17/(E17+H17))</f>
        <v>0.319268635724332</v>
      </c>
      <c r="L17" s="53" t="n">
        <f aca="false">IF(OR(K17="",J17=""),"",(J17-K17)*100)</f>
        <v>0.400180452724036</v>
      </c>
      <c r="M17" s="38"/>
    </row>
    <row r="18" customFormat="false" ht="15" hidden="false" customHeight="false" outlineLevel="0" collapsed="false">
      <c r="A18" s="38" t="s">
        <v>87</v>
      </c>
      <c r="B18" s="38" t="s">
        <v>111</v>
      </c>
      <c r="C18" s="38" t="s">
        <v>112</v>
      </c>
      <c r="D18" s="21" t="n">
        <v>286</v>
      </c>
      <c r="E18" s="21" t="n">
        <v>249</v>
      </c>
      <c r="F18" s="52" t="n">
        <f aca="false">IF(E18="","",D18-E18)</f>
        <v>37</v>
      </c>
      <c r="G18" s="21" t="n">
        <v>390</v>
      </c>
      <c r="H18" s="21" t="n">
        <v>392</v>
      </c>
      <c r="I18" s="52" t="n">
        <f aca="false">IF(H18="","",G18-H18)</f>
        <v>-2</v>
      </c>
      <c r="J18" s="39" t="n">
        <f aca="false">IF(OR(D18="",D18+G18=0),"",D18/(D18+G18))</f>
        <v>0.423076923076923</v>
      </c>
      <c r="K18" s="39" t="n">
        <f aca="false">IF(E18="","",E18/(E18+H18))</f>
        <v>0.388455538221529</v>
      </c>
      <c r="L18" s="53" t="n">
        <f aca="false">IF(OR(K18="",J18=""),"",(J18-K18)*100)</f>
        <v>3.46213848553942</v>
      </c>
      <c r="M18" s="38"/>
    </row>
    <row r="19" customFormat="false" ht="15" hidden="false" customHeight="false" outlineLevel="0" collapsed="false">
      <c r="A19" s="38" t="s">
        <v>87</v>
      </c>
      <c r="B19" s="38" t="s">
        <v>111</v>
      </c>
      <c r="C19" s="38" t="s">
        <v>113</v>
      </c>
      <c r="D19" s="21" t="n">
        <v>179</v>
      </c>
      <c r="E19" s="21" t="n">
        <v>152</v>
      </c>
      <c r="F19" s="52" t="n">
        <f aca="false">IF(E19="","",D19-E19)</f>
        <v>27</v>
      </c>
      <c r="G19" s="21" t="n">
        <v>237</v>
      </c>
      <c r="H19" s="21" t="n">
        <v>246</v>
      </c>
      <c r="I19" s="52" t="n">
        <f aca="false">IF(H19="","",G19-H19)</f>
        <v>-9</v>
      </c>
      <c r="J19" s="39" t="n">
        <f aca="false">IF(OR(D19="",D19+G19=0),"",D19/(D19+G19))</f>
        <v>0.430288461538462</v>
      </c>
      <c r="K19" s="39" t="n">
        <f aca="false">IF(E19="","",E19/(E19+H19))</f>
        <v>0.381909547738693</v>
      </c>
      <c r="L19" s="53" t="n">
        <f aca="false">IF(OR(K19="",J19=""),"",(J19-K19)*100)</f>
        <v>4.83789137997681</v>
      </c>
      <c r="M19" s="38"/>
    </row>
    <row r="20" customFormat="false" ht="15" hidden="false" customHeight="false" outlineLevel="0" collapsed="false">
      <c r="A20" s="38" t="s">
        <v>87</v>
      </c>
      <c r="B20" s="38" t="s">
        <v>111</v>
      </c>
      <c r="C20" s="38" t="s">
        <v>114</v>
      </c>
      <c r="D20" s="21" t="n">
        <v>165</v>
      </c>
      <c r="E20" s="21" t="n">
        <v>165</v>
      </c>
      <c r="F20" s="52" t="n">
        <f aca="false">IF(E20="","",D20-E20)</f>
        <v>0</v>
      </c>
      <c r="G20" s="21" t="n">
        <v>203</v>
      </c>
      <c r="H20" s="21" t="n">
        <v>237</v>
      </c>
      <c r="I20" s="52" t="n">
        <f aca="false">IF(H20="","",G20-H20)</f>
        <v>-34</v>
      </c>
      <c r="J20" s="39" t="n">
        <f aca="false">IF(OR(D20="",D20+G20=0),"",D20/(D20+G20))</f>
        <v>0.448369565217391</v>
      </c>
      <c r="K20" s="39" t="n">
        <f aca="false">IF(E20="","",E20/(E20+H20))</f>
        <v>0.41044776119403</v>
      </c>
      <c r="L20" s="53" t="n">
        <f aca="false">IF(OR(K20="",J20=""),"",(J20-K20)*100)</f>
        <v>3.79218040233614</v>
      </c>
      <c r="M20" s="38"/>
    </row>
    <row r="21" customFormat="false" ht="15" hidden="false" customHeight="false" outlineLevel="0" collapsed="false">
      <c r="A21" s="38" t="s">
        <v>87</v>
      </c>
      <c r="B21" s="38" t="s">
        <v>115</v>
      </c>
      <c r="C21" s="38" t="s">
        <v>115</v>
      </c>
      <c r="D21" s="21" t="n">
        <v>45</v>
      </c>
      <c r="E21" s="21" t="n">
        <v>38</v>
      </c>
      <c r="F21" s="52" t="n">
        <f aca="false">IF(E21="","",D21-E21)</f>
        <v>7</v>
      </c>
      <c r="G21" s="21" t="n">
        <v>96</v>
      </c>
      <c r="H21" s="21" t="n">
        <v>106</v>
      </c>
      <c r="I21" s="52" t="n">
        <f aca="false">IF(H21="","",G21-H21)</f>
        <v>-10</v>
      </c>
      <c r="J21" s="39" t="n">
        <f aca="false">IF(OR(D21="",D21+G21=0),"",D21/(D21+G21))</f>
        <v>0.319148936170213</v>
      </c>
      <c r="K21" s="39" t="n">
        <f aca="false">IF(E21="","",E21/(E21+H21))</f>
        <v>0.263888888888889</v>
      </c>
      <c r="L21" s="53" t="n">
        <f aca="false">IF(OR(K21="",J21=""),"",(J21-K21)*100)</f>
        <v>5.52600472813239</v>
      </c>
      <c r="M21" s="38"/>
    </row>
    <row r="22" customFormat="false" ht="15" hidden="false" customHeight="false" outlineLevel="0" collapsed="false">
      <c r="A22" s="38" t="s">
        <v>87</v>
      </c>
      <c r="B22" s="38" t="s">
        <v>116</v>
      </c>
      <c r="C22" s="38" t="s">
        <v>116</v>
      </c>
      <c r="D22" s="21" t="n">
        <v>62</v>
      </c>
      <c r="E22" s="21" t="n">
        <v>58</v>
      </c>
      <c r="F22" s="52" t="n">
        <f aca="false">IF(E22="","",D22-E22)</f>
        <v>4</v>
      </c>
      <c r="G22" s="21" t="n">
        <v>212</v>
      </c>
      <c r="H22" s="21" t="n">
        <v>214</v>
      </c>
      <c r="I22" s="52" t="n">
        <f aca="false">IF(H22="","",G22-H22)</f>
        <v>-2</v>
      </c>
      <c r="J22" s="39" t="n">
        <f aca="false">IF(OR(D22="",D22+G22=0),"",D22/(D22+G22))</f>
        <v>0.226277372262774</v>
      </c>
      <c r="K22" s="39" t="n">
        <f aca="false">IF(E22="","",E22/(E22+H22))</f>
        <v>0.213235294117647</v>
      </c>
      <c r="L22" s="53" t="n">
        <f aca="false">IF(OR(K22="",J22=""),"",(J22-K22)*100)</f>
        <v>1.30420781451267</v>
      </c>
      <c r="M22" s="38"/>
    </row>
    <row r="23" customFormat="false" ht="15" hidden="false" customHeight="false" outlineLevel="0" collapsed="false">
      <c r="A23" s="38" t="s">
        <v>87</v>
      </c>
      <c r="B23" s="38" t="s">
        <v>117</v>
      </c>
      <c r="C23" s="38" t="s">
        <v>118</v>
      </c>
      <c r="D23" s="21" t="n">
        <v>317</v>
      </c>
      <c r="E23" s="21" t="n">
        <v>321</v>
      </c>
      <c r="F23" s="52" t="n">
        <f aca="false">IF(E23="","",D23-E23)</f>
        <v>-4</v>
      </c>
      <c r="G23" s="21" t="n">
        <v>479</v>
      </c>
      <c r="H23" s="21" t="n">
        <v>498</v>
      </c>
      <c r="I23" s="52" t="n">
        <f aca="false">IF(H23="","",G23-H23)</f>
        <v>-19</v>
      </c>
      <c r="J23" s="39" t="n">
        <f aca="false">IF(OR(D23="",D23+G23=0),"",D23/(D23+G23))</f>
        <v>0.398241206030151</v>
      </c>
      <c r="K23" s="39" t="n">
        <f aca="false">IF(E23="","",E23/(E23+H23))</f>
        <v>0.391941391941392</v>
      </c>
      <c r="L23" s="53" t="n">
        <f aca="false">IF(OR(K23="",J23=""),"",(J23-K23)*100)</f>
        <v>0.629981408875879</v>
      </c>
      <c r="M23" s="38"/>
    </row>
    <row r="24" customFormat="false" ht="15" hidden="false" customHeight="false" outlineLevel="0" collapsed="false">
      <c r="A24" s="38" t="s">
        <v>87</v>
      </c>
      <c r="B24" s="38" t="s">
        <v>117</v>
      </c>
      <c r="C24" s="38" t="s">
        <v>119</v>
      </c>
      <c r="D24" s="21" t="n">
        <v>306</v>
      </c>
      <c r="E24" s="21" t="n">
        <v>288</v>
      </c>
      <c r="F24" s="52" t="n">
        <f aca="false">IF(E24="","",D24-E24)</f>
        <v>18</v>
      </c>
      <c r="G24" s="21" t="n">
        <v>399</v>
      </c>
      <c r="H24" s="21" t="n">
        <v>448</v>
      </c>
      <c r="I24" s="52" t="n">
        <f aca="false">IF(H24="","",G24-H24)</f>
        <v>-49</v>
      </c>
      <c r="J24" s="39" t="n">
        <f aca="false">IF(OR(D24="",D24+G24=0),"",D24/(D24+G24))</f>
        <v>0.434042553191489</v>
      </c>
      <c r="K24" s="39" t="n">
        <f aca="false">IF(E24="","",E24/(E24+H24))</f>
        <v>0.391304347826087</v>
      </c>
      <c r="L24" s="53" t="n">
        <f aca="false">IF(OR(K24="",J24=""),"",(J24-K24)*100)</f>
        <v>4.27382053654024</v>
      </c>
      <c r="M24" s="38"/>
    </row>
    <row r="25" customFormat="false" ht="15" hidden="false" customHeight="false" outlineLevel="0" collapsed="false">
      <c r="A25" s="38" t="s">
        <v>87</v>
      </c>
      <c r="B25" s="38" t="s">
        <v>117</v>
      </c>
      <c r="C25" s="38" t="s">
        <v>120</v>
      </c>
      <c r="D25" s="21" t="n">
        <v>312</v>
      </c>
      <c r="E25" s="21" t="n">
        <v>317</v>
      </c>
      <c r="F25" s="52" t="n">
        <f aca="false">IF(E25="","",D25-E25)</f>
        <v>-5</v>
      </c>
      <c r="G25" s="21" t="n">
        <v>438</v>
      </c>
      <c r="H25" s="21" t="n">
        <v>527</v>
      </c>
      <c r="I25" s="52" t="n">
        <f aca="false">IF(H25="","",G25-H25)</f>
        <v>-89</v>
      </c>
      <c r="J25" s="39" t="n">
        <f aca="false">IF(OR(D25="",D25+G25=0),"",D25/(D25+G25))</f>
        <v>0.416</v>
      </c>
      <c r="K25" s="39" t="n">
        <f aca="false">IF(E25="","",E25/(E25+H25))</f>
        <v>0.375592417061611</v>
      </c>
      <c r="L25" s="53" t="n">
        <f aca="false">IF(OR(K25="",J25=""),"",(J25-K25)*100)</f>
        <v>4.04075829383886</v>
      </c>
      <c r="M25" s="38"/>
    </row>
    <row r="26" customFormat="false" ht="15" hidden="false" customHeight="false" outlineLevel="0" collapsed="false">
      <c r="A26" s="38" t="s">
        <v>87</v>
      </c>
      <c r="B26" s="38" t="s">
        <v>121</v>
      </c>
      <c r="C26" s="38" t="s">
        <v>122</v>
      </c>
      <c r="D26" s="21" t="n">
        <v>324</v>
      </c>
      <c r="E26" s="21" t="n">
        <v>285</v>
      </c>
      <c r="F26" s="52" t="n">
        <f aca="false">IF(E26="","",D26-E26)</f>
        <v>39</v>
      </c>
      <c r="G26" s="21" t="n">
        <v>673</v>
      </c>
      <c r="H26" s="21" t="n">
        <v>760</v>
      </c>
      <c r="I26" s="52" t="n">
        <f aca="false">IF(H26="","",G26-H26)</f>
        <v>-87</v>
      </c>
      <c r="J26" s="39" t="n">
        <f aca="false">IF(OR(D26="",D26+G26=0),"",D26/(D26+G26))</f>
        <v>0.324974924774323</v>
      </c>
      <c r="K26" s="39" t="n">
        <f aca="false">IF(E26="","",E26/(E26+H26))</f>
        <v>0.272727272727273</v>
      </c>
      <c r="L26" s="53" t="n">
        <f aca="false">IF(OR(K26="",J26=""),"",(J26-K26)*100)</f>
        <v>5.22476520470503</v>
      </c>
      <c r="M26" s="38"/>
    </row>
    <row r="27" customFormat="false" ht="15" hidden="false" customHeight="false" outlineLevel="0" collapsed="false">
      <c r="A27" s="38" t="s">
        <v>87</v>
      </c>
      <c r="B27" s="38" t="s">
        <v>121</v>
      </c>
      <c r="C27" s="38" t="s">
        <v>123</v>
      </c>
      <c r="D27" s="21" t="n">
        <v>215</v>
      </c>
      <c r="E27" s="21" t="n">
        <v>228</v>
      </c>
      <c r="F27" s="52" t="n">
        <f aca="false">IF(E27="","",D27-E27)</f>
        <v>-13</v>
      </c>
      <c r="G27" s="21" t="n">
        <v>441</v>
      </c>
      <c r="H27" s="21" t="n">
        <v>522</v>
      </c>
      <c r="I27" s="52" t="n">
        <f aca="false">IF(H27="","",G27-H27)</f>
        <v>-81</v>
      </c>
      <c r="J27" s="39" t="n">
        <f aca="false">IF(OR(D27="",D27+G27=0),"",D27/(D27+G27))</f>
        <v>0.327743902439024</v>
      </c>
      <c r="K27" s="39" t="n">
        <f aca="false">IF(E27="","",E27/(E27+H27))</f>
        <v>0.304</v>
      </c>
      <c r="L27" s="53" t="n">
        <f aca="false">IF(OR(K27="",J27=""),"",(J27-K27)*100)</f>
        <v>2.37439024390244</v>
      </c>
      <c r="M27" s="38"/>
    </row>
    <row r="28" customFormat="false" ht="15" hidden="false" customHeight="false" outlineLevel="0" collapsed="false">
      <c r="A28" s="38" t="s">
        <v>87</v>
      </c>
      <c r="B28" s="38" t="s">
        <v>124</v>
      </c>
      <c r="C28" s="38" t="s">
        <v>125</v>
      </c>
      <c r="D28" s="21" t="n">
        <v>137</v>
      </c>
      <c r="E28" s="21" t="n">
        <v>135</v>
      </c>
      <c r="F28" s="52" t="n">
        <f aca="false">IF(E28="","",D28-E28)</f>
        <v>2</v>
      </c>
      <c r="G28" s="21" t="n">
        <v>350</v>
      </c>
      <c r="H28" s="21" t="n">
        <v>395</v>
      </c>
      <c r="I28" s="52" t="n">
        <f aca="false">IF(H28="","",G28-H28)</f>
        <v>-45</v>
      </c>
      <c r="J28" s="39" t="n">
        <f aca="false">IF(OR(D28="",D28+G28=0),"",D28/(D28+G28))</f>
        <v>0.281314168377823</v>
      </c>
      <c r="K28" s="39" t="n">
        <f aca="false">IF(E28="","",E28/(E28+H28))</f>
        <v>0.254716981132075</v>
      </c>
      <c r="L28" s="53" t="n">
        <f aca="false">IF(OR(K28="",J28=""),"",(J28-K28)*100)</f>
        <v>2.65971872457479</v>
      </c>
      <c r="M28" s="38"/>
    </row>
    <row r="29" customFormat="false" ht="15" hidden="false" customHeight="false" outlineLevel="0" collapsed="false">
      <c r="A29" s="38" t="s">
        <v>87</v>
      </c>
      <c r="B29" s="38" t="s">
        <v>124</v>
      </c>
      <c r="C29" s="38" t="s">
        <v>126</v>
      </c>
      <c r="D29" s="21" t="n">
        <v>116</v>
      </c>
      <c r="E29" s="21" t="n">
        <v>124</v>
      </c>
      <c r="F29" s="52" t="n">
        <f aca="false">IF(E29="","",D29-E29)</f>
        <v>-8</v>
      </c>
      <c r="G29" s="21" t="n">
        <v>259</v>
      </c>
      <c r="H29" s="21" t="n">
        <v>298</v>
      </c>
      <c r="I29" s="52" t="n">
        <f aca="false">IF(H29="","",G29-H29)</f>
        <v>-39</v>
      </c>
      <c r="J29" s="39" t="n">
        <f aca="false">IF(OR(D29="",D29+G29=0),"",D29/(D29+G29))</f>
        <v>0.309333333333333</v>
      </c>
      <c r="K29" s="39" t="n">
        <f aca="false">IF(E29="","",E29/(E29+H29))</f>
        <v>0.293838862559242</v>
      </c>
      <c r="L29" s="53" t="n">
        <f aca="false">IF(OR(K29="",J29=""),"",(J29-K29)*100)</f>
        <v>1.54944707740917</v>
      </c>
      <c r="M29" s="38"/>
    </row>
    <row r="30" customFormat="false" ht="15" hidden="false" customHeight="false" outlineLevel="0" collapsed="false">
      <c r="A30" s="38" t="s">
        <v>87</v>
      </c>
      <c r="B30" s="38" t="s">
        <v>124</v>
      </c>
      <c r="C30" s="38" t="s">
        <v>127</v>
      </c>
      <c r="D30" s="21" t="n">
        <v>392</v>
      </c>
      <c r="E30" s="21" t="n">
        <v>424</v>
      </c>
      <c r="F30" s="52" t="n">
        <f aca="false">IF(E30="","",D30-E30)</f>
        <v>-32</v>
      </c>
      <c r="G30" s="21" t="n">
        <v>868</v>
      </c>
      <c r="H30" s="21" t="n">
        <v>988</v>
      </c>
      <c r="I30" s="52" t="n">
        <f aca="false">IF(H30="","",G30-H30)</f>
        <v>-120</v>
      </c>
      <c r="J30" s="39" t="n">
        <f aca="false">IF(OR(D30="",D30+G30=0),"",D30/(D30+G30))</f>
        <v>0.311111111111111</v>
      </c>
      <c r="K30" s="39" t="n">
        <f aca="false">IF(E30="","",E30/(E30+H30))</f>
        <v>0.30028328611898</v>
      </c>
      <c r="L30" s="53" t="n">
        <f aca="false">IF(OR(K30="",J30=""),"",(J30-K30)*100)</f>
        <v>1.08278249921309</v>
      </c>
      <c r="M30" s="38"/>
    </row>
    <row r="31" customFormat="false" ht="15" hidden="false" customHeight="false" outlineLevel="0" collapsed="false">
      <c r="A31" s="38" t="s">
        <v>87</v>
      </c>
      <c r="B31" s="38" t="s">
        <v>128</v>
      </c>
      <c r="C31" s="38" t="s">
        <v>129</v>
      </c>
      <c r="D31" s="21" t="n">
        <v>316</v>
      </c>
      <c r="E31" s="21" t="n">
        <v>279</v>
      </c>
      <c r="F31" s="52" t="n">
        <f aca="false">IF(E31="","",D31-E31)</f>
        <v>37</v>
      </c>
      <c r="G31" s="21" t="n">
        <v>407</v>
      </c>
      <c r="H31" s="21" t="n">
        <v>445</v>
      </c>
      <c r="I31" s="52" t="n">
        <f aca="false">IF(H31="","",G31-H31)</f>
        <v>-38</v>
      </c>
      <c r="J31" s="39" t="n">
        <f aca="false">IF(OR(D31="",D31+G31=0),"",D31/(D31+G31))</f>
        <v>0.437067773167358</v>
      </c>
      <c r="K31" s="39" t="n">
        <f aca="false">IF(E31="","",E31/(E31+H31))</f>
        <v>0.385359116022099</v>
      </c>
      <c r="L31" s="53" t="n">
        <f aca="false">IF(OR(K31="",J31=""),"",(J31-K31)*100)</f>
        <v>5.17086571452588</v>
      </c>
      <c r="M31" s="38"/>
    </row>
    <row r="32" customFormat="false" ht="15" hidden="false" customHeight="false" outlineLevel="0" collapsed="false">
      <c r="A32" s="38" t="s">
        <v>87</v>
      </c>
      <c r="B32" s="38" t="s">
        <v>128</v>
      </c>
      <c r="C32" s="38" t="s">
        <v>130</v>
      </c>
      <c r="D32" s="21" t="n">
        <v>320</v>
      </c>
      <c r="E32" s="21" t="n">
        <v>309</v>
      </c>
      <c r="F32" s="52" t="n">
        <f aca="false">IF(E32="","",D32-E32)</f>
        <v>11</v>
      </c>
      <c r="G32" s="21" t="n">
        <v>494</v>
      </c>
      <c r="H32" s="21" t="n">
        <v>488</v>
      </c>
      <c r="I32" s="52" t="n">
        <f aca="false">IF(H32="","",G32-H32)</f>
        <v>6</v>
      </c>
      <c r="J32" s="39" t="n">
        <f aca="false">IF(OR(D32="",D32+G32=0),"",D32/(D32+G32))</f>
        <v>0.393120393120393</v>
      </c>
      <c r="K32" s="39" t="n">
        <f aca="false">IF(E32="","",E32/(E32+H32))</f>
        <v>0.387703889585947</v>
      </c>
      <c r="L32" s="53" t="n">
        <f aca="false">IF(OR(K32="",J32=""),"",(J32-K32)*100)</f>
        <v>0.541650353444578</v>
      </c>
      <c r="M32" s="38"/>
    </row>
    <row r="33" customFormat="false" ht="15" hidden="false" customHeight="false" outlineLevel="0" collapsed="false">
      <c r="A33" s="38" t="s">
        <v>87</v>
      </c>
      <c r="B33" s="38" t="s">
        <v>131</v>
      </c>
      <c r="C33" s="38" t="s">
        <v>131</v>
      </c>
      <c r="D33" s="21" t="n">
        <v>139</v>
      </c>
      <c r="E33" s="21" t="n">
        <v>134</v>
      </c>
      <c r="F33" s="52" t="n">
        <f aca="false">IF(E33="","",D33-E33)</f>
        <v>5</v>
      </c>
      <c r="G33" s="21" t="n">
        <v>501</v>
      </c>
      <c r="H33" s="21" t="n">
        <v>503</v>
      </c>
      <c r="I33" s="52" t="n">
        <f aca="false">IF(H33="","",G33-H33)</f>
        <v>-2</v>
      </c>
      <c r="J33" s="39" t="n">
        <f aca="false">IF(OR(D33="",D33+G33=0),"",D33/(D33+G33))</f>
        <v>0.2171875</v>
      </c>
      <c r="K33" s="39" t="n">
        <f aca="false">IF(E33="","",E33/(E33+H33))</f>
        <v>0.210361067503925</v>
      </c>
      <c r="L33" s="53" t="n">
        <f aca="false">IF(OR(K33="",J33=""),"",(J33-K33)*100)</f>
        <v>0.682643249607537</v>
      </c>
      <c r="M33" s="38"/>
    </row>
    <row r="34" customFormat="false" ht="15" hidden="false" customHeight="false" outlineLevel="0" collapsed="false">
      <c r="A34" s="38" t="s">
        <v>87</v>
      </c>
      <c r="B34" s="38" t="s">
        <v>132</v>
      </c>
      <c r="C34" s="38" t="s">
        <v>133</v>
      </c>
      <c r="D34" s="21" t="n">
        <v>311</v>
      </c>
      <c r="E34" s="21" t="n">
        <v>281</v>
      </c>
      <c r="F34" s="52" t="n">
        <f aca="false">IF(E34="","",D34-E34)</f>
        <v>30</v>
      </c>
      <c r="G34" s="21" t="n">
        <v>552</v>
      </c>
      <c r="H34" s="21" t="n">
        <v>592</v>
      </c>
      <c r="I34" s="52" t="n">
        <f aca="false">IF(H34="","",G34-H34)</f>
        <v>-40</v>
      </c>
      <c r="J34" s="39" t="n">
        <f aca="false">IF(OR(D34="",D34+G34=0),"",D34/(D34+G34))</f>
        <v>0.360370799536501</v>
      </c>
      <c r="K34" s="39" t="n">
        <f aca="false">IF(E34="","",E34/(E34+H34))</f>
        <v>0.321878579610538</v>
      </c>
      <c r="L34" s="53" t="n">
        <f aca="false">IF(OR(K34="",J34=""),"",(J34-K34)*100)</f>
        <v>3.84922199259622</v>
      </c>
      <c r="M34" s="38"/>
    </row>
    <row r="35" customFormat="false" ht="15" hidden="false" customHeight="false" outlineLevel="0" collapsed="false">
      <c r="A35" s="38" t="s">
        <v>87</v>
      </c>
      <c r="B35" s="38" t="s">
        <v>132</v>
      </c>
      <c r="C35" s="38" t="s">
        <v>134</v>
      </c>
      <c r="D35" s="21" t="n">
        <v>524</v>
      </c>
      <c r="E35" s="21" t="n">
        <v>467</v>
      </c>
      <c r="F35" s="52" t="n">
        <f aca="false">IF(E35="","",D35-E35)</f>
        <v>57</v>
      </c>
      <c r="G35" s="21" t="n">
        <v>746</v>
      </c>
      <c r="H35" s="21" t="n">
        <v>782</v>
      </c>
      <c r="I35" s="52" t="n">
        <f aca="false">IF(H35="","",G35-H35)</f>
        <v>-36</v>
      </c>
      <c r="J35" s="39" t="n">
        <f aca="false">IF(OR(D35="",D35+G35=0),"",D35/(D35+G35))</f>
        <v>0.41259842519685</v>
      </c>
      <c r="K35" s="39" t="n">
        <f aca="false">IF(E35="","",E35/(E35+H35))</f>
        <v>0.373899119295436</v>
      </c>
      <c r="L35" s="53" t="n">
        <f aca="false">IF(OR(K35="",J35=""),"",(J35-K35)*100)</f>
        <v>3.86993059014141</v>
      </c>
      <c r="M35" s="38"/>
    </row>
    <row r="36" customFormat="false" ht="15" hidden="false" customHeight="false" outlineLevel="0" collapsed="false">
      <c r="A36" s="38" t="s">
        <v>87</v>
      </c>
      <c r="B36" s="38" t="s">
        <v>132</v>
      </c>
      <c r="C36" s="38" t="s">
        <v>135</v>
      </c>
      <c r="D36" s="21" t="n">
        <v>159</v>
      </c>
      <c r="E36" s="21" t="n">
        <v>136</v>
      </c>
      <c r="F36" s="52" t="n">
        <f aca="false">IF(E36="","",D36-E36)</f>
        <v>23</v>
      </c>
      <c r="G36" s="21" t="n">
        <v>247</v>
      </c>
      <c r="H36" s="21" t="n">
        <v>278</v>
      </c>
      <c r="I36" s="52" t="n">
        <f aca="false">IF(H36="","",G36-H36)</f>
        <v>-31</v>
      </c>
      <c r="J36" s="39" t="n">
        <f aca="false">IF(OR(D36="",D36+G36=0),"",D36/(D36+G36))</f>
        <v>0.391625615763547</v>
      </c>
      <c r="K36" s="39" t="n">
        <f aca="false">IF(E36="","",E36/(E36+H36))</f>
        <v>0.328502415458937</v>
      </c>
      <c r="L36" s="53" t="n">
        <f aca="false">IF(OR(K36="",J36=""),"",(J36-K36)*100)</f>
        <v>6.31232003046096</v>
      </c>
      <c r="M36" s="38"/>
    </row>
    <row r="37" customFormat="false" ht="15" hidden="false" customHeight="false" outlineLevel="0" collapsed="false">
      <c r="A37" s="38" t="s">
        <v>87</v>
      </c>
      <c r="B37" s="38" t="s">
        <v>136</v>
      </c>
      <c r="C37" s="38" t="s">
        <v>136</v>
      </c>
      <c r="D37" s="21" t="n">
        <v>63</v>
      </c>
      <c r="E37" s="21" t="n">
        <v>68</v>
      </c>
      <c r="F37" s="52" t="n">
        <f aca="false">IF(E37="","",D37-E37)</f>
        <v>-5</v>
      </c>
      <c r="G37" s="21" t="n">
        <v>156</v>
      </c>
      <c r="H37" s="21" t="n">
        <v>153</v>
      </c>
      <c r="I37" s="52" t="n">
        <f aca="false">IF(H37="","",G37-H37)</f>
        <v>3</v>
      </c>
      <c r="J37" s="39" t="n">
        <f aca="false">IF(OR(D37="",D37+G37=0),"",D37/(D37+G37))</f>
        <v>0.287671232876712</v>
      </c>
      <c r="K37" s="39" t="n">
        <f aca="false">IF(E37="","",E37/(E37+H37))</f>
        <v>0.307692307692308</v>
      </c>
      <c r="L37" s="53" t="n">
        <f aca="false">IF(OR(K37="",J37=""),"",(J37-K37)*100)</f>
        <v>-2.00210748155954</v>
      </c>
      <c r="M37" s="38"/>
    </row>
    <row r="38" customFormat="false" ht="15" hidden="false" customHeight="false" outlineLevel="0" collapsed="false">
      <c r="A38" s="38" t="s">
        <v>87</v>
      </c>
      <c r="B38" s="38" t="s">
        <v>137</v>
      </c>
      <c r="C38" s="38" t="s">
        <v>138</v>
      </c>
      <c r="D38" s="21" t="n">
        <v>436</v>
      </c>
      <c r="E38" s="21" t="n">
        <v>432</v>
      </c>
      <c r="F38" s="52" t="n">
        <f aca="false">IF(E38="","",D38-E38)</f>
        <v>4</v>
      </c>
      <c r="G38" s="21" t="n">
        <v>694</v>
      </c>
      <c r="H38" s="21" t="n">
        <v>705</v>
      </c>
      <c r="I38" s="52" t="n">
        <f aca="false">IF(H38="","",G38-H38)</f>
        <v>-11</v>
      </c>
      <c r="J38" s="39" t="n">
        <f aca="false">IF(OR(D38="",D38+G38=0),"",D38/(D38+G38))</f>
        <v>0.385840707964602</v>
      </c>
      <c r="K38" s="39" t="n">
        <f aca="false">IF(E38="","",E38/(E38+H38))</f>
        <v>0.379947229551451</v>
      </c>
      <c r="L38" s="53" t="n">
        <f aca="false">IF(OR(K38="",J38=""),"",(J38-K38)*100)</f>
        <v>0.589347841315063</v>
      </c>
      <c r="M38" s="38"/>
    </row>
    <row r="39" customFormat="false" ht="15" hidden="false" customHeight="false" outlineLevel="0" collapsed="false">
      <c r="A39" s="38" t="s">
        <v>87</v>
      </c>
      <c r="B39" s="38" t="s">
        <v>137</v>
      </c>
      <c r="C39" s="38" t="s">
        <v>139</v>
      </c>
      <c r="D39" s="21" t="n">
        <v>308</v>
      </c>
      <c r="E39" s="21" t="n">
        <v>296</v>
      </c>
      <c r="F39" s="52" t="n">
        <f aca="false">IF(E39="","",D39-E39)</f>
        <v>12</v>
      </c>
      <c r="G39" s="21" t="n">
        <v>515</v>
      </c>
      <c r="H39" s="21" t="n">
        <v>529</v>
      </c>
      <c r="I39" s="52" t="n">
        <f aca="false">IF(H39="","",G39-H39)</f>
        <v>-14</v>
      </c>
      <c r="J39" s="39" t="n">
        <f aca="false">IF(OR(D39="",D39+G39=0),"",D39/(D39+G39))</f>
        <v>0.374240583232078</v>
      </c>
      <c r="K39" s="39" t="n">
        <f aca="false">IF(E39="","",E39/(E39+H39))</f>
        <v>0.358787878787879</v>
      </c>
      <c r="L39" s="53" t="n">
        <f aca="false">IF(OR(K39="",J39=""),"",(J39-K39)*100)</f>
        <v>1.5452704444199</v>
      </c>
      <c r="M39" s="38"/>
    </row>
    <row r="40" customFormat="false" ht="15" hidden="false" customHeight="false" outlineLevel="0" collapsed="false">
      <c r="A40" s="38" t="s">
        <v>87</v>
      </c>
      <c r="B40" s="38" t="s">
        <v>137</v>
      </c>
      <c r="C40" s="38" t="s">
        <v>140</v>
      </c>
      <c r="D40" s="21" t="n">
        <v>474</v>
      </c>
      <c r="E40" s="21" t="n">
        <v>460</v>
      </c>
      <c r="F40" s="52" t="n">
        <f aca="false">IF(E40="","",D40-E40)</f>
        <v>14</v>
      </c>
      <c r="G40" s="21" t="n">
        <v>771</v>
      </c>
      <c r="H40" s="21" t="n">
        <v>791</v>
      </c>
      <c r="I40" s="52" t="n">
        <f aca="false">IF(H40="","",G40-H40)</f>
        <v>-20</v>
      </c>
      <c r="J40" s="39" t="n">
        <f aca="false">IF(OR(D40="",D40+G40=0),"",D40/(D40+G40))</f>
        <v>0.380722891566265</v>
      </c>
      <c r="K40" s="39" t="n">
        <f aca="false">IF(E40="","",E40/(E40+H40))</f>
        <v>0.367705835331735</v>
      </c>
      <c r="L40" s="53" t="n">
        <f aca="false">IF(OR(K40="",J40=""),"",(J40-K40)*100)</f>
        <v>1.30170562345304</v>
      </c>
      <c r="M40" s="38"/>
    </row>
    <row r="41" customFormat="false" ht="15" hidden="false" customHeight="false" outlineLevel="0" collapsed="false">
      <c r="A41" s="38" t="s">
        <v>87</v>
      </c>
      <c r="B41" s="38" t="s">
        <v>137</v>
      </c>
      <c r="C41" s="38" t="s">
        <v>141</v>
      </c>
      <c r="D41" s="21" t="n">
        <v>398</v>
      </c>
      <c r="E41" s="21" t="n">
        <v>425</v>
      </c>
      <c r="F41" s="52" t="n">
        <f aca="false">IF(E41="","",D41-E41)</f>
        <v>-27</v>
      </c>
      <c r="G41" s="21" t="n">
        <v>804</v>
      </c>
      <c r="H41" s="21" t="n">
        <v>920</v>
      </c>
      <c r="I41" s="52" t="n">
        <f aca="false">IF(H41="","",G41-H41)</f>
        <v>-116</v>
      </c>
      <c r="J41" s="39" t="n">
        <f aca="false">IF(OR(D41="",D41+G41=0),"",D41/(D41+G41))</f>
        <v>0.331114808652246</v>
      </c>
      <c r="K41" s="39" t="n">
        <f aca="false">IF(E41="","",E41/(E41+H41))</f>
        <v>0.315985130111524</v>
      </c>
      <c r="L41" s="53" t="n">
        <f aca="false">IF(OR(K41="",J41=""),"",(J41-K41)*100)</f>
        <v>1.51296785407221</v>
      </c>
      <c r="M41" s="38"/>
    </row>
    <row r="42" customFormat="false" ht="15" hidden="false" customHeight="false" outlineLevel="0" collapsed="false">
      <c r="A42" s="38" t="s">
        <v>87</v>
      </c>
      <c r="B42" s="38" t="s">
        <v>137</v>
      </c>
      <c r="C42" s="38" t="s">
        <v>142</v>
      </c>
      <c r="D42" s="21" t="n">
        <v>388</v>
      </c>
      <c r="E42" s="21" t="n">
        <v>397</v>
      </c>
      <c r="F42" s="52" t="n">
        <f aca="false">IF(E42="","",D42-E42)</f>
        <v>-9</v>
      </c>
      <c r="G42" s="21" t="n">
        <v>683</v>
      </c>
      <c r="H42" s="21" t="n">
        <v>692</v>
      </c>
      <c r="I42" s="52" t="n">
        <f aca="false">IF(H42="","",G42-H42)</f>
        <v>-9</v>
      </c>
      <c r="J42" s="39" t="n">
        <f aca="false">IF(OR(D42="",D42+G42=0),"",D42/(D42+G42))</f>
        <v>0.362278244631186</v>
      </c>
      <c r="K42" s="39" t="n">
        <f aca="false">IF(E42="","",E42/(E42+H42))</f>
        <v>0.36455463728191</v>
      </c>
      <c r="L42" s="53" t="n">
        <f aca="false">IF(OR(K42="",J42=""),"",(J42-K42)*100)</f>
        <v>-0.227639265072421</v>
      </c>
      <c r="M42" s="38"/>
    </row>
    <row r="43" customFormat="false" ht="15" hidden="false" customHeight="false" outlineLevel="0" collapsed="false">
      <c r="A43" s="38" t="s">
        <v>87</v>
      </c>
      <c r="B43" s="38" t="s">
        <v>143</v>
      </c>
      <c r="C43" s="38" t="s">
        <v>144</v>
      </c>
      <c r="D43" s="21" t="n">
        <v>187</v>
      </c>
      <c r="E43" s="21" t="n">
        <v>175</v>
      </c>
      <c r="F43" s="52" t="n">
        <f aca="false">IF(E43="","",D43-E43)</f>
        <v>12</v>
      </c>
      <c r="G43" s="21" t="n">
        <v>196</v>
      </c>
      <c r="H43" s="21" t="n">
        <v>212</v>
      </c>
      <c r="I43" s="52" t="n">
        <f aca="false">IF(H43="","",G43-H43)</f>
        <v>-16</v>
      </c>
      <c r="J43" s="39" t="n">
        <f aca="false">IF(OR(D43="",D43+G43=0),"",D43/(D43+G43))</f>
        <v>0.488250652741514</v>
      </c>
      <c r="K43" s="39" t="n">
        <f aca="false">IF(E43="","",E43/(E43+H43))</f>
        <v>0.452196382428941</v>
      </c>
      <c r="L43" s="53" t="n">
        <f aca="false">IF(OR(K43="",J43=""),"",(J43-K43)*100)</f>
        <v>3.60542703125738</v>
      </c>
      <c r="M43" s="38"/>
    </row>
    <row r="44" customFormat="false" ht="15" hidden="false" customHeight="false" outlineLevel="0" collapsed="false">
      <c r="A44" s="38" t="s">
        <v>87</v>
      </c>
      <c r="B44" s="38" t="s">
        <v>143</v>
      </c>
      <c r="C44" s="38" t="s">
        <v>145</v>
      </c>
      <c r="D44" s="21" t="n">
        <v>194</v>
      </c>
      <c r="E44" s="21" t="n">
        <v>184</v>
      </c>
      <c r="F44" s="52" t="n">
        <f aca="false">IF(E44="","",D44-E44)</f>
        <v>10</v>
      </c>
      <c r="G44" s="21" t="n">
        <v>192</v>
      </c>
      <c r="H44" s="21" t="n">
        <v>208</v>
      </c>
      <c r="I44" s="52" t="n">
        <f aca="false">IF(H44="","",G44-H44)</f>
        <v>-16</v>
      </c>
      <c r="J44" s="39" t="n">
        <f aca="false">IF(OR(D44="",D44+G44=0),"",D44/(D44+G44))</f>
        <v>0.50259067357513</v>
      </c>
      <c r="K44" s="39" t="n">
        <f aca="false">IF(E44="","",E44/(E44+H44))</f>
        <v>0.469387755102041</v>
      </c>
      <c r="L44" s="53" t="n">
        <f aca="false">IF(OR(K44="",J44=""),"",(J44-K44)*100)</f>
        <v>3.32029184730887</v>
      </c>
      <c r="M44" s="38"/>
    </row>
    <row r="45" customFormat="false" ht="15" hidden="false" customHeight="false" outlineLevel="0" collapsed="false">
      <c r="A45" s="38" t="s">
        <v>87</v>
      </c>
      <c r="B45" s="38" t="s">
        <v>143</v>
      </c>
      <c r="C45" s="38" t="s">
        <v>146</v>
      </c>
      <c r="D45" s="21" t="n">
        <v>125</v>
      </c>
      <c r="E45" s="21" t="n">
        <v>102</v>
      </c>
      <c r="F45" s="52" t="n">
        <f aca="false">IF(E45="","",D45-E45)</f>
        <v>23</v>
      </c>
      <c r="G45" s="21" t="n">
        <v>175</v>
      </c>
      <c r="H45" s="21" t="n">
        <v>192</v>
      </c>
      <c r="I45" s="52" t="n">
        <f aca="false">IF(H45="","",G45-H45)</f>
        <v>-17</v>
      </c>
      <c r="J45" s="39" t="n">
        <f aca="false">IF(OR(D45="",D45+G45=0),"",D45/(D45+G45))</f>
        <v>0.416666666666667</v>
      </c>
      <c r="K45" s="39" t="n">
        <f aca="false">IF(E45="","",E45/(E45+H45))</f>
        <v>0.346938775510204</v>
      </c>
      <c r="L45" s="53" t="n">
        <f aca="false">IF(OR(K45="",J45=""),"",(J45-K45)*100)</f>
        <v>6.97278911564626</v>
      </c>
      <c r="M45" s="38"/>
    </row>
    <row r="46" customFormat="false" ht="15" hidden="false" customHeight="false" outlineLevel="0" collapsed="false">
      <c r="A46" s="38" t="s">
        <v>87</v>
      </c>
      <c r="B46" s="38" t="s">
        <v>143</v>
      </c>
      <c r="C46" s="38" t="s">
        <v>147</v>
      </c>
      <c r="D46" s="21" t="n">
        <v>199</v>
      </c>
      <c r="E46" s="21" t="n">
        <v>194</v>
      </c>
      <c r="F46" s="52" t="n">
        <f aca="false">IF(E46="","",D46-E46)</f>
        <v>5</v>
      </c>
      <c r="G46" s="21" t="n">
        <v>269</v>
      </c>
      <c r="H46" s="21" t="n">
        <v>296</v>
      </c>
      <c r="I46" s="52" t="n">
        <f aca="false">IF(H46="","",G46-H46)</f>
        <v>-27</v>
      </c>
      <c r="J46" s="39" t="n">
        <f aca="false">IF(OR(D46="",D46+G46=0),"",D46/(D46+G46))</f>
        <v>0.425213675213675</v>
      </c>
      <c r="K46" s="39" t="n">
        <f aca="false">IF(E46="","",E46/(E46+H46))</f>
        <v>0.395918367346939</v>
      </c>
      <c r="L46" s="53" t="n">
        <f aca="false">IF(OR(K46="",J46=""),"",(J46-K46)*100)</f>
        <v>2.92953078667365</v>
      </c>
      <c r="M46" s="38"/>
    </row>
    <row r="47" customFormat="false" ht="15" hidden="false" customHeight="false" outlineLevel="0" collapsed="false">
      <c r="A47" s="38" t="s">
        <v>87</v>
      </c>
      <c r="B47" s="38" t="s">
        <v>148</v>
      </c>
      <c r="C47" s="38" t="s">
        <v>149</v>
      </c>
      <c r="D47" s="21" t="n">
        <v>269</v>
      </c>
      <c r="E47" s="21" t="n">
        <v>298</v>
      </c>
      <c r="F47" s="52" t="n">
        <f aca="false">IF(E47="","",D47-E47)</f>
        <v>-29</v>
      </c>
      <c r="G47" s="21" t="n">
        <v>597</v>
      </c>
      <c r="H47" s="21" t="n">
        <v>649</v>
      </c>
      <c r="I47" s="52" t="n">
        <f aca="false">IF(H47="","",G47-H47)</f>
        <v>-52</v>
      </c>
      <c r="J47" s="39" t="n">
        <f aca="false">IF(OR(D47="",D47+G47=0),"",D47/(D47+G47))</f>
        <v>0.310623556581986</v>
      </c>
      <c r="K47" s="39" t="n">
        <f aca="false">IF(E47="","",E47/(E47+H47))</f>
        <v>0.31467793030623</v>
      </c>
      <c r="L47" s="53" t="n">
        <f aca="false">IF(OR(K47="",J47=""),"",(J47-K47)*100)</f>
        <v>-0.405437372424405</v>
      </c>
      <c r="M47" s="38"/>
    </row>
    <row r="48" customFormat="false" ht="15" hidden="false" customHeight="false" outlineLevel="0" collapsed="false">
      <c r="A48" s="38" t="s">
        <v>87</v>
      </c>
      <c r="B48" s="38" t="s">
        <v>148</v>
      </c>
      <c r="C48" s="38" t="s">
        <v>150</v>
      </c>
      <c r="D48" s="21" t="n">
        <v>262</v>
      </c>
      <c r="E48" s="21" t="n">
        <v>253</v>
      </c>
      <c r="F48" s="52" t="n">
        <f aca="false">IF(E48="","",D48-E48)</f>
        <v>9</v>
      </c>
      <c r="G48" s="21" t="n">
        <v>646</v>
      </c>
      <c r="H48" s="21" t="n">
        <v>710</v>
      </c>
      <c r="I48" s="52" t="n">
        <f aca="false">IF(H48="","",G48-H48)</f>
        <v>-64</v>
      </c>
      <c r="J48" s="39" t="n">
        <f aca="false">IF(OR(D48="",D48+G48=0),"",D48/(D48+G48))</f>
        <v>0.288546255506608</v>
      </c>
      <c r="K48" s="39" t="n">
        <f aca="false">IF(E48="","",E48/(E48+H48))</f>
        <v>0.262720664589823</v>
      </c>
      <c r="L48" s="53" t="n">
        <f aca="false">IF(OR(K48="",J48=""),"",(J48-K48)*100)</f>
        <v>2.58255909167845</v>
      </c>
      <c r="M48" s="38"/>
    </row>
    <row r="49" customFormat="false" ht="15" hidden="false" customHeight="false" outlineLevel="0" collapsed="false">
      <c r="A49" s="38" t="s">
        <v>87</v>
      </c>
      <c r="B49" s="38" t="s">
        <v>148</v>
      </c>
      <c r="C49" s="38" t="s">
        <v>151</v>
      </c>
      <c r="D49" s="21" t="n">
        <v>259</v>
      </c>
      <c r="E49" s="21" t="n">
        <v>238</v>
      </c>
      <c r="F49" s="52" t="n">
        <f aca="false">IF(E49="","",D49-E49)</f>
        <v>21</v>
      </c>
      <c r="G49" s="21" t="n">
        <v>582</v>
      </c>
      <c r="H49" s="21" t="n">
        <v>586</v>
      </c>
      <c r="I49" s="52" t="n">
        <f aca="false">IF(H49="","",G49-H49)</f>
        <v>-4</v>
      </c>
      <c r="J49" s="39" t="n">
        <f aca="false">IF(OR(D49="",D49+G49=0),"",D49/(D49+G49))</f>
        <v>0.307966706302021</v>
      </c>
      <c r="K49" s="39" t="n">
        <f aca="false">IF(E49="","",E49/(E49+H49))</f>
        <v>0.288834951456311</v>
      </c>
      <c r="L49" s="53" t="n">
        <f aca="false">IF(OR(K49="",J49=""),"",(J49-K49)*100)</f>
        <v>1.91317548457107</v>
      </c>
      <c r="M49" s="38"/>
    </row>
    <row r="50" customFormat="false" ht="15" hidden="false" customHeight="false" outlineLevel="0" collapsed="false">
      <c r="A50" s="38" t="s">
        <v>87</v>
      </c>
      <c r="B50" s="38" t="s">
        <v>152</v>
      </c>
      <c r="C50" s="38" t="s">
        <v>153</v>
      </c>
      <c r="D50" s="21" t="n">
        <v>241</v>
      </c>
      <c r="E50" s="21" t="n">
        <v>238</v>
      </c>
      <c r="F50" s="52" t="n">
        <f aca="false">IF(E50="","",D50-E50)</f>
        <v>3</v>
      </c>
      <c r="G50" s="21" t="n">
        <v>592</v>
      </c>
      <c r="H50" s="21" t="n">
        <v>541</v>
      </c>
      <c r="I50" s="52" t="n">
        <f aca="false">IF(H50="","",G50-H50)</f>
        <v>51</v>
      </c>
      <c r="J50" s="39" t="n">
        <f aca="false">IF(OR(D50="",D50+G50=0),"",D50/(D50+G50))</f>
        <v>0.289315726290516</v>
      </c>
      <c r="K50" s="39" t="n">
        <f aca="false">IF(E50="","",E50/(E50+H50))</f>
        <v>0.305519897304236</v>
      </c>
      <c r="L50" s="53" t="n">
        <f aca="false">IF(OR(K50="",J50=""),"",(J50-K50)*100)</f>
        <v>-1.620417101372</v>
      </c>
      <c r="M50" s="38"/>
    </row>
    <row r="51" customFormat="false" ht="15" hidden="false" customHeight="false" outlineLevel="0" collapsed="false">
      <c r="A51" s="38" t="s">
        <v>87</v>
      </c>
      <c r="B51" s="38" t="s">
        <v>152</v>
      </c>
      <c r="C51" s="38" t="s">
        <v>154</v>
      </c>
      <c r="D51" s="21" t="n">
        <v>110</v>
      </c>
      <c r="E51" s="21" t="n">
        <v>103</v>
      </c>
      <c r="F51" s="52" t="n">
        <f aca="false">IF(E51="","",D51-E51)</f>
        <v>7</v>
      </c>
      <c r="G51" s="21" t="n">
        <v>278</v>
      </c>
      <c r="H51" s="21" t="n">
        <v>292</v>
      </c>
      <c r="I51" s="52" t="n">
        <f aca="false">IF(H51="","",G51-H51)</f>
        <v>-14</v>
      </c>
      <c r="J51" s="39" t="n">
        <f aca="false">IF(OR(D51="",D51+G51=0),"",D51/(D51+G51))</f>
        <v>0.283505154639175</v>
      </c>
      <c r="K51" s="39" t="n">
        <f aca="false">IF(E51="","",E51/(E51+H51))</f>
        <v>0.260759493670886</v>
      </c>
      <c r="L51" s="53" t="n">
        <f aca="false">IF(OR(K51="",J51=""),"",(J51-K51)*100)</f>
        <v>2.27456609682892</v>
      </c>
      <c r="M51" s="38"/>
    </row>
    <row r="52" customFormat="false" ht="15" hidden="false" customHeight="false" outlineLevel="0" collapsed="false">
      <c r="A52" s="38" t="s">
        <v>87</v>
      </c>
      <c r="B52" s="38" t="s">
        <v>155</v>
      </c>
      <c r="C52" s="38" t="s">
        <v>155</v>
      </c>
      <c r="D52" s="21" t="n">
        <v>64</v>
      </c>
      <c r="E52" s="21" t="n">
        <v>53</v>
      </c>
      <c r="F52" s="52" t="n">
        <f aca="false">IF(E52="","",D52-E52)</f>
        <v>11</v>
      </c>
      <c r="G52" s="21" t="n">
        <v>89</v>
      </c>
      <c r="H52" s="21" t="n">
        <v>99</v>
      </c>
      <c r="I52" s="52" t="n">
        <f aca="false">IF(H52="","",G52-H52)</f>
        <v>-10</v>
      </c>
      <c r="J52" s="39" t="n">
        <f aca="false">IF(OR(D52="",D52+G52=0),"",D52/(D52+G52))</f>
        <v>0.418300653594771</v>
      </c>
      <c r="K52" s="39" t="n">
        <f aca="false">IF(E52="","",E52/(E52+H52))</f>
        <v>0.348684210526316</v>
      </c>
      <c r="L52" s="53" t="n">
        <f aca="false">IF(OR(K52="",J52=""),"",(J52-K52)*100)</f>
        <v>6.96164430684555</v>
      </c>
      <c r="M52" s="38"/>
    </row>
    <row r="53" customFormat="false" ht="15" hidden="false" customHeight="false" outlineLevel="0" collapsed="false">
      <c r="A53" s="38" t="s">
        <v>156</v>
      </c>
      <c r="B53" s="38" t="s">
        <v>157</v>
      </c>
      <c r="C53" s="38" t="s">
        <v>157</v>
      </c>
      <c r="D53" s="21" t="n">
        <v>692</v>
      </c>
      <c r="E53" s="21" t="n">
        <v>601</v>
      </c>
      <c r="F53" s="52" t="n">
        <f aca="false">IF(E53="","",D53-E53)</f>
        <v>91</v>
      </c>
      <c r="G53" s="21" t="n">
        <v>692</v>
      </c>
      <c r="H53" s="21" t="n">
        <v>766</v>
      </c>
      <c r="I53" s="52" t="n">
        <f aca="false">IF(H53="","",G53-H53)</f>
        <v>-74</v>
      </c>
      <c r="J53" s="39" t="n">
        <f aca="false">IF(OR(D53="",D53+G53=0),"",D53/(D53+G53))</f>
        <v>0.5</v>
      </c>
      <c r="K53" s="39" t="n">
        <f aca="false">IF(E53="","",E53/(E53+H53))</f>
        <v>0.439648866130212</v>
      </c>
      <c r="L53" s="53" t="n">
        <f aca="false">IF(OR(K53="",J53=""),"",(J53-K53)*100)</f>
        <v>6.03511338697879</v>
      </c>
      <c r="M53" s="38"/>
    </row>
    <row r="54" customFormat="false" ht="15" hidden="false" customHeight="false" outlineLevel="0" collapsed="false">
      <c r="A54" s="38" t="s">
        <v>156</v>
      </c>
      <c r="B54" s="38" t="s">
        <v>158</v>
      </c>
      <c r="C54" s="38" t="s">
        <v>159</v>
      </c>
      <c r="D54" s="21" t="n">
        <v>530</v>
      </c>
      <c r="E54" s="21" t="n">
        <v>437</v>
      </c>
      <c r="F54" s="52" t="n">
        <f aca="false">IF(E54="","",D54-E54)</f>
        <v>93</v>
      </c>
      <c r="G54" s="21" t="n">
        <v>143</v>
      </c>
      <c r="H54" s="21" t="n">
        <v>173</v>
      </c>
      <c r="I54" s="52" t="n">
        <f aca="false">IF(H54="","",G54-H54)</f>
        <v>-30</v>
      </c>
      <c r="J54" s="39" t="n">
        <f aca="false">IF(OR(D54="",D54+G54=0),"",D54/(D54+G54))</f>
        <v>0.787518573551263</v>
      </c>
      <c r="K54" s="39" t="n">
        <f aca="false">IF(E54="","",E54/(E54+H54))</f>
        <v>0.716393442622951</v>
      </c>
      <c r="L54" s="53" t="n">
        <f aca="false">IF(OR(K54="",J54=""),"",(J54-K54)*100)</f>
        <v>7.11251309283122</v>
      </c>
      <c r="M54" s="38"/>
    </row>
    <row r="55" customFormat="false" ht="15" hidden="false" customHeight="false" outlineLevel="0" collapsed="false">
      <c r="A55" s="38" t="s">
        <v>156</v>
      </c>
      <c r="B55" s="38" t="s">
        <v>158</v>
      </c>
      <c r="C55" s="38" t="s">
        <v>160</v>
      </c>
      <c r="D55" s="21" t="n">
        <v>389</v>
      </c>
      <c r="E55" s="21" t="n">
        <v>328</v>
      </c>
      <c r="F55" s="52" t="n">
        <f aca="false">IF(E55="","",D55-E55)</f>
        <v>61</v>
      </c>
      <c r="G55" s="21" t="n">
        <v>120</v>
      </c>
      <c r="H55" s="21" t="n">
        <v>173</v>
      </c>
      <c r="I55" s="52" t="n">
        <f aca="false">IF(H55="","",G55-H55)</f>
        <v>-53</v>
      </c>
      <c r="J55" s="39" t="n">
        <f aca="false">IF(OR(D55="",D55+G55=0),"",D55/(D55+G55))</f>
        <v>0.764243614931238</v>
      </c>
      <c r="K55" s="39" t="n">
        <f aca="false">IF(E55="","",E55/(E55+H55))</f>
        <v>0.654690618762475</v>
      </c>
      <c r="L55" s="53" t="n">
        <f aca="false">IF(OR(K55="",J55=""),"",(J55-K55)*100)</f>
        <v>10.9552996168763</v>
      </c>
      <c r="M55" s="38"/>
    </row>
    <row r="56" customFormat="false" ht="15" hidden="false" customHeight="false" outlineLevel="0" collapsed="false">
      <c r="A56" s="38" t="s">
        <v>156</v>
      </c>
      <c r="B56" s="38" t="s">
        <v>158</v>
      </c>
      <c r="C56" s="38" t="s">
        <v>161</v>
      </c>
      <c r="D56" s="21" t="n">
        <v>407</v>
      </c>
      <c r="E56" s="21" t="n">
        <v>347</v>
      </c>
      <c r="F56" s="52" t="n">
        <f aca="false">IF(E56="","",D56-E56)</f>
        <v>60</v>
      </c>
      <c r="G56" s="21" t="n">
        <v>111</v>
      </c>
      <c r="H56" s="21" t="n">
        <v>147</v>
      </c>
      <c r="I56" s="52" t="n">
        <f aca="false">IF(H56="","",G56-H56)</f>
        <v>-36</v>
      </c>
      <c r="J56" s="39" t="n">
        <f aca="false">IF(OR(D56="",D56+G56=0),"",D56/(D56+G56))</f>
        <v>0.785714285714286</v>
      </c>
      <c r="K56" s="39" t="n">
        <f aca="false">IF(E56="","",E56/(E56+H56))</f>
        <v>0.702429149797571</v>
      </c>
      <c r="L56" s="53" t="n">
        <f aca="false">IF(OR(K56="",J56=""),"",(J56-K56)*100)</f>
        <v>8.32851359167148</v>
      </c>
      <c r="M56" s="38"/>
    </row>
    <row r="57" customFormat="false" ht="15" hidden="false" customHeight="false" outlineLevel="0" collapsed="false">
      <c r="A57" s="38" t="s">
        <v>156</v>
      </c>
      <c r="B57" s="38" t="s">
        <v>158</v>
      </c>
      <c r="C57" s="38" t="s">
        <v>162</v>
      </c>
      <c r="D57" s="21" t="n">
        <v>354</v>
      </c>
      <c r="E57" s="21" t="n">
        <v>314</v>
      </c>
      <c r="F57" s="52" t="n">
        <f aca="false">IF(E57="","",D57-E57)</f>
        <v>40</v>
      </c>
      <c r="G57" s="21" t="n">
        <v>115</v>
      </c>
      <c r="H57" s="21" t="n">
        <v>149</v>
      </c>
      <c r="I57" s="52" t="n">
        <f aca="false">IF(H57="","",G57-H57)</f>
        <v>-34</v>
      </c>
      <c r="J57" s="39" t="n">
        <f aca="false">IF(OR(D57="",D57+G57=0),"",D57/(D57+G57))</f>
        <v>0.754797441364606</v>
      </c>
      <c r="K57" s="39" t="n">
        <f aca="false">IF(E57="","",E57/(E57+H57))</f>
        <v>0.678185745140389</v>
      </c>
      <c r="L57" s="53" t="n">
        <f aca="false">IF(OR(K57="",J57=""),"",(J57-K57)*100)</f>
        <v>7.66116962242168</v>
      </c>
      <c r="M57" s="38"/>
    </row>
    <row r="58" customFormat="false" ht="15" hidden="false" customHeight="false" outlineLevel="0" collapsed="false">
      <c r="A58" s="38" t="s">
        <v>156</v>
      </c>
      <c r="B58" s="38" t="s">
        <v>158</v>
      </c>
      <c r="C58" s="38" t="s">
        <v>163</v>
      </c>
      <c r="D58" s="21" t="n">
        <v>429</v>
      </c>
      <c r="E58" s="21" t="n">
        <v>364</v>
      </c>
      <c r="F58" s="52" t="n">
        <f aca="false">IF(E58="","",D58-E58)</f>
        <v>65</v>
      </c>
      <c r="G58" s="21" t="n">
        <v>120</v>
      </c>
      <c r="H58" s="21" t="n">
        <v>137</v>
      </c>
      <c r="I58" s="52" t="n">
        <f aca="false">IF(H58="","",G58-H58)</f>
        <v>-17</v>
      </c>
      <c r="J58" s="39" t="n">
        <f aca="false">IF(OR(D58="",D58+G58=0),"",D58/(D58+G58))</f>
        <v>0.781420765027322</v>
      </c>
      <c r="K58" s="39" t="n">
        <f aca="false">IF(E58="","",E58/(E58+H58))</f>
        <v>0.726546906187625</v>
      </c>
      <c r="L58" s="53" t="n">
        <f aca="false">IF(OR(K58="",J58=""),"",(J58-K58)*100)</f>
        <v>5.48738588396977</v>
      </c>
      <c r="M58" s="38"/>
    </row>
    <row r="59" customFormat="false" ht="15" hidden="false" customHeight="false" outlineLevel="0" collapsed="false">
      <c r="A59" s="38" t="s">
        <v>156</v>
      </c>
      <c r="B59" s="38" t="s">
        <v>158</v>
      </c>
      <c r="C59" s="38" t="s">
        <v>164</v>
      </c>
      <c r="D59" s="21" t="n">
        <v>485</v>
      </c>
      <c r="E59" s="21" t="n">
        <v>399</v>
      </c>
      <c r="F59" s="52" t="n">
        <f aca="false">IF(E59="","",D59-E59)</f>
        <v>86</v>
      </c>
      <c r="G59" s="21" t="n">
        <v>164</v>
      </c>
      <c r="H59" s="21" t="n">
        <v>171</v>
      </c>
      <c r="I59" s="52" t="n">
        <f aca="false">IF(H59="","",G59-H59)</f>
        <v>-7</v>
      </c>
      <c r="J59" s="39" t="n">
        <f aca="false">IF(OR(D59="",D59+G59=0),"",D59/(D59+G59))</f>
        <v>0.747303543913714</v>
      </c>
      <c r="K59" s="39" t="n">
        <f aca="false">IF(E59="","",E59/(E59+H59))</f>
        <v>0.7</v>
      </c>
      <c r="L59" s="53" t="n">
        <f aca="false">IF(OR(K59="",J59=""),"",(J59-K59)*100)</f>
        <v>4.73035439137135</v>
      </c>
      <c r="M59" s="38"/>
    </row>
    <row r="60" customFormat="false" ht="15" hidden="false" customHeight="false" outlineLevel="0" collapsed="false">
      <c r="A60" s="38" t="s">
        <v>156</v>
      </c>
      <c r="B60" s="38" t="s">
        <v>158</v>
      </c>
      <c r="C60" s="38" t="s">
        <v>165</v>
      </c>
      <c r="D60" s="21" t="n">
        <v>842</v>
      </c>
      <c r="E60" s="21" t="n">
        <v>1034</v>
      </c>
      <c r="F60" s="52" t="n">
        <f aca="false">IF(E60="","",D60-E60)</f>
        <v>-192</v>
      </c>
      <c r="G60" s="21" t="n">
        <v>208</v>
      </c>
      <c r="H60" s="21" t="n">
        <v>285</v>
      </c>
      <c r="I60" s="52" t="n">
        <f aca="false">IF(H60="","",G60-H60)</f>
        <v>-77</v>
      </c>
      <c r="J60" s="39" t="n">
        <f aca="false">IF(OR(D60="",D60+G60=0),"",D60/(D60+G60))</f>
        <v>0.801904761904762</v>
      </c>
      <c r="K60" s="39" t="n">
        <f aca="false">IF(E60="","",E60/(E60+H60))</f>
        <v>0.783927217589083</v>
      </c>
      <c r="L60" s="53" t="n">
        <f aca="false">IF(OR(K60="",J60=""),"",(J60-K60)*100)</f>
        <v>1.79775443156792</v>
      </c>
      <c r="M60" s="38"/>
    </row>
    <row r="61" customFormat="false" ht="15" hidden="false" customHeight="false" outlineLevel="0" collapsed="false">
      <c r="A61" s="38" t="s">
        <v>156</v>
      </c>
      <c r="B61" s="38" t="s">
        <v>158</v>
      </c>
      <c r="C61" s="38" t="s">
        <v>166</v>
      </c>
      <c r="D61" s="21" t="n">
        <v>412</v>
      </c>
      <c r="E61" s="21" t="n">
        <v>377</v>
      </c>
      <c r="F61" s="52" t="n">
        <f aca="false">IF(E61="","",D61-E61)</f>
        <v>35</v>
      </c>
      <c r="G61" s="21" t="n">
        <v>189</v>
      </c>
      <c r="H61" s="21" t="n">
        <v>190</v>
      </c>
      <c r="I61" s="52" t="n">
        <f aca="false">IF(H61="","",G61-H61)</f>
        <v>-1</v>
      </c>
      <c r="J61" s="39" t="n">
        <f aca="false">IF(OR(D61="",D61+G61=0),"",D61/(D61+G61))</f>
        <v>0.685524126455907</v>
      </c>
      <c r="K61" s="39" t="n">
        <f aca="false">IF(E61="","",E61/(E61+H61))</f>
        <v>0.664902998236332</v>
      </c>
      <c r="L61" s="53" t="n">
        <f aca="false">IF(OR(K61="",J61=""),"",(J61-K61)*100)</f>
        <v>2.06211282195752</v>
      </c>
      <c r="M61" s="38"/>
    </row>
    <row r="62" customFormat="false" ht="15" hidden="false" customHeight="false" outlineLevel="0" collapsed="false">
      <c r="A62" s="38" t="s">
        <v>156</v>
      </c>
      <c r="B62" s="38" t="s">
        <v>158</v>
      </c>
      <c r="C62" s="38" t="s">
        <v>167</v>
      </c>
      <c r="D62" s="21" t="n">
        <v>622</v>
      </c>
      <c r="E62" s="21" t="n">
        <v>619</v>
      </c>
      <c r="F62" s="52" t="n">
        <f aca="false">IF(E62="","",D62-E62)</f>
        <v>3</v>
      </c>
      <c r="G62" s="21" t="n">
        <v>379</v>
      </c>
      <c r="H62" s="21" t="n">
        <v>400</v>
      </c>
      <c r="I62" s="52" t="n">
        <f aca="false">IF(H62="","",G62-H62)</f>
        <v>-21</v>
      </c>
      <c r="J62" s="39" t="n">
        <f aca="false">IF(OR(D62="",D62+G62=0),"",D62/(D62+G62))</f>
        <v>0.621378621378621</v>
      </c>
      <c r="K62" s="39" t="n">
        <f aca="false">IF(E62="","",E62/(E62+H62))</f>
        <v>0.607458292443572</v>
      </c>
      <c r="L62" s="53" t="n">
        <f aca="false">IF(OR(K62="",J62=""),"",(J62-K62)*100)</f>
        <v>1.39203289350494</v>
      </c>
      <c r="M62" s="38"/>
    </row>
    <row r="63" customFormat="false" ht="15" hidden="false" customHeight="false" outlineLevel="0" collapsed="false">
      <c r="A63" s="38" t="s">
        <v>156</v>
      </c>
      <c r="B63" s="38" t="s">
        <v>158</v>
      </c>
      <c r="C63" s="38" t="s">
        <v>168</v>
      </c>
      <c r="D63" s="21" t="n">
        <v>444</v>
      </c>
      <c r="E63" s="21" t="n">
        <v>438</v>
      </c>
      <c r="F63" s="52" t="n">
        <f aca="false">IF(E63="","",D63-E63)</f>
        <v>6</v>
      </c>
      <c r="G63" s="21" t="n">
        <v>268</v>
      </c>
      <c r="H63" s="21" t="n">
        <v>259</v>
      </c>
      <c r="I63" s="52" t="n">
        <f aca="false">IF(H63="","",G63-H63)</f>
        <v>9</v>
      </c>
      <c r="J63" s="39" t="n">
        <f aca="false">IF(OR(D63="",D63+G63=0),"",D63/(D63+G63))</f>
        <v>0.623595505617978</v>
      </c>
      <c r="K63" s="39" t="n">
        <f aca="false">IF(E63="","",E63/(E63+H63))</f>
        <v>0.628407460545194</v>
      </c>
      <c r="L63" s="53" t="n">
        <f aca="false">IF(OR(K63="",J63=""),"",(J63-K63)*100)</f>
        <v>-0.48119549272162</v>
      </c>
      <c r="M63" s="38"/>
    </row>
    <row r="64" customFormat="false" ht="15" hidden="false" customHeight="false" outlineLevel="0" collapsed="false">
      <c r="A64" s="38" t="s">
        <v>156</v>
      </c>
      <c r="B64" s="38" t="s">
        <v>158</v>
      </c>
      <c r="C64" s="38" t="s">
        <v>169</v>
      </c>
      <c r="D64" s="21" t="n">
        <v>507</v>
      </c>
      <c r="E64" s="21" t="n">
        <v>428</v>
      </c>
      <c r="F64" s="52" t="n">
        <f aca="false">IF(E64="","",D64-E64)</f>
        <v>79</v>
      </c>
      <c r="G64" s="21" t="n">
        <v>168</v>
      </c>
      <c r="H64" s="21" t="n">
        <v>195</v>
      </c>
      <c r="I64" s="52" t="n">
        <f aca="false">IF(H64="","",G64-H64)</f>
        <v>-27</v>
      </c>
      <c r="J64" s="39" t="n">
        <f aca="false">IF(OR(D64="",D64+G64=0),"",D64/(D64+G64))</f>
        <v>0.751111111111111</v>
      </c>
      <c r="K64" s="39" t="n">
        <f aca="false">IF(E64="","",E64/(E64+H64))</f>
        <v>0.686998394863563</v>
      </c>
      <c r="L64" s="53" t="n">
        <f aca="false">IF(OR(K64="",J64=""),"",(J64-K64)*100)</f>
        <v>6.41127162475477</v>
      </c>
      <c r="M64" s="38"/>
    </row>
    <row r="65" customFormat="false" ht="15" hidden="false" customHeight="false" outlineLevel="0" collapsed="false">
      <c r="A65" s="38" t="s">
        <v>156</v>
      </c>
      <c r="B65" s="38" t="s">
        <v>158</v>
      </c>
      <c r="C65" s="38" t="s">
        <v>170</v>
      </c>
      <c r="D65" s="21" t="n">
        <v>602</v>
      </c>
      <c r="E65" s="21" t="n">
        <v>563</v>
      </c>
      <c r="F65" s="52" t="n">
        <f aca="false">IF(E65="","",D65-E65)</f>
        <v>39</v>
      </c>
      <c r="G65" s="21" t="n">
        <v>288</v>
      </c>
      <c r="H65" s="21" t="n">
        <v>322</v>
      </c>
      <c r="I65" s="52" t="n">
        <f aca="false">IF(H65="","",G65-H65)</f>
        <v>-34</v>
      </c>
      <c r="J65" s="39" t="n">
        <f aca="false">IF(OR(D65="",D65+G65=0),"",D65/(D65+G65))</f>
        <v>0.676404494382022</v>
      </c>
      <c r="K65" s="39" t="n">
        <f aca="false">IF(E65="","",E65/(E65+H65))</f>
        <v>0.636158192090396</v>
      </c>
      <c r="L65" s="53" t="n">
        <f aca="false">IF(OR(K65="",J65=""),"",(J65-K65)*100)</f>
        <v>4.0246302291627</v>
      </c>
      <c r="M65" s="38"/>
    </row>
    <row r="66" customFormat="false" ht="15" hidden="false" customHeight="false" outlineLevel="0" collapsed="false">
      <c r="A66" s="38" t="s">
        <v>156</v>
      </c>
      <c r="B66" s="38" t="s">
        <v>158</v>
      </c>
      <c r="C66" s="38" t="s">
        <v>171</v>
      </c>
      <c r="D66" s="21" t="n">
        <v>425</v>
      </c>
      <c r="E66" s="21" t="n">
        <v>472</v>
      </c>
      <c r="F66" s="52" t="n">
        <f aca="false">IF(E66="","",D66-E66)</f>
        <v>-47</v>
      </c>
      <c r="G66" s="21" t="n">
        <v>248</v>
      </c>
      <c r="H66" s="21" t="n">
        <v>273</v>
      </c>
      <c r="I66" s="52" t="n">
        <f aca="false">IF(H66="","",G66-H66)</f>
        <v>-25</v>
      </c>
      <c r="J66" s="39" t="n">
        <f aca="false">IF(OR(D66="",D66+G66=0),"",D66/(D66+G66))</f>
        <v>0.631500742942051</v>
      </c>
      <c r="K66" s="39" t="n">
        <f aca="false">IF(E66="","",E66/(E66+H66))</f>
        <v>0.633557046979866</v>
      </c>
      <c r="L66" s="53" t="n">
        <f aca="false">IF(OR(K66="",J66=""),"",(J66-K66)*100)</f>
        <v>-0.205630403781532</v>
      </c>
      <c r="M66" s="38"/>
    </row>
    <row r="67" customFormat="false" ht="15" hidden="false" customHeight="false" outlineLevel="0" collapsed="false">
      <c r="A67" s="38" t="s">
        <v>156</v>
      </c>
      <c r="B67" s="38" t="s">
        <v>158</v>
      </c>
      <c r="C67" s="38" t="s">
        <v>172</v>
      </c>
      <c r="D67" s="21" t="n">
        <v>426</v>
      </c>
      <c r="E67" s="21" t="n">
        <v>426</v>
      </c>
      <c r="F67" s="52" t="n">
        <f aca="false">IF(E67="","",D67-E67)</f>
        <v>0</v>
      </c>
      <c r="G67" s="21" t="n">
        <v>320</v>
      </c>
      <c r="H67" s="21" t="n">
        <v>331</v>
      </c>
      <c r="I67" s="52" t="n">
        <f aca="false">IF(H67="","",G67-H67)</f>
        <v>-11</v>
      </c>
      <c r="J67" s="39" t="n">
        <f aca="false">IF(OR(D67="",D67+G67=0),"",D67/(D67+G67))</f>
        <v>0.571045576407507</v>
      </c>
      <c r="K67" s="39" t="n">
        <f aca="false">IF(E67="","",E67/(E67+H67))</f>
        <v>0.562747688243065</v>
      </c>
      <c r="L67" s="53" t="n">
        <f aca="false">IF(OR(K67="",J67=""),"",(J67-K67)*100)</f>
        <v>0.829788816444199</v>
      </c>
      <c r="M67" s="38"/>
    </row>
    <row r="68" customFormat="false" ht="15" hidden="false" customHeight="false" outlineLevel="0" collapsed="false">
      <c r="A68" s="38" t="s">
        <v>156</v>
      </c>
      <c r="B68" s="38" t="s">
        <v>158</v>
      </c>
      <c r="C68" s="38" t="s">
        <v>173</v>
      </c>
      <c r="D68" s="21" t="n">
        <v>473</v>
      </c>
      <c r="E68" s="21" t="n">
        <v>418</v>
      </c>
      <c r="F68" s="52" t="n">
        <f aca="false">IF(E68="","",D68-E68)</f>
        <v>55</v>
      </c>
      <c r="G68" s="21" t="n">
        <v>255</v>
      </c>
      <c r="H68" s="21" t="n">
        <v>278</v>
      </c>
      <c r="I68" s="52" t="n">
        <f aca="false">IF(H68="","",G68-H68)</f>
        <v>-23</v>
      </c>
      <c r="J68" s="39" t="n">
        <f aca="false">IF(OR(D68="",D68+G68=0),"",D68/(D68+G68))</f>
        <v>0.649725274725275</v>
      </c>
      <c r="K68" s="39" t="n">
        <f aca="false">IF(E68="","",E68/(E68+H68))</f>
        <v>0.600574712643678</v>
      </c>
      <c r="L68" s="53" t="n">
        <f aca="false">IF(OR(K68="",J68=""),"",(J68-K68)*100)</f>
        <v>4.91505620815966</v>
      </c>
      <c r="M68" s="38"/>
    </row>
    <row r="69" customFormat="false" ht="15" hidden="false" customHeight="false" outlineLevel="0" collapsed="false">
      <c r="A69" s="38" t="s">
        <v>156</v>
      </c>
      <c r="B69" s="38" t="s">
        <v>158</v>
      </c>
      <c r="C69" s="38" t="s">
        <v>174</v>
      </c>
      <c r="D69" s="21" t="n">
        <v>488</v>
      </c>
      <c r="E69" s="21" t="n">
        <v>424</v>
      </c>
      <c r="F69" s="52" t="n">
        <f aca="false">IF(E69="","",D69-E69)</f>
        <v>64</v>
      </c>
      <c r="G69" s="21" t="n">
        <v>156</v>
      </c>
      <c r="H69" s="21" t="n">
        <v>188</v>
      </c>
      <c r="I69" s="52" t="n">
        <f aca="false">IF(H69="","",G69-H69)</f>
        <v>-32</v>
      </c>
      <c r="J69" s="39" t="n">
        <f aca="false">IF(OR(D69="",D69+G69=0),"",D69/(D69+G69))</f>
        <v>0.75776397515528</v>
      </c>
      <c r="K69" s="39" t="n">
        <f aca="false">IF(E69="","",E69/(E69+H69))</f>
        <v>0.69281045751634</v>
      </c>
      <c r="L69" s="53" t="n">
        <f aca="false">IF(OR(K69="",J69=""),"",(J69-K69)*100)</f>
        <v>6.49535176389396</v>
      </c>
      <c r="M69" s="38"/>
    </row>
    <row r="70" customFormat="false" ht="15" hidden="false" customHeight="false" outlineLevel="0" collapsed="false">
      <c r="A70" s="38" t="s">
        <v>156</v>
      </c>
      <c r="B70" s="38" t="s">
        <v>158</v>
      </c>
      <c r="C70" s="38" t="s">
        <v>175</v>
      </c>
      <c r="D70" s="21" t="n">
        <v>383</v>
      </c>
      <c r="E70" s="21" t="n">
        <v>330</v>
      </c>
      <c r="F70" s="52" t="n">
        <f aca="false">IF(E70="","",D70-E70)</f>
        <v>53</v>
      </c>
      <c r="G70" s="21" t="n">
        <v>151</v>
      </c>
      <c r="H70" s="21" t="n">
        <v>195</v>
      </c>
      <c r="I70" s="52" t="n">
        <f aca="false">IF(H70="","",G70-H70)</f>
        <v>-44</v>
      </c>
      <c r="J70" s="39" t="n">
        <f aca="false">IF(OR(D70="",D70+G70=0),"",D70/(D70+G70))</f>
        <v>0.717228464419476</v>
      </c>
      <c r="K70" s="39" t="n">
        <f aca="false">IF(E70="","",E70/(E70+H70))</f>
        <v>0.628571428571429</v>
      </c>
      <c r="L70" s="53" t="n">
        <f aca="false">IF(OR(K70="",J70=""),"",(J70-K70)*100)</f>
        <v>8.86570358480471</v>
      </c>
      <c r="M70" s="38"/>
    </row>
    <row r="71" customFormat="false" ht="15" hidden="false" customHeight="false" outlineLevel="0" collapsed="false">
      <c r="A71" s="38" t="s">
        <v>156</v>
      </c>
      <c r="B71" s="38" t="s">
        <v>158</v>
      </c>
      <c r="C71" s="38" t="s">
        <v>176</v>
      </c>
      <c r="D71" s="21" t="n">
        <v>458</v>
      </c>
      <c r="E71" s="21" t="n">
        <v>441</v>
      </c>
      <c r="F71" s="52" t="n">
        <f aca="false">IF(E71="","",D71-E71)</f>
        <v>17</v>
      </c>
      <c r="G71" s="21" t="n">
        <v>202</v>
      </c>
      <c r="H71" s="21" t="n">
        <v>232</v>
      </c>
      <c r="I71" s="52" t="n">
        <f aca="false">IF(H71="","",G71-H71)</f>
        <v>-30</v>
      </c>
      <c r="J71" s="39" t="n">
        <f aca="false">IF(OR(D71="",D71+G71=0),"",D71/(D71+G71))</f>
        <v>0.693939393939394</v>
      </c>
      <c r="K71" s="39" t="n">
        <f aca="false">IF(E71="","",E71/(E71+H71))</f>
        <v>0.655274888558692</v>
      </c>
      <c r="L71" s="53" t="n">
        <f aca="false">IF(OR(K71="",J71=""),"",(J71-K71)*100)</f>
        <v>3.86645053807015</v>
      </c>
      <c r="M71" s="38"/>
    </row>
    <row r="72" customFormat="false" ht="15" hidden="false" customHeight="false" outlineLevel="0" collapsed="false">
      <c r="A72" s="38" t="s">
        <v>156</v>
      </c>
      <c r="B72" s="38" t="s">
        <v>158</v>
      </c>
      <c r="C72" s="38" t="s">
        <v>177</v>
      </c>
      <c r="D72" s="21" t="n">
        <v>331</v>
      </c>
      <c r="E72" s="21" t="n">
        <v>313</v>
      </c>
      <c r="F72" s="52" t="n">
        <f aca="false">IF(E72="","",D72-E72)</f>
        <v>18</v>
      </c>
      <c r="G72" s="21" t="n">
        <v>128</v>
      </c>
      <c r="H72" s="21" t="n">
        <v>155</v>
      </c>
      <c r="I72" s="52" t="n">
        <f aca="false">IF(H72="","",G72-H72)</f>
        <v>-27</v>
      </c>
      <c r="J72" s="39" t="n">
        <f aca="false">IF(OR(D72="",D72+G72=0),"",D72/(D72+G72))</f>
        <v>0.721132897603486</v>
      </c>
      <c r="K72" s="39" t="n">
        <f aca="false">IF(E72="","",E72/(E72+H72))</f>
        <v>0.668803418803419</v>
      </c>
      <c r="L72" s="53" t="n">
        <f aca="false">IF(OR(K72="",J72=""),"",(J72-K72)*100)</f>
        <v>5.23294788000671</v>
      </c>
      <c r="M72" s="38"/>
    </row>
    <row r="73" customFormat="false" ht="15" hidden="false" customHeight="false" outlineLevel="0" collapsed="false">
      <c r="A73" s="38" t="s">
        <v>156</v>
      </c>
      <c r="B73" s="38" t="s">
        <v>158</v>
      </c>
      <c r="C73" s="38" t="s">
        <v>178</v>
      </c>
      <c r="D73" s="21" t="n">
        <v>699</v>
      </c>
      <c r="E73" s="21" t="n">
        <v>658</v>
      </c>
      <c r="F73" s="52" t="n">
        <f aca="false">IF(E73="","",D73-E73)</f>
        <v>41</v>
      </c>
      <c r="G73" s="21" t="n">
        <v>353</v>
      </c>
      <c r="H73" s="21" t="n">
        <v>375</v>
      </c>
      <c r="I73" s="52" t="n">
        <f aca="false">IF(H73="","",G73-H73)</f>
        <v>-22</v>
      </c>
      <c r="J73" s="39" t="n">
        <f aca="false">IF(OR(D73="",D73+G73=0),"",D73/(D73+G73))</f>
        <v>0.664448669201521</v>
      </c>
      <c r="K73" s="39" t="n">
        <f aca="false">IF(E73="","",E73/(E73+H73))</f>
        <v>0.636979670861568</v>
      </c>
      <c r="L73" s="53" t="n">
        <f aca="false">IF(OR(K73="",J73=""),"",(J73-K73)*100)</f>
        <v>2.74689983399526</v>
      </c>
      <c r="M73" s="38"/>
    </row>
    <row r="74" customFormat="false" ht="15" hidden="false" customHeight="false" outlineLevel="0" collapsed="false">
      <c r="A74" s="38" t="s">
        <v>156</v>
      </c>
      <c r="B74" s="38" t="s">
        <v>158</v>
      </c>
      <c r="C74" s="38" t="s">
        <v>179</v>
      </c>
      <c r="D74" s="21" t="n">
        <v>791</v>
      </c>
      <c r="E74" s="21" t="n">
        <v>693</v>
      </c>
      <c r="F74" s="52" t="n">
        <f aca="false">IF(E74="","",D74-E74)</f>
        <v>98</v>
      </c>
      <c r="G74" s="21" t="n">
        <v>315</v>
      </c>
      <c r="H74" s="21" t="n">
        <v>389</v>
      </c>
      <c r="I74" s="52" t="n">
        <f aca="false">IF(H74="","",G74-H74)</f>
        <v>-74</v>
      </c>
      <c r="J74" s="39" t="n">
        <f aca="false">IF(OR(D74="",D74+G74=0),"",D74/(D74+G74))</f>
        <v>0.715189873417722</v>
      </c>
      <c r="K74" s="39" t="n">
        <f aca="false">IF(E74="","",E74/(E74+H74))</f>
        <v>0.640480591497227</v>
      </c>
      <c r="L74" s="53" t="n">
        <f aca="false">IF(OR(K74="",J74=""),"",(J74-K74)*100)</f>
        <v>7.47092819204942</v>
      </c>
      <c r="M74" s="38"/>
    </row>
    <row r="75" customFormat="false" ht="15" hidden="false" customHeight="false" outlineLevel="0" collapsed="false">
      <c r="A75" s="38" t="s">
        <v>156</v>
      </c>
      <c r="B75" s="38" t="s">
        <v>158</v>
      </c>
      <c r="C75" s="38" t="s">
        <v>180</v>
      </c>
      <c r="D75" s="21" t="n">
        <v>501</v>
      </c>
      <c r="E75" s="21" t="n">
        <v>446</v>
      </c>
      <c r="F75" s="52" t="n">
        <f aca="false">IF(E75="","",D75-E75)</f>
        <v>55</v>
      </c>
      <c r="G75" s="21" t="n">
        <v>315</v>
      </c>
      <c r="H75" s="21" t="n">
        <v>382</v>
      </c>
      <c r="I75" s="52" t="n">
        <f aca="false">IF(H75="","",G75-H75)</f>
        <v>-67</v>
      </c>
      <c r="J75" s="39" t="n">
        <f aca="false">IF(OR(D75="",D75+G75=0),"",D75/(D75+G75))</f>
        <v>0.613970588235294</v>
      </c>
      <c r="K75" s="39" t="n">
        <f aca="false">IF(E75="","",E75/(E75+H75))</f>
        <v>0.538647342995169</v>
      </c>
      <c r="L75" s="53" t="n">
        <f aca="false">IF(OR(K75="",J75=""),"",(J75-K75)*100)</f>
        <v>7.53232452401251</v>
      </c>
      <c r="M75" s="38"/>
    </row>
    <row r="76" customFormat="false" ht="15" hidden="false" customHeight="false" outlineLevel="0" collapsed="false">
      <c r="A76" s="38" t="s">
        <v>156</v>
      </c>
      <c r="B76" s="38" t="s">
        <v>158</v>
      </c>
      <c r="C76" s="38" t="s">
        <v>181</v>
      </c>
      <c r="D76" s="21" t="n">
        <v>652</v>
      </c>
      <c r="E76" s="21" t="n">
        <v>627</v>
      </c>
      <c r="F76" s="52" t="n">
        <f aca="false">IF(E76="","",D76-E76)</f>
        <v>25</v>
      </c>
      <c r="G76" s="21" t="n">
        <v>359</v>
      </c>
      <c r="H76" s="21" t="n">
        <v>389</v>
      </c>
      <c r="I76" s="52" t="n">
        <f aca="false">IF(H76="","",G76-H76)</f>
        <v>-30</v>
      </c>
      <c r="J76" s="39" t="n">
        <f aca="false">IF(OR(D76="",D76+G76=0),"",D76/(D76+G76))</f>
        <v>0.644906033630069</v>
      </c>
      <c r="K76" s="39" t="n">
        <f aca="false">IF(E76="","",E76/(E76+H76))</f>
        <v>0.617125984251969</v>
      </c>
      <c r="L76" s="53" t="n">
        <f aca="false">IF(OR(K76="",J76=""),"",(J76-K76)*100)</f>
        <v>2.77800493781007</v>
      </c>
      <c r="M76" s="38"/>
    </row>
    <row r="77" customFormat="false" ht="15" hidden="false" customHeight="false" outlineLevel="0" collapsed="false">
      <c r="A77" s="38" t="s">
        <v>156</v>
      </c>
      <c r="B77" s="38" t="s">
        <v>158</v>
      </c>
      <c r="C77" s="38" t="s">
        <v>182</v>
      </c>
      <c r="D77" s="21" t="n">
        <v>681</v>
      </c>
      <c r="E77" s="21" t="n">
        <v>645</v>
      </c>
      <c r="F77" s="52" t="n">
        <f aca="false">IF(E77="","",D77-E77)</f>
        <v>36</v>
      </c>
      <c r="G77" s="21" t="n">
        <v>375</v>
      </c>
      <c r="H77" s="21" t="n">
        <v>418</v>
      </c>
      <c r="I77" s="52" t="n">
        <f aca="false">IF(H77="","",G77-H77)</f>
        <v>-43</v>
      </c>
      <c r="J77" s="39" t="n">
        <f aca="false">IF(OR(D77="",D77+G77=0),"",D77/(D77+G77))</f>
        <v>0.644886363636364</v>
      </c>
      <c r="K77" s="39" t="n">
        <f aca="false">IF(E77="","",E77/(E77+H77))</f>
        <v>0.606773283160865</v>
      </c>
      <c r="L77" s="53" t="n">
        <f aca="false">IF(OR(K77="",J77=""),"",(J77-K77)*100)</f>
        <v>3.81130804754982</v>
      </c>
      <c r="M77" s="38"/>
    </row>
    <row r="78" customFormat="false" ht="15" hidden="false" customHeight="false" outlineLevel="0" collapsed="false">
      <c r="A78" s="38" t="s">
        <v>156</v>
      </c>
      <c r="B78" s="38" t="s">
        <v>158</v>
      </c>
      <c r="C78" s="38" t="s">
        <v>183</v>
      </c>
      <c r="D78" s="21" t="n">
        <v>474</v>
      </c>
      <c r="E78" s="21" t="n">
        <v>452</v>
      </c>
      <c r="F78" s="52" t="n">
        <f aca="false">IF(E78="","",D78-E78)</f>
        <v>22</v>
      </c>
      <c r="G78" s="21" t="n">
        <v>271</v>
      </c>
      <c r="H78" s="21" t="n">
        <v>341</v>
      </c>
      <c r="I78" s="52" t="n">
        <f aca="false">IF(H78="","",G78-H78)</f>
        <v>-70</v>
      </c>
      <c r="J78" s="39" t="n">
        <f aca="false">IF(OR(D78="",D78+G78=0),"",D78/(D78+G78))</f>
        <v>0.636241610738255</v>
      </c>
      <c r="K78" s="39" t="n">
        <f aca="false">IF(E78="","",E78/(E78+H78))</f>
        <v>0.569987389659521</v>
      </c>
      <c r="L78" s="53" t="n">
        <f aca="false">IF(OR(K78="",J78=""),"",(J78-K78)*100)</f>
        <v>6.62542210787342</v>
      </c>
      <c r="M78" s="38"/>
    </row>
    <row r="79" customFormat="false" ht="15" hidden="false" customHeight="false" outlineLevel="0" collapsed="false">
      <c r="A79" s="38" t="s">
        <v>156</v>
      </c>
      <c r="B79" s="38" t="s">
        <v>158</v>
      </c>
      <c r="C79" s="38" t="s">
        <v>184</v>
      </c>
      <c r="D79" s="21" t="n">
        <v>568</v>
      </c>
      <c r="E79" s="21" t="n">
        <v>541</v>
      </c>
      <c r="F79" s="52" t="n">
        <f aca="false">IF(E79="","",D79-E79)</f>
        <v>27</v>
      </c>
      <c r="G79" s="21" t="n">
        <v>310</v>
      </c>
      <c r="H79" s="21" t="n">
        <v>325</v>
      </c>
      <c r="I79" s="52" t="n">
        <f aca="false">IF(H79="","",G79-H79)</f>
        <v>-15</v>
      </c>
      <c r="J79" s="39" t="n">
        <f aca="false">IF(OR(D79="",D79+G79=0),"",D79/(D79+G79))</f>
        <v>0.646924829157175</v>
      </c>
      <c r="K79" s="39" t="n">
        <f aca="false">IF(E79="","",E79/(E79+H79))</f>
        <v>0.624711316397229</v>
      </c>
      <c r="L79" s="53" t="n">
        <f aca="false">IF(OR(K79="",J79=""),"",(J79-K79)*100)</f>
        <v>2.22135127599468</v>
      </c>
      <c r="M79" s="38"/>
    </row>
    <row r="80" customFormat="false" ht="15" hidden="false" customHeight="false" outlineLevel="0" collapsed="false">
      <c r="A80" s="38" t="s">
        <v>156</v>
      </c>
      <c r="B80" s="38" t="s">
        <v>158</v>
      </c>
      <c r="C80" s="38" t="s">
        <v>185</v>
      </c>
      <c r="D80" s="21" t="n">
        <v>813</v>
      </c>
      <c r="E80" s="21" t="n">
        <v>783</v>
      </c>
      <c r="F80" s="52" t="n">
        <f aca="false">IF(E80="","",D80-E80)</f>
        <v>30</v>
      </c>
      <c r="G80" s="21" t="n">
        <v>482</v>
      </c>
      <c r="H80" s="21" t="n">
        <v>562</v>
      </c>
      <c r="I80" s="52" t="n">
        <f aca="false">IF(H80="","",G80-H80)</f>
        <v>-80</v>
      </c>
      <c r="J80" s="39" t="n">
        <f aca="false">IF(OR(D80="",D80+G80=0),"",D80/(D80+G80))</f>
        <v>0.627799227799228</v>
      </c>
      <c r="K80" s="39" t="n">
        <f aca="false">IF(E80="","",E80/(E80+H80))</f>
        <v>0.582156133828996</v>
      </c>
      <c r="L80" s="53" t="n">
        <f aca="false">IF(OR(K80="",J80=""),"",(J80-K80)*100)</f>
        <v>4.56430939702315</v>
      </c>
      <c r="M80" s="38"/>
    </row>
    <row r="81" customFormat="false" ht="15" hidden="false" customHeight="false" outlineLevel="0" collapsed="false">
      <c r="A81" s="38" t="s">
        <v>156</v>
      </c>
      <c r="B81" s="38" t="s">
        <v>158</v>
      </c>
      <c r="C81" s="38" t="s">
        <v>186</v>
      </c>
      <c r="D81" s="21" t="n">
        <v>483</v>
      </c>
      <c r="E81" s="21" t="n">
        <v>454</v>
      </c>
      <c r="F81" s="52" t="n">
        <f aca="false">IF(E81="","",D81-E81)</f>
        <v>29</v>
      </c>
      <c r="G81" s="21" t="n">
        <v>201</v>
      </c>
      <c r="H81" s="21" t="n">
        <v>218</v>
      </c>
      <c r="I81" s="52" t="n">
        <f aca="false">IF(H81="","",G81-H81)</f>
        <v>-17</v>
      </c>
      <c r="J81" s="39" t="n">
        <f aca="false">IF(OR(D81="",D81+G81=0),"",D81/(D81+G81))</f>
        <v>0.706140350877193</v>
      </c>
      <c r="K81" s="39" t="n">
        <f aca="false">IF(E81="","",E81/(E81+H81))</f>
        <v>0.675595238095238</v>
      </c>
      <c r="L81" s="53" t="n">
        <f aca="false">IF(OR(K81="",J81=""),"",(J81-K81)*100)</f>
        <v>3.05451127819548</v>
      </c>
      <c r="M81" s="38"/>
    </row>
    <row r="82" customFormat="false" ht="15" hidden="false" customHeight="false" outlineLevel="0" collapsed="false">
      <c r="A82" s="38" t="s">
        <v>156</v>
      </c>
      <c r="B82" s="38" t="s">
        <v>158</v>
      </c>
      <c r="C82" s="38" t="s">
        <v>187</v>
      </c>
      <c r="D82" s="21" t="n">
        <v>498</v>
      </c>
      <c r="E82" s="21" t="n">
        <v>502</v>
      </c>
      <c r="F82" s="52" t="n">
        <f aca="false">IF(E82="","",D82-E82)</f>
        <v>-4</v>
      </c>
      <c r="G82" s="21" t="n">
        <v>270</v>
      </c>
      <c r="H82" s="21" t="n">
        <v>274</v>
      </c>
      <c r="I82" s="52" t="n">
        <f aca="false">IF(H82="","",G82-H82)</f>
        <v>-4</v>
      </c>
      <c r="J82" s="39" t="n">
        <f aca="false">IF(OR(D82="",D82+G82=0),"",D82/(D82+G82))</f>
        <v>0.6484375</v>
      </c>
      <c r="K82" s="39" t="n">
        <f aca="false">IF(E82="","",E82/(E82+H82))</f>
        <v>0.646907216494845</v>
      </c>
      <c r="L82" s="53" t="n">
        <f aca="false">IF(OR(K82="",J82=""),"",(J82-K82)*100)</f>
        <v>0.153028350515461</v>
      </c>
      <c r="M82" s="38"/>
    </row>
    <row r="83" customFormat="false" ht="15" hidden="false" customHeight="false" outlineLevel="0" collapsed="false">
      <c r="A83" s="38" t="s">
        <v>156</v>
      </c>
      <c r="B83" s="38" t="s">
        <v>158</v>
      </c>
      <c r="C83" s="38" t="s">
        <v>188</v>
      </c>
      <c r="D83" s="21" t="n">
        <v>496</v>
      </c>
      <c r="E83" s="21" t="n">
        <v>502</v>
      </c>
      <c r="F83" s="52" t="n">
        <f aca="false">IF(E83="","",D83-E83)</f>
        <v>-6</v>
      </c>
      <c r="G83" s="21" t="n">
        <v>295</v>
      </c>
      <c r="H83" s="21" t="n">
        <v>283</v>
      </c>
      <c r="I83" s="52" t="n">
        <f aca="false">IF(H83="","",G83-H83)</f>
        <v>12</v>
      </c>
      <c r="J83" s="39" t="n">
        <f aca="false">IF(OR(D83="",D83+G83=0),"",D83/(D83+G83))</f>
        <v>0.627054361567636</v>
      </c>
      <c r="K83" s="39" t="n">
        <f aca="false">IF(E83="","",E83/(E83+H83))</f>
        <v>0.639490445859873</v>
      </c>
      <c r="L83" s="53" t="n">
        <f aca="false">IF(OR(K83="",J83=""),"",(J83-K83)*100)</f>
        <v>-1.24360842922366</v>
      </c>
      <c r="M83" s="38"/>
    </row>
    <row r="84" customFormat="false" ht="15" hidden="false" customHeight="false" outlineLevel="0" collapsed="false">
      <c r="A84" s="38" t="s">
        <v>156</v>
      </c>
      <c r="B84" s="38" t="s">
        <v>158</v>
      </c>
      <c r="C84" s="38" t="s">
        <v>189</v>
      </c>
      <c r="D84" s="21" t="n">
        <v>350</v>
      </c>
      <c r="E84" s="21"/>
      <c r="F84" s="52" t="str">
        <f aca="false">IF(E84="","",D84-E84)</f>
        <v/>
      </c>
      <c r="G84" s="21" t="n">
        <v>242</v>
      </c>
      <c r="H84" s="21"/>
      <c r="I84" s="52" t="str">
        <f aca="false">IF(H84="","",G84-H84)</f>
        <v/>
      </c>
      <c r="J84" s="39" t="n">
        <f aca="false">IF(OR(D84="",D84+G84=0),"",D84/(D84+G84))</f>
        <v>0.591216216216216</v>
      </c>
      <c r="K84" s="39" t="str">
        <f aca="false">IF(E84="","",E84/(E84+H84))</f>
        <v/>
      </c>
      <c r="L84" s="53" t="str">
        <f aca="false">IF(OR(K84="",J84=""),"",(J84-K84)*100)</f>
        <v/>
      </c>
      <c r="M84" s="38" t="s">
        <v>650</v>
      </c>
    </row>
    <row r="85" customFormat="false" ht="15" hidden="false" customHeight="false" outlineLevel="0" collapsed="false">
      <c r="A85" s="38" t="s">
        <v>156</v>
      </c>
      <c r="B85" s="38" t="s">
        <v>158</v>
      </c>
      <c r="C85" s="38" t="s">
        <v>191</v>
      </c>
      <c r="D85" s="21" t="n">
        <v>956</v>
      </c>
      <c r="E85" s="21"/>
      <c r="F85" s="52" t="str">
        <f aca="false">IF(E85="","",D85-E85)</f>
        <v/>
      </c>
      <c r="G85" s="21" t="n">
        <v>652</v>
      </c>
      <c r="H85" s="21"/>
      <c r="I85" s="52" t="str">
        <f aca="false">IF(H85="","",G85-H85)</f>
        <v/>
      </c>
      <c r="J85" s="39" t="n">
        <f aca="false">IF(OR(D85="",D85+G85=0),"",D85/(D85+G85))</f>
        <v>0.59452736318408</v>
      </c>
      <c r="K85" s="39" t="str">
        <f aca="false">IF(E85="","",E85/(E85+H85))</f>
        <v/>
      </c>
      <c r="L85" s="53" t="str">
        <f aca="false">IF(OR(K85="",J85=""),"",(J85-K85)*100)</f>
        <v/>
      </c>
      <c r="M85" s="38" t="s">
        <v>650</v>
      </c>
    </row>
    <row r="86" customFormat="false" ht="15" hidden="false" customHeight="false" outlineLevel="0" collapsed="false">
      <c r="A86" s="38" t="s">
        <v>156</v>
      </c>
      <c r="B86" s="38" t="s">
        <v>158</v>
      </c>
      <c r="C86" s="38" t="s">
        <v>193</v>
      </c>
      <c r="D86" s="21" t="n">
        <v>521</v>
      </c>
      <c r="E86" s="21" t="n">
        <v>488</v>
      </c>
      <c r="F86" s="52" t="n">
        <f aca="false">IF(E86="","",D86-E86)</f>
        <v>33</v>
      </c>
      <c r="G86" s="21" t="n">
        <v>231</v>
      </c>
      <c r="H86" s="21" t="n">
        <v>252</v>
      </c>
      <c r="I86" s="52" t="n">
        <f aca="false">IF(H86="","",G86-H86)</f>
        <v>-21</v>
      </c>
      <c r="J86" s="39" t="n">
        <f aca="false">IF(OR(D86="",D86+G86=0),"",D86/(D86+G86))</f>
        <v>0.69281914893617</v>
      </c>
      <c r="K86" s="39" t="n">
        <f aca="false">IF(E86="","",E86/(E86+H86))</f>
        <v>0.65945945945946</v>
      </c>
      <c r="L86" s="53" t="n">
        <f aca="false">IF(OR(K86="",J86=""),"",(J86-K86)*100)</f>
        <v>3.33596894767108</v>
      </c>
      <c r="M86" s="38"/>
    </row>
    <row r="87" customFormat="false" ht="15" hidden="false" customHeight="false" outlineLevel="0" collapsed="false">
      <c r="A87" s="38" t="s">
        <v>156</v>
      </c>
      <c r="B87" s="38" t="s">
        <v>158</v>
      </c>
      <c r="C87" s="38" t="s">
        <v>194</v>
      </c>
      <c r="D87" s="21" t="n">
        <v>619</v>
      </c>
      <c r="E87" s="21" t="n">
        <v>601</v>
      </c>
      <c r="F87" s="52" t="n">
        <f aca="false">IF(E87="","",D87-E87)</f>
        <v>18</v>
      </c>
      <c r="G87" s="21" t="n">
        <v>370</v>
      </c>
      <c r="H87" s="21" t="n">
        <v>394</v>
      </c>
      <c r="I87" s="52" t="n">
        <f aca="false">IF(H87="","",G87-H87)</f>
        <v>-24</v>
      </c>
      <c r="J87" s="39" t="n">
        <f aca="false">IF(OR(D87="",D87+G87=0),"",D87/(D87+G87))</f>
        <v>0.625884732052578</v>
      </c>
      <c r="K87" s="39" t="n">
        <f aca="false">IF(E87="","",E87/(E87+H87))</f>
        <v>0.604020100502513</v>
      </c>
      <c r="L87" s="53" t="n">
        <f aca="false">IF(OR(K87="",J87=""),"",(J87-K87)*100)</f>
        <v>2.18646315500658</v>
      </c>
      <c r="M87" s="38"/>
    </row>
    <row r="88" customFormat="false" ht="15" hidden="false" customHeight="false" outlineLevel="0" collapsed="false">
      <c r="A88" s="38" t="s">
        <v>156</v>
      </c>
      <c r="B88" s="38" t="s">
        <v>158</v>
      </c>
      <c r="C88" s="38" t="s">
        <v>195</v>
      </c>
      <c r="D88" s="21" t="n">
        <v>18</v>
      </c>
      <c r="E88" s="21"/>
      <c r="F88" s="52" t="str">
        <f aca="false">IF(E88="","",D88-E88)</f>
        <v/>
      </c>
      <c r="G88" s="21" t="n">
        <v>14</v>
      </c>
      <c r="H88" s="21"/>
      <c r="I88" s="52" t="str">
        <f aca="false">IF(H88="","",G88-H88)</f>
        <v/>
      </c>
      <c r="J88" s="39" t="n">
        <f aca="false">IF(OR(D88="",D88+G88=0),"",D88/(D88+G88))</f>
        <v>0.5625</v>
      </c>
      <c r="K88" s="39" t="str">
        <f aca="false">IF(E88="","",E88/(E88+H88))</f>
        <v/>
      </c>
      <c r="L88" s="53" t="str">
        <f aca="false">IF(OR(K88="",J88=""),"",(J88-K88)*100)</f>
        <v/>
      </c>
      <c r="M88" s="38" t="s">
        <v>650</v>
      </c>
    </row>
    <row r="89" customFormat="false" ht="15" hidden="false" customHeight="false" outlineLevel="0" collapsed="false">
      <c r="A89" s="38" t="s">
        <v>156</v>
      </c>
      <c r="B89" s="38" t="s">
        <v>158</v>
      </c>
      <c r="C89" s="38" t="s">
        <v>196</v>
      </c>
      <c r="D89" s="21" t="n">
        <v>344</v>
      </c>
      <c r="E89" s="21" t="n">
        <v>330</v>
      </c>
      <c r="F89" s="52" t="n">
        <f aca="false">IF(E89="","",D89-E89)</f>
        <v>14</v>
      </c>
      <c r="G89" s="21" t="n">
        <v>239</v>
      </c>
      <c r="H89" s="21" t="n">
        <v>270</v>
      </c>
      <c r="I89" s="52" t="n">
        <f aca="false">IF(H89="","",G89-H89)</f>
        <v>-31</v>
      </c>
      <c r="J89" s="39" t="n">
        <f aca="false">IF(OR(D89="",D89+G89=0),"",D89/(D89+G89))</f>
        <v>0.590051457975986</v>
      </c>
      <c r="K89" s="39" t="n">
        <f aca="false">IF(E89="","",E89/(E89+H89))</f>
        <v>0.55</v>
      </c>
      <c r="L89" s="53" t="n">
        <f aca="false">IF(OR(K89="",J89=""),"",(J89-K89)*100)</f>
        <v>4.00514579759862</v>
      </c>
      <c r="M89" s="38"/>
    </row>
    <row r="90" customFormat="false" ht="15" hidden="false" customHeight="false" outlineLevel="0" collapsed="false">
      <c r="A90" s="38" t="s">
        <v>156</v>
      </c>
      <c r="B90" s="38" t="s">
        <v>158</v>
      </c>
      <c r="C90" s="38" t="s">
        <v>197</v>
      </c>
      <c r="D90" s="21" t="n">
        <v>693</v>
      </c>
      <c r="E90" s="21" t="n">
        <v>591</v>
      </c>
      <c r="F90" s="52" t="n">
        <f aca="false">IF(E90="","",D90-E90)</f>
        <v>102</v>
      </c>
      <c r="G90" s="21" t="n">
        <v>274</v>
      </c>
      <c r="H90" s="21" t="n">
        <v>333</v>
      </c>
      <c r="I90" s="52" t="n">
        <f aca="false">IF(H90="","",G90-H90)</f>
        <v>-59</v>
      </c>
      <c r="J90" s="39" t="n">
        <f aca="false">IF(OR(D90="",D90+G90=0),"",D90/(D90+G90))</f>
        <v>0.71664943123061</v>
      </c>
      <c r="K90" s="39" t="n">
        <f aca="false">IF(E90="","",E90/(E90+H90))</f>
        <v>0.63961038961039</v>
      </c>
      <c r="L90" s="53" t="n">
        <f aca="false">IF(OR(K90="",J90=""),"",(J90-K90)*100)</f>
        <v>7.70390416202205</v>
      </c>
      <c r="M90" s="38"/>
    </row>
    <row r="91" customFormat="false" ht="15" hidden="false" customHeight="false" outlineLevel="0" collapsed="false">
      <c r="A91" s="38" t="s">
        <v>156</v>
      </c>
      <c r="B91" s="38" t="s">
        <v>158</v>
      </c>
      <c r="C91" s="38" t="s">
        <v>198</v>
      </c>
      <c r="D91" s="21" t="n">
        <v>354</v>
      </c>
      <c r="E91" s="21" t="n">
        <v>347</v>
      </c>
      <c r="F91" s="52" t="n">
        <f aca="false">IF(E91="","",D91-E91)</f>
        <v>7</v>
      </c>
      <c r="G91" s="21" t="n">
        <v>240</v>
      </c>
      <c r="H91" s="21" t="n">
        <v>243</v>
      </c>
      <c r="I91" s="52" t="n">
        <f aca="false">IF(H91="","",G91-H91)</f>
        <v>-3</v>
      </c>
      <c r="J91" s="39" t="n">
        <f aca="false">IF(OR(D91="",D91+G91=0),"",D91/(D91+G91))</f>
        <v>0.595959595959596</v>
      </c>
      <c r="K91" s="39" t="n">
        <f aca="false">IF(E91="","",E91/(E91+H91))</f>
        <v>0.588135593220339</v>
      </c>
      <c r="L91" s="53" t="n">
        <f aca="false">IF(OR(K91="",J91=""),"",(J91-K91)*100)</f>
        <v>0.782400273925688</v>
      </c>
      <c r="M91" s="38"/>
    </row>
    <row r="92" customFormat="false" ht="15" hidden="false" customHeight="false" outlineLevel="0" collapsed="false">
      <c r="A92" s="38" t="s">
        <v>156</v>
      </c>
      <c r="B92" s="38" t="s">
        <v>158</v>
      </c>
      <c r="C92" s="38" t="s">
        <v>199</v>
      </c>
      <c r="D92" s="21" t="n">
        <v>540</v>
      </c>
      <c r="E92" s="21" t="n">
        <v>440</v>
      </c>
      <c r="F92" s="52" t="n">
        <f aca="false">IF(E92="","",D92-E92)</f>
        <v>100</v>
      </c>
      <c r="G92" s="21" t="n">
        <v>223</v>
      </c>
      <c r="H92" s="21" t="n">
        <v>259</v>
      </c>
      <c r="I92" s="52" t="n">
        <f aca="false">IF(H92="","",G92-H92)</f>
        <v>-36</v>
      </c>
      <c r="J92" s="39" t="n">
        <f aca="false">IF(OR(D92="",D92+G92=0),"",D92/(D92+G92))</f>
        <v>0.707732634338139</v>
      </c>
      <c r="K92" s="39" t="n">
        <f aca="false">IF(E92="","",E92/(E92+H92))</f>
        <v>0.629470672389127</v>
      </c>
      <c r="L92" s="53" t="n">
        <f aca="false">IF(OR(K92="",J92=""),"",(J92-K92)*100)</f>
        <v>7.82619619490116</v>
      </c>
      <c r="M92" s="38"/>
    </row>
    <row r="93" customFormat="false" ht="15" hidden="false" customHeight="false" outlineLevel="0" collapsed="false">
      <c r="A93" s="38" t="s">
        <v>156</v>
      </c>
      <c r="B93" s="38" t="s">
        <v>158</v>
      </c>
      <c r="C93" s="38" t="s">
        <v>200</v>
      </c>
      <c r="D93" s="21" t="n">
        <v>557</v>
      </c>
      <c r="E93" s="21" t="n">
        <v>553</v>
      </c>
      <c r="F93" s="52" t="n">
        <f aca="false">IF(E93="","",D93-E93)</f>
        <v>4</v>
      </c>
      <c r="G93" s="21" t="n">
        <v>369</v>
      </c>
      <c r="H93" s="21" t="n">
        <v>367</v>
      </c>
      <c r="I93" s="52" t="n">
        <f aca="false">IF(H93="","",G93-H93)</f>
        <v>2</v>
      </c>
      <c r="J93" s="39" t="n">
        <f aca="false">IF(OR(D93="",D93+G93=0),"",D93/(D93+G93))</f>
        <v>0.601511879049676</v>
      </c>
      <c r="K93" s="39" t="n">
        <f aca="false">IF(E93="","",E93/(E93+H93))</f>
        <v>0.601086956521739</v>
      </c>
      <c r="L93" s="53" t="n">
        <f aca="false">IF(OR(K93="",J93=""),"",(J93-K93)*100)</f>
        <v>0.0424922527936911</v>
      </c>
      <c r="M93" s="38"/>
    </row>
    <row r="94" customFormat="false" ht="15" hidden="false" customHeight="false" outlineLevel="0" collapsed="false">
      <c r="A94" s="38" t="s">
        <v>156</v>
      </c>
      <c r="B94" s="38" t="s">
        <v>158</v>
      </c>
      <c r="C94" s="38" t="s">
        <v>201</v>
      </c>
      <c r="D94" s="21" t="n">
        <v>1</v>
      </c>
      <c r="E94" s="21"/>
      <c r="F94" s="52" t="str">
        <f aca="false">IF(E94="","",D94-E94)</f>
        <v/>
      </c>
      <c r="G94" s="21" t="n">
        <v>2</v>
      </c>
      <c r="H94" s="21"/>
      <c r="I94" s="52" t="str">
        <f aca="false">IF(H94="","",G94-H94)</f>
        <v/>
      </c>
      <c r="J94" s="39" t="n">
        <f aca="false">IF(OR(D94="",D94+G94=0),"",D94/(D94+G94))</f>
        <v>0.333333333333333</v>
      </c>
      <c r="K94" s="39" t="str">
        <f aca="false">IF(E94="","",E94/(E94+H94))</f>
        <v/>
      </c>
      <c r="L94" s="53" t="str">
        <f aca="false">IF(OR(K94="",J94=""),"",(J94-K94)*100)</f>
        <v/>
      </c>
      <c r="M94" s="38" t="s">
        <v>650</v>
      </c>
    </row>
    <row r="95" customFormat="false" ht="15" hidden="false" customHeight="false" outlineLevel="0" collapsed="false">
      <c r="A95" s="38" t="s">
        <v>156</v>
      </c>
      <c r="B95" s="38" t="s">
        <v>158</v>
      </c>
      <c r="C95" s="38" t="s">
        <v>202</v>
      </c>
      <c r="D95" s="21" t="n">
        <v>893</v>
      </c>
      <c r="E95" s="21" t="n">
        <v>821</v>
      </c>
      <c r="F95" s="52" t="n">
        <f aca="false">IF(E95="","",D95-E95)</f>
        <v>72</v>
      </c>
      <c r="G95" s="21" t="n">
        <v>483</v>
      </c>
      <c r="H95" s="21" t="n">
        <v>504</v>
      </c>
      <c r="I95" s="52" t="n">
        <f aca="false">IF(H95="","",G95-H95)</f>
        <v>-21</v>
      </c>
      <c r="J95" s="39" t="n">
        <f aca="false">IF(OR(D95="",D95+G95=0),"",D95/(D95+G95))</f>
        <v>0.648982558139535</v>
      </c>
      <c r="K95" s="39" t="n">
        <f aca="false">IF(E95="","",E95/(E95+H95))</f>
        <v>0.619622641509434</v>
      </c>
      <c r="L95" s="53" t="n">
        <f aca="false">IF(OR(K95="",J95=""),"",(J95-K95)*100)</f>
        <v>2.9359916630101</v>
      </c>
      <c r="M95" s="38"/>
    </row>
    <row r="96" customFormat="false" ht="15" hidden="false" customHeight="false" outlineLevel="0" collapsed="false">
      <c r="A96" s="38" t="s">
        <v>156</v>
      </c>
      <c r="B96" s="38" t="s">
        <v>158</v>
      </c>
      <c r="C96" s="38" t="s">
        <v>203</v>
      </c>
      <c r="D96" s="21" t="n">
        <v>527</v>
      </c>
      <c r="E96" s="21" t="n">
        <v>487</v>
      </c>
      <c r="F96" s="52" t="n">
        <f aca="false">IF(E96="","",D96-E96)</f>
        <v>40</v>
      </c>
      <c r="G96" s="21" t="n">
        <v>132</v>
      </c>
      <c r="H96" s="21" t="n">
        <v>191</v>
      </c>
      <c r="I96" s="52" t="n">
        <f aca="false">IF(H96="","",G96-H96)</f>
        <v>-59</v>
      </c>
      <c r="J96" s="39" t="n">
        <f aca="false">IF(OR(D96="",D96+G96=0),"",D96/(D96+G96))</f>
        <v>0.799696509863429</v>
      </c>
      <c r="K96" s="39" t="n">
        <f aca="false">IF(E96="","",E96/(E96+H96))</f>
        <v>0.718289085545723</v>
      </c>
      <c r="L96" s="53" t="n">
        <f aca="false">IF(OR(K96="",J96=""),"",(J96-K96)*100)</f>
        <v>8.14074243177068</v>
      </c>
      <c r="M96" s="38"/>
    </row>
    <row r="97" customFormat="false" ht="15" hidden="false" customHeight="false" outlineLevel="0" collapsed="false">
      <c r="A97" s="38" t="s">
        <v>156</v>
      </c>
      <c r="B97" s="38" t="s">
        <v>158</v>
      </c>
      <c r="C97" s="38" t="s">
        <v>204</v>
      </c>
      <c r="D97" s="21" t="n">
        <v>464</v>
      </c>
      <c r="E97" s="21" t="n">
        <v>418</v>
      </c>
      <c r="F97" s="52" t="n">
        <f aca="false">IF(E97="","",D97-E97)</f>
        <v>46</v>
      </c>
      <c r="G97" s="21" t="n">
        <v>132</v>
      </c>
      <c r="H97" s="21" t="n">
        <v>181</v>
      </c>
      <c r="I97" s="52" t="n">
        <f aca="false">IF(H97="","",G97-H97)</f>
        <v>-49</v>
      </c>
      <c r="J97" s="39" t="n">
        <f aca="false">IF(OR(D97="",D97+G97=0),"",D97/(D97+G97))</f>
        <v>0.778523489932886</v>
      </c>
      <c r="K97" s="39" t="n">
        <f aca="false">IF(E97="","",E97/(E97+H97))</f>
        <v>0.697829716193656</v>
      </c>
      <c r="L97" s="53" t="n">
        <f aca="false">IF(OR(K97="",J97=""),"",(J97-K97)*100)</f>
        <v>8.06937737392298</v>
      </c>
      <c r="M97" s="38"/>
    </row>
    <row r="98" customFormat="false" ht="15" hidden="false" customHeight="false" outlineLevel="0" collapsed="false">
      <c r="A98" s="38" t="s">
        <v>156</v>
      </c>
      <c r="B98" s="38" t="s">
        <v>158</v>
      </c>
      <c r="C98" s="38" t="s">
        <v>205</v>
      </c>
      <c r="D98" s="21" t="n">
        <v>550</v>
      </c>
      <c r="E98" s="21" t="n">
        <v>677</v>
      </c>
      <c r="F98" s="52" t="n">
        <f aca="false">IF(E98="","",D98-E98)</f>
        <v>-127</v>
      </c>
      <c r="G98" s="21" t="n">
        <v>145</v>
      </c>
      <c r="H98" s="21" t="n">
        <v>264</v>
      </c>
      <c r="I98" s="52" t="n">
        <f aca="false">IF(H98="","",G98-H98)</f>
        <v>-119</v>
      </c>
      <c r="J98" s="39" t="n">
        <f aca="false">IF(OR(D98="",D98+G98=0),"",D98/(D98+G98))</f>
        <v>0.79136690647482</v>
      </c>
      <c r="K98" s="39" t="n">
        <f aca="false">IF(E98="","",E98/(E98+H98))</f>
        <v>0.719447396386823</v>
      </c>
      <c r="L98" s="53" t="n">
        <f aca="false">IF(OR(K98="",J98=""),"",(J98-K98)*100)</f>
        <v>7.19195100879976</v>
      </c>
      <c r="M98" s="38"/>
    </row>
    <row r="99" customFormat="false" ht="15" hidden="false" customHeight="false" outlineLevel="0" collapsed="false">
      <c r="A99" s="38" t="s">
        <v>156</v>
      </c>
      <c r="B99" s="38" t="s">
        <v>158</v>
      </c>
      <c r="C99" s="38" t="s">
        <v>206</v>
      </c>
      <c r="D99" s="21" t="n">
        <v>316</v>
      </c>
      <c r="E99" s="21" t="n">
        <v>283</v>
      </c>
      <c r="F99" s="52" t="n">
        <f aca="false">IF(E99="","",D99-E99)</f>
        <v>33</v>
      </c>
      <c r="G99" s="21" t="n">
        <v>102</v>
      </c>
      <c r="H99" s="21" t="n">
        <v>138</v>
      </c>
      <c r="I99" s="52" t="n">
        <f aca="false">IF(H99="","",G99-H99)</f>
        <v>-36</v>
      </c>
      <c r="J99" s="39" t="n">
        <f aca="false">IF(OR(D99="",D99+G99=0),"",D99/(D99+G99))</f>
        <v>0.755980861244019</v>
      </c>
      <c r="K99" s="39" t="n">
        <f aca="false">IF(E99="","",E99/(E99+H99))</f>
        <v>0.672209026128266</v>
      </c>
      <c r="L99" s="53" t="n">
        <f aca="false">IF(OR(K99="",J99=""),"",(J99-K99)*100)</f>
        <v>8.3771835115753</v>
      </c>
      <c r="M99" s="38"/>
    </row>
    <row r="100" customFormat="false" ht="15" hidden="false" customHeight="false" outlineLevel="0" collapsed="false">
      <c r="A100" s="38" t="s">
        <v>156</v>
      </c>
      <c r="B100" s="38" t="s">
        <v>158</v>
      </c>
      <c r="C100" s="38" t="s">
        <v>207</v>
      </c>
      <c r="D100" s="21" t="n">
        <v>431</v>
      </c>
      <c r="E100" s="21" t="n">
        <v>447</v>
      </c>
      <c r="F100" s="52" t="n">
        <f aca="false">IF(E100="","",D100-E100)</f>
        <v>-16</v>
      </c>
      <c r="G100" s="21" t="n">
        <v>109</v>
      </c>
      <c r="H100" s="21" t="n">
        <v>152</v>
      </c>
      <c r="I100" s="52" t="n">
        <f aca="false">IF(H100="","",G100-H100)</f>
        <v>-43</v>
      </c>
      <c r="J100" s="39" t="n">
        <f aca="false">IF(OR(D100="",D100+G100=0),"",D100/(D100+G100))</f>
        <v>0.798148148148148</v>
      </c>
      <c r="K100" s="39" t="n">
        <f aca="false">IF(E100="","",E100/(E100+H100))</f>
        <v>0.746243739565943</v>
      </c>
      <c r="L100" s="53" t="n">
        <f aca="false">IF(OR(K100="",J100=""),"",(J100-K100)*100)</f>
        <v>5.19044085822049</v>
      </c>
      <c r="M100" s="38"/>
    </row>
    <row r="101" customFormat="false" ht="15" hidden="false" customHeight="false" outlineLevel="0" collapsed="false">
      <c r="A101" s="38" t="s">
        <v>156</v>
      </c>
      <c r="B101" s="38" t="s">
        <v>158</v>
      </c>
      <c r="C101" s="38" t="s">
        <v>208</v>
      </c>
      <c r="D101" s="21" t="n">
        <v>254</v>
      </c>
      <c r="E101" s="21" t="n">
        <v>179</v>
      </c>
      <c r="F101" s="52" t="n">
        <f aca="false">IF(E101="","",D101-E101)</f>
        <v>75</v>
      </c>
      <c r="G101" s="21" t="n">
        <v>76</v>
      </c>
      <c r="H101" s="21" t="n">
        <v>112</v>
      </c>
      <c r="I101" s="52" t="n">
        <f aca="false">IF(H101="","",G101-H101)</f>
        <v>-36</v>
      </c>
      <c r="J101" s="39" t="n">
        <f aca="false">IF(OR(D101="",D101+G101=0),"",D101/(D101+G101))</f>
        <v>0.76969696969697</v>
      </c>
      <c r="K101" s="39" t="n">
        <f aca="false">IF(E101="","",E101/(E101+H101))</f>
        <v>0.615120274914089</v>
      </c>
      <c r="L101" s="53" t="n">
        <f aca="false">IF(OR(K101="",J101=""),"",(J101-K101)*100)</f>
        <v>15.457669478288</v>
      </c>
      <c r="M101" s="38"/>
    </row>
    <row r="102" customFormat="false" ht="15" hidden="false" customHeight="false" outlineLevel="0" collapsed="false">
      <c r="A102" s="38" t="s">
        <v>156</v>
      </c>
      <c r="B102" s="38" t="s">
        <v>158</v>
      </c>
      <c r="C102" s="38" t="s">
        <v>209</v>
      </c>
      <c r="D102" s="21" t="n">
        <v>401</v>
      </c>
      <c r="E102" s="21" t="n">
        <v>357</v>
      </c>
      <c r="F102" s="52" t="n">
        <f aca="false">IF(E102="","",D102-E102)</f>
        <v>44</v>
      </c>
      <c r="G102" s="21" t="n">
        <v>153</v>
      </c>
      <c r="H102" s="21" t="n">
        <v>225</v>
      </c>
      <c r="I102" s="52" t="n">
        <f aca="false">IF(H102="","",G102-H102)</f>
        <v>-72</v>
      </c>
      <c r="J102" s="39" t="n">
        <f aca="false">IF(OR(D102="",D102+G102=0),"",D102/(D102+G102))</f>
        <v>0.723826714801444</v>
      </c>
      <c r="K102" s="39" t="n">
        <f aca="false">IF(E102="","",E102/(E102+H102))</f>
        <v>0.61340206185567</v>
      </c>
      <c r="L102" s="53" t="n">
        <f aca="false">IF(OR(K102="",J102=""),"",(J102-K102)*100)</f>
        <v>11.0424652945774</v>
      </c>
      <c r="M102" s="38"/>
    </row>
    <row r="103" customFormat="false" ht="15" hidden="false" customHeight="false" outlineLevel="0" collapsed="false">
      <c r="A103" s="38" t="s">
        <v>156</v>
      </c>
      <c r="B103" s="38" t="s">
        <v>158</v>
      </c>
      <c r="C103" s="38" t="s">
        <v>210</v>
      </c>
      <c r="D103" s="21" t="n">
        <v>633</v>
      </c>
      <c r="E103" s="21" t="n">
        <v>520</v>
      </c>
      <c r="F103" s="52" t="n">
        <f aca="false">IF(E103="","",D103-E103)</f>
        <v>113</v>
      </c>
      <c r="G103" s="21" t="n">
        <v>179</v>
      </c>
      <c r="H103" s="21" t="n">
        <v>193</v>
      </c>
      <c r="I103" s="52" t="n">
        <f aca="false">IF(H103="","",G103-H103)</f>
        <v>-14</v>
      </c>
      <c r="J103" s="39" t="n">
        <f aca="false">IF(OR(D103="",D103+G103=0),"",D103/(D103+G103))</f>
        <v>0.779556650246305</v>
      </c>
      <c r="K103" s="39" t="n">
        <f aca="false">IF(E103="","",E103/(E103+H103))</f>
        <v>0.729312762973352</v>
      </c>
      <c r="L103" s="53" t="n">
        <f aca="false">IF(OR(K103="",J103=""),"",(J103-K103)*100)</f>
        <v>5.02438872729534</v>
      </c>
      <c r="M103" s="38"/>
    </row>
    <row r="104" customFormat="false" ht="15" hidden="false" customHeight="false" outlineLevel="0" collapsed="false">
      <c r="A104" s="38" t="s">
        <v>156</v>
      </c>
      <c r="B104" s="38" t="s">
        <v>158</v>
      </c>
      <c r="C104" s="38" t="s">
        <v>211</v>
      </c>
      <c r="D104" s="21" t="n">
        <v>241</v>
      </c>
      <c r="E104" s="21" t="n">
        <v>218</v>
      </c>
      <c r="F104" s="52" t="n">
        <f aca="false">IF(E104="","",D104-E104)</f>
        <v>23</v>
      </c>
      <c r="G104" s="21" t="n">
        <v>65</v>
      </c>
      <c r="H104" s="21" t="n">
        <v>86</v>
      </c>
      <c r="I104" s="52" t="n">
        <f aca="false">IF(H104="","",G104-H104)</f>
        <v>-21</v>
      </c>
      <c r="J104" s="39" t="n">
        <f aca="false">IF(OR(D104="",D104+G104=0),"",D104/(D104+G104))</f>
        <v>0.787581699346405</v>
      </c>
      <c r="K104" s="39" t="n">
        <f aca="false">IF(E104="","",E104/(E104+H104))</f>
        <v>0.717105263157895</v>
      </c>
      <c r="L104" s="53" t="n">
        <f aca="false">IF(OR(K104="",J104=""),"",(J104-K104)*100)</f>
        <v>7.04764361885105</v>
      </c>
      <c r="M104" s="38"/>
    </row>
    <row r="105" customFormat="false" ht="15" hidden="false" customHeight="false" outlineLevel="0" collapsed="false">
      <c r="A105" s="38" t="s">
        <v>156</v>
      </c>
      <c r="B105" s="38" t="s">
        <v>158</v>
      </c>
      <c r="C105" s="38" t="s">
        <v>212</v>
      </c>
      <c r="D105" s="21" t="n">
        <v>298</v>
      </c>
      <c r="E105" s="21" t="n">
        <v>262</v>
      </c>
      <c r="F105" s="52" t="n">
        <f aca="false">IF(E105="","",D105-E105)</f>
        <v>36</v>
      </c>
      <c r="G105" s="21" t="n">
        <v>77</v>
      </c>
      <c r="H105" s="21" t="n">
        <v>109</v>
      </c>
      <c r="I105" s="52" t="n">
        <f aca="false">IF(H105="","",G105-H105)</f>
        <v>-32</v>
      </c>
      <c r="J105" s="39" t="n">
        <f aca="false">IF(OR(D105="",D105+G105=0),"",D105/(D105+G105))</f>
        <v>0.794666666666667</v>
      </c>
      <c r="K105" s="39" t="n">
        <f aca="false">IF(E105="","",E105/(E105+H105))</f>
        <v>0.706199460916442</v>
      </c>
      <c r="L105" s="53" t="n">
        <f aca="false">IF(OR(K105="",J105=""),"",(J105-K105)*100)</f>
        <v>8.84672057502246</v>
      </c>
      <c r="M105" s="38"/>
    </row>
    <row r="106" customFormat="false" ht="15" hidden="false" customHeight="false" outlineLevel="0" collapsed="false">
      <c r="A106" s="38" t="s">
        <v>156</v>
      </c>
      <c r="B106" s="38" t="s">
        <v>158</v>
      </c>
      <c r="C106" s="38" t="s">
        <v>213</v>
      </c>
      <c r="D106" s="21" t="n">
        <v>489</v>
      </c>
      <c r="E106" s="21" t="n">
        <v>424</v>
      </c>
      <c r="F106" s="52" t="n">
        <f aca="false">IF(E106="","",D106-E106)</f>
        <v>65</v>
      </c>
      <c r="G106" s="21" t="n">
        <v>132</v>
      </c>
      <c r="H106" s="21" t="n">
        <v>151</v>
      </c>
      <c r="I106" s="52" t="n">
        <f aca="false">IF(H106="","",G106-H106)</f>
        <v>-19</v>
      </c>
      <c r="J106" s="39" t="n">
        <f aca="false">IF(OR(D106="",D106+G106=0),"",D106/(D106+G106))</f>
        <v>0.78743961352657</v>
      </c>
      <c r="K106" s="39" t="n">
        <f aca="false">IF(E106="","",E106/(E106+H106))</f>
        <v>0.737391304347826</v>
      </c>
      <c r="L106" s="53" t="n">
        <f aca="false">IF(OR(K106="",J106=""),"",(J106-K106)*100)</f>
        <v>5.0048309178744</v>
      </c>
      <c r="M106" s="38"/>
    </row>
    <row r="107" customFormat="false" ht="15" hidden="false" customHeight="false" outlineLevel="0" collapsed="false">
      <c r="A107" s="38" t="s">
        <v>156</v>
      </c>
      <c r="B107" s="38" t="s">
        <v>158</v>
      </c>
      <c r="C107" s="38" t="s">
        <v>214</v>
      </c>
      <c r="D107" s="21" t="n">
        <v>561</v>
      </c>
      <c r="E107" s="21" t="n">
        <v>565</v>
      </c>
      <c r="F107" s="52" t="n">
        <f aca="false">IF(E107="","",D107-E107)</f>
        <v>-4</v>
      </c>
      <c r="G107" s="21" t="n">
        <v>253</v>
      </c>
      <c r="H107" s="21" t="n">
        <v>277</v>
      </c>
      <c r="I107" s="52" t="n">
        <f aca="false">IF(H107="","",G107-H107)</f>
        <v>-24</v>
      </c>
      <c r="J107" s="39" t="n">
        <f aca="false">IF(OR(D107="",D107+G107=0),"",D107/(D107+G107))</f>
        <v>0.689189189189189</v>
      </c>
      <c r="K107" s="39" t="n">
        <f aca="false">IF(E107="","",E107/(E107+H107))</f>
        <v>0.671021377672209</v>
      </c>
      <c r="L107" s="53" t="n">
        <f aca="false">IF(OR(K107="",J107=""),"",(J107-K107)*100)</f>
        <v>1.81678115169801</v>
      </c>
      <c r="M107" s="38"/>
    </row>
    <row r="108" customFormat="false" ht="15" hidden="false" customHeight="false" outlineLevel="0" collapsed="false">
      <c r="A108" s="38" t="s">
        <v>156</v>
      </c>
      <c r="B108" s="38" t="s">
        <v>158</v>
      </c>
      <c r="C108" s="38" t="s">
        <v>215</v>
      </c>
      <c r="D108" s="21" t="n">
        <v>257</v>
      </c>
      <c r="E108" s="21" t="n">
        <v>260</v>
      </c>
      <c r="F108" s="52" t="n">
        <f aca="false">IF(E108="","",D108-E108)</f>
        <v>-3</v>
      </c>
      <c r="G108" s="21" t="n">
        <v>95</v>
      </c>
      <c r="H108" s="21" t="n">
        <v>121</v>
      </c>
      <c r="I108" s="52" t="n">
        <f aca="false">IF(H108="","",G108-H108)</f>
        <v>-26</v>
      </c>
      <c r="J108" s="39" t="n">
        <f aca="false">IF(OR(D108="",D108+G108=0),"",D108/(D108+G108))</f>
        <v>0.730113636363636</v>
      </c>
      <c r="K108" s="39" t="n">
        <f aca="false">IF(E108="","",E108/(E108+H108))</f>
        <v>0.68241469816273</v>
      </c>
      <c r="L108" s="53" t="n">
        <f aca="false">IF(OR(K108="",J108=""),"",(J108-K108)*100)</f>
        <v>4.76989382009067</v>
      </c>
      <c r="M108" s="38"/>
    </row>
    <row r="109" customFormat="false" ht="15" hidden="false" customHeight="false" outlineLevel="0" collapsed="false">
      <c r="A109" s="38" t="s">
        <v>156</v>
      </c>
      <c r="B109" s="38" t="s">
        <v>158</v>
      </c>
      <c r="C109" s="38" t="s">
        <v>216</v>
      </c>
      <c r="D109" s="21" t="n">
        <v>384</v>
      </c>
      <c r="E109" s="21" t="n">
        <v>317</v>
      </c>
      <c r="F109" s="52" t="n">
        <f aca="false">IF(E109="","",D109-E109)</f>
        <v>67</v>
      </c>
      <c r="G109" s="21" t="n">
        <v>113</v>
      </c>
      <c r="H109" s="21" t="n">
        <v>152</v>
      </c>
      <c r="I109" s="52" t="n">
        <f aca="false">IF(H109="","",G109-H109)</f>
        <v>-39</v>
      </c>
      <c r="J109" s="39" t="n">
        <f aca="false">IF(OR(D109="",D109+G109=0),"",D109/(D109+G109))</f>
        <v>0.772635814889336</v>
      </c>
      <c r="K109" s="39" t="n">
        <f aca="false">IF(E109="","",E109/(E109+H109))</f>
        <v>0.67590618336887</v>
      </c>
      <c r="L109" s="53" t="n">
        <f aca="false">IF(OR(K109="",J109=""),"",(J109-K109)*100)</f>
        <v>9.6729631520466</v>
      </c>
      <c r="M109" s="38"/>
    </row>
    <row r="110" customFormat="false" ht="15" hidden="false" customHeight="false" outlineLevel="0" collapsed="false">
      <c r="A110" s="38" t="s">
        <v>156</v>
      </c>
      <c r="B110" s="38" t="s">
        <v>158</v>
      </c>
      <c r="C110" s="38" t="s">
        <v>217</v>
      </c>
      <c r="D110" s="21" t="n">
        <v>457</v>
      </c>
      <c r="E110" s="21" t="n">
        <v>424</v>
      </c>
      <c r="F110" s="52" t="n">
        <f aca="false">IF(E110="","",D110-E110)</f>
        <v>33</v>
      </c>
      <c r="G110" s="21" t="n">
        <v>253</v>
      </c>
      <c r="H110" s="21" t="n">
        <v>264</v>
      </c>
      <c r="I110" s="52" t="n">
        <f aca="false">IF(H110="","",G110-H110)</f>
        <v>-11</v>
      </c>
      <c r="J110" s="39" t="n">
        <f aca="false">IF(OR(D110="",D110+G110=0),"",D110/(D110+G110))</f>
        <v>0.643661971830986</v>
      </c>
      <c r="K110" s="39" t="n">
        <f aca="false">IF(E110="","",E110/(E110+H110))</f>
        <v>0.616279069767442</v>
      </c>
      <c r="L110" s="53" t="n">
        <f aca="false">IF(OR(K110="",J110=""),"",(J110-K110)*100)</f>
        <v>2.73829020635441</v>
      </c>
      <c r="M110" s="38"/>
    </row>
    <row r="111" customFormat="false" ht="15" hidden="false" customHeight="false" outlineLevel="0" collapsed="false">
      <c r="A111" s="38" t="s">
        <v>156</v>
      </c>
      <c r="B111" s="38" t="s">
        <v>158</v>
      </c>
      <c r="C111" s="38" t="s">
        <v>218</v>
      </c>
      <c r="D111" s="21" t="n">
        <v>478</v>
      </c>
      <c r="E111" s="21" t="n">
        <v>469</v>
      </c>
      <c r="F111" s="52" t="n">
        <f aca="false">IF(E111="","",D111-E111)</f>
        <v>9</v>
      </c>
      <c r="G111" s="21" t="n">
        <v>132</v>
      </c>
      <c r="H111" s="21" t="n">
        <v>215</v>
      </c>
      <c r="I111" s="52" t="n">
        <f aca="false">IF(H111="","",G111-H111)</f>
        <v>-83</v>
      </c>
      <c r="J111" s="39" t="n">
        <f aca="false">IF(OR(D111="",D111+G111=0),"",D111/(D111+G111))</f>
        <v>0.783606557377049</v>
      </c>
      <c r="K111" s="39" t="n">
        <f aca="false">IF(E111="","",E111/(E111+H111))</f>
        <v>0.685672514619883</v>
      </c>
      <c r="L111" s="53" t="n">
        <f aca="false">IF(OR(K111="",J111=""),"",(J111-K111)*100)</f>
        <v>9.79340427571662</v>
      </c>
      <c r="M111" s="38"/>
    </row>
    <row r="112" customFormat="false" ht="15" hidden="false" customHeight="false" outlineLevel="0" collapsed="false">
      <c r="A112" s="38" t="s">
        <v>156</v>
      </c>
      <c r="B112" s="38" t="s">
        <v>219</v>
      </c>
      <c r="C112" s="38" t="s">
        <v>220</v>
      </c>
      <c r="D112" s="21" t="n">
        <v>613</v>
      </c>
      <c r="E112" s="21" t="n">
        <v>598</v>
      </c>
      <c r="F112" s="52" t="n">
        <f aca="false">IF(E112="","",D112-E112)</f>
        <v>15</v>
      </c>
      <c r="G112" s="21" t="n">
        <v>212</v>
      </c>
      <c r="H112" s="21" t="n">
        <v>253</v>
      </c>
      <c r="I112" s="52" t="n">
        <f aca="false">IF(H112="","",G112-H112)</f>
        <v>-41</v>
      </c>
      <c r="J112" s="39" t="n">
        <f aca="false">IF(OR(D112="",D112+G112=0),"",D112/(D112+G112))</f>
        <v>0.743030303030303</v>
      </c>
      <c r="K112" s="39" t="n">
        <f aca="false">IF(E112="","",E112/(E112+H112))</f>
        <v>0.702702702702703</v>
      </c>
      <c r="L112" s="53" t="n">
        <f aca="false">IF(OR(K112="",J112=""),"",(J112-K112)*100)</f>
        <v>4.03276003276003</v>
      </c>
      <c r="M112" s="38"/>
    </row>
    <row r="113" customFormat="false" ht="15" hidden="false" customHeight="false" outlineLevel="0" collapsed="false">
      <c r="A113" s="38" t="s">
        <v>156</v>
      </c>
      <c r="B113" s="38" t="s">
        <v>219</v>
      </c>
      <c r="C113" s="38" t="s">
        <v>221</v>
      </c>
      <c r="D113" s="21" t="n">
        <v>445</v>
      </c>
      <c r="E113" s="21" t="n">
        <v>420</v>
      </c>
      <c r="F113" s="52" t="n">
        <f aca="false">IF(E113="","",D113-E113)</f>
        <v>25</v>
      </c>
      <c r="G113" s="21" t="n">
        <v>186</v>
      </c>
      <c r="H113" s="21" t="n">
        <v>214</v>
      </c>
      <c r="I113" s="52" t="n">
        <f aca="false">IF(H113="","",G113-H113)</f>
        <v>-28</v>
      </c>
      <c r="J113" s="39" t="n">
        <f aca="false">IF(OR(D113="",D113+G113=0),"",D113/(D113+G113))</f>
        <v>0.705229793977813</v>
      </c>
      <c r="K113" s="39" t="n">
        <f aca="false">IF(E113="","",E113/(E113+H113))</f>
        <v>0.662460567823344</v>
      </c>
      <c r="L113" s="53" t="n">
        <f aca="false">IF(OR(K113="",J113=""),"",(J113-K113)*100)</f>
        <v>4.27692261544692</v>
      </c>
      <c r="M113" s="38"/>
    </row>
    <row r="114" customFormat="false" ht="15" hidden="false" customHeight="false" outlineLevel="0" collapsed="false">
      <c r="A114" s="38" t="s">
        <v>156</v>
      </c>
      <c r="B114" s="38" t="s">
        <v>219</v>
      </c>
      <c r="C114" s="38" t="s">
        <v>222</v>
      </c>
      <c r="D114" s="21" t="n">
        <v>460</v>
      </c>
      <c r="E114" s="21" t="n">
        <v>438</v>
      </c>
      <c r="F114" s="52" t="n">
        <f aca="false">IF(E114="","",D114-E114)</f>
        <v>22</v>
      </c>
      <c r="G114" s="21" t="n">
        <v>153</v>
      </c>
      <c r="H114" s="21" t="n">
        <v>176</v>
      </c>
      <c r="I114" s="52" t="n">
        <f aca="false">IF(H114="","",G114-H114)</f>
        <v>-23</v>
      </c>
      <c r="J114" s="39" t="n">
        <f aca="false">IF(OR(D114="",D114+G114=0),"",D114/(D114+G114))</f>
        <v>0.750407830342578</v>
      </c>
      <c r="K114" s="39" t="n">
        <f aca="false">IF(E114="","",E114/(E114+H114))</f>
        <v>0.713355048859935</v>
      </c>
      <c r="L114" s="53" t="n">
        <f aca="false">IF(OR(K114="",J114=""),"",(J114-K114)*100)</f>
        <v>3.70527814826427</v>
      </c>
      <c r="M114" s="38"/>
    </row>
    <row r="115" customFormat="false" ht="15" hidden="false" customHeight="false" outlineLevel="0" collapsed="false">
      <c r="A115" s="38" t="s">
        <v>156</v>
      </c>
      <c r="B115" s="38" t="s">
        <v>219</v>
      </c>
      <c r="C115" s="38" t="s">
        <v>223</v>
      </c>
      <c r="D115" s="21" t="n">
        <v>493</v>
      </c>
      <c r="E115" s="21" t="n">
        <v>463</v>
      </c>
      <c r="F115" s="52" t="n">
        <f aca="false">IF(E115="","",D115-E115)</f>
        <v>30</v>
      </c>
      <c r="G115" s="21" t="n">
        <v>189</v>
      </c>
      <c r="H115" s="21" t="n">
        <v>219</v>
      </c>
      <c r="I115" s="52" t="n">
        <f aca="false">IF(H115="","",G115-H115)</f>
        <v>-30</v>
      </c>
      <c r="J115" s="39" t="n">
        <f aca="false">IF(OR(D115="",D115+G115=0),"",D115/(D115+G115))</f>
        <v>0.722873900293255</v>
      </c>
      <c r="K115" s="39" t="n">
        <f aca="false">IF(E115="","",E115/(E115+H115))</f>
        <v>0.678885630498534</v>
      </c>
      <c r="L115" s="53" t="n">
        <f aca="false">IF(OR(K115="",J115=""),"",(J115-K115)*100)</f>
        <v>4.39882697947215</v>
      </c>
      <c r="M115" s="38"/>
    </row>
    <row r="116" customFormat="false" ht="15" hidden="false" customHeight="false" outlineLevel="0" collapsed="false">
      <c r="A116" s="38" t="s">
        <v>156</v>
      </c>
      <c r="B116" s="38" t="s">
        <v>219</v>
      </c>
      <c r="C116" s="38" t="s">
        <v>224</v>
      </c>
      <c r="D116" s="21" t="n">
        <v>812</v>
      </c>
      <c r="E116" s="21" t="n">
        <v>782</v>
      </c>
      <c r="F116" s="52" t="n">
        <f aca="false">IF(E116="","",D116-E116)</f>
        <v>30</v>
      </c>
      <c r="G116" s="21" t="n">
        <v>418</v>
      </c>
      <c r="H116" s="21" t="n">
        <v>404</v>
      </c>
      <c r="I116" s="52" t="n">
        <f aca="false">IF(H116="","",G116-H116)</f>
        <v>14</v>
      </c>
      <c r="J116" s="39" t="n">
        <f aca="false">IF(OR(D116="",D116+G116=0),"",D116/(D116+G116))</f>
        <v>0.660162601626016</v>
      </c>
      <c r="K116" s="39" t="n">
        <f aca="false">IF(E116="","",E116/(E116+H116))</f>
        <v>0.659359190556492</v>
      </c>
      <c r="L116" s="53" t="n">
        <f aca="false">IF(OR(K116="",J116=""),"",(J116-K116)*100)</f>
        <v>0.0803411069523863</v>
      </c>
      <c r="M116" s="38"/>
    </row>
    <row r="117" customFormat="false" ht="15" hidden="false" customHeight="false" outlineLevel="0" collapsed="false">
      <c r="A117" s="38" t="s">
        <v>156</v>
      </c>
      <c r="B117" s="38" t="s">
        <v>219</v>
      </c>
      <c r="C117" s="38" t="s">
        <v>225</v>
      </c>
      <c r="D117" s="21" t="n">
        <v>519</v>
      </c>
      <c r="E117" s="21" t="n">
        <v>503</v>
      </c>
      <c r="F117" s="52" t="n">
        <f aca="false">IF(E117="","",D117-E117)</f>
        <v>16</v>
      </c>
      <c r="G117" s="21" t="n">
        <v>288</v>
      </c>
      <c r="H117" s="21" t="n">
        <v>318</v>
      </c>
      <c r="I117" s="52" t="n">
        <f aca="false">IF(H117="","",G117-H117)</f>
        <v>-30</v>
      </c>
      <c r="J117" s="39" t="n">
        <f aca="false">IF(OR(D117="",D117+G117=0),"",D117/(D117+G117))</f>
        <v>0.643122676579926</v>
      </c>
      <c r="K117" s="39" t="n">
        <f aca="false">IF(E117="","",E117/(E117+H117))</f>
        <v>0.612667478684531</v>
      </c>
      <c r="L117" s="53" t="n">
        <f aca="false">IF(OR(K117="",J117=""),"",(J117-K117)*100)</f>
        <v>3.04551978953945</v>
      </c>
      <c r="M117" s="38"/>
    </row>
    <row r="118" customFormat="false" ht="15" hidden="false" customHeight="false" outlineLevel="0" collapsed="false">
      <c r="A118" s="38" t="s">
        <v>156</v>
      </c>
      <c r="B118" s="38" t="s">
        <v>219</v>
      </c>
      <c r="C118" s="38" t="s">
        <v>226</v>
      </c>
      <c r="D118" s="21" t="n">
        <v>614</v>
      </c>
      <c r="E118" s="21" t="n">
        <v>597</v>
      </c>
      <c r="F118" s="52" t="n">
        <f aca="false">IF(E118="","",D118-E118)</f>
        <v>17</v>
      </c>
      <c r="G118" s="21" t="n">
        <v>418</v>
      </c>
      <c r="H118" s="21" t="n">
        <v>396</v>
      </c>
      <c r="I118" s="52" t="n">
        <f aca="false">IF(H118="","",G118-H118)</f>
        <v>22</v>
      </c>
      <c r="J118" s="39" t="n">
        <f aca="false">IF(OR(D118="",D118+G118=0),"",D118/(D118+G118))</f>
        <v>0.594961240310078</v>
      </c>
      <c r="K118" s="39" t="n">
        <f aca="false">IF(E118="","",E118/(E118+H118))</f>
        <v>0.601208459214502</v>
      </c>
      <c r="L118" s="53" t="n">
        <f aca="false">IF(OR(K118="",J118=""),"",(J118-K118)*100)</f>
        <v>-0.624721890442403</v>
      </c>
      <c r="M118" s="38"/>
    </row>
    <row r="119" customFormat="false" ht="15" hidden="false" customHeight="false" outlineLevel="0" collapsed="false">
      <c r="A119" s="38" t="s">
        <v>156</v>
      </c>
      <c r="B119" s="38" t="s">
        <v>219</v>
      </c>
      <c r="C119" s="38" t="s">
        <v>227</v>
      </c>
      <c r="D119" s="21" t="n">
        <v>675</v>
      </c>
      <c r="E119" s="21" t="n">
        <v>678</v>
      </c>
      <c r="F119" s="52" t="n">
        <f aca="false">IF(E119="","",D119-E119)</f>
        <v>-3</v>
      </c>
      <c r="G119" s="21" t="n">
        <v>424</v>
      </c>
      <c r="H119" s="21" t="n">
        <v>451</v>
      </c>
      <c r="I119" s="52" t="n">
        <f aca="false">IF(H119="","",G119-H119)</f>
        <v>-27</v>
      </c>
      <c r="J119" s="39" t="n">
        <f aca="false">IF(OR(D119="",D119+G119=0),"",D119/(D119+G119))</f>
        <v>0.614194722474977</v>
      </c>
      <c r="K119" s="39" t="n">
        <f aca="false">IF(E119="","",E119/(E119+H119))</f>
        <v>0.600531443755536</v>
      </c>
      <c r="L119" s="53" t="n">
        <f aca="false">IF(OR(K119="",J119=""),"",(J119-K119)*100)</f>
        <v>1.36632787194414</v>
      </c>
      <c r="M119" s="38"/>
    </row>
    <row r="120" customFormat="false" ht="15" hidden="false" customHeight="false" outlineLevel="0" collapsed="false">
      <c r="A120" s="38" t="s">
        <v>156</v>
      </c>
      <c r="B120" s="38" t="s">
        <v>219</v>
      </c>
      <c r="C120" s="38" t="s">
        <v>228</v>
      </c>
      <c r="D120" s="21" t="n">
        <v>524</v>
      </c>
      <c r="E120" s="21" t="n">
        <v>524</v>
      </c>
      <c r="F120" s="52" t="n">
        <f aca="false">IF(E120="","",D120-E120)</f>
        <v>0</v>
      </c>
      <c r="G120" s="21" t="n">
        <v>324</v>
      </c>
      <c r="H120" s="21" t="n">
        <v>327</v>
      </c>
      <c r="I120" s="52" t="n">
        <f aca="false">IF(H120="","",G120-H120)</f>
        <v>-3</v>
      </c>
      <c r="J120" s="39" t="n">
        <f aca="false">IF(OR(D120="",D120+G120=0),"",D120/(D120+G120))</f>
        <v>0.617924528301887</v>
      </c>
      <c r="K120" s="39" t="n">
        <f aca="false">IF(E120="","",E120/(E120+H120))</f>
        <v>0.615746180963572</v>
      </c>
      <c r="L120" s="53" t="n">
        <f aca="false">IF(OR(K120="",J120=""),"",(J120-K120)*100)</f>
        <v>0.217834733831457</v>
      </c>
      <c r="M120" s="38"/>
    </row>
    <row r="121" customFormat="false" ht="15" hidden="false" customHeight="false" outlineLevel="0" collapsed="false">
      <c r="A121" s="38" t="s">
        <v>156</v>
      </c>
      <c r="B121" s="38" t="s">
        <v>219</v>
      </c>
      <c r="C121" s="38" t="s">
        <v>229</v>
      </c>
      <c r="D121" s="21" t="n">
        <v>402</v>
      </c>
      <c r="E121" s="21" t="n">
        <v>437</v>
      </c>
      <c r="F121" s="52" t="n">
        <f aca="false">IF(E121="","",D121-E121)</f>
        <v>-35</v>
      </c>
      <c r="G121" s="21" t="n">
        <v>309</v>
      </c>
      <c r="H121" s="21" t="n">
        <v>344</v>
      </c>
      <c r="I121" s="52" t="n">
        <f aca="false">IF(H121="","",G121-H121)</f>
        <v>-35</v>
      </c>
      <c r="J121" s="39" t="n">
        <f aca="false">IF(OR(D121="",D121+G121=0),"",D121/(D121+G121))</f>
        <v>0.565400843881857</v>
      </c>
      <c r="K121" s="39" t="n">
        <f aca="false">IF(E121="","",E121/(E121+H121))</f>
        <v>0.559539052496799</v>
      </c>
      <c r="L121" s="53" t="n">
        <f aca="false">IF(OR(K121="",J121=""),"",(J121-K121)*100)</f>
        <v>0.586179138505749</v>
      </c>
      <c r="M121" s="38"/>
    </row>
    <row r="122" customFormat="false" ht="15" hidden="false" customHeight="false" outlineLevel="0" collapsed="false">
      <c r="A122" s="38" t="s">
        <v>156</v>
      </c>
      <c r="B122" s="38" t="s">
        <v>219</v>
      </c>
      <c r="C122" s="38" t="s">
        <v>230</v>
      </c>
      <c r="D122" s="21" t="n">
        <v>569</v>
      </c>
      <c r="E122" s="21" t="n">
        <v>581</v>
      </c>
      <c r="F122" s="52" t="n">
        <f aca="false">IF(E122="","",D122-E122)</f>
        <v>-12</v>
      </c>
      <c r="G122" s="21" t="n">
        <v>316</v>
      </c>
      <c r="H122" s="21" t="n">
        <v>342</v>
      </c>
      <c r="I122" s="52" t="n">
        <f aca="false">IF(H122="","",G122-H122)</f>
        <v>-26</v>
      </c>
      <c r="J122" s="39" t="n">
        <f aca="false">IF(OR(D122="",D122+G122=0),"",D122/(D122+G122))</f>
        <v>0.642937853107345</v>
      </c>
      <c r="K122" s="39" t="n">
        <f aca="false">IF(E122="","",E122/(E122+H122))</f>
        <v>0.629469122426869</v>
      </c>
      <c r="L122" s="53" t="n">
        <f aca="false">IF(OR(K122="",J122=""),"",(J122-K122)*100)</f>
        <v>1.34687306804757</v>
      </c>
      <c r="M122" s="38"/>
    </row>
    <row r="123" customFormat="false" ht="15" hidden="false" customHeight="false" outlineLevel="0" collapsed="false">
      <c r="A123" s="38" t="s">
        <v>156</v>
      </c>
      <c r="B123" s="38" t="s">
        <v>219</v>
      </c>
      <c r="C123" s="38" t="s">
        <v>231</v>
      </c>
      <c r="D123" s="21" t="n">
        <v>558</v>
      </c>
      <c r="E123" s="21" t="n">
        <v>591</v>
      </c>
      <c r="F123" s="52" t="n">
        <f aca="false">IF(E123="","",D123-E123)</f>
        <v>-33</v>
      </c>
      <c r="G123" s="21" t="n">
        <v>352</v>
      </c>
      <c r="H123" s="21" t="n">
        <v>390</v>
      </c>
      <c r="I123" s="52" t="n">
        <f aca="false">IF(H123="","",G123-H123)</f>
        <v>-38</v>
      </c>
      <c r="J123" s="39" t="n">
        <f aca="false">IF(OR(D123="",D123+G123=0),"",D123/(D123+G123))</f>
        <v>0.613186813186813</v>
      </c>
      <c r="K123" s="39" t="n">
        <f aca="false">IF(E123="","",E123/(E123+H123))</f>
        <v>0.602446483180428</v>
      </c>
      <c r="L123" s="53" t="n">
        <f aca="false">IF(OR(K123="",J123=""),"",(J123-K123)*100)</f>
        <v>1.07403300063851</v>
      </c>
      <c r="M123" s="38"/>
    </row>
    <row r="124" customFormat="false" ht="15" hidden="false" customHeight="false" outlineLevel="0" collapsed="false">
      <c r="A124" s="38" t="s">
        <v>156</v>
      </c>
      <c r="B124" s="38" t="s">
        <v>232</v>
      </c>
      <c r="C124" s="38" t="s">
        <v>233</v>
      </c>
      <c r="D124" s="21" t="n">
        <v>560</v>
      </c>
      <c r="E124" s="21" t="n">
        <v>557</v>
      </c>
      <c r="F124" s="52" t="n">
        <f aca="false">IF(E124="","",D124-E124)</f>
        <v>3</v>
      </c>
      <c r="G124" s="21" t="n">
        <v>411</v>
      </c>
      <c r="H124" s="21" t="n">
        <v>454</v>
      </c>
      <c r="I124" s="52" t="n">
        <f aca="false">IF(H124="","",G124-H124)</f>
        <v>-43</v>
      </c>
      <c r="J124" s="39" t="n">
        <f aca="false">IF(OR(D124="",D124+G124=0),"",D124/(D124+G124))</f>
        <v>0.576725025746653</v>
      </c>
      <c r="K124" s="39" t="n">
        <f aca="false">IF(E124="","",E124/(E124+H124))</f>
        <v>0.550939663699308</v>
      </c>
      <c r="L124" s="53" t="n">
        <f aca="false">IF(OR(K124="",J124=""),"",(J124-K124)*100)</f>
        <v>2.57853620473454</v>
      </c>
      <c r="M124" s="38"/>
    </row>
    <row r="125" customFormat="false" ht="15" hidden="false" customHeight="false" outlineLevel="0" collapsed="false">
      <c r="A125" s="38" t="s">
        <v>156</v>
      </c>
      <c r="B125" s="38" t="s">
        <v>232</v>
      </c>
      <c r="C125" s="38" t="s">
        <v>234</v>
      </c>
      <c r="D125" s="21" t="n">
        <v>530</v>
      </c>
      <c r="E125" s="21" t="n">
        <v>467</v>
      </c>
      <c r="F125" s="52" t="n">
        <f aca="false">IF(E125="","",D125-E125)</f>
        <v>63</v>
      </c>
      <c r="G125" s="21" t="n">
        <v>502</v>
      </c>
      <c r="H125" s="21" t="n">
        <v>513</v>
      </c>
      <c r="I125" s="52" t="n">
        <f aca="false">IF(H125="","",G125-H125)</f>
        <v>-11</v>
      </c>
      <c r="J125" s="39" t="n">
        <f aca="false">IF(OR(D125="",D125+G125=0),"",D125/(D125+G125))</f>
        <v>0.513565891472868</v>
      </c>
      <c r="K125" s="39" t="n">
        <f aca="false">IF(E125="","",E125/(E125+H125))</f>
        <v>0.476530612244898</v>
      </c>
      <c r="L125" s="53" t="n">
        <f aca="false">IF(OR(K125="",J125=""),"",(J125-K125)*100)</f>
        <v>3.70352792279703</v>
      </c>
      <c r="M125" s="38"/>
    </row>
    <row r="126" customFormat="false" ht="15" hidden="false" customHeight="false" outlineLevel="0" collapsed="false">
      <c r="A126" s="38" t="s">
        <v>156</v>
      </c>
      <c r="B126" s="38" t="s">
        <v>232</v>
      </c>
      <c r="C126" s="38" t="s">
        <v>235</v>
      </c>
      <c r="D126" s="21" t="n">
        <v>555</v>
      </c>
      <c r="E126" s="21" t="n">
        <v>536</v>
      </c>
      <c r="F126" s="52" t="n">
        <f aca="false">IF(E126="","",D126-E126)</f>
        <v>19</v>
      </c>
      <c r="G126" s="21" t="n">
        <v>522</v>
      </c>
      <c r="H126" s="21" t="n">
        <v>524</v>
      </c>
      <c r="I126" s="52" t="n">
        <f aca="false">IF(H126="","",G126-H126)</f>
        <v>-2</v>
      </c>
      <c r="J126" s="39" t="n">
        <f aca="false">IF(OR(D126="",D126+G126=0),"",D126/(D126+G126))</f>
        <v>0.515320334261838</v>
      </c>
      <c r="K126" s="39" t="n">
        <f aca="false">IF(E126="","",E126/(E126+H126))</f>
        <v>0.505660377358491</v>
      </c>
      <c r="L126" s="53" t="n">
        <f aca="false">IF(OR(K126="",J126=""),"",(J126-K126)*100)</f>
        <v>0.965995690334787</v>
      </c>
      <c r="M126" s="38"/>
    </row>
    <row r="127" customFormat="false" ht="15" hidden="false" customHeight="false" outlineLevel="0" collapsed="false">
      <c r="A127" s="38" t="s">
        <v>156</v>
      </c>
      <c r="B127" s="38" t="s">
        <v>236</v>
      </c>
      <c r="C127" s="38" t="s">
        <v>236</v>
      </c>
      <c r="D127" s="21" t="n">
        <v>757</v>
      </c>
      <c r="E127" s="21" t="n">
        <v>735</v>
      </c>
      <c r="F127" s="52" t="n">
        <f aca="false">IF(E127="","",D127-E127)</f>
        <v>22</v>
      </c>
      <c r="G127" s="21" t="n">
        <v>739</v>
      </c>
      <c r="H127" s="21" t="n">
        <v>804</v>
      </c>
      <c r="I127" s="52" t="n">
        <f aca="false">IF(H127="","",G127-H127)</f>
        <v>-65</v>
      </c>
      <c r="J127" s="39" t="n">
        <f aca="false">IF(OR(D127="",D127+G127=0),"",D127/(D127+G127))</f>
        <v>0.506016042780749</v>
      </c>
      <c r="K127" s="39" t="n">
        <f aca="false">IF(E127="","",E127/(E127+H127))</f>
        <v>0.477582846003899</v>
      </c>
      <c r="L127" s="53" t="n">
        <f aca="false">IF(OR(K127="",J127=""),"",(J127-K127)*100)</f>
        <v>2.843319677685</v>
      </c>
      <c r="M127" s="38"/>
    </row>
    <row r="128" customFormat="false" ht="15" hidden="false" customHeight="false" outlineLevel="0" collapsed="false">
      <c r="A128" s="38" t="s">
        <v>156</v>
      </c>
      <c r="B128" s="38" t="s">
        <v>237</v>
      </c>
      <c r="C128" s="38" t="s">
        <v>238</v>
      </c>
      <c r="D128" s="21" t="n">
        <v>405</v>
      </c>
      <c r="E128" s="21" t="n">
        <v>372</v>
      </c>
      <c r="F128" s="52" t="n">
        <f aca="false">IF(E128="","",D128-E128)</f>
        <v>33</v>
      </c>
      <c r="G128" s="21" t="n">
        <v>381</v>
      </c>
      <c r="H128" s="21" t="n">
        <v>383</v>
      </c>
      <c r="I128" s="52" t="n">
        <f aca="false">IF(H128="","",G128-H128)</f>
        <v>-2</v>
      </c>
      <c r="J128" s="39" t="n">
        <f aca="false">IF(OR(D128="",D128+G128=0),"",D128/(D128+G128))</f>
        <v>0.515267175572519</v>
      </c>
      <c r="K128" s="39" t="n">
        <f aca="false">IF(E128="","",E128/(E128+H128))</f>
        <v>0.492715231788079</v>
      </c>
      <c r="L128" s="53" t="n">
        <f aca="false">IF(OR(K128="",J128=""),"",(J128-K128)*100)</f>
        <v>2.25519437844396</v>
      </c>
      <c r="M128" s="38"/>
    </row>
    <row r="129" customFormat="false" ht="15" hidden="false" customHeight="false" outlineLevel="0" collapsed="false">
      <c r="A129" s="38" t="s">
        <v>156</v>
      </c>
      <c r="B129" s="38" t="s">
        <v>237</v>
      </c>
      <c r="C129" s="38" t="s">
        <v>239</v>
      </c>
      <c r="D129" s="21" t="n">
        <v>513</v>
      </c>
      <c r="E129" s="21" t="n">
        <v>527</v>
      </c>
      <c r="F129" s="52" t="n">
        <f aca="false">IF(E129="","",D129-E129)</f>
        <v>-14</v>
      </c>
      <c r="G129" s="21" t="n">
        <v>451</v>
      </c>
      <c r="H129" s="21" t="n">
        <v>515</v>
      </c>
      <c r="I129" s="52" t="n">
        <f aca="false">IF(H129="","",G129-H129)</f>
        <v>-64</v>
      </c>
      <c r="J129" s="39" t="n">
        <f aca="false">IF(OR(D129="",D129+G129=0),"",D129/(D129+G129))</f>
        <v>0.532157676348548</v>
      </c>
      <c r="K129" s="39" t="n">
        <f aca="false">IF(E129="","",E129/(E129+H129))</f>
        <v>0.505758157389635</v>
      </c>
      <c r="L129" s="53" t="n">
        <f aca="false">IF(OR(K129="",J129=""),"",(J129-K129)*100)</f>
        <v>2.63995189589124</v>
      </c>
      <c r="M129" s="38"/>
    </row>
    <row r="130" customFormat="false" ht="15" hidden="false" customHeight="false" outlineLevel="0" collapsed="false">
      <c r="A130" s="38" t="s">
        <v>156</v>
      </c>
      <c r="B130" s="38" t="s">
        <v>240</v>
      </c>
      <c r="C130" s="38" t="s">
        <v>241</v>
      </c>
      <c r="D130" s="21" t="n">
        <v>573</v>
      </c>
      <c r="E130" s="21" t="n">
        <v>562</v>
      </c>
      <c r="F130" s="52" t="n">
        <f aca="false">IF(E130="","",D130-E130)</f>
        <v>11</v>
      </c>
      <c r="G130" s="21" t="n">
        <v>470</v>
      </c>
      <c r="H130" s="21" t="n">
        <v>497</v>
      </c>
      <c r="I130" s="52" t="n">
        <f aca="false">IF(H130="","",G130-H130)</f>
        <v>-27</v>
      </c>
      <c r="J130" s="39" t="n">
        <f aca="false">IF(OR(D130="",D130+G130=0),"",D130/(D130+G130))</f>
        <v>0.549376797698945</v>
      </c>
      <c r="K130" s="39" t="n">
        <f aca="false">IF(E130="","",E130/(E130+H130))</f>
        <v>0.530689329556185</v>
      </c>
      <c r="L130" s="53" t="n">
        <f aca="false">IF(OR(K130="",J130=""),"",(J130-K130)*100)</f>
        <v>1.86874681427602</v>
      </c>
      <c r="M130" s="38"/>
    </row>
    <row r="131" customFormat="false" ht="15" hidden="false" customHeight="false" outlineLevel="0" collapsed="false">
      <c r="A131" s="38" t="s">
        <v>156</v>
      </c>
      <c r="B131" s="38" t="s">
        <v>240</v>
      </c>
      <c r="C131" s="38" t="s">
        <v>242</v>
      </c>
      <c r="D131" s="21" t="n">
        <v>561</v>
      </c>
      <c r="E131" s="21" t="n">
        <v>566</v>
      </c>
      <c r="F131" s="52" t="n">
        <f aca="false">IF(E131="","",D131-E131)</f>
        <v>-5</v>
      </c>
      <c r="G131" s="21" t="n">
        <v>470</v>
      </c>
      <c r="H131" s="21" t="n">
        <v>509</v>
      </c>
      <c r="I131" s="52" t="n">
        <f aca="false">IF(H131="","",G131-H131)</f>
        <v>-39</v>
      </c>
      <c r="J131" s="39" t="n">
        <f aca="false">IF(OR(D131="",D131+G131=0),"",D131/(D131+G131))</f>
        <v>0.544131910766246</v>
      </c>
      <c r="K131" s="39" t="n">
        <f aca="false">IF(E131="","",E131/(E131+H131))</f>
        <v>0.526511627906977</v>
      </c>
      <c r="L131" s="53" t="n">
        <f aca="false">IF(OR(K131="",J131=""),"",(J131-K131)*100)</f>
        <v>1.76202828592696</v>
      </c>
      <c r="M131" s="38"/>
    </row>
    <row r="132" customFormat="false" ht="15" hidden="false" customHeight="false" outlineLevel="0" collapsed="false">
      <c r="A132" s="38" t="s">
        <v>156</v>
      </c>
      <c r="B132" s="38" t="s">
        <v>240</v>
      </c>
      <c r="C132" s="38" t="s">
        <v>243</v>
      </c>
      <c r="D132" s="21" t="n">
        <v>696</v>
      </c>
      <c r="E132" s="21" t="n">
        <v>826</v>
      </c>
      <c r="F132" s="52" t="n">
        <f aca="false">IF(E132="","",D132-E132)</f>
        <v>-130</v>
      </c>
      <c r="G132" s="21" t="n">
        <v>633</v>
      </c>
      <c r="H132" s="21" t="n">
        <v>801</v>
      </c>
      <c r="I132" s="52" t="n">
        <f aca="false">IF(H132="","",G132-H132)</f>
        <v>-168</v>
      </c>
      <c r="J132" s="39" t="n">
        <f aca="false">IF(OR(D132="",D132+G132=0),"",D132/(D132+G132))</f>
        <v>0.523702031602709</v>
      </c>
      <c r="K132" s="39" t="n">
        <f aca="false">IF(E132="","",E132/(E132+H132))</f>
        <v>0.507682851874616</v>
      </c>
      <c r="L132" s="53" t="n">
        <f aca="false">IF(OR(K132="",J132=""),"",(J132-K132)*100)</f>
        <v>1.6019179728093</v>
      </c>
      <c r="M132" s="38"/>
    </row>
    <row r="133" customFormat="false" ht="15" hidden="false" customHeight="false" outlineLevel="0" collapsed="false">
      <c r="A133" s="38" t="s">
        <v>156</v>
      </c>
      <c r="B133" s="38" t="s">
        <v>240</v>
      </c>
      <c r="C133" s="38" t="s">
        <v>244</v>
      </c>
      <c r="D133" s="21" t="n">
        <v>691</v>
      </c>
      <c r="E133" s="21" t="n">
        <v>686</v>
      </c>
      <c r="F133" s="52" t="n">
        <f aca="false">IF(E133="","",D133-E133)</f>
        <v>5</v>
      </c>
      <c r="G133" s="21" t="n">
        <v>538</v>
      </c>
      <c r="H133" s="21" t="n">
        <v>580</v>
      </c>
      <c r="I133" s="52" t="n">
        <f aca="false">IF(H133="","",G133-H133)</f>
        <v>-42</v>
      </c>
      <c r="J133" s="39" t="n">
        <f aca="false">IF(OR(D133="",D133+G133=0),"",D133/(D133+G133))</f>
        <v>0.562245728234337</v>
      </c>
      <c r="K133" s="39" t="n">
        <f aca="false">IF(E133="","",E133/(E133+H133))</f>
        <v>0.541864139020537</v>
      </c>
      <c r="L133" s="53" t="n">
        <f aca="false">IF(OR(K133="",J133=""),"",(J133-K133)*100)</f>
        <v>2.03815892137997</v>
      </c>
      <c r="M133" s="38"/>
    </row>
    <row r="134" customFormat="false" ht="15" hidden="false" customHeight="false" outlineLevel="0" collapsed="false">
      <c r="A134" s="38" t="s">
        <v>156</v>
      </c>
      <c r="B134" s="38" t="s">
        <v>240</v>
      </c>
      <c r="C134" s="38" t="s">
        <v>245</v>
      </c>
      <c r="D134" s="21" t="n">
        <v>340</v>
      </c>
      <c r="E134" s="21" t="n">
        <v>332</v>
      </c>
      <c r="F134" s="52" t="n">
        <f aca="false">IF(E134="","",D134-E134)</f>
        <v>8</v>
      </c>
      <c r="G134" s="21" t="n">
        <v>319</v>
      </c>
      <c r="H134" s="21" t="n">
        <v>340</v>
      </c>
      <c r="I134" s="52" t="n">
        <f aca="false">IF(H134="","",G134-H134)</f>
        <v>-21</v>
      </c>
      <c r="J134" s="39" t="n">
        <f aca="false">IF(OR(D134="",D134+G134=0),"",D134/(D134+G134))</f>
        <v>0.515933232169955</v>
      </c>
      <c r="K134" s="39" t="n">
        <f aca="false">IF(E134="","",E134/(E134+H134))</f>
        <v>0.494047619047619</v>
      </c>
      <c r="L134" s="53" t="n">
        <f aca="false">IF(OR(K134="",J134=""),"",(J134-K134)*100)</f>
        <v>2.18856131223354</v>
      </c>
      <c r="M134" s="38"/>
    </row>
    <row r="135" customFormat="false" ht="15" hidden="false" customHeight="false" outlineLevel="0" collapsed="false">
      <c r="A135" s="38" t="s">
        <v>156</v>
      </c>
      <c r="B135" s="38" t="s">
        <v>240</v>
      </c>
      <c r="C135" s="38" t="s">
        <v>246</v>
      </c>
      <c r="D135" s="21" t="n">
        <v>690</v>
      </c>
      <c r="E135" s="21" t="n">
        <v>691</v>
      </c>
      <c r="F135" s="52" t="n">
        <f aca="false">IF(E135="","",D135-E135)</f>
        <v>-1</v>
      </c>
      <c r="G135" s="21" t="n">
        <v>498</v>
      </c>
      <c r="H135" s="21" t="n">
        <v>509</v>
      </c>
      <c r="I135" s="52" t="n">
        <f aca="false">IF(H135="","",G135-H135)</f>
        <v>-11</v>
      </c>
      <c r="J135" s="39" t="n">
        <f aca="false">IF(OR(D135="",D135+G135=0),"",D135/(D135+G135))</f>
        <v>0.580808080808081</v>
      </c>
      <c r="K135" s="39" t="n">
        <f aca="false">IF(E135="","",E135/(E135+H135))</f>
        <v>0.575833333333333</v>
      </c>
      <c r="L135" s="53" t="n">
        <f aca="false">IF(OR(K135="",J135=""),"",(J135-K135)*100)</f>
        <v>0.497474747474747</v>
      </c>
      <c r="M135" s="38"/>
    </row>
    <row r="136" customFormat="false" ht="15" hidden="false" customHeight="false" outlineLevel="0" collapsed="false">
      <c r="A136" s="38" t="s">
        <v>156</v>
      </c>
      <c r="B136" s="38" t="s">
        <v>247</v>
      </c>
      <c r="C136" s="38" t="s">
        <v>248</v>
      </c>
      <c r="D136" s="21" t="n">
        <v>626</v>
      </c>
      <c r="E136" s="21" t="n">
        <v>579</v>
      </c>
      <c r="F136" s="52" t="n">
        <f aca="false">IF(E136="","",D136-E136)</f>
        <v>47</v>
      </c>
      <c r="G136" s="21" t="n">
        <v>252</v>
      </c>
      <c r="H136" s="21" t="n">
        <v>292</v>
      </c>
      <c r="I136" s="52" t="n">
        <f aca="false">IF(H136="","",G136-H136)</f>
        <v>-40</v>
      </c>
      <c r="J136" s="39" t="n">
        <f aca="false">IF(OR(D136="",D136+G136=0),"",D136/(D136+G136))</f>
        <v>0.712984054669704</v>
      </c>
      <c r="K136" s="39" t="n">
        <f aca="false">IF(E136="","",E136/(E136+H136))</f>
        <v>0.664753157290471</v>
      </c>
      <c r="L136" s="53" t="n">
        <f aca="false">IF(OR(K136="",J136=""),"",(J136-K136)*100)</f>
        <v>4.82308973792331</v>
      </c>
      <c r="M136" s="38"/>
    </row>
    <row r="137" customFormat="false" ht="15" hidden="false" customHeight="false" outlineLevel="0" collapsed="false">
      <c r="A137" s="38" t="s">
        <v>156</v>
      </c>
      <c r="B137" s="38" t="s">
        <v>247</v>
      </c>
      <c r="C137" s="38" t="s">
        <v>249</v>
      </c>
      <c r="D137" s="21" t="n">
        <v>445</v>
      </c>
      <c r="E137" s="21" t="n">
        <v>440</v>
      </c>
      <c r="F137" s="52" t="n">
        <f aca="false">IF(E137="","",D137-E137)</f>
        <v>5</v>
      </c>
      <c r="G137" s="21" t="n">
        <v>232</v>
      </c>
      <c r="H137" s="21" t="n">
        <v>262</v>
      </c>
      <c r="I137" s="52" t="n">
        <f aca="false">IF(H137="","",G137-H137)</f>
        <v>-30</v>
      </c>
      <c r="J137" s="39" t="n">
        <f aca="false">IF(OR(D137="",D137+G137=0),"",D137/(D137+G137))</f>
        <v>0.657311669128508</v>
      </c>
      <c r="K137" s="39" t="n">
        <f aca="false">IF(E137="","",E137/(E137+H137))</f>
        <v>0.626780626780627</v>
      </c>
      <c r="L137" s="53" t="n">
        <f aca="false">IF(OR(K137="",J137=""),"",(J137-K137)*100)</f>
        <v>3.05310423478814</v>
      </c>
      <c r="M137" s="38"/>
    </row>
    <row r="138" customFormat="false" ht="15" hidden="false" customHeight="false" outlineLevel="0" collapsed="false">
      <c r="A138" s="38" t="s">
        <v>156</v>
      </c>
      <c r="B138" s="38" t="s">
        <v>247</v>
      </c>
      <c r="C138" s="38" t="s">
        <v>250</v>
      </c>
      <c r="D138" s="21" t="n">
        <v>458</v>
      </c>
      <c r="E138" s="21" t="n">
        <v>414</v>
      </c>
      <c r="F138" s="52" t="n">
        <f aca="false">IF(E138="","",D138-E138)</f>
        <v>44</v>
      </c>
      <c r="G138" s="21" t="n">
        <v>207</v>
      </c>
      <c r="H138" s="21" t="n">
        <v>239</v>
      </c>
      <c r="I138" s="52" t="n">
        <f aca="false">IF(H138="","",G138-H138)</f>
        <v>-32</v>
      </c>
      <c r="J138" s="39" t="n">
        <f aca="false">IF(OR(D138="",D138+G138=0),"",D138/(D138+G138))</f>
        <v>0.688721804511278</v>
      </c>
      <c r="K138" s="39" t="n">
        <f aca="false">IF(E138="","",E138/(E138+H138))</f>
        <v>0.633996937212864</v>
      </c>
      <c r="L138" s="53" t="n">
        <f aca="false">IF(OR(K138="",J138=""),"",(J138-K138)*100)</f>
        <v>5.47248672984145</v>
      </c>
      <c r="M138" s="38"/>
    </row>
    <row r="139" customFormat="false" ht="15" hidden="false" customHeight="false" outlineLevel="0" collapsed="false">
      <c r="A139" s="38" t="s">
        <v>156</v>
      </c>
      <c r="B139" s="38" t="s">
        <v>251</v>
      </c>
      <c r="C139" s="38" t="s">
        <v>251</v>
      </c>
      <c r="D139" s="21" t="n">
        <v>395</v>
      </c>
      <c r="E139" s="21" t="n">
        <v>379</v>
      </c>
      <c r="F139" s="52" t="n">
        <f aca="false">IF(E139="","",D139-E139)</f>
        <v>16</v>
      </c>
      <c r="G139" s="21" t="n">
        <v>316</v>
      </c>
      <c r="H139" s="21" t="n">
        <v>330</v>
      </c>
      <c r="I139" s="52" t="n">
        <f aca="false">IF(H139="","",G139-H139)</f>
        <v>-14</v>
      </c>
      <c r="J139" s="39" t="n">
        <f aca="false">IF(OR(D139="",D139+G139=0),"",D139/(D139+G139))</f>
        <v>0.555555555555556</v>
      </c>
      <c r="K139" s="39" t="n">
        <f aca="false">IF(E139="","",E139/(E139+H139))</f>
        <v>0.534555712270804</v>
      </c>
      <c r="L139" s="53" t="n">
        <f aca="false">IF(OR(K139="",J139=""),"",(J139-K139)*100)</f>
        <v>2.09998432847517</v>
      </c>
      <c r="M139" s="38"/>
    </row>
    <row r="140" customFormat="false" ht="15" hidden="false" customHeight="false" outlineLevel="0" collapsed="false">
      <c r="A140" s="38" t="s">
        <v>156</v>
      </c>
      <c r="B140" s="38" t="s">
        <v>252</v>
      </c>
      <c r="C140" s="38" t="s">
        <v>252</v>
      </c>
      <c r="D140" s="21" t="n">
        <v>649</v>
      </c>
      <c r="E140" s="21" t="n">
        <v>654</v>
      </c>
      <c r="F140" s="52" t="n">
        <f aca="false">IF(E140="","",D140-E140)</f>
        <v>-5</v>
      </c>
      <c r="G140" s="21" t="n">
        <v>1295</v>
      </c>
      <c r="H140" s="21" t="n">
        <v>1439</v>
      </c>
      <c r="I140" s="52" t="n">
        <f aca="false">IF(H140="","",G140-H140)</f>
        <v>-144</v>
      </c>
      <c r="J140" s="39" t="n">
        <f aca="false">IF(OR(D140="",D140+G140=0),"",D140/(D140+G140))</f>
        <v>0.333847736625514</v>
      </c>
      <c r="K140" s="39" t="n">
        <f aca="false">IF(E140="","",E140/(E140+H140))</f>
        <v>0.312470138557095</v>
      </c>
      <c r="L140" s="53" t="n">
        <f aca="false">IF(OR(K140="",J140=""),"",(J140-K140)*100)</f>
        <v>2.13775980684193</v>
      </c>
      <c r="M140" s="38"/>
    </row>
    <row r="141" customFormat="false" ht="15" hidden="false" customHeight="false" outlineLevel="0" collapsed="false">
      <c r="A141" s="38" t="s">
        <v>156</v>
      </c>
      <c r="B141" s="38" t="s">
        <v>253</v>
      </c>
      <c r="C141" s="38" t="s">
        <v>254</v>
      </c>
      <c r="D141" s="21" t="n">
        <v>955</v>
      </c>
      <c r="E141" s="21" t="n">
        <v>928</v>
      </c>
      <c r="F141" s="52" t="n">
        <f aca="false">IF(E141="","",D141-E141)</f>
        <v>27</v>
      </c>
      <c r="G141" s="21" t="n">
        <v>931</v>
      </c>
      <c r="H141" s="21" t="n">
        <v>988</v>
      </c>
      <c r="I141" s="52" t="n">
        <f aca="false">IF(H141="","",G141-H141)</f>
        <v>-57</v>
      </c>
      <c r="J141" s="39" t="n">
        <f aca="false">IF(OR(D141="",D141+G141=0),"",D141/(D141+G141))</f>
        <v>0.506362672322375</v>
      </c>
      <c r="K141" s="39" t="n">
        <f aca="false">IF(E141="","",E141/(E141+H141))</f>
        <v>0.484342379958246</v>
      </c>
      <c r="L141" s="53" t="n">
        <f aca="false">IF(OR(K141="",J141=""),"",(J141-K141)*100)</f>
        <v>2.20202923641291</v>
      </c>
      <c r="M141" s="38"/>
    </row>
    <row r="142" customFormat="false" ht="15" hidden="false" customHeight="false" outlineLevel="0" collapsed="false">
      <c r="A142" s="38" t="s">
        <v>156</v>
      </c>
      <c r="B142" s="38" t="s">
        <v>253</v>
      </c>
      <c r="C142" s="38" t="s">
        <v>255</v>
      </c>
      <c r="D142" s="21" t="n">
        <v>1149</v>
      </c>
      <c r="E142" s="21" t="n">
        <v>1082</v>
      </c>
      <c r="F142" s="52" t="n">
        <f aca="false">IF(E142="","",D142-E142)</f>
        <v>67</v>
      </c>
      <c r="G142" s="21" t="n">
        <v>1059</v>
      </c>
      <c r="H142" s="21" t="n">
        <v>1101</v>
      </c>
      <c r="I142" s="52" t="n">
        <f aca="false">IF(H142="","",G142-H142)</f>
        <v>-42</v>
      </c>
      <c r="J142" s="39" t="n">
        <f aca="false">IF(OR(D142="",D142+G142=0),"",D142/(D142+G142))</f>
        <v>0.520380434782609</v>
      </c>
      <c r="K142" s="39" t="n">
        <f aca="false">IF(E142="","",E142/(E142+H142))</f>
        <v>0.495648190563445</v>
      </c>
      <c r="L142" s="53" t="n">
        <f aca="false">IF(OR(K142="",J142=""),"",(J142-K142)*100)</f>
        <v>2.47322442191639</v>
      </c>
      <c r="M142" s="38"/>
    </row>
    <row r="143" customFormat="false" ht="15" hidden="false" customHeight="false" outlineLevel="0" collapsed="false">
      <c r="A143" s="38" t="s">
        <v>156</v>
      </c>
      <c r="B143" s="38" t="s">
        <v>253</v>
      </c>
      <c r="C143" s="38" t="s">
        <v>256</v>
      </c>
      <c r="D143" s="21" t="n">
        <v>1905</v>
      </c>
      <c r="E143" s="21" t="n">
        <v>1799</v>
      </c>
      <c r="F143" s="52" t="n">
        <f aca="false">IF(E143="","",D143-E143)</f>
        <v>106</v>
      </c>
      <c r="G143" s="21" t="n">
        <v>1798</v>
      </c>
      <c r="H143" s="21" t="n">
        <v>1810</v>
      </c>
      <c r="I143" s="52" t="n">
        <f aca="false">IF(H143="","",G143-H143)</f>
        <v>-12</v>
      </c>
      <c r="J143" s="39" t="n">
        <f aca="false">IF(OR(D143="",D143+G143=0),"",D143/(D143+G143))</f>
        <v>0.514447745071564</v>
      </c>
      <c r="K143" s="39" t="n">
        <f aca="false">IF(E143="","",E143/(E143+H143))</f>
        <v>0.498476032141868</v>
      </c>
      <c r="L143" s="53" t="n">
        <f aca="false">IF(OR(K143="",J143=""),"",(J143-K143)*100)</f>
        <v>1.5971712929696</v>
      </c>
      <c r="M143" s="38"/>
    </row>
    <row r="144" customFormat="false" ht="15" hidden="false" customHeight="false" outlineLevel="0" collapsed="false">
      <c r="A144" s="38" t="s">
        <v>156</v>
      </c>
      <c r="B144" s="38" t="s">
        <v>253</v>
      </c>
      <c r="C144" s="38" t="s">
        <v>257</v>
      </c>
      <c r="D144" s="21" t="n">
        <v>927</v>
      </c>
      <c r="E144" s="21" t="n">
        <v>906</v>
      </c>
      <c r="F144" s="52" t="n">
        <f aca="false">IF(E144="","",D144-E144)</f>
        <v>21</v>
      </c>
      <c r="G144" s="21" t="n">
        <v>874</v>
      </c>
      <c r="H144" s="21" t="n">
        <v>980</v>
      </c>
      <c r="I144" s="52" t="n">
        <f aca="false">IF(H144="","",G144-H144)</f>
        <v>-106</v>
      </c>
      <c r="J144" s="39" t="n">
        <f aca="false">IF(OR(D144="",D144+G144=0),"",D144/(D144+G144))</f>
        <v>0.514714047751249</v>
      </c>
      <c r="K144" s="39" t="n">
        <f aca="false">IF(E144="","",E144/(E144+H144))</f>
        <v>0.480381760339343</v>
      </c>
      <c r="L144" s="53" t="n">
        <f aca="false">IF(OR(K144="",J144=""),"",(J144-K144)*100)</f>
        <v>3.43322874119068</v>
      </c>
      <c r="M144" s="38"/>
    </row>
    <row r="145" customFormat="false" ht="15" hidden="false" customHeight="false" outlineLevel="0" collapsed="false">
      <c r="A145" s="38" t="s">
        <v>156</v>
      </c>
      <c r="B145" s="38" t="s">
        <v>253</v>
      </c>
      <c r="C145" s="38" t="s">
        <v>258</v>
      </c>
      <c r="D145" s="21" t="n">
        <v>897</v>
      </c>
      <c r="E145" s="21" t="n">
        <v>852</v>
      </c>
      <c r="F145" s="52" t="n">
        <f aca="false">IF(E145="","",D145-E145)</f>
        <v>45</v>
      </c>
      <c r="G145" s="21" t="n">
        <v>846</v>
      </c>
      <c r="H145" s="21" t="n">
        <v>912</v>
      </c>
      <c r="I145" s="52" t="n">
        <f aca="false">IF(H145="","",G145-H145)</f>
        <v>-66</v>
      </c>
      <c r="J145" s="39" t="n">
        <f aca="false">IF(OR(D145="",D145+G145=0),"",D145/(D145+G145))</f>
        <v>0.514629948364888</v>
      </c>
      <c r="K145" s="39" t="n">
        <f aca="false">IF(E145="","",E145/(E145+H145))</f>
        <v>0.482993197278912</v>
      </c>
      <c r="L145" s="53" t="n">
        <f aca="false">IF(OR(K145="",J145=""),"",(J145-K145)*100)</f>
        <v>3.16367510859766</v>
      </c>
      <c r="M145" s="38"/>
    </row>
    <row r="146" customFormat="false" ht="15" hidden="false" customHeight="false" outlineLevel="0" collapsed="false">
      <c r="A146" s="38" t="s">
        <v>156</v>
      </c>
      <c r="B146" s="38" t="s">
        <v>253</v>
      </c>
      <c r="C146" s="38" t="s">
        <v>259</v>
      </c>
      <c r="D146" s="21" t="n">
        <v>712</v>
      </c>
      <c r="E146" s="21" t="n">
        <v>715</v>
      </c>
      <c r="F146" s="52" t="n">
        <f aca="false">IF(E146="","",D146-E146)</f>
        <v>-3</v>
      </c>
      <c r="G146" s="21" t="n">
        <v>656</v>
      </c>
      <c r="H146" s="21" t="n">
        <v>677</v>
      </c>
      <c r="I146" s="52" t="n">
        <f aca="false">IF(H146="","",G146-H146)</f>
        <v>-21</v>
      </c>
      <c r="J146" s="39" t="n">
        <f aca="false">IF(OR(D146="",D146+G146=0),"",D146/(D146+G146))</f>
        <v>0.52046783625731</v>
      </c>
      <c r="K146" s="39" t="n">
        <f aca="false">IF(E146="","",E146/(E146+H146))</f>
        <v>0.513649425287356</v>
      </c>
      <c r="L146" s="53" t="n">
        <f aca="false">IF(OR(K146="",J146=""),"",(J146-K146)*100)</f>
        <v>0.681841096995361</v>
      </c>
      <c r="M146" s="38"/>
    </row>
    <row r="147" customFormat="false" ht="15" hidden="false" customHeight="false" outlineLevel="0" collapsed="false">
      <c r="A147" s="38" t="s">
        <v>156</v>
      </c>
      <c r="B147" s="38" t="s">
        <v>253</v>
      </c>
      <c r="C147" s="38" t="s">
        <v>260</v>
      </c>
      <c r="D147" s="21" t="n">
        <v>1475</v>
      </c>
      <c r="E147" s="21" t="n">
        <v>1480</v>
      </c>
      <c r="F147" s="52" t="n">
        <f aca="false">IF(E147="","",D147-E147)</f>
        <v>-5</v>
      </c>
      <c r="G147" s="21" t="n">
        <v>1343</v>
      </c>
      <c r="H147" s="21" t="n">
        <v>1588</v>
      </c>
      <c r="I147" s="52" t="n">
        <f aca="false">IF(H147="","",G147-H147)</f>
        <v>-245</v>
      </c>
      <c r="J147" s="39" t="n">
        <f aca="false">IF(OR(D147="",D147+G147=0),"",D147/(D147+G147))</f>
        <v>0.523420865862314</v>
      </c>
      <c r="K147" s="39" t="n">
        <f aca="false">IF(E147="","",E147/(E147+H147))</f>
        <v>0.482398956975228</v>
      </c>
      <c r="L147" s="53" t="n">
        <f aca="false">IF(OR(K147="",J147=""),"",(J147-K147)*100)</f>
        <v>4.10219088870856</v>
      </c>
      <c r="M147" s="38"/>
    </row>
    <row r="148" customFormat="false" ht="15" hidden="false" customHeight="false" outlineLevel="0" collapsed="false">
      <c r="A148" s="38" t="s">
        <v>156</v>
      </c>
      <c r="B148" s="38" t="s">
        <v>253</v>
      </c>
      <c r="C148" s="38" t="s">
        <v>261</v>
      </c>
      <c r="D148" s="21" t="n">
        <v>915</v>
      </c>
      <c r="E148" s="21" t="n">
        <v>890</v>
      </c>
      <c r="F148" s="52" t="n">
        <f aca="false">IF(E148="","",D148-E148)</f>
        <v>25</v>
      </c>
      <c r="G148" s="21" t="n">
        <v>773</v>
      </c>
      <c r="H148" s="21" t="n">
        <v>789</v>
      </c>
      <c r="I148" s="52" t="n">
        <f aca="false">IF(H148="","",G148-H148)</f>
        <v>-16</v>
      </c>
      <c r="J148" s="39" t="n">
        <f aca="false">IF(OR(D148="",D148+G148=0),"",D148/(D148+G148))</f>
        <v>0.542061611374408</v>
      </c>
      <c r="K148" s="39" t="n">
        <f aca="false">IF(E148="","",E148/(E148+H148))</f>
        <v>0.530077427039905</v>
      </c>
      <c r="L148" s="53" t="n">
        <f aca="false">IF(OR(K148="",J148=""),"",(J148-K148)*100)</f>
        <v>1.19841843345029</v>
      </c>
      <c r="M148" s="38"/>
    </row>
    <row r="149" customFormat="false" ht="15" hidden="false" customHeight="false" outlineLevel="0" collapsed="false">
      <c r="A149" s="38" t="s">
        <v>156</v>
      </c>
      <c r="B149" s="38" t="s">
        <v>253</v>
      </c>
      <c r="C149" s="38" t="s">
        <v>262</v>
      </c>
      <c r="D149" s="21" t="n">
        <v>765</v>
      </c>
      <c r="E149" s="21" t="n">
        <v>817</v>
      </c>
      <c r="F149" s="52" t="n">
        <f aca="false">IF(E149="","",D149-E149)</f>
        <v>-52</v>
      </c>
      <c r="G149" s="21" t="n">
        <v>695</v>
      </c>
      <c r="H149" s="21" t="n">
        <v>798</v>
      </c>
      <c r="I149" s="52" t="n">
        <f aca="false">IF(H149="","",G149-H149)</f>
        <v>-103</v>
      </c>
      <c r="J149" s="39" t="n">
        <f aca="false">IF(OR(D149="",D149+G149=0),"",D149/(D149+G149))</f>
        <v>0.523972602739726</v>
      </c>
      <c r="K149" s="39" t="n">
        <f aca="false">IF(E149="","",E149/(E149+H149))</f>
        <v>0.505882352941176</v>
      </c>
      <c r="L149" s="53" t="n">
        <f aca="false">IF(OR(K149="",J149=""),"",(J149-K149)*100)</f>
        <v>1.80902497985496</v>
      </c>
      <c r="M149" s="38"/>
    </row>
    <row r="150" customFormat="false" ht="15" hidden="false" customHeight="false" outlineLevel="0" collapsed="false">
      <c r="A150" s="38" t="s">
        <v>156</v>
      </c>
      <c r="B150" s="38" t="s">
        <v>253</v>
      </c>
      <c r="C150" s="38" t="s">
        <v>263</v>
      </c>
      <c r="D150" s="21" t="n">
        <v>623</v>
      </c>
      <c r="E150" s="21" t="n">
        <v>552</v>
      </c>
      <c r="F150" s="52" t="n">
        <f aca="false">IF(E150="","",D150-E150)</f>
        <v>71</v>
      </c>
      <c r="G150" s="21" t="n">
        <v>542</v>
      </c>
      <c r="H150" s="21" t="n">
        <v>556</v>
      </c>
      <c r="I150" s="52" t="n">
        <f aca="false">IF(H150="","",G150-H150)</f>
        <v>-14</v>
      </c>
      <c r="J150" s="39" t="n">
        <f aca="false">IF(OR(D150="",D150+G150=0),"",D150/(D150+G150))</f>
        <v>0.534763948497854</v>
      </c>
      <c r="K150" s="39" t="n">
        <f aca="false">IF(E150="","",E150/(E150+H150))</f>
        <v>0.498194945848375</v>
      </c>
      <c r="L150" s="53" t="n">
        <f aca="false">IF(OR(K150="",J150=""),"",(J150-K150)*100)</f>
        <v>3.65690026494786</v>
      </c>
      <c r="M150" s="38"/>
    </row>
    <row r="151" customFormat="false" ht="15" hidden="false" customHeight="false" outlineLevel="0" collapsed="false">
      <c r="A151" s="38" t="s">
        <v>156</v>
      </c>
      <c r="B151" s="38" t="s">
        <v>264</v>
      </c>
      <c r="C151" s="38" t="s">
        <v>264</v>
      </c>
      <c r="D151" s="21" t="n">
        <v>972</v>
      </c>
      <c r="E151" s="21" t="n">
        <v>985</v>
      </c>
      <c r="F151" s="52" t="n">
        <f aca="false">IF(E151="","",D151-E151)</f>
        <v>-13</v>
      </c>
      <c r="G151" s="21" t="n">
        <v>1549</v>
      </c>
      <c r="H151" s="21" t="n">
        <v>1586</v>
      </c>
      <c r="I151" s="52" t="n">
        <f aca="false">IF(H151="","",G151-H151)</f>
        <v>-37</v>
      </c>
      <c r="J151" s="39" t="n">
        <f aca="false">IF(OR(D151="",D151+G151=0),"",D151/(D151+G151))</f>
        <v>0.385561285204284</v>
      </c>
      <c r="K151" s="39" t="n">
        <f aca="false">IF(E151="","",E151/(E151+H151))</f>
        <v>0.383119408790354</v>
      </c>
      <c r="L151" s="53" t="n">
        <f aca="false">IF(OR(K151="",J151=""),"",(J151-K151)*100)</f>
        <v>0.244187641393007</v>
      </c>
      <c r="M151" s="38"/>
    </row>
    <row r="152" customFormat="false" ht="15" hidden="false" customHeight="false" outlineLevel="0" collapsed="false">
      <c r="A152" s="38" t="s">
        <v>156</v>
      </c>
      <c r="B152" s="38" t="s">
        <v>265</v>
      </c>
      <c r="C152" s="38" t="s">
        <v>265</v>
      </c>
      <c r="D152" s="21" t="n">
        <v>552</v>
      </c>
      <c r="E152" s="21" t="n">
        <v>543</v>
      </c>
      <c r="F152" s="52" t="n">
        <f aca="false">IF(E152="","",D152-E152)</f>
        <v>9</v>
      </c>
      <c r="G152" s="21" t="n">
        <v>937</v>
      </c>
      <c r="H152" s="21" t="n">
        <v>990</v>
      </c>
      <c r="I152" s="52" t="n">
        <f aca="false">IF(H152="","",G152-H152)</f>
        <v>-53</v>
      </c>
      <c r="J152" s="39" t="n">
        <f aca="false">IF(OR(D152="",D152+G152=0),"",D152/(D152+G152))</f>
        <v>0.370718603089322</v>
      </c>
      <c r="K152" s="39" t="n">
        <f aca="false">IF(E152="","",E152/(E152+H152))</f>
        <v>0.354207436399217</v>
      </c>
      <c r="L152" s="53" t="n">
        <f aca="false">IF(OR(K152="",J152=""),"",(J152-K152)*100)</f>
        <v>1.65111666901045</v>
      </c>
      <c r="M152" s="38"/>
    </row>
    <row r="153" customFormat="false" ht="15" hidden="false" customHeight="false" outlineLevel="0" collapsed="false">
      <c r="A153" s="38" t="s">
        <v>156</v>
      </c>
      <c r="B153" s="38" t="s">
        <v>266</v>
      </c>
      <c r="C153" s="38" t="s">
        <v>267</v>
      </c>
      <c r="D153" s="21" t="n">
        <v>193</v>
      </c>
      <c r="E153" s="21" t="n">
        <v>181</v>
      </c>
      <c r="F153" s="52" t="n">
        <f aca="false">IF(E153="","",D153-E153)</f>
        <v>12</v>
      </c>
      <c r="G153" s="21" t="n">
        <v>440</v>
      </c>
      <c r="H153" s="21" t="n">
        <v>482</v>
      </c>
      <c r="I153" s="52" t="n">
        <f aca="false">IF(H153="","",G153-H153)</f>
        <v>-42</v>
      </c>
      <c r="J153" s="39" t="n">
        <f aca="false">IF(OR(D153="",D153+G153=0),"",D153/(D153+G153))</f>
        <v>0.304897314375987</v>
      </c>
      <c r="K153" s="39" t="n">
        <f aca="false">IF(E153="","",E153/(E153+H153))</f>
        <v>0.273001508295626</v>
      </c>
      <c r="L153" s="53" t="n">
        <f aca="false">IF(OR(K153="",J153=""),"",(J153-K153)*100)</f>
        <v>3.18958060803615</v>
      </c>
      <c r="M153" s="38"/>
    </row>
    <row r="154" customFormat="false" ht="15" hidden="false" customHeight="false" outlineLevel="0" collapsed="false">
      <c r="A154" s="38" t="s">
        <v>156</v>
      </c>
      <c r="B154" s="38" t="s">
        <v>266</v>
      </c>
      <c r="C154" s="38" t="s">
        <v>268</v>
      </c>
      <c r="D154" s="21" t="n">
        <v>150</v>
      </c>
      <c r="E154" s="21" t="n">
        <v>147</v>
      </c>
      <c r="F154" s="52" t="n">
        <f aca="false">IF(E154="","",D154-E154)</f>
        <v>3</v>
      </c>
      <c r="G154" s="21" t="n">
        <v>301</v>
      </c>
      <c r="H154" s="21" t="n">
        <v>314</v>
      </c>
      <c r="I154" s="52" t="n">
        <f aca="false">IF(H154="","",G154-H154)</f>
        <v>-13</v>
      </c>
      <c r="J154" s="39" t="n">
        <f aca="false">IF(OR(D154="",D154+G154=0),"",D154/(D154+G154))</f>
        <v>0.332594235033259</v>
      </c>
      <c r="K154" s="39" t="n">
        <f aca="false">IF(E154="","",E154/(E154+H154))</f>
        <v>0.318872017353579</v>
      </c>
      <c r="L154" s="53" t="n">
        <f aca="false">IF(OR(K154="",J154=""),"",(J154-K154)*100)</f>
        <v>1.37222176796802</v>
      </c>
      <c r="M154" s="38"/>
    </row>
    <row r="155" customFormat="false" ht="15" hidden="false" customHeight="false" outlineLevel="0" collapsed="false">
      <c r="A155" s="38" t="s">
        <v>156</v>
      </c>
      <c r="B155" s="38" t="s">
        <v>266</v>
      </c>
      <c r="C155" s="38" t="s">
        <v>269</v>
      </c>
      <c r="D155" s="21" t="n">
        <v>538</v>
      </c>
      <c r="E155" s="21" t="n">
        <v>522</v>
      </c>
      <c r="F155" s="52" t="n">
        <f aca="false">IF(E155="","",D155-E155)</f>
        <v>16</v>
      </c>
      <c r="G155" s="21" t="n">
        <v>1012</v>
      </c>
      <c r="H155" s="21" t="n">
        <v>1060</v>
      </c>
      <c r="I155" s="52" t="n">
        <f aca="false">IF(H155="","",G155-H155)</f>
        <v>-48</v>
      </c>
      <c r="J155" s="39" t="n">
        <f aca="false">IF(OR(D155="",D155+G155=0),"",D155/(D155+G155))</f>
        <v>0.347096774193548</v>
      </c>
      <c r="K155" s="39" t="n">
        <f aca="false">IF(E155="","",E155/(E155+H155))</f>
        <v>0.329962073324905</v>
      </c>
      <c r="L155" s="53" t="n">
        <f aca="false">IF(OR(K155="",J155=""),"",(J155-K155)*100)</f>
        <v>1.71347008686432</v>
      </c>
      <c r="M155" s="38"/>
    </row>
    <row r="156" customFormat="false" ht="15" hidden="false" customHeight="false" outlineLevel="0" collapsed="false">
      <c r="A156" s="38" t="s">
        <v>156</v>
      </c>
      <c r="B156" s="38" t="s">
        <v>270</v>
      </c>
      <c r="C156" s="38" t="s">
        <v>270</v>
      </c>
      <c r="D156" s="21" t="n">
        <v>1022</v>
      </c>
      <c r="E156" s="21" t="n">
        <v>980</v>
      </c>
      <c r="F156" s="52" t="n">
        <f aca="false">IF(E156="","",D156-E156)</f>
        <v>42</v>
      </c>
      <c r="G156" s="21" t="n">
        <v>842</v>
      </c>
      <c r="H156" s="21" t="n">
        <v>872</v>
      </c>
      <c r="I156" s="52" t="n">
        <f aca="false">IF(H156="","",G156-H156)</f>
        <v>-30</v>
      </c>
      <c r="J156" s="39" t="n">
        <f aca="false">IF(OR(D156="",D156+G156=0),"",D156/(D156+G156))</f>
        <v>0.548283261802575</v>
      </c>
      <c r="K156" s="39" t="n">
        <f aca="false">IF(E156="","",E156/(E156+H156))</f>
        <v>0.529157667386609</v>
      </c>
      <c r="L156" s="53" t="n">
        <f aca="false">IF(OR(K156="",J156=""),"",(J156-K156)*100)</f>
        <v>1.91255944159661</v>
      </c>
      <c r="M156" s="38"/>
    </row>
    <row r="157" customFormat="false" ht="15" hidden="false" customHeight="false" outlineLevel="0" collapsed="false">
      <c r="A157" s="38" t="s">
        <v>156</v>
      </c>
      <c r="B157" s="38" t="s">
        <v>271</v>
      </c>
      <c r="C157" s="38" t="s">
        <v>272</v>
      </c>
      <c r="D157" s="21" t="n">
        <v>1009</v>
      </c>
      <c r="E157" s="21" t="n">
        <v>1010</v>
      </c>
      <c r="F157" s="52" t="n">
        <f aca="false">IF(E157="","",D157-E157)</f>
        <v>-1</v>
      </c>
      <c r="G157" s="21" t="n">
        <v>1297</v>
      </c>
      <c r="H157" s="21" t="n">
        <v>1334</v>
      </c>
      <c r="I157" s="52" t="n">
        <f aca="false">IF(H157="","",G157-H157)</f>
        <v>-37</v>
      </c>
      <c r="J157" s="39" t="n">
        <f aca="false">IF(OR(D157="",D157+G157=0),"",D157/(D157+G157))</f>
        <v>0.43755420641804</v>
      </c>
      <c r="K157" s="39" t="n">
        <f aca="false">IF(E157="","",E157/(E157+H157))</f>
        <v>0.430887372013652</v>
      </c>
      <c r="L157" s="53" t="n">
        <f aca="false">IF(OR(K157="",J157=""),"",(J157-K157)*100)</f>
        <v>0.666683440438798</v>
      </c>
      <c r="M157" s="38"/>
    </row>
    <row r="158" customFormat="false" ht="15" hidden="false" customHeight="false" outlineLevel="0" collapsed="false">
      <c r="A158" s="38" t="s">
        <v>156</v>
      </c>
      <c r="B158" s="38" t="s">
        <v>271</v>
      </c>
      <c r="C158" s="38" t="s">
        <v>273</v>
      </c>
      <c r="D158" s="21" t="n">
        <v>875</v>
      </c>
      <c r="E158" s="21" t="n">
        <v>860</v>
      </c>
      <c r="F158" s="52" t="n">
        <f aca="false">IF(E158="","",D158-E158)</f>
        <v>15</v>
      </c>
      <c r="G158" s="21" t="n">
        <v>1273</v>
      </c>
      <c r="H158" s="21" t="n">
        <v>1332</v>
      </c>
      <c r="I158" s="52" t="n">
        <f aca="false">IF(H158="","",G158-H158)</f>
        <v>-59</v>
      </c>
      <c r="J158" s="39" t="n">
        <f aca="false">IF(OR(D158="",D158+G158=0),"",D158/(D158+G158))</f>
        <v>0.407355679702048</v>
      </c>
      <c r="K158" s="39" t="n">
        <f aca="false">IF(E158="","",E158/(E158+H158))</f>
        <v>0.392335766423358</v>
      </c>
      <c r="L158" s="53" t="n">
        <f aca="false">IF(OR(K158="",J158=""),"",(J158-K158)*100)</f>
        <v>1.50199132786907</v>
      </c>
      <c r="M158" s="38"/>
    </row>
    <row r="159" customFormat="false" ht="15" hidden="false" customHeight="false" outlineLevel="0" collapsed="false">
      <c r="A159" s="38" t="s">
        <v>156</v>
      </c>
      <c r="B159" s="38" t="s">
        <v>271</v>
      </c>
      <c r="C159" s="38" t="s">
        <v>274</v>
      </c>
      <c r="D159" s="21" t="n">
        <v>481</v>
      </c>
      <c r="E159" s="21" t="n">
        <v>449</v>
      </c>
      <c r="F159" s="52" t="n">
        <f aca="false">IF(E159="","",D159-E159)</f>
        <v>32</v>
      </c>
      <c r="G159" s="21" t="n">
        <v>678</v>
      </c>
      <c r="H159" s="21" t="n">
        <v>705</v>
      </c>
      <c r="I159" s="52" t="n">
        <f aca="false">IF(H159="","",G159-H159)</f>
        <v>-27</v>
      </c>
      <c r="J159" s="39" t="n">
        <f aca="false">IF(OR(D159="",D159+G159=0),"",D159/(D159+G159))</f>
        <v>0.415012942191544</v>
      </c>
      <c r="K159" s="39" t="n">
        <f aca="false">IF(E159="","",E159/(E159+H159))</f>
        <v>0.389081455805893</v>
      </c>
      <c r="L159" s="53" t="n">
        <f aca="false">IF(OR(K159="",J159=""),"",(J159-K159)*100)</f>
        <v>2.59314863856519</v>
      </c>
      <c r="M159" s="38"/>
    </row>
    <row r="160" customFormat="false" ht="15" hidden="false" customHeight="false" outlineLevel="0" collapsed="false">
      <c r="A160" s="38" t="s">
        <v>156</v>
      </c>
      <c r="B160" s="38" t="s">
        <v>271</v>
      </c>
      <c r="C160" s="38" t="s">
        <v>275</v>
      </c>
      <c r="D160" s="21" t="n">
        <v>650</v>
      </c>
      <c r="E160" s="21" t="n">
        <v>654</v>
      </c>
      <c r="F160" s="52" t="n">
        <f aca="false">IF(E160="","",D160-E160)</f>
        <v>-4</v>
      </c>
      <c r="G160" s="21" t="n">
        <v>913</v>
      </c>
      <c r="H160" s="21" t="n">
        <v>979</v>
      </c>
      <c r="I160" s="52" t="n">
        <f aca="false">IF(H160="","",G160-H160)</f>
        <v>-66</v>
      </c>
      <c r="J160" s="39" t="n">
        <f aca="false">IF(OR(D160="",D160+G160=0),"",D160/(D160+G160))</f>
        <v>0.415866922584773</v>
      </c>
      <c r="K160" s="39" t="n">
        <f aca="false">IF(E160="","",E160/(E160+H160))</f>
        <v>0.400489895897122</v>
      </c>
      <c r="L160" s="53" t="n">
        <f aca="false">IF(OR(K160="",J160=""),"",(J160-K160)*100)</f>
        <v>1.5377026687651</v>
      </c>
      <c r="M160" s="38"/>
    </row>
    <row r="161" customFormat="false" ht="15" hidden="false" customHeight="false" outlineLevel="0" collapsed="false">
      <c r="A161" s="38" t="s">
        <v>156</v>
      </c>
      <c r="B161" s="38" t="s">
        <v>271</v>
      </c>
      <c r="C161" s="38" t="s">
        <v>276</v>
      </c>
      <c r="D161" s="21" t="n">
        <v>578</v>
      </c>
      <c r="E161" s="21" t="n">
        <v>557</v>
      </c>
      <c r="F161" s="52" t="n">
        <f aca="false">IF(E161="","",D161-E161)</f>
        <v>21</v>
      </c>
      <c r="G161" s="21" t="n">
        <v>864</v>
      </c>
      <c r="H161" s="21" t="n">
        <v>890</v>
      </c>
      <c r="I161" s="52" t="n">
        <f aca="false">IF(H161="","",G161-H161)</f>
        <v>-26</v>
      </c>
      <c r="J161" s="39" t="n">
        <f aca="false">IF(OR(D161="",D161+G161=0),"",D161/(D161+G161))</f>
        <v>0.400832177531207</v>
      </c>
      <c r="K161" s="39" t="n">
        <f aca="false">IF(E161="","",E161/(E161+H161))</f>
        <v>0.384934346924672</v>
      </c>
      <c r="L161" s="53" t="n">
        <f aca="false">IF(OR(K161="",J161=""),"",(J161-K161)*100)</f>
        <v>1.58978306065349</v>
      </c>
      <c r="M161" s="38"/>
    </row>
    <row r="162" customFormat="false" ht="15" hidden="false" customHeight="false" outlineLevel="0" collapsed="false">
      <c r="A162" s="38" t="s">
        <v>156</v>
      </c>
      <c r="B162" s="38" t="s">
        <v>271</v>
      </c>
      <c r="C162" s="38" t="s">
        <v>277</v>
      </c>
      <c r="D162" s="21" t="n">
        <v>514</v>
      </c>
      <c r="E162" s="21" t="n">
        <v>492</v>
      </c>
      <c r="F162" s="52" t="n">
        <f aca="false">IF(E162="","",D162-E162)</f>
        <v>22</v>
      </c>
      <c r="G162" s="21" t="n">
        <v>640</v>
      </c>
      <c r="H162" s="21" t="n">
        <v>675</v>
      </c>
      <c r="I162" s="52" t="n">
        <f aca="false">IF(H162="","",G162-H162)</f>
        <v>-35</v>
      </c>
      <c r="J162" s="39" t="n">
        <f aca="false">IF(OR(D162="",D162+G162=0),"",D162/(D162+G162))</f>
        <v>0.445407279029463</v>
      </c>
      <c r="K162" s="39" t="n">
        <f aca="false">IF(E162="","",E162/(E162+H162))</f>
        <v>0.42159383033419</v>
      </c>
      <c r="L162" s="53" t="n">
        <f aca="false">IF(OR(K162="",J162=""),"",(J162-K162)*100)</f>
        <v>2.38134486952725</v>
      </c>
      <c r="M162" s="38"/>
    </row>
    <row r="163" customFormat="false" ht="15" hidden="false" customHeight="false" outlineLevel="0" collapsed="false">
      <c r="A163" s="38" t="s">
        <v>156</v>
      </c>
      <c r="B163" s="38" t="s">
        <v>278</v>
      </c>
      <c r="C163" s="38" t="s">
        <v>279</v>
      </c>
      <c r="D163" s="21" t="n">
        <v>707</v>
      </c>
      <c r="E163" s="21" t="n">
        <v>668</v>
      </c>
      <c r="F163" s="52" t="n">
        <f aca="false">IF(E163="","",D163-E163)</f>
        <v>39</v>
      </c>
      <c r="G163" s="21" t="n">
        <v>686</v>
      </c>
      <c r="H163" s="21" t="n">
        <v>693</v>
      </c>
      <c r="I163" s="52" t="n">
        <f aca="false">IF(H163="","",G163-H163)</f>
        <v>-7</v>
      </c>
      <c r="J163" s="39" t="n">
        <f aca="false">IF(OR(D163="",D163+G163=0),"",D163/(D163+G163))</f>
        <v>0.507537688442211</v>
      </c>
      <c r="K163" s="39" t="n">
        <f aca="false">IF(E163="","",E163/(E163+H163))</f>
        <v>0.490815576781778</v>
      </c>
      <c r="L163" s="53" t="n">
        <f aca="false">IF(OR(K163="",J163=""),"",(J163-K163)*100)</f>
        <v>1.67221116604329</v>
      </c>
      <c r="M163" s="38"/>
    </row>
    <row r="164" customFormat="false" ht="15" hidden="false" customHeight="false" outlineLevel="0" collapsed="false">
      <c r="A164" s="38" t="s">
        <v>156</v>
      </c>
      <c r="B164" s="38" t="s">
        <v>278</v>
      </c>
      <c r="C164" s="38" t="s">
        <v>280</v>
      </c>
      <c r="D164" s="21" t="n">
        <v>833</v>
      </c>
      <c r="E164" s="21" t="n">
        <v>803</v>
      </c>
      <c r="F164" s="52" t="n">
        <f aca="false">IF(E164="","",D164-E164)</f>
        <v>30</v>
      </c>
      <c r="G164" s="21" t="n">
        <v>755</v>
      </c>
      <c r="H164" s="21" t="n">
        <v>818</v>
      </c>
      <c r="I164" s="52" t="n">
        <f aca="false">IF(H164="","",G164-H164)</f>
        <v>-63</v>
      </c>
      <c r="J164" s="39" t="n">
        <f aca="false">IF(OR(D164="",D164+G164=0),"",D164/(D164+G164))</f>
        <v>0.52455919395466</v>
      </c>
      <c r="K164" s="39" t="n">
        <f aca="false">IF(E164="","",E164/(E164+H164))</f>
        <v>0.495373226403455</v>
      </c>
      <c r="L164" s="53" t="n">
        <f aca="false">IF(OR(K164="",J164=""),"",(J164-K164)*100)</f>
        <v>2.91859675512053</v>
      </c>
      <c r="M164" s="38"/>
    </row>
    <row r="165" customFormat="false" ht="15" hidden="false" customHeight="false" outlineLevel="0" collapsed="false">
      <c r="A165" s="38" t="s">
        <v>156</v>
      </c>
      <c r="B165" s="38" t="s">
        <v>278</v>
      </c>
      <c r="C165" s="38" t="s">
        <v>281</v>
      </c>
      <c r="D165" s="21" t="n">
        <v>385</v>
      </c>
      <c r="E165" s="21" t="n">
        <v>342</v>
      </c>
      <c r="F165" s="52" t="n">
        <f aca="false">IF(E165="","",D165-E165)</f>
        <v>43</v>
      </c>
      <c r="G165" s="21" t="n">
        <v>352</v>
      </c>
      <c r="H165" s="21" t="n">
        <v>358</v>
      </c>
      <c r="I165" s="52" t="n">
        <f aca="false">IF(H165="","",G165-H165)</f>
        <v>-6</v>
      </c>
      <c r="J165" s="39" t="n">
        <f aca="false">IF(OR(D165="",D165+G165=0),"",D165/(D165+G165))</f>
        <v>0.522388059701493</v>
      </c>
      <c r="K165" s="39" t="n">
        <f aca="false">IF(E165="","",E165/(E165+H165))</f>
        <v>0.488571428571429</v>
      </c>
      <c r="L165" s="53" t="n">
        <f aca="false">IF(OR(K165="",J165=""),"",(J165-K165)*100)</f>
        <v>3.38166311300639</v>
      </c>
      <c r="M165" s="38"/>
    </row>
    <row r="166" customFormat="false" ht="15" hidden="false" customHeight="false" outlineLevel="0" collapsed="false">
      <c r="A166" s="38" t="s">
        <v>156</v>
      </c>
      <c r="B166" s="38" t="s">
        <v>278</v>
      </c>
      <c r="C166" s="38" t="s">
        <v>282</v>
      </c>
      <c r="D166" s="21" t="n">
        <v>412</v>
      </c>
      <c r="E166" s="21" t="n">
        <v>411</v>
      </c>
      <c r="F166" s="52" t="n">
        <f aca="false">IF(E166="","",D166-E166)</f>
        <v>1</v>
      </c>
      <c r="G166" s="21" t="n">
        <v>382</v>
      </c>
      <c r="H166" s="21" t="n">
        <v>417</v>
      </c>
      <c r="I166" s="52" t="n">
        <f aca="false">IF(H166="","",G166-H166)</f>
        <v>-35</v>
      </c>
      <c r="J166" s="39" t="n">
        <f aca="false">IF(OR(D166="",D166+G166=0),"",D166/(D166+G166))</f>
        <v>0.518891687657431</v>
      </c>
      <c r="K166" s="39" t="n">
        <f aca="false">IF(E166="","",E166/(E166+H166))</f>
        <v>0.496376811594203</v>
      </c>
      <c r="L166" s="53" t="n">
        <f aca="false">IF(OR(K166="",J166=""),"",(J166-K166)*100)</f>
        <v>2.25148760632279</v>
      </c>
      <c r="M166" s="38"/>
    </row>
    <row r="167" customFormat="false" ht="15" hidden="false" customHeight="false" outlineLevel="0" collapsed="false">
      <c r="A167" s="38" t="s">
        <v>156</v>
      </c>
      <c r="B167" s="38" t="s">
        <v>278</v>
      </c>
      <c r="C167" s="38" t="s">
        <v>283</v>
      </c>
      <c r="D167" s="21" t="n">
        <v>542</v>
      </c>
      <c r="E167" s="21" t="n">
        <v>525</v>
      </c>
      <c r="F167" s="52" t="n">
        <f aca="false">IF(E167="","",D167-E167)</f>
        <v>17</v>
      </c>
      <c r="G167" s="21" t="n">
        <v>553</v>
      </c>
      <c r="H167" s="21" t="n">
        <v>552</v>
      </c>
      <c r="I167" s="52" t="n">
        <f aca="false">IF(H167="","",G167-H167)</f>
        <v>1</v>
      </c>
      <c r="J167" s="39" t="n">
        <f aca="false">IF(OR(D167="",D167+G167=0),"",D167/(D167+G167))</f>
        <v>0.494977168949772</v>
      </c>
      <c r="K167" s="39" t="n">
        <f aca="false">IF(E167="","",E167/(E167+H167))</f>
        <v>0.487465181058496</v>
      </c>
      <c r="L167" s="53" t="n">
        <f aca="false">IF(OR(K167="",J167=""),"",(J167-K167)*100)</f>
        <v>0.751198789127583</v>
      </c>
      <c r="M167" s="38"/>
    </row>
    <row r="168" customFormat="false" ht="15" hidden="false" customHeight="false" outlineLevel="0" collapsed="false">
      <c r="A168" s="38" t="s">
        <v>156</v>
      </c>
      <c r="B168" s="38" t="s">
        <v>278</v>
      </c>
      <c r="C168" s="38" t="s">
        <v>284</v>
      </c>
      <c r="D168" s="21" t="n">
        <v>331</v>
      </c>
      <c r="E168" s="21" t="n">
        <v>313</v>
      </c>
      <c r="F168" s="52" t="n">
        <f aca="false">IF(E168="","",D168-E168)</f>
        <v>18</v>
      </c>
      <c r="G168" s="21" t="n">
        <v>333</v>
      </c>
      <c r="H168" s="21" t="n">
        <v>360</v>
      </c>
      <c r="I168" s="52" t="n">
        <f aca="false">IF(H168="","",G168-H168)</f>
        <v>-27</v>
      </c>
      <c r="J168" s="39" t="n">
        <f aca="false">IF(OR(D168="",D168+G168=0),"",D168/(D168+G168))</f>
        <v>0.498493975903614</v>
      </c>
      <c r="K168" s="39" t="n">
        <f aca="false">IF(E168="","",E168/(E168+H168))</f>
        <v>0.465081723625557</v>
      </c>
      <c r="L168" s="53" t="n">
        <f aca="false">IF(OR(K168="",J168=""),"",(J168-K168)*100)</f>
        <v>3.34122522780572</v>
      </c>
      <c r="M168" s="38"/>
    </row>
    <row r="169" customFormat="false" ht="15" hidden="false" customHeight="false" outlineLevel="0" collapsed="false">
      <c r="A169" s="38" t="s">
        <v>156</v>
      </c>
      <c r="B169" s="38" t="s">
        <v>278</v>
      </c>
      <c r="C169" s="38" t="s">
        <v>285</v>
      </c>
      <c r="D169" s="21" t="n">
        <v>416</v>
      </c>
      <c r="E169" s="21" t="n">
        <v>415</v>
      </c>
      <c r="F169" s="52" t="n">
        <f aca="false">IF(E169="","",D169-E169)</f>
        <v>1</v>
      </c>
      <c r="G169" s="21" t="n">
        <v>360</v>
      </c>
      <c r="H169" s="21" t="n">
        <v>371</v>
      </c>
      <c r="I169" s="52" t="n">
        <f aca="false">IF(H169="","",G169-H169)</f>
        <v>-11</v>
      </c>
      <c r="J169" s="39" t="n">
        <f aca="false">IF(OR(D169="",D169+G169=0),"",D169/(D169+G169))</f>
        <v>0.536082474226804</v>
      </c>
      <c r="K169" s="39" t="n">
        <f aca="false">IF(E169="","",E169/(E169+H169))</f>
        <v>0.527989821882952</v>
      </c>
      <c r="L169" s="53" t="n">
        <f aca="false">IF(OR(K169="",J169=""),"",(J169-K169)*100)</f>
        <v>0.809265234385248</v>
      </c>
      <c r="M169" s="38"/>
    </row>
    <row r="170" customFormat="false" ht="15" hidden="false" customHeight="false" outlineLevel="0" collapsed="false">
      <c r="A170" s="38" t="s">
        <v>156</v>
      </c>
      <c r="B170" s="38" t="s">
        <v>278</v>
      </c>
      <c r="C170" s="38" t="s">
        <v>286</v>
      </c>
      <c r="D170" s="21" t="n">
        <v>589</v>
      </c>
      <c r="E170" s="21" t="n">
        <v>533</v>
      </c>
      <c r="F170" s="52" t="n">
        <f aca="false">IF(E170="","",D170-E170)</f>
        <v>56</v>
      </c>
      <c r="G170" s="21" t="n">
        <v>546</v>
      </c>
      <c r="H170" s="21" t="n">
        <v>535</v>
      </c>
      <c r="I170" s="52" t="n">
        <f aca="false">IF(H170="","",G170-H170)</f>
        <v>11</v>
      </c>
      <c r="J170" s="39" t="n">
        <f aca="false">IF(OR(D170="",D170+G170=0),"",D170/(D170+G170))</f>
        <v>0.518942731277533</v>
      </c>
      <c r="K170" s="39" t="n">
        <f aca="false">IF(E170="","",E170/(E170+H170))</f>
        <v>0.499063670411985</v>
      </c>
      <c r="L170" s="53" t="n">
        <f aca="false">IF(OR(K170="",J170=""),"",(J170-K170)*100)</f>
        <v>1.9879060865548</v>
      </c>
      <c r="M170" s="38"/>
    </row>
    <row r="171" customFormat="false" ht="15" hidden="false" customHeight="false" outlineLevel="0" collapsed="false">
      <c r="A171" s="38" t="s">
        <v>156</v>
      </c>
      <c r="B171" s="38" t="s">
        <v>287</v>
      </c>
      <c r="C171" s="38" t="s">
        <v>288</v>
      </c>
      <c r="D171" s="21" t="n">
        <v>255</v>
      </c>
      <c r="E171" s="21" t="n">
        <v>242</v>
      </c>
      <c r="F171" s="52" t="n">
        <f aca="false">IF(E171="","",D171-E171)</f>
        <v>13</v>
      </c>
      <c r="G171" s="21" t="n">
        <v>298</v>
      </c>
      <c r="H171" s="21" t="n">
        <v>337</v>
      </c>
      <c r="I171" s="52" t="n">
        <f aca="false">IF(H171="","",G171-H171)</f>
        <v>-39</v>
      </c>
      <c r="J171" s="39" t="n">
        <f aca="false">IF(OR(D171="",D171+G171=0),"",D171/(D171+G171))</f>
        <v>0.461121157323689</v>
      </c>
      <c r="K171" s="39" t="n">
        <f aca="false">IF(E171="","",E171/(E171+H171))</f>
        <v>0.417962003454231</v>
      </c>
      <c r="L171" s="53" t="n">
        <f aca="false">IF(OR(K171="",J171=""),"",(J171-K171)*100)</f>
        <v>4.31591538694575</v>
      </c>
      <c r="M171" s="38"/>
    </row>
    <row r="172" customFormat="false" ht="15" hidden="false" customHeight="false" outlineLevel="0" collapsed="false">
      <c r="A172" s="38" t="s">
        <v>156</v>
      </c>
      <c r="B172" s="38" t="s">
        <v>287</v>
      </c>
      <c r="C172" s="38" t="s">
        <v>289</v>
      </c>
      <c r="D172" s="21" t="n">
        <v>204</v>
      </c>
      <c r="E172" s="21" t="n">
        <v>187</v>
      </c>
      <c r="F172" s="52" t="n">
        <f aca="false">IF(E172="","",D172-E172)</f>
        <v>17</v>
      </c>
      <c r="G172" s="21" t="n">
        <v>264</v>
      </c>
      <c r="H172" s="21" t="n">
        <v>292</v>
      </c>
      <c r="I172" s="52" t="n">
        <f aca="false">IF(H172="","",G172-H172)</f>
        <v>-28</v>
      </c>
      <c r="J172" s="39" t="n">
        <f aca="false">IF(OR(D172="",D172+G172=0),"",D172/(D172+G172))</f>
        <v>0.435897435897436</v>
      </c>
      <c r="K172" s="39" t="n">
        <f aca="false">IF(E172="","",E172/(E172+H172))</f>
        <v>0.390396659707724</v>
      </c>
      <c r="L172" s="53" t="n">
        <f aca="false">IF(OR(K172="",J172=""),"",(J172-K172)*100)</f>
        <v>4.55007761897115</v>
      </c>
      <c r="M172" s="38"/>
    </row>
    <row r="173" customFormat="false" ht="15" hidden="false" customHeight="false" outlineLevel="0" collapsed="false">
      <c r="A173" s="38" t="s">
        <v>156</v>
      </c>
      <c r="B173" s="38" t="s">
        <v>287</v>
      </c>
      <c r="C173" s="38" t="s">
        <v>290</v>
      </c>
      <c r="D173" s="21" t="n">
        <v>384</v>
      </c>
      <c r="E173" s="21" t="n">
        <v>371</v>
      </c>
      <c r="F173" s="52" t="n">
        <f aca="false">IF(E173="","",D173-E173)</f>
        <v>13</v>
      </c>
      <c r="G173" s="21" t="n">
        <v>493</v>
      </c>
      <c r="H173" s="21" t="n">
        <v>527</v>
      </c>
      <c r="I173" s="52" t="n">
        <f aca="false">IF(H173="","",G173-H173)</f>
        <v>-34</v>
      </c>
      <c r="J173" s="39" t="n">
        <f aca="false">IF(OR(D173="",D173+G173=0),"",D173/(D173+G173))</f>
        <v>0.437856328392246</v>
      </c>
      <c r="K173" s="39" t="n">
        <f aca="false">IF(E173="","",E173/(E173+H173))</f>
        <v>0.413140311804009</v>
      </c>
      <c r="L173" s="53" t="n">
        <f aca="false">IF(OR(K173="",J173=""),"",(J173-K173)*100)</f>
        <v>2.47160165882374</v>
      </c>
      <c r="M173" s="38"/>
    </row>
    <row r="174" customFormat="false" ht="15" hidden="false" customHeight="false" outlineLevel="0" collapsed="false">
      <c r="A174" s="38" t="s">
        <v>156</v>
      </c>
      <c r="B174" s="38" t="s">
        <v>291</v>
      </c>
      <c r="C174" s="38" t="s">
        <v>292</v>
      </c>
      <c r="D174" s="21" t="n">
        <v>956</v>
      </c>
      <c r="E174" s="21" t="n">
        <v>912</v>
      </c>
      <c r="F174" s="52" t="n">
        <f aca="false">IF(E174="","",D174-E174)</f>
        <v>44</v>
      </c>
      <c r="G174" s="21" t="n">
        <v>887</v>
      </c>
      <c r="H174" s="21" t="n">
        <v>964</v>
      </c>
      <c r="I174" s="52" t="n">
        <f aca="false">IF(H174="","",G174-H174)</f>
        <v>-77</v>
      </c>
      <c r="J174" s="39" t="n">
        <f aca="false">IF(OR(D174="",D174+G174=0),"",D174/(D174+G174))</f>
        <v>0.518719479110147</v>
      </c>
      <c r="K174" s="39" t="n">
        <f aca="false">IF(E174="","",E174/(E174+H174))</f>
        <v>0.486140724946695</v>
      </c>
      <c r="L174" s="53" t="n">
        <f aca="false">IF(OR(K174="",J174=""),"",(J174-K174)*100)</f>
        <v>3.25787541634514</v>
      </c>
      <c r="M174" s="38"/>
    </row>
    <row r="175" customFormat="false" ht="15" hidden="false" customHeight="false" outlineLevel="0" collapsed="false">
      <c r="A175" s="38" t="s">
        <v>156</v>
      </c>
      <c r="B175" s="38" t="s">
        <v>291</v>
      </c>
      <c r="C175" s="38" t="s">
        <v>293</v>
      </c>
      <c r="D175" s="21" t="n">
        <v>461</v>
      </c>
      <c r="E175" s="21" t="n">
        <v>449</v>
      </c>
      <c r="F175" s="52" t="n">
        <f aca="false">IF(E175="","",D175-E175)</f>
        <v>12</v>
      </c>
      <c r="G175" s="21" t="n">
        <v>440</v>
      </c>
      <c r="H175" s="21" t="n">
        <v>448</v>
      </c>
      <c r="I175" s="52" t="n">
        <f aca="false">IF(H175="","",G175-H175)</f>
        <v>-8</v>
      </c>
      <c r="J175" s="39" t="n">
        <f aca="false">IF(OR(D175="",D175+G175=0),"",D175/(D175+G175))</f>
        <v>0.51165371809101</v>
      </c>
      <c r="K175" s="39" t="n">
        <f aca="false">IF(E175="","",E175/(E175+H175))</f>
        <v>0.500557413600892</v>
      </c>
      <c r="L175" s="53" t="n">
        <f aca="false">IF(OR(K175="",J175=""),"",(J175-K175)*100)</f>
        <v>1.10963044901181</v>
      </c>
      <c r="M175" s="38"/>
    </row>
    <row r="176" customFormat="false" ht="15" hidden="false" customHeight="false" outlineLevel="0" collapsed="false">
      <c r="A176" s="38" t="s">
        <v>156</v>
      </c>
      <c r="B176" s="38" t="s">
        <v>291</v>
      </c>
      <c r="C176" s="38" t="s">
        <v>294</v>
      </c>
      <c r="D176" s="21" t="n">
        <v>1133</v>
      </c>
      <c r="E176" s="21" t="n">
        <v>1161</v>
      </c>
      <c r="F176" s="52" t="n">
        <f aca="false">IF(E176="","",D176-E176)</f>
        <v>-28</v>
      </c>
      <c r="G176" s="21" t="n">
        <v>835</v>
      </c>
      <c r="H176" s="21" t="n">
        <v>915</v>
      </c>
      <c r="I176" s="52" t="n">
        <f aca="false">IF(H176="","",G176-H176)</f>
        <v>-80</v>
      </c>
      <c r="J176" s="39" t="n">
        <f aca="false">IF(OR(D176="",D176+G176=0),"",D176/(D176+G176))</f>
        <v>0.575711382113821</v>
      </c>
      <c r="K176" s="39" t="n">
        <f aca="false">IF(E176="","",E176/(E176+H176))</f>
        <v>0.559248554913295</v>
      </c>
      <c r="L176" s="53" t="n">
        <f aca="false">IF(OR(K176="",J176=""),"",(J176-K176)*100)</f>
        <v>1.64628272005263</v>
      </c>
      <c r="M176" s="38"/>
    </row>
    <row r="177" customFormat="false" ht="15" hidden="false" customHeight="false" outlineLevel="0" collapsed="false">
      <c r="A177" s="38" t="s">
        <v>156</v>
      </c>
      <c r="B177" s="38" t="s">
        <v>291</v>
      </c>
      <c r="C177" s="38" t="s">
        <v>295</v>
      </c>
      <c r="D177" s="21" t="n">
        <v>566</v>
      </c>
      <c r="E177" s="21" t="n">
        <v>534</v>
      </c>
      <c r="F177" s="52" t="n">
        <f aca="false">IF(E177="","",D177-E177)</f>
        <v>32</v>
      </c>
      <c r="G177" s="21" t="n">
        <v>540</v>
      </c>
      <c r="H177" s="21" t="n">
        <v>577</v>
      </c>
      <c r="I177" s="52" t="n">
        <f aca="false">IF(H177="","",G177-H177)</f>
        <v>-37</v>
      </c>
      <c r="J177" s="39" t="n">
        <f aca="false">IF(OR(D177="",D177+G177=0),"",D177/(D177+G177))</f>
        <v>0.511754068716094</v>
      </c>
      <c r="K177" s="39" t="n">
        <f aca="false">IF(E177="","",E177/(E177+H177))</f>
        <v>0.480648064806481</v>
      </c>
      <c r="L177" s="53" t="n">
        <f aca="false">IF(OR(K177="",J177=""),"",(J177-K177)*100)</f>
        <v>3.11060039096134</v>
      </c>
      <c r="M177" s="38"/>
    </row>
    <row r="178" customFormat="false" ht="15" hidden="false" customHeight="false" outlineLevel="0" collapsed="false">
      <c r="A178" s="38" t="s">
        <v>156</v>
      </c>
      <c r="B178" s="38" t="s">
        <v>291</v>
      </c>
      <c r="C178" s="38" t="s">
        <v>296</v>
      </c>
      <c r="D178" s="21" t="n">
        <v>1104</v>
      </c>
      <c r="E178" s="21" t="n">
        <v>1123</v>
      </c>
      <c r="F178" s="52" t="n">
        <f aca="false">IF(E178="","",D178-E178)</f>
        <v>-19</v>
      </c>
      <c r="G178" s="21" t="n">
        <v>734</v>
      </c>
      <c r="H178" s="21" t="n">
        <v>741</v>
      </c>
      <c r="I178" s="52" t="n">
        <f aca="false">IF(H178="","",G178-H178)</f>
        <v>-7</v>
      </c>
      <c r="J178" s="39" t="n">
        <f aca="false">IF(OR(D178="",D178+G178=0),"",D178/(D178+G178))</f>
        <v>0.600652883569097</v>
      </c>
      <c r="K178" s="39" t="n">
        <f aca="false">IF(E178="","",E178/(E178+H178))</f>
        <v>0.602467811158798</v>
      </c>
      <c r="L178" s="53" t="n">
        <f aca="false">IF(OR(K178="",J178=""),"",(J178-K178)*100)</f>
        <v>-0.181492758970148</v>
      </c>
      <c r="M178" s="38"/>
    </row>
    <row r="179" customFormat="false" ht="15" hidden="false" customHeight="false" outlineLevel="0" collapsed="false">
      <c r="A179" s="38" t="s">
        <v>156</v>
      </c>
      <c r="B179" s="38" t="s">
        <v>291</v>
      </c>
      <c r="C179" s="38" t="s">
        <v>297</v>
      </c>
      <c r="D179" s="21" t="n">
        <v>966</v>
      </c>
      <c r="E179" s="21" t="n">
        <v>1054</v>
      </c>
      <c r="F179" s="52" t="n">
        <f aca="false">IF(E179="","",D179-E179)</f>
        <v>-88</v>
      </c>
      <c r="G179" s="21" t="n">
        <v>650</v>
      </c>
      <c r="H179" s="21" t="n">
        <v>706</v>
      </c>
      <c r="I179" s="52" t="n">
        <f aca="false">IF(H179="","",G179-H179)</f>
        <v>-56</v>
      </c>
      <c r="J179" s="39" t="n">
        <f aca="false">IF(OR(D179="",D179+G179=0),"",D179/(D179+G179))</f>
        <v>0.597772277227723</v>
      </c>
      <c r="K179" s="39" t="n">
        <f aca="false">IF(E179="","",E179/(E179+H179))</f>
        <v>0.598863636363636</v>
      </c>
      <c r="L179" s="53" t="n">
        <f aca="false">IF(OR(K179="",J179=""),"",(J179-K179)*100)</f>
        <v>-0.109135913591363</v>
      </c>
      <c r="M179" s="38"/>
    </row>
    <row r="180" customFormat="false" ht="15" hidden="false" customHeight="false" outlineLevel="0" collapsed="false">
      <c r="A180" s="38" t="s">
        <v>156</v>
      </c>
      <c r="B180" s="38" t="s">
        <v>291</v>
      </c>
      <c r="C180" s="38" t="s">
        <v>298</v>
      </c>
      <c r="D180" s="21" t="n">
        <v>483</v>
      </c>
      <c r="E180" s="21" t="n">
        <v>469</v>
      </c>
      <c r="F180" s="52" t="n">
        <f aca="false">IF(E180="","",D180-E180)</f>
        <v>14</v>
      </c>
      <c r="G180" s="21" t="n">
        <v>406</v>
      </c>
      <c r="H180" s="21" t="n">
        <v>468</v>
      </c>
      <c r="I180" s="52" t="n">
        <f aca="false">IF(H180="","",G180-H180)</f>
        <v>-62</v>
      </c>
      <c r="J180" s="39" t="n">
        <f aca="false">IF(OR(D180="",D180+G180=0),"",D180/(D180+G180))</f>
        <v>0.543307086614173</v>
      </c>
      <c r="K180" s="39" t="n">
        <f aca="false">IF(E180="","",E180/(E180+H180))</f>
        <v>0.500533617929562</v>
      </c>
      <c r="L180" s="53" t="n">
        <f aca="false">IF(OR(K180="",J180=""),"",(J180-K180)*100)</f>
        <v>4.27734686846109</v>
      </c>
      <c r="M180" s="38"/>
    </row>
    <row r="181" customFormat="false" ht="15" hidden="false" customHeight="false" outlineLevel="0" collapsed="false">
      <c r="A181" s="38" t="s">
        <v>156</v>
      </c>
      <c r="B181" s="38" t="s">
        <v>291</v>
      </c>
      <c r="C181" s="38" t="s">
        <v>299</v>
      </c>
      <c r="D181" s="21" t="n">
        <v>1242</v>
      </c>
      <c r="E181" s="21" t="n">
        <v>1317</v>
      </c>
      <c r="F181" s="52" t="n">
        <f aca="false">IF(E181="","",D181-E181)</f>
        <v>-75</v>
      </c>
      <c r="G181" s="21" t="n">
        <v>1145</v>
      </c>
      <c r="H181" s="21" t="n">
        <v>1291</v>
      </c>
      <c r="I181" s="52" t="n">
        <f aca="false">IF(H181="","",G181-H181)</f>
        <v>-146</v>
      </c>
      <c r="J181" s="39" t="n">
        <f aca="false">IF(OR(D181="",D181+G181=0),"",D181/(D181+G181))</f>
        <v>0.520318391286133</v>
      </c>
      <c r="K181" s="39" t="n">
        <f aca="false">IF(E181="","",E181/(E181+H181))</f>
        <v>0.504984662576687</v>
      </c>
      <c r="L181" s="53" t="n">
        <f aca="false">IF(OR(K181="",J181=""),"",(J181-K181)*100)</f>
        <v>1.5333728709446</v>
      </c>
      <c r="M181" s="38"/>
    </row>
    <row r="182" customFormat="false" ht="15" hidden="false" customHeight="false" outlineLevel="0" collapsed="false">
      <c r="A182" s="38" t="s">
        <v>156</v>
      </c>
      <c r="B182" s="38" t="s">
        <v>300</v>
      </c>
      <c r="C182" s="38" t="s">
        <v>301</v>
      </c>
      <c r="D182" s="21" t="n">
        <v>1029</v>
      </c>
      <c r="E182" s="21" t="n">
        <v>992</v>
      </c>
      <c r="F182" s="52" t="n">
        <f aca="false">IF(E182="","",D182-E182)</f>
        <v>37</v>
      </c>
      <c r="G182" s="21" t="n">
        <v>934</v>
      </c>
      <c r="H182" s="21" t="n">
        <v>983</v>
      </c>
      <c r="I182" s="52" t="n">
        <f aca="false">IF(H182="","",G182-H182)</f>
        <v>-49</v>
      </c>
      <c r="J182" s="39" t="n">
        <f aca="false">IF(OR(D182="",D182+G182=0),"",D182/(D182+G182))</f>
        <v>0.524197656647988</v>
      </c>
      <c r="K182" s="39" t="n">
        <f aca="false">IF(E182="","",E182/(E182+H182))</f>
        <v>0.502278481012658</v>
      </c>
      <c r="L182" s="53" t="n">
        <f aca="false">IF(OR(K182="",J182=""),"",(J182-K182)*100)</f>
        <v>2.19191756353295</v>
      </c>
      <c r="M182" s="38"/>
    </row>
    <row r="183" customFormat="false" ht="15" hidden="false" customHeight="false" outlineLevel="0" collapsed="false">
      <c r="A183" s="38" t="s">
        <v>156</v>
      </c>
      <c r="B183" s="38" t="s">
        <v>300</v>
      </c>
      <c r="C183" s="38" t="s">
        <v>302</v>
      </c>
      <c r="D183" s="21" t="n">
        <v>1344</v>
      </c>
      <c r="E183" s="21" t="n">
        <v>1311</v>
      </c>
      <c r="F183" s="52" t="n">
        <f aca="false">IF(E183="","",D183-E183)</f>
        <v>33</v>
      </c>
      <c r="G183" s="21" t="n">
        <v>1241</v>
      </c>
      <c r="H183" s="21" t="n">
        <v>1258</v>
      </c>
      <c r="I183" s="52" t="n">
        <f aca="false">IF(H183="","",G183-H183)</f>
        <v>-17</v>
      </c>
      <c r="J183" s="39" t="n">
        <f aca="false">IF(OR(D183="",D183+G183=0),"",D183/(D183+G183))</f>
        <v>0.519922630560929</v>
      </c>
      <c r="K183" s="39" t="n">
        <f aca="false">IF(E183="","",E183/(E183+H183))</f>
        <v>0.510315297781238</v>
      </c>
      <c r="L183" s="53" t="n">
        <f aca="false">IF(OR(K183="",J183=""),"",(J183-K183)*100)</f>
        <v>0.960733277969061</v>
      </c>
      <c r="M183" s="38"/>
    </row>
    <row r="184" customFormat="false" ht="15" hidden="false" customHeight="false" outlineLevel="0" collapsed="false">
      <c r="A184" s="38" t="s">
        <v>156</v>
      </c>
      <c r="B184" s="38" t="s">
        <v>300</v>
      </c>
      <c r="C184" s="38" t="s">
        <v>303</v>
      </c>
      <c r="D184" s="21" t="n">
        <v>810</v>
      </c>
      <c r="E184" s="21" t="n">
        <v>914</v>
      </c>
      <c r="F184" s="52" t="n">
        <f aca="false">IF(E184="","",D184-E184)</f>
        <v>-104</v>
      </c>
      <c r="G184" s="21" t="n">
        <v>843</v>
      </c>
      <c r="H184" s="21" t="n">
        <v>1075</v>
      </c>
      <c r="I184" s="52" t="n">
        <f aca="false">IF(H184="","",G184-H184)</f>
        <v>-232</v>
      </c>
      <c r="J184" s="39" t="n">
        <f aca="false">IF(OR(D184="",D184+G184=0),"",D184/(D184+G184))</f>
        <v>0.490018148820327</v>
      </c>
      <c r="K184" s="39" t="n">
        <f aca="false">IF(E184="","",E184/(E184+H184))</f>
        <v>0.459527400703871</v>
      </c>
      <c r="L184" s="53" t="n">
        <f aca="false">IF(OR(K184="",J184=""),"",(J184-K184)*100)</f>
        <v>3.04907481164554</v>
      </c>
      <c r="M184" s="38"/>
    </row>
    <row r="185" customFormat="false" ht="15" hidden="false" customHeight="false" outlineLevel="0" collapsed="false">
      <c r="A185" s="38" t="s">
        <v>156</v>
      </c>
      <c r="B185" s="38" t="s">
        <v>300</v>
      </c>
      <c r="C185" s="38" t="s">
        <v>304</v>
      </c>
      <c r="D185" s="21" t="n">
        <v>607</v>
      </c>
      <c r="E185" s="21" t="n">
        <v>735</v>
      </c>
      <c r="F185" s="52" t="n">
        <f aca="false">IF(E185="","",D185-E185)</f>
        <v>-128</v>
      </c>
      <c r="G185" s="21" t="n">
        <v>474</v>
      </c>
      <c r="H185" s="21" t="n">
        <v>653</v>
      </c>
      <c r="I185" s="52" t="n">
        <f aca="false">IF(H185="","",G185-H185)</f>
        <v>-179</v>
      </c>
      <c r="J185" s="39" t="n">
        <f aca="false">IF(OR(D185="",D185+G185=0),"",D185/(D185+G185))</f>
        <v>0.561517113783534</v>
      </c>
      <c r="K185" s="39" t="n">
        <f aca="false">IF(E185="","",E185/(E185+H185))</f>
        <v>0.529538904899136</v>
      </c>
      <c r="L185" s="53" t="n">
        <f aca="false">IF(OR(K185="",J185=""),"",(J185-K185)*100)</f>
        <v>3.19782088843983</v>
      </c>
      <c r="M185" s="38"/>
    </row>
    <row r="186" customFormat="false" ht="15" hidden="false" customHeight="false" outlineLevel="0" collapsed="false">
      <c r="A186" s="38" t="s">
        <v>156</v>
      </c>
      <c r="B186" s="38" t="s">
        <v>300</v>
      </c>
      <c r="C186" s="38" t="s">
        <v>305</v>
      </c>
      <c r="D186" s="21" t="n">
        <v>1848</v>
      </c>
      <c r="E186" s="21" t="n">
        <v>1929</v>
      </c>
      <c r="F186" s="52" t="n">
        <f aca="false">IF(E186="","",D186-E186)</f>
        <v>-81</v>
      </c>
      <c r="G186" s="21" t="n">
        <v>1467</v>
      </c>
      <c r="H186" s="21" t="n">
        <v>1679</v>
      </c>
      <c r="I186" s="52" t="n">
        <f aca="false">IF(H186="","",G186-H186)</f>
        <v>-212</v>
      </c>
      <c r="J186" s="39" t="n">
        <f aca="false">IF(OR(D186="",D186+G186=0),"",D186/(D186+G186))</f>
        <v>0.557466063348416</v>
      </c>
      <c r="K186" s="39" t="n">
        <f aca="false">IF(E186="","",E186/(E186+H186))</f>
        <v>0.534645232815965</v>
      </c>
      <c r="L186" s="53" t="n">
        <f aca="false">IF(OR(K186="",J186=""),"",(J186-K186)*100)</f>
        <v>2.28208305324518</v>
      </c>
      <c r="M186" s="38"/>
    </row>
    <row r="187" customFormat="false" ht="15" hidden="false" customHeight="false" outlineLevel="0" collapsed="false">
      <c r="A187" s="38" t="s">
        <v>156</v>
      </c>
      <c r="B187" s="38" t="s">
        <v>300</v>
      </c>
      <c r="C187" s="38" t="s">
        <v>306</v>
      </c>
      <c r="D187" s="21" t="n">
        <v>686</v>
      </c>
      <c r="E187" s="21" t="n">
        <v>696</v>
      </c>
      <c r="F187" s="52" t="n">
        <f aca="false">IF(E187="","",D187-E187)</f>
        <v>-10</v>
      </c>
      <c r="G187" s="21" t="n">
        <v>598</v>
      </c>
      <c r="H187" s="21" t="n">
        <v>666</v>
      </c>
      <c r="I187" s="52" t="n">
        <f aca="false">IF(H187="","",G187-H187)</f>
        <v>-68</v>
      </c>
      <c r="J187" s="39" t="n">
        <f aca="false">IF(OR(D187="",D187+G187=0),"",D187/(D187+G187))</f>
        <v>0.534267912772586</v>
      </c>
      <c r="K187" s="39" t="n">
        <f aca="false">IF(E187="","",E187/(E187+H187))</f>
        <v>0.511013215859031</v>
      </c>
      <c r="L187" s="53" t="n">
        <f aca="false">IF(OR(K187="",J187=""),"",(J187-K187)*100)</f>
        <v>2.32546969135549</v>
      </c>
      <c r="M187" s="38"/>
    </row>
    <row r="188" customFormat="false" ht="15" hidden="false" customHeight="false" outlineLevel="0" collapsed="false">
      <c r="A188" s="38" t="s">
        <v>156</v>
      </c>
      <c r="B188" s="38" t="s">
        <v>300</v>
      </c>
      <c r="C188" s="38" t="s">
        <v>307</v>
      </c>
      <c r="D188" s="21" t="n">
        <v>748</v>
      </c>
      <c r="E188" s="21" t="n">
        <v>715</v>
      </c>
      <c r="F188" s="52" t="n">
        <f aca="false">IF(E188="","",D188-E188)</f>
        <v>33</v>
      </c>
      <c r="G188" s="21" t="n">
        <v>582</v>
      </c>
      <c r="H188" s="21" t="n">
        <v>601</v>
      </c>
      <c r="I188" s="52" t="n">
        <f aca="false">IF(H188="","",G188-H188)</f>
        <v>-19</v>
      </c>
      <c r="J188" s="39" t="n">
        <f aca="false">IF(OR(D188="",D188+G188=0),"",D188/(D188+G188))</f>
        <v>0.562406015037594</v>
      </c>
      <c r="K188" s="39" t="n">
        <f aca="false">IF(E188="","",E188/(E188+H188))</f>
        <v>0.543313069908815</v>
      </c>
      <c r="L188" s="53" t="n">
        <f aca="false">IF(OR(K188="",J188=""),"",(J188-K188)*100)</f>
        <v>1.90929451287795</v>
      </c>
      <c r="M188" s="38"/>
    </row>
    <row r="189" customFormat="false" ht="15" hidden="false" customHeight="false" outlineLevel="0" collapsed="false">
      <c r="A189" s="38" t="s">
        <v>156</v>
      </c>
      <c r="B189" s="38" t="s">
        <v>300</v>
      </c>
      <c r="C189" s="38" t="s">
        <v>308</v>
      </c>
      <c r="D189" s="21" t="n">
        <v>717</v>
      </c>
      <c r="E189" s="21" t="n">
        <v>728</v>
      </c>
      <c r="F189" s="52" t="n">
        <f aca="false">IF(E189="","",D189-E189)</f>
        <v>-11</v>
      </c>
      <c r="G189" s="21" t="n">
        <v>621</v>
      </c>
      <c r="H189" s="21" t="n">
        <v>692</v>
      </c>
      <c r="I189" s="52" t="n">
        <f aca="false">IF(H189="","",G189-H189)</f>
        <v>-71</v>
      </c>
      <c r="J189" s="39" t="n">
        <f aca="false">IF(OR(D189="",D189+G189=0),"",D189/(D189+G189))</f>
        <v>0.535874439461883</v>
      </c>
      <c r="K189" s="39" t="n">
        <f aca="false">IF(E189="","",E189/(E189+H189))</f>
        <v>0.512676056338028</v>
      </c>
      <c r="L189" s="53" t="n">
        <f aca="false">IF(OR(K189="",J189=""),"",(J189-K189)*100)</f>
        <v>2.31983831238553</v>
      </c>
      <c r="M189" s="38"/>
    </row>
    <row r="190" customFormat="false" ht="15" hidden="false" customHeight="false" outlineLevel="0" collapsed="false">
      <c r="A190" s="38" t="s">
        <v>156</v>
      </c>
      <c r="B190" s="38" t="s">
        <v>309</v>
      </c>
      <c r="C190" s="38" t="s">
        <v>310</v>
      </c>
      <c r="D190" s="21" t="n">
        <v>1393</v>
      </c>
      <c r="E190" s="21" t="n">
        <v>1473</v>
      </c>
      <c r="F190" s="52" t="n">
        <f aca="false">IF(E190="","",D190-E190)</f>
        <v>-80</v>
      </c>
      <c r="G190" s="21" t="n">
        <v>1468</v>
      </c>
      <c r="H190" s="21" t="n">
        <v>1690</v>
      </c>
      <c r="I190" s="52" t="n">
        <f aca="false">IF(H190="","",G190-H190)</f>
        <v>-222</v>
      </c>
      <c r="J190" s="39" t="n">
        <f aca="false">IF(OR(D190="",D190+G190=0),"",D190/(D190+G190))</f>
        <v>0.486892694861936</v>
      </c>
      <c r="K190" s="39" t="n">
        <f aca="false">IF(E190="","",E190/(E190+H190))</f>
        <v>0.465697122984508</v>
      </c>
      <c r="L190" s="53" t="n">
        <f aca="false">IF(OR(K190="",J190=""),"",(J190-K190)*100)</f>
        <v>2.1195571877428</v>
      </c>
      <c r="M190" s="38"/>
    </row>
    <row r="191" customFormat="false" ht="15" hidden="false" customHeight="false" outlineLevel="0" collapsed="false">
      <c r="A191" s="38" t="s">
        <v>156</v>
      </c>
      <c r="B191" s="38" t="s">
        <v>309</v>
      </c>
      <c r="C191" s="38" t="s">
        <v>311</v>
      </c>
      <c r="D191" s="21" t="n">
        <v>948</v>
      </c>
      <c r="E191" s="21" t="n">
        <v>907</v>
      </c>
      <c r="F191" s="52" t="n">
        <f aca="false">IF(E191="","",D191-E191)</f>
        <v>41</v>
      </c>
      <c r="G191" s="21" t="n">
        <v>1378</v>
      </c>
      <c r="H191" s="21" t="n">
        <v>1445</v>
      </c>
      <c r="I191" s="52" t="n">
        <f aca="false">IF(H191="","",G191-H191)</f>
        <v>-67</v>
      </c>
      <c r="J191" s="39" t="n">
        <f aca="false">IF(OR(D191="",D191+G191=0),"",D191/(D191+G191))</f>
        <v>0.407566638005159</v>
      </c>
      <c r="K191" s="39" t="n">
        <f aca="false">IF(E191="","",E191/(E191+H191))</f>
        <v>0.38562925170068</v>
      </c>
      <c r="L191" s="53" t="n">
        <f aca="false">IF(OR(K191="",J191=""),"",(J191-K191)*100)</f>
        <v>2.19373863044788</v>
      </c>
      <c r="M191" s="38"/>
    </row>
    <row r="192" customFormat="false" ht="15" hidden="false" customHeight="false" outlineLevel="0" collapsed="false">
      <c r="A192" s="38" t="s">
        <v>156</v>
      </c>
      <c r="B192" s="38" t="s">
        <v>312</v>
      </c>
      <c r="C192" s="38" t="s">
        <v>313</v>
      </c>
      <c r="D192" s="21" t="n">
        <v>1048</v>
      </c>
      <c r="E192" s="21" t="n">
        <v>1017</v>
      </c>
      <c r="F192" s="52" t="n">
        <f aca="false">IF(E192="","",D192-E192)</f>
        <v>31</v>
      </c>
      <c r="G192" s="21" t="n">
        <v>998</v>
      </c>
      <c r="H192" s="21" t="n">
        <v>1074</v>
      </c>
      <c r="I192" s="52" t="n">
        <f aca="false">IF(H192="","",G192-H192)</f>
        <v>-76</v>
      </c>
      <c r="J192" s="39" t="n">
        <f aca="false">IF(OR(D192="",D192+G192=0),"",D192/(D192+G192))</f>
        <v>0.512218963831867</v>
      </c>
      <c r="K192" s="39" t="n">
        <f aca="false">IF(E192="","",E192/(E192+H192))</f>
        <v>0.486370157819225</v>
      </c>
      <c r="L192" s="53" t="n">
        <f aca="false">IF(OR(K192="",J192=""),"",(J192-K192)*100)</f>
        <v>2.58488060126418</v>
      </c>
      <c r="M192" s="38"/>
    </row>
    <row r="193" customFormat="false" ht="15" hidden="false" customHeight="false" outlineLevel="0" collapsed="false">
      <c r="A193" s="38" t="s">
        <v>156</v>
      </c>
      <c r="B193" s="38" t="s">
        <v>312</v>
      </c>
      <c r="C193" s="38" t="s">
        <v>314</v>
      </c>
      <c r="D193" s="21" t="n">
        <v>715</v>
      </c>
      <c r="E193" s="21" t="n">
        <v>753</v>
      </c>
      <c r="F193" s="52" t="n">
        <f aca="false">IF(E193="","",D193-E193)</f>
        <v>-38</v>
      </c>
      <c r="G193" s="21" t="n">
        <v>749</v>
      </c>
      <c r="H193" s="21" t="n">
        <v>851</v>
      </c>
      <c r="I193" s="52" t="n">
        <f aca="false">IF(H193="","",G193-H193)</f>
        <v>-102</v>
      </c>
      <c r="J193" s="39" t="n">
        <f aca="false">IF(OR(D193="",D193+G193=0),"",D193/(D193+G193))</f>
        <v>0.488387978142077</v>
      </c>
      <c r="K193" s="39" t="n">
        <f aca="false">IF(E193="","",E193/(E193+H193))</f>
        <v>0.469451371571072</v>
      </c>
      <c r="L193" s="53" t="n">
        <f aca="false">IF(OR(K193="",J193=""),"",(J193-K193)*100)</f>
        <v>1.89366065710042</v>
      </c>
      <c r="M193" s="38"/>
    </row>
    <row r="194" customFormat="false" ht="15" hidden="false" customHeight="false" outlineLevel="0" collapsed="false">
      <c r="A194" s="38" t="s">
        <v>156</v>
      </c>
      <c r="B194" s="38" t="s">
        <v>312</v>
      </c>
      <c r="C194" s="38" t="s">
        <v>315</v>
      </c>
      <c r="D194" s="21" t="n">
        <v>544</v>
      </c>
      <c r="E194" s="21" t="n">
        <v>713</v>
      </c>
      <c r="F194" s="52" t="n">
        <f aca="false">IF(E194="","",D194-E194)</f>
        <v>-169</v>
      </c>
      <c r="G194" s="21" t="n">
        <v>554</v>
      </c>
      <c r="H194" s="21" t="n">
        <v>780</v>
      </c>
      <c r="I194" s="52" t="n">
        <f aca="false">IF(H194="","",G194-H194)</f>
        <v>-226</v>
      </c>
      <c r="J194" s="39" t="n">
        <f aca="false">IF(OR(D194="",D194+G194=0),"",D194/(D194+G194))</f>
        <v>0.495446265938069</v>
      </c>
      <c r="K194" s="39" t="n">
        <f aca="false">IF(E194="","",E194/(E194+H194))</f>
        <v>0.477561955793704</v>
      </c>
      <c r="L194" s="53" t="n">
        <f aca="false">IF(OR(K194="",J194=""),"",(J194-K194)*100)</f>
        <v>1.78843101443653</v>
      </c>
      <c r="M194" s="38"/>
    </row>
    <row r="195" customFormat="false" ht="15" hidden="false" customHeight="false" outlineLevel="0" collapsed="false">
      <c r="A195" s="38" t="s">
        <v>156</v>
      </c>
      <c r="B195" s="38" t="s">
        <v>312</v>
      </c>
      <c r="C195" s="38" t="s">
        <v>316</v>
      </c>
      <c r="D195" s="21" t="n">
        <v>1587</v>
      </c>
      <c r="E195" s="21" t="n">
        <v>1648</v>
      </c>
      <c r="F195" s="52" t="n">
        <f aca="false">IF(E195="","",D195-E195)</f>
        <v>-61</v>
      </c>
      <c r="G195" s="21" t="n">
        <v>1617</v>
      </c>
      <c r="H195" s="21" t="n">
        <v>1789</v>
      </c>
      <c r="I195" s="52" t="n">
        <f aca="false">IF(H195="","",G195-H195)</f>
        <v>-172</v>
      </c>
      <c r="J195" s="39" t="n">
        <f aca="false">IF(OR(D195="",D195+G195=0),"",D195/(D195+G195))</f>
        <v>0.495318352059925</v>
      </c>
      <c r="K195" s="39" t="n">
        <f aca="false">IF(E195="","",E195/(E195+H195))</f>
        <v>0.479487925516439</v>
      </c>
      <c r="L195" s="53" t="n">
        <f aca="false">IF(OR(K195="",J195=""),"",(J195-K195)*100)</f>
        <v>1.58304265434863</v>
      </c>
      <c r="M195" s="38"/>
    </row>
    <row r="196" customFormat="false" ht="15" hidden="false" customHeight="false" outlineLevel="0" collapsed="false">
      <c r="A196" s="38" t="s">
        <v>156</v>
      </c>
      <c r="B196" s="38" t="s">
        <v>312</v>
      </c>
      <c r="C196" s="38" t="s">
        <v>317</v>
      </c>
      <c r="D196" s="21" t="n">
        <v>680</v>
      </c>
      <c r="E196" s="21" t="n">
        <v>683</v>
      </c>
      <c r="F196" s="52" t="n">
        <f aca="false">IF(E196="","",D196-E196)</f>
        <v>-3</v>
      </c>
      <c r="G196" s="21" t="n">
        <v>657</v>
      </c>
      <c r="H196" s="21" t="n">
        <v>663</v>
      </c>
      <c r="I196" s="52" t="n">
        <f aca="false">IF(H196="","",G196-H196)</f>
        <v>-6</v>
      </c>
      <c r="J196" s="39" t="n">
        <f aca="false">IF(OR(D196="",D196+G196=0),"",D196/(D196+G196))</f>
        <v>0.508601346297681</v>
      </c>
      <c r="K196" s="39" t="n">
        <f aca="false">IF(E196="","",E196/(E196+H196))</f>
        <v>0.507429420505201</v>
      </c>
      <c r="L196" s="53" t="n">
        <f aca="false">IF(OR(K196="",J196=""),"",(J196-K196)*100)</f>
        <v>0.117192579248082</v>
      </c>
      <c r="M196" s="38"/>
    </row>
    <row r="197" customFormat="false" ht="15" hidden="false" customHeight="false" outlineLevel="0" collapsed="false">
      <c r="A197" s="38" t="s">
        <v>156</v>
      </c>
      <c r="B197" s="38" t="s">
        <v>312</v>
      </c>
      <c r="C197" s="38" t="s">
        <v>318</v>
      </c>
      <c r="D197" s="21" t="n">
        <v>640</v>
      </c>
      <c r="E197" s="21" t="n">
        <v>648</v>
      </c>
      <c r="F197" s="52" t="n">
        <f aca="false">IF(E197="","",D197-E197)</f>
        <v>-8</v>
      </c>
      <c r="G197" s="21" t="n">
        <v>570</v>
      </c>
      <c r="H197" s="21" t="n">
        <v>583</v>
      </c>
      <c r="I197" s="52" t="n">
        <f aca="false">IF(H197="","",G197-H197)</f>
        <v>-13</v>
      </c>
      <c r="J197" s="39" t="n">
        <f aca="false">IF(OR(D197="",D197+G197=0),"",D197/(D197+G197))</f>
        <v>0.528925619834711</v>
      </c>
      <c r="K197" s="39" t="n">
        <f aca="false">IF(E197="","",E197/(E197+H197))</f>
        <v>0.526401299756296</v>
      </c>
      <c r="L197" s="53" t="n">
        <f aca="false">IF(OR(K197="",J197=""),"",(J197-K197)*100)</f>
        <v>0.252432007841508</v>
      </c>
      <c r="M197" s="38"/>
    </row>
    <row r="198" customFormat="false" ht="15" hidden="false" customHeight="false" outlineLevel="0" collapsed="false">
      <c r="A198" s="38" t="s">
        <v>156</v>
      </c>
      <c r="B198" s="38" t="s">
        <v>319</v>
      </c>
      <c r="C198" s="38" t="s">
        <v>320</v>
      </c>
      <c r="D198" s="21" t="n">
        <v>243</v>
      </c>
      <c r="E198" s="21" t="n">
        <v>243</v>
      </c>
      <c r="F198" s="52" t="n">
        <f aca="false">IF(E198="","",D198-E198)</f>
        <v>0</v>
      </c>
      <c r="G198" s="21" t="n">
        <v>484</v>
      </c>
      <c r="H198" s="21" t="n">
        <v>532</v>
      </c>
      <c r="I198" s="52" t="n">
        <f aca="false">IF(H198="","",G198-H198)</f>
        <v>-48</v>
      </c>
      <c r="J198" s="39" t="n">
        <f aca="false">IF(OR(D198="",D198+G198=0),"",D198/(D198+G198))</f>
        <v>0.334250343878955</v>
      </c>
      <c r="K198" s="39" t="n">
        <f aca="false">IF(E198="","",E198/(E198+H198))</f>
        <v>0.313548387096774</v>
      </c>
      <c r="L198" s="53" t="n">
        <f aca="false">IF(OR(K198="",J198=""),"",(J198-K198)*100)</f>
        <v>2.07019567821804</v>
      </c>
      <c r="M198" s="38"/>
    </row>
    <row r="199" customFormat="false" ht="15" hidden="false" customHeight="false" outlineLevel="0" collapsed="false">
      <c r="A199" s="38" t="s">
        <v>156</v>
      </c>
      <c r="B199" s="38" t="s">
        <v>319</v>
      </c>
      <c r="C199" s="38" t="s">
        <v>321</v>
      </c>
      <c r="D199" s="21" t="n">
        <v>869</v>
      </c>
      <c r="E199" s="21" t="n">
        <v>841</v>
      </c>
      <c r="F199" s="52" t="n">
        <f aca="false">IF(E199="","",D199-E199)</f>
        <v>28</v>
      </c>
      <c r="G199" s="21" t="n">
        <v>1582</v>
      </c>
      <c r="H199" s="21" t="n">
        <v>1653</v>
      </c>
      <c r="I199" s="52" t="n">
        <f aca="false">IF(H199="","",G199-H199)</f>
        <v>-71</v>
      </c>
      <c r="J199" s="39" t="n">
        <f aca="false">IF(OR(D199="",D199+G199=0),"",D199/(D199+G199))</f>
        <v>0.354549163606691</v>
      </c>
      <c r="K199" s="39" t="n">
        <f aca="false">IF(E199="","",E199/(E199+H199))</f>
        <v>0.337209302325581</v>
      </c>
      <c r="L199" s="53" t="n">
        <f aca="false">IF(OR(K199="",J199=""),"",(J199-K199)*100)</f>
        <v>1.73398612811098</v>
      </c>
      <c r="M199" s="38"/>
    </row>
    <row r="200" customFormat="false" ht="15" hidden="false" customHeight="false" outlineLevel="0" collapsed="false">
      <c r="A200" s="38" t="s">
        <v>156</v>
      </c>
      <c r="B200" s="38" t="s">
        <v>319</v>
      </c>
      <c r="C200" s="38" t="s">
        <v>322</v>
      </c>
      <c r="D200" s="21" t="n">
        <v>209</v>
      </c>
      <c r="E200" s="21" t="n">
        <v>182</v>
      </c>
      <c r="F200" s="52" t="n">
        <f aca="false">IF(E200="","",D200-E200)</f>
        <v>27</v>
      </c>
      <c r="G200" s="21" t="n">
        <v>425</v>
      </c>
      <c r="H200" s="21" t="n">
        <v>484</v>
      </c>
      <c r="I200" s="52" t="n">
        <f aca="false">IF(H200="","",G200-H200)</f>
        <v>-59</v>
      </c>
      <c r="J200" s="39" t="n">
        <f aca="false">IF(OR(D200="",D200+G200=0),"",D200/(D200+G200))</f>
        <v>0.329652996845426</v>
      </c>
      <c r="K200" s="39" t="n">
        <f aca="false">IF(E200="","",E200/(E200+H200))</f>
        <v>0.273273273273273</v>
      </c>
      <c r="L200" s="53" t="n">
        <f aca="false">IF(OR(K200="",J200=""),"",(J200-K200)*100)</f>
        <v>5.63797235721526</v>
      </c>
      <c r="M200" s="38"/>
    </row>
    <row r="201" customFormat="false" ht="15" hidden="false" customHeight="false" outlineLevel="0" collapsed="false">
      <c r="A201" s="38" t="s">
        <v>156</v>
      </c>
      <c r="B201" s="38" t="s">
        <v>323</v>
      </c>
      <c r="C201" s="38" t="s">
        <v>323</v>
      </c>
      <c r="D201" s="21" t="n">
        <v>1165</v>
      </c>
      <c r="E201" s="21" t="n">
        <v>1172</v>
      </c>
      <c r="F201" s="52" t="n">
        <f aca="false">IF(E201="","",D201-E201)</f>
        <v>-7</v>
      </c>
      <c r="G201" s="21" t="n">
        <v>2071</v>
      </c>
      <c r="H201" s="21" t="n">
        <v>2201</v>
      </c>
      <c r="I201" s="52" t="n">
        <f aca="false">IF(H201="","",G201-H201)</f>
        <v>-130</v>
      </c>
      <c r="J201" s="39" t="n">
        <f aca="false">IF(OR(D201="",D201+G201=0),"",D201/(D201+G201))</f>
        <v>0.360012360939431</v>
      </c>
      <c r="K201" s="39" t="n">
        <f aca="false">IF(E201="","",E201/(E201+H201))</f>
        <v>0.347465164541951</v>
      </c>
      <c r="L201" s="53" t="n">
        <f aca="false">IF(OR(K201="",J201=""),"",(J201-K201)*100)</f>
        <v>1.25471963974806</v>
      </c>
      <c r="M201" s="38"/>
    </row>
    <row r="202" customFormat="false" ht="15" hidden="false" customHeight="false" outlineLevel="0" collapsed="false">
      <c r="A202" s="38" t="s">
        <v>156</v>
      </c>
      <c r="B202" s="38" t="s">
        <v>324</v>
      </c>
      <c r="C202" s="38" t="s">
        <v>325</v>
      </c>
      <c r="D202" s="21" t="n">
        <v>791</v>
      </c>
      <c r="E202" s="21" t="n">
        <v>811</v>
      </c>
      <c r="F202" s="52" t="n">
        <f aca="false">IF(E202="","",D202-E202)</f>
        <v>-20</v>
      </c>
      <c r="G202" s="21" t="n">
        <v>843</v>
      </c>
      <c r="H202" s="21" t="n">
        <v>918</v>
      </c>
      <c r="I202" s="52" t="n">
        <f aca="false">IF(H202="","",G202-H202)</f>
        <v>-75</v>
      </c>
      <c r="J202" s="39" t="n">
        <f aca="false">IF(OR(D202="",D202+G202=0),"",D202/(D202+G202))</f>
        <v>0.484088127294982</v>
      </c>
      <c r="K202" s="39" t="n">
        <f aca="false">IF(E202="","",E202/(E202+H202))</f>
        <v>0.469057258530943</v>
      </c>
      <c r="L202" s="53" t="n">
        <f aca="false">IF(OR(K202="",J202=""),"",(J202-K202)*100)</f>
        <v>1.50308687640389</v>
      </c>
      <c r="M202" s="38"/>
    </row>
    <row r="203" customFormat="false" ht="15" hidden="false" customHeight="false" outlineLevel="0" collapsed="false">
      <c r="A203" s="38" t="s">
        <v>156</v>
      </c>
      <c r="B203" s="38" t="s">
        <v>324</v>
      </c>
      <c r="C203" s="38" t="s">
        <v>326</v>
      </c>
      <c r="D203" s="21" t="n">
        <v>646</v>
      </c>
      <c r="E203" s="21" t="n">
        <v>606</v>
      </c>
      <c r="F203" s="52" t="n">
        <f aca="false">IF(E203="","",D203-E203)</f>
        <v>40</v>
      </c>
      <c r="G203" s="21" t="n">
        <v>675</v>
      </c>
      <c r="H203" s="21" t="n">
        <v>669</v>
      </c>
      <c r="I203" s="52" t="n">
        <f aca="false">IF(H203="","",G203-H203)</f>
        <v>6</v>
      </c>
      <c r="J203" s="39" t="n">
        <f aca="false">IF(OR(D203="",D203+G203=0),"",D203/(D203+G203))</f>
        <v>0.489023467070401</v>
      </c>
      <c r="K203" s="39" t="n">
        <f aca="false">IF(E203="","",E203/(E203+H203))</f>
        <v>0.475294117647059</v>
      </c>
      <c r="L203" s="53" t="n">
        <f aca="false">IF(OR(K203="",J203=""),"",(J203-K203)*100)</f>
        <v>1.37293494233424</v>
      </c>
      <c r="M203" s="38"/>
    </row>
    <row r="204" customFormat="false" ht="15" hidden="false" customHeight="false" outlineLevel="0" collapsed="false">
      <c r="A204" s="38" t="s">
        <v>156</v>
      </c>
      <c r="B204" s="38" t="s">
        <v>324</v>
      </c>
      <c r="C204" s="38" t="s">
        <v>327</v>
      </c>
      <c r="D204" s="21" t="n">
        <v>808</v>
      </c>
      <c r="E204" s="21" t="n">
        <v>732</v>
      </c>
      <c r="F204" s="52" t="n">
        <f aca="false">IF(E204="","",D204-E204)</f>
        <v>76</v>
      </c>
      <c r="G204" s="21" t="n">
        <v>566</v>
      </c>
      <c r="H204" s="21" t="n">
        <v>616</v>
      </c>
      <c r="I204" s="52" t="n">
        <f aca="false">IF(H204="","",G204-H204)</f>
        <v>-50</v>
      </c>
      <c r="J204" s="39" t="n">
        <f aca="false">IF(OR(D204="",D204+G204=0),"",D204/(D204+G204))</f>
        <v>0.58806404657933</v>
      </c>
      <c r="K204" s="39" t="n">
        <f aca="false">IF(E204="","",E204/(E204+H204))</f>
        <v>0.543026706231454</v>
      </c>
      <c r="L204" s="53" t="n">
        <f aca="false">IF(OR(K204="",J204=""),"",(J204-K204)*100)</f>
        <v>4.50373403478764</v>
      </c>
      <c r="M204" s="38"/>
    </row>
    <row r="205" customFormat="false" ht="15" hidden="false" customHeight="false" outlineLevel="0" collapsed="false">
      <c r="A205" s="38" t="s">
        <v>156</v>
      </c>
      <c r="B205" s="38" t="s">
        <v>324</v>
      </c>
      <c r="C205" s="38" t="s">
        <v>328</v>
      </c>
      <c r="D205" s="21" t="n">
        <v>898</v>
      </c>
      <c r="E205" s="21" t="n">
        <v>871</v>
      </c>
      <c r="F205" s="52" t="n">
        <f aca="false">IF(E205="","",D205-E205)</f>
        <v>27</v>
      </c>
      <c r="G205" s="21" t="n">
        <v>563</v>
      </c>
      <c r="H205" s="21" t="n">
        <v>616</v>
      </c>
      <c r="I205" s="52" t="n">
        <f aca="false">IF(H205="","",G205-H205)</f>
        <v>-53</v>
      </c>
      <c r="J205" s="39" t="n">
        <f aca="false">IF(OR(D205="",D205+G205=0),"",D205/(D205+G205))</f>
        <v>0.614647501711157</v>
      </c>
      <c r="K205" s="39" t="n">
        <f aca="false">IF(E205="","",E205/(E205+H205))</f>
        <v>0.585743106926698</v>
      </c>
      <c r="L205" s="53" t="n">
        <f aca="false">IF(OR(K205="",J205=""),"",(J205-K205)*100)</f>
        <v>2.89043947844587</v>
      </c>
      <c r="M205" s="38"/>
    </row>
    <row r="206" customFormat="false" ht="15" hidden="false" customHeight="false" outlineLevel="0" collapsed="false">
      <c r="A206" s="38" t="s">
        <v>156</v>
      </c>
      <c r="B206" s="38" t="s">
        <v>324</v>
      </c>
      <c r="C206" s="38" t="s">
        <v>329</v>
      </c>
      <c r="D206" s="21" t="n">
        <v>326</v>
      </c>
      <c r="E206" s="21" t="n">
        <v>305</v>
      </c>
      <c r="F206" s="52" t="n">
        <f aca="false">IF(E206="","",D206-E206)</f>
        <v>21</v>
      </c>
      <c r="G206" s="21" t="n">
        <v>245</v>
      </c>
      <c r="H206" s="21" t="n">
        <v>262</v>
      </c>
      <c r="I206" s="52" t="n">
        <f aca="false">IF(H206="","",G206-H206)</f>
        <v>-17</v>
      </c>
      <c r="J206" s="39" t="n">
        <f aca="false">IF(OR(D206="",D206+G206=0),"",D206/(D206+G206))</f>
        <v>0.57092819614711</v>
      </c>
      <c r="K206" s="39" t="n">
        <f aca="false">IF(E206="","",E206/(E206+H206))</f>
        <v>0.537918871252205</v>
      </c>
      <c r="L206" s="53" t="n">
        <f aca="false">IF(OR(K206="",J206=""),"",(J206-K206)*100)</f>
        <v>3.30093248949057</v>
      </c>
      <c r="M206" s="38"/>
    </row>
    <row r="207" customFormat="false" ht="15" hidden="false" customHeight="false" outlineLevel="0" collapsed="false">
      <c r="A207" s="38" t="s">
        <v>156</v>
      </c>
      <c r="B207" s="38" t="s">
        <v>324</v>
      </c>
      <c r="C207" s="38" t="s">
        <v>330</v>
      </c>
      <c r="D207" s="21" t="n">
        <v>582</v>
      </c>
      <c r="E207" s="21" t="n">
        <v>535</v>
      </c>
      <c r="F207" s="52" t="n">
        <f aca="false">IF(E207="","",D207-E207)</f>
        <v>47</v>
      </c>
      <c r="G207" s="21" t="n">
        <v>289</v>
      </c>
      <c r="H207" s="21" t="n">
        <v>364</v>
      </c>
      <c r="I207" s="52" t="n">
        <f aca="false">IF(H207="","",G207-H207)</f>
        <v>-75</v>
      </c>
      <c r="J207" s="39" t="n">
        <f aca="false">IF(OR(D207="",D207+G207=0),"",D207/(D207+G207))</f>
        <v>0.668197474167623</v>
      </c>
      <c r="K207" s="39" t="n">
        <f aca="false">IF(E207="","",E207/(E207+H207))</f>
        <v>0.595105672969967</v>
      </c>
      <c r="L207" s="53" t="n">
        <f aca="false">IF(OR(K207="",J207=""),"",(J207-K207)*100)</f>
        <v>7.30918011976568</v>
      </c>
      <c r="M207" s="38"/>
    </row>
    <row r="208" customFormat="false" ht="15" hidden="false" customHeight="false" outlineLevel="0" collapsed="false">
      <c r="A208" s="38" t="s">
        <v>156</v>
      </c>
      <c r="B208" s="38" t="s">
        <v>324</v>
      </c>
      <c r="C208" s="38" t="s">
        <v>331</v>
      </c>
      <c r="D208" s="21" t="n">
        <v>550</v>
      </c>
      <c r="E208" s="21" t="n">
        <v>564</v>
      </c>
      <c r="F208" s="52" t="n">
        <f aca="false">IF(E208="","",D208-E208)</f>
        <v>-14</v>
      </c>
      <c r="G208" s="21" t="n">
        <v>409</v>
      </c>
      <c r="H208" s="21" t="n">
        <v>451</v>
      </c>
      <c r="I208" s="52" t="n">
        <f aca="false">IF(H208="","",G208-H208)</f>
        <v>-42</v>
      </c>
      <c r="J208" s="39" t="n">
        <f aca="false">IF(OR(D208="",D208+G208=0),"",D208/(D208+G208))</f>
        <v>0.573514077163712</v>
      </c>
      <c r="K208" s="39" t="n">
        <f aca="false">IF(E208="","",E208/(E208+H208))</f>
        <v>0.555665024630542</v>
      </c>
      <c r="L208" s="53" t="n">
        <f aca="false">IF(OR(K208="",J208=""),"",(J208-K208)*100)</f>
        <v>1.78490525331703</v>
      </c>
      <c r="M208" s="38"/>
    </row>
    <row r="209" customFormat="false" ht="15" hidden="false" customHeight="false" outlineLevel="0" collapsed="false">
      <c r="A209" s="38" t="s">
        <v>156</v>
      </c>
      <c r="B209" s="38" t="s">
        <v>324</v>
      </c>
      <c r="C209" s="38" t="s">
        <v>332</v>
      </c>
      <c r="D209" s="21" t="n">
        <v>282</v>
      </c>
      <c r="E209" s="21" t="n">
        <v>279</v>
      </c>
      <c r="F209" s="52" t="n">
        <f aca="false">IF(E209="","",D209-E209)</f>
        <v>3</v>
      </c>
      <c r="G209" s="21" t="n">
        <v>295</v>
      </c>
      <c r="H209" s="21" t="n">
        <v>318</v>
      </c>
      <c r="I209" s="52" t="n">
        <f aca="false">IF(H209="","",G209-H209)</f>
        <v>-23</v>
      </c>
      <c r="J209" s="39" t="n">
        <f aca="false">IF(OR(D209="",D209+G209=0),"",D209/(D209+G209))</f>
        <v>0.488734835355286</v>
      </c>
      <c r="K209" s="39" t="n">
        <f aca="false">IF(E209="","",E209/(E209+H209))</f>
        <v>0.467336683417085</v>
      </c>
      <c r="L209" s="53" t="n">
        <f aca="false">IF(OR(K209="",J209=""),"",(J209-K209)*100)</f>
        <v>2.13981519382005</v>
      </c>
      <c r="M209" s="38"/>
    </row>
    <row r="210" customFormat="false" ht="15" hidden="false" customHeight="false" outlineLevel="0" collapsed="false">
      <c r="A210" s="38" t="s">
        <v>156</v>
      </c>
      <c r="B210" s="38" t="s">
        <v>324</v>
      </c>
      <c r="C210" s="38" t="s">
        <v>333</v>
      </c>
      <c r="D210" s="21" t="n">
        <v>577</v>
      </c>
      <c r="E210" s="21" t="n">
        <v>571</v>
      </c>
      <c r="F210" s="52" t="n">
        <f aca="false">IF(E210="","",D210-E210)</f>
        <v>6</v>
      </c>
      <c r="G210" s="21" t="n">
        <v>485</v>
      </c>
      <c r="H210" s="21" t="n">
        <v>544</v>
      </c>
      <c r="I210" s="52" t="n">
        <f aca="false">IF(H210="","",G210-H210)</f>
        <v>-59</v>
      </c>
      <c r="J210" s="39" t="n">
        <f aca="false">IF(OR(D210="",D210+G210=0),"",D210/(D210+G210))</f>
        <v>0.54331450094162</v>
      </c>
      <c r="K210" s="39" t="n">
        <f aca="false">IF(E210="","",E210/(E210+H210))</f>
        <v>0.512107623318386</v>
      </c>
      <c r="L210" s="53" t="n">
        <f aca="false">IF(OR(K210="",J210=""),"",(J210-K210)*100)</f>
        <v>3.12068776232339</v>
      </c>
      <c r="M210" s="38"/>
    </row>
    <row r="211" customFormat="false" ht="15" hidden="false" customHeight="false" outlineLevel="0" collapsed="false">
      <c r="A211" s="38" t="s">
        <v>156</v>
      </c>
      <c r="B211" s="38" t="s">
        <v>324</v>
      </c>
      <c r="C211" s="38" t="s">
        <v>334</v>
      </c>
      <c r="D211" s="21" t="n">
        <v>880</v>
      </c>
      <c r="E211" s="21" t="n">
        <v>829</v>
      </c>
      <c r="F211" s="52" t="n">
        <f aca="false">IF(E211="","",D211-E211)</f>
        <v>51</v>
      </c>
      <c r="G211" s="21" t="n">
        <v>886</v>
      </c>
      <c r="H211" s="21" t="n">
        <v>968</v>
      </c>
      <c r="I211" s="52" t="n">
        <f aca="false">IF(H211="","",G211-H211)</f>
        <v>-82</v>
      </c>
      <c r="J211" s="39" t="n">
        <f aca="false">IF(OR(D211="",D211+G211=0),"",D211/(D211+G211))</f>
        <v>0.498301245753114</v>
      </c>
      <c r="K211" s="39" t="n">
        <f aca="false">IF(E211="","",E211/(E211+H211))</f>
        <v>0.461324429604897</v>
      </c>
      <c r="L211" s="53" t="n">
        <f aca="false">IF(OR(K211="",J211=""),"",(J211-K211)*100)</f>
        <v>3.69768161482174</v>
      </c>
      <c r="M211" s="38"/>
    </row>
    <row r="212" customFormat="false" ht="15" hidden="false" customHeight="false" outlineLevel="0" collapsed="false">
      <c r="A212" s="38" t="s">
        <v>156</v>
      </c>
      <c r="B212" s="38" t="s">
        <v>324</v>
      </c>
      <c r="C212" s="38" t="s">
        <v>335</v>
      </c>
      <c r="D212" s="21" t="n">
        <v>726</v>
      </c>
      <c r="E212" s="21" t="n">
        <v>698</v>
      </c>
      <c r="F212" s="52" t="n">
        <f aca="false">IF(E212="","",D212-E212)</f>
        <v>28</v>
      </c>
      <c r="G212" s="21" t="n">
        <v>702</v>
      </c>
      <c r="H212" s="21" t="n">
        <v>748</v>
      </c>
      <c r="I212" s="52" t="n">
        <f aca="false">IF(H212="","",G212-H212)</f>
        <v>-46</v>
      </c>
      <c r="J212" s="39" t="n">
        <f aca="false">IF(OR(D212="",D212+G212=0),"",D212/(D212+G212))</f>
        <v>0.508403361344538</v>
      </c>
      <c r="K212" s="39" t="n">
        <f aca="false">IF(E212="","",E212/(E212+H212))</f>
        <v>0.482710926694329</v>
      </c>
      <c r="L212" s="53" t="n">
        <f aca="false">IF(OR(K212="",J212=""),"",(J212-K212)*100)</f>
        <v>2.56924346502086</v>
      </c>
      <c r="M212" s="38"/>
    </row>
    <row r="213" customFormat="false" ht="15" hidden="false" customHeight="false" outlineLevel="0" collapsed="false">
      <c r="A213" s="38" t="s">
        <v>156</v>
      </c>
      <c r="B213" s="38" t="s">
        <v>324</v>
      </c>
      <c r="C213" s="38" t="s">
        <v>336</v>
      </c>
      <c r="D213" s="21" t="n">
        <v>631</v>
      </c>
      <c r="E213" s="21" t="n">
        <v>582</v>
      </c>
      <c r="F213" s="52" t="n">
        <f aca="false">IF(E213="","",D213-E213)</f>
        <v>49</v>
      </c>
      <c r="G213" s="21" t="n">
        <v>559</v>
      </c>
      <c r="H213" s="21" t="n">
        <v>562</v>
      </c>
      <c r="I213" s="52" t="n">
        <f aca="false">IF(H213="","",G213-H213)</f>
        <v>-3</v>
      </c>
      <c r="J213" s="39" t="n">
        <f aca="false">IF(OR(D213="",D213+G213=0),"",D213/(D213+G213))</f>
        <v>0.530252100840336</v>
      </c>
      <c r="K213" s="39" t="n">
        <f aca="false">IF(E213="","",E213/(E213+H213))</f>
        <v>0.508741258741259</v>
      </c>
      <c r="L213" s="53" t="n">
        <f aca="false">IF(OR(K213="",J213=""),"",(J213-K213)*100)</f>
        <v>2.15108420990774</v>
      </c>
      <c r="M213" s="38"/>
    </row>
    <row r="214" customFormat="false" ht="15" hidden="false" customHeight="false" outlineLevel="0" collapsed="false">
      <c r="A214" s="38" t="s">
        <v>337</v>
      </c>
      <c r="B214" s="38" t="s">
        <v>338</v>
      </c>
      <c r="C214" s="38" t="s">
        <v>339</v>
      </c>
      <c r="D214" s="21" t="n">
        <v>476</v>
      </c>
      <c r="E214" s="21" t="n">
        <v>471</v>
      </c>
      <c r="F214" s="52" t="n">
        <f aca="false">IF(E214="","",D214-E214)</f>
        <v>5</v>
      </c>
      <c r="G214" s="21" t="n">
        <v>993</v>
      </c>
      <c r="H214" s="21" t="n">
        <v>1124</v>
      </c>
      <c r="I214" s="52" t="n">
        <f aca="false">IF(H214="","",G214-H214)</f>
        <v>-131</v>
      </c>
      <c r="J214" s="39" t="n">
        <f aca="false">IF(OR(D214="",D214+G214=0),"",D214/(D214+G214))</f>
        <v>0.324029952348536</v>
      </c>
      <c r="K214" s="39" t="n">
        <f aca="false">IF(E214="","",E214/(E214+H214))</f>
        <v>0.295297805642633</v>
      </c>
      <c r="L214" s="53" t="n">
        <f aca="false">IF(OR(K214="",J214=""),"",(J214-K214)*100)</f>
        <v>2.87321467059032</v>
      </c>
      <c r="M214" s="38"/>
    </row>
    <row r="215" customFormat="false" ht="15" hidden="false" customHeight="false" outlineLevel="0" collapsed="false">
      <c r="A215" s="38" t="s">
        <v>337</v>
      </c>
      <c r="B215" s="38" t="s">
        <v>340</v>
      </c>
      <c r="C215" s="38" t="s">
        <v>341</v>
      </c>
      <c r="D215" s="21" t="n">
        <v>1324</v>
      </c>
      <c r="E215" s="21" t="n">
        <v>1414</v>
      </c>
      <c r="F215" s="52" t="n">
        <f aca="false">IF(E215="","",D215-E215)</f>
        <v>-90</v>
      </c>
      <c r="G215" s="21" t="n">
        <v>2592</v>
      </c>
      <c r="H215" s="21" t="n">
        <v>2894</v>
      </c>
      <c r="I215" s="52" t="n">
        <f aca="false">IF(H215="","",G215-H215)</f>
        <v>-302</v>
      </c>
      <c r="J215" s="39" t="n">
        <f aca="false">IF(OR(D215="",D215+G215=0),"",D215/(D215+G215))</f>
        <v>0.338100102145046</v>
      </c>
      <c r="K215" s="39" t="n">
        <f aca="false">IF(E215="","",E215/(E215+H215))</f>
        <v>0.328226555246054</v>
      </c>
      <c r="L215" s="53" t="n">
        <f aca="false">IF(OR(K215="",J215=""),"",(J215-K215)*100)</f>
        <v>0.987354689899211</v>
      </c>
      <c r="M215" s="38"/>
    </row>
    <row r="216" customFormat="false" ht="15" hidden="false" customHeight="false" outlineLevel="0" collapsed="false">
      <c r="A216" s="38" t="s">
        <v>337</v>
      </c>
      <c r="B216" s="38" t="s">
        <v>342</v>
      </c>
      <c r="C216" s="38" t="s">
        <v>343</v>
      </c>
      <c r="D216" s="21" t="n">
        <v>954</v>
      </c>
      <c r="E216" s="21" t="n">
        <v>521</v>
      </c>
      <c r="F216" s="52" t="n">
        <f aca="false">IF(E216="","",D216-E216)</f>
        <v>433</v>
      </c>
      <c r="G216" s="21" t="n">
        <v>1877</v>
      </c>
      <c r="H216" s="21" t="n">
        <v>997</v>
      </c>
      <c r="I216" s="52" t="n">
        <f aca="false">IF(H216="","",G216-H216)</f>
        <v>880</v>
      </c>
      <c r="J216" s="39" t="n">
        <f aca="false">IF(OR(D216="",D216+G216=0),"",D216/(D216+G216))</f>
        <v>0.336983398092547</v>
      </c>
      <c r="K216" s="39" t="n">
        <f aca="false">IF(E216="","",E216/(E216+H216))</f>
        <v>0.343214756258235</v>
      </c>
      <c r="L216" s="53" t="n">
        <f aca="false">IF(OR(K216="",J216=""),"",(J216-K216)*100)</f>
        <v>-0.623135816568771</v>
      </c>
      <c r="M216" s="38"/>
    </row>
    <row r="217" customFormat="false" ht="15" hidden="false" customHeight="false" outlineLevel="0" collapsed="false">
      <c r="A217" s="38" t="s">
        <v>344</v>
      </c>
      <c r="B217" s="38" t="s">
        <v>345</v>
      </c>
      <c r="C217" s="38" t="s">
        <v>346</v>
      </c>
      <c r="D217" s="21" t="n">
        <v>689</v>
      </c>
      <c r="E217" s="21" t="n">
        <v>687</v>
      </c>
      <c r="F217" s="52" t="n">
        <f aca="false">IF(E217="","",D217-E217)</f>
        <v>2</v>
      </c>
      <c r="G217" s="21" t="n">
        <v>950</v>
      </c>
      <c r="H217" s="21" t="n">
        <v>1009</v>
      </c>
      <c r="I217" s="52" t="n">
        <f aca="false">IF(H217="","",G217-H217)</f>
        <v>-59</v>
      </c>
      <c r="J217" s="39" t="n">
        <f aca="false">IF(OR(D217="",D217+G217=0),"",D217/(D217+G217))</f>
        <v>0.420378279438682</v>
      </c>
      <c r="K217" s="39" t="n">
        <f aca="false">IF(E217="","",E217/(E217+H217))</f>
        <v>0.405070754716981</v>
      </c>
      <c r="L217" s="53" t="n">
        <f aca="false">IF(OR(K217="",J217=""),"",(J217-K217)*100)</f>
        <v>1.5307524721701</v>
      </c>
      <c r="M217" s="38"/>
    </row>
    <row r="218" customFormat="false" ht="15" hidden="false" customHeight="false" outlineLevel="0" collapsed="false">
      <c r="A218" s="38" t="s">
        <v>344</v>
      </c>
      <c r="B218" s="38" t="s">
        <v>345</v>
      </c>
      <c r="C218" s="38" t="s">
        <v>347</v>
      </c>
      <c r="D218" s="21" t="n">
        <v>834</v>
      </c>
      <c r="E218" s="21" t="n">
        <v>824</v>
      </c>
      <c r="F218" s="52" t="n">
        <f aca="false">IF(E218="","",D218-E218)</f>
        <v>10</v>
      </c>
      <c r="G218" s="21" t="n">
        <v>841</v>
      </c>
      <c r="H218" s="21" t="n">
        <v>1009</v>
      </c>
      <c r="I218" s="52" t="n">
        <f aca="false">IF(H218="","",G218-H218)</f>
        <v>-168</v>
      </c>
      <c r="J218" s="39" t="n">
        <f aca="false">IF(OR(D218="",D218+G218=0),"",D218/(D218+G218))</f>
        <v>0.497910447761194</v>
      </c>
      <c r="K218" s="39" t="n">
        <f aca="false">IF(E218="","",E218/(E218+H218))</f>
        <v>0.449536279323513</v>
      </c>
      <c r="L218" s="53" t="n">
        <f aca="false">IF(OR(K218="",J218=""),"",(J218-K218)*100)</f>
        <v>4.83741684376807</v>
      </c>
      <c r="M218" s="38"/>
    </row>
    <row r="219" customFormat="false" ht="15" hidden="false" customHeight="false" outlineLevel="0" collapsed="false">
      <c r="A219" s="38" t="s">
        <v>344</v>
      </c>
      <c r="B219" s="38" t="s">
        <v>348</v>
      </c>
      <c r="C219" s="38" t="s">
        <v>349</v>
      </c>
      <c r="D219" s="21" t="n">
        <v>482</v>
      </c>
      <c r="E219" s="21"/>
      <c r="F219" s="52" t="str">
        <f aca="false">IF(E219="","",D219-E219)</f>
        <v/>
      </c>
      <c r="G219" s="21" t="n">
        <v>644</v>
      </c>
      <c r="H219" s="21"/>
      <c r="I219" s="52" t="str">
        <f aca="false">IF(H219="","",G219-H219)</f>
        <v/>
      </c>
      <c r="J219" s="39" t="n">
        <f aca="false">IF(OR(D219="",D219+G219=0),"",D219/(D219+G219))</f>
        <v>0.428063943161634</v>
      </c>
      <c r="K219" s="39" t="str">
        <f aca="false">IF(E219="","",E219/(E219+H219))</f>
        <v/>
      </c>
      <c r="L219" s="53" t="str">
        <f aca="false">IF(OR(K219="",J219=""),"",(J219-K219)*100)</f>
        <v/>
      </c>
      <c r="M219" s="38" t="s">
        <v>650</v>
      </c>
    </row>
    <row r="220" customFormat="false" ht="15" hidden="false" customHeight="false" outlineLevel="0" collapsed="false">
      <c r="A220" s="38" t="s">
        <v>344</v>
      </c>
      <c r="B220" s="38" t="s">
        <v>348</v>
      </c>
      <c r="C220" s="38" t="s">
        <v>350</v>
      </c>
      <c r="D220" s="21" t="n">
        <v>509</v>
      </c>
      <c r="E220" s="21"/>
      <c r="F220" s="52" t="str">
        <f aca="false">IF(E220="","",D220-E220)</f>
        <v/>
      </c>
      <c r="G220" s="21" t="n">
        <v>672</v>
      </c>
      <c r="H220" s="21"/>
      <c r="I220" s="52" t="str">
        <f aca="false">IF(H220="","",G220-H220)</f>
        <v/>
      </c>
      <c r="J220" s="39" t="n">
        <f aca="false">IF(OR(D220="",D220+G220=0),"",D220/(D220+G220))</f>
        <v>0.430990685859441</v>
      </c>
      <c r="K220" s="39" t="str">
        <f aca="false">IF(E220="","",E220/(E220+H220))</f>
        <v/>
      </c>
      <c r="L220" s="53" t="str">
        <f aca="false">IF(OR(K220="",J220=""),"",(J220-K220)*100)</f>
        <v/>
      </c>
      <c r="M220" s="38" t="s">
        <v>650</v>
      </c>
    </row>
    <row r="221" customFormat="false" ht="15" hidden="false" customHeight="false" outlineLevel="0" collapsed="false">
      <c r="A221" s="38" t="s">
        <v>344</v>
      </c>
      <c r="B221" s="38" t="s">
        <v>351</v>
      </c>
      <c r="C221" s="38" t="s">
        <v>352</v>
      </c>
      <c r="D221" s="21" t="n">
        <v>599</v>
      </c>
      <c r="E221" s="21" t="n">
        <v>623</v>
      </c>
      <c r="F221" s="52" t="n">
        <f aca="false">IF(E221="","",D221-E221)</f>
        <v>-24</v>
      </c>
      <c r="G221" s="21" t="n">
        <v>675</v>
      </c>
      <c r="H221" s="21" t="n">
        <v>726</v>
      </c>
      <c r="I221" s="52" t="n">
        <f aca="false">IF(H221="","",G221-H221)</f>
        <v>-51</v>
      </c>
      <c r="J221" s="39" t="n">
        <f aca="false">IF(OR(D221="",D221+G221=0),"",D221/(D221+G221))</f>
        <v>0.470172684458399</v>
      </c>
      <c r="K221" s="39" t="n">
        <f aca="false">IF(E221="","",E221/(E221+H221))</f>
        <v>0.46182357301705</v>
      </c>
      <c r="L221" s="53" t="n">
        <f aca="false">IF(OR(K221="",J221=""),"",(J221-K221)*100)</f>
        <v>0.834911144134909</v>
      </c>
      <c r="M221" s="38"/>
    </row>
    <row r="222" customFormat="false" ht="15" hidden="false" customHeight="false" outlineLevel="0" collapsed="false">
      <c r="A222" s="38" t="s">
        <v>344</v>
      </c>
      <c r="B222" s="38" t="s">
        <v>219</v>
      </c>
      <c r="C222" s="38" t="s">
        <v>353</v>
      </c>
      <c r="D222" s="21" t="n">
        <v>710</v>
      </c>
      <c r="E222" s="21" t="n">
        <v>775</v>
      </c>
      <c r="F222" s="52" t="n">
        <f aca="false">IF(E222="","",D222-E222)</f>
        <v>-65</v>
      </c>
      <c r="G222" s="21" t="n">
        <v>424</v>
      </c>
      <c r="H222" s="21" t="n">
        <v>447</v>
      </c>
      <c r="I222" s="52" t="n">
        <f aca="false">IF(H222="","",G222-H222)</f>
        <v>-23</v>
      </c>
      <c r="J222" s="39" t="n">
        <f aca="false">IF(OR(D222="",D222+G222=0),"",D222/(D222+G222))</f>
        <v>0.62610229276896</v>
      </c>
      <c r="K222" s="39" t="n">
        <f aca="false">IF(E222="","",E222/(E222+H222))</f>
        <v>0.634206219312602</v>
      </c>
      <c r="L222" s="53" t="n">
        <f aca="false">IF(OR(K222="",J222=""),"",(J222-K222)*100)</f>
        <v>-0.810392654364278</v>
      </c>
      <c r="M222" s="38"/>
    </row>
    <row r="223" customFormat="false" ht="15" hidden="false" customHeight="false" outlineLevel="0" collapsed="false">
      <c r="A223" s="38" t="s">
        <v>344</v>
      </c>
      <c r="B223" s="38" t="s">
        <v>219</v>
      </c>
      <c r="C223" s="38" t="s">
        <v>354</v>
      </c>
      <c r="D223" s="21" t="n">
        <v>988</v>
      </c>
      <c r="E223" s="21" t="n">
        <v>982</v>
      </c>
      <c r="F223" s="52" t="n">
        <f aca="false">IF(E223="","",D223-E223)</f>
        <v>6</v>
      </c>
      <c r="G223" s="21" t="n">
        <v>631</v>
      </c>
      <c r="H223" s="21" t="n">
        <v>684</v>
      </c>
      <c r="I223" s="52" t="n">
        <f aca="false">IF(H223="","",G223-H223)</f>
        <v>-53</v>
      </c>
      <c r="J223" s="39" t="n">
        <f aca="false">IF(OR(D223="",D223+G223=0),"",D223/(D223+G223))</f>
        <v>0.610253242742434</v>
      </c>
      <c r="K223" s="39" t="n">
        <f aca="false">IF(E223="","",E223/(E223+H223))</f>
        <v>0.589435774309724</v>
      </c>
      <c r="L223" s="53" t="n">
        <f aca="false">IF(OR(K223="",J223=""),"",(J223-K223)*100)</f>
        <v>2.08174684327097</v>
      </c>
      <c r="M223" s="38"/>
    </row>
    <row r="224" customFormat="false" ht="15" hidden="false" customHeight="false" outlineLevel="0" collapsed="false">
      <c r="A224" s="38" t="s">
        <v>344</v>
      </c>
      <c r="B224" s="38" t="s">
        <v>219</v>
      </c>
      <c r="C224" s="38" t="s">
        <v>355</v>
      </c>
      <c r="D224" s="21" t="n">
        <v>785</v>
      </c>
      <c r="E224" s="21" t="n">
        <v>750</v>
      </c>
      <c r="F224" s="52" t="n">
        <f aca="false">IF(E224="","",D224-E224)</f>
        <v>35</v>
      </c>
      <c r="G224" s="21" t="n">
        <v>391</v>
      </c>
      <c r="H224" s="21" t="n">
        <v>421</v>
      </c>
      <c r="I224" s="52" t="n">
        <f aca="false">IF(H224="","",G224-H224)</f>
        <v>-30</v>
      </c>
      <c r="J224" s="39" t="n">
        <f aca="false">IF(OR(D224="",D224+G224=0),"",D224/(D224+G224))</f>
        <v>0.667517006802721</v>
      </c>
      <c r="K224" s="39" t="n">
        <f aca="false">IF(E224="","",E224/(E224+H224))</f>
        <v>0.640478223740393</v>
      </c>
      <c r="L224" s="53" t="n">
        <f aca="false">IF(OR(K224="",J224=""),"",(J224-K224)*100)</f>
        <v>2.70387830623282</v>
      </c>
      <c r="M224" s="38"/>
    </row>
    <row r="225" customFormat="false" ht="15" hidden="false" customHeight="false" outlineLevel="0" collapsed="false">
      <c r="A225" s="38" t="s">
        <v>344</v>
      </c>
      <c r="B225" s="38" t="s">
        <v>219</v>
      </c>
      <c r="C225" s="38" t="s">
        <v>356</v>
      </c>
      <c r="D225" s="21" t="n">
        <v>611</v>
      </c>
      <c r="E225" s="21" t="n">
        <v>592</v>
      </c>
      <c r="F225" s="52" t="n">
        <f aca="false">IF(E225="","",D225-E225)</f>
        <v>19</v>
      </c>
      <c r="G225" s="21" t="n">
        <v>339</v>
      </c>
      <c r="H225" s="21" t="n">
        <v>337</v>
      </c>
      <c r="I225" s="52" t="n">
        <f aca="false">IF(H225="","",G225-H225)</f>
        <v>2</v>
      </c>
      <c r="J225" s="39" t="n">
        <f aca="false">IF(OR(D225="",D225+G225=0),"",D225/(D225+G225))</f>
        <v>0.643157894736842</v>
      </c>
      <c r="K225" s="39" t="n">
        <f aca="false">IF(E225="","",E225/(E225+H225))</f>
        <v>0.63724434876211</v>
      </c>
      <c r="L225" s="53" t="n">
        <f aca="false">IF(OR(K225="",J225=""),"",(J225-K225)*100)</f>
        <v>0.591354597473237</v>
      </c>
      <c r="M225" s="38"/>
    </row>
    <row r="226" customFormat="false" ht="15" hidden="false" customHeight="false" outlineLevel="0" collapsed="false">
      <c r="A226" s="38" t="s">
        <v>344</v>
      </c>
      <c r="B226" s="38" t="s">
        <v>219</v>
      </c>
      <c r="C226" s="38" t="s">
        <v>357</v>
      </c>
      <c r="D226" s="21" t="n">
        <v>804</v>
      </c>
      <c r="E226" s="21" t="n">
        <v>740</v>
      </c>
      <c r="F226" s="52" t="n">
        <f aca="false">IF(E226="","",D226-E226)</f>
        <v>64</v>
      </c>
      <c r="G226" s="21" t="n">
        <v>505</v>
      </c>
      <c r="H226" s="21" t="n">
        <v>506</v>
      </c>
      <c r="I226" s="52" t="n">
        <f aca="false">IF(H226="","",G226-H226)</f>
        <v>-1</v>
      </c>
      <c r="J226" s="39" t="n">
        <f aca="false">IF(OR(D226="",D226+G226=0),"",D226/(D226+G226))</f>
        <v>0.614209320091673</v>
      </c>
      <c r="K226" s="39" t="n">
        <f aca="false">IF(E226="","",E226/(E226+H226))</f>
        <v>0.593900481540931</v>
      </c>
      <c r="L226" s="53" t="n">
        <f aca="false">IF(OR(K226="",J226=""),"",(J226-K226)*100)</f>
        <v>2.03088385507421</v>
      </c>
      <c r="M226" s="38"/>
    </row>
    <row r="227" customFormat="false" ht="15" hidden="false" customHeight="false" outlineLevel="0" collapsed="false">
      <c r="A227" s="38" t="s">
        <v>344</v>
      </c>
      <c r="B227" s="38" t="s">
        <v>219</v>
      </c>
      <c r="C227" s="38" t="s">
        <v>358</v>
      </c>
      <c r="D227" s="21" t="n">
        <v>1099</v>
      </c>
      <c r="E227" s="21" t="n">
        <v>1037</v>
      </c>
      <c r="F227" s="52" t="n">
        <f aca="false">IF(E227="","",D227-E227)</f>
        <v>62</v>
      </c>
      <c r="G227" s="21" t="n">
        <v>603</v>
      </c>
      <c r="H227" s="21" t="n">
        <v>623</v>
      </c>
      <c r="I227" s="52" t="n">
        <f aca="false">IF(H227="","",G227-H227)</f>
        <v>-20</v>
      </c>
      <c r="J227" s="39" t="n">
        <f aca="false">IF(OR(D227="",D227+G227=0),"",D227/(D227+G227))</f>
        <v>0.645710928319624</v>
      </c>
      <c r="K227" s="39" t="n">
        <f aca="false">IF(E227="","",E227/(E227+H227))</f>
        <v>0.624698795180723</v>
      </c>
      <c r="L227" s="53" t="n">
        <f aca="false">IF(OR(K227="",J227=""),"",(J227-K227)*100)</f>
        <v>2.1012133138901</v>
      </c>
      <c r="M227" s="38"/>
    </row>
    <row r="228" customFormat="false" ht="15" hidden="false" customHeight="false" outlineLevel="0" collapsed="false">
      <c r="A228" s="38" t="s">
        <v>344</v>
      </c>
      <c r="B228" s="38" t="s">
        <v>219</v>
      </c>
      <c r="C228" s="38" t="s">
        <v>359</v>
      </c>
      <c r="D228" s="21" t="n">
        <v>701</v>
      </c>
      <c r="E228" s="21" t="n">
        <v>681</v>
      </c>
      <c r="F228" s="52" t="n">
        <f aca="false">IF(E228="","",D228-E228)</f>
        <v>20</v>
      </c>
      <c r="G228" s="21" t="n">
        <v>491</v>
      </c>
      <c r="H228" s="21" t="n">
        <v>513</v>
      </c>
      <c r="I228" s="52" t="n">
        <f aca="false">IF(H228="","",G228-H228)</f>
        <v>-22</v>
      </c>
      <c r="J228" s="39" t="n">
        <f aca="false">IF(OR(D228="",D228+G228=0),"",D228/(D228+G228))</f>
        <v>0.588087248322148</v>
      </c>
      <c r="K228" s="39" t="n">
        <f aca="false">IF(E228="","",E228/(E228+H228))</f>
        <v>0.57035175879397</v>
      </c>
      <c r="L228" s="53" t="n">
        <f aca="false">IF(OR(K228="",J228=""),"",(J228-K228)*100)</f>
        <v>1.77354895281778</v>
      </c>
      <c r="M228" s="38"/>
    </row>
    <row r="229" customFormat="false" ht="15" hidden="false" customHeight="false" outlineLevel="0" collapsed="false">
      <c r="A229" s="38" t="s">
        <v>344</v>
      </c>
      <c r="B229" s="38" t="s">
        <v>219</v>
      </c>
      <c r="C229" s="38" t="s">
        <v>360</v>
      </c>
      <c r="D229" s="21" t="n">
        <v>558</v>
      </c>
      <c r="E229" s="21" t="n">
        <v>529</v>
      </c>
      <c r="F229" s="52" t="n">
        <f aca="false">IF(E229="","",D229-E229)</f>
        <v>29</v>
      </c>
      <c r="G229" s="21" t="n">
        <v>311</v>
      </c>
      <c r="H229" s="21" t="n">
        <v>293</v>
      </c>
      <c r="I229" s="52" t="n">
        <f aca="false">IF(H229="","",G229-H229)</f>
        <v>18</v>
      </c>
      <c r="J229" s="39" t="n">
        <f aca="false">IF(OR(D229="",D229+G229=0),"",D229/(D229+G229))</f>
        <v>0.642117376294592</v>
      </c>
      <c r="K229" s="39" t="n">
        <f aca="false">IF(E229="","",E229/(E229+H229))</f>
        <v>0.643552311435523</v>
      </c>
      <c r="L229" s="53" t="n">
        <f aca="false">IF(OR(K229="",J229=""),"",(J229-K229)*100)</f>
        <v>-0.143493514093163</v>
      </c>
      <c r="M229" s="38"/>
    </row>
    <row r="230" customFormat="false" ht="15" hidden="false" customHeight="false" outlineLevel="0" collapsed="false">
      <c r="A230" s="38" t="s">
        <v>344</v>
      </c>
      <c r="B230" s="38" t="s">
        <v>219</v>
      </c>
      <c r="C230" s="38" t="s">
        <v>361</v>
      </c>
      <c r="D230" s="21" t="n">
        <v>697</v>
      </c>
      <c r="E230" s="21" t="n">
        <v>767</v>
      </c>
      <c r="F230" s="52" t="n">
        <f aca="false">IF(E230="","",D230-E230)</f>
        <v>-70</v>
      </c>
      <c r="G230" s="21" t="n">
        <v>314</v>
      </c>
      <c r="H230" s="21" t="n">
        <v>384</v>
      </c>
      <c r="I230" s="52" t="n">
        <f aca="false">IF(H230="","",G230-H230)</f>
        <v>-70</v>
      </c>
      <c r="J230" s="39" t="n">
        <f aca="false">IF(OR(D230="",D230+G230=0),"",D230/(D230+G230))</f>
        <v>0.689416419386746</v>
      </c>
      <c r="K230" s="39" t="n">
        <f aca="false">IF(E230="","",E230/(E230+H230))</f>
        <v>0.66637706342311</v>
      </c>
      <c r="L230" s="53" t="n">
        <f aca="false">IF(OR(K230="",J230=""),"",(J230-K230)*100)</f>
        <v>2.30393559636355</v>
      </c>
      <c r="M230" s="38"/>
    </row>
    <row r="231" customFormat="false" ht="15" hidden="false" customHeight="false" outlineLevel="0" collapsed="false">
      <c r="A231" s="38" t="s">
        <v>344</v>
      </c>
      <c r="B231" s="38" t="s">
        <v>219</v>
      </c>
      <c r="C231" s="38" t="s">
        <v>362</v>
      </c>
      <c r="D231" s="21" t="n">
        <v>930</v>
      </c>
      <c r="E231" s="21" t="n">
        <v>906</v>
      </c>
      <c r="F231" s="52" t="n">
        <f aca="false">IF(E231="","",D231-E231)</f>
        <v>24</v>
      </c>
      <c r="G231" s="21" t="n">
        <v>531</v>
      </c>
      <c r="H231" s="21" t="n">
        <v>586</v>
      </c>
      <c r="I231" s="52" t="n">
        <f aca="false">IF(H231="","",G231-H231)</f>
        <v>-55</v>
      </c>
      <c r="J231" s="39" t="n">
        <f aca="false">IF(OR(D231="",D231+G231=0),"",D231/(D231+G231))</f>
        <v>0.636550308008214</v>
      </c>
      <c r="K231" s="39" t="n">
        <f aca="false">IF(E231="","",E231/(E231+H231))</f>
        <v>0.607238605898123</v>
      </c>
      <c r="L231" s="53" t="n">
        <f aca="false">IF(OR(K231="",J231=""),"",(J231-K231)*100)</f>
        <v>2.93117021100903</v>
      </c>
      <c r="M231" s="38"/>
    </row>
    <row r="232" customFormat="false" ht="15" hidden="false" customHeight="false" outlineLevel="0" collapsed="false">
      <c r="A232" s="38" t="s">
        <v>344</v>
      </c>
      <c r="B232" s="38" t="s">
        <v>219</v>
      </c>
      <c r="C232" s="38" t="s">
        <v>363</v>
      </c>
      <c r="D232" s="21" t="n">
        <v>906</v>
      </c>
      <c r="E232" s="21" t="n">
        <v>954</v>
      </c>
      <c r="F232" s="52" t="n">
        <f aca="false">IF(E232="","",D232-E232)</f>
        <v>-48</v>
      </c>
      <c r="G232" s="21" t="n">
        <v>366</v>
      </c>
      <c r="H232" s="21" t="n">
        <v>416</v>
      </c>
      <c r="I232" s="52" t="n">
        <f aca="false">IF(H232="","",G232-H232)</f>
        <v>-50</v>
      </c>
      <c r="J232" s="39" t="n">
        <f aca="false">IF(OR(D232="",D232+G232=0),"",D232/(D232+G232))</f>
        <v>0.712264150943396</v>
      </c>
      <c r="K232" s="39" t="n">
        <f aca="false">IF(E232="","",E232/(E232+H232))</f>
        <v>0.696350364963504</v>
      </c>
      <c r="L232" s="53" t="n">
        <f aca="false">IF(OR(K232="",J232=""),"",(J232-K232)*100)</f>
        <v>1.59137859798926</v>
      </c>
      <c r="M232" s="38"/>
    </row>
    <row r="233" customFormat="false" ht="15" hidden="false" customHeight="false" outlineLevel="0" collapsed="false">
      <c r="A233" s="38" t="s">
        <v>344</v>
      </c>
      <c r="B233" s="38" t="s">
        <v>219</v>
      </c>
      <c r="C233" s="38" t="s">
        <v>364</v>
      </c>
      <c r="D233" s="21" t="n">
        <v>767</v>
      </c>
      <c r="E233" s="21" t="n">
        <v>821</v>
      </c>
      <c r="F233" s="52" t="n">
        <f aca="false">IF(E233="","",D233-E233)</f>
        <v>-54</v>
      </c>
      <c r="G233" s="21" t="n">
        <v>436</v>
      </c>
      <c r="H233" s="21" t="n">
        <v>474</v>
      </c>
      <c r="I233" s="52" t="n">
        <f aca="false">IF(H233="","",G233-H233)</f>
        <v>-38</v>
      </c>
      <c r="J233" s="39" t="n">
        <f aca="false">IF(OR(D233="",D233+G233=0),"",D233/(D233+G233))</f>
        <v>0.637572734829593</v>
      </c>
      <c r="K233" s="39" t="n">
        <f aca="false">IF(E233="","",E233/(E233+H233))</f>
        <v>0.633976833976834</v>
      </c>
      <c r="L233" s="53" t="n">
        <f aca="false">IF(OR(K233="",J233=""),"",(J233-K233)*100)</f>
        <v>0.359590085275863</v>
      </c>
      <c r="M233" s="38"/>
    </row>
    <row r="234" customFormat="false" ht="15" hidden="false" customHeight="false" outlineLevel="0" collapsed="false">
      <c r="A234" s="38" t="s">
        <v>344</v>
      </c>
      <c r="B234" s="38" t="s">
        <v>219</v>
      </c>
      <c r="C234" s="38" t="s">
        <v>365</v>
      </c>
      <c r="D234" s="21" t="n">
        <v>299</v>
      </c>
      <c r="E234" s="21" t="n">
        <v>283</v>
      </c>
      <c r="F234" s="52" t="n">
        <f aca="false">IF(E234="","",D234-E234)</f>
        <v>16</v>
      </c>
      <c r="G234" s="21" t="n">
        <v>89</v>
      </c>
      <c r="H234" s="21" t="n">
        <v>110</v>
      </c>
      <c r="I234" s="52" t="n">
        <f aca="false">IF(H234="","",G234-H234)</f>
        <v>-21</v>
      </c>
      <c r="J234" s="39" t="n">
        <f aca="false">IF(OR(D234="",D234+G234=0),"",D234/(D234+G234))</f>
        <v>0.770618556701031</v>
      </c>
      <c r="K234" s="39" t="n">
        <f aca="false">IF(E234="","",E234/(E234+H234))</f>
        <v>0.720101781170484</v>
      </c>
      <c r="L234" s="53" t="n">
        <f aca="false">IF(OR(K234="",J234=""),"",(J234-K234)*100)</f>
        <v>5.05167755305475</v>
      </c>
      <c r="M234" s="38"/>
    </row>
    <row r="235" customFormat="false" ht="15" hidden="false" customHeight="false" outlineLevel="0" collapsed="false">
      <c r="A235" s="38" t="s">
        <v>344</v>
      </c>
      <c r="B235" s="38" t="s">
        <v>219</v>
      </c>
      <c r="C235" s="38" t="s">
        <v>366</v>
      </c>
      <c r="D235" s="21" t="n">
        <v>516</v>
      </c>
      <c r="E235" s="21" t="n">
        <v>450</v>
      </c>
      <c r="F235" s="52" t="n">
        <f aca="false">IF(E235="","",D235-E235)</f>
        <v>66</v>
      </c>
      <c r="G235" s="21" t="n">
        <v>145</v>
      </c>
      <c r="H235" s="21" t="n">
        <v>179</v>
      </c>
      <c r="I235" s="52" t="n">
        <f aca="false">IF(H235="","",G235-H235)</f>
        <v>-34</v>
      </c>
      <c r="J235" s="39" t="n">
        <f aca="false">IF(OR(D235="",D235+G235=0),"",D235/(D235+G235))</f>
        <v>0.780635400907716</v>
      </c>
      <c r="K235" s="39" t="n">
        <f aca="false">IF(E235="","",E235/(E235+H235))</f>
        <v>0.715421303656598</v>
      </c>
      <c r="L235" s="53" t="n">
        <f aca="false">IF(OR(K235="",J235=""),"",(J235-K235)*100)</f>
        <v>6.52140972511178</v>
      </c>
      <c r="M235" s="38"/>
    </row>
    <row r="236" customFormat="false" ht="15" hidden="false" customHeight="false" outlineLevel="0" collapsed="false">
      <c r="A236" s="38" t="s">
        <v>344</v>
      </c>
      <c r="B236" s="38" t="s">
        <v>219</v>
      </c>
      <c r="C236" s="38" t="s">
        <v>367</v>
      </c>
      <c r="D236" s="21" t="n">
        <v>511</v>
      </c>
      <c r="E236" s="21" t="n">
        <v>442</v>
      </c>
      <c r="F236" s="52" t="n">
        <f aca="false">IF(E236="","",D236-E236)</f>
        <v>69</v>
      </c>
      <c r="G236" s="21" t="n">
        <v>155</v>
      </c>
      <c r="H236" s="21" t="n">
        <v>161</v>
      </c>
      <c r="I236" s="52" t="n">
        <f aca="false">IF(H236="","",G236-H236)</f>
        <v>-6</v>
      </c>
      <c r="J236" s="39" t="n">
        <f aca="false">IF(OR(D236="",D236+G236=0),"",D236/(D236+G236))</f>
        <v>0.767267267267267</v>
      </c>
      <c r="K236" s="39" t="n">
        <f aca="false">IF(E236="","",E236/(E236+H236))</f>
        <v>0.733001658374793</v>
      </c>
      <c r="L236" s="53" t="n">
        <f aca="false">IF(OR(K236="",J236=""),"",(J236-K236)*100)</f>
        <v>3.42656088924745</v>
      </c>
      <c r="M236" s="38"/>
    </row>
    <row r="237" customFormat="false" ht="15" hidden="false" customHeight="false" outlineLevel="0" collapsed="false">
      <c r="A237" s="38" t="s">
        <v>344</v>
      </c>
      <c r="B237" s="38" t="s">
        <v>219</v>
      </c>
      <c r="C237" s="38" t="s">
        <v>368</v>
      </c>
      <c r="D237" s="21" t="n">
        <v>625</v>
      </c>
      <c r="E237" s="21" t="n">
        <v>599</v>
      </c>
      <c r="F237" s="52" t="n">
        <f aca="false">IF(E237="","",D237-E237)</f>
        <v>26</v>
      </c>
      <c r="G237" s="21" t="n">
        <v>143</v>
      </c>
      <c r="H237" s="21" t="n">
        <v>203</v>
      </c>
      <c r="I237" s="52" t="n">
        <f aca="false">IF(H237="","",G237-H237)</f>
        <v>-60</v>
      </c>
      <c r="J237" s="39" t="n">
        <f aca="false">IF(OR(D237="",D237+G237=0),"",D237/(D237+G237))</f>
        <v>0.813802083333333</v>
      </c>
      <c r="K237" s="39" t="n">
        <f aca="false">IF(E237="","",E237/(E237+H237))</f>
        <v>0.746882793017456</v>
      </c>
      <c r="L237" s="53" t="n">
        <f aca="false">IF(OR(K237="",J237=""),"",(J237-K237)*100)</f>
        <v>6.6919290315877</v>
      </c>
      <c r="M237" s="38"/>
    </row>
    <row r="238" customFormat="false" ht="15" hidden="false" customHeight="false" outlineLevel="0" collapsed="false">
      <c r="A238" s="38" t="s">
        <v>344</v>
      </c>
      <c r="B238" s="38" t="s">
        <v>219</v>
      </c>
      <c r="C238" s="38" t="s">
        <v>369</v>
      </c>
      <c r="D238" s="21" t="n">
        <v>767</v>
      </c>
      <c r="E238" s="21" t="n">
        <v>1506</v>
      </c>
      <c r="F238" s="52" t="n">
        <f aca="false">IF(E238="","",D238-E238)</f>
        <v>-739</v>
      </c>
      <c r="G238" s="21" t="n">
        <v>150</v>
      </c>
      <c r="H238" s="21" t="n">
        <v>338</v>
      </c>
      <c r="I238" s="52" t="n">
        <f aca="false">IF(H238="","",G238-H238)</f>
        <v>-188</v>
      </c>
      <c r="J238" s="39" t="n">
        <f aca="false">IF(OR(D238="",D238+G238=0),"",D238/(D238+G238))</f>
        <v>0.836423118865867</v>
      </c>
      <c r="K238" s="39" t="n">
        <f aca="false">IF(E238="","",E238/(E238+H238))</f>
        <v>0.816702819956616</v>
      </c>
      <c r="L238" s="53" t="n">
        <f aca="false">IF(OR(K238="",J238=""),"",(J238-K238)*100)</f>
        <v>1.97202989092509</v>
      </c>
      <c r="M238" s="38"/>
    </row>
    <row r="239" customFormat="false" ht="15" hidden="false" customHeight="false" outlineLevel="0" collapsed="false">
      <c r="A239" s="38" t="s">
        <v>344</v>
      </c>
      <c r="B239" s="38" t="s">
        <v>219</v>
      </c>
      <c r="C239" s="38" t="s">
        <v>370</v>
      </c>
      <c r="D239" s="21" t="n">
        <v>676</v>
      </c>
      <c r="E239" s="21" t="n">
        <v>645</v>
      </c>
      <c r="F239" s="52" t="n">
        <f aca="false">IF(E239="","",D239-E239)</f>
        <v>31</v>
      </c>
      <c r="G239" s="21" t="n">
        <v>171</v>
      </c>
      <c r="H239" s="21" t="n">
        <v>243</v>
      </c>
      <c r="I239" s="52" t="n">
        <f aca="false">IF(H239="","",G239-H239)</f>
        <v>-72</v>
      </c>
      <c r="J239" s="39" t="n">
        <f aca="false">IF(OR(D239="",D239+G239=0),"",D239/(D239+G239))</f>
        <v>0.798110979929162</v>
      </c>
      <c r="K239" s="39" t="n">
        <f aca="false">IF(E239="","",E239/(E239+H239))</f>
        <v>0.726351351351351</v>
      </c>
      <c r="L239" s="53" t="n">
        <f aca="false">IF(OR(K239="",J239=""),"",(J239-K239)*100)</f>
        <v>7.17596285778105</v>
      </c>
      <c r="M239" s="38"/>
    </row>
    <row r="240" customFormat="false" ht="15" hidden="false" customHeight="false" outlineLevel="0" collapsed="false">
      <c r="A240" s="38" t="s">
        <v>344</v>
      </c>
      <c r="B240" s="38" t="s">
        <v>219</v>
      </c>
      <c r="C240" s="38" t="s">
        <v>371</v>
      </c>
      <c r="D240" s="21" t="n">
        <v>743</v>
      </c>
      <c r="E240" s="21" t="n">
        <v>628</v>
      </c>
      <c r="F240" s="52" t="n">
        <f aca="false">IF(E240="","",D240-E240)</f>
        <v>115</v>
      </c>
      <c r="G240" s="21" t="n">
        <v>215</v>
      </c>
      <c r="H240" s="21" t="n">
        <v>267</v>
      </c>
      <c r="I240" s="52" t="n">
        <f aca="false">IF(H240="","",G240-H240)</f>
        <v>-52</v>
      </c>
      <c r="J240" s="39" t="n">
        <f aca="false">IF(OR(D240="",D240+G240=0),"",D240/(D240+G240))</f>
        <v>0.775574112734864</v>
      </c>
      <c r="K240" s="39" t="n">
        <f aca="false">IF(E240="","",E240/(E240+H240))</f>
        <v>0.701675977653631</v>
      </c>
      <c r="L240" s="53" t="n">
        <f aca="false">IF(OR(K240="",J240=""),"",(J240-K240)*100)</f>
        <v>7.3898135081233</v>
      </c>
      <c r="M240" s="38"/>
    </row>
    <row r="241" customFormat="false" ht="15" hidden="false" customHeight="false" outlineLevel="0" collapsed="false">
      <c r="A241" s="38" t="s">
        <v>344</v>
      </c>
      <c r="B241" s="38" t="s">
        <v>219</v>
      </c>
      <c r="C241" s="38" t="s">
        <v>372</v>
      </c>
      <c r="D241" s="21" t="n">
        <v>458</v>
      </c>
      <c r="E241" s="21" t="n">
        <v>473</v>
      </c>
      <c r="F241" s="52" t="n">
        <f aca="false">IF(E241="","",D241-E241)</f>
        <v>-15</v>
      </c>
      <c r="G241" s="21" t="n">
        <v>174</v>
      </c>
      <c r="H241" s="21" t="n">
        <v>153</v>
      </c>
      <c r="I241" s="52" t="n">
        <f aca="false">IF(H241="","",G241-H241)</f>
        <v>21</v>
      </c>
      <c r="J241" s="39" t="n">
        <f aca="false">IF(OR(D241="",D241+G241=0),"",D241/(D241+G241))</f>
        <v>0.724683544303797</v>
      </c>
      <c r="K241" s="39" t="n">
        <f aca="false">IF(E241="","",E241/(E241+H241))</f>
        <v>0.755591054313099</v>
      </c>
      <c r="L241" s="53" t="n">
        <f aca="false">IF(OR(K241="",J241=""),"",(J241-K241)*100)</f>
        <v>-3.09075100093016</v>
      </c>
      <c r="M241" s="38"/>
    </row>
    <row r="242" customFormat="false" ht="15" hidden="false" customHeight="false" outlineLevel="0" collapsed="false">
      <c r="A242" s="38" t="s">
        <v>344</v>
      </c>
      <c r="B242" s="38" t="s">
        <v>219</v>
      </c>
      <c r="C242" s="38" t="s">
        <v>373</v>
      </c>
      <c r="D242" s="21" t="n">
        <v>788</v>
      </c>
      <c r="E242" s="21" t="n">
        <v>745</v>
      </c>
      <c r="F242" s="52" t="n">
        <f aca="false">IF(E242="","",D242-E242)</f>
        <v>43</v>
      </c>
      <c r="G242" s="21" t="n">
        <v>269</v>
      </c>
      <c r="H242" s="21" t="n">
        <v>301</v>
      </c>
      <c r="I242" s="52" t="n">
        <f aca="false">IF(H242="","",G242-H242)</f>
        <v>-32</v>
      </c>
      <c r="J242" s="39" t="n">
        <f aca="false">IF(OR(D242="",D242+G242=0),"",D242/(D242+G242))</f>
        <v>0.745506149479659</v>
      </c>
      <c r="K242" s="39" t="n">
        <f aca="false">IF(E242="","",E242/(E242+H242))</f>
        <v>0.712237093690249</v>
      </c>
      <c r="L242" s="53" t="n">
        <f aca="false">IF(OR(K242="",J242=""),"",(J242-K242)*100)</f>
        <v>3.32690557894109</v>
      </c>
      <c r="M242" s="38"/>
    </row>
    <row r="243" customFormat="false" ht="15" hidden="false" customHeight="false" outlineLevel="0" collapsed="false">
      <c r="A243" s="38" t="s">
        <v>344</v>
      </c>
      <c r="B243" s="38" t="s">
        <v>219</v>
      </c>
      <c r="C243" s="38" t="s">
        <v>374</v>
      </c>
      <c r="D243" s="21" t="n">
        <v>696</v>
      </c>
      <c r="E243" s="21" t="n">
        <v>682</v>
      </c>
      <c r="F243" s="52" t="n">
        <f aca="false">IF(E243="","",D243-E243)</f>
        <v>14</v>
      </c>
      <c r="G243" s="21" t="n">
        <v>267</v>
      </c>
      <c r="H243" s="21" t="n">
        <v>313</v>
      </c>
      <c r="I243" s="52" t="n">
        <f aca="false">IF(H243="","",G243-H243)</f>
        <v>-46</v>
      </c>
      <c r="J243" s="39" t="n">
        <f aca="false">IF(OR(D243="",D243+G243=0),"",D243/(D243+G243))</f>
        <v>0.722741433021807</v>
      </c>
      <c r="K243" s="39" t="n">
        <f aca="false">IF(E243="","",E243/(E243+H243))</f>
        <v>0.685427135678392</v>
      </c>
      <c r="L243" s="53" t="n">
        <f aca="false">IF(OR(K243="",J243=""),"",(J243-K243)*100)</f>
        <v>3.73142973434149</v>
      </c>
      <c r="M243" s="38"/>
    </row>
    <row r="244" customFormat="false" ht="15" hidden="false" customHeight="false" outlineLevel="0" collapsed="false">
      <c r="A244" s="38" t="s">
        <v>344</v>
      </c>
      <c r="B244" s="38" t="s">
        <v>219</v>
      </c>
      <c r="C244" s="38" t="s">
        <v>375</v>
      </c>
      <c r="D244" s="21" t="n">
        <v>758</v>
      </c>
      <c r="E244" s="21" t="n">
        <v>711</v>
      </c>
      <c r="F244" s="52" t="n">
        <f aca="false">IF(E244="","",D244-E244)</f>
        <v>47</v>
      </c>
      <c r="G244" s="21" t="n">
        <v>291</v>
      </c>
      <c r="H244" s="21" t="n">
        <v>341</v>
      </c>
      <c r="I244" s="52" t="n">
        <f aca="false">IF(H244="","",G244-H244)</f>
        <v>-50</v>
      </c>
      <c r="J244" s="39" t="n">
        <f aca="false">IF(OR(D244="",D244+G244=0),"",D244/(D244+G244))</f>
        <v>0.722592945662536</v>
      </c>
      <c r="K244" s="39" t="n">
        <f aca="false">IF(E244="","",E244/(E244+H244))</f>
        <v>0.675855513307985</v>
      </c>
      <c r="L244" s="53" t="n">
        <f aca="false">IF(OR(K244="",J244=""),"",(J244-K244)*100)</f>
        <v>4.6737432354551</v>
      </c>
      <c r="M244" s="38"/>
    </row>
    <row r="245" customFormat="false" ht="15" hidden="false" customHeight="false" outlineLevel="0" collapsed="false">
      <c r="A245" s="38" t="s">
        <v>344</v>
      </c>
      <c r="B245" s="38" t="s">
        <v>219</v>
      </c>
      <c r="C245" s="38" t="s">
        <v>376</v>
      </c>
      <c r="D245" s="21" t="n">
        <v>651</v>
      </c>
      <c r="E245" s="21"/>
      <c r="F245" s="52" t="str">
        <f aca="false">IF(E245="","",D245-E245)</f>
        <v/>
      </c>
      <c r="G245" s="21" t="n">
        <v>317</v>
      </c>
      <c r="H245" s="21"/>
      <c r="I245" s="52" t="str">
        <f aca="false">IF(H245="","",G245-H245)</f>
        <v/>
      </c>
      <c r="J245" s="39" t="n">
        <f aca="false">IF(OR(D245="",D245+G245=0),"",D245/(D245+G245))</f>
        <v>0.672520661157025</v>
      </c>
      <c r="K245" s="39" t="str">
        <f aca="false">IF(E245="","",E245/(E245+H245))</f>
        <v/>
      </c>
      <c r="L245" s="53" t="str">
        <f aca="false">IF(OR(K245="",J245=""),"",(J245-K245)*100)</f>
        <v/>
      </c>
      <c r="M245" s="38" t="s">
        <v>650</v>
      </c>
    </row>
    <row r="246" customFormat="false" ht="15" hidden="false" customHeight="false" outlineLevel="0" collapsed="false">
      <c r="A246" s="38" t="s">
        <v>344</v>
      </c>
      <c r="B246" s="38" t="s">
        <v>377</v>
      </c>
      <c r="C246" s="38" t="s">
        <v>378</v>
      </c>
      <c r="D246" s="21" t="n">
        <v>476</v>
      </c>
      <c r="E246" s="21" t="n">
        <v>466</v>
      </c>
      <c r="F246" s="52" t="n">
        <f aca="false">IF(E246="","",D246-E246)</f>
        <v>10</v>
      </c>
      <c r="G246" s="21" t="n">
        <v>404</v>
      </c>
      <c r="H246" s="21" t="n">
        <v>405</v>
      </c>
      <c r="I246" s="52" t="n">
        <f aca="false">IF(H246="","",G246-H246)</f>
        <v>-1</v>
      </c>
      <c r="J246" s="39" t="n">
        <f aca="false">IF(OR(D246="",D246+G246=0),"",D246/(D246+G246))</f>
        <v>0.540909090909091</v>
      </c>
      <c r="K246" s="39" t="n">
        <f aca="false">IF(E246="","",E246/(E246+H246))</f>
        <v>0.535017221584386</v>
      </c>
      <c r="L246" s="53" t="n">
        <f aca="false">IF(OR(K246="",J246=""),"",(J246-K246)*100)</f>
        <v>0.589186932470509</v>
      </c>
      <c r="M246" s="38"/>
    </row>
    <row r="247" customFormat="false" ht="15" hidden="false" customHeight="false" outlineLevel="0" collapsed="false">
      <c r="A247" s="38" t="s">
        <v>344</v>
      </c>
      <c r="B247" s="38" t="s">
        <v>377</v>
      </c>
      <c r="C247" s="38" t="s">
        <v>379</v>
      </c>
      <c r="D247" s="21" t="n">
        <v>586</v>
      </c>
      <c r="E247" s="21" t="n">
        <v>552</v>
      </c>
      <c r="F247" s="52" t="n">
        <f aca="false">IF(E247="","",D247-E247)</f>
        <v>34</v>
      </c>
      <c r="G247" s="21" t="n">
        <v>498</v>
      </c>
      <c r="H247" s="21" t="n">
        <v>506</v>
      </c>
      <c r="I247" s="52" t="n">
        <f aca="false">IF(H247="","",G247-H247)</f>
        <v>-8</v>
      </c>
      <c r="J247" s="39" t="n">
        <f aca="false">IF(OR(D247="",D247+G247=0),"",D247/(D247+G247))</f>
        <v>0.540590405904059</v>
      </c>
      <c r="K247" s="39" t="n">
        <f aca="false">IF(E247="","",E247/(E247+H247))</f>
        <v>0.521739130434783</v>
      </c>
      <c r="L247" s="53" t="n">
        <f aca="false">IF(OR(K247="",J247=""),"",(J247-K247)*100)</f>
        <v>1.88512754692765</v>
      </c>
      <c r="M247" s="38"/>
    </row>
    <row r="248" customFormat="false" ht="15" hidden="false" customHeight="false" outlineLevel="0" collapsed="false">
      <c r="A248" s="38" t="s">
        <v>344</v>
      </c>
      <c r="B248" s="38" t="s">
        <v>377</v>
      </c>
      <c r="C248" s="38" t="s">
        <v>380</v>
      </c>
      <c r="D248" s="21" t="n">
        <v>566</v>
      </c>
      <c r="E248" s="21" t="n">
        <v>722</v>
      </c>
      <c r="F248" s="52" t="n">
        <f aca="false">IF(E248="","",D248-E248)</f>
        <v>-156</v>
      </c>
      <c r="G248" s="21" t="n">
        <v>449</v>
      </c>
      <c r="H248" s="21" t="n">
        <v>596</v>
      </c>
      <c r="I248" s="52" t="n">
        <f aca="false">IF(H248="","",G248-H248)</f>
        <v>-147</v>
      </c>
      <c r="J248" s="39" t="n">
        <f aca="false">IF(OR(D248="",D248+G248=0),"",D248/(D248+G248))</f>
        <v>0.557635467980296</v>
      </c>
      <c r="K248" s="39" t="n">
        <f aca="false">IF(E248="","",E248/(E248+H248))</f>
        <v>0.547799696509863</v>
      </c>
      <c r="L248" s="53" t="n">
        <f aca="false">IF(OR(K248="",J248=""),"",(J248-K248)*100)</f>
        <v>0.983577147043224</v>
      </c>
      <c r="M248" s="38"/>
    </row>
    <row r="249" customFormat="false" ht="15" hidden="false" customHeight="false" outlineLevel="0" collapsed="false">
      <c r="A249" s="38" t="s">
        <v>344</v>
      </c>
      <c r="B249" s="38" t="s">
        <v>377</v>
      </c>
      <c r="C249" s="38" t="s">
        <v>381</v>
      </c>
      <c r="D249" s="21" t="n">
        <v>314</v>
      </c>
      <c r="E249" s="21" t="n">
        <v>339</v>
      </c>
      <c r="F249" s="52" t="n">
        <f aca="false">IF(E249="","",D249-E249)</f>
        <v>-25</v>
      </c>
      <c r="G249" s="21" t="n">
        <v>305</v>
      </c>
      <c r="H249" s="21" t="n">
        <v>338</v>
      </c>
      <c r="I249" s="52" t="n">
        <f aca="false">IF(H249="","",G249-H249)</f>
        <v>-33</v>
      </c>
      <c r="J249" s="39" t="n">
        <f aca="false">IF(OR(D249="",D249+G249=0),"",D249/(D249+G249))</f>
        <v>0.507269789983845</v>
      </c>
      <c r="K249" s="39" t="n">
        <f aca="false">IF(E249="","",E249/(E249+H249))</f>
        <v>0.500738552437223</v>
      </c>
      <c r="L249" s="53" t="n">
        <f aca="false">IF(OR(K249="",J249=""),"",(J249-K249)*100)</f>
        <v>0.653123754662177</v>
      </c>
      <c r="M249" s="38"/>
    </row>
    <row r="250" customFormat="false" ht="15" hidden="false" customHeight="false" outlineLevel="0" collapsed="false">
      <c r="A250" s="38" t="s">
        <v>344</v>
      </c>
      <c r="B250" s="38" t="s">
        <v>377</v>
      </c>
      <c r="C250" s="38" t="s">
        <v>382</v>
      </c>
      <c r="D250" s="21" t="n">
        <v>580</v>
      </c>
      <c r="E250" s="21" t="n">
        <v>579</v>
      </c>
      <c r="F250" s="52" t="n">
        <f aca="false">IF(E250="","",D250-E250)</f>
        <v>1</v>
      </c>
      <c r="G250" s="21" t="n">
        <v>463</v>
      </c>
      <c r="H250" s="21" t="n">
        <v>482</v>
      </c>
      <c r="I250" s="52" t="n">
        <f aca="false">IF(H250="","",G250-H250)</f>
        <v>-19</v>
      </c>
      <c r="J250" s="39" t="n">
        <f aca="false">IF(OR(D250="",D250+G250=0),"",D250/(D250+G250))</f>
        <v>0.556088207094919</v>
      </c>
      <c r="K250" s="39" t="n">
        <f aca="false">IF(E250="","",E250/(E250+H250))</f>
        <v>0.545711592836946</v>
      </c>
      <c r="L250" s="53" t="n">
        <f aca="false">IF(OR(K250="",J250=""),"",(J250-K250)*100)</f>
        <v>1.03766142579722</v>
      </c>
      <c r="M250" s="38"/>
    </row>
    <row r="251" customFormat="false" ht="15" hidden="false" customHeight="false" outlineLevel="0" collapsed="false">
      <c r="A251" s="38" t="s">
        <v>344</v>
      </c>
      <c r="B251" s="38" t="s">
        <v>377</v>
      </c>
      <c r="C251" s="38" t="s">
        <v>383</v>
      </c>
      <c r="D251" s="21" t="n">
        <v>558</v>
      </c>
      <c r="E251" s="21" t="n">
        <v>562</v>
      </c>
      <c r="F251" s="52" t="n">
        <f aca="false">IF(E251="","",D251-E251)</f>
        <v>-4</v>
      </c>
      <c r="G251" s="21" t="n">
        <v>490</v>
      </c>
      <c r="H251" s="21" t="n">
        <v>525</v>
      </c>
      <c r="I251" s="52" t="n">
        <f aca="false">IF(H251="","",G251-H251)</f>
        <v>-35</v>
      </c>
      <c r="J251" s="39" t="n">
        <f aca="false">IF(OR(D251="",D251+G251=0),"",D251/(D251+G251))</f>
        <v>0.532442748091603</v>
      </c>
      <c r="K251" s="39" t="n">
        <f aca="false">IF(E251="","",E251/(E251+H251))</f>
        <v>0.517019319227231</v>
      </c>
      <c r="L251" s="53" t="n">
        <f aca="false">IF(OR(K251="",J251=""),"",(J251-K251)*100)</f>
        <v>1.54234288643722</v>
      </c>
      <c r="M251" s="38"/>
    </row>
    <row r="252" customFormat="false" ht="15" hidden="false" customHeight="false" outlineLevel="0" collapsed="false">
      <c r="A252" s="38" t="s">
        <v>344</v>
      </c>
      <c r="B252" s="38" t="s">
        <v>377</v>
      </c>
      <c r="C252" s="38" t="s">
        <v>384</v>
      </c>
      <c r="D252" s="21" t="n">
        <v>351</v>
      </c>
      <c r="E252" s="21" t="n">
        <v>337</v>
      </c>
      <c r="F252" s="52" t="n">
        <f aca="false">IF(E252="","",D252-E252)</f>
        <v>14</v>
      </c>
      <c r="G252" s="21" t="n">
        <v>280</v>
      </c>
      <c r="H252" s="21" t="n">
        <v>296</v>
      </c>
      <c r="I252" s="52" t="n">
        <f aca="false">IF(H252="","",G252-H252)</f>
        <v>-16</v>
      </c>
      <c r="J252" s="39" t="n">
        <f aca="false">IF(OR(D252="",D252+G252=0),"",D252/(D252+G252))</f>
        <v>0.556259904912837</v>
      </c>
      <c r="K252" s="39" t="n">
        <f aca="false">IF(E252="","",E252/(E252+H252))</f>
        <v>0.532385466034755</v>
      </c>
      <c r="L252" s="53" t="n">
        <f aca="false">IF(OR(K252="",J252=""),"",(J252-K252)*100)</f>
        <v>2.38744388780816</v>
      </c>
      <c r="M252" s="38"/>
    </row>
    <row r="253" customFormat="false" ht="15" hidden="false" customHeight="false" outlineLevel="0" collapsed="false">
      <c r="A253" s="38" t="s">
        <v>344</v>
      </c>
      <c r="B253" s="38" t="s">
        <v>377</v>
      </c>
      <c r="C253" s="38" t="s">
        <v>385</v>
      </c>
      <c r="D253" s="21" t="n">
        <v>457</v>
      </c>
      <c r="E253" s="21" t="n">
        <v>517</v>
      </c>
      <c r="F253" s="52" t="n">
        <f aca="false">IF(E253="","",D253-E253)</f>
        <v>-60</v>
      </c>
      <c r="G253" s="21" t="n">
        <v>323</v>
      </c>
      <c r="H253" s="21" t="n">
        <v>388</v>
      </c>
      <c r="I253" s="52" t="n">
        <f aca="false">IF(H253="","",G253-H253)</f>
        <v>-65</v>
      </c>
      <c r="J253" s="39" t="n">
        <f aca="false">IF(OR(D253="",D253+G253=0),"",D253/(D253+G253))</f>
        <v>0.585897435897436</v>
      </c>
      <c r="K253" s="39" t="n">
        <f aca="false">IF(E253="","",E253/(E253+H253))</f>
        <v>0.571270718232044</v>
      </c>
      <c r="L253" s="53" t="n">
        <f aca="false">IF(OR(K253="",J253=""),"",(J253-K253)*100)</f>
        <v>1.46267176653917</v>
      </c>
      <c r="M253" s="38"/>
    </row>
    <row r="254" customFormat="false" ht="15" hidden="false" customHeight="false" outlineLevel="0" collapsed="false">
      <c r="A254" s="38" t="s">
        <v>344</v>
      </c>
      <c r="B254" s="38" t="s">
        <v>377</v>
      </c>
      <c r="C254" s="38" t="s">
        <v>386</v>
      </c>
      <c r="D254" s="21" t="n">
        <v>324</v>
      </c>
      <c r="E254" s="21" t="n">
        <v>329</v>
      </c>
      <c r="F254" s="52" t="n">
        <f aca="false">IF(E254="","",D254-E254)</f>
        <v>-5</v>
      </c>
      <c r="G254" s="21" t="n">
        <v>220</v>
      </c>
      <c r="H254" s="21" t="n">
        <v>217</v>
      </c>
      <c r="I254" s="52" t="n">
        <f aca="false">IF(H254="","",G254-H254)</f>
        <v>3</v>
      </c>
      <c r="J254" s="39" t="n">
        <f aca="false">IF(OR(D254="",D254+G254=0),"",D254/(D254+G254))</f>
        <v>0.595588235294118</v>
      </c>
      <c r="K254" s="39" t="n">
        <f aca="false">IF(E254="","",E254/(E254+H254))</f>
        <v>0.602564102564103</v>
      </c>
      <c r="L254" s="53" t="n">
        <f aca="false">IF(OR(K254="",J254=""),"",(J254-K254)*100)</f>
        <v>-0.697586726998489</v>
      </c>
      <c r="M254" s="38"/>
    </row>
    <row r="255" customFormat="false" ht="15" hidden="false" customHeight="false" outlineLevel="0" collapsed="false">
      <c r="A255" s="38" t="s">
        <v>344</v>
      </c>
      <c r="B255" s="38" t="s">
        <v>377</v>
      </c>
      <c r="C255" s="38" t="s">
        <v>387</v>
      </c>
      <c r="D255" s="21" t="n">
        <v>359</v>
      </c>
      <c r="E255" s="21" t="n">
        <v>352</v>
      </c>
      <c r="F255" s="52" t="n">
        <f aca="false">IF(E255="","",D255-E255)</f>
        <v>7</v>
      </c>
      <c r="G255" s="21" t="n">
        <v>338</v>
      </c>
      <c r="H255" s="21" t="n">
        <v>326</v>
      </c>
      <c r="I255" s="52" t="n">
        <f aca="false">IF(H255="","",G255-H255)</f>
        <v>12</v>
      </c>
      <c r="J255" s="39" t="n">
        <f aca="false">IF(OR(D255="",D255+G255=0),"",D255/(D255+G255))</f>
        <v>0.51506456241033</v>
      </c>
      <c r="K255" s="39" t="n">
        <f aca="false">IF(E255="","",E255/(E255+H255))</f>
        <v>0.519174041297935</v>
      </c>
      <c r="L255" s="53" t="n">
        <f aca="false">IF(OR(K255="",J255=""),"",(J255-K255)*100)</f>
        <v>-0.410947888760516</v>
      </c>
      <c r="M255" s="38"/>
    </row>
    <row r="256" customFormat="false" ht="15" hidden="false" customHeight="false" outlineLevel="0" collapsed="false">
      <c r="A256" s="38" t="s">
        <v>344</v>
      </c>
      <c r="B256" s="38" t="s">
        <v>377</v>
      </c>
      <c r="C256" s="38" t="s">
        <v>388</v>
      </c>
      <c r="D256" s="21" t="n">
        <v>453</v>
      </c>
      <c r="E256" s="21" t="n">
        <v>420</v>
      </c>
      <c r="F256" s="52" t="n">
        <f aca="false">IF(E256="","",D256-E256)</f>
        <v>33</v>
      </c>
      <c r="G256" s="21" t="n">
        <v>373</v>
      </c>
      <c r="H256" s="21" t="n">
        <v>378</v>
      </c>
      <c r="I256" s="52" t="n">
        <f aca="false">IF(H256="","",G256-H256)</f>
        <v>-5</v>
      </c>
      <c r="J256" s="39" t="n">
        <f aca="false">IF(OR(D256="",D256+G256=0),"",D256/(D256+G256))</f>
        <v>0.548426150121065</v>
      </c>
      <c r="K256" s="39" t="n">
        <f aca="false">IF(E256="","",E256/(E256+H256))</f>
        <v>0.526315789473684</v>
      </c>
      <c r="L256" s="53" t="n">
        <f aca="false">IF(OR(K256="",J256=""),"",(J256-K256)*100)</f>
        <v>2.21103606473811</v>
      </c>
      <c r="M256" s="38"/>
    </row>
    <row r="257" customFormat="false" ht="15" hidden="false" customHeight="false" outlineLevel="0" collapsed="false">
      <c r="A257" s="38" t="s">
        <v>344</v>
      </c>
      <c r="B257" s="38" t="s">
        <v>377</v>
      </c>
      <c r="C257" s="38" t="s">
        <v>389</v>
      </c>
      <c r="D257" s="21" t="n">
        <v>455</v>
      </c>
      <c r="E257" s="21" t="n">
        <v>522</v>
      </c>
      <c r="F257" s="52" t="n">
        <f aca="false">IF(E257="","",D257-E257)</f>
        <v>-67</v>
      </c>
      <c r="G257" s="21" t="n">
        <v>331</v>
      </c>
      <c r="H257" s="21" t="n">
        <v>400</v>
      </c>
      <c r="I257" s="52" t="n">
        <f aca="false">IF(H257="","",G257-H257)</f>
        <v>-69</v>
      </c>
      <c r="J257" s="39" t="n">
        <f aca="false">IF(OR(D257="",D257+G257=0),"",D257/(D257+G257))</f>
        <v>0.578880407124682</v>
      </c>
      <c r="K257" s="39" t="n">
        <f aca="false">IF(E257="","",E257/(E257+H257))</f>
        <v>0.566160520607375</v>
      </c>
      <c r="L257" s="53" t="n">
        <f aca="false">IF(OR(K257="",J257=""),"",(J257-K257)*100)</f>
        <v>1.27198865173066</v>
      </c>
      <c r="M257" s="38"/>
    </row>
    <row r="258" customFormat="false" ht="15" hidden="false" customHeight="false" outlineLevel="0" collapsed="false">
      <c r="A258" s="38" t="s">
        <v>344</v>
      </c>
      <c r="B258" s="38" t="s">
        <v>377</v>
      </c>
      <c r="C258" s="38" t="s">
        <v>390</v>
      </c>
      <c r="D258" s="21" t="n">
        <v>453</v>
      </c>
      <c r="E258" s="21" t="n">
        <v>436</v>
      </c>
      <c r="F258" s="52" t="n">
        <f aca="false">IF(E258="","",D258-E258)</f>
        <v>17</v>
      </c>
      <c r="G258" s="21" t="n">
        <v>433</v>
      </c>
      <c r="H258" s="21" t="n">
        <v>423</v>
      </c>
      <c r="I258" s="52" t="n">
        <f aca="false">IF(H258="","",G258-H258)</f>
        <v>10</v>
      </c>
      <c r="J258" s="39" t="n">
        <f aca="false">IF(OR(D258="",D258+G258=0),"",D258/(D258+G258))</f>
        <v>0.511286681715576</v>
      </c>
      <c r="K258" s="39" t="n">
        <f aca="false">IF(E258="","",E258/(E258+H258))</f>
        <v>0.507566938300349</v>
      </c>
      <c r="L258" s="53" t="n">
        <f aca="false">IF(OR(K258="",J258=""),"",(J258-K258)*100)</f>
        <v>0.371974341522641</v>
      </c>
      <c r="M258" s="38"/>
    </row>
    <row r="259" customFormat="false" ht="15" hidden="false" customHeight="false" outlineLevel="0" collapsed="false">
      <c r="A259" s="38" t="s">
        <v>344</v>
      </c>
      <c r="B259" s="38" t="s">
        <v>377</v>
      </c>
      <c r="C259" s="38" t="s">
        <v>391</v>
      </c>
      <c r="D259" s="21" t="n">
        <v>921</v>
      </c>
      <c r="E259" s="21" t="n">
        <v>925</v>
      </c>
      <c r="F259" s="52" t="n">
        <f aca="false">IF(E259="","",D259-E259)</f>
        <v>-4</v>
      </c>
      <c r="G259" s="21" t="n">
        <v>687</v>
      </c>
      <c r="H259" s="21" t="n">
        <v>710</v>
      </c>
      <c r="I259" s="52" t="n">
        <f aca="false">IF(H259="","",G259-H259)</f>
        <v>-23</v>
      </c>
      <c r="J259" s="39" t="n">
        <f aca="false">IF(OR(D259="",D259+G259=0),"",D259/(D259+G259))</f>
        <v>0.572761194029851</v>
      </c>
      <c r="K259" s="39" t="n">
        <f aca="false">IF(E259="","",E259/(E259+H259))</f>
        <v>0.565749235474006</v>
      </c>
      <c r="L259" s="53" t="n">
        <f aca="false">IF(OR(K259="",J259=""),"",(J259-K259)*100)</f>
        <v>0.701195855584458</v>
      </c>
      <c r="M259" s="38"/>
    </row>
    <row r="260" customFormat="false" ht="15" hidden="false" customHeight="false" outlineLevel="0" collapsed="false">
      <c r="A260" s="38" t="s">
        <v>344</v>
      </c>
      <c r="B260" s="38" t="s">
        <v>377</v>
      </c>
      <c r="C260" s="38" t="s">
        <v>392</v>
      </c>
      <c r="D260" s="21" t="n">
        <v>527</v>
      </c>
      <c r="E260" s="21" t="n">
        <v>535</v>
      </c>
      <c r="F260" s="52" t="n">
        <f aca="false">IF(E260="","",D260-E260)</f>
        <v>-8</v>
      </c>
      <c r="G260" s="21" t="n">
        <v>500</v>
      </c>
      <c r="H260" s="21" t="n">
        <v>514</v>
      </c>
      <c r="I260" s="52" t="n">
        <f aca="false">IF(H260="","",G260-H260)</f>
        <v>-14</v>
      </c>
      <c r="J260" s="39" t="n">
        <f aca="false">IF(OR(D260="",D260+G260=0),"",D260/(D260+G260))</f>
        <v>0.513145082765336</v>
      </c>
      <c r="K260" s="39" t="n">
        <f aca="false">IF(E260="","",E260/(E260+H260))</f>
        <v>0.510009532888465</v>
      </c>
      <c r="L260" s="53" t="n">
        <f aca="false">IF(OR(K260="",J260=""),"",(J260-K260)*100)</f>
        <v>0.31355498768707</v>
      </c>
      <c r="M260" s="38"/>
    </row>
    <row r="261" customFormat="false" ht="15" hidden="false" customHeight="false" outlineLevel="0" collapsed="false">
      <c r="A261" s="38" t="s">
        <v>344</v>
      </c>
      <c r="B261" s="38" t="s">
        <v>377</v>
      </c>
      <c r="C261" s="38" t="s">
        <v>393</v>
      </c>
      <c r="D261" s="21" t="n">
        <v>511</v>
      </c>
      <c r="E261" s="21" t="n">
        <v>499</v>
      </c>
      <c r="F261" s="52" t="n">
        <f aca="false">IF(E261="","",D261-E261)</f>
        <v>12</v>
      </c>
      <c r="G261" s="21" t="n">
        <v>469</v>
      </c>
      <c r="H261" s="21" t="n">
        <v>468</v>
      </c>
      <c r="I261" s="52" t="n">
        <f aca="false">IF(H261="","",G261-H261)</f>
        <v>1</v>
      </c>
      <c r="J261" s="39" t="n">
        <f aca="false">IF(OR(D261="",D261+G261=0),"",D261/(D261+G261))</f>
        <v>0.521428571428572</v>
      </c>
      <c r="K261" s="39" t="n">
        <f aca="false">IF(E261="","",E261/(E261+H261))</f>
        <v>0.516028955532575</v>
      </c>
      <c r="L261" s="53" t="n">
        <f aca="false">IF(OR(K261="",J261=""),"",(J261-K261)*100)</f>
        <v>0.539961589599647</v>
      </c>
      <c r="M261" s="38"/>
    </row>
    <row r="262" customFormat="false" ht="15" hidden="false" customHeight="false" outlineLevel="0" collapsed="false">
      <c r="A262" s="38" t="s">
        <v>344</v>
      </c>
      <c r="B262" s="38" t="s">
        <v>377</v>
      </c>
      <c r="C262" s="38" t="s">
        <v>394</v>
      </c>
      <c r="D262" s="21" t="n">
        <v>526</v>
      </c>
      <c r="E262" s="21" t="n">
        <v>503</v>
      </c>
      <c r="F262" s="52" t="n">
        <f aca="false">IF(E262="","",D262-E262)</f>
        <v>23</v>
      </c>
      <c r="G262" s="21" t="n">
        <v>461</v>
      </c>
      <c r="H262" s="21" t="n">
        <v>468</v>
      </c>
      <c r="I262" s="52" t="n">
        <f aca="false">IF(H262="","",G262-H262)</f>
        <v>-7</v>
      </c>
      <c r="J262" s="39" t="n">
        <f aca="false">IF(OR(D262="",D262+G262=0),"",D262/(D262+G262))</f>
        <v>0.532928064842959</v>
      </c>
      <c r="K262" s="39" t="n">
        <f aca="false">IF(E262="","",E262/(E262+H262))</f>
        <v>0.518022657054583</v>
      </c>
      <c r="L262" s="53" t="n">
        <f aca="false">IF(OR(K262="",J262=""),"",(J262-K262)*100)</f>
        <v>1.49054077883756</v>
      </c>
      <c r="M262" s="38"/>
    </row>
    <row r="263" customFormat="false" ht="15" hidden="false" customHeight="false" outlineLevel="0" collapsed="false">
      <c r="A263" s="38" t="s">
        <v>344</v>
      </c>
      <c r="B263" s="38" t="s">
        <v>395</v>
      </c>
      <c r="C263" s="38" t="s">
        <v>396</v>
      </c>
      <c r="D263" s="21" t="n">
        <v>888</v>
      </c>
      <c r="E263" s="21" t="n">
        <v>939</v>
      </c>
      <c r="F263" s="52" t="n">
        <f aca="false">IF(E263="","",D263-E263)</f>
        <v>-51</v>
      </c>
      <c r="G263" s="21" t="n">
        <v>1412</v>
      </c>
      <c r="H263" s="21" t="n">
        <v>1452</v>
      </c>
      <c r="I263" s="52" t="n">
        <f aca="false">IF(H263="","",G263-H263)</f>
        <v>-40</v>
      </c>
      <c r="J263" s="39" t="n">
        <f aca="false">IF(OR(D263="",D263+G263=0),"",D263/(D263+G263))</f>
        <v>0.386086956521739</v>
      </c>
      <c r="K263" s="39" t="n">
        <f aca="false">IF(E263="","",E263/(E263+H263))</f>
        <v>0.392722710163112</v>
      </c>
      <c r="L263" s="53" t="n">
        <f aca="false">IF(OR(K263="",J263=""),"",(J263-K263)*100)</f>
        <v>-0.663575364137253</v>
      </c>
      <c r="M263" s="38"/>
    </row>
    <row r="264" customFormat="false" ht="15" hidden="false" customHeight="false" outlineLevel="0" collapsed="false">
      <c r="A264" s="38" t="s">
        <v>344</v>
      </c>
      <c r="B264" s="38" t="s">
        <v>395</v>
      </c>
      <c r="C264" s="38" t="s">
        <v>397</v>
      </c>
      <c r="D264" s="21" t="n">
        <v>827</v>
      </c>
      <c r="E264" s="21" t="n">
        <v>820</v>
      </c>
      <c r="F264" s="52" t="n">
        <f aca="false">IF(E264="","",D264-E264)</f>
        <v>7</v>
      </c>
      <c r="G264" s="21" t="n">
        <v>1130</v>
      </c>
      <c r="H264" s="21" t="n">
        <v>1185</v>
      </c>
      <c r="I264" s="52" t="n">
        <f aca="false">IF(H264="","",G264-H264)</f>
        <v>-55</v>
      </c>
      <c r="J264" s="39" t="n">
        <f aca="false">IF(OR(D264="",D264+G264=0),"",D264/(D264+G264))</f>
        <v>0.422585590189065</v>
      </c>
      <c r="K264" s="39" t="n">
        <f aca="false">IF(E264="","",E264/(E264+H264))</f>
        <v>0.408977556109726</v>
      </c>
      <c r="L264" s="53" t="n">
        <f aca="false">IF(OR(K264="",J264=""),"",(J264-K264)*100)</f>
        <v>1.36080340793392</v>
      </c>
      <c r="M264" s="38"/>
    </row>
    <row r="265" customFormat="false" ht="15" hidden="false" customHeight="false" outlineLevel="0" collapsed="false">
      <c r="A265" s="38" t="s">
        <v>344</v>
      </c>
      <c r="B265" s="38" t="s">
        <v>395</v>
      </c>
      <c r="C265" s="38" t="s">
        <v>398</v>
      </c>
      <c r="D265" s="21" t="n">
        <v>396</v>
      </c>
      <c r="E265" s="21" t="n">
        <v>410</v>
      </c>
      <c r="F265" s="52" t="n">
        <f aca="false">IF(E265="","",D265-E265)</f>
        <v>-14</v>
      </c>
      <c r="G265" s="21" t="n">
        <v>720</v>
      </c>
      <c r="H265" s="21" t="n">
        <v>822</v>
      </c>
      <c r="I265" s="52" t="n">
        <f aca="false">IF(H265="","",G265-H265)</f>
        <v>-102</v>
      </c>
      <c r="J265" s="39" t="n">
        <f aca="false">IF(OR(D265="",D265+G265=0),"",D265/(D265+G265))</f>
        <v>0.354838709677419</v>
      </c>
      <c r="K265" s="39" t="n">
        <f aca="false">IF(E265="","",E265/(E265+H265))</f>
        <v>0.332792207792208</v>
      </c>
      <c r="L265" s="53" t="n">
        <f aca="false">IF(OR(K265="",J265=""),"",(J265-K265)*100)</f>
        <v>2.20465018852116</v>
      </c>
      <c r="M265" s="38"/>
    </row>
    <row r="266" customFormat="false" ht="15" hidden="false" customHeight="false" outlineLevel="0" collapsed="false">
      <c r="A266" s="38" t="s">
        <v>344</v>
      </c>
      <c r="B266" s="38" t="s">
        <v>399</v>
      </c>
      <c r="C266" s="38" t="s">
        <v>399</v>
      </c>
      <c r="D266" s="21" t="n">
        <v>41</v>
      </c>
      <c r="E266" s="21" t="n">
        <v>40</v>
      </c>
      <c r="F266" s="52" t="n">
        <f aca="false">IF(E266="","",D266-E266)</f>
        <v>1</v>
      </c>
      <c r="G266" s="21" t="n">
        <v>77</v>
      </c>
      <c r="H266" s="21" t="n">
        <v>83</v>
      </c>
      <c r="I266" s="52" t="n">
        <f aca="false">IF(H266="","",G266-H266)</f>
        <v>-6</v>
      </c>
      <c r="J266" s="39" t="n">
        <f aca="false">IF(OR(D266="",D266+G266=0),"",D266/(D266+G266))</f>
        <v>0.347457627118644</v>
      </c>
      <c r="K266" s="39" t="n">
        <f aca="false">IF(E266="","",E266/(E266+H266))</f>
        <v>0.32520325203252</v>
      </c>
      <c r="L266" s="53" t="n">
        <f aca="false">IF(OR(K266="",J266=""),"",(J266-K266)*100)</f>
        <v>2.22543750861238</v>
      </c>
      <c r="M266" s="38"/>
    </row>
    <row r="267" customFormat="false" ht="15" hidden="false" customHeight="false" outlineLevel="0" collapsed="false">
      <c r="A267" s="38" t="s">
        <v>344</v>
      </c>
      <c r="B267" s="38" t="s">
        <v>400</v>
      </c>
      <c r="C267" s="38" t="s">
        <v>401</v>
      </c>
      <c r="D267" s="21" t="n">
        <v>608</v>
      </c>
      <c r="E267" s="21" t="n">
        <v>774</v>
      </c>
      <c r="F267" s="52" t="n">
        <f aca="false">IF(E267="","",D267-E267)</f>
        <v>-166</v>
      </c>
      <c r="G267" s="21" t="n">
        <v>786</v>
      </c>
      <c r="H267" s="21" t="n">
        <v>1032</v>
      </c>
      <c r="I267" s="52" t="n">
        <f aca="false">IF(H267="","",G267-H267)</f>
        <v>-246</v>
      </c>
      <c r="J267" s="39" t="n">
        <f aca="false">IF(OR(D267="",D267+G267=0),"",D267/(D267+G267))</f>
        <v>0.436154949784792</v>
      </c>
      <c r="K267" s="39" t="n">
        <f aca="false">IF(E267="","",E267/(E267+H267))</f>
        <v>0.428571428571429</v>
      </c>
      <c r="L267" s="53" t="n">
        <f aca="false">IF(OR(K267="",J267=""),"",(J267-K267)*100)</f>
        <v>0.758352121336342</v>
      </c>
      <c r="M267" s="38"/>
    </row>
    <row r="268" customFormat="false" ht="15" hidden="false" customHeight="false" outlineLevel="0" collapsed="false">
      <c r="A268" s="38" t="s">
        <v>344</v>
      </c>
      <c r="B268" s="38" t="s">
        <v>400</v>
      </c>
      <c r="C268" s="38" t="s">
        <v>402</v>
      </c>
      <c r="D268" s="21" t="n">
        <v>744</v>
      </c>
      <c r="E268" s="21" t="n">
        <v>710</v>
      </c>
      <c r="F268" s="52" t="n">
        <f aca="false">IF(E268="","",D268-E268)</f>
        <v>34</v>
      </c>
      <c r="G268" s="21" t="n">
        <v>861</v>
      </c>
      <c r="H268" s="21" t="n">
        <v>927</v>
      </c>
      <c r="I268" s="52" t="n">
        <f aca="false">IF(H268="","",G268-H268)</f>
        <v>-66</v>
      </c>
      <c r="J268" s="39" t="n">
        <f aca="false">IF(OR(D268="",D268+G268=0),"",D268/(D268+G268))</f>
        <v>0.463551401869159</v>
      </c>
      <c r="K268" s="39" t="n">
        <f aca="false">IF(E268="","",E268/(E268+H268))</f>
        <v>0.433720219914478</v>
      </c>
      <c r="L268" s="53" t="n">
        <f aca="false">IF(OR(K268="",J268=""),"",(J268-K268)*100)</f>
        <v>2.98311819546812</v>
      </c>
      <c r="M268" s="38"/>
    </row>
    <row r="269" customFormat="false" ht="15" hidden="false" customHeight="false" outlineLevel="0" collapsed="false">
      <c r="A269" s="38" t="s">
        <v>344</v>
      </c>
      <c r="B269" s="38" t="s">
        <v>403</v>
      </c>
      <c r="C269" s="38" t="s">
        <v>403</v>
      </c>
      <c r="D269" s="21" t="n">
        <v>199</v>
      </c>
      <c r="E269" s="21" t="n">
        <v>217</v>
      </c>
      <c r="F269" s="52" t="n">
        <f aca="false">IF(E269="","",D269-E269)</f>
        <v>-18</v>
      </c>
      <c r="G269" s="21" t="n">
        <v>299</v>
      </c>
      <c r="H269" s="21" t="n">
        <v>309</v>
      </c>
      <c r="I269" s="52" t="n">
        <f aca="false">IF(H269="","",G269-H269)</f>
        <v>-10</v>
      </c>
      <c r="J269" s="39" t="n">
        <f aca="false">IF(OR(D269="",D269+G269=0),"",D269/(D269+G269))</f>
        <v>0.399598393574297</v>
      </c>
      <c r="K269" s="39" t="n">
        <f aca="false">IF(E269="","",E269/(E269+H269))</f>
        <v>0.41254752851711</v>
      </c>
      <c r="L269" s="53" t="n">
        <f aca="false">IF(OR(K269="",J269=""),"",(J269-K269)*100)</f>
        <v>-1.29491349428131</v>
      </c>
      <c r="M269" s="38"/>
    </row>
    <row r="270" customFormat="false" ht="15" hidden="false" customHeight="false" outlineLevel="0" collapsed="false">
      <c r="A270" s="38" t="s">
        <v>344</v>
      </c>
      <c r="B270" s="38" t="s">
        <v>404</v>
      </c>
      <c r="C270" s="38" t="s">
        <v>405</v>
      </c>
      <c r="D270" s="21" t="n">
        <v>741</v>
      </c>
      <c r="E270" s="21"/>
      <c r="F270" s="52" t="str">
        <f aca="false">IF(E270="","",D270-E270)</f>
        <v/>
      </c>
      <c r="G270" s="21" t="n">
        <v>356</v>
      </c>
      <c r="H270" s="21"/>
      <c r="I270" s="52" t="str">
        <f aca="false">IF(H270="","",G270-H270)</f>
        <v/>
      </c>
      <c r="J270" s="39" t="n">
        <f aca="false">IF(OR(D270="",D270+G270=0),"",D270/(D270+G270))</f>
        <v>0.675478577939836</v>
      </c>
      <c r="K270" s="39" t="str">
        <f aca="false">IF(E270="","",E270/(E270+H270))</f>
        <v/>
      </c>
      <c r="L270" s="53" t="str">
        <f aca="false">IF(OR(K270="",J270=""),"",(J270-K270)*100)</f>
        <v/>
      </c>
      <c r="M270" s="38" t="s">
        <v>650</v>
      </c>
    </row>
    <row r="271" customFormat="false" ht="15" hidden="false" customHeight="false" outlineLevel="0" collapsed="false">
      <c r="A271" s="38" t="s">
        <v>344</v>
      </c>
      <c r="B271" s="38" t="s">
        <v>404</v>
      </c>
      <c r="C271" s="38" t="s">
        <v>406</v>
      </c>
      <c r="D271" s="21" t="n">
        <v>505</v>
      </c>
      <c r="E271" s="21"/>
      <c r="F271" s="52" t="str">
        <f aca="false">IF(E271="","",D271-E271)</f>
        <v/>
      </c>
      <c r="G271" s="21" t="n">
        <v>195</v>
      </c>
      <c r="H271" s="21"/>
      <c r="I271" s="52" t="str">
        <f aca="false">IF(H271="","",G271-H271)</f>
        <v/>
      </c>
      <c r="J271" s="39" t="n">
        <f aca="false">IF(OR(D271="",D271+G271=0),"",D271/(D271+G271))</f>
        <v>0.721428571428571</v>
      </c>
      <c r="K271" s="39" t="str">
        <f aca="false">IF(E271="","",E271/(E271+H271))</f>
        <v/>
      </c>
      <c r="L271" s="53" t="str">
        <f aca="false">IF(OR(K271="",J271=""),"",(J271-K271)*100)</f>
        <v/>
      </c>
      <c r="M271" s="38" t="s">
        <v>650</v>
      </c>
    </row>
    <row r="272" customFormat="false" ht="15" hidden="false" customHeight="false" outlineLevel="0" collapsed="false">
      <c r="A272" s="38" t="s">
        <v>344</v>
      </c>
      <c r="B272" s="38" t="s">
        <v>404</v>
      </c>
      <c r="C272" s="38" t="s">
        <v>407</v>
      </c>
      <c r="D272" s="21" t="n">
        <v>469</v>
      </c>
      <c r="E272" s="21" t="n">
        <v>492</v>
      </c>
      <c r="F272" s="52" t="n">
        <f aca="false">IF(E272="","",D272-E272)</f>
        <v>-23</v>
      </c>
      <c r="G272" s="21" t="n">
        <v>147</v>
      </c>
      <c r="H272" s="21" t="n">
        <v>197</v>
      </c>
      <c r="I272" s="52" t="n">
        <f aca="false">IF(H272="","",G272-H272)</f>
        <v>-50</v>
      </c>
      <c r="J272" s="39" t="n">
        <f aca="false">IF(OR(D272="",D272+G272=0),"",D272/(D272+G272))</f>
        <v>0.761363636363636</v>
      </c>
      <c r="K272" s="39" t="n">
        <f aca="false">IF(E272="","",E272/(E272+H272))</f>
        <v>0.714078374455733</v>
      </c>
      <c r="L272" s="53" t="n">
        <f aca="false">IF(OR(K272="",J272=""),"",(J272-K272)*100)</f>
        <v>4.72852619079034</v>
      </c>
      <c r="M272" s="38"/>
    </row>
    <row r="273" customFormat="false" ht="15" hidden="false" customHeight="false" outlineLevel="0" collapsed="false">
      <c r="A273" s="38" t="s">
        <v>344</v>
      </c>
      <c r="B273" s="38" t="s">
        <v>404</v>
      </c>
      <c r="C273" s="38" t="s">
        <v>408</v>
      </c>
      <c r="D273" s="21" t="n">
        <v>766</v>
      </c>
      <c r="E273" s="21" t="n">
        <v>743</v>
      </c>
      <c r="F273" s="52" t="n">
        <f aca="false">IF(E273="","",D273-E273)</f>
        <v>23</v>
      </c>
      <c r="G273" s="21" t="n">
        <v>264</v>
      </c>
      <c r="H273" s="21" t="n">
        <v>265</v>
      </c>
      <c r="I273" s="52" t="n">
        <f aca="false">IF(H273="","",G273-H273)</f>
        <v>-1</v>
      </c>
      <c r="J273" s="39" t="n">
        <f aca="false">IF(OR(D273="",D273+G273=0),"",D273/(D273+G273))</f>
        <v>0.74368932038835</v>
      </c>
      <c r="K273" s="39" t="n">
        <f aca="false">IF(E273="","",E273/(E273+H273))</f>
        <v>0.737103174603175</v>
      </c>
      <c r="L273" s="53" t="n">
        <f aca="false">IF(OR(K273="",J273=""),"",(J273-K273)*100)</f>
        <v>0.658614578517491</v>
      </c>
      <c r="M273" s="38"/>
    </row>
    <row r="274" customFormat="false" ht="15" hidden="false" customHeight="false" outlineLevel="0" collapsed="false">
      <c r="A274" s="38" t="s">
        <v>344</v>
      </c>
      <c r="B274" s="38" t="s">
        <v>404</v>
      </c>
      <c r="C274" s="38" t="s">
        <v>409</v>
      </c>
      <c r="D274" s="21" t="n">
        <v>460</v>
      </c>
      <c r="E274" s="21" t="n">
        <v>1109</v>
      </c>
      <c r="F274" s="52" t="n">
        <f aca="false">IF(E274="","",D274-E274)</f>
        <v>-649</v>
      </c>
      <c r="G274" s="21" t="n">
        <v>99</v>
      </c>
      <c r="H274" s="21" t="n">
        <v>290</v>
      </c>
      <c r="I274" s="52" t="n">
        <f aca="false">IF(H274="","",G274-H274)</f>
        <v>-191</v>
      </c>
      <c r="J274" s="39" t="n">
        <f aca="false">IF(OR(D274="",D274+G274=0),"",D274/(D274+G274))</f>
        <v>0.822898032200358</v>
      </c>
      <c r="K274" s="39" t="n">
        <f aca="false">IF(E274="","",E274/(E274+H274))</f>
        <v>0.792709077912795</v>
      </c>
      <c r="L274" s="53" t="n">
        <f aca="false">IF(OR(K274="",J274=""),"",(J274-K274)*100)</f>
        <v>3.01889542875629</v>
      </c>
      <c r="M274" s="38"/>
    </row>
    <row r="275" customFormat="false" ht="15" hidden="false" customHeight="false" outlineLevel="0" collapsed="false">
      <c r="A275" s="38" t="s">
        <v>344</v>
      </c>
      <c r="B275" s="38" t="s">
        <v>404</v>
      </c>
      <c r="C275" s="38" t="s">
        <v>410</v>
      </c>
      <c r="D275" s="21" t="n">
        <v>601</v>
      </c>
      <c r="E275" s="21" t="n">
        <v>566</v>
      </c>
      <c r="F275" s="52" t="n">
        <f aca="false">IF(E275="","",D275-E275)</f>
        <v>35</v>
      </c>
      <c r="G275" s="21" t="n">
        <v>217</v>
      </c>
      <c r="H275" s="21" t="n">
        <v>257</v>
      </c>
      <c r="I275" s="52" t="n">
        <f aca="false">IF(H275="","",G275-H275)</f>
        <v>-40</v>
      </c>
      <c r="J275" s="39" t="n">
        <f aca="false">IF(OR(D275="",D275+G275=0),"",D275/(D275+G275))</f>
        <v>0.734718826405868</v>
      </c>
      <c r="K275" s="39" t="n">
        <f aca="false">IF(E275="","",E275/(E275+H275))</f>
        <v>0.687727825030377</v>
      </c>
      <c r="L275" s="53" t="n">
        <f aca="false">IF(OR(K275="",J275=""),"",(J275-K275)*100)</f>
        <v>4.69910013754913</v>
      </c>
      <c r="M275" s="38"/>
    </row>
    <row r="276" customFormat="false" ht="15" hidden="false" customHeight="false" outlineLevel="0" collapsed="false">
      <c r="A276" s="38" t="s">
        <v>344</v>
      </c>
      <c r="B276" s="38" t="s">
        <v>404</v>
      </c>
      <c r="C276" s="38" t="s">
        <v>411</v>
      </c>
      <c r="D276" s="21" t="n">
        <v>566</v>
      </c>
      <c r="E276" s="21" t="n">
        <v>517</v>
      </c>
      <c r="F276" s="52" t="n">
        <f aca="false">IF(E276="","",D276-E276)</f>
        <v>49</v>
      </c>
      <c r="G276" s="21" t="n">
        <v>243</v>
      </c>
      <c r="H276" s="21" t="n">
        <v>265</v>
      </c>
      <c r="I276" s="52" t="n">
        <f aca="false">IF(H276="","",G276-H276)</f>
        <v>-22</v>
      </c>
      <c r="J276" s="39" t="n">
        <f aca="false">IF(OR(D276="",D276+G276=0),"",D276/(D276+G276))</f>
        <v>0.699629171817058</v>
      </c>
      <c r="K276" s="39" t="n">
        <f aca="false">IF(E276="","",E276/(E276+H276))</f>
        <v>0.661125319693095</v>
      </c>
      <c r="L276" s="53" t="n">
        <f aca="false">IF(OR(K276="",J276=""),"",(J276-K276)*100)</f>
        <v>3.85038521239635</v>
      </c>
      <c r="M276" s="38"/>
    </row>
    <row r="277" customFormat="false" ht="15" hidden="false" customHeight="false" outlineLevel="0" collapsed="false">
      <c r="A277" s="38" t="s">
        <v>344</v>
      </c>
      <c r="B277" s="38" t="s">
        <v>404</v>
      </c>
      <c r="C277" s="38" t="s">
        <v>412</v>
      </c>
      <c r="D277" s="21" t="n">
        <v>239</v>
      </c>
      <c r="E277" s="21" t="n">
        <v>233</v>
      </c>
      <c r="F277" s="52" t="n">
        <f aca="false">IF(E277="","",D277-E277)</f>
        <v>6</v>
      </c>
      <c r="G277" s="21" t="n">
        <v>89</v>
      </c>
      <c r="H277" s="21" t="n">
        <v>84</v>
      </c>
      <c r="I277" s="52" t="n">
        <f aca="false">IF(H277="","",G277-H277)</f>
        <v>5</v>
      </c>
      <c r="J277" s="39" t="n">
        <f aca="false">IF(OR(D277="",D277+G277=0),"",D277/(D277+G277))</f>
        <v>0.728658536585366</v>
      </c>
      <c r="K277" s="39" t="n">
        <f aca="false">IF(E277="","",E277/(E277+H277))</f>
        <v>0.735015772870662</v>
      </c>
      <c r="L277" s="53" t="n">
        <f aca="false">IF(OR(K277="",J277=""),"",(J277-K277)*100)</f>
        <v>-0.635723628529661</v>
      </c>
      <c r="M277" s="38"/>
    </row>
    <row r="278" customFormat="false" ht="15" hidden="false" customHeight="false" outlineLevel="0" collapsed="false">
      <c r="A278" s="38" t="s">
        <v>344</v>
      </c>
      <c r="B278" s="38" t="s">
        <v>404</v>
      </c>
      <c r="C278" s="38" t="s">
        <v>413</v>
      </c>
      <c r="D278" s="21" t="n">
        <v>399</v>
      </c>
      <c r="E278" s="21" t="n">
        <v>391</v>
      </c>
      <c r="F278" s="52" t="n">
        <f aca="false">IF(E278="","",D278-E278)</f>
        <v>8</v>
      </c>
      <c r="G278" s="21" t="n">
        <v>119</v>
      </c>
      <c r="H278" s="21" t="n">
        <v>126</v>
      </c>
      <c r="I278" s="52" t="n">
        <f aca="false">IF(H278="","",G278-H278)</f>
        <v>-7</v>
      </c>
      <c r="J278" s="39" t="n">
        <f aca="false">IF(OR(D278="",D278+G278=0),"",D278/(D278+G278))</f>
        <v>0.77027027027027</v>
      </c>
      <c r="K278" s="39" t="n">
        <f aca="false">IF(E278="","",E278/(E278+H278))</f>
        <v>0.756286266924565</v>
      </c>
      <c r="L278" s="53" t="n">
        <f aca="false">IF(OR(K278="",J278=""),"",(J278-K278)*100)</f>
        <v>1.39840033457055</v>
      </c>
      <c r="M278" s="38"/>
    </row>
    <row r="279" customFormat="false" ht="15" hidden="false" customHeight="false" outlineLevel="0" collapsed="false">
      <c r="A279" s="38" t="s">
        <v>344</v>
      </c>
      <c r="B279" s="38" t="s">
        <v>404</v>
      </c>
      <c r="C279" s="38" t="s">
        <v>414</v>
      </c>
      <c r="D279" s="21" t="n">
        <v>433</v>
      </c>
      <c r="E279" s="21" t="n">
        <v>381</v>
      </c>
      <c r="F279" s="52" t="n">
        <f aca="false">IF(E279="","",D279-E279)</f>
        <v>52</v>
      </c>
      <c r="G279" s="21" t="n">
        <v>139</v>
      </c>
      <c r="H279" s="21" t="n">
        <v>184</v>
      </c>
      <c r="I279" s="52" t="n">
        <f aca="false">IF(H279="","",G279-H279)</f>
        <v>-45</v>
      </c>
      <c r="J279" s="39" t="n">
        <f aca="false">IF(OR(D279="",D279+G279=0),"",D279/(D279+G279))</f>
        <v>0.756993006993007</v>
      </c>
      <c r="K279" s="39" t="n">
        <f aca="false">IF(E279="","",E279/(E279+H279))</f>
        <v>0.674336283185841</v>
      </c>
      <c r="L279" s="53" t="n">
        <f aca="false">IF(OR(K279="",J279=""),"",(J279-K279)*100)</f>
        <v>8.26567238071663</v>
      </c>
      <c r="M279" s="38"/>
    </row>
    <row r="280" customFormat="false" ht="15" hidden="false" customHeight="false" outlineLevel="0" collapsed="false">
      <c r="A280" s="38" t="s">
        <v>344</v>
      </c>
      <c r="B280" s="38" t="s">
        <v>404</v>
      </c>
      <c r="C280" s="38" t="s">
        <v>415</v>
      </c>
      <c r="D280" s="21" t="n">
        <v>788</v>
      </c>
      <c r="E280" s="21"/>
      <c r="F280" s="52" t="str">
        <f aca="false">IF(E280="","",D280-E280)</f>
        <v/>
      </c>
      <c r="G280" s="21" t="n">
        <v>389</v>
      </c>
      <c r="H280" s="21"/>
      <c r="I280" s="52" t="str">
        <f aca="false">IF(H280="","",G280-H280)</f>
        <v/>
      </c>
      <c r="J280" s="39" t="n">
        <f aca="false">IF(OR(D280="",D280+G280=0),"",D280/(D280+G280))</f>
        <v>0.669498725573492</v>
      </c>
      <c r="K280" s="39" t="str">
        <f aca="false">IF(E280="","",E280/(E280+H280))</f>
        <v/>
      </c>
      <c r="L280" s="53" t="str">
        <f aca="false">IF(OR(K280="",J280=""),"",(J280-K280)*100)</f>
        <v/>
      </c>
      <c r="M280" s="38" t="s">
        <v>650</v>
      </c>
    </row>
    <row r="281" customFormat="false" ht="15" hidden="false" customHeight="false" outlineLevel="0" collapsed="false">
      <c r="A281" s="38" t="s">
        <v>344</v>
      </c>
      <c r="B281" s="38" t="s">
        <v>404</v>
      </c>
      <c r="C281" s="38" t="s">
        <v>416</v>
      </c>
      <c r="D281" s="21" t="n">
        <v>984</v>
      </c>
      <c r="E281" s="21" t="n">
        <v>912</v>
      </c>
      <c r="F281" s="52" t="n">
        <f aca="false">IF(E281="","",D281-E281)</f>
        <v>72</v>
      </c>
      <c r="G281" s="21" t="n">
        <v>394</v>
      </c>
      <c r="H281" s="21" t="n">
        <v>445</v>
      </c>
      <c r="I281" s="52" t="n">
        <f aca="false">IF(H281="","",G281-H281)</f>
        <v>-51</v>
      </c>
      <c r="J281" s="39" t="n">
        <f aca="false">IF(OR(D281="",D281+G281=0),"",D281/(D281+G281))</f>
        <v>0.714078374455733</v>
      </c>
      <c r="K281" s="39" t="n">
        <f aca="false">IF(E281="","",E281/(E281+H281))</f>
        <v>0.672070744288873</v>
      </c>
      <c r="L281" s="53" t="n">
        <f aca="false">IF(OR(K281="",J281=""),"",(J281-K281)*100)</f>
        <v>4.20076301668605</v>
      </c>
      <c r="M281" s="38"/>
    </row>
    <row r="282" customFormat="false" ht="15" hidden="false" customHeight="false" outlineLevel="0" collapsed="false">
      <c r="A282" s="38" t="s">
        <v>344</v>
      </c>
      <c r="B282" s="38" t="s">
        <v>417</v>
      </c>
      <c r="C282" s="38" t="s">
        <v>418</v>
      </c>
      <c r="D282" s="21" t="n">
        <v>1376</v>
      </c>
      <c r="E282" s="21"/>
      <c r="F282" s="52" t="str">
        <f aca="false">IF(E282="","",D282-E282)</f>
        <v/>
      </c>
      <c r="G282" s="21" t="n">
        <v>1261</v>
      </c>
      <c r="H282" s="21"/>
      <c r="I282" s="52" t="str">
        <f aca="false">IF(H282="","",G282-H282)</f>
        <v/>
      </c>
      <c r="J282" s="39" t="n">
        <f aca="false">IF(OR(D282="",D282+G282=0),"",D282/(D282+G282))</f>
        <v>0.521805081532044</v>
      </c>
      <c r="K282" s="39" t="str">
        <f aca="false">IF(E282="","",E282/(E282+H282))</f>
        <v/>
      </c>
      <c r="L282" s="53" t="str">
        <f aca="false">IF(OR(K282="",J282=""),"",(J282-K282)*100)</f>
        <v/>
      </c>
      <c r="M282" s="38" t="s">
        <v>650</v>
      </c>
    </row>
    <row r="283" customFormat="false" ht="15" hidden="false" customHeight="false" outlineLevel="0" collapsed="false">
      <c r="A283" s="38" t="s">
        <v>344</v>
      </c>
      <c r="B283" s="38" t="s">
        <v>417</v>
      </c>
      <c r="C283" s="38" t="s">
        <v>419</v>
      </c>
      <c r="D283" s="21" t="n">
        <v>660</v>
      </c>
      <c r="E283" s="21"/>
      <c r="F283" s="52" t="str">
        <f aca="false">IF(E283="","",D283-E283)</f>
        <v/>
      </c>
      <c r="G283" s="21" t="n">
        <v>592</v>
      </c>
      <c r="H283" s="21"/>
      <c r="I283" s="52" t="str">
        <f aca="false">IF(H283="","",G283-H283)</f>
        <v/>
      </c>
      <c r="J283" s="39" t="n">
        <f aca="false">IF(OR(D283="",D283+G283=0),"",D283/(D283+G283))</f>
        <v>0.527156549520767</v>
      </c>
      <c r="K283" s="39" t="str">
        <f aca="false">IF(E283="","",E283/(E283+H283))</f>
        <v/>
      </c>
      <c r="L283" s="53" t="str">
        <f aca="false">IF(OR(K283="",J283=""),"",(J283-K283)*100)</f>
        <v/>
      </c>
      <c r="M283" s="38" t="s">
        <v>650</v>
      </c>
    </row>
    <row r="284" customFormat="false" ht="15" hidden="false" customHeight="false" outlineLevel="0" collapsed="false">
      <c r="A284" s="38" t="s">
        <v>344</v>
      </c>
      <c r="B284" s="38" t="s">
        <v>417</v>
      </c>
      <c r="C284" s="38" t="s">
        <v>420</v>
      </c>
      <c r="D284" s="21" t="n">
        <v>794</v>
      </c>
      <c r="E284" s="21"/>
      <c r="F284" s="52" t="str">
        <f aca="false">IF(E284="","",D284-E284)</f>
        <v/>
      </c>
      <c r="G284" s="21" t="n">
        <v>679</v>
      </c>
      <c r="H284" s="21"/>
      <c r="I284" s="52" t="str">
        <f aca="false">IF(H284="","",G284-H284)</f>
        <v/>
      </c>
      <c r="J284" s="39" t="n">
        <f aca="false">IF(OR(D284="",D284+G284=0),"",D284/(D284+G284))</f>
        <v>0.539035980991174</v>
      </c>
      <c r="K284" s="39" t="str">
        <f aca="false">IF(E284="","",E284/(E284+H284))</f>
        <v/>
      </c>
      <c r="L284" s="53" t="str">
        <f aca="false">IF(OR(K284="",J284=""),"",(J284-K284)*100)</f>
        <v/>
      </c>
      <c r="M284" s="38" t="s">
        <v>650</v>
      </c>
    </row>
    <row r="285" customFormat="false" ht="15" hidden="false" customHeight="false" outlineLevel="0" collapsed="false">
      <c r="A285" s="38" t="s">
        <v>344</v>
      </c>
      <c r="B285" s="38" t="s">
        <v>417</v>
      </c>
      <c r="C285" s="38" t="s">
        <v>421</v>
      </c>
      <c r="D285" s="21" t="n">
        <v>752</v>
      </c>
      <c r="E285" s="21"/>
      <c r="F285" s="52" t="str">
        <f aca="false">IF(E285="","",D285-E285)</f>
        <v/>
      </c>
      <c r="G285" s="21" t="n">
        <v>636</v>
      </c>
      <c r="H285" s="21"/>
      <c r="I285" s="52" t="str">
        <f aca="false">IF(H285="","",G285-H285)</f>
        <v/>
      </c>
      <c r="J285" s="39" t="n">
        <f aca="false">IF(OR(D285="",D285+G285=0),"",D285/(D285+G285))</f>
        <v>0.54178674351585</v>
      </c>
      <c r="K285" s="39" t="str">
        <f aca="false">IF(E285="","",E285/(E285+H285))</f>
        <v/>
      </c>
      <c r="L285" s="53" t="str">
        <f aca="false">IF(OR(K285="",J285=""),"",(J285-K285)*100)</f>
        <v/>
      </c>
      <c r="M285" s="38" t="s">
        <v>650</v>
      </c>
    </row>
    <row r="286" customFormat="false" ht="15" hidden="false" customHeight="false" outlineLevel="0" collapsed="false">
      <c r="A286" s="38" t="s">
        <v>344</v>
      </c>
      <c r="B286" s="38" t="s">
        <v>417</v>
      </c>
      <c r="C286" s="38" t="s">
        <v>422</v>
      </c>
      <c r="D286" s="21" t="n">
        <v>995</v>
      </c>
      <c r="E286" s="21" t="n">
        <v>975</v>
      </c>
      <c r="F286" s="52" t="n">
        <f aca="false">IF(E286="","",D286-E286)</f>
        <v>20</v>
      </c>
      <c r="G286" s="21" t="n">
        <v>841</v>
      </c>
      <c r="H286" s="21" t="n">
        <v>935</v>
      </c>
      <c r="I286" s="52" t="n">
        <f aca="false">IF(H286="","",G286-H286)</f>
        <v>-94</v>
      </c>
      <c r="J286" s="39" t="n">
        <f aca="false">IF(OR(D286="",D286+G286=0),"",D286/(D286+G286))</f>
        <v>0.541938997821351</v>
      </c>
      <c r="K286" s="39" t="n">
        <f aca="false">IF(E286="","",E286/(E286+H286))</f>
        <v>0.510471204188482</v>
      </c>
      <c r="L286" s="53" t="n">
        <f aca="false">IF(OR(K286="",J286=""),"",(J286-K286)*100)</f>
        <v>3.14677936328691</v>
      </c>
      <c r="M286" s="38"/>
    </row>
    <row r="287" customFormat="false" ht="15" hidden="false" customHeight="false" outlineLevel="0" collapsed="false">
      <c r="A287" s="38" t="s">
        <v>344</v>
      </c>
      <c r="B287" s="38" t="s">
        <v>417</v>
      </c>
      <c r="C287" s="38" t="s">
        <v>423</v>
      </c>
      <c r="D287" s="21" t="n">
        <v>807</v>
      </c>
      <c r="E287" s="21"/>
      <c r="F287" s="52" t="str">
        <f aca="false">IF(E287="","",D287-E287)</f>
        <v/>
      </c>
      <c r="G287" s="21" t="n">
        <v>715</v>
      </c>
      <c r="H287" s="21"/>
      <c r="I287" s="52" t="str">
        <f aca="false">IF(H287="","",G287-H287)</f>
        <v/>
      </c>
      <c r="J287" s="39" t="n">
        <f aca="false">IF(OR(D287="",D287+G287=0),"",D287/(D287+G287))</f>
        <v>0.530223390275953</v>
      </c>
      <c r="K287" s="39" t="str">
        <f aca="false">IF(E287="","",E287/(E287+H287))</f>
        <v/>
      </c>
      <c r="L287" s="53" t="str">
        <f aca="false">IF(OR(K287="",J287=""),"",(J287-K287)*100)</f>
        <v/>
      </c>
      <c r="M287" s="38" t="s">
        <v>650</v>
      </c>
    </row>
    <row r="288" customFormat="false" ht="15" hidden="false" customHeight="false" outlineLevel="0" collapsed="false">
      <c r="A288" s="38" t="s">
        <v>344</v>
      </c>
      <c r="B288" s="38" t="s">
        <v>417</v>
      </c>
      <c r="C288" s="38" t="s">
        <v>424</v>
      </c>
      <c r="D288" s="21" t="n">
        <v>675</v>
      </c>
      <c r="E288" s="21"/>
      <c r="F288" s="52" t="str">
        <f aca="false">IF(E288="","",D288-E288)</f>
        <v/>
      </c>
      <c r="G288" s="21" t="n">
        <v>689</v>
      </c>
      <c r="H288" s="21"/>
      <c r="I288" s="52" t="str">
        <f aca="false">IF(H288="","",G288-H288)</f>
        <v/>
      </c>
      <c r="J288" s="39" t="n">
        <f aca="false">IF(OR(D288="",D288+G288=0),"",D288/(D288+G288))</f>
        <v>0.494868035190616</v>
      </c>
      <c r="K288" s="39" t="str">
        <f aca="false">IF(E288="","",E288/(E288+H288))</f>
        <v/>
      </c>
      <c r="L288" s="53" t="str">
        <f aca="false">IF(OR(K288="",J288=""),"",(J288-K288)*100)</f>
        <v/>
      </c>
      <c r="M288" s="38" t="s">
        <v>650</v>
      </c>
    </row>
    <row r="289" customFormat="false" ht="15" hidden="false" customHeight="false" outlineLevel="0" collapsed="false">
      <c r="A289" s="38" t="s">
        <v>344</v>
      </c>
      <c r="B289" s="38" t="s">
        <v>425</v>
      </c>
      <c r="C289" s="38" t="s">
        <v>425</v>
      </c>
      <c r="D289" s="21" t="n">
        <v>759</v>
      </c>
      <c r="E289" s="21" t="n">
        <v>714</v>
      </c>
      <c r="F289" s="52" t="n">
        <f aca="false">IF(E289="","",D289-E289)</f>
        <v>45</v>
      </c>
      <c r="G289" s="21" t="n">
        <v>469</v>
      </c>
      <c r="H289" s="21" t="n">
        <v>484</v>
      </c>
      <c r="I289" s="52" t="n">
        <f aca="false">IF(H289="","",G289-H289)</f>
        <v>-15</v>
      </c>
      <c r="J289" s="39" t="n">
        <f aca="false">IF(OR(D289="",D289+G289=0),"",D289/(D289+G289))</f>
        <v>0.618078175895766</v>
      </c>
      <c r="K289" s="39" t="n">
        <f aca="false">IF(E289="","",E289/(E289+H289))</f>
        <v>0.595993322203673</v>
      </c>
      <c r="L289" s="53" t="n">
        <f aca="false">IF(OR(K289="",J289=""),"",(J289-K289)*100)</f>
        <v>2.20848536920928</v>
      </c>
      <c r="M289" s="38"/>
    </row>
    <row r="290" customFormat="false" ht="15" hidden="false" customHeight="false" outlineLevel="0" collapsed="false">
      <c r="A290" s="38" t="s">
        <v>344</v>
      </c>
      <c r="B290" s="38" t="s">
        <v>426</v>
      </c>
      <c r="C290" s="38" t="s">
        <v>426</v>
      </c>
      <c r="D290" s="21" t="n">
        <v>102</v>
      </c>
      <c r="E290" s="21" t="n">
        <v>109</v>
      </c>
      <c r="F290" s="52" t="n">
        <f aca="false">IF(E290="","",D290-E290)</f>
        <v>-7</v>
      </c>
      <c r="G290" s="21" t="n">
        <v>99</v>
      </c>
      <c r="H290" s="21" t="n">
        <v>97</v>
      </c>
      <c r="I290" s="52" t="n">
        <f aca="false">IF(H290="","",G290-H290)</f>
        <v>2</v>
      </c>
      <c r="J290" s="39" t="n">
        <f aca="false">IF(OR(D290="",D290+G290=0),"",D290/(D290+G290))</f>
        <v>0.507462686567164</v>
      </c>
      <c r="K290" s="39" t="n">
        <f aca="false">IF(E290="","",E290/(E290+H290))</f>
        <v>0.529126213592233</v>
      </c>
      <c r="L290" s="53" t="n">
        <f aca="false">IF(OR(K290="",J290=""),"",(J290-K290)*100)</f>
        <v>-2.16635270250688</v>
      </c>
      <c r="M290" s="38"/>
    </row>
    <row r="291" customFormat="false" ht="15" hidden="false" customHeight="false" outlineLevel="0" collapsed="false">
      <c r="A291" s="38" t="s">
        <v>344</v>
      </c>
      <c r="B291" s="38" t="s">
        <v>251</v>
      </c>
      <c r="C291" s="38" t="s">
        <v>427</v>
      </c>
      <c r="D291" s="21" t="n">
        <v>951</v>
      </c>
      <c r="E291" s="21" t="n">
        <v>955</v>
      </c>
      <c r="F291" s="52" t="n">
        <f aca="false">IF(E291="","",D291-E291)</f>
        <v>-4</v>
      </c>
      <c r="G291" s="21" t="n">
        <v>692</v>
      </c>
      <c r="H291" s="21" t="n">
        <v>692</v>
      </c>
      <c r="I291" s="52" t="n">
        <f aca="false">IF(H291="","",G291-H291)</f>
        <v>0</v>
      </c>
      <c r="J291" s="39" t="n">
        <f aca="false">IF(OR(D291="",D291+G291=0),"",D291/(D291+G291))</f>
        <v>0.578819233110164</v>
      </c>
      <c r="K291" s="39" t="n">
        <f aca="false">IF(E291="","",E291/(E291+H291))</f>
        <v>0.579842137219186</v>
      </c>
      <c r="L291" s="53" t="n">
        <f aca="false">IF(OR(K291="",J291=""),"",(J291-K291)*100)</f>
        <v>-0.102290410902206</v>
      </c>
      <c r="M291" s="38"/>
    </row>
    <row r="292" customFormat="false" ht="15" hidden="false" customHeight="false" outlineLevel="0" collapsed="false">
      <c r="A292" s="38" t="s">
        <v>344</v>
      </c>
      <c r="B292" s="38" t="s">
        <v>251</v>
      </c>
      <c r="C292" s="38" t="s">
        <v>428</v>
      </c>
      <c r="D292" s="21" t="n">
        <v>923</v>
      </c>
      <c r="E292" s="21" t="n">
        <v>910</v>
      </c>
      <c r="F292" s="52" t="n">
        <f aca="false">IF(E292="","",D292-E292)</f>
        <v>13</v>
      </c>
      <c r="G292" s="21" t="n">
        <v>749</v>
      </c>
      <c r="H292" s="21" t="n">
        <v>742</v>
      </c>
      <c r="I292" s="52" t="n">
        <f aca="false">IF(H292="","",G292-H292)</f>
        <v>7</v>
      </c>
      <c r="J292" s="39" t="n">
        <f aca="false">IF(OR(D292="",D292+G292=0),"",D292/(D292+G292))</f>
        <v>0.552033492822967</v>
      </c>
      <c r="K292" s="39" t="n">
        <f aca="false">IF(E292="","",E292/(E292+H292))</f>
        <v>0.550847457627119</v>
      </c>
      <c r="L292" s="53" t="n">
        <f aca="false">IF(OR(K292="",J292=""),"",(J292-K292)*100)</f>
        <v>0.118603519584792</v>
      </c>
      <c r="M292" s="38"/>
    </row>
    <row r="293" customFormat="false" ht="15" hidden="false" customHeight="false" outlineLevel="0" collapsed="false">
      <c r="A293" s="38" t="s">
        <v>344</v>
      </c>
      <c r="B293" s="38" t="s">
        <v>251</v>
      </c>
      <c r="C293" s="38" t="s">
        <v>429</v>
      </c>
      <c r="D293" s="21" t="n">
        <v>450</v>
      </c>
      <c r="E293" s="21" t="n">
        <v>446</v>
      </c>
      <c r="F293" s="52" t="n">
        <f aca="false">IF(E293="","",D293-E293)</f>
        <v>4</v>
      </c>
      <c r="G293" s="21" t="n">
        <v>397</v>
      </c>
      <c r="H293" s="21" t="n">
        <v>410</v>
      </c>
      <c r="I293" s="52" t="n">
        <f aca="false">IF(H293="","",G293-H293)</f>
        <v>-13</v>
      </c>
      <c r="J293" s="39" t="n">
        <f aca="false">IF(OR(D293="",D293+G293=0),"",D293/(D293+G293))</f>
        <v>0.531286894923259</v>
      </c>
      <c r="K293" s="39" t="n">
        <f aca="false">IF(E293="","",E293/(E293+H293))</f>
        <v>0.521028037383178</v>
      </c>
      <c r="L293" s="53" t="n">
        <f aca="false">IF(OR(K293="",J293=""),"",(J293-K293)*100)</f>
        <v>1.02588575400809</v>
      </c>
      <c r="M293" s="38"/>
    </row>
    <row r="294" customFormat="false" ht="15" hidden="false" customHeight="false" outlineLevel="0" collapsed="false">
      <c r="A294" s="38" t="s">
        <v>344</v>
      </c>
      <c r="B294" s="38" t="s">
        <v>251</v>
      </c>
      <c r="C294" s="38" t="s">
        <v>430</v>
      </c>
      <c r="D294" s="21" t="n">
        <v>765</v>
      </c>
      <c r="E294" s="21" t="n">
        <v>744</v>
      </c>
      <c r="F294" s="52" t="n">
        <f aca="false">IF(E294="","",D294-E294)</f>
        <v>21</v>
      </c>
      <c r="G294" s="21" t="n">
        <v>668</v>
      </c>
      <c r="H294" s="21" t="n">
        <v>678</v>
      </c>
      <c r="I294" s="52" t="n">
        <f aca="false">IF(H294="","",G294-H294)</f>
        <v>-10</v>
      </c>
      <c r="J294" s="39" t="n">
        <f aca="false">IF(OR(D294="",D294+G294=0),"",D294/(D294+G294))</f>
        <v>0.533845080251221</v>
      </c>
      <c r="K294" s="39" t="n">
        <f aca="false">IF(E294="","",E294/(E294+H294))</f>
        <v>0.523206751054852</v>
      </c>
      <c r="L294" s="53" t="n">
        <f aca="false">IF(OR(K294="",J294=""),"",(J294-K294)*100)</f>
        <v>1.06383291963689</v>
      </c>
      <c r="M294" s="38"/>
    </row>
    <row r="295" customFormat="false" ht="15" hidden="false" customHeight="false" outlineLevel="0" collapsed="false">
      <c r="A295" s="38" t="s">
        <v>344</v>
      </c>
      <c r="B295" s="38" t="s">
        <v>251</v>
      </c>
      <c r="C295" s="38" t="s">
        <v>431</v>
      </c>
      <c r="D295" s="21" t="n">
        <v>768</v>
      </c>
      <c r="E295" s="21" t="n">
        <v>775</v>
      </c>
      <c r="F295" s="52" t="n">
        <f aca="false">IF(E295="","",D295-E295)</f>
        <v>-7</v>
      </c>
      <c r="G295" s="21" t="n">
        <v>591</v>
      </c>
      <c r="H295" s="21" t="n">
        <v>645</v>
      </c>
      <c r="I295" s="52" t="n">
        <f aca="false">IF(H295="","",G295-H295)</f>
        <v>-54</v>
      </c>
      <c r="J295" s="39" t="n">
        <f aca="false">IF(OR(D295="",D295+G295=0),"",D295/(D295+G295))</f>
        <v>0.565121412803532</v>
      </c>
      <c r="K295" s="39" t="n">
        <f aca="false">IF(E295="","",E295/(E295+H295))</f>
        <v>0.545774647887324</v>
      </c>
      <c r="L295" s="53" t="n">
        <f aca="false">IF(OR(K295="",J295=""),"",(J295-K295)*100)</f>
        <v>1.9346764916208</v>
      </c>
      <c r="M295" s="38"/>
    </row>
    <row r="296" customFormat="false" ht="15" hidden="false" customHeight="false" outlineLevel="0" collapsed="false">
      <c r="A296" s="38" t="s">
        <v>344</v>
      </c>
      <c r="B296" s="38" t="s">
        <v>251</v>
      </c>
      <c r="C296" s="38" t="s">
        <v>432</v>
      </c>
      <c r="D296" s="21" t="n">
        <v>528</v>
      </c>
      <c r="E296" s="21" t="n">
        <v>511</v>
      </c>
      <c r="F296" s="52" t="n">
        <f aca="false">IF(E296="","",D296-E296)</f>
        <v>17</v>
      </c>
      <c r="G296" s="21" t="n">
        <v>451</v>
      </c>
      <c r="H296" s="21" t="n">
        <v>453</v>
      </c>
      <c r="I296" s="52" t="n">
        <f aca="false">IF(H296="","",G296-H296)</f>
        <v>-2</v>
      </c>
      <c r="J296" s="39" t="n">
        <f aca="false">IF(OR(D296="",D296+G296=0),"",D296/(D296+G296))</f>
        <v>0.539325842696629</v>
      </c>
      <c r="K296" s="39" t="n">
        <f aca="false">IF(E296="","",E296/(E296+H296))</f>
        <v>0.530082987551867</v>
      </c>
      <c r="L296" s="53" t="n">
        <f aca="false">IF(OR(K296="",J296=""),"",(J296-K296)*100)</f>
        <v>0.924285514476197</v>
      </c>
      <c r="M296" s="38"/>
    </row>
    <row r="297" customFormat="false" ht="15" hidden="false" customHeight="false" outlineLevel="0" collapsed="false">
      <c r="A297" s="38" t="s">
        <v>344</v>
      </c>
      <c r="B297" s="38" t="s">
        <v>433</v>
      </c>
      <c r="C297" s="38" t="s">
        <v>434</v>
      </c>
      <c r="D297" s="21" t="n">
        <v>570</v>
      </c>
      <c r="E297" s="21" t="n">
        <v>553</v>
      </c>
      <c r="F297" s="52" t="n">
        <f aca="false">IF(E297="","",D297-E297)</f>
        <v>17</v>
      </c>
      <c r="G297" s="21" t="n">
        <v>554</v>
      </c>
      <c r="H297" s="21" t="n">
        <v>581</v>
      </c>
      <c r="I297" s="52" t="n">
        <f aca="false">IF(H297="","",G297-H297)</f>
        <v>-27</v>
      </c>
      <c r="J297" s="39" t="n">
        <f aca="false">IF(OR(D297="",D297+G297=0),"",D297/(D297+G297))</f>
        <v>0.50711743772242</v>
      </c>
      <c r="K297" s="39" t="n">
        <f aca="false">IF(E297="","",E297/(E297+H297))</f>
        <v>0.487654320987654</v>
      </c>
      <c r="L297" s="53" t="n">
        <f aca="false">IF(OR(K297="",J297=""),"",(J297-K297)*100)</f>
        <v>1.94631167347656</v>
      </c>
      <c r="M297" s="38"/>
    </row>
    <row r="298" customFormat="false" ht="15" hidden="false" customHeight="false" outlineLevel="0" collapsed="false">
      <c r="A298" s="38" t="s">
        <v>344</v>
      </c>
      <c r="B298" s="38" t="s">
        <v>433</v>
      </c>
      <c r="C298" s="38" t="s">
        <v>435</v>
      </c>
      <c r="D298" s="21" t="n">
        <v>464</v>
      </c>
      <c r="E298" s="21" t="n">
        <v>473</v>
      </c>
      <c r="F298" s="52" t="n">
        <f aca="false">IF(E298="","",D298-E298)</f>
        <v>-9</v>
      </c>
      <c r="G298" s="21" t="n">
        <v>401</v>
      </c>
      <c r="H298" s="21" t="n">
        <v>465</v>
      </c>
      <c r="I298" s="52" t="n">
        <f aca="false">IF(H298="","",G298-H298)</f>
        <v>-64</v>
      </c>
      <c r="J298" s="39" t="n">
        <f aca="false">IF(OR(D298="",D298+G298=0),"",D298/(D298+G298))</f>
        <v>0.536416184971098</v>
      </c>
      <c r="K298" s="39" t="n">
        <f aca="false">IF(E298="","",E298/(E298+H298))</f>
        <v>0.504264392324094</v>
      </c>
      <c r="L298" s="53" t="n">
        <f aca="false">IF(OR(K298="",J298=""),"",(J298-K298)*100)</f>
        <v>3.21517926470044</v>
      </c>
      <c r="M298" s="38"/>
    </row>
    <row r="299" customFormat="false" ht="15" hidden="false" customHeight="false" outlineLevel="0" collapsed="false">
      <c r="A299" s="38" t="s">
        <v>344</v>
      </c>
      <c r="B299" s="38" t="s">
        <v>433</v>
      </c>
      <c r="C299" s="38" t="s">
        <v>436</v>
      </c>
      <c r="D299" s="21" t="n">
        <v>697</v>
      </c>
      <c r="E299" s="21" t="n">
        <v>700</v>
      </c>
      <c r="F299" s="52" t="n">
        <f aca="false">IF(E299="","",D299-E299)</f>
        <v>-3</v>
      </c>
      <c r="G299" s="21" t="n">
        <v>568</v>
      </c>
      <c r="H299" s="21" t="n">
        <v>639</v>
      </c>
      <c r="I299" s="52" t="n">
        <f aca="false">IF(H299="","",G299-H299)</f>
        <v>-71</v>
      </c>
      <c r="J299" s="39" t="n">
        <f aca="false">IF(OR(D299="",D299+G299=0),"",D299/(D299+G299))</f>
        <v>0.55098814229249</v>
      </c>
      <c r="K299" s="39" t="n">
        <f aca="false">IF(E299="","",E299/(E299+H299))</f>
        <v>0.522778192681105</v>
      </c>
      <c r="L299" s="53" t="n">
        <f aca="false">IF(OR(K299="",J299=""),"",(J299-K299)*100)</f>
        <v>2.82099496113849</v>
      </c>
      <c r="M299" s="38"/>
    </row>
    <row r="300" customFormat="false" ht="15" hidden="false" customHeight="false" outlineLevel="0" collapsed="false">
      <c r="A300" s="38" t="s">
        <v>344</v>
      </c>
      <c r="B300" s="38" t="s">
        <v>437</v>
      </c>
      <c r="C300" s="38" t="s">
        <v>438</v>
      </c>
      <c r="D300" s="21" t="n">
        <v>559</v>
      </c>
      <c r="E300" s="21" t="n">
        <v>546</v>
      </c>
      <c r="F300" s="52" t="n">
        <f aca="false">IF(E300="","",D300-E300)</f>
        <v>13</v>
      </c>
      <c r="G300" s="21" t="n">
        <v>1020</v>
      </c>
      <c r="H300" s="21" t="n">
        <v>1089</v>
      </c>
      <c r="I300" s="52" t="n">
        <f aca="false">IF(H300="","",G300-H300)</f>
        <v>-69</v>
      </c>
      <c r="J300" s="39" t="n">
        <f aca="false">IF(OR(D300="",D300+G300=0),"",D300/(D300+G300))</f>
        <v>0.35402153261558</v>
      </c>
      <c r="K300" s="39" t="n">
        <f aca="false">IF(E300="","",E300/(E300+H300))</f>
        <v>0.33394495412844</v>
      </c>
      <c r="L300" s="53" t="n">
        <f aca="false">IF(OR(K300="",J300=""),"",(J300-K300)*100)</f>
        <v>2.00765784871391</v>
      </c>
      <c r="M300" s="38"/>
    </row>
    <row r="301" customFormat="false" ht="15" hidden="false" customHeight="false" outlineLevel="0" collapsed="false">
      <c r="A301" s="38" t="s">
        <v>344</v>
      </c>
      <c r="B301" s="38" t="s">
        <v>437</v>
      </c>
      <c r="C301" s="38" t="s">
        <v>439</v>
      </c>
      <c r="D301" s="21" t="n">
        <v>648</v>
      </c>
      <c r="E301" s="21" t="n">
        <v>636</v>
      </c>
      <c r="F301" s="52" t="n">
        <f aca="false">IF(E301="","",D301-E301)</f>
        <v>12</v>
      </c>
      <c r="G301" s="21" t="n">
        <v>1147</v>
      </c>
      <c r="H301" s="21" t="n">
        <v>1262</v>
      </c>
      <c r="I301" s="52" t="n">
        <f aca="false">IF(H301="","",G301-H301)</f>
        <v>-115</v>
      </c>
      <c r="J301" s="39" t="n">
        <f aca="false">IF(OR(D301="",D301+G301=0),"",D301/(D301+G301))</f>
        <v>0.36100278551532</v>
      </c>
      <c r="K301" s="39" t="n">
        <f aca="false">IF(E301="","",E301/(E301+H301))</f>
        <v>0.33508956796628</v>
      </c>
      <c r="L301" s="53" t="n">
        <f aca="false">IF(OR(K301="",J301=""),"",(J301-K301)*100)</f>
        <v>2.591321754904</v>
      </c>
      <c r="M301" s="38"/>
    </row>
    <row r="302" customFormat="false" ht="15" hidden="false" customHeight="false" outlineLevel="0" collapsed="false">
      <c r="A302" s="38" t="s">
        <v>344</v>
      </c>
      <c r="B302" s="38" t="s">
        <v>437</v>
      </c>
      <c r="C302" s="38" t="s">
        <v>440</v>
      </c>
      <c r="D302" s="21" t="n">
        <v>217</v>
      </c>
      <c r="E302" s="21" t="n">
        <v>224</v>
      </c>
      <c r="F302" s="52" t="n">
        <f aca="false">IF(E302="","",D302-E302)</f>
        <v>-7</v>
      </c>
      <c r="G302" s="21" t="n">
        <v>477</v>
      </c>
      <c r="H302" s="21" t="n">
        <v>495</v>
      </c>
      <c r="I302" s="52" t="n">
        <f aca="false">IF(H302="","",G302-H302)</f>
        <v>-18</v>
      </c>
      <c r="J302" s="39" t="n">
        <f aca="false">IF(OR(D302="",D302+G302=0),"",D302/(D302+G302))</f>
        <v>0.312680115273775</v>
      </c>
      <c r="K302" s="39" t="n">
        <f aca="false">IF(E302="","",E302/(E302+H302))</f>
        <v>0.311543810848401</v>
      </c>
      <c r="L302" s="53" t="n">
        <f aca="false">IF(OR(K302="",J302=""),"",(J302-K302)*100)</f>
        <v>0.113630442537466</v>
      </c>
      <c r="M302" s="38"/>
    </row>
    <row r="303" customFormat="false" ht="15" hidden="false" customHeight="false" outlineLevel="0" collapsed="false">
      <c r="A303" s="38" t="s">
        <v>344</v>
      </c>
      <c r="B303" s="38" t="s">
        <v>437</v>
      </c>
      <c r="C303" s="38" t="s">
        <v>441</v>
      </c>
      <c r="D303" s="21" t="n">
        <v>505</v>
      </c>
      <c r="E303" s="21" t="n">
        <v>478</v>
      </c>
      <c r="F303" s="52" t="n">
        <f aca="false">IF(E303="","",D303-E303)</f>
        <v>27</v>
      </c>
      <c r="G303" s="21" t="n">
        <v>883</v>
      </c>
      <c r="H303" s="21" t="n">
        <v>948</v>
      </c>
      <c r="I303" s="52" t="n">
        <f aca="false">IF(H303="","",G303-H303)</f>
        <v>-65</v>
      </c>
      <c r="J303" s="39" t="n">
        <f aca="false">IF(OR(D303="",D303+G303=0),"",D303/(D303+G303))</f>
        <v>0.363832853025937</v>
      </c>
      <c r="K303" s="39" t="n">
        <f aca="false">IF(E303="","",E303/(E303+H303))</f>
        <v>0.335203366058906</v>
      </c>
      <c r="L303" s="53" t="n">
        <f aca="false">IF(OR(K303="",J303=""),"",(J303-K303)*100)</f>
        <v>2.86294869670305</v>
      </c>
      <c r="M303" s="38"/>
    </row>
    <row r="304" customFormat="false" ht="15" hidden="false" customHeight="false" outlineLevel="0" collapsed="false">
      <c r="A304" s="38" t="s">
        <v>344</v>
      </c>
      <c r="B304" s="38" t="s">
        <v>437</v>
      </c>
      <c r="C304" s="38" t="s">
        <v>442</v>
      </c>
      <c r="D304" s="21" t="n">
        <v>331</v>
      </c>
      <c r="E304" s="21" t="n">
        <v>360</v>
      </c>
      <c r="F304" s="52" t="n">
        <f aca="false">IF(E304="","",D304-E304)</f>
        <v>-29</v>
      </c>
      <c r="G304" s="21" t="n">
        <v>608</v>
      </c>
      <c r="H304" s="21" t="n">
        <v>645</v>
      </c>
      <c r="I304" s="52" t="n">
        <f aca="false">IF(H304="","",G304-H304)</f>
        <v>-37</v>
      </c>
      <c r="J304" s="39" t="n">
        <f aca="false">IF(OR(D304="",D304+G304=0),"",D304/(D304+G304))</f>
        <v>0.352502662406816</v>
      </c>
      <c r="K304" s="39" t="n">
        <f aca="false">IF(E304="","",E304/(E304+H304))</f>
        <v>0.358208955223881</v>
      </c>
      <c r="L304" s="53" t="n">
        <f aca="false">IF(OR(K304="",J304=""),"",(J304-K304)*100)</f>
        <v>-0.570629281706481</v>
      </c>
      <c r="M304" s="38"/>
    </row>
    <row r="305" customFormat="false" ht="15" hidden="false" customHeight="false" outlineLevel="0" collapsed="false">
      <c r="A305" s="38" t="s">
        <v>344</v>
      </c>
      <c r="B305" s="38" t="s">
        <v>443</v>
      </c>
      <c r="C305" s="38" t="s">
        <v>444</v>
      </c>
      <c r="D305" s="21" t="n">
        <v>254</v>
      </c>
      <c r="E305" s="21" t="n">
        <v>264</v>
      </c>
      <c r="F305" s="52" t="n">
        <f aca="false">IF(E305="","",D305-E305)</f>
        <v>-10</v>
      </c>
      <c r="G305" s="21" t="n">
        <v>412</v>
      </c>
      <c r="H305" s="21" t="n">
        <v>439</v>
      </c>
      <c r="I305" s="52" t="n">
        <f aca="false">IF(H305="","",G305-H305)</f>
        <v>-27</v>
      </c>
      <c r="J305" s="39" t="n">
        <f aca="false">IF(OR(D305="",D305+G305=0),"",D305/(D305+G305))</f>
        <v>0.381381381381381</v>
      </c>
      <c r="K305" s="39" t="n">
        <f aca="false">IF(E305="","",E305/(E305+H305))</f>
        <v>0.375533428165007</v>
      </c>
      <c r="L305" s="53" t="n">
        <f aca="false">IF(OR(K305="",J305=""),"",(J305-K305)*100)</f>
        <v>0.584795321637427</v>
      </c>
      <c r="M305" s="38"/>
    </row>
    <row r="306" customFormat="false" ht="15" hidden="false" customHeight="false" outlineLevel="0" collapsed="false">
      <c r="A306" s="38" t="s">
        <v>344</v>
      </c>
      <c r="B306" s="38" t="s">
        <v>443</v>
      </c>
      <c r="C306" s="38" t="s">
        <v>445</v>
      </c>
      <c r="D306" s="21" t="n">
        <v>373</v>
      </c>
      <c r="E306" s="21" t="n">
        <v>361</v>
      </c>
      <c r="F306" s="52" t="n">
        <f aca="false">IF(E306="","",D306-E306)</f>
        <v>12</v>
      </c>
      <c r="G306" s="21" t="n">
        <v>700</v>
      </c>
      <c r="H306" s="21" t="n">
        <v>775</v>
      </c>
      <c r="I306" s="52" t="n">
        <f aca="false">IF(H306="","",G306-H306)</f>
        <v>-75</v>
      </c>
      <c r="J306" s="39" t="n">
        <f aca="false">IF(OR(D306="",D306+G306=0),"",D306/(D306+G306))</f>
        <v>0.34762348555452</v>
      </c>
      <c r="K306" s="39" t="n">
        <f aca="false">IF(E306="","",E306/(E306+H306))</f>
        <v>0.317781690140845</v>
      </c>
      <c r="L306" s="53" t="n">
        <f aca="false">IF(OR(K306="",J306=""),"",(J306-K306)*100)</f>
        <v>2.9841795413675</v>
      </c>
      <c r="M306" s="38"/>
    </row>
    <row r="307" customFormat="false" ht="15" hidden="false" customHeight="false" outlineLevel="0" collapsed="false">
      <c r="A307" s="38" t="s">
        <v>344</v>
      </c>
      <c r="B307" s="38" t="s">
        <v>446</v>
      </c>
      <c r="C307" s="38" t="s">
        <v>447</v>
      </c>
      <c r="D307" s="21" t="n">
        <v>257</v>
      </c>
      <c r="E307" s="21"/>
      <c r="F307" s="52" t="str">
        <f aca="false">IF(E307="","",D307-E307)</f>
        <v/>
      </c>
      <c r="G307" s="21" t="n">
        <v>334</v>
      </c>
      <c r="H307" s="21"/>
      <c r="I307" s="52" t="str">
        <f aca="false">IF(H307="","",G307-H307)</f>
        <v/>
      </c>
      <c r="J307" s="39" t="n">
        <f aca="false">IF(OR(D307="",D307+G307=0),"",D307/(D307+G307))</f>
        <v>0.434856175972927</v>
      </c>
      <c r="K307" s="39" t="str">
        <f aca="false">IF(E307="","",E307/(E307+H307))</f>
        <v/>
      </c>
      <c r="L307" s="53" t="str">
        <f aca="false">IF(OR(K307="",J307=""),"",(J307-K307)*100)</f>
        <v/>
      </c>
      <c r="M307" s="38" t="s">
        <v>650</v>
      </c>
    </row>
    <row r="308" customFormat="false" ht="15" hidden="false" customHeight="false" outlineLevel="0" collapsed="false">
      <c r="A308" s="38" t="s">
        <v>344</v>
      </c>
      <c r="B308" s="38" t="s">
        <v>446</v>
      </c>
      <c r="C308" s="38" t="s">
        <v>448</v>
      </c>
      <c r="D308" s="21" t="n">
        <v>670</v>
      </c>
      <c r="E308" s="21"/>
      <c r="F308" s="52" t="str">
        <f aca="false">IF(E308="","",D308-E308)</f>
        <v/>
      </c>
      <c r="G308" s="21" t="n">
        <v>636</v>
      </c>
      <c r="H308" s="21"/>
      <c r="I308" s="52" t="str">
        <f aca="false">IF(H308="","",G308-H308)</f>
        <v/>
      </c>
      <c r="J308" s="39" t="n">
        <f aca="false">IF(OR(D308="",D308+G308=0),"",D308/(D308+G308))</f>
        <v>0.51301684532925</v>
      </c>
      <c r="K308" s="39" t="str">
        <f aca="false">IF(E308="","",E308/(E308+H308))</f>
        <v/>
      </c>
      <c r="L308" s="53" t="str">
        <f aca="false">IF(OR(K308="",J308=""),"",(J308-K308)*100)</f>
        <v/>
      </c>
      <c r="M308" s="38" t="s">
        <v>650</v>
      </c>
    </row>
    <row r="309" customFormat="false" ht="15" hidden="false" customHeight="false" outlineLevel="0" collapsed="false">
      <c r="A309" s="38" t="s">
        <v>344</v>
      </c>
      <c r="B309" s="38" t="s">
        <v>446</v>
      </c>
      <c r="C309" s="38" t="s">
        <v>449</v>
      </c>
      <c r="D309" s="21" t="n">
        <v>635</v>
      </c>
      <c r="E309" s="21" t="n">
        <v>606</v>
      </c>
      <c r="F309" s="52" t="n">
        <f aca="false">IF(E309="","",D309-E309)</f>
        <v>29</v>
      </c>
      <c r="G309" s="21" t="n">
        <v>782</v>
      </c>
      <c r="H309" s="21" t="n">
        <v>825</v>
      </c>
      <c r="I309" s="52" t="n">
        <f aca="false">IF(H309="","",G309-H309)</f>
        <v>-43</v>
      </c>
      <c r="J309" s="39" t="n">
        <f aca="false">IF(OR(D309="",D309+G309=0),"",D309/(D309+G309))</f>
        <v>0.448129851799577</v>
      </c>
      <c r="K309" s="39" t="n">
        <f aca="false">IF(E309="","",E309/(E309+H309))</f>
        <v>0.423480083857442</v>
      </c>
      <c r="L309" s="53" t="n">
        <f aca="false">IF(OR(K309="",J309=""),"",(J309-K309)*100)</f>
        <v>2.46497679421343</v>
      </c>
      <c r="M309" s="38"/>
    </row>
    <row r="310" customFormat="false" ht="15" hidden="false" customHeight="false" outlineLevel="0" collapsed="false">
      <c r="A310" s="38" t="s">
        <v>344</v>
      </c>
      <c r="B310" s="38" t="s">
        <v>446</v>
      </c>
      <c r="C310" s="38" t="s">
        <v>450</v>
      </c>
      <c r="D310" s="21" t="n">
        <v>640</v>
      </c>
      <c r="E310" s="21"/>
      <c r="F310" s="52" t="str">
        <f aca="false">IF(E310="","",D310-E310)</f>
        <v/>
      </c>
      <c r="G310" s="21" t="n">
        <v>678</v>
      </c>
      <c r="H310" s="21"/>
      <c r="I310" s="52" t="str">
        <f aca="false">IF(H310="","",G310-H310)</f>
        <v/>
      </c>
      <c r="J310" s="39" t="n">
        <f aca="false">IF(OR(D310="",D310+G310=0),"",D310/(D310+G310))</f>
        <v>0.485584218512898</v>
      </c>
      <c r="K310" s="39" t="str">
        <f aca="false">IF(E310="","",E310/(E310+H310))</f>
        <v/>
      </c>
      <c r="L310" s="53" t="str">
        <f aca="false">IF(OR(K310="",J310=""),"",(J310-K310)*100)</f>
        <v/>
      </c>
      <c r="M310" s="38" t="s">
        <v>650</v>
      </c>
    </row>
    <row r="311" customFormat="false" ht="15" hidden="false" customHeight="false" outlineLevel="0" collapsed="false">
      <c r="A311" s="38" t="s">
        <v>344</v>
      </c>
      <c r="B311" s="38" t="s">
        <v>451</v>
      </c>
      <c r="C311" s="38" t="s">
        <v>452</v>
      </c>
      <c r="D311" s="21" t="n">
        <v>603</v>
      </c>
      <c r="E311" s="21" t="n">
        <v>585</v>
      </c>
      <c r="F311" s="52" t="n">
        <f aca="false">IF(E311="","",D311-E311)</f>
        <v>18</v>
      </c>
      <c r="G311" s="21" t="n">
        <v>533</v>
      </c>
      <c r="H311" s="21" t="n">
        <v>527</v>
      </c>
      <c r="I311" s="52" t="n">
        <f aca="false">IF(H311="","",G311-H311)</f>
        <v>6</v>
      </c>
      <c r="J311" s="39" t="n">
        <f aca="false">IF(OR(D311="",D311+G311=0),"",D311/(D311+G311))</f>
        <v>0.53080985915493</v>
      </c>
      <c r="K311" s="39" t="n">
        <f aca="false">IF(E311="","",E311/(E311+H311))</f>
        <v>0.526079136690647</v>
      </c>
      <c r="L311" s="53" t="n">
        <f aca="false">IF(OR(K311="",J311=""),"",(J311-K311)*100)</f>
        <v>0.473072246428219</v>
      </c>
      <c r="M311" s="38"/>
    </row>
    <row r="312" customFormat="false" ht="15" hidden="false" customHeight="false" outlineLevel="0" collapsed="false">
      <c r="A312" s="38" t="s">
        <v>344</v>
      </c>
      <c r="B312" s="38" t="s">
        <v>451</v>
      </c>
      <c r="C312" s="38" t="s">
        <v>453</v>
      </c>
      <c r="D312" s="21" t="n">
        <v>668</v>
      </c>
      <c r="E312" s="21" t="n">
        <v>639</v>
      </c>
      <c r="F312" s="52" t="n">
        <f aca="false">IF(E312="","",D312-E312)</f>
        <v>29</v>
      </c>
      <c r="G312" s="21" t="n">
        <v>821</v>
      </c>
      <c r="H312" s="21" t="n">
        <v>886</v>
      </c>
      <c r="I312" s="52" t="n">
        <f aca="false">IF(H312="","",G312-H312)</f>
        <v>-65</v>
      </c>
      <c r="J312" s="39" t="n">
        <f aca="false">IF(OR(D312="",D312+G312=0),"",D312/(D312+G312))</f>
        <v>0.44862323707186</v>
      </c>
      <c r="K312" s="39" t="n">
        <f aca="false">IF(E312="","",E312/(E312+H312))</f>
        <v>0.419016393442623</v>
      </c>
      <c r="L312" s="53" t="n">
        <f aca="false">IF(OR(K312="",J312=""),"",(J312-K312)*100)</f>
        <v>2.96068436292374</v>
      </c>
      <c r="M312" s="38"/>
    </row>
    <row r="313" customFormat="false" ht="15" hidden="false" customHeight="false" outlineLevel="0" collapsed="false">
      <c r="A313" s="38" t="s">
        <v>344</v>
      </c>
      <c r="B313" s="38" t="s">
        <v>451</v>
      </c>
      <c r="C313" s="38" t="s">
        <v>454</v>
      </c>
      <c r="D313" s="21" t="n">
        <v>410</v>
      </c>
      <c r="E313" s="21"/>
      <c r="F313" s="52" t="str">
        <f aca="false">IF(E313="","",D313-E313)</f>
        <v/>
      </c>
      <c r="G313" s="21" t="n">
        <v>563</v>
      </c>
      <c r="H313" s="21"/>
      <c r="I313" s="52" t="str">
        <f aca="false">IF(H313="","",G313-H313)</f>
        <v/>
      </c>
      <c r="J313" s="39" t="n">
        <f aca="false">IF(OR(D313="",D313+G313=0),"",D313/(D313+G313))</f>
        <v>0.421377183967112</v>
      </c>
      <c r="K313" s="39" t="str">
        <f aca="false">IF(E313="","",E313/(E313+H313))</f>
        <v/>
      </c>
      <c r="L313" s="53" t="str">
        <f aca="false">IF(OR(K313="",J313=""),"",(J313-K313)*100)</f>
        <v/>
      </c>
      <c r="M313" s="38" t="s">
        <v>650</v>
      </c>
    </row>
    <row r="314" customFormat="false" ht="15" hidden="false" customHeight="false" outlineLevel="0" collapsed="false">
      <c r="A314" s="38" t="s">
        <v>344</v>
      </c>
      <c r="B314" s="38" t="s">
        <v>451</v>
      </c>
      <c r="C314" s="38" t="s">
        <v>455</v>
      </c>
      <c r="D314" s="21" t="n">
        <v>505</v>
      </c>
      <c r="E314" s="21" t="n">
        <v>496</v>
      </c>
      <c r="F314" s="52" t="n">
        <f aca="false">IF(E314="","",D314-E314)</f>
        <v>9</v>
      </c>
      <c r="G314" s="21" t="n">
        <v>449</v>
      </c>
      <c r="H314" s="21" t="n">
        <v>458</v>
      </c>
      <c r="I314" s="52" t="n">
        <f aca="false">IF(H314="","",G314-H314)</f>
        <v>-9</v>
      </c>
      <c r="J314" s="39" t="n">
        <f aca="false">IF(OR(D314="",D314+G314=0),"",D314/(D314+G314))</f>
        <v>0.529350104821803</v>
      </c>
      <c r="K314" s="39" t="n">
        <f aca="false">IF(E314="","",E314/(E314+H314))</f>
        <v>0.519916142557652</v>
      </c>
      <c r="L314" s="53" t="n">
        <f aca="false">IF(OR(K314="",J314=""),"",(J314-K314)*100)</f>
        <v>0.943396226415094</v>
      </c>
      <c r="M314" s="38"/>
    </row>
    <row r="315" customFormat="false" ht="15" hidden="false" customHeight="false" outlineLevel="0" collapsed="false">
      <c r="A315" s="38" t="s">
        <v>344</v>
      </c>
      <c r="B315" s="38" t="s">
        <v>451</v>
      </c>
      <c r="C315" s="38" t="s">
        <v>456</v>
      </c>
      <c r="D315" s="21" t="n">
        <v>412</v>
      </c>
      <c r="E315" s="21" t="n">
        <v>423</v>
      </c>
      <c r="F315" s="52" t="n">
        <f aca="false">IF(E315="","",D315-E315)</f>
        <v>-11</v>
      </c>
      <c r="G315" s="21" t="n">
        <v>544</v>
      </c>
      <c r="H315" s="21" t="n">
        <v>592</v>
      </c>
      <c r="I315" s="52" t="n">
        <f aca="false">IF(H315="","",G315-H315)</f>
        <v>-48</v>
      </c>
      <c r="J315" s="39" t="n">
        <f aca="false">IF(OR(D315="",D315+G315=0),"",D315/(D315+G315))</f>
        <v>0.430962343096234</v>
      </c>
      <c r="K315" s="39" t="n">
        <f aca="false">IF(E315="","",E315/(E315+H315))</f>
        <v>0.416748768472906</v>
      </c>
      <c r="L315" s="53" t="n">
        <f aca="false">IF(OR(K315="",J315=""),"",(J315-K315)*100)</f>
        <v>1.42135746233279</v>
      </c>
      <c r="M315" s="38"/>
    </row>
    <row r="316" customFormat="false" ht="15" hidden="false" customHeight="false" outlineLevel="0" collapsed="false">
      <c r="A316" s="38" t="s">
        <v>344</v>
      </c>
      <c r="B316" s="38" t="s">
        <v>451</v>
      </c>
      <c r="C316" s="38" t="s">
        <v>457</v>
      </c>
      <c r="D316" s="21" t="n">
        <v>808</v>
      </c>
      <c r="E316" s="21"/>
      <c r="F316" s="52" t="str">
        <f aca="false">IF(E316="","",D316-E316)</f>
        <v/>
      </c>
      <c r="G316" s="21" t="n">
        <v>881</v>
      </c>
      <c r="H316" s="21"/>
      <c r="I316" s="52" t="str">
        <f aca="false">IF(H316="","",G316-H316)</f>
        <v/>
      </c>
      <c r="J316" s="39" t="n">
        <f aca="false">IF(OR(D316="",D316+G316=0),"",D316/(D316+G316))</f>
        <v>0.478389579632919</v>
      </c>
      <c r="K316" s="39" t="str">
        <f aca="false">IF(E316="","",E316/(E316+H316))</f>
        <v/>
      </c>
      <c r="L316" s="53" t="str">
        <f aca="false">IF(OR(K316="",J316=""),"",(J316-K316)*100)</f>
        <v/>
      </c>
      <c r="M316" s="38" t="s">
        <v>650</v>
      </c>
    </row>
    <row r="317" customFormat="false" ht="15" hidden="false" customHeight="false" outlineLevel="0" collapsed="false">
      <c r="A317" s="38" t="s">
        <v>344</v>
      </c>
      <c r="B317" s="38" t="s">
        <v>458</v>
      </c>
      <c r="C317" s="38" t="s">
        <v>459</v>
      </c>
      <c r="D317" s="21" t="n">
        <v>393</v>
      </c>
      <c r="E317" s="21" t="n">
        <v>409</v>
      </c>
      <c r="F317" s="52" t="n">
        <f aca="false">IF(E317="","",D317-E317)</f>
        <v>-16</v>
      </c>
      <c r="G317" s="21" t="n">
        <v>741</v>
      </c>
      <c r="H317" s="21" t="n">
        <v>764</v>
      </c>
      <c r="I317" s="52" t="n">
        <f aca="false">IF(H317="","",G317-H317)</f>
        <v>-23</v>
      </c>
      <c r="J317" s="39" t="n">
        <f aca="false">IF(OR(D317="",D317+G317=0),"",D317/(D317+G317))</f>
        <v>0.346560846560847</v>
      </c>
      <c r="K317" s="39" t="n">
        <f aca="false">IF(E317="","",E317/(E317+H317))</f>
        <v>0.348678601875533</v>
      </c>
      <c r="L317" s="53" t="n">
        <f aca="false">IF(OR(K317="",J317=""),"",(J317-K317)*100)</f>
        <v>-0.211775531468628</v>
      </c>
      <c r="M317" s="38"/>
    </row>
    <row r="318" customFormat="false" ht="15" hidden="false" customHeight="false" outlineLevel="0" collapsed="false">
      <c r="A318" s="38" t="s">
        <v>344</v>
      </c>
      <c r="B318" s="38" t="s">
        <v>458</v>
      </c>
      <c r="C318" s="38" t="s">
        <v>460</v>
      </c>
      <c r="D318" s="21" t="n">
        <v>799</v>
      </c>
      <c r="E318" s="21" t="n">
        <v>805</v>
      </c>
      <c r="F318" s="52" t="n">
        <f aca="false">IF(E318="","",D318-E318)</f>
        <v>-6</v>
      </c>
      <c r="G318" s="21" t="n">
        <v>1479</v>
      </c>
      <c r="H318" s="21" t="n">
        <v>1577</v>
      </c>
      <c r="I318" s="52" t="n">
        <f aca="false">IF(H318="","",G318-H318)</f>
        <v>-98</v>
      </c>
      <c r="J318" s="39" t="n">
        <f aca="false">IF(OR(D318="",D318+G318=0),"",D318/(D318+G318))</f>
        <v>0.350746268656716</v>
      </c>
      <c r="K318" s="39" t="n">
        <f aca="false">IF(E318="","",E318/(E318+H318))</f>
        <v>0.337951301427372</v>
      </c>
      <c r="L318" s="53" t="n">
        <f aca="false">IF(OR(K318="",J318=""),"",(J318-K318)*100)</f>
        <v>1.27949672293445</v>
      </c>
      <c r="M318" s="38"/>
    </row>
    <row r="319" customFormat="false" ht="15" hidden="false" customHeight="false" outlineLevel="0" collapsed="false">
      <c r="A319" s="38" t="s">
        <v>344</v>
      </c>
      <c r="B319" s="38" t="s">
        <v>458</v>
      </c>
      <c r="C319" s="38" t="s">
        <v>461</v>
      </c>
      <c r="D319" s="21" t="n">
        <v>552</v>
      </c>
      <c r="E319" s="21" t="n">
        <v>547</v>
      </c>
      <c r="F319" s="52" t="n">
        <f aca="false">IF(E319="","",D319-E319)</f>
        <v>5</v>
      </c>
      <c r="G319" s="21" t="n">
        <v>1093</v>
      </c>
      <c r="H319" s="21" t="n">
        <v>1179</v>
      </c>
      <c r="I319" s="52" t="n">
        <f aca="false">IF(H319="","",G319-H319)</f>
        <v>-86</v>
      </c>
      <c r="J319" s="39" t="n">
        <f aca="false">IF(OR(D319="",D319+G319=0),"",D319/(D319+G319))</f>
        <v>0.335562310030395</v>
      </c>
      <c r="K319" s="39" t="n">
        <f aca="false">IF(E319="","",E319/(E319+H319))</f>
        <v>0.316917728852839</v>
      </c>
      <c r="L319" s="53" t="n">
        <f aca="false">IF(OR(K319="",J319=""),"",(J319-K319)*100)</f>
        <v>1.86445811775562</v>
      </c>
      <c r="M319" s="38"/>
    </row>
    <row r="320" customFormat="false" ht="15" hidden="false" customHeight="false" outlineLevel="0" collapsed="false">
      <c r="A320" s="38" t="s">
        <v>344</v>
      </c>
      <c r="B320" s="38" t="s">
        <v>458</v>
      </c>
      <c r="C320" s="38" t="s">
        <v>462</v>
      </c>
      <c r="D320" s="21" t="n">
        <v>254</v>
      </c>
      <c r="E320" s="21" t="n">
        <v>245</v>
      </c>
      <c r="F320" s="52" t="n">
        <f aca="false">IF(E320="","",D320-E320)</f>
        <v>9</v>
      </c>
      <c r="G320" s="21" t="n">
        <v>474</v>
      </c>
      <c r="H320" s="21" t="n">
        <v>537</v>
      </c>
      <c r="I320" s="52" t="n">
        <f aca="false">IF(H320="","",G320-H320)</f>
        <v>-63</v>
      </c>
      <c r="J320" s="39" t="n">
        <f aca="false">IF(OR(D320="",D320+G320=0),"",D320/(D320+G320))</f>
        <v>0.348901098901099</v>
      </c>
      <c r="K320" s="39" t="n">
        <f aca="false">IF(E320="","",E320/(E320+H320))</f>
        <v>0.313299232736573</v>
      </c>
      <c r="L320" s="53" t="n">
        <f aca="false">IF(OR(K320="",J320=""),"",(J320-K320)*100)</f>
        <v>3.5601866164526</v>
      </c>
      <c r="M320" s="38"/>
    </row>
    <row r="321" customFormat="false" ht="15" hidden="false" customHeight="false" outlineLevel="0" collapsed="false">
      <c r="A321" s="38" t="s">
        <v>344</v>
      </c>
      <c r="B321" s="38" t="s">
        <v>463</v>
      </c>
      <c r="C321" s="38" t="s">
        <v>464</v>
      </c>
      <c r="D321" s="21" t="n">
        <v>594</v>
      </c>
      <c r="E321" s="21" t="n">
        <v>601</v>
      </c>
      <c r="F321" s="52" t="n">
        <f aca="false">IF(E321="","",D321-E321)</f>
        <v>-7</v>
      </c>
      <c r="G321" s="21" t="n">
        <v>585</v>
      </c>
      <c r="H321" s="21" t="n">
        <v>605</v>
      </c>
      <c r="I321" s="52" t="n">
        <f aca="false">IF(H321="","",G321-H321)</f>
        <v>-20</v>
      </c>
      <c r="J321" s="39" t="n">
        <f aca="false">IF(OR(D321="",D321+G321=0),"",D321/(D321+G321))</f>
        <v>0.50381679389313</v>
      </c>
      <c r="K321" s="39" t="n">
        <f aca="false">IF(E321="","",E321/(E321+H321))</f>
        <v>0.498341625207297</v>
      </c>
      <c r="L321" s="53" t="n">
        <f aca="false">IF(OR(K321="",J321=""),"",(J321-K321)*100)</f>
        <v>0.547516868583287</v>
      </c>
      <c r="M321" s="38"/>
    </row>
    <row r="322" customFormat="false" ht="15" hidden="false" customHeight="false" outlineLevel="0" collapsed="false">
      <c r="A322" s="38" t="s">
        <v>344</v>
      </c>
      <c r="B322" s="38" t="s">
        <v>463</v>
      </c>
      <c r="C322" s="38" t="s">
        <v>465</v>
      </c>
      <c r="D322" s="21" t="n">
        <v>527</v>
      </c>
      <c r="E322" s="21" t="n">
        <v>523</v>
      </c>
      <c r="F322" s="52" t="n">
        <f aca="false">IF(E322="","",D322-E322)</f>
        <v>4</v>
      </c>
      <c r="G322" s="21" t="n">
        <v>470</v>
      </c>
      <c r="H322" s="21" t="n">
        <v>542</v>
      </c>
      <c r="I322" s="52" t="n">
        <f aca="false">IF(H322="","",G322-H322)</f>
        <v>-72</v>
      </c>
      <c r="J322" s="39" t="n">
        <f aca="false">IF(OR(D322="",D322+G322=0),"",D322/(D322+G322))</f>
        <v>0.528585757271815</v>
      </c>
      <c r="K322" s="39" t="n">
        <f aca="false">IF(E322="","",E322/(E322+H322))</f>
        <v>0.491079812206573</v>
      </c>
      <c r="L322" s="53" t="n">
        <f aca="false">IF(OR(K322="",J322=""),"",(J322-K322)*100)</f>
        <v>3.75059450652427</v>
      </c>
      <c r="M322" s="38"/>
    </row>
    <row r="323" customFormat="false" ht="15" hidden="false" customHeight="false" outlineLevel="0" collapsed="false">
      <c r="A323" s="38" t="s">
        <v>344</v>
      </c>
      <c r="B323" s="38" t="s">
        <v>463</v>
      </c>
      <c r="C323" s="38" t="s">
        <v>466</v>
      </c>
      <c r="D323" s="21" t="n">
        <v>474</v>
      </c>
      <c r="E323" s="21" t="n">
        <v>472</v>
      </c>
      <c r="F323" s="52" t="n">
        <f aca="false">IF(E323="","",D323-E323)</f>
        <v>2</v>
      </c>
      <c r="G323" s="21" t="n">
        <v>467</v>
      </c>
      <c r="H323" s="21" t="n">
        <v>517</v>
      </c>
      <c r="I323" s="52" t="n">
        <f aca="false">IF(H323="","",G323-H323)</f>
        <v>-50</v>
      </c>
      <c r="J323" s="39" t="n">
        <f aca="false">IF(OR(D323="",D323+G323=0),"",D323/(D323+G323))</f>
        <v>0.503719447396387</v>
      </c>
      <c r="K323" s="39" t="n">
        <f aca="false">IF(E323="","",E323/(E323+H323))</f>
        <v>0.477249747219414</v>
      </c>
      <c r="L323" s="53" t="n">
        <f aca="false">IF(OR(K323="",J323=""),"",(J323-K323)*100)</f>
        <v>2.64697001769733</v>
      </c>
      <c r="M323" s="38"/>
    </row>
    <row r="324" customFormat="false" ht="15" hidden="false" customHeight="false" outlineLevel="0" collapsed="false">
      <c r="A324" s="38" t="s">
        <v>344</v>
      </c>
      <c r="B324" s="38" t="s">
        <v>467</v>
      </c>
      <c r="C324" s="38" t="s">
        <v>468</v>
      </c>
      <c r="D324" s="21" t="n">
        <v>237</v>
      </c>
      <c r="E324" s="21" t="n">
        <v>222</v>
      </c>
      <c r="F324" s="52" t="n">
        <f aca="false">IF(E324="","",D324-E324)</f>
        <v>15</v>
      </c>
      <c r="G324" s="21" t="n">
        <v>259</v>
      </c>
      <c r="H324" s="21" t="n">
        <v>276</v>
      </c>
      <c r="I324" s="52" t="n">
        <f aca="false">IF(H324="","",G324-H324)</f>
        <v>-17</v>
      </c>
      <c r="J324" s="39" t="n">
        <f aca="false">IF(OR(D324="",D324+G324=0),"",D324/(D324+G324))</f>
        <v>0.477822580645161</v>
      </c>
      <c r="K324" s="39" t="n">
        <f aca="false">IF(E324="","",E324/(E324+H324))</f>
        <v>0.445783132530121</v>
      </c>
      <c r="L324" s="53" t="n">
        <f aca="false">IF(OR(K324="",J324=""),"",(J324-K324)*100)</f>
        <v>3.20394481150408</v>
      </c>
      <c r="M324" s="38"/>
    </row>
    <row r="325" customFormat="false" ht="15" hidden="false" customHeight="false" outlineLevel="0" collapsed="false">
      <c r="A325" s="38" t="s">
        <v>344</v>
      </c>
      <c r="B325" s="38" t="s">
        <v>467</v>
      </c>
      <c r="C325" s="38" t="s">
        <v>469</v>
      </c>
      <c r="D325" s="21" t="n">
        <v>556</v>
      </c>
      <c r="E325" s="21" t="n">
        <v>625</v>
      </c>
      <c r="F325" s="52" t="n">
        <f aca="false">IF(E325="","",D325-E325)</f>
        <v>-69</v>
      </c>
      <c r="G325" s="21" t="n">
        <v>522</v>
      </c>
      <c r="H325" s="21" t="n">
        <v>613</v>
      </c>
      <c r="I325" s="52" t="n">
        <f aca="false">IF(H325="","",G325-H325)</f>
        <v>-91</v>
      </c>
      <c r="J325" s="39" t="n">
        <f aca="false">IF(OR(D325="",D325+G325=0),"",D325/(D325+G325))</f>
        <v>0.515769944341373</v>
      </c>
      <c r="K325" s="39" t="n">
        <f aca="false">IF(E325="","",E325/(E325+H325))</f>
        <v>0.504846526655897</v>
      </c>
      <c r="L325" s="53" t="n">
        <f aca="false">IF(OR(K325="",J325=""),"",(J325-K325)*100)</f>
        <v>1.09234176854763</v>
      </c>
      <c r="M325" s="38"/>
    </row>
    <row r="326" customFormat="false" ht="15" hidden="false" customHeight="false" outlineLevel="0" collapsed="false">
      <c r="A326" s="38" t="s">
        <v>344</v>
      </c>
      <c r="B326" s="38" t="s">
        <v>470</v>
      </c>
      <c r="C326" s="38" t="s">
        <v>471</v>
      </c>
      <c r="D326" s="21" t="n">
        <v>632</v>
      </c>
      <c r="E326" s="21" t="n">
        <v>628</v>
      </c>
      <c r="F326" s="52" t="n">
        <f aca="false">IF(E326="","",D326-E326)</f>
        <v>4</v>
      </c>
      <c r="G326" s="21" t="n">
        <v>652</v>
      </c>
      <c r="H326" s="21" t="n">
        <v>719</v>
      </c>
      <c r="I326" s="52" t="n">
        <f aca="false">IF(H326="","",G326-H326)</f>
        <v>-67</v>
      </c>
      <c r="J326" s="39" t="n">
        <f aca="false">IF(OR(D326="",D326+G326=0),"",D326/(D326+G326))</f>
        <v>0.492211838006231</v>
      </c>
      <c r="K326" s="39" t="n">
        <f aca="false">IF(E326="","",E326/(E326+H326))</f>
        <v>0.466221232368226</v>
      </c>
      <c r="L326" s="53" t="n">
        <f aca="false">IF(OR(K326="",J326=""),"",(J326-K326)*100)</f>
        <v>2.59906056380048</v>
      </c>
      <c r="M326" s="38"/>
    </row>
    <row r="327" customFormat="false" ht="15" hidden="false" customHeight="false" outlineLevel="0" collapsed="false">
      <c r="A327" s="38" t="s">
        <v>344</v>
      </c>
      <c r="B327" s="38" t="s">
        <v>470</v>
      </c>
      <c r="C327" s="38" t="s">
        <v>472</v>
      </c>
      <c r="D327" s="21" t="n">
        <v>573</v>
      </c>
      <c r="E327" s="21" t="n">
        <v>588</v>
      </c>
      <c r="F327" s="52" t="n">
        <f aca="false">IF(E327="","",D327-E327)</f>
        <v>-15</v>
      </c>
      <c r="G327" s="21" t="n">
        <v>567</v>
      </c>
      <c r="H327" s="21" t="n">
        <v>628</v>
      </c>
      <c r="I327" s="52" t="n">
        <f aca="false">IF(H327="","",G327-H327)</f>
        <v>-61</v>
      </c>
      <c r="J327" s="39" t="n">
        <f aca="false">IF(OR(D327="",D327+G327=0),"",D327/(D327+G327))</f>
        <v>0.502631578947368</v>
      </c>
      <c r="K327" s="39" t="n">
        <f aca="false">IF(E327="","",E327/(E327+H327))</f>
        <v>0.483552631578947</v>
      </c>
      <c r="L327" s="53" t="n">
        <f aca="false">IF(OR(K327="",J327=""),"",(J327-K327)*100)</f>
        <v>1.90789473684211</v>
      </c>
      <c r="M327" s="38"/>
    </row>
    <row r="328" customFormat="false" ht="15" hidden="false" customHeight="false" outlineLevel="0" collapsed="false">
      <c r="A328" s="38" t="s">
        <v>344</v>
      </c>
      <c r="B328" s="38" t="s">
        <v>470</v>
      </c>
      <c r="C328" s="38" t="s">
        <v>473</v>
      </c>
      <c r="D328" s="21" t="n">
        <v>1146</v>
      </c>
      <c r="E328" s="21" t="n">
        <v>1120</v>
      </c>
      <c r="F328" s="52" t="n">
        <f aca="false">IF(E328="","",D328-E328)</f>
        <v>26</v>
      </c>
      <c r="G328" s="21" t="n">
        <v>1163</v>
      </c>
      <c r="H328" s="21" t="n">
        <v>1352</v>
      </c>
      <c r="I328" s="52" t="n">
        <f aca="false">IF(H328="","",G328-H328)</f>
        <v>-189</v>
      </c>
      <c r="J328" s="39" t="n">
        <f aca="false">IF(OR(D328="",D328+G328=0),"",D328/(D328+G328))</f>
        <v>0.4963187527068</v>
      </c>
      <c r="K328" s="39" t="n">
        <f aca="false">IF(E328="","",E328/(E328+H328))</f>
        <v>0.453074433656958</v>
      </c>
      <c r="L328" s="53" t="n">
        <f aca="false">IF(OR(K328="",J328=""),"",(J328-K328)*100)</f>
        <v>4.32443190498416</v>
      </c>
      <c r="M328" s="38"/>
    </row>
    <row r="329" customFormat="false" ht="15" hidden="false" customHeight="false" outlineLevel="0" collapsed="false">
      <c r="A329" s="38" t="s">
        <v>344</v>
      </c>
      <c r="B329" s="38" t="s">
        <v>470</v>
      </c>
      <c r="C329" s="38" t="s">
        <v>474</v>
      </c>
      <c r="D329" s="21" t="n">
        <v>268</v>
      </c>
      <c r="E329" s="21" t="n">
        <v>237</v>
      </c>
      <c r="F329" s="52" t="n">
        <f aca="false">IF(E329="","",D329-E329)</f>
        <v>31</v>
      </c>
      <c r="G329" s="21" t="n">
        <v>288</v>
      </c>
      <c r="H329" s="21" t="n">
        <v>324</v>
      </c>
      <c r="I329" s="52" t="n">
        <f aca="false">IF(H329="","",G329-H329)</f>
        <v>-36</v>
      </c>
      <c r="J329" s="39" t="n">
        <f aca="false">IF(OR(D329="",D329+G329=0),"",D329/(D329+G329))</f>
        <v>0.482014388489209</v>
      </c>
      <c r="K329" s="39" t="n">
        <f aca="false">IF(E329="","",E329/(E329+H329))</f>
        <v>0.422459893048128</v>
      </c>
      <c r="L329" s="53" t="n">
        <f aca="false">IF(OR(K329="",J329=""),"",(J329-K329)*100)</f>
        <v>5.95544954410803</v>
      </c>
      <c r="M329" s="38"/>
    </row>
    <row r="330" customFormat="false" ht="15" hidden="false" customHeight="false" outlineLevel="0" collapsed="false">
      <c r="A330" s="38" t="s">
        <v>344</v>
      </c>
      <c r="B330" s="38" t="s">
        <v>475</v>
      </c>
      <c r="C330" s="38" t="s">
        <v>476</v>
      </c>
      <c r="D330" s="21" t="n">
        <v>682</v>
      </c>
      <c r="E330" s="21" t="n">
        <v>600</v>
      </c>
      <c r="F330" s="52" t="n">
        <f aca="false">IF(E330="","",D330-E330)</f>
        <v>82</v>
      </c>
      <c r="G330" s="21" t="n">
        <v>648</v>
      </c>
      <c r="H330" s="21" t="n">
        <v>681</v>
      </c>
      <c r="I330" s="52" t="n">
        <f aca="false">IF(H330="","",G330-H330)</f>
        <v>-33</v>
      </c>
      <c r="J330" s="39" t="n">
        <f aca="false">IF(OR(D330="",D330+G330=0),"",D330/(D330+G330))</f>
        <v>0.512781954887218</v>
      </c>
      <c r="K330" s="39" t="n">
        <f aca="false">IF(E330="","",E330/(E330+H330))</f>
        <v>0.468384074941452</v>
      </c>
      <c r="L330" s="53" t="n">
        <f aca="false">IF(OR(K330="",J330=""),"",(J330-K330)*100)</f>
        <v>4.4397879945766</v>
      </c>
      <c r="M330" s="38"/>
    </row>
    <row r="331" customFormat="false" ht="15" hidden="false" customHeight="false" outlineLevel="0" collapsed="false">
      <c r="A331" s="38" t="s">
        <v>344</v>
      </c>
      <c r="B331" s="38" t="s">
        <v>475</v>
      </c>
      <c r="C331" s="38" t="s">
        <v>477</v>
      </c>
      <c r="D331" s="21" t="n">
        <v>536</v>
      </c>
      <c r="E331" s="21"/>
      <c r="F331" s="52" t="str">
        <f aca="false">IF(E331="","",D331-E331)</f>
        <v/>
      </c>
      <c r="G331" s="21" t="n">
        <v>467</v>
      </c>
      <c r="H331" s="21"/>
      <c r="I331" s="52" t="str">
        <f aca="false">IF(H331="","",G331-H331)</f>
        <v/>
      </c>
      <c r="J331" s="39" t="n">
        <f aca="false">IF(OR(D331="",D331+G331=0),"",D331/(D331+G331))</f>
        <v>0.534396809571286</v>
      </c>
      <c r="K331" s="39" t="str">
        <f aca="false">IF(E331="","",E331/(E331+H331))</f>
        <v/>
      </c>
      <c r="L331" s="53" t="str">
        <f aca="false">IF(OR(K331="",J331=""),"",(J331-K331)*100)</f>
        <v/>
      </c>
      <c r="M331" s="38" t="s">
        <v>650</v>
      </c>
    </row>
    <row r="332" customFormat="false" ht="15" hidden="false" customHeight="false" outlineLevel="0" collapsed="false">
      <c r="A332" s="38" t="s">
        <v>344</v>
      </c>
      <c r="B332" s="38" t="s">
        <v>475</v>
      </c>
      <c r="C332" s="38" t="s">
        <v>478</v>
      </c>
      <c r="D332" s="21" t="n">
        <v>787</v>
      </c>
      <c r="E332" s="21"/>
      <c r="F332" s="52" t="str">
        <f aca="false">IF(E332="","",D332-E332)</f>
        <v/>
      </c>
      <c r="G332" s="21" t="n">
        <v>707</v>
      </c>
      <c r="H332" s="21"/>
      <c r="I332" s="52" t="str">
        <f aca="false">IF(H332="","",G332-H332)</f>
        <v/>
      </c>
      <c r="J332" s="39" t="n">
        <f aca="false">IF(OR(D332="",D332+G332=0),"",D332/(D332+G332))</f>
        <v>0.526773761713521</v>
      </c>
      <c r="K332" s="39" t="str">
        <f aca="false">IF(E332="","",E332/(E332+H332))</f>
        <v/>
      </c>
      <c r="L332" s="53" t="str">
        <f aca="false">IF(OR(K332="",J332=""),"",(J332-K332)*100)</f>
        <v/>
      </c>
      <c r="M332" s="38" t="s">
        <v>650</v>
      </c>
    </row>
    <row r="333" customFormat="false" ht="15" hidden="false" customHeight="false" outlineLevel="0" collapsed="false">
      <c r="A333" s="38" t="s">
        <v>344</v>
      </c>
      <c r="B333" s="38" t="s">
        <v>475</v>
      </c>
      <c r="C333" s="38" t="s">
        <v>479</v>
      </c>
      <c r="D333" s="21" t="n">
        <v>807</v>
      </c>
      <c r="E333" s="21" t="n">
        <v>824</v>
      </c>
      <c r="F333" s="52" t="n">
        <f aca="false">IF(E333="","",D333-E333)</f>
        <v>-17</v>
      </c>
      <c r="G333" s="21" t="n">
        <v>690</v>
      </c>
      <c r="H333" s="21" t="n">
        <v>795</v>
      </c>
      <c r="I333" s="52" t="n">
        <f aca="false">IF(H333="","",G333-H333)</f>
        <v>-105</v>
      </c>
      <c r="J333" s="39" t="n">
        <f aca="false">IF(OR(D333="",D333+G333=0),"",D333/(D333+G333))</f>
        <v>0.539078156312625</v>
      </c>
      <c r="K333" s="39" t="n">
        <f aca="false">IF(E333="","",E333/(E333+H333))</f>
        <v>0.508956145768993</v>
      </c>
      <c r="L333" s="53" t="n">
        <f aca="false">IF(OR(K333="",J333=""),"",(J333-K333)*100)</f>
        <v>3.01220105436321</v>
      </c>
      <c r="M333" s="38"/>
    </row>
    <row r="334" customFormat="false" ht="15" hidden="false" customHeight="false" outlineLevel="0" collapsed="false">
      <c r="A334" s="38" t="s">
        <v>344</v>
      </c>
      <c r="B334" s="38" t="s">
        <v>475</v>
      </c>
      <c r="C334" s="38" t="s">
        <v>480</v>
      </c>
      <c r="D334" s="21" t="n">
        <v>1215</v>
      </c>
      <c r="E334" s="21" t="n">
        <v>1193</v>
      </c>
      <c r="F334" s="52" t="n">
        <f aca="false">IF(E334="","",D334-E334)</f>
        <v>22</v>
      </c>
      <c r="G334" s="21" t="n">
        <v>1174</v>
      </c>
      <c r="H334" s="21" t="n">
        <v>1334</v>
      </c>
      <c r="I334" s="52" t="n">
        <f aca="false">IF(H334="","",G334-H334)</f>
        <v>-160</v>
      </c>
      <c r="J334" s="39" t="n">
        <f aca="false">IF(OR(D334="",D334+G334=0),"",D334/(D334+G334))</f>
        <v>0.508580996232733</v>
      </c>
      <c r="K334" s="39" t="n">
        <f aca="false">IF(E334="","",E334/(E334+H334))</f>
        <v>0.47210130589632</v>
      </c>
      <c r="L334" s="53" t="n">
        <f aca="false">IF(OR(K334="",J334=""),"",(J334-K334)*100)</f>
        <v>3.64796903364136</v>
      </c>
      <c r="M334" s="38"/>
    </row>
    <row r="335" customFormat="false" ht="15" hidden="false" customHeight="false" outlineLevel="0" collapsed="false">
      <c r="A335" s="38" t="s">
        <v>344</v>
      </c>
      <c r="B335" s="38" t="s">
        <v>475</v>
      </c>
      <c r="C335" s="38" t="s">
        <v>481</v>
      </c>
      <c r="D335" s="21" t="n">
        <v>777</v>
      </c>
      <c r="E335" s="21" t="n">
        <v>755</v>
      </c>
      <c r="F335" s="52" t="n">
        <f aca="false">IF(E335="","",D335-E335)</f>
        <v>22</v>
      </c>
      <c r="G335" s="21" t="n">
        <v>770</v>
      </c>
      <c r="H335" s="21" t="n">
        <v>789</v>
      </c>
      <c r="I335" s="52" t="n">
        <f aca="false">IF(H335="","",G335-H335)</f>
        <v>-19</v>
      </c>
      <c r="J335" s="39" t="n">
        <f aca="false">IF(OR(D335="",D335+G335=0),"",D335/(D335+G335))</f>
        <v>0.502262443438914</v>
      </c>
      <c r="K335" s="39" t="n">
        <f aca="false">IF(E335="","",E335/(E335+H335))</f>
        <v>0.4889896373057</v>
      </c>
      <c r="L335" s="53" t="n">
        <f aca="false">IF(OR(K335="",J335=""),"",(J335-K335)*100)</f>
        <v>1.32728061332145</v>
      </c>
      <c r="M335" s="38"/>
    </row>
    <row r="336" customFormat="false" ht="15" hidden="false" customHeight="false" outlineLevel="0" collapsed="false">
      <c r="A336" s="38" t="s">
        <v>344</v>
      </c>
      <c r="B336" s="38" t="s">
        <v>475</v>
      </c>
      <c r="C336" s="38" t="s">
        <v>482</v>
      </c>
      <c r="D336" s="21" t="n">
        <v>797</v>
      </c>
      <c r="E336" s="21"/>
      <c r="F336" s="52" t="str">
        <f aca="false">IF(E336="","",D336-E336)</f>
        <v/>
      </c>
      <c r="G336" s="21" t="n">
        <v>609</v>
      </c>
      <c r="H336" s="21"/>
      <c r="I336" s="52" t="str">
        <f aca="false">IF(H336="","",G336-H336)</f>
        <v/>
      </c>
      <c r="J336" s="39" t="n">
        <f aca="false">IF(OR(D336="",D336+G336=0),"",D336/(D336+G336))</f>
        <v>0.566856330014225</v>
      </c>
      <c r="K336" s="39" t="str">
        <f aca="false">IF(E336="","",E336/(E336+H336))</f>
        <v/>
      </c>
      <c r="L336" s="53" t="str">
        <f aca="false">IF(OR(K336="",J336=""),"",(J336-K336)*100)</f>
        <v/>
      </c>
      <c r="M336" s="38" t="s">
        <v>650</v>
      </c>
    </row>
    <row r="337" customFormat="false" ht="15" hidden="false" customHeight="false" outlineLevel="0" collapsed="false">
      <c r="A337" s="38" t="s">
        <v>344</v>
      </c>
      <c r="B337" s="38" t="s">
        <v>475</v>
      </c>
      <c r="C337" s="38" t="s">
        <v>483</v>
      </c>
      <c r="D337" s="21" t="n">
        <v>688</v>
      </c>
      <c r="E337" s="21"/>
      <c r="F337" s="52" t="str">
        <f aca="false">IF(E337="","",D337-E337)</f>
        <v/>
      </c>
      <c r="G337" s="21" t="n">
        <v>696</v>
      </c>
      <c r="H337" s="21"/>
      <c r="I337" s="52" t="str">
        <f aca="false">IF(H337="","",G337-H337)</f>
        <v/>
      </c>
      <c r="J337" s="39" t="n">
        <f aca="false">IF(OR(D337="",D337+G337=0),"",D337/(D337+G337))</f>
        <v>0.497109826589595</v>
      </c>
      <c r="K337" s="39" t="str">
        <f aca="false">IF(E337="","",E337/(E337+H337))</f>
        <v/>
      </c>
      <c r="L337" s="53" t="str">
        <f aca="false">IF(OR(K337="",J337=""),"",(J337-K337)*100)</f>
        <v/>
      </c>
      <c r="M337" s="38" t="s">
        <v>650</v>
      </c>
    </row>
    <row r="338" customFormat="false" ht="15" hidden="false" customHeight="false" outlineLevel="0" collapsed="false">
      <c r="A338" s="38" t="s">
        <v>344</v>
      </c>
      <c r="B338" s="38" t="s">
        <v>475</v>
      </c>
      <c r="C338" s="38" t="s">
        <v>484</v>
      </c>
      <c r="D338" s="21" t="n">
        <v>788</v>
      </c>
      <c r="E338" s="21"/>
      <c r="F338" s="52" t="str">
        <f aca="false">IF(E338="","",D338-E338)</f>
        <v/>
      </c>
      <c r="G338" s="21" t="n">
        <v>858</v>
      </c>
      <c r="H338" s="21"/>
      <c r="I338" s="52" t="str">
        <f aca="false">IF(H338="","",G338-H338)</f>
        <v/>
      </c>
      <c r="J338" s="39" t="n">
        <f aca="false">IF(OR(D338="",D338+G338=0),"",D338/(D338+G338))</f>
        <v>0.478736330498177</v>
      </c>
      <c r="K338" s="39" t="str">
        <f aca="false">IF(E338="","",E338/(E338+H338))</f>
        <v/>
      </c>
      <c r="L338" s="53" t="str">
        <f aca="false">IF(OR(K338="",J338=""),"",(J338-K338)*100)</f>
        <v/>
      </c>
      <c r="M338" s="38" t="s">
        <v>650</v>
      </c>
    </row>
    <row r="339" customFormat="false" ht="15" hidden="false" customHeight="false" outlineLevel="0" collapsed="false">
      <c r="A339" s="38" t="s">
        <v>344</v>
      </c>
      <c r="B339" s="38" t="s">
        <v>485</v>
      </c>
      <c r="C339" s="38" t="s">
        <v>486</v>
      </c>
      <c r="D339" s="21" t="n">
        <v>100</v>
      </c>
      <c r="E339" s="21" t="n">
        <v>112</v>
      </c>
      <c r="F339" s="52" t="n">
        <f aca="false">IF(E339="","",D339-E339)</f>
        <v>-12</v>
      </c>
      <c r="G339" s="21" t="n">
        <v>166</v>
      </c>
      <c r="H339" s="21" t="n">
        <v>199</v>
      </c>
      <c r="I339" s="52" t="n">
        <f aca="false">IF(H339="","",G339-H339)</f>
        <v>-33</v>
      </c>
      <c r="J339" s="39" t="n">
        <f aca="false">IF(OR(D339="",D339+G339=0),"",D339/(D339+G339))</f>
        <v>0.37593984962406</v>
      </c>
      <c r="K339" s="39" t="n">
        <f aca="false">IF(E339="","",E339/(E339+H339))</f>
        <v>0.360128617363344</v>
      </c>
      <c r="L339" s="53" t="n">
        <f aca="false">IF(OR(K339="",J339=""),"",(J339-K339)*100)</f>
        <v>1.58112322607161</v>
      </c>
      <c r="M339" s="38"/>
    </row>
    <row r="340" customFormat="false" ht="15" hidden="false" customHeight="false" outlineLevel="0" collapsed="false">
      <c r="A340" s="38" t="s">
        <v>344</v>
      </c>
      <c r="B340" s="38" t="s">
        <v>485</v>
      </c>
      <c r="C340" s="38" t="s">
        <v>487</v>
      </c>
      <c r="D340" s="21" t="n">
        <v>257</v>
      </c>
      <c r="E340" s="21" t="n">
        <v>259</v>
      </c>
      <c r="F340" s="52" t="n">
        <f aca="false">IF(E340="","",D340-E340)</f>
        <v>-2</v>
      </c>
      <c r="G340" s="21" t="n">
        <v>451</v>
      </c>
      <c r="H340" s="21" t="n">
        <v>480</v>
      </c>
      <c r="I340" s="52" t="n">
        <f aca="false">IF(H340="","",G340-H340)</f>
        <v>-29</v>
      </c>
      <c r="J340" s="39" t="n">
        <f aca="false">IF(OR(D340="",D340+G340=0),"",D340/(D340+G340))</f>
        <v>0.362994350282486</v>
      </c>
      <c r="K340" s="39" t="n">
        <f aca="false">IF(E340="","",E340/(E340+H340))</f>
        <v>0.350473612990528</v>
      </c>
      <c r="L340" s="53" t="n">
        <f aca="false">IF(OR(K340="",J340=""),"",(J340-K340)*100)</f>
        <v>1.25207372919581</v>
      </c>
      <c r="M340" s="38"/>
    </row>
    <row r="341" customFormat="false" ht="15" hidden="false" customHeight="false" outlineLevel="0" collapsed="false">
      <c r="A341" s="38" t="s">
        <v>344</v>
      </c>
      <c r="B341" s="38" t="s">
        <v>485</v>
      </c>
      <c r="C341" s="38" t="s">
        <v>488</v>
      </c>
      <c r="D341" s="21" t="n">
        <v>207</v>
      </c>
      <c r="E341" s="21" t="n">
        <v>204</v>
      </c>
      <c r="F341" s="52" t="n">
        <f aca="false">IF(E341="","",D341-E341)</f>
        <v>3</v>
      </c>
      <c r="G341" s="21" t="n">
        <v>282</v>
      </c>
      <c r="H341" s="21" t="n">
        <v>301</v>
      </c>
      <c r="I341" s="52" t="n">
        <f aca="false">IF(H341="","",G341-H341)</f>
        <v>-19</v>
      </c>
      <c r="J341" s="39" t="n">
        <f aca="false">IF(OR(D341="",D341+G341=0),"",D341/(D341+G341))</f>
        <v>0.423312883435583</v>
      </c>
      <c r="K341" s="39" t="n">
        <f aca="false">IF(E341="","",E341/(E341+H341))</f>
        <v>0.403960396039604</v>
      </c>
      <c r="L341" s="53" t="n">
        <f aca="false">IF(OR(K341="",J341=""),"",(J341-K341)*100)</f>
        <v>1.93524873959788</v>
      </c>
      <c r="M341" s="38"/>
    </row>
    <row r="342" customFormat="false" ht="15" hidden="false" customHeight="false" outlineLevel="0" collapsed="false">
      <c r="A342" s="38" t="s">
        <v>344</v>
      </c>
      <c r="B342" s="38" t="s">
        <v>485</v>
      </c>
      <c r="C342" s="38" t="s">
        <v>489</v>
      </c>
      <c r="D342" s="21" t="n">
        <v>132</v>
      </c>
      <c r="E342" s="21" t="n">
        <v>128</v>
      </c>
      <c r="F342" s="52" t="n">
        <f aca="false">IF(E342="","",D342-E342)</f>
        <v>4</v>
      </c>
      <c r="G342" s="21" t="n">
        <v>172</v>
      </c>
      <c r="H342" s="21" t="n">
        <v>200</v>
      </c>
      <c r="I342" s="52" t="n">
        <f aca="false">IF(H342="","",G342-H342)</f>
        <v>-28</v>
      </c>
      <c r="J342" s="39" t="n">
        <f aca="false">IF(OR(D342="",D342+G342=0),"",D342/(D342+G342))</f>
        <v>0.43421052631579</v>
      </c>
      <c r="K342" s="39" t="n">
        <f aca="false">IF(E342="","",E342/(E342+H342))</f>
        <v>0.390243902439024</v>
      </c>
      <c r="L342" s="53" t="n">
        <f aca="false">IF(OR(K342="",J342=""),"",(J342-K342)*100)</f>
        <v>4.39666238767651</v>
      </c>
      <c r="M342" s="38"/>
    </row>
    <row r="343" customFormat="false" ht="15" hidden="false" customHeight="false" outlineLevel="0" collapsed="false">
      <c r="A343" s="38" t="s">
        <v>344</v>
      </c>
      <c r="B343" s="38" t="s">
        <v>490</v>
      </c>
      <c r="C343" s="38" t="s">
        <v>491</v>
      </c>
      <c r="D343" s="21" t="n">
        <v>404</v>
      </c>
      <c r="E343" s="21" t="n">
        <v>412</v>
      </c>
      <c r="F343" s="52" t="n">
        <f aca="false">IF(E343="","",D343-E343)</f>
        <v>-8</v>
      </c>
      <c r="G343" s="21" t="n">
        <v>762</v>
      </c>
      <c r="H343" s="21" t="n">
        <v>767</v>
      </c>
      <c r="I343" s="52" t="n">
        <f aca="false">IF(H343="","",G343-H343)</f>
        <v>-5</v>
      </c>
      <c r="J343" s="39" t="n">
        <f aca="false">IF(OR(D343="",D343+G343=0),"",D343/(D343+G343))</f>
        <v>0.346483704974271</v>
      </c>
      <c r="K343" s="39" t="n">
        <f aca="false">IF(E343="","",E343/(E343+H343))</f>
        <v>0.349448685326548</v>
      </c>
      <c r="L343" s="53" t="n">
        <f aca="false">IF(OR(K343="",J343=""),"",(J343-K343)*100)</f>
        <v>-0.296498035227694</v>
      </c>
      <c r="M343" s="38"/>
    </row>
    <row r="344" customFormat="false" ht="15" hidden="false" customHeight="false" outlineLevel="0" collapsed="false">
      <c r="A344" s="38" t="s">
        <v>344</v>
      </c>
      <c r="B344" s="38" t="s">
        <v>490</v>
      </c>
      <c r="C344" s="38" t="s">
        <v>492</v>
      </c>
      <c r="D344" s="21" t="n">
        <v>330</v>
      </c>
      <c r="E344" s="21" t="n">
        <v>361</v>
      </c>
      <c r="F344" s="52" t="n">
        <f aca="false">IF(E344="","",D344-E344)</f>
        <v>-31</v>
      </c>
      <c r="G344" s="21" t="n">
        <v>609</v>
      </c>
      <c r="H344" s="21" t="n">
        <v>633</v>
      </c>
      <c r="I344" s="52" t="n">
        <f aca="false">IF(H344="","",G344-H344)</f>
        <v>-24</v>
      </c>
      <c r="J344" s="39" t="n">
        <f aca="false">IF(OR(D344="",D344+G344=0),"",D344/(D344+G344))</f>
        <v>0.351437699680511</v>
      </c>
      <c r="K344" s="39" t="n">
        <f aca="false">IF(E344="","",E344/(E344+H344))</f>
        <v>0.36317907444668</v>
      </c>
      <c r="L344" s="53" t="n">
        <f aca="false">IF(OR(K344="",J344=""),"",(J344-K344)*100)</f>
        <v>-1.17413747661689</v>
      </c>
      <c r="M344" s="38"/>
    </row>
    <row r="345" customFormat="false" ht="15" hidden="false" customHeight="false" outlineLevel="0" collapsed="false">
      <c r="A345" s="38" t="s">
        <v>344</v>
      </c>
      <c r="B345" s="38" t="s">
        <v>490</v>
      </c>
      <c r="C345" s="38" t="s">
        <v>493</v>
      </c>
      <c r="D345" s="21" t="n">
        <v>300</v>
      </c>
      <c r="E345" s="21" t="n">
        <v>286</v>
      </c>
      <c r="F345" s="52" t="n">
        <f aca="false">IF(E345="","",D345-E345)</f>
        <v>14</v>
      </c>
      <c r="G345" s="21" t="n">
        <v>570</v>
      </c>
      <c r="H345" s="21" t="n">
        <v>553</v>
      </c>
      <c r="I345" s="52" t="n">
        <f aca="false">IF(H345="","",G345-H345)</f>
        <v>17</v>
      </c>
      <c r="J345" s="39" t="n">
        <f aca="false">IF(OR(D345="",D345+G345=0),"",D345/(D345+G345))</f>
        <v>0.344827586206897</v>
      </c>
      <c r="K345" s="39" t="n">
        <f aca="false">IF(E345="","",E345/(E345+H345))</f>
        <v>0.34088200238379</v>
      </c>
      <c r="L345" s="53" t="n">
        <f aca="false">IF(OR(K345="",J345=""),"",(J345-K345)*100)</f>
        <v>0.394558382310634</v>
      </c>
      <c r="M345" s="38"/>
    </row>
    <row r="346" customFormat="false" ht="15" hidden="false" customHeight="false" outlineLevel="0" collapsed="false">
      <c r="A346" s="38" t="s">
        <v>344</v>
      </c>
      <c r="B346" s="38" t="s">
        <v>490</v>
      </c>
      <c r="C346" s="38" t="s">
        <v>494</v>
      </c>
      <c r="D346" s="21" t="n">
        <v>313</v>
      </c>
      <c r="E346" s="21" t="n">
        <v>302</v>
      </c>
      <c r="F346" s="52" t="n">
        <f aca="false">IF(E346="","",D346-E346)</f>
        <v>11</v>
      </c>
      <c r="G346" s="21" t="n">
        <v>600</v>
      </c>
      <c r="H346" s="21" t="n">
        <v>608</v>
      </c>
      <c r="I346" s="52" t="n">
        <f aca="false">IF(H346="","",G346-H346)</f>
        <v>-8</v>
      </c>
      <c r="J346" s="39" t="n">
        <f aca="false">IF(OR(D346="",D346+G346=0),"",D346/(D346+G346))</f>
        <v>0.342825848849945</v>
      </c>
      <c r="K346" s="39" t="n">
        <f aca="false">IF(E346="","",E346/(E346+H346))</f>
        <v>0.331868131868132</v>
      </c>
      <c r="L346" s="53" t="n">
        <f aca="false">IF(OR(K346="",J346=""),"",(J346-K346)*100)</f>
        <v>1.09577169818134</v>
      </c>
      <c r="M346" s="38"/>
    </row>
    <row r="347" customFormat="false" ht="15" hidden="false" customHeight="false" outlineLevel="0" collapsed="false">
      <c r="A347" s="38" t="s">
        <v>344</v>
      </c>
      <c r="B347" s="38" t="s">
        <v>495</v>
      </c>
      <c r="C347" s="38" t="s">
        <v>496</v>
      </c>
      <c r="D347" s="21" t="n">
        <v>83</v>
      </c>
      <c r="E347" s="21" t="n">
        <v>92</v>
      </c>
      <c r="F347" s="52" t="n">
        <f aca="false">IF(E347="","",D347-E347)</f>
        <v>-9</v>
      </c>
      <c r="G347" s="21" t="n">
        <v>170</v>
      </c>
      <c r="H347" s="21" t="n">
        <v>167</v>
      </c>
      <c r="I347" s="52" t="n">
        <f aca="false">IF(H347="","",G347-H347)</f>
        <v>3</v>
      </c>
      <c r="J347" s="39" t="n">
        <f aca="false">IF(OR(D347="",D347+G347=0),"",D347/(D347+G347))</f>
        <v>0.328063241106719</v>
      </c>
      <c r="K347" s="39" t="n">
        <f aca="false">IF(E347="","",E347/(E347+H347))</f>
        <v>0.355212355212355</v>
      </c>
      <c r="L347" s="53" t="n">
        <f aca="false">IF(OR(K347="",J347=""),"",(J347-K347)*100)</f>
        <v>-2.71491141056359</v>
      </c>
      <c r="M347" s="38"/>
    </row>
    <row r="348" customFormat="false" ht="15" hidden="false" customHeight="false" outlineLevel="0" collapsed="false">
      <c r="A348" s="38" t="s">
        <v>344</v>
      </c>
      <c r="B348" s="38" t="s">
        <v>497</v>
      </c>
      <c r="C348" s="38" t="s">
        <v>498</v>
      </c>
      <c r="D348" s="21" t="n">
        <v>364</v>
      </c>
      <c r="E348" s="21" t="n">
        <v>335</v>
      </c>
      <c r="F348" s="52" t="n">
        <f aca="false">IF(E348="","",D348-E348)</f>
        <v>29</v>
      </c>
      <c r="G348" s="21" t="n">
        <v>538</v>
      </c>
      <c r="H348" s="21" t="n">
        <v>581</v>
      </c>
      <c r="I348" s="52" t="n">
        <f aca="false">IF(H348="","",G348-H348)</f>
        <v>-43</v>
      </c>
      <c r="J348" s="39" t="n">
        <f aca="false">IF(OR(D348="",D348+G348=0),"",D348/(D348+G348))</f>
        <v>0.403547671840355</v>
      </c>
      <c r="K348" s="39" t="n">
        <f aca="false">IF(E348="","",E348/(E348+H348))</f>
        <v>0.365720524017467</v>
      </c>
      <c r="L348" s="53" t="n">
        <f aca="false">IF(OR(K348="",J348=""),"",(J348-K348)*100)</f>
        <v>3.78271478228875</v>
      </c>
      <c r="M348" s="38"/>
    </row>
    <row r="349" customFormat="false" ht="15" hidden="false" customHeight="false" outlineLevel="0" collapsed="false">
      <c r="A349" s="38" t="s">
        <v>344</v>
      </c>
      <c r="B349" s="38" t="s">
        <v>499</v>
      </c>
      <c r="C349" s="38" t="s">
        <v>500</v>
      </c>
      <c r="D349" s="21" t="n">
        <v>221</v>
      </c>
      <c r="E349" s="21" t="n">
        <v>210</v>
      </c>
      <c r="F349" s="52" t="n">
        <f aca="false">IF(E349="","",D349-E349)</f>
        <v>11</v>
      </c>
      <c r="G349" s="21" t="n">
        <v>299</v>
      </c>
      <c r="H349" s="21" t="n">
        <v>309</v>
      </c>
      <c r="I349" s="52" t="n">
        <f aca="false">IF(H349="","",G349-H349)</f>
        <v>-10</v>
      </c>
      <c r="J349" s="39" t="n">
        <f aca="false">IF(OR(D349="",D349+G349=0),"",D349/(D349+G349))</f>
        <v>0.425</v>
      </c>
      <c r="K349" s="39" t="n">
        <f aca="false">IF(E349="","",E349/(E349+H349))</f>
        <v>0.404624277456647</v>
      </c>
      <c r="L349" s="53" t="n">
        <f aca="false">IF(OR(K349="",J349=""),"",(J349-K349)*100)</f>
        <v>2.03757225433526</v>
      </c>
      <c r="M349" s="38"/>
    </row>
    <row r="350" customFormat="false" ht="15" hidden="false" customHeight="false" outlineLevel="0" collapsed="false">
      <c r="A350" s="38" t="s">
        <v>344</v>
      </c>
      <c r="B350" s="38" t="s">
        <v>501</v>
      </c>
      <c r="C350" s="38" t="s">
        <v>502</v>
      </c>
      <c r="D350" s="21" t="n">
        <v>308</v>
      </c>
      <c r="E350" s="21" t="n">
        <v>331</v>
      </c>
      <c r="F350" s="52" t="n">
        <f aca="false">IF(E350="","",D350-E350)</f>
        <v>-23</v>
      </c>
      <c r="G350" s="21" t="n">
        <v>364</v>
      </c>
      <c r="H350" s="21" t="n">
        <v>458</v>
      </c>
      <c r="I350" s="52" t="n">
        <f aca="false">IF(H350="","",G350-H350)</f>
        <v>-94</v>
      </c>
      <c r="J350" s="39" t="n">
        <f aca="false">IF(OR(D350="",D350+G350=0),"",D350/(D350+G350))</f>
        <v>0.458333333333333</v>
      </c>
      <c r="K350" s="39" t="n">
        <f aca="false">IF(E350="","",E350/(E350+H350))</f>
        <v>0.419518377693283</v>
      </c>
      <c r="L350" s="53" t="n">
        <f aca="false">IF(OR(K350="",J350=""),"",(J350-K350)*100)</f>
        <v>3.88149556400507</v>
      </c>
      <c r="M350" s="38"/>
    </row>
    <row r="351" customFormat="false" ht="15" hidden="false" customHeight="false" outlineLevel="0" collapsed="false">
      <c r="A351" s="38" t="s">
        <v>344</v>
      </c>
      <c r="B351" s="38" t="s">
        <v>503</v>
      </c>
      <c r="C351" s="38" t="s">
        <v>504</v>
      </c>
      <c r="D351" s="21" t="n">
        <v>304</v>
      </c>
      <c r="E351" s="21" t="n">
        <v>307</v>
      </c>
      <c r="F351" s="52" t="n">
        <f aca="false">IF(E351="","",D351-E351)</f>
        <v>-3</v>
      </c>
      <c r="G351" s="21" t="n">
        <v>694</v>
      </c>
      <c r="H351" s="21" t="n">
        <v>746</v>
      </c>
      <c r="I351" s="52" t="n">
        <f aca="false">IF(H351="","",G351-H351)</f>
        <v>-52</v>
      </c>
      <c r="J351" s="39" t="n">
        <f aca="false">IF(OR(D351="",D351+G351=0),"",D351/(D351+G351))</f>
        <v>0.304609218436874</v>
      </c>
      <c r="K351" s="39" t="n">
        <f aca="false">IF(E351="","",E351/(E351+H351))</f>
        <v>0.291547958214625</v>
      </c>
      <c r="L351" s="53" t="n">
        <f aca="false">IF(OR(K351="",J351=""),"",(J351-K351)*100)</f>
        <v>1.30612602222489</v>
      </c>
      <c r="M351" s="38"/>
    </row>
    <row r="352" customFormat="false" ht="15" hidden="false" customHeight="false" outlineLevel="0" collapsed="false">
      <c r="A352" s="38" t="s">
        <v>344</v>
      </c>
      <c r="B352" s="38" t="s">
        <v>503</v>
      </c>
      <c r="C352" s="38" t="s">
        <v>505</v>
      </c>
      <c r="D352" s="21" t="n">
        <v>233</v>
      </c>
      <c r="E352" s="21" t="n">
        <v>232</v>
      </c>
      <c r="F352" s="52" t="n">
        <f aca="false">IF(E352="","",D352-E352)</f>
        <v>1</v>
      </c>
      <c r="G352" s="21" t="n">
        <v>467</v>
      </c>
      <c r="H352" s="21" t="n">
        <v>487</v>
      </c>
      <c r="I352" s="52" t="n">
        <f aca="false">IF(H352="","",G352-H352)</f>
        <v>-20</v>
      </c>
      <c r="J352" s="39" t="n">
        <f aca="false">IF(OR(D352="",D352+G352=0),"",D352/(D352+G352))</f>
        <v>0.332857142857143</v>
      </c>
      <c r="K352" s="39" t="n">
        <f aca="false">IF(E352="","",E352/(E352+H352))</f>
        <v>0.322670375521558</v>
      </c>
      <c r="L352" s="53" t="n">
        <f aca="false">IF(OR(K352="",J352=""),"",(J352-K352)*100)</f>
        <v>1.01867673355852</v>
      </c>
      <c r="M352" s="38"/>
    </row>
    <row r="353" customFormat="false" ht="15" hidden="false" customHeight="false" outlineLevel="0" collapsed="false">
      <c r="A353" s="38" t="s">
        <v>344</v>
      </c>
      <c r="B353" s="38" t="s">
        <v>503</v>
      </c>
      <c r="C353" s="38" t="s">
        <v>506</v>
      </c>
      <c r="D353" s="21" t="n">
        <v>188</v>
      </c>
      <c r="E353" s="21" t="n">
        <v>178</v>
      </c>
      <c r="F353" s="52" t="n">
        <f aca="false">IF(E353="","",D353-E353)</f>
        <v>10</v>
      </c>
      <c r="G353" s="21" t="n">
        <v>415</v>
      </c>
      <c r="H353" s="21" t="n">
        <v>480</v>
      </c>
      <c r="I353" s="52" t="n">
        <f aca="false">IF(H353="","",G353-H353)</f>
        <v>-65</v>
      </c>
      <c r="J353" s="39" t="n">
        <f aca="false">IF(OR(D353="",D353+G353=0),"",D353/(D353+G353))</f>
        <v>0.311774461028192</v>
      </c>
      <c r="K353" s="39" t="n">
        <f aca="false">IF(E353="","",E353/(E353+H353))</f>
        <v>0.270516717325228</v>
      </c>
      <c r="L353" s="53" t="n">
        <f aca="false">IF(OR(K353="",J353=""),"",(J353-K353)*100)</f>
        <v>4.12577437029644</v>
      </c>
      <c r="M353" s="38"/>
    </row>
    <row r="354" customFormat="false" ht="15" hidden="false" customHeight="false" outlineLevel="0" collapsed="false">
      <c r="A354" s="38" t="s">
        <v>344</v>
      </c>
      <c r="B354" s="38" t="s">
        <v>503</v>
      </c>
      <c r="C354" s="38" t="s">
        <v>507</v>
      </c>
      <c r="D354" s="21" t="n">
        <v>193</v>
      </c>
      <c r="E354" s="21" t="n">
        <v>180</v>
      </c>
      <c r="F354" s="52" t="n">
        <f aca="false">IF(E354="","",D354-E354)</f>
        <v>13</v>
      </c>
      <c r="G354" s="21" t="n">
        <v>401</v>
      </c>
      <c r="H354" s="21" t="n">
        <v>430</v>
      </c>
      <c r="I354" s="52" t="n">
        <f aca="false">IF(H354="","",G354-H354)</f>
        <v>-29</v>
      </c>
      <c r="J354" s="39" t="n">
        <f aca="false">IF(OR(D354="",D354+G354=0),"",D354/(D354+G354))</f>
        <v>0.324915824915825</v>
      </c>
      <c r="K354" s="39" t="n">
        <f aca="false">IF(E354="","",E354/(E354+H354))</f>
        <v>0.295081967213115</v>
      </c>
      <c r="L354" s="53" t="n">
        <f aca="false">IF(OR(K354="",J354=""),"",(J354-K354)*100)</f>
        <v>2.98338577027102</v>
      </c>
      <c r="M354" s="38"/>
    </row>
    <row r="355" customFormat="false" ht="15" hidden="false" customHeight="false" outlineLevel="0" collapsed="false">
      <c r="A355" s="38" t="s">
        <v>344</v>
      </c>
      <c r="B355" s="38" t="s">
        <v>503</v>
      </c>
      <c r="C355" s="38" t="s">
        <v>508</v>
      </c>
      <c r="D355" s="21" t="n">
        <v>335</v>
      </c>
      <c r="E355" s="21" t="n">
        <v>345</v>
      </c>
      <c r="F355" s="52" t="n">
        <f aca="false">IF(E355="","",D355-E355)</f>
        <v>-10</v>
      </c>
      <c r="G355" s="21" t="n">
        <v>578</v>
      </c>
      <c r="H355" s="21" t="n">
        <v>573</v>
      </c>
      <c r="I355" s="52" t="n">
        <f aca="false">IF(H355="","",G355-H355)</f>
        <v>5</v>
      </c>
      <c r="J355" s="39" t="n">
        <f aca="false">IF(OR(D355="",D355+G355=0),"",D355/(D355+G355))</f>
        <v>0.366922234392114</v>
      </c>
      <c r="K355" s="39" t="n">
        <f aca="false">IF(E355="","",E355/(E355+H355))</f>
        <v>0.375816993464052</v>
      </c>
      <c r="L355" s="53" t="n">
        <f aca="false">IF(OR(K355="",J355=""),"",(J355-K355)*100)</f>
        <v>-0.889475907193837</v>
      </c>
      <c r="M355" s="38"/>
    </row>
    <row r="356" customFormat="false" ht="15" hidden="false" customHeight="false" outlineLevel="0" collapsed="false">
      <c r="A356" s="38" t="s">
        <v>344</v>
      </c>
      <c r="B356" s="38" t="s">
        <v>509</v>
      </c>
      <c r="C356" s="38" t="s">
        <v>510</v>
      </c>
      <c r="D356" s="21" t="n">
        <v>1105</v>
      </c>
      <c r="E356" s="21" t="n">
        <v>1084</v>
      </c>
      <c r="F356" s="52" t="n">
        <f aca="false">IF(E356="","",D356-E356)</f>
        <v>21</v>
      </c>
      <c r="G356" s="21" t="n">
        <v>1068</v>
      </c>
      <c r="H356" s="21" t="n">
        <v>1187</v>
      </c>
      <c r="I356" s="52" t="n">
        <f aca="false">IF(H356="","",G356-H356)</f>
        <v>-119</v>
      </c>
      <c r="J356" s="39" t="n">
        <f aca="false">IF(OR(D356="",D356+G356=0),"",D356/(D356+G356))</f>
        <v>0.508513575701795</v>
      </c>
      <c r="K356" s="39" t="n">
        <f aca="false">IF(E356="","",E356/(E356+H356))</f>
        <v>0.477322765301629</v>
      </c>
      <c r="L356" s="53" t="n">
        <f aca="false">IF(OR(K356="",J356=""),"",(J356-K356)*100)</f>
        <v>3.11908104001655</v>
      </c>
      <c r="M356" s="38"/>
    </row>
    <row r="357" customFormat="false" ht="15" hidden="false" customHeight="false" outlineLevel="0" collapsed="false">
      <c r="A357" s="38" t="s">
        <v>344</v>
      </c>
      <c r="B357" s="38" t="s">
        <v>509</v>
      </c>
      <c r="C357" s="38" t="s">
        <v>511</v>
      </c>
      <c r="D357" s="21" t="n">
        <v>370</v>
      </c>
      <c r="E357" s="21"/>
      <c r="F357" s="52" t="str">
        <f aca="false">IF(E357="","",D357-E357)</f>
        <v/>
      </c>
      <c r="G357" s="21" t="n">
        <v>338</v>
      </c>
      <c r="H357" s="21"/>
      <c r="I357" s="52" t="str">
        <f aca="false">IF(H357="","",G357-H357)</f>
        <v/>
      </c>
      <c r="J357" s="39" t="n">
        <f aca="false">IF(OR(D357="",D357+G357=0),"",D357/(D357+G357))</f>
        <v>0.522598870056497</v>
      </c>
      <c r="K357" s="39" t="str">
        <f aca="false">IF(E357="","",E357/(E357+H357))</f>
        <v/>
      </c>
      <c r="L357" s="53" t="str">
        <f aca="false">IF(OR(K357="",J357=""),"",(J357-K357)*100)</f>
        <v/>
      </c>
      <c r="M357" s="38" t="s">
        <v>650</v>
      </c>
    </row>
    <row r="358" customFormat="false" ht="15" hidden="false" customHeight="false" outlineLevel="0" collapsed="false">
      <c r="A358" s="38" t="s">
        <v>344</v>
      </c>
      <c r="B358" s="38" t="s">
        <v>509</v>
      </c>
      <c r="C358" s="38" t="s">
        <v>512</v>
      </c>
      <c r="D358" s="21" t="n">
        <v>869</v>
      </c>
      <c r="E358" s="21" t="n">
        <v>880</v>
      </c>
      <c r="F358" s="52" t="n">
        <f aca="false">IF(E358="","",D358-E358)</f>
        <v>-11</v>
      </c>
      <c r="G358" s="21" t="n">
        <v>908</v>
      </c>
      <c r="H358" s="21" t="n">
        <v>960</v>
      </c>
      <c r="I358" s="52" t="n">
        <f aca="false">IF(H358="","",G358-H358)</f>
        <v>-52</v>
      </c>
      <c r="J358" s="39" t="n">
        <f aca="false">IF(OR(D358="",D358+G358=0),"",D358/(D358+G358))</f>
        <v>0.489026449071469</v>
      </c>
      <c r="K358" s="39" t="n">
        <f aca="false">IF(E358="","",E358/(E358+H358))</f>
        <v>0.478260869565217</v>
      </c>
      <c r="L358" s="53" t="n">
        <f aca="false">IF(OR(K358="",J358=""),"",(J358-K358)*100)</f>
        <v>1.07655795062513</v>
      </c>
      <c r="M358" s="38"/>
    </row>
    <row r="359" customFormat="false" ht="15" hidden="false" customHeight="false" outlineLevel="0" collapsed="false">
      <c r="A359" s="38" t="s">
        <v>344</v>
      </c>
      <c r="B359" s="38" t="s">
        <v>509</v>
      </c>
      <c r="C359" s="38" t="s">
        <v>513</v>
      </c>
      <c r="D359" s="21" t="n">
        <v>290</v>
      </c>
      <c r="E359" s="21"/>
      <c r="F359" s="52" t="str">
        <f aca="false">IF(E359="","",D359-E359)</f>
        <v/>
      </c>
      <c r="G359" s="21" t="n">
        <v>250</v>
      </c>
      <c r="H359" s="21"/>
      <c r="I359" s="52" t="str">
        <f aca="false">IF(H359="","",G359-H359)</f>
        <v/>
      </c>
      <c r="J359" s="39" t="n">
        <f aca="false">IF(OR(D359="",D359+G359=0),"",D359/(D359+G359))</f>
        <v>0.537037037037037</v>
      </c>
      <c r="K359" s="39" t="str">
        <f aca="false">IF(E359="","",E359/(E359+H359))</f>
        <v/>
      </c>
      <c r="L359" s="53" t="str">
        <f aca="false">IF(OR(K359="",J359=""),"",(J359-K359)*100)</f>
        <v/>
      </c>
      <c r="M359" s="38" t="s">
        <v>650</v>
      </c>
    </row>
    <row r="360" customFormat="false" ht="15" hidden="false" customHeight="false" outlineLevel="0" collapsed="false">
      <c r="A360" s="38" t="s">
        <v>344</v>
      </c>
      <c r="B360" s="38" t="s">
        <v>514</v>
      </c>
      <c r="C360" s="38" t="s">
        <v>515</v>
      </c>
      <c r="D360" s="21" t="n">
        <v>407</v>
      </c>
      <c r="E360" s="21" t="n">
        <v>416</v>
      </c>
      <c r="F360" s="52" t="n">
        <f aca="false">IF(E360="","",D360-E360)</f>
        <v>-9</v>
      </c>
      <c r="G360" s="21" t="n">
        <v>577</v>
      </c>
      <c r="H360" s="21" t="n">
        <v>658</v>
      </c>
      <c r="I360" s="52" t="n">
        <f aca="false">IF(H360="","",G360-H360)</f>
        <v>-81</v>
      </c>
      <c r="J360" s="39" t="n">
        <f aca="false">IF(OR(D360="",D360+G360=0),"",D360/(D360+G360))</f>
        <v>0.413617886178862</v>
      </c>
      <c r="K360" s="39" t="n">
        <f aca="false">IF(E360="","",E360/(E360+H360))</f>
        <v>0.387337057728119</v>
      </c>
      <c r="L360" s="53" t="n">
        <f aca="false">IF(OR(K360="",J360=""),"",(J360-K360)*100)</f>
        <v>2.62808284507426</v>
      </c>
      <c r="M360" s="38"/>
    </row>
    <row r="361" customFormat="false" ht="15" hidden="false" customHeight="false" outlineLevel="0" collapsed="false">
      <c r="A361" s="38" t="s">
        <v>344</v>
      </c>
      <c r="B361" s="38" t="s">
        <v>319</v>
      </c>
      <c r="C361" s="38" t="s">
        <v>516</v>
      </c>
      <c r="D361" s="21" t="n">
        <v>810</v>
      </c>
      <c r="E361" s="21" t="n">
        <v>541</v>
      </c>
      <c r="F361" s="52" t="n">
        <f aca="false">IF(E361="","",D361-E361)</f>
        <v>269</v>
      </c>
      <c r="G361" s="21" t="n">
        <v>1499</v>
      </c>
      <c r="H361" s="21" t="n">
        <v>1106</v>
      </c>
      <c r="I361" s="52" t="n">
        <f aca="false">IF(H361="","",G361-H361)</f>
        <v>393</v>
      </c>
      <c r="J361" s="39" t="n">
        <f aca="false">IF(OR(D361="",D361+G361=0),"",D361/(D361+G361))</f>
        <v>0.350801212646167</v>
      </c>
      <c r="K361" s="39" t="n">
        <f aca="false">IF(E361="","",E361/(E361+H361))</f>
        <v>0.328476017000607</v>
      </c>
      <c r="L361" s="53" t="n">
        <f aca="false">IF(OR(K361="",J361=""),"",(J361-K361)*100)</f>
        <v>2.232519564556</v>
      </c>
      <c r="M361" s="38"/>
    </row>
    <row r="362" customFormat="false" ht="15" hidden="false" customHeight="false" outlineLevel="0" collapsed="false">
      <c r="A362" s="38" t="s">
        <v>344</v>
      </c>
      <c r="B362" s="38" t="s">
        <v>319</v>
      </c>
      <c r="C362" s="38" t="s">
        <v>517</v>
      </c>
      <c r="D362" s="21" t="n">
        <v>505</v>
      </c>
      <c r="E362" s="21" t="n">
        <v>500</v>
      </c>
      <c r="F362" s="52" t="n">
        <f aca="false">IF(E362="","",D362-E362)</f>
        <v>5</v>
      </c>
      <c r="G362" s="21" t="n">
        <v>899</v>
      </c>
      <c r="H362" s="21" t="n">
        <v>982</v>
      </c>
      <c r="I362" s="52" t="n">
        <f aca="false">IF(H362="","",G362-H362)</f>
        <v>-83</v>
      </c>
      <c r="J362" s="39" t="n">
        <f aca="false">IF(OR(D362="",D362+G362=0),"",D362/(D362+G362))</f>
        <v>0.35968660968661</v>
      </c>
      <c r="K362" s="39" t="n">
        <f aca="false">IF(E362="","",E362/(E362+H362))</f>
        <v>0.337381916329285</v>
      </c>
      <c r="L362" s="53" t="n">
        <f aca="false">IF(OR(K362="",J362=""),"",(J362-K362)*100)</f>
        <v>2.23046933573249</v>
      </c>
      <c r="M362" s="38"/>
    </row>
    <row r="363" customFormat="false" ht="15" hidden="false" customHeight="false" outlineLevel="0" collapsed="false">
      <c r="A363" s="38" t="s">
        <v>344</v>
      </c>
      <c r="B363" s="38" t="s">
        <v>519</v>
      </c>
      <c r="C363" s="38" t="s">
        <v>519</v>
      </c>
      <c r="D363" s="21" t="n">
        <v>278</v>
      </c>
      <c r="E363" s="21" t="n">
        <v>281</v>
      </c>
      <c r="F363" s="52" t="n">
        <f aca="false">IF(E363="","",D363-E363)</f>
        <v>-3</v>
      </c>
      <c r="G363" s="21" t="n">
        <v>297</v>
      </c>
      <c r="H363" s="21" t="n">
        <v>310</v>
      </c>
      <c r="I363" s="52" t="n">
        <f aca="false">IF(H363="","",G363-H363)</f>
        <v>-13</v>
      </c>
      <c r="J363" s="39" t="n">
        <f aca="false">IF(OR(D363="",D363+G363=0),"",D363/(D363+G363))</f>
        <v>0.483478260869565</v>
      </c>
      <c r="K363" s="39" t="n">
        <f aca="false">IF(E363="","",E363/(E363+H363))</f>
        <v>0.475465313028765</v>
      </c>
      <c r="L363" s="53" t="n">
        <f aca="false">IF(OR(K363="",J363=""),"",(J363-K363)*100)</f>
        <v>0.801294784080037</v>
      </c>
      <c r="M363" s="38"/>
    </row>
    <row r="364" customFormat="false" ht="15" hidden="false" customHeight="false" outlineLevel="0" collapsed="false">
      <c r="A364" s="38" t="s">
        <v>344</v>
      </c>
      <c r="B364" s="38" t="s">
        <v>520</v>
      </c>
      <c r="C364" s="38" t="s">
        <v>521</v>
      </c>
      <c r="D364" s="21" t="n">
        <v>506</v>
      </c>
      <c r="E364" s="21" t="n">
        <v>514</v>
      </c>
      <c r="F364" s="52" t="n">
        <f aca="false">IF(E364="","",D364-E364)</f>
        <v>-8</v>
      </c>
      <c r="G364" s="21" t="n">
        <v>645</v>
      </c>
      <c r="H364" s="21" t="n">
        <v>713</v>
      </c>
      <c r="I364" s="52" t="n">
        <f aca="false">IF(H364="","",G364-H364)</f>
        <v>-68</v>
      </c>
      <c r="J364" s="39" t="n">
        <f aca="false">IF(OR(D364="",D364+G364=0),"",D364/(D364+G364))</f>
        <v>0.439617723718506</v>
      </c>
      <c r="K364" s="39" t="n">
        <f aca="false">IF(E364="","",E364/(E364+H364))</f>
        <v>0.418907905460473</v>
      </c>
      <c r="L364" s="53" t="n">
        <f aca="false">IF(OR(K364="",J364=""),"",(J364-K364)*100)</f>
        <v>2.0709818258033</v>
      </c>
      <c r="M364" s="38"/>
    </row>
    <row r="365" customFormat="false" ht="15" hidden="false" customHeight="false" outlineLevel="0" collapsed="false">
      <c r="A365" s="38" t="s">
        <v>344</v>
      </c>
      <c r="B365" s="38" t="s">
        <v>520</v>
      </c>
      <c r="C365" s="38" t="s">
        <v>522</v>
      </c>
      <c r="D365" s="21" t="n">
        <v>417</v>
      </c>
      <c r="E365" s="21" t="n">
        <v>425</v>
      </c>
      <c r="F365" s="52" t="n">
        <f aca="false">IF(E365="","",D365-E365)</f>
        <v>-8</v>
      </c>
      <c r="G365" s="21" t="n">
        <v>624</v>
      </c>
      <c r="H365" s="21" t="n">
        <v>656</v>
      </c>
      <c r="I365" s="52" t="n">
        <f aca="false">IF(H365="","",G365-H365)</f>
        <v>-32</v>
      </c>
      <c r="J365" s="39" t="n">
        <f aca="false">IF(OR(D365="",D365+G365=0),"",D365/(D365+G365))</f>
        <v>0.400576368876081</v>
      </c>
      <c r="K365" s="39" t="n">
        <f aca="false">IF(E365="","",E365/(E365+H365))</f>
        <v>0.393154486586494</v>
      </c>
      <c r="L365" s="53" t="n">
        <f aca="false">IF(OR(K365="",J365=""),"",(J365-K365)*100)</f>
        <v>0.742188228958668</v>
      </c>
      <c r="M365" s="38"/>
    </row>
    <row r="366" customFormat="false" ht="15" hidden="false" customHeight="false" outlineLevel="0" collapsed="false">
      <c r="A366" s="38" t="s">
        <v>344</v>
      </c>
      <c r="B366" s="38" t="s">
        <v>520</v>
      </c>
      <c r="C366" s="38" t="s">
        <v>523</v>
      </c>
      <c r="D366" s="21" t="n">
        <v>635</v>
      </c>
      <c r="E366" s="21" t="n">
        <v>624</v>
      </c>
      <c r="F366" s="52" t="n">
        <f aca="false">IF(E366="","",D366-E366)</f>
        <v>11</v>
      </c>
      <c r="G366" s="21" t="n">
        <v>632</v>
      </c>
      <c r="H366" s="21" t="n">
        <v>618</v>
      </c>
      <c r="I366" s="52" t="n">
        <f aca="false">IF(H366="","",G366-H366)</f>
        <v>14</v>
      </c>
      <c r="J366" s="39" t="n">
        <f aca="false">IF(OR(D366="",D366+G366=0),"",D366/(D366+G366))</f>
        <v>0.501183898973954</v>
      </c>
      <c r="K366" s="39" t="n">
        <f aca="false">IF(E366="","",E366/(E366+H366))</f>
        <v>0.502415458937198</v>
      </c>
      <c r="L366" s="53" t="n">
        <f aca="false">IF(OR(K366="",J366=""),"",(J366-K366)*100)</f>
        <v>-0.123155996324387</v>
      </c>
      <c r="M366" s="38"/>
    </row>
    <row r="367" customFormat="false" ht="15" hidden="false" customHeight="false" outlineLevel="0" collapsed="false">
      <c r="A367" s="38" t="s">
        <v>344</v>
      </c>
      <c r="B367" s="38" t="s">
        <v>520</v>
      </c>
      <c r="C367" s="38" t="s">
        <v>524</v>
      </c>
      <c r="D367" s="21" t="n">
        <v>306</v>
      </c>
      <c r="E367" s="21" t="n">
        <v>284</v>
      </c>
      <c r="F367" s="52" t="n">
        <f aca="false">IF(E367="","",D367-E367)</f>
        <v>22</v>
      </c>
      <c r="G367" s="21" t="n">
        <v>381</v>
      </c>
      <c r="H367" s="21" t="n">
        <v>414</v>
      </c>
      <c r="I367" s="52" t="n">
        <f aca="false">IF(H367="","",G367-H367)</f>
        <v>-33</v>
      </c>
      <c r="J367" s="39" t="n">
        <f aca="false">IF(OR(D367="",D367+G367=0),"",D367/(D367+G367))</f>
        <v>0.445414847161572</v>
      </c>
      <c r="K367" s="39" t="n">
        <f aca="false">IF(E367="","",E367/(E367+H367))</f>
        <v>0.406876790830946</v>
      </c>
      <c r="L367" s="53" t="n">
        <f aca="false">IF(OR(K367="",J367=""),"",(J367-K367)*100)</f>
        <v>3.85380563306265</v>
      </c>
      <c r="M367" s="38"/>
    </row>
    <row r="368" customFormat="false" ht="15" hidden="false" customHeight="false" outlineLevel="0" collapsed="false">
      <c r="A368" s="38" t="s">
        <v>344</v>
      </c>
      <c r="B368" s="38" t="s">
        <v>525</v>
      </c>
      <c r="C368" s="38" t="s">
        <v>526</v>
      </c>
      <c r="D368" s="21" t="n">
        <v>662</v>
      </c>
      <c r="E368" s="21" t="n">
        <v>648</v>
      </c>
      <c r="F368" s="52" t="n">
        <f aca="false">IF(E368="","",D368-E368)</f>
        <v>14</v>
      </c>
      <c r="G368" s="21" t="n">
        <v>410</v>
      </c>
      <c r="H368" s="21" t="n">
        <v>462</v>
      </c>
      <c r="I368" s="52" t="n">
        <f aca="false">IF(H368="","",G368-H368)</f>
        <v>-52</v>
      </c>
      <c r="J368" s="39" t="n">
        <f aca="false">IF(OR(D368="",D368+G368=0),"",D368/(D368+G368))</f>
        <v>0.617537313432836</v>
      </c>
      <c r="K368" s="39" t="n">
        <f aca="false">IF(E368="","",E368/(E368+H368))</f>
        <v>0.583783783783784</v>
      </c>
      <c r="L368" s="53" t="n">
        <f aca="false">IF(OR(K368="",J368=""),"",(J368-K368)*100)</f>
        <v>3.3753529649052</v>
      </c>
      <c r="M368" s="38"/>
    </row>
    <row r="369" customFormat="false" ht="15" hidden="false" customHeight="false" outlineLevel="0" collapsed="false">
      <c r="A369" s="38" t="s">
        <v>344</v>
      </c>
      <c r="B369" s="38" t="s">
        <v>525</v>
      </c>
      <c r="C369" s="38" t="s">
        <v>527</v>
      </c>
      <c r="D369" s="21" t="n">
        <v>524</v>
      </c>
      <c r="E369" s="21" t="n">
        <v>491</v>
      </c>
      <c r="F369" s="52" t="n">
        <f aca="false">IF(E369="","",D369-E369)</f>
        <v>33</v>
      </c>
      <c r="G369" s="21" t="n">
        <v>378</v>
      </c>
      <c r="H369" s="21" t="n">
        <v>402</v>
      </c>
      <c r="I369" s="52" t="n">
        <f aca="false">IF(H369="","",G369-H369)</f>
        <v>-24</v>
      </c>
      <c r="J369" s="39" t="n">
        <f aca="false">IF(OR(D369="",D369+G369=0),"",D369/(D369+G369))</f>
        <v>0.580931263858093</v>
      </c>
      <c r="K369" s="39" t="n">
        <f aca="false">IF(E369="","",E369/(E369+H369))</f>
        <v>0.5498320268757</v>
      </c>
      <c r="L369" s="53" t="n">
        <f aca="false">IF(OR(K369="",J369=""),"",(J369-K369)*100)</f>
        <v>3.10992369823933</v>
      </c>
      <c r="M369" s="38"/>
    </row>
    <row r="370" customFormat="false" ht="15" hidden="false" customHeight="false" outlineLevel="0" collapsed="false">
      <c r="A370" s="38" t="s">
        <v>344</v>
      </c>
      <c r="B370" s="38" t="s">
        <v>525</v>
      </c>
      <c r="C370" s="38" t="s">
        <v>528</v>
      </c>
      <c r="D370" s="21" t="n">
        <v>818</v>
      </c>
      <c r="E370" s="21" t="n">
        <v>758</v>
      </c>
      <c r="F370" s="52" t="n">
        <f aca="false">IF(E370="","",D370-E370)</f>
        <v>60</v>
      </c>
      <c r="G370" s="21" t="n">
        <v>634</v>
      </c>
      <c r="H370" s="21" t="n">
        <v>674</v>
      </c>
      <c r="I370" s="52" t="n">
        <f aca="false">IF(H370="","",G370-H370)</f>
        <v>-40</v>
      </c>
      <c r="J370" s="39" t="n">
        <f aca="false">IF(OR(D370="",D370+G370=0),"",D370/(D370+G370))</f>
        <v>0.5633608815427</v>
      </c>
      <c r="K370" s="39" t="n">
        <f aca="false">IF(E370="","",E370/(E370+H370))</f>
        <v>0.529329608938548</v>
      </c>
      <c r="L370" s="53" t="n">
        <f aca="false">IF(OR(K370="",J370=""),"",(J370-K370)*100)</f>
        <v>3.40312726041522</v>
      </c>
      <c r="M370" s="38"/>
    </row>
    <row r="371" customFormat="false" ht="15" hidden="false" customHeight="false" outlineLevel="0" collapsed="false">
      <c r="A371" s="38" t="s">
        <v>344</v>
      </c>
      <c r="B371" s="38" t="s">
        <v>529</v>
      </c>
      <c r="C371" s="38" t="s">
        <v>529</v>
      </c>
      <c r="D371" s="21" t="n">
        <v>579</v>
      </c>
      <c r="E371" s="21" t="n">
        <v>634</v>
      </c>
      <c r="F371" s="52" t="n">
        <f aca="false">IF(E371="","",D371-E371)</f>
        <v>-55</v>
      </c>
      <c r="G371" s="21" t="n">
        <v>720</v>
      </c>
      <c r="H371" s="21" t="n">
        <v>856</v>
      </c>
      <c r="I371" s="52" t="n">
        <f aca="false">IF(H371="","",G371-H371)</f>
        <v>-136</v>
      </c>
      <c r="J371" s="39" t="n">
        <f aca="false">IF(OR(D371="",D371+G371=0),"",D371/(D371+G371))</f>
        <v>0.445727482678984</v>
      </c>
      <c r="K371" s="39" t="n">
        <f aca="false">IF(E371="","",E371/(E371+H371))</f>
        <v>0.425503355704698</v>
      </c>
      <c r="L371" s="53" t="n">
        <f aca="false">IF(OR(K371="",J371=""),"",(J371-K371)*100)</f>
        <v>2.02241269742858</v>
      </c>
      <c r="M371" s="38"/>
    </row>
    <row r="373" customFormat="false" ht="15" hidden="false" customHeight="false" outlineLevel="0" collapsed="false">
      <c r="A373" s="11" t="s">
        <v>651</v>
      </c>
      <c r="B373" s="54"/>
      <c r="C373" s="54"/>
      <c r="D373" s="55" t="n">
        <f aca="false">SUMIF(E2:E371,"&lt;&gt;",D2:D371)</f>
        <v>186127</v>
      </c>
      <c r="E373" s="55" t="n">
        <f aca="false">SUM(E2:E371)</f>
        <v>183378</v>
      </c>
      <c r="F373" s="56" t="n">
        <f aca="false">D373-E373</f>
        <v>2749</v>
      </c>
      <c r="G373" s="55" t="n">
        <f aca="false">SUMIF(H2:H371,"&lt;&gt;",G2:G371)</f>
        <v>175725</v>
      </c>
      <c r="H373" s="55" t="n">
        <f aca="false">SUM(H2:H371)</f>
        <v>189309</v>
      </c>
      <c r="I373" s="56" t="n">
        <f aca="false">G373-H373</f>
        <v>-13584</v>
      </c>
      <c r="J373" s="57" t="n">
        <f aca="false">D373/(D373+G373)</f>
        <v>0.514373279683407</v>
      </c>
      <c r="K373" s="57" t="n">
        <f aca="false">E373/(E373+H373)</f>
        <v>0.492042920735094</v>
      </c>
      <c r="L373" s="58" t="n">
        <f aca="false">(J373-K373)*100</f>
        <v>2.23303589483125</v>
      </c>
    </row>
    <row r="374" customFormat="false" ht="15" hidden="false" customHeight="false" outlineLevel="0" collapsed="false">
      <c r="A374" s="11" t="s">
        <v>652</v>
      </c>
      <c r="B374" s="54"/>
      <c r="C374" s="54"/>
      <c r="D374" s="55" t="n">
        <f aca="false">SUM(D2:D371)</f>
        <v>203233</v>
      </c>
      <c r="E374" s="55"/>
      <c r="F374" s="56"/>
      <c r="G374" s="55" t="n">
        <f aca="false">SUM(G2:G371)</f>
        <v>190797</v>
      </c>
      <c r="H374" s="55"/>
      <c r="I374" s="56"/>
      <c r="J374" s="57" t="n">
        <f aca="false">D374/(D374+G374)</f>
        <v>0.515780524325559</v>
      </c>
      <c r="K374" s="57"/>
      <c r="L374" s="58"/>
    </row>
    <row r="376" customFormat="false" ht="15" hidden="false" customHeight="false" outlineLevel="0" collapsed="false">
      <c r="A376" s="2" t="s">
        <v>653</v>
      </c>
      <c r="F376" s="59" t="n">
        <f aca="false">(SUMIF(F2:F371,"&gt;0")-SUMIF(F2:F371,"&lt;0"))/COUNT(F2:F371)</f>
        <v>34.7690058479532</v>
      </c>
    </row>
    <row r="377" customFormat="false" ht="15" hidden="false" customHeight="false" outlineLevel="0" collapsed="false">
      <c r="A377" s="2" t="s">
        <v>654</v>
      </c>
      <c r="F377" s="59" t="n">
        <f aca="false">(SUMIF(I2:I371,"&gt;0")-SUMIF(I2:I371,"&lt;0"))/COUNT(I2:I371)</f>
        <v>49.1578947368421</v>
      </c>
    </row>
    <row r="378" customFormat="false" ht="15" hidden="false" customHeight="false" outlineLevel="0" collapsed="false">
      <c r="A378" s="2" t="s">
        <v>655</v>
      </c>
      <c r="F378" s="60" t="n">
        <f aca="false">(SUMIF(L2:L371,"&gt;0")-SUMIF(L2:L371,"&lt;0"))/COUNT(L2:L371)</f>
        <v>2.81138416016969</v>
      </c>
    </row>
    <row r="379" customFormat="false" ht="15" hidden="false" customHeight="false" outlineLevel="0" collapsed="false">
      <c r="A379" s="5" t="s">
        <v>656</v>
      </c>
      <c r="F379" s="61" t="n">
        <f aca="false">SQRT(SUMSQ(L2:L371)/COUNT(L2:L371))</f>
        <v>3.57555201304457</v>
      </c>
    </row>
    <row r="380" customFormat="false" ht="15" hidden="false" customHeight="false" outlineLevel="0" collapsed="false">
      <c r="A380" s="5" t="s">
        <v>657</v>
      </c>
      <c r="F380" s="62" t="n">
        <f aca="false">L373</f>
        <v>2.23303589483125</v>
      </c>
    </row>
    <row r="381" customFormat="false" ht="15" hidden="false" customHeight="false" outlineLevel="0" collapsed="false">
      <c r="A381" s="5" t="s">
        <v>658</v>
      </c>
      <c r="F381" s="61" t="n">
        <f aca="false">SQRT((SUMSQ(L2:L371)-2*L373*SUM(L2:L371)+COUNT(L2:L371)*L373^2)/COUNT(L2:L371))</f>
        <v>2.42615154898535</v>
      </c>
    </row>
    <row r="382" customFormat="false" ht="15" hidden="false" customHeight="false" outlineLevel="0" collapsed="false">
      <c r="A382" s="2" t="s">
        <v>659</v>
      </c>
      <c r="F382" s="63" t="n">
        <f aca="false">(D373+G373)/(E373+H373)-1</f>
        <v>-0.0290726534598739</v>
      </c>
    </row>
    <row r="383" customFormat="false" ht="15" hidden="false" customHeight="false" outlineLevel="0" collapsed="false">
      <c r="A383" s="2" t="s">
        <v>660</v>
      </c>
      <c r="F383" s="64" t="n">
        <f aca="false">COUNTIFS(L2:L371,"&gt;=-3",L2:L371,"&lt;=3")/COUNT(L2:L371)</f>
        <v>0.631578947368421</v>
      </c>
    </row>
    <row r="384" customFormat="false" ht="15" hidden="false" customHeight="false" outlineLevel="0" collapsed="false">
      <c r="A384" s="2" t="s">
        <v>661</v>
      </c>
      <c r="F384" s="65" t="n">
        <f aca="false">COUNT(E2:E371)</f>
        <v>342</v>
      </c>
    </row>
    <row r="385" customFormat="false" ht="15" hidden="false" customHeight="false" outlineLevel="0" collapsed="false">
      <c r="A385" s="2" t="s">
        <v>662</v>
      </c>
      <c r="F385" s="65" t="n">
        <f aca="false">COUNTA(A2:A371)</f>
        <v>370</v>
      </c>
    </row>
    <row r="387" customFormat="false" ht="15" hidden="false" customHeight="false" outlineLevel="0" collapsed="false">
      <c r="M387" s="5" t="s">
        <v>69</v>
      </c>
    </row>
    <row r="388" customFormat="false" ht="28.35" hidden="false" customHeight="false" outlineLevel="0" collapsed="false">
      <c r="M388" s="51" t="s">
        <v>663</v>
      </c>
    </row>
    <row r="389" customFormat="false" ht="28.35" hidden="false" customHeight="false" outlineLevel="0" collapsed="false">
      <c r="M389" s="51" t="s">
        <v>664</v>
      </c>
    </row>
    <row r="390" customFormat="false" ht="41.75" hidden="false" customHeight="false" outlineLevel="0" collapsed="false">
      <c r="M390" s="51" t="s">
        <v>665</v>
      </c>
    </row>
    <row r="391" customFormat="false" ht="55.2" hidden="false" customHeight="false" outlineLevel="0" collapsed="false">
      <c r="M391" s="51" t="s">
        <v>666</v>
      </c>
    </row>
    <row r="392" customFormat="false" ht="28.35" hidden="false" customHeight="false" outlineLevel="0" collapsed="false">
      <c r="M392" s="51" t="s">
        <v>675</v>
      </c>
    </row>
    <row r="393" customFormat="false" ht="28.35" hidden="false" customHeight="false" outlineLevel="0" collapsed="false">
      <c r="M393" s="51" t="s">
        <v>668</v>
      </c>
    </row>
    <row r="394" customFormat="false" ht="28.35" hidden="false" customHeight="false" outlineLevel="0" collapsed="false">
      <c r="M394" s="51" t="s">
        <v>669</v>
      </c>
    </row>
    <row r="395" customFormat="false" ht="28.35" hidden="false" customHeight="false" outlineLevel="0" collapsed="false">
      <c r="M395" s="51" t="s">
        <v>670</v>
      </c>
    </row>
    <row r="396" customFormat="false" ht="15" hidden="false" customHeight="false" outlineLevel="0" collapsed="false">
      <c r="M396" s="51" t="s">
        <v>671</v>
      </c>
    </row>
    <row r="397" customFormat="false" ht="41.75" hidden="false" customHeight="false" outlineLevel="0" collapsed="false">
      <c r="M397" s="51" t="s">
        <v>672</v>
      </c>
    </row>
    <row r="398" customFormat="false" ht="28.35" hidden="false" customHeight="false" outlineLevel="0" collapsed="false">
      <c r="M398" s="51" t="s">
        <v>673</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66" t="s">
        <v>676</v>
      </c>
    </row>
    <row r="2" customFormat="false" ht="28.35" hidden="false" customHeight="false" outlineLevel="0" collapsed="false">
      <c r="A2" s="51" t="s">
        <v>677</v>
      </c>
    </row>
    <row r="3" customFormat="false" ht="28.35" hidden="false" customHeight="false" outlineLevel="0" collapsed="false">
      <c r="A3" s="51" t="s">
        <v>678</v>
      </c>
    </row>
    <row r="4" customFormat="false" ht="41.75" hidden="false" customHeight="false" outlineLevel="0" collapsed="false">
      <c r="A4" s="51" t="s">
        <v>679</v>
      </c>
    </row>
    <row r="5" customFormat="false" ht="15" hidden="false" customHeight="false" outlineLevel="0" collapsed="false">
      <c r="A5" s="51" t="s">
        <v>680</v>
      </c>
    </row>
    <row r="6" customFormat="false" ht="15" hidden="false" customHeight="false" outlineLevel="0" collapsed="false">
      <c r="A6" s="51"/>
    </row>
    <row r="7" customFormat="false" ht="15" hidden="false" customHeight="false" outlineLevel="0" collapsed="false">
      <c r="A7" s="66" t="s">
        <v>681</v>
      </c>
    </row>
    <row r="8" customFormat="false" ht="28.35" hidden="false" customHeight="false" outlineLevel="0" collapsed="false">
      <c r="A8" s="51" t="s">
        <v>682</v>
      </c>
    </row>
    <row r="9" customFormat="false" ht="28.35" hidden="false" customHeight="false" outlineLevel="0" collapsed="false">
      <c r="A9" s="51" t="s">
        <v>683</v>
      </c>
    </row>
    <row r="10" customFormat="false" ht="15" hidden="false" customHeight="false" outlineLevel="0" collapsed="false">
      <c r="A10" s="51"/>
    </row>
    <row r="11" customFormat="false" ht="15" hidden="false" customHeight="false" outlineLevel="0" collapsed="false">
      <c r="A11" s="66" t="s">
        <v>684</v>
      </c>
    </row>
    <row r="12" customFormat="false" ht="41.75" hidden="false" customHeight="false" outlineLevel="0" collapsed="false">
      <c r="A12" s="51" t="s">
        <v>685</v>
      </c>
    </row>
    <row r="13" customFormat="false" ht="28.35" hidden="false" customHeight="false" outlineLevel="0" collapsed="false">
      <c r="A13" s="51" t="s">
        <v>686</v>
      </c>
    </row>
    <row r="14" customFormat="false" ht="15" hidden="false" customHeight="false" outlineLevel="0" collapsed="false">
      <c r="A14" s="51"/>
    </row>
    <row r="15" customFormat="false" ht="15" hidden="false" customHeight="false" outlineLevel="0" collapsed="false">
      <c r="A15" s="66" t="s">
        <v>687</v>
      </c>
    </row>
    <row r="16" customFormat="false" ht="28.35" hidden="false" customHeight="false" outlineLevel="0" collapsed="false">
      <c r="A16" s="51" t="s">
        <v>688</v>
      </c>
    </row>
    <row r="17" customFormat="false" ht="15" hidden="false" customHeight="false" outlineLevel="0" collapsed="false">
      <c r="A17" s="51" t="s">
        <v>689</v>
      </c>
    </row>
    <row r="18" customFormat="false" ht="15" hidden="false" customHeight="false" outlineLevel="0" collapsed="false">
      <c r="A18" s="51" t="s">
        <v>690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2026-10-05T20:39:40Z</dcterms:created>
  <dc:creator>openpyxl</dc:creator>
  <dc:description/>
  <dc:language>en-US</dc:language>
  <cp:lastModifiedBy/>
  <dcterms:modified xsi:type="dcterms:W3CDTF">2026-10-05T20:39:41Z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