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 average of the 2018 and 2022 midterm Democratic shares in today’s district. Type any share to override.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sharedStrings.xml><?xml version="1.0" encoding="utf-8"?>
<sst xmlns="http://schemas.openxmlformats.org/spreadsheetml/2006/main" count="2932" uniqueCount="332">
  <si>
    <t xml:space="preserve">PA-07 2026 House Forecast — Municipal Level: three results-only random-forest forecasts</t>
  </si>
  <si>
    <t xml:space="preserve">Candidates: Brooks | Mackenzie   |   Change the yellow cell to set the district-wide Brooks share; all three forecasts update. Turnout = 2022 House votes in every row.</t>
  </si>
  <si>
    <t xml:space="preserve">A, B and C weight the same random-forest inputs differently using SHAP (see How Forecasts Are Weighted). Each is backtested on 2024 with its own weights; those errors are the error terms.</t>
  </si>
  <si>
    <t xml:space="preserve">SCENARIO</t>
  </si>
  <si>
    <t xml:space="preserve">District-wide Brooks share of the two-party vote (input)</t>
  </si>
  <si>
    <t xml:space="preserve">← default: average of the 2018 and 2022 midterms in today’s district</t>
  </si>
  <si>
    <t xml:space="preserve">Past House results in today’s district</t>
  </si>
  <si>
    <t xml:space="preserve">Democratic share</t>
  </si>
  <si>
    <t xml:space="preserve">Democratic votes</t>
  </si>
  <si>
    <t xml:space="preserve">Republican votes</t>
  </si>
  <si>
    <t xml:space="preserve">(certified precinct returns; Carbon and Polk 2018/2020 excluded — they voted in PA-09/PA-08)</t>
  </si>
  <si>
    <t xml:space="preserve">2018 General</t>
  </si>
  <si>
    <t xml:space="preserve">2020 General</t>
  </si>
  <si>
    <t xml:space="preserve">2022 General</t>
  </si>
  <si>
    <t xml:space="preserve">2024 General</t>
  </si>
  <si>
    <t xml:space="preserve">DISTRICT TOTALS BY FORECAST (live from each forecast tab)</t>
  </si>
  <si>
    <t xml:space="preserve">Forecast</t>
  </si>
  <si>
    <t xml:space="preserve">Weighting</t>
  </si>
  <si>
    <t xml:space="preserve">Brooks votes</t>
  </si>
  <si>
    <t xml:space="preserve">Mackenzie votes</t>
  </si>
  <si>
    <t xml:space="preserve">Total votes (2022 turnout)</t>
  </si>
  <si>
    <t xml:space="preserve">Brooks share</t>
  </si>
  <si>
    <t xml:space="preserve">Error term (± pts)</t>
  </si>
  <si>
    <t xml:space="preserve">Brooks share range</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</si>
  <si>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</si>
  <si>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</si>
  <si>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</si>
  <si>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</si>
  <si>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</si>
  <si>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</si>
  <si>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</si>
  <si>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ERROR TERMS — 2024 BACKTEST OF EACH FORECAST (same weights as the forecast)</t>
  </si>
  <si>
    <t xml:space="preserve">Rows scored</t>
  </si>
  <si>
    <t xml:space="preserve">Avg miss per row, Dem share (pts)</t>
  </si>
  <si>
    <t xml:space="preserve">RMS miss per row, Dem share (pts)</t>
  </si>
  <si>
    <t xml:space="preserve">District-wide miss (pts)</t>
  </si>
  <si>
    <t xml:space="preserve">Pattern RMS miss (pts)</t>
  </si>
  <si>
    <t xml:space="preserve">Rows within 3 pts</t>
  </si>
  <si>
    <t xml:space="preserve">Avg miss per row, Dem votes</t>
  </si>
  <si>
    <t xml:space="preserve">Votes cast miss (turnout rule)</t>
  </si>
  <si>
    <t xml:space="preserve">District-wide miss comes from the level rule (last same-type election), so it is nearly identical for all three; the pattern miss is what separates them. The votes-cast miss shows how far "same turnout as the last same-type election" was off in 2024.</t>
  </si>
  <si>
    <t xml:space="preserve">MUNICIPALITY COMPARISON (Brooks share by forecast, live)</t>
  </si>
  <si>
    <t xml:space="preserve">County</t>
  </si>
  <si>
    <t xml:space="preserve">Municipality</t>
  </si>
  <si>
    <t xml:space="preserve">Area</t>
  </si>
  <si>
    <t xml:space="preserve">Spread (max − min, pts)</t>
  </si>
  <si>
    <t xml:space="preserve">Error term A (± pts)</t>
  </si>
  <si>
    <t xml:space="preserve">Error term B (± pts)</t>
  </si>
  <si>
    <t xml:space="preserve">Error term C (± pts)</t>
  </si>
  <si>
    <t xml:space="preserve">Votes cast (2022)</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</si>
  <si>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</si>
  <si>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</si>
  <si>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</si>
  <si>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Votes cast in each row = that row’s 2022 House votes (turnout similar to 2022). Brooks votes = 2022 votes × forecast Brooks share. Change the district scenario on the Scenario &amp; Comparison tab.</t>
  </si>
  <si>
    <t xml:space="preserve">Model / scenario</t>
  </si>
  <si>
    <t xml:space="preserve">Random forest on results — Forecast A (Full random forest), municipality model; turnout = 2022</t>
  </si>
  <si>
    <t xml:space="preserve">As-of date</t>
  </si>
  <si>
    <t xml:space="preserve">Prepared by</t>
  </si>
  <si>
    <t xml:space="preserve">Max</t>
  </si>
  <si>
    <t xml:space="preserve">Version</t>
  </si>
  <si>
    <t xml:space="preserve">v2.0 (results only)</t>
  </si>
  <si>
    <t xml:space="preserve">District Brooks share (scenario)</t>
  </si>
  <si>
    <t xml:space="preserve">Uniform shift applied</t>
  </si>
  <si>
    <t xml:space="preserve">2024 backtest district miss (pts)</t>
  </si>
  <si>
    <t xml:space="preserve">DISTRICT TOTALS (auto-sum — do not type over)</t>
  </si>
  <si>
    <t xml:space="preserve">Geography</t>
  </si>
  <si>
    <t xml:space="preserve">(muni)</t>
  </si>
  <si>
    <t xml:space="preserve">(area)</t>
  </si>
  <si>
    <t xml:space="preserve">Total votes</t>
  </si>
  <si>
    <t xml:space="preserve">Mackenzie share</t>
  </si>
  <si>
    <t xml:space="preserve">Notes</t>
  </si>
  <si>
    <t xml:space="preserve">Error term: Brooks share (± pts)</t>
  </si>
  <si>
    <t xml:space="preserve">Brooks share, low</t>
  </si>
  <si>
    <t xml:space="preserve">Brooks share, high</t>
  </si>
  <si>
    <t xml:space="preserve">Error term: Brooks votes (± votes)</t>
  </si>
  <si>
    <t xml:space="preserve">PA-07 District</t>
  </si>
  <si>
    <t xml:space="preserve">(all municipalities)</t>
  </si>
  <si>
    <t xml:space="preserve">Headline forecast for the briefing</t>
  </si>
  <si>
    <t xml:space="preserve">Error terms: each row = ±1 root-mean-square miss of this forecast in its 2024 backtest for places of similar size, after removing the district-wide miss. District row = the district-wide miss. Turnout is held at 2022, so no turnout error is included.</t>
  </si>
  <si>
    <t xml:space="preserve">MUNICIPALITY DETAIL</t>
  </si>
  <si>
    <t xml:space="preserve">MODEL INPUTS (from the random forest — do not edit)</t>
  </si>
  <si>
    <t xml:space="preserve">Notes / source method</t>
  </si>
  <si>
    <t xml:space="preserve">Model lean vs district (pts)</t>
  </si>
  <si>
    <t xml:space="preserve">Votes cast (2022 House votes)</t>
  </si>
  <si>
    <t xml:space="preserve">Forecast Brooks share (unrounded)</t>
  </si>
  <si>
    <t xml:space="preserve">Size group (backtest error band)</t>
  </si>
  <si>
    <t xml:space="preserve">Carbon</t>
  </si>
  <si>
    <t xml:space="preserve">BANKS TOWNSHIP</t>
  </si>
  <si>
    <t xml:space="preserve">(whole municipality)</t>
  </si>
  <si>
    <t xml:space="preserve">random forest (results only)</t>
  </si>
  <si>
    <t xml:space="preserve">Small</t>
  </si>
  <si>
    <t xml:space="preserve">BEAVER MEADOWS BOROUGH</t>
  </si>
  <si>
    <t xml:space="preserve">BOWMANSTOWN BOROUGH</t>
  </si>
  <si>
    <t xml:space="preserve">EAST PENN TOWNSHIP</t>
  </si>
  <si>
    <t xml:space="preserve">EAST SIDE BOROUGH</t>
  </si>
  <si>
    <t xml:space="preserve">FRANKLIN TOWNSHIP</t>
  </si>
  <si>
    <t xml:space="preserve">Medium</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</si>
  <si>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</si>
  <si>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</si>
  <si>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</si>
  <si>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</si>
  <si>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</si>
  <si>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</si>
  <si>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</si>
  <si>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</si>
  <si>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</si>
  <si>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</si>
  <si>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</si>
  <si>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</si>
  <si>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</si>
  <si>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</si>
  <si>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</si>
  <si>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</si>
  <si>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</si>
  <si>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</si>
  <si>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</si>
  <si>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</si>
  <si>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</si>
  <si>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</si>
  <si>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</si>
  <si>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</si>
  <si>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</si>
  <si>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</si>
  <si>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</si>
  <si>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</si>
  <si>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</si>
  <si>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</si>
  <si>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</si>
  <si>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</si>
  <si>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</si>
  <si>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</si>
  <si>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</si>
  <si>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</si>
  <si>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</si>
  <si>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</si>
  <si>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</si>
  <si>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</si>
  <si>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</si>
  <si>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</si>
  <si>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</si>
  <si>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</si>
  <si>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</si>
  <si>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</si>
  <si>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</si>
  <si>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</si>
  <si>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</si>
  <si>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</si>
  <si>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</si>
  <si>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</si>
  <si>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</si>
  <si>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</si>
  <si>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</si>
  <si>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</si>
  <si>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</si>
  <si>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</si>
  <si>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</si>
  <si>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</si>
  <si>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</si>
  <si>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</si>
  <si>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</si>
  <si>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</si>
  <si>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</si>
  <si>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</si>
  <si>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</si>
  <si>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</si>
  <si>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</si>
  <si>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</si>
  <si>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</si>
  <si>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</si>
  <si>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</si>
  <si>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</si>
  <si>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</si>
  <si>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</si>
  <si>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</si>
  <si>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</si>
  <si>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</si>
  <si>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</si>
  <si>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</si>
  <si>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</si>
  <si>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</si>
  <si>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</si>
  <si>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</si>
  <si>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t>
  </si>
  <si>
    <t xml:space="preserve">PA-07 2026 House Forecast — Municipal-Level Predictions (Forecast C: shap family-reweighted forest)</t>
  </si>
  <si>
    <t xml:space="preserve">Random forest on results — Forecast C (SHAP family-reweighted forest), municipality model; turnout = 2022</t>
  </si>
  <si>
    <t xml:space="preserve">How the three municipality-level forecasts weigh their inputs (SHAP) — results-only random forests</t>
  </si>
  <si>
    <t xml:space="preserve">Forecast A — Full random forest.</t>
  </si>
  <si>
    <t xml:space="preserve">All 21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</si>
  <si>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</si>
  <si>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21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</si>
  <si>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</si>
  <si>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</si>
  <si>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</si>
  <si>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</si>
  <si>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</si>
  <si>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2022 House votes for 2026 (2020 votes in the 2024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</si>
  <si>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</si>
  <si>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</si>
  <si>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</si>
  <si>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</si>
  <si>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</si>
  <si>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</si>
  <si>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2.35 → 2.15 points.</t>
  </si>
  <si>
    <t xml:space="preserve">Top inputs in each forecast (share of SHAP value in votes)</t>
  </si>
  <si>
    <t xml:space="preserve">#</t>
  </si>
  <si>
    <t xml:space="preserve">Share</t>
  </si>
  <si>
    <t xml:space="preserve">House lean, last election (t−2)</t>
  </si>
  <si>
    <t xml:space="preserve">Top-of-ticket lean, last election (t−2)</t>
  </si>
  <si>
    <t xml:space="preserve">Registration: R % (voter file)</t>
  </si>
  <si>
    <t xml:space="preserve">Senate lean, most recent Senate race</t>
  </si>
  <si>
    <t xml:space="preserve">Electorate last election: R % of ballots</t>
  </si>
  <si>
    <t xml:space="preserve">Registration: D % (voter file)</t>
  </si>
  <si>
    <t xml:space="preserve">House lean, last same-type election (t−4)</t>
  </si>
  <si>
    <t xml:space="preserve">Turnout, last election (certified)</t>
  </si>
  <si>
    <t xml:space="preserve">Registrants: female % (known sex)</t>
  </si>
  <si>
    <t xml:space="preserve">Registered voters (log)</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</si>
  <si>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</si>
  <si>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</si>
  <si>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</si>
  <si>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</si>
  <si>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</si>
  <si>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</si>
  <si>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</si>
  <si>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Turnout last election: R registrants</t>
  </si>
  <si>
    <t xml:space="preserve">Turnout last election: unaffiliated</t>
  </si>
  <si>
    <t xml:space="preserve">Mail use last election: D voters</t>
  </si>
  <si>
    <t xml:space="preserve">Lean trend (t−2 minus t−4)</t>
  </si>
  <si>
    <t xml:space="preserve">Ticket-splitting, last election (House − top of ticket)</t>
  </si>
  <si>
    <t xml:space="preserve">Registration: unaffiliated/other %</t>
  </si>
  <si>
    <t xml:space="preserve">Turnout last election: D registrants</t>
  </si>
  <si>
    <t xml:space="preserve">Registration: change in D−R margin since t−2</t>
  </si>
  <si>
    <t xml:space="preserve">Midterm year (1/0)</t>
  </si>
  <si>
    <t xml:space="preserve">Registrants: Boomer + Silent %</t>
  </si>
  <si>
    <t xml:space="preserve">Registrants: Millennial + Gen Z %</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</si>
  <si>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</si>
  <si>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</si>
  <si>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</si>
  <si>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</si>
  <si>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</si>
  <si>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</si>
  <si>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</si>
  <si>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</si>
  <si>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</si>
  <si>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municipal results), above or below the district average for that election</t>
  </si>
  <si>
    <t xml:space="preserve">Democratic percent of the two-party vote</t>
  </si>
  <si>
    <t xml:space="preserve">Beat all 10 random comparison columns in 20 of 20 refits.</t>
  </si>
  <si>
    <t xml:space="preserve">Kept in B</t>
  </si>
  <si>
    <t xml:space="preserve">Democratic percent of the two-party vote for President, 2024 (the top race on the ballot), above or below the district average</t>
  </si>
  <si>
    <t xml:space="preserve">Democratic percent of the two-party U.S. Senate vote, 2024 (most recent Senate race), above or below the district average</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</si>
  <si>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</si>
  <si>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</si>
  <si>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</si>
  <si>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</si>
  <si>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Ballots cast as a percent of registered voters, 2024 (certified municipal results)</t>
  </si>
  <si>
    <t xml:space="preserve">Dropped from B</t>
  </si>
  <si>
    <t xml:space="preserve">Women as a percent of registered voters whose sex is recorded, 2026 (voter file)</t>
  </si>
  <si>
    <t xml:space="preserve">Beat all 10 random comparison columns in 18 of 20 refits.</t>
  </si>
  <si>
    <t xml:space="preserve">Number of registered voters, 2026, on a log scale (voter file)</t>
  </si>
  <si>
    <t xml:space="preserve">Percent of registered Republicans who voted, 2024 (voter file)</t>
  </si>
  <si>
    <t xml:space="preserve">Percent of registered voters in neither major party who voted, 2024 (voter file)</t>
  </si>
  <si>
    <t xml:space="preserve">Change in the place’s House lean from 2022 to 2024, in points</t>
  </si>
  <si>
    <t xml:space="preserve">Percent of Democratic voters who voted by mail, 2024 (voter file)</t>
  </si>
  <si>
    <t xml:space="preserve">House Democratic percent minus presidential Democratic percent, 2024, in points (how much the place split its ticket)</t>
  </si>
  <si>
    <t xml:space="preserve">Registered voters in neither major party, as a percent of all registered voters, 2026 (voter file)</t>
  </si>
  <si>
    <t xml:space="preserve">Beat all 10 random comparison columns in 19 of 20 refits.</t>
  </si>
  <si>
    <t xml:space="preserve">Percent of registered Democrats who voted, 2024 (voter file)</t>
  </si>
  <si>
    <t xml:space="preserve">Change in registered Democrats minus registered Republicans (percent of registered) from 2024 to 2026 (voter file)</t>
  </si>
  <si>
    <t xml:space="preserve">Registered voters born 1964 or earlier, as a percent of all registered voters, 2026 (voter file)</t>
  </si>
  <si>
    <t xml:space="preserve">Beat all 10 random comparison columns in 5 of 20 refits.</t>
  </si>
  <si>
    <t xml:space="preserve">Registered voters born 1981 or later, as a percent of all registered voters, 2026 (voter file)</t>
  </si>
  <si>
    <t xml:space="preserve">Beat all 10 random comparison columns in 10 of 20 refits.</t>
  </si>
  <si>
    <t xml:space="preserve">Election type: 1 for a midterm year (2026), 0 for a presidential year</t>
  </si>
  <si>
    <t xml:space="preserve">Beat all 10 random comparison columns in 6 of 20 refits.</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</si>
  <si>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</si>
  <si>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</si>
  <si>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</si>
  <si>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</si>
  <si>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</si>
  <si>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</si>
  <si>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are each place’s 2022 House votes.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</si>
  <si>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</si>
  <si>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 casts the same number of House votes as in 2022. Brooks share = forecast pattern + one uniform shift so the district total equals the scenario.</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</si>
  <si>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</si>
  <si>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</si>
  <si>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243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</si>
  <si>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</si>
  <si>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Historical voter data ×0.91; Voter registration data ×1.69.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</si>
  <si>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</si>
  <si>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</si>
  <si>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</si>
  <si>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</si>
  <si>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</si>
  <si>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</si>
  <si>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</si>
  <si>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</si>
  <si>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</si>
  <si>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</si>
  <si>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</si>
  <si>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</si>
  <si>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</si>
  <si>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</si>
  <si>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</si>
  <si>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</si>
  <si>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</si>
  <si>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</si>
  <si>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Votes cast miss from the turnout assumption (2020 votes vs actual 2024), percent</t>
  </si>
  <si>
    <t xml:space="preserve">Rows within 3 points on Democratic share</t>
  </si>
  <si>
    <t xml:space="preserve">Rows with a comparable 2024 result</t>
  </si>
  <si>
    <t xml:space="preserve">Rows in the table</t>
  </si>
  <si>
    <t xml:space="preserve">What this tab is: the same forecast, run as if it were the week before the 2024 general election, compared with the actual 2024 House results.</t>
  </si>
  <si>
    <t xml:space="preserve">The backtest forest was trained only on the 2020 and 2022 elections. Registration as of the 2024 election was kept; 2024 results were removed.</t>
  </si>
  <si>
    <t xml:space="preserve">Weights: Forecast A’s full forest, refit on 2020 and 2022 only (same inputs and settings as the 2026 forecast).</t>
  </si>
  <si>
    <t xml:space="preserve">Turnout, as in the 2026 forecast, is not modelled: each row’s votes cast = its House votes in the last election of the same type (2020 for the 2024 backtest; 2022 for 2026).</t>
  </si>
  <si>
    <t xml:space="preserve">District level: the backtest set the district Democratic share to the last election of the same type (2020: 51.4%); the actual 2024 share was 49.4%. That district-wide miss is in every row; the pattern part is what separates the three forecasts.</t>
  </si>
  <si>
    <t xml:space="preserve">Actual votes are the 2024 House results exactly as given in the data. Error = predicted minus actual. Shares are of the two-party vote. Wild was the 2024 Democratic candidate and Mackenzie the 2024 Republican candidate.</t>
  </si>
  <si>
    <t xml:space="preserve">Rows marked 'No comparable 2024 result' are left out of the district total row and the error figures.</t>
  </si>
  <si>
    <t xml:space="preserve">These errors set the error terms on the 2026 forecast tab: each row gets the root-mean-square pattern miss of backtest rows of similar size (small / medium / large thirds by votes cast).</t>
  </si>
  <si>
    <t xml:space="preserve">Weights: Forecast B’s SHAP-selected inputs and settings, refit on 2020 and 2022 only.</t>
  </si>
  <si>
    <t xml:space="preserve">Weights: the SAME family weights as the 2026 Forecast C (Election type ×1.00; Historical voter data ×0.91; Voter registration data ×1.69), applied to the SHAP values of a forest refit on 2020 and 2022 only. Those weights were fitted on out-of-fold SHAP that included 2024, so this backtest is slightly optimistic for C.</t>
  </si>
  <si>
    <t xml:space="preserve">What changed from the previous version</t>
  </si>
  <si>
    <t xml:space="preserve">Turnout is no longer forecast. Only the results (Democratic share of the two-party House vote) come from a random forest. Every row casts the same number of House votes as in 2022. The three forecasts were re-run from scratch; nothing from earlier forecasts is used. The baseline forecast file supplied earlier was used for layout only.</t>
  </si>
  <si>
    <t xml:space="preserve">Data</t>
  </si>
  <si>
    <t xml:space="preserve">Source: PA07_Municipal_Data_without_Demographics.xlsx (Master Data, Muni Consolidated). Training rows: 2020, 2022 and 2024 general elections (2018 provides history only); rows where the House race was not PA-07 (Carbon and Polk in 2018/2020) are not targets.</t>
  </si>
  <si>
    <t xml:space="preserve">Model</t>
  </si>
  <si>
    <t xml:space="preserve">Random forest (scikit-learn, 500 trees; settings by leave-one-election-out cross-validation) forecasting each place’s Democratic share above or below the district average. 2026 Brooks share = forecast + one uniform shift so the 2022-turnout-weighted district total equals the scenario input.</t>
  </si>
  <si>
    <t xml:space="preserve">SHAP: exact path-dependent TreeSHAP (Lundberg, Erion &amp; Lee 2018) over every tree, implemented in C because the shap package is blocked here; it matches brute-force Shapley values to ~1e-15 and base + ΣSHAP equals every prediction.</t>
  </si>
  <si>
    <t xml:space="preserve">Error terms</t>
  </si>
  <si>
    <t xml:space="preserve">Row error term = ±1 root-mean-square miss of that forecast’s own 2024 backtest for rows of similar size (thirds by votes cast), after removing the district-wide miss. Brooks-votes error term = votes cast × share error term. District error term = the district-wide miss in the backtest (level rule: last same-type election). Turnout error is not included because turnout is fixed by assumption.</t>
  </si>
  <si>
    <t xml:space="preserve">Caveats</t>
  </si>
  <si>
    <t xml:space="preserve">• Turnout fixed at 2022 means vote totals are a planning assumption, not a forecast. In the 2024 backtest, the same rule (2020 votes) missed total votes cast by the amount shown on each backtest tab.</t>
  </si>
  <si>
    <t xml:space="preserve">• Forecast C’s backtest uses the same family weights as its 2026 forecast, as requested; those weights were fitted with 2024 among the held-out elections, so C’s backtest error is slightly optimistic.</t>
  </si>
  <si>
    <t xml:space="preserve">• Only three training elections: treat rows whose low–high range spans 50%, or where A, B and C disagree, as toss-ups.</t>
  </si>
</sst>
</file>

<file path=xl/styles.xml><?xml version="1.0" encoding="utf-8"?>
<styleSheet xmlns="http://schemas.openxmlformats.org/spreadsheetml/2006/main">
  <numFmts count="14">
    <numFmt numFmtId="164" formatCode="General"/>
    <numFmt numFmtId="165" formatCode="0.0%"/>
    <numFmt numFmtId="166" formatCode="#,##0"/>
    <numFmt numFmtId="167" formatCode="0.0"/>
    <numFmt numFmtId="168" formatCode="0"/>
    <numFmt numFmtId="169" formatCode="0.00"/>
    <numFmt numFmtId="170" formatCode="\+0.00;\-0.00"/>
    <numFmt numFmtId="171" formatCode="0%"/>
    <numFmt numFmtId="172" formatCode="\+0.0%;\-0.0%"/>
    <numFmt numFmtId="173" formatCode="yyyy\-mm\-dd"/>
    <numFmt numFmtId="174" formatCode="\+0.0;\-0.0"/>
    <numFmt numFmtId="175" formatCode="\+#,##0;\-#,##0;0"/>
    <numFmt numFmtId="176" formatCode="\+#,##0;\-#,##0"/>
    <numFmt numFmtId="17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0"/>
      <name val="Arial"/>
      <family val="2"/>
    </font>
    <font>
      <sz val="11"/>
      <color rgb="FF008000"/>
      <name val="Calibri"/>
      <family val="0"/>
      <charset val="1"/>
    </font>
    <font>
      <b val="true"/>
      <sz val="11"/>
      <color rgb="FF1F4E79"/>
      <name val="Calibri"/>
      <family val="0"/>
      <charset val="1"/>
    </font>
  </fonts>
  <fills count="8">
    <fill>
      <patternFill patternType="none"/>
    </fill>
    <fill>
      <patternFill patternType="gray125"/>
    </fill>
    <fill>
      <patternFill patternType="solid">
        <fgColor rgb="FFD6E3F0"/>
        <bgColor rgb="FFC6EFCE"/>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4"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0"/>
    <col collapsed="false" customWidth="true" hidden="false" outlineLevel="0" max="6" min="4" style="0" width="15"/>
    <col collapsed="false" customWidth="true" hidden="false" outlineLevel="0" max="7" min="7" style="0" width="14"/>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AVERAGE(C10,C12)</f>
        <v>0.528169484134382</v>
      </c>
      <c r="D6" s="3" t="s">
        <v>5</v>
      </c>
    </row>
    <row r="8" customFormat="false" ht="31.5" hidden="false" customHeight="true" outlineLevel="0" collapsed="false">
      <c r="A8" s="7" t="s">
        <v>6</v>
      </c>
      <c r="B8" s="7"/>
      <c r="C8" s="7" t="s">
        <v>7</v>
      </c>
      <c r="D8" s="7" t="s">
        <v>8</v>
      </c>
      <c r="E8" s="7" t="s">
        <v>9</v>
      </c>
    </row>
    <row r="9" customFormat="false" ht="15" hidden="false" customHeight="false" outlineLevel="0" collapsed="false">
      <c r="A9" s="3" t="s">
        <v>10</v>
      </c>
    </row>
    <row r="10" customFormat="false" ht="15" hidden="false" customHeight="false" outlineLevel="0" collapsed="false">
      <c r="A10" s="8" t="s">
        <v>11</v>
      </c>
      <c r="B10" s="8"/>
      <c r="C10" s="9" t="n">
        <f aca="false">D10/(D10+E10)</f>
        <v>0.547373248760395</v>
      </c>
      <c r="D10" s="10" t="n">
        <v>126510</v>
      </c>
      <c r="E10" s="10" t="n">
        <v>104612</v>
      </c>
    </row>
    <row r="11" customFormat="false" ht="15" hidden="false" customHeight="false" outlineLevel="0" collapsed="false">
      <c r="A11" s="8" t="s">
        <v>12</v>
      </c>
      <c r="B11" s="8"/>
      <c r="C11" s="9" t="n">
        <f aca="false">D11/(D11+E11)</f>
        <v>0.514370811615786</v>
      </c>
      <c r="D11" s="10" t="n">
        <v>176154</v>
      </c>
      <c r="E11" s="10" t="n">
        <v>166311</v>
      </c>
    </row>
    <row r="12" customFormat="false" ht="15" hidden="false" customHeight="false" outlineLevel="0" collapsed="false">
      <c r="A12" s="8" t="s">
        <v>13</v>
      </c>
      <c r="B12" s="8"/>
      <c r="C12" s="9" t="n">
        <f aca="false">D12/(D12+E12)</f>
        <v>0.508965719508369</v>
      </c>
      <c r="D12" s="10" t="n">
        <v>149243</v>
      </c>
      <c r="E12" s="10" t="n">
        <v>143985</v>
      </c>
    </row>
    <row r="13" customFormat="false" ht="15" hidden="false" customHeight="false" outlineLevel="0" collapsed="false">
      <c r="A13" s="8" t="s">
        <v>14</v>
      </c>
      <c r="B13" s="8"/>
      <c r="C13" s="9" t="n">
        <f aca="false">D13/(D13+E13)</f>
        <v>0.494248133629371</v>
      </c>
      <c r="D13" s="10" t="n">
        <v>196561</v>
      </c>
      <c r="E13" s="10" t="n">
        <v>201136</v>
      </c>
    </row>
    <row r="15" customFormat="false" ht="15" hidden="false" customHeight="false" outlineLevel="0" collapsed="false">
      <c r="A15" s="4" t="s">
        <v>15</v>
      </c>
      <c r="B15" s="4"/>
      <c r="C15" s="4"/>
      <c r="D15" s="4"/>
      <c r="E15" s="4"/>
      <c r="F15" s="4"/>
      <c r="G15" s="4"/>
      <c r="H15" s="4"/>
      <c r="I15" s="4"/>
    </row>
    <row r="16" customFormat="false" ht="31.5" hidden="false" customHeight="true" outlineLevel="0" collapsed="false">
      <c r="A16" s="7" t="s">
        <v>16</v>
      </c>
      <c r="B16" s="7" t="s">
        <v>17</v>
      </c>
      <c r="C16" s="7" t="s">
        <v>18</v>
      </c>
      <c r="D16" s="7" t="s">
        <v>19</v>
      </c>
      <c r="E16" s="7" t="s">
        <v>20</v>
      </c>
      <c r="F16" s="7" t="s">
        <v>21</v>
      </c>
      <c r="G16" s="7" t="s">
        <v>22</v>
      </c>
      <c r="H16" s="7" t="s">
        <v>23</v>
      </c>
      <c r="I16" s="7" t="s">
        <v>24</v>
      </c>
    </row>
    <row r="17" customFormat="false" ht="15" hidden="false" customHeight="false" outlineLevel="0" collapsed="false">
      <c r="A17" s="11" t="s">
        <v>25</v>
      </c>
      <c r="B17" s="12" t="s">
        <v>26</v>
      </c>
      <c r="C17" s="13" t="n">
        <f aca="false">'2026 Forecast A'!D8</f>
        <v>156807</v>
      </c>
      <c r="D17" s="13" t="n">
        <f aca="false">'2026 Forecast A'!E8</f>
        <v>140084</v>
      </c>
      <c r="E17" s="13" t="n">
        <f aca="false">'2026 Forecast A'!F8</f>
        <v>296891</v>
      </c>
      <c r="F17" s="14" t="n">
        <f aca="false">'2026 Forecast A'!G8</f>
        <v>0.528163534765284</v>
      </c>
      <c r="G17" s="15" t="n">
        <f aca="false">'2026 Forecast A'!J8</f>
        <v>1.94099821797907</v>
      </c>
      <c r="H17" s="12" t="str">
        <f aca="false">TEXT('2026 Forecast A'!K8,"0.0%")&amp;" – "&amp;TEXT('2026 Forecast A'!L8,"0.0%")</f>
        <v>50.9% – 54.8%</v>
      </c>
      <c r="I17" s="13" t="n">
        <f aca="false">'2026 Forecast A'!M8</f>
        <v>5763</v>
      </c>
    </row>
    <row r="18" customFormat="false" ht="15" hidden="false" customHeight="false" outlineLevel="0" collapsed="false">
      <c r="A18" s="11" t="s">
        <v>27</v>
      </c>
      <c r="B18" s="12" t="s">
        <v>28</v>
      </c>
      <c r="C18" s="13" t="n">
        <f aca="false">'2026 Forecast B'!D8</f>
        <v>156809</v>
      </c>
      <c r="D18" s="13" t="n">
        <f aca="false">'2026 Forecast B'!E8</f>
        <v>140082</v>
      </c>
      <c r="E18" s="13" t="n">
        <f aca="false">'2026 Forecast B'!F8</f>
        <v>296891</v>
      </c>
      <c r="F18" s="14" t="n">
        <f aca="false">'2026 Forecast B'!G8</f>
        <v>0.528170271244329</v>
      </c>
      <c r="G18" s="15" t="n">
        <f aca="false">'2026 Forecast B'!J8</f>
        <v>1.94022906412522</v>
      </c>
      <c r="H18" s="12" t="str">
        <f aca="false">TEXT('2026 Forecast B'!K8,"0.0%")&amp;" – "&amp;TEXT('2026 Forecast B'!L8,"0.0%")</f>
        <v>50.9% – 54.8%</v>
      </c>
      <c r="I18" s="13" t="n">
        <f aca="false">'2026 Forecast B'!M8</f>
        <v>5760</v>
      </c>
    </row>
    <row r="19" customFormat="false" ht="15" hidden="false" customHeight="false" outlineLevel="0" collapsed="false">
      <c r="A19" s="11" t="s">
        <v>29</v>
      </c>
      <c r="B19" s="12" t="s">
        <v>30</v>
      </c>
      <c r="C19" s="13" t="n">
        <f aca="false">'2026 Forecast C'!D8</f>
        <v>156805</v>
      </c>
      <c r="D19" s="13" t="n">
        <f aca="false">'2026 Forecast C'!E8</f>
        <v>140086</v>
      </c>
      <c r="E19" s="13" t="n">
        <f aca="false">'2026 Forecast C'!F8</f>
        <v>296891</v>
      </c>
      <c r="F19" s="14" t="n">
        <f aca="false">'2026 Forecast C'!G8</f>
        <v>0.52815679828624</v>
      </c>
      <c r="G19" s="15" t="n">
        <f aca="false">'2026 Forecast C'!J8</f>
        <v>1.94125460259702</v>
      </c>
      <c r="H19" s="12" t="str">
        <f aca="false">TEXT('2026 Forecast C'!K8,"0.0%")&amp;" – "&amp;TEXT('2026 Forecast C'!L8,"0.0%")</f>
        <v>50.9% – 54.8%</v>
      </c>
      <c r="I19" s="13" t="n">
        <f aca="false">'2026 Forecast C'!M8</f>
        <v>5763</v>
      </c>
    </row>
    <row r="21" customFormat="false" ht="15" hidden="false" customHeight="false" outlineLevel="0" collapsed="false">
      <c r="A21" s="4" t="s">
        <v>31</v>
      </c>
      <c r="B21" s="4"/>
      <c r="C21" s="4"/>
      <c r="D21" s="4"/>
      <c r="E21" s="4"/>
      <c r="F21" s="4"/>
      <c r="G21" s="4"/>
      <c r="H21" s="4"/>
      <c r="I21" s="4"/>
    </row>
    <row r="22" customFormat="false" ht="45" hidden="false" customHeight="true" outlineLevel="0" collapsed="false">
      <c r="A22" s="7" t="s">
        <v>16</v>
      </c>
      <c r="B22" s="7" t="s">
        <v>32</v>
      </c>
      <c r="C22" s="7" t="s">
        <v>33</v>
      </c>
      <c r="D22" s="7" t="s">
        <v>34</v>
      </c>
      <c r="E22" s="7" t="s">
        <v>35</v>
      </c>
      <c r="F22" s="7" t="s">
        <v>36</v>
      </c>
      <c r="G22" s="7" t="s">
        <v>37</v>
      </c>
      <c r="H22" s="7" t="s">
        <v>38</v>
      </c>
      <c r="I22" s="7" t="s">
        <v>39</v>
      </c>
    </row>
    <row r="23" customFormat="false" ht="15" hidden="false" customHeight="false" outlineLevel="0" collapsed="false">
      <c r="A23" s="16" t="s">
        <v>25</v>
      </c>
      <c r="B23" s="17" t="n">
        <f aca="false">'2024 Backtest A'!F103</f>
        <v>89</v>
      </c>
      <c r="C23" s="18" t="n">
        <f aca="false">'2024 Backtest A'!F97</f>
        <v>2.44931557703106</v>
      </c>
      <c r="D23" s="18" t="n">
        <f aca="false">'2024 Backtest A'!F98</f>
        <v>2.9050972382141</v>
      </c>
      <c r="E23" s="19" t="n">
        <f aca="false">'2024 Backtest A'!F99</f>
        <v>1.94099821797907</v>
      </c>
      <c r="F23" s="18" t="n">
        <f aca="false">'2024 Backtest A'!F100</f>
        <v>1.80989801231705</v>
      </c>
      <c r="G23" s="20" t="n">
        <f aca="false">'2024 Backtest A'!F102</f>
        <v>0.707865168539326</v>
      </c>
      <c r="H23" s="21" t="n">
        <f aca="false">'2024 Backtest A'!F95</f>
        <v>84.9213483146068</v>
      </c>
      <c r="I23" s="22" t="n">
        <f aca="false">'2024 Backtest A'!F101</f>
        <v>-0.0329148008747526</v>
      </c>
    </row>
    <row r="24" customFormat="false" ht="15" hidden="false" customHeight="false" outlineLevel="0" collapsed="false">
      <c r="A24" s="16" t="s">
        <v>27</v>
      </c>
      <c r="B24" s="17" t="n">
        <f aca="false">'2024 Backtest B'!F103</f>
        <v>89</v>
      </c>
      <c r="C24" s="18" t="n">
        <f aca="false">'2024 Backtest B'!F97</f>
        <v>2.53509626769713</v>
      </c>
      <c r="D24" s="18" t="n">
        <f aca="false">'2024 Backtest B'!F98</f>
        <v>3.04993145051404</v>
      </c>
      <c r="E24" s="19" t="n">
        <f aca="false">'2024 Backtest B'!F99</f>
        <v>1.94022906412522</v>
      </c>
      <c r="F24" s="18" t="n">
        <f aca="false">'2024 Backtest B'!F100</f>
        <v>1.98681006437933</v>
      </c>
      <c r="G24" s="20" t="n">
        <f aca="false">'2024 Backtest B'!F102</f>
        <v>0.685393258426966</v>
      </c>
      <c r="H24" s="21" t="n">
        <f aca="false">'2024 Backtest B'!F95</f>
        <v>81.6741573033708</v>
      </c>
      <c r="I24" s="22" t="n">
        <f aca="false">'2024 Backtest B'!F101</f>
        <v>-0.0329148008747526</v>
      </c>
    </row>
    <row r="25" customFormat="false" ht="15" hidden="false" customHeight="false" outlineLevel="0" collapsed="false">
      <c r="A25" s="16" t="s">
        <v>29</v>
      </c>
      <c r="B25" s="17" t="n">
        <f aca="false">'2024 Backtest C'!F103</f>
        <v>89</v>
      </c>
      <c r="C25" s="18" t="n">
        <f aca="false">'2024 Backtest C'!F97</f>
        <v>1.81661937288835</v>
      </c>
      <c r="D25" s="18" t="n">
        <f aca="false">'2024 Backtest C'!F98</f>
        <v>2.31245520615898</v>
      </c>
      <c r="E25" s="19" t="n">
        <f aca="false">'2024 Backtest C'!F99</f>
        <v>1.94125460259702</v>
      </c>
      <c r="F25" s="18" t="n">
        <f aca="false">'2024 Backtest C'!F100</f>
        <v>1.89912080414483</v>
      </c>
      <c r="G25" s="20" t="n">
        <f aca="false">'2024 Backtest C'!F102</f>
        <v>0.797752808988764</v>
      </c>
      <c r="H25" s="21" t="n">
        <f aca="false">'2024 Backtest C'!F95</f>
        <v>93.9213483146068</v>
      </c>
      <c r="I25" s="22" t="n">
        <f aca="false">'2024 Backtest C'!F101</f>
        <v>-0.0329148008747526</v>
      </c>
    </row>
    <row r="26" customFormat="false" ht="15" hidden="false" customHeight="false" outlineLevel="0" collapsed="false">
      <c r="A26" s="23" t="s">
        <v>40</v>
      </c>
      <c r="B26" s="23"/>
      <c r="C26" s="23"/>
      <c r="D26" s="23"/>
      <c r="E26" s="23"/>
      <c r="F26" s="23"/>
      <c r="G26" s="23"/>
      <c r="H26" s="23"/>
      <c r="I26" s="23"/>
    </row>
    <row r="28" customFormat="false" ht="15" hidden="false" customHeight="false" outlineLevel="0" collapsed="false">
      <c r="A28" s="4" t="s">
        <v>41</v>
      </c>
      <c r="B28" s="4"/>
      <c r="C28" s="4"/>
      <c r="D28" s="4"/>
      <c r="E28" s="4"/>
      <c r="F28" s="4"/>
      <c r="G28" s="4"/>
      <c r="H28" s="4"/>
      <c r="I28" s="4"/>
      <c r="J28" s="4"/>
      <c r="K28" s="4"/>
      <c r="L28" s="4"/>
    </row>
    <row r="29" customFormat="false" ht="31.5" hidden="false" customHeight="true" outlineLevel="0" collapsed="false">
      <c r="A29" s="7" t="s">
        <v>42</v>
      </c>
      <c r="B29" s="7" t="s">
        <v>43</v>
      </c>
      <c r="C29" s="7" t="s">
        <v>44</v>
      </c>
      <c r="D29" s="7" t="s">
        <v>25</v>
      </c>
      <c r="E29" s="7" t="s">
        <v>27</v>
      </c>
      <c r="F29" s="7" t="s">
        <v>29</v>
      </c>
      <c r="G29" s="7" t="s">
        <v>45</v>
      </c>
      <c r="H29" s="7" t="s">
        <v>46</v>
      </c>
      <c r="I29" s="7" t="s">
        <v>47</v>
      </c>
      <c r="J29" s="7" t="s">
        <v>48</v>
      </c>
      <c r="K29" s="7" t="s">
        <v>49</v>
      </c>
      <c r="L29" s="7" t="s">
        <v>50</v>
      </c>
    </row>
    <row r="30" customFormat="false" ht="15" hidden="false" customHeight="false" outlineLevel="0" collapsed="false">
      <c r="A30" s="8" t="str">
        <f aca="false">'2026 Forecast A'!A12</f>
        <v>Carbon</v>
      </c>
      <c r="B30" s="8" t="str">
        <f aca="false">'2026 Forecast A'!B12</f>
        <v>BANKS TOWNSHIP</v>
      </c>
      <c r="C30" s="8" t="str">
        <f aca="false">'2026 Forecast A'!C12</f>
        <v>(whole municipality)</v>
      </c>
      <c r="D30" s="9" t="n">
        <f aca="false">'2026 Forecast A'!G12</f>
        <v>0.422279792746114</v>
      </c>
      <c r="E30" s="9" t="n">
        <f aca="false">'2026 Forecast B'!G12</f>
        <v>0.427461139896373</v>
      </c>
      <c r="F30" s="9" t="n">
        <f aca="false">'2026 Forecast C'!G12</f>
        <v>0.427461139896373</v>
      </c>
      <c r="G30" s="24" t="n">
        <f aca="false">(MAX(D30:F30)-MIN(D30:F30))*100</f>
        <v>0.518134715025909</v>
      </c>
      <c r="H30" s="24" t="n">
        <f aca="false">'2026 Forecast A'!J12</f>
        <v>2.52713458577249</v>
      </c>
      <c r="I30" s="24" t="n">
        <f aca="false">'2026 Forecast B'!J12</f>
        <v>2.70598815047927</v>
      </c>
      <c r="J30" s="24" t="n">
        <f aca="false">'2026 Forecast C'!J12</f>
        <v>2.39925188023053</v>
      </c>
      <c r="K30" s="25" t="n">
        <f aca="false">'2026 Forecast A'!F12</f>
        <v>386</v>
      </c>
      <c r="L30" s="26" t="str">
        <f aca="false">IF(OR(AND(D30&gt;0.5,E30&gt;0.5,F30&gt;0.5),AND(D30&lt;0.5,E30&lt;0.5,F30&lt;0.5)),"Yes","No — toss-up")</f>
        <v>Yes</v>
      </c>
    </row>
    <row r="31" customFormat="false" ht="15" hidden="false" customHeight="false" outlineLevel="0" collapsed="false">
      <c r="A31" s="8" t="str">
        <f aca="false">'2026 Forecast A'!A13</f>
        <v>Carbon</v>
      </c>
      <c r="B31" s="8" t="str">
        <f aca="false">'2026 Forecast A'!B13</f>
        <v>BEAVER MEADOWS BOROUGH</v>
      </c>
      <c r="C31" s="8" t="str">
        <f aca="false">'2026 Forecast A'!C13</f>
        <v>(whole municipality)</v>
      </c>
      <c r="D31" s="9" t="n">
        <f aca="false">'2026 Forecast A'!G13</f>
        <v>0.321656050955414</v>
      </c>
      <c r="E31" s="9" t="n">
        <f aca="false">'2026 Forecast B'!G13</f>
        <v>0.32484076433121</v>
      </c>
      <c r="F31" s="9" t="n">
        <f aca="false">'2026 Forecast C'!G13</f>
        <v>0.312101910828025</v>
      </c>
      <c r="G31" s="24" t="n">
        <f aca="false">(MAX(D31:F31)-MIN(D31:F31))*100</f>
        <v>1.27388535031847</v>
      </c>
      <c r="H31" s="24" t="n">
        <f aca="false">'2026 Forecast A'!J13</f>
        <v>2.52713458577249</v>
      </c>
      <c r="I31" s="24" t="n">
        <f aca="false">'2026 Forecast B'!J13</f>
        <v>2.70598815047927</v>
      </c>
      <c r="J31" s="24" t="n">
        <f aca="false">'2026 Forecast C'!J13</f>
        <v>2.39925188023053</v>
      </c>
      <c r="K31" s="25" t="n">
        <f aca="false">'2026 Forecast A'!F13</f>
        <v>314</v>
      </c>
      <c r="L31" s="26" t="str">
        <f aca="false">IF(OR(AND(D31&gt;0.5,E31&gt;0.5,F31&gt;0.5),AND(D31&lt;0.5,E31&lt;0.5,F31&lt;0.5)),"Yes","No — toss-up")</f>
        <v>Yes</v>
      </c>
    </row>
    <row r="32" customFormat="false" ht="15" hidden="false" customHeight="false" outlineLevel="0" collapsed="false">
      <c r="A32" s="8" t="str">
        <f aca="false">'2026 Forecast A'!A14</f>
        <v>Carbon</v>
      </c>
      <c r="B32" s="8" t="str">
        <f aca="false">'2026 Forecast A'!B14</f>
        <v>BOWMANSTOWN BOROUGH</v>
      </c>
      <c r="C32" s="8" t="str">
        <f aca="false">'2026 Forecast A'!C14</f>
        <v>(whole municipality)</v>
      </c>
      <c r="D32" s="9" t="n">
        <f aca="false">'2026 Forecast A'!G14</f>
        <v>0.364942528735632</v>
      </c>
      <c r="E32" s="9" t="n">
        <f aca="false">'2026 Forecast B'!G14</f>
        <v>0.367816091954023</v>
      </c>
      <c r="F32" s="9" t="n">
        <f aca="false">'2026 Forecast C'!G14</f>
        <v>0.353448275862069</v>
      </c>
      <c r="G32" s="24" t="n">
        <f aca="false">(MAX(D32:F32)-MIN(D32:F32))*100</f>
        <v>1.4367816091954</v>
      </c>
      <c r="H32" s="24" t="n">
        <f aca="false">'2026 Forecast A'!J14</f>
        <v>2.52713458577249</v>
      </c>
      <c r="I32" s="24" t="n">
        <f aca="false">'2026 Forecast B'!J14</f>
        <v>2.70598815047927</v>
      </c>
      <c r="J32" s="24" t="n">
        <f aca="false">'2026 Forecast C'!J14</f>
        <v>2.39925188023053</v>
      </c>
      <c r="K32" s="25" t="n">
        <f aca="false">'2026 Forecast A'!F14</f>
        <v>348</v>
      </c>
      <c r="L32" s="26" t="str">
        <f aca="false">IF(OR(AND(D32&gt;0.5,E32&gt;0.5,F32&gt;0.5),AND(D32&lt;0.5,E32&lt;0.5,F32&lt;0.5)),"Yes","No — toss-up")</f>
        <v>Yes</v>
      </c>
    </row>
    <row r="33" customFormat="false" ht="15" hidden="false" customHeight="false" outlineLevel="0" collapsed="false">
      <c r="A33" s="8" t="str">
        <f aca="false">'2026 Forecast A'!A15</f>
        <v>Carbon</v>
      </c>
      <c r="B33" s="8" t="str">
        <f aca="false">'2026 Forecast A'!B15</f>
        <v>EAST PENN TOWNSHIP</v>
      </c>
      <c r="C33" s="8" t="str">
        <f aca="false">'2026 Forecast A'!C15</f>
        <v>(whole municipality)</v>
      </c>
      <c r="D33" s="9" t="n">
        <f aca="false">'2026 Forecast A'!G15</f>
        <v>0.311488049344641</v>
      </c>
      <c r="E33" s="9" t="n">
        <f aca="false">'2026 Forecast B'!G15</f>
        <v>0.315343099460293</v>
      </c>
      <c r="F33" s="9" t="n">
        <f aca="false">'2026 Forecast C'!G15</f>
        <v>0.296067848882035</v>
      </c>
      <c r="G33" s="24" t="n">
        <f aca="false">(MAX(D33:F33)-MIN(D33:F33))*100</f>
        <v>1.92752505782575</v>
      </c>
      <c r="H33" s="24" t="n">
        <f aca="false">'2026 Forecast A'!J15</f>
        <v>2.52713458577249</v>
      </c>
      <c r="I33" s="24" t="n">
        <f aca="false">'2026 Forecast B'!J15</f>
        <v>2.70598815047927</v>
      </c>
      <c r="J33" s="24" t="n">
        <f aca="false">'2026 Forecast C'!J15</f>
        <v>2.39925188023053</v>
      </c>
      <c r="K33" s="25" t="n">
        <f aca="false">'2026 Forecast A'!F15</f>
        <v>1297</v>
      </c>
      <c r="L33" s="26" t="str">
        <f aca="false">IF(OR(AND(D33&gt;0.5,E33&gt;0.5,F33&gt;0.5),AND(D33&lt;0.5,E33&lt;0.5,F33&lt;0.5)),"Yes","No — toss-up")</f>
        <v>Yes</v>
      </c>
    </row>
    <row r="34" customFormat="false" ht="15" hidden="false" customHeight="false" outlineLevel="0" collapsed="false">
      <c r="A34" s="8" t="str">
        <f aca="false">'2026 Forecast A'!A16</f>
        <v>Carbon</v>
      </c>
      <c r="B34" s="8" t="str">
        <f aca="false">'2026 Forecast A'!B16</f>
        <v>EAST SIDE BOROUGH</v>
      </c>
      <c r="C34" s="8" t="str">
        <f aca="false">'2026 Forecast A'!C16</f>
        <v>(whole municipality)</v>
      </c>
      <c r="D34" s="9" t="n">
        <f aca="false">'2026 Forecast A'!G16</f>
        <v>0.382978723404255</v>
      </c>
      <c r="E34" s="9" t="n">
        <f aca="false">'2026 Forecast B'!G16</f>
        <v>0.382978723404255</v>
      </c>
      <c r="F34" s="9" t="n">
        <f aca="false">'2026 Forecast C'!G16</f>
        <v>0.372340425531915</v>
      </c>
      <c r="G34" s="24" t="n">
        <f aca="false">(MAX(D34:F34)-MIN(D34:F34))*100</f>
        <v>1.06382978723404</v>
      </c>
      <c r="H34" s="24" t="n">
        <f aca="false">'2026 Forecast A'!J16</f>
        <v>2.52713458577249</v>
      </c>
      <c r="I34" s="24" t="n">
        <f aca="false">'2026 Forecast B'!J16</f>
        <v>2.70598815047927</v>
      </c>
      <c r="J34" s="24" t="n">
        <f aca="false">'2026 Forecast C'!J16</f>
        <v>2.39925188023053</v>
      </c>
      <c r="K34" s="25" t="n">
        <f aca="false">'2026 Forecast A'!F16</f>
        <v>94</v>
      </c>
      <c r="L34" s="26" t="str">
        <f aca="false">IF(OR(AND(D34&gt;0.5,E34&gt;0.5,F34&gt;0.5),AND(D34&lt;0.5,E34&lt;0.5,F34&lt;0.5)),"Yes","No — toss-up")</f>
        <v>Yes</v>
      </c>
    </row>
    <row r="35" customFormat="false" ht="15" hidden="false" customHeight="false" outlineLevel="0" collapsed="false">
      <c r="A35" s="8" t="str">
        <f aca="false">'2026 Forecast A'!A17</f>
        <v>Carbon</v>
      </c>
      <c r="B35" s="8" t="str">
        <f aca="false">'2026 Forecast A'!B17</f>
        <v>FRANKLIN TOWNSHIP</v>
      </c>
      <c r="C35" s="8" t="str">
        <f aca="false">'2026 Forecast A'!C17</f>
        <v>(whole municipality)</v>
      </c>
      <c r="D35" s="9" t="n">
        <f aca="false">'2026 Forecast A'!G17</f>
        <v>0.322267620020429</v>
      </c>
      <c r="E35" s="9" t="n">
        <f aca="false">'2026 Forecast B'!G17</f>
        <v>0.319713993871297</v>
      </c>
      <c r="F35" s="9" t="n">
        <f aca="false">'2026 Forecast C'!G17</f>
        <v>0.308988764044944</v>
      </c>
      <c r="G35" s="24" t="n">
        <f aca="false">(MAX(D35:F35)-MIN(D35:F35))*100</f>
        <v>1.32788559754852</v>
      </c>
      <c r="H35" s="24" t="n">
        <f aca="false">'2026 Forecast A'!J17</f>
        <v>1.48763296796655</v>
      </c>
      <c r="I35" s="24" t="n">
        <f aca="false">'2026 Forecast B'!J17</f>
        <v>1.7997491277276</v>
      </c>
      <c r="J35" s="24" t="n">
        <f aca="false">'2026 Forecast C'!J17</f>
        <v>1.3223778391408</v>
      </c>
      <c r="K35" s="25" t="n">
        <f aca="false">'2026 Forecast A'!F17</f>
        <v>1958</v>
      </c>
      <c r="L35" s="26" t="str">
        <f aca="false">IF(OR(AND(D35&gt;0.5,E35&gt;0.5,F35&gt;0.5),AND(D35&lt;0.5,E35&lt;0.5,F35&lt;0.5)),"Yes","No — toss-up")</f>
        <v>Yes</v>
      </c>
    </row>
    <row r="36" customFormat="false" ht="15" hidden="false" customHeight="false" outlineLevel="0" collapsed="false">
      <c r="A36" s="8" t="str">
        <f aca="false">'2026 Forecast A'!A18</f>
        <v>Carbon</v>
      </c>
      <c r="B36" s="8" t="str">
        <f aca="false">'2026 Forecast A'!B18</f>
        <v>JIM THORPE BOROUGH</v>
      </c>
      <c r="C36" s="8" t="str">
        <f aca="false">'2026 Forecast A'!C18</f>
        <v>(whole municipality)</v>
      </c>
      <c r="D36" s="9" t="n">
        <f aca="false">'2026 Forecast A'!G18</f>
        <v>0.4812734082397</v>
      </c>
      <c r="E36" s="9" t="n">
        <f aca="false">'2026 Forecast B'!G18</f>
        <v>0.481741573033708</v>
      </c>
      <c r="F36" s="9" t="n">
        <f aca="false">'2026 Forecast C'!G18</f>
        <v>0.477059925093633</v>
      </c>
      <c r="G36" s="24" t="n">
        <f aca="false">(MAX(D36:F36)-MIN(D36:F36))*100</f>
        <v>0.468164794007486</v>
      </c>
      <c r="H36" s="24" t="n">
        <f aca="false">'2026 Forecast A'!J18</f>
        <v>1.48763296796655</v>
      </c>
      <c r="I36" s="24" t="n">
        <f aca="false">'2026 Forecast B'!J18</f>
        <v>1.7997491277276</v>
      </c>
      <c r="J36" s="24" t="n">
        <f aca="false">'2026 Forecast C'!J18</f>
        <v>1.3223778391408</v>
      </c>
      <c r="K36" s="25" t="n">
        <f aca="false">'2026 Forecast A'!F18</f>
        <v>2136</v>
      </c>
      <c r="L36" s="26" t="str">
        <f aca="false">IF(OR(AND(D36&gt;0.5,E36&gt;0.5,F36&gt;0.5),AND(D36&lt;0.5,E36&lt;0.5,F36&lt;0.5)),"Yes","No — toss-up")</f>
        <v>Yes</v>
      </c>
    </row>
    <row r="37" customFormat="false" ht="15" hidden="false" customHeight="false" outlineLevel="0" collapsed="false">
      <c r="A37" s="8" t="str">
        <f aca="false">'2026 Forecast A'!A19</f>
        <v>Carbon</v>
      </c>
      <c r="B37" s="8" t="str">
        <f aca="false">'2026 Forecast A'!B19</f>
        <v>KIDDER TOWNSHIP</v>
      </c>
      <c r="C37" s="8" t="str">
        <f aca="false">'2026 Forecast A'!C19</f>
        <v>(whole municipality)</v>
      </c>
      <c r="D37" s="9" t="n">
        <f aca="false">'2026 Forecast A'!G19</f>
        <v>0.371565113500597</v>
      </c>
      <c r="E37" s="9" t="n">
        <f aca="false">'2026 Forecast B'!G19</f>
        <v>0.373954599761051</v>
      </c>
      <c r="F37" s="9" t="n">
        <f aca="false">'2026 Forecast C'!G19</f>
        <v>0.356033452807646</v>
      </c>
      <c r="G37" s="24" t="n">
        <f aca="false">(MAX(D37:F37)-MIN(D37:F37))*100</f>
        <v>1.7921146953405</v>
      </c>
      <c r="H37" s="24" t="n">
        <f aca="false">'2026 Forecast A'!J19</f>
        <v>2.52713458577249</v>
      </c>
      <c r="I37" s="24" t="n">
        <f aca="false">'2026 Forecast B'!J19</f>
        <v>2.70598815047927</v>
      </c>
      <c r="J37" s="24" t="n">
        <f aca="false">'2026 Forecast C'!J19</f>
        <v>2.39925188023053</v>
      </c>
      <c r="K37" s="25" t="n">
        <f aca="false">'2026 Forecast A'!F19</f>
        <v>837</v>
      </c>
      <c r="L37" s="26" t="str">
        <f aca="false">IF(OR(AND(D37&gt;0.5,E37&gt;0.5,F37&gt;0.5),AND(D37&lt;0.5,E37&lt;0.5,F37&lt;0.5)),"Yes","No — toss-up")</f>
        <v>Yes</v>
      </c>
    </row>
    <row r="38" customFormat="false" ht="15" hidden="false" customHeight="false" outlineLevel="0" collapsed="false">
      <c r="A38" s="8" t="str">
        <f aca="false">'2026 Forecast A'!A20</f>
        <v>Carbon</v>
      </c>
      <c r="B38" s="8" t="str">
        <f aca="false">'2026 Forecast A'!B20</f>
        <v>LANSFORD BOROUGH</v>
      </c>
      <c r="C38" s="8" t="str">
        <f aca="false">'2026 Forecast A'!C20</f>
        <v>(whole municipality)</v>
      </c>
      <c r="D38" s="9" t="n">
        <f aca="false">'2026 Forecast A'!G20</f>
        <v>0.438</v>
      </c>
      <c r="E38" s="9" t="n">
        <f aca="false">'2026 Forecast B'!G20</f>
        <v>0.446</v>
      </c>
      <c r="F38" s="9" t="n">
        <f aca="false">'2026 Forecast C'!G20</f>
        <v>0.44</v>
      </c>
      <c r="G38" s="24" t="n">
        <f aca="false">(MAX(D38:F38)-MIN(D38:F38))*100</f>
        <v>0.800000000000001</v>
      </c>
      <c r="H38" s="24" t="n">
        <f aca="false">'2026 Forecast A'!J20</f>
        <v>2.52713458577249</v>
      </c>
      <c r="I38" s="24" t="n">
        <f aca="false">'2026 Forecast B'!J20</f>
        <v>2.70598815047927</v>
      </c>
      <c r="J38" s="24" t="n">
        <f aca="false">'2026 Forecast C'!J20</f>
        <v>2.39925188023053</v>
      </c>
      <c r="K38" s="25" t="n">
        <f aca="false">'2026 Forecast A'!F20</f>
        <v>1000</v>
      </c>
      <c r="L38" s="26" t="str">
        <f aca="false">IF(OR(AND(D38&gt;0.5,E38&gt;0.5,F38&gt;0.5),AND(D38&lt;0.5,E38&lt;0.5,F38&lt;0.5)),"Yes","No — toss-up")</f>
        <v>Yes</v>
      </c>
    </row>
    <row r="39" customFormat="false" ht="15" hidden="false" customHeight="false" outlineLevel="0" collapsed="false">
      <c r="A39" s="8" t="str">
        <f aca="false">'2026 Forecast A'!A21</f>
        <v>Carbon</v>
      </c>
      <c r="B39" s="8" t="str">
        <f aca="false">'2026 Forecast A'!B21</f>
        <v>LAUSANNE TOWNSHIP</v>
      </c>
      <c r="C39" s="8" t="str">
        <f aca="false">'2026 Forecast A'!C21</f>
        <v>(whole municipality)</v>
      </c>
      <c r="D39" s="9" t="n">
        <f aca="false">'2026 Forecast A'!G21</f>
        <v>0.321739130434783</v>
      </c>
      <c r="E39" s="9" t="n">
        <f aca="false">'2026 Forecast B'!G21</f>
        <v>0.321739130434783</v>
      </c>
      <c r="F39" s="9" t="n">
        <f aca="false">'2026 Forecast C'!G21</f>
        <v>0.304347826086957</v>
      </c>
      <c r="G39" s="24" t="n">
        <f aca="false">(MAX(D39:F39)-MIN(D39:F39))*100</f>
        <v>1.7391304347826</v>
      </c>
      <c r="H39" s="24" t="n">
        <f aca="false">'2026 Forecast A'!J21</f>
        <v>2.52713458577249</v>
      </c>
      <c r="I39" s="24" t="n">
        <f aca="false">'2026 Forecast B'!J21</f>
        <v>2.70598815047927</v>
      </c>
      <c r="J39" s="24" t="n">
        <f aca="false">'2026 Forecast C'!J21</f>
        <v>2.39925188023053</v>
      </c>
      <c r="K39" s="25" t="n">
        <f aca="false">'2026 Forecast A'!F21</f>
        <v>115</v>
      </c>
      <c r="L39" s="26" t="str">
        <f aca="false">IF(OR(AND(D39&gt;0.5,E39&gt;0.5,F39&gt;0.5),AND(D39&lt;0.5,E39&lt;0.5,F39&lt;0.5)),"Yes","No — toss-up")</f>
        <v>Yes</v>
      </c>
    </row>
    <row r="40" customFormat="false" ht="15" hidden="false" customHeight="false" outlineLevel="0" collapsed="false">
      <c r="A40" s="8" t="str">
        <f aca="false">'2026 Forecast A'!A22</f>
        <v>Carbon</v>
      </c>
      <c r="B40" s="8" t="str">
        <f aca="false">'2026 Forecast A'!B22</f>
        <v>LEHIGH TOWNSHIP</v>
      </c>
      <c r="C40" s="8" t="str">
        <f aca="false">'2026 Forecast A'!C22</f>
        <v>(whole municipality)</v>
      </c>
      <c r="D40" s="9" t="n">
        <f aca="false">'2026 Forecast A'!G22</f>
        <v>0.244813278008299</v>
      </c>
      <c r="E40" s="9" t="n">
        <f aca="false">'2026 Forecast B'!G22</f>
        <v>0.253112033195021</v>
      </c>
      <c r="F40" s="9" t="n">
        <f aca="false">'2026 Forecast C'!G22</f>
        <v>0.215767634854772</v>
      </c>
      <c r="G40" s="24" t="n">
        <f aca="false">(MAX(D40:F40)-MIN(D40:F40))*100</f>
        <v>3.73443983402489</v>
      </c>
      <c r="H40" s="24" t="n">
        <f aca="false">'2026 Forecast A'!J22</f>
        <v>2.52713458577249</v>
      </c>
      <c r="I40" s="24" t="n">
        <f aca="false">'2026 Forecast B'!J22</f>
        <v>2.70598815047927</v>
      </c>
      <c r="J40" s="24" t="n">
        <f aca="false">'2026 Forecast C'!J22</f>
        <v>2.39925188023053</v>
      </c>
      <c r="K40" s="25" t="n">
        <f aca="false">'2026 Forecast A'!F22</f>
        <v>241</v>
      </c>
      <c r="L40" s="26" t="str">
        <f aca="false">IF(OR(AND(D40&gt;0.5,E40&gt;0.5,F40&gt;0.5),AND(D40&lt;0.5,E40&lt;0.5,F40&lt;0.5)),"Yes","No — toss-up")</f>
        <v>Yes</v>
      </c>
    </row>
    <row r="41" customFormat="false" ht="15" hidden="false" customHeight="false" outlineLevel="0" collapsed="false">
      <c r="A41" s="8" t="str">
        <f aca="false">'2026 Forecast A'!A23</f>
        <v>Carbon</v>
      </c>
      <c r="B41" s="8" t="str">
        <f aca="false">'2026 Forecast A'!B23</f>
        <v>LEHIGHTON BOROUGH</v>
      </c>
      <c r="C41" s="8" t="str">
        <f aca="false">'2026 Forecast A'!C23</f>
        <v>(whole municipality)</v>
      </c>
      <c r="D41" s="9" t="n">
        <f aca="false">'2026 Forecast A'!G23</f>
        <v>0.437312537492502</v>
      </c>
      <c r="E41" s="9" t="n">
        <f aca="false">'2026 Forecast B'!G23</f>
        <v>0.442111577684463</v>
      </c>
      <c r="F41" s="9" t="n">
        <f aca="false">'2026 Forecast C'!G23</f>
        <v>0.428914217156569</v>
      </c>
      <c r="G41" s="24" t="n">
        <f aca="false">(MAX(D41:F41)-MIN(D41:F41))*100</f>
        <v>1.31973605278944</v>
      </c>
      <c r="H41" s="24" t="n">
        <f aca="false">'2026 Forecast A'!J23</f>
        <v>1.48763296796655</v>
      </c>
      <c r="I41" s="24" t="n">
        <f aca="false">'2026 Forecast B'!J23</f>
        <v>1.7997491277276</v>
      </c>
      <c r="J41" s="24" t="n">
        <f aca="false">'2026 Forecast C'!J23</f>
        <v>1.3223778391408</v>
      </c>
      <c r="K41" s="25" t="n">
        <f aca="false">'2026 Forecast A'!F23</f>
        <v>1667</v>
      </c>
      <c r="L41" s="26" t="str">
        <f aca="false">IF(OR(AND(D41&gt;0.5,E41&gt;0.5,F41&gt;0.5),AND(D41&lt;0.5,E41&lt;0.5,F41&lt;0.5)),"Yes","No — toss-up")</f>
        <v>Yes</v>
      </c>
    </row>
    <row r="42" customFormat="false" ht="15" hidden="false" customHeight="false" outlineLevel="0" collapsed="false">
      <c r="A42" s="8" t="str">
        <f aca="false">'2026 Forecast A'!A24</f>
        <v>Carbon</v>
      </c>
      <c r="B42" s="8" t="str">
        <f aca="false">'2026 Forecast A'!B24</f>
        <v>LOWER TOWAMENSING TOWNSHIP</v>
      </c>
      <c r="C42" s="8" t="str">
        <f aca="false">'2026 Forecast A'!C24</f>
        <v>(whole municipality)</v>
      </c>
      <c r="D42" s="9" t="n">
        <f aca="false">'2026 Forecast A'!G24</f>
        <v>0.335809806835067</v>
      </c>
      <c r="E42" s="9" t="n">
        <f aca="false">'2026 Forecast B'!G24</f>
        <v>0.339524517087667</v>
      </c>
      <c r="F42" s="9" t="n">
        <f aca="false">'2026 Forecast C'!G24</f>
        <v>0.323179791976226</v>
      </c>
      <c r="G42" s="24" t="n">
        <f aca="false">(MAX(D42:F42)-MIN(D42:F42))*100</f>
        <v>1.63447251114413</v>
      </c>
      <c r="H42" s="24" t="n">
        <f aca="false">'2026 Forecast A'!J24</f>
        <v>2.52713458577249</v>
      </c>
      <c r="I42" s="24" t="n">
        <f aca="false">'2026 Forecast B'!J24</f>
        <v>2.70598815047927</v>
      </c>
      <c r="J42" s="24" t="n">
        <f aca="false">'2026 Forecast C'!J24</f>
        <v>2.39925188023053</v>
      </c>
      <c r="K42" s="25" t="n">
        <f aca="false">'2026 Forecast A'!F24</f>
        <v>1346</v>
      </c>
      <c r="L42" s="26" t="str">
        <f aca="false">IF(OR(AND(D42&gt;0.5,E42&gt;0.5,F42&gt;0.5),AND(D42&lt;0.5,E42&lt;0.5,F42&lt;0.5)),"Yes","No — toss-up")</f>
        <v>Yes</v>
      </c>
    </row>
    <row r="43" customFormat="false" ht="15" hidden="false" customHeight="false" outlineLevel="0" collapsed="false">
      <c r="A43" s="8" t="str">
        <f aca="false">'2026 Forecast A'!A25</f>
        <v>Carbon</v>
      </c>
      <c r="B43" s="8" t="str">
        <f aca="false">'2026 Forecast A'!B25</f>
        <v>MAHONING TOWNSHIP</v>
      </c>
      <c r="C43" s="8" t="str">
        <f aca="false">'2026 Forecast A'!C25</f>
        <v>(whole municipality)</v>
      </c>
      <c r="D43" s="9" t="n">
        <f aca="false">'2026 Forecast A'!G25</f>
        <v>0.335589396503102</v>
      </c>
      <c r="E43" s="9" t="n">
        <f aca="false">'2026 Forecast B'!G25</f>
        <v>0.337845459672871</v>
      </c>
      <c r="F43" s="9" t="n">
        <f aca="false">'2026 Forecast C'!G25</f>
        <v>0.322617033276932</v>
      </c>
      <c r="G43" s="24" t="n">
        <f aca="false">(MAX(D43:F43)-MIN(D43:F43))*100</f>
        <v>1.52284263959391</v>
      </c>
      <c r="H43" s="24" t="n">
        <f aca="false">'2026 Forecast A'!J25</f>
        <v>1.48763296796655</v>
      </c>
      <c r="I43" s="24" t="n">
        <f aca="false">'2026 Forecast B'!J25</f>
        <v>1.7997491277276</v>
      </c>
      <c r="J43" s="24" t="n">
        <f aca="false">'2026 Forecast C'!J25</f>
        <v>1.3223778391408</v>
      </c>
      <c r="K43" s="25" t="n">
        <f aca="false">'2026 Forecast A'!F25</f>
        <v>1773</v>
      </c>
      <c r="L43" s="26" t="str">
        <f aca="false">IF(OR(AND(D43&gt;0.5,E43&gt;0.5,F43&gt;0.5),AND(D43&lt;0.5,E43&lt;0.5,F43&lt;0.5)),"Yes","No — toss-up")</f>
        <v>Yes</v>
      </c>
    </row>
    <row r="44" customFormat="false" ht="15" hidden="false" customHeight="false" outlineLevel="0" collapsed="false">
      <c r="A44" s="8" t="str">
        <f aca="false">'2026 Forecast A'!A26</f>
        <v>Carbon</v>
      </c>
      <c r="B44" s="8" t="str">
        <f aca="false">'2026 Forecast A'!B26</f>
        <v>NESQUEHONING BOROUGH</v>
      </c>
      <c r="C44" s="8" t="str">
        <f aca="false">'2026 Forecast A'!C26</f>
        <v>(whole municipality)</v>
      </c>
      <c r="D44" s="9" t="n">
        <f aca="false">'2026 Forecast A'!G26</f>
        <v>0.442211055276382</v>
      </c>
      <c r="E44" s="9" t="n">
        <f aca="false">'2026 Forecast B'!G26</f>
        <v>0.442211055276382</v>
      </c>
      <c r="F44" s="9" t="n">
        <f aca="false">'2026 Forecast C'!G26</f>
        <v>0.438860971524288</v>
      </c>
      <c r="G44" s="24" t="n">
        <f aca="false">(MAX(D44:F44)-MIN(D44:F44))*100</f>
        <v>0.335008375209384</v>
      </c>
      <c r="H44" s="24" t="n">
        <f aca="false">'2026 Forecast A'!J26</f>
        <v>2.52713458577249</v>
      </c>
      <c r="I44" s="24" t="n">
        <f aca="false">'2026 Forecast B'!J26</f>
        <v>2.70598815047927</v>
      </c>
      <c r="J44" s="24" t="n">
        <f aca="false">'2026 Forecast C'!J26</f>
        <v>2.39925188023053</v>
      </c>
      <c r="K44" s="25" t="n">
        <f aca="false">'2026 Forecast A'!F26</f>
        <v>1194</v>
      </c>
      <c r="L44" s="26" t="str">
        <f aca="false">IF(OR(AND(D44&gt;0.5,E44&gt;0.5,F44&gt;0.5),AND(D44&lt;0.5,E44&lt;0.5,F44&lt;0.5)),"Yes","No — toss-up")</f>
        <v>Yes</v>
      </c>
    </row>
    <row r="45" customFormat="false" ht="15" hidden="false" customHeight="false" outlineLevel="0" collapsed="false">
      <c r="A45" s="8" t="str">
        <f aca="false">'2026 Forecast A'!A27</f>
        <v>Carbon</v>
      </c>
      <c r="B45" s="8" t="str">
        <f aca="false">'2026 Forecast A'!B27</f>
        <v>PACKER TOWNSHIP</v>
      </c>
      <c r="C45" s="8" t="str">
        <f aca="false">'2026 Forecast A'!C27</f>
        <v>(whole municipality)</v>
      </c>
      <c r="D45" s="9" t="n">
        <f aca="false">'2026 Forecast A'!G27</f>
        <v>0.231481481481481</v>
      </c>
      <c r="E45" s="9" t="n">
        <f aca="false">'2026 Forecast B'!G27</f>
        <v>0.238888888888889</v>
      </c>
      <c r="F45" s="9" t="n">
        <f aca="false">'2026 Forecast C'!G27</f>
        <v>0.205555555555556</v>
      </c>
      <c r="G45" s="24" t="n">
        <f aca="false">(MAX(D45:F45)-MIN(D45:F45))*100</f>
        <v>3.33333333333334</v>
      </c>
      <c r="H45" s="24" t="n">
        <f aca="false">'2026 Forecast A'!J27</f>
        <v>2.52713458577249</v>
      </c>
      <c r="I45" s="24" t="n">
        <f aca="false">'2026 Forecast B'!J27</f>
        <v>2.70598815047927</v>
      </c>
      <c r="J45" s="24" t="n">
        <f aca="false">'2026 Forecast C'!J27</f>
        <v>2.39925188023053</v>
      </c>
      <c r="K45" s="25" t="n">
        <f aca="false">'2026 Forecast A'!F27</f>
        <v>540</v>
      </c>
      <c r="L45" s="26" t="str">
        <f aca="false">IF(OR(AND(D45&gt;0.5,E45&gt;0.5,F45&gt;0.5),AND(D45&lt;0.5,E45&lt;0.5,F45&lt;0.5)),"Yes","No — toss-up")</f>
        <v>Yes</v>
      </c>
    </row>
    <row r="46" customFormat="false" ht="15" hidden="false" customHeight="false" outlineLevel="0" collapsed="false">
      <c r="A46" s="8" t="str">
        <f aca="false">'2026 Forecast A'!A28</f>
        <v>Carbon</v>
      </c>
      <c r="B46" s="8" t="str">
        <f aca="false">'2026 Forecast A'!B28</f>
        <v>PALMERTON BOROUGH</v>
      </c>
      <c r="C46" s="8" t="str">
        <f aca="false">'2026 Forecast A'!C28</f>
        <v>(whole municipality)</v>
      </c>
      <c r="D46" s="9" t="n">
        <f aca="false">'2026 Forecast A'!G28</f>
        <v>0.419067574646412</v>
      </c>
      <c r="E46" s="9" t="n">
        <f aca="false">'2026 Forecast B'!G28</f>
        <v>0.414876898899948</v>
      </c>
      <c r="F46" s="9" t="n">
        <f aca="false">'2026 Forecast C'!G28</f>
        <v>0.412257726558408</v>
      </c>
      <c r="G46" s="24" t="n">
        <f aca="false">(MAX(D46:F46)-MIN(D46:F46))*100</f>
        <v>0.680984808800422</v>
      </c>
      <c r="H46" s="24" t="n">
        <f aca="false">'2026 Forecast A'!J28</f>
        <v>1.48763296796655</v>
      </c>
      <c r="I46" s="24" t="n">
        <f aca="false">'2026 Forecast B'!J28</f>
        <v>1.7997491277276</v>
      </c>
      <c r="J46" s="24" t="n">
        <f aca="false">'2026 Forecast C'!J28</f>
        <v>1.3223778391408</v>
      </c>
      <c r="K46" s="25" t="n">
        <f aca="false">'2026 Forecast A'!F28</f>
        <v>1909</v>
      </c>
      <c r="L46" s="26" t="str">
        <f aca="false">IF(OR(AND(D46&gt;0.5,E46&gt;0.5,F46&gt;0.5),AND(D46&lt;0.5,E46&lt;0.5,F46&lt;0.5)),"Yes","No — toss-up")</f>
        <v>Yes</v>
      </c>
    </row>
    <row r="47" customFormat="false" ht="15" hidden="false" customHeight="false" outlineLevel="0" collapsed="false">
      <c r="A47" s="8" t="str">
        <f aca="false">'2026 Forecast A'!A29</f>
        <v>Carbon</v>
      </c>
      <c r="B47" s="8" t="str">
        <f aca="false">'2026 Forecast A'!B29</f>
        <v>PARRYVILLE BOROUGH</v>
      </c>
      <c r="C47" s="8" t="str">
        <f aca="false">'2026 Forecast A'!C29</f>
        <v>(whole municipality)</v>
      </c>
      <c r="D47" s="9" t="n">
        <f aca="false">'2026 Forecast A'!G29</f>
        <v>0.347593582887701</v>
      </c>
      <c r="E47" s="9" t="n">
        <f aca="false">'2026 Forecast B'!G29</f>
        <v>0.352941176470588</v>
      </c>
      <c r="F47" s="9" t="n">
        <f aca="false">'2026 Forecast C'!G29</f>
        <v>0.336898395721925</v>
      </c>
      <c r="G47" s="24" t="n">
        <f aca="false">(MAX(D47:F47)-MIN(D47:F47))*100</f>
        <v>1.60427807486631</v>
      </c>
      <c r="H47" s="24" t="n">
        <f aca="false">'2026 Forecast A'!J29</f>
        <v>2.52713458577249</v>
      </c>
      <c r="I47" s="24" t="n">
        <f aca="false">'2026 Forecast B'!J29</f>
        <v>2.70598815047927</v>
      </c>
      <c r="J47" s="24" t="n">
        <f aca="false">'2026 Forecast C'!J29</f>
        <v>2.39925188023053</v>
      </c>
      <c r="K47" s="25" t="n">
        <f aca="false">'2026 Forecast A'!F29</f>
        <v>187</v>
      </c>
      <c r="L47" s="26" t="str">
        <f aca="false">IF(OR(AND(D47&gt;0.5,E47&gt;0.5,F47&gt;0.5),AND(D47&lt;0.5,E47&lt;0.5,F47&lt;0.5)),"Yes","No — toss-up")</f>
        <v>Yes</v>
      </c>
    </row>
    <row r="48" customFormat="false" ht="15" hidden="false" customHeight="false" outlineLevel="0" collapsed="false">
      <c r="A48" s="8" t="str">
        <f aca="false">'2026 Forecast A'!A30</f>
        <v>Carbon</v>
      </c>
      <c r="B48" s="8" t="str">
        <f aca="false">'2026 Forecast A'!B30</f>
        <v>PENN FOREST TOWNSHIP</v>
      </c>
      <c r="C48" s="8" t="str">
        <f aca="false">'2026 Forecast A'!C30</f>
        <v>(whole municipality)</v>
      </c>
      <c r="D48" s="9" t="n">
        <f aca="false">'2026 Forecast A'!G30</f>
        <v>0.40518038852914</v>
      </c>
      <c r="E48" s="9" t="n">
        <f aca="false">'2026 Forecast B'!G30</f>
        <v>0.398704902867715</v>
      </c>
      <c r="F48" s="9" t="n">
        <f aca="false">'2026 Forecast C'!G30</f>
        <v>0.395235892691952</v>
      </c>
      <c r="G48" s="24" t="n">
        <f aca="false">(MAX(D48:F48)-MIN(D48:F48))*100</f>
        <v>0.994449583718776</v>
      </c>
      <c r="H48" s="24" t="n">
        <f aca="false">'2026 Forecast A'!J30</f>
        <v>1.13453501956376</v>
      </c>
      <c r="I48" s="24" t="n">
        <f aca="false">'2026 Forecast B'!J30</f>
        <v>1.22035716831382</v>
      </c>
      <c r="J48" s="24" t="n">
        <f aca="false">'2026 Forecast C'!J30</f>
        <v>1.83096893017141</v>
      </c>
      <c r="K48" s="25" t="n">
        <f aca="false">'2026 Forecast A'!F30</f>
        <v>4324</v>
      </c>
      <c r="L48" s="26" t="str">
        <f aca="false">IF(OR(AND(D48&gt;0.5,E48&gt;0.5,F48&gt;0.5),AND(D48&lt;0.5,E48&lt;0.5,F48&lt;0.5)),"Yes","No — toss-up")</f>
        <v>Yes</v>
      </c>
    </row>
    <row r="49" customFormat="false" ht="15" hidden="false" customHeight="false" outlineLevel="0" collapsed="false">
      <c r="A49" s="8" t="str">
        <f aca="false">'2026 Forecast A'!A31</f>
        <v>Carbon</v>
      </c>
      <c r="B49" s="8" t="str">
        <f aca="false">'2026 Forecast A'!B31</f>
        <v>SUMMIT HILL BOROUGH</v>
      </c>
      <c r="C49" s="8" t="str">
        <f aca="false">'2026 Forecast A'!C31</f>
        <v>(whole municipality)</v>
      </c>
      <c r="D49" s="9" t="n">
        <f aca="false">'2026 Forecast A'!G31</f>
        <v>0.473684210526316</v>
      </c>
      <c r="E49" s="9" t="n">
        <f aca="false">'2026 Forecast B'!G31</f>
        <v>0.476113360323887</v>
      </c>
      <c r="F49" s="9" t="n">
        <f aca="false">'2026 Forecast C'!G31</f>
        <v>0.472064777327935</v>
      </c>
      <c r="G49" s="24" t="n">
        <f aca="false">(MAX(D49:F49)-MIN(D49:F49))*100</f>
        <v>0.40485829959514</v>
      </c>
      <c r="H49" s="24" t="n">
        <f aca="false">'2026 Forecast A'!J31</f>
        <v>2.52713458577249</v>
      </c>
      <c r="I49" s="24" t="n">
        <f aca="false">'2026 Forecast B'!J31</f>
        <v>2.70598815047927</v>
      </c>
      <c r="J49" s="24" t="n">
        <f aca="false">'2026 Forecast C'!J31</f>
        <v>2.39925188023053</v>
      </c>
      <c r="K49" s="25" t="n">
        <f aca="false">'2026 Forecast A'!F31</f>
        <v>1235</v>
      </c>
      <c r="L49" s="26" t="str">
        <f aca="false">IF(OR(AND(D49&gt;0.5,E49&gt;0.5,F49&gt;0.5),AND(D49&lt;0.5,E49&lt;0.5,F49&lt;0.5)),"Yes","No — toss-up")</f>
        <v>Yes</v>
      </c>
    </row>
    <row r="50" customFormat="false" ht="15" hidden="false" customHeight="false" outlineLevel="0" collapsed="false">
      <c r="A50" s="8" t="str">
        <f aca="false">'2026 Forecast A'!A32</f>
        <v>Carbon</v>
      </c>
      <c r="B50" s="8" t="str">
        <f aca="false">'2026 Forecast A'!B32</f>
        <v>TOWAMENSING TOWNSHIP</v>
      </c>
      <c r="C50" s="8" t="str">
        <f aca="false">'2026 Forecast A'!C32</f>
        <v>(whole municipality)</v>
      </c>
      <c r="D50" s="9" t="n">
        <f aca="false">'2026 Forecast A'!G32</f>
        <v>0.335053965274519</v>
      </c>
      <c r="E50" s="9" t="n">
        <f aca="false">'2026 Forecast B'!G32</f>
        <v>0.330830595964336</v>
      </c>
      <c r="F50" s="9" t="n">
        <f aca="false">'2026 Forecast C'!G32</f>
        <v>0.322853120600657</v>
      </c>
      <c r="G50" s="24" t="n">
        <f aca="false">(MAX(D50:F50)-MIN(D50:F50))*100</f>
        <v>1.22008446738621</v>
      </c>
      <c r="H50" s="24" t="n">
        <f aca="false">'2026 Forecast A'!J32</f>
        <v>1.48763296796655</v>
      </c>
      <c r="I50" s="24" t="n">
        <f aca="false">'2026 Forecast B'!J32</f>
        <v>1.7997491277276</v>
      </c>
      <c r="J50" s="24" t="n">
        <f aca="false">'2026 Forecast C'!J32</f>
        <v>1.3223778391408</v>
      </c>
      <c r="K50" s="25" t="n">
        <f aca="false">'2026 Forecast A'!F32</f>
        <v>2131</v>
      </c>
      <c r="L50" s="26" t="str">
        <f aca="false">IF(OR(AND(D50&gt;0.5,E50&gt;0.5,F50&gt;0.5),AND(D50&lt;0.5,E50&lt;0.5,F50&lt;0.5)),"Yes","No — toss-up")</f>
        <v>Yes</v>
      </c>
    </row>
    <row r="51" customFormat="false" ht="15" hidden="false" customHeight="false" outlineLevel="0" collapsed="false">
      <c r="A51" s="8" t="str">
        <f aca="false">'2026 Forecast A'!A33</f>
        <v>Carbon</v>
      </c>
      <c r="B51" s="8" t="str">
        <f aca="false">'2026 Forecast A'!B33</f>
        <v>WEATHERLY BOROUGH</v>
      </c>
      <c r="C51" s="8" t="str">
        <f aca="false">'2026 Forecast A'!C33</f>
        <v>(whole municipality)</v>
      </c>
      <c r="D51" s="9" t="n">
        <f aca="false">'2026 Forecast A'!G33</f>
        <v>0.32630410654828</v>
      </c>
      <c r="E51" s="9" t="n">
        <f aca="false">'2026 Forecast B'!G33</f>
        <v>0.327413984461709</v>
      </c>
      <c r="F51" s="9" t="n">
        <f aca="false">'2026 Forecast C'!G33</f>
        <v>0.317425083240844</v>
      </c>
      <c r="G51" s="24" t="n">
        <f aca="false">(MAX(D51:F51)-MIN(D51:F51))*100</f>
        <v>0.998890122086571</v>
      </c>
      <c r="H51" s="24" t="n">
        <f aca="false">'2026 Forecast A'!J33</f>
        <v>2.52713458577249</v>
      </c>
      <c r="I51" s="24" t="n">
        <f aca="false">'2026 Forecast B'!J33</f>
        <v>2.70598815047927</v>
      </c>
      <c r="J51" s="24" t="n">
        <f aca="false">'2026 Forecast C'!J33</f>
        <v>2.39925188023053</v>
      </c>
      <c r="K51" s="25" t="n">
        <f aca="false">'2026 Forecast A'!F33</f>
        <v>901</v>
      </c>
      <c r="L51" s="26" t="str">
        <f aca="false">IF(OR(AND(D51&gt;0.5,E51&gt;0.5,F51&gt;0.5),AND(D51&lt;0.5,E51&lt;0.5,F51&lt;0.5)),"Yes","No — toss-up")</f>
        <v>Yes</v>
      </c>
    </row>
    <row r="52" customFormat="false" ht="15" hidden="false" customHeight="false" outlineLevel="0" collapsed="false">
      <c r="A52" s="8" t="str">
        <f aca="false">'2026 Forecast A'!A34</f>
        <v>Carbon</v>
      </c>
      <c r="B52" s="8" t="str">
        <f aca="false">'2026 Forecast A'!B34</f>
        <v>WEISSPORT BOROUGH</v>
      </c>
      <c r="C52" s="8" t="str">
        <f aca="false">'2026 Forecast A'!C34</f>
        <v>(whole municipality)</v>
      </c>
      <c r="D52" s="9" t="n">
        <f aca="false">'2026 Forecast A'!G34</f>
        <v>0.38</v>
      </c>
      <c r="E52" s="9" t="n">
        <f aca="false">'2026 Forecast B'!G34</f>
        <v>0.38</v>
      </c>
      <c r="F52" s="9" t="n">
        <f aca="false">'2026 Forecast C'!G34</f>
        <v>0.37</v>
      </c>
      <c r="G52" s="24" t="n">
        <f aca="false">(MAX(D52:F52)-MIN(D52:F52))*100</f>
        <v>1</v>
      </c>
      <c r="H52" s="24" t="n">
        <f aca="false">'2026 Forecast A'!J34</f>
        <v>2.52713458577249</v>
      </c>
      <c r="I52" s="24" t="n">
        <f aca="false">'2026 Forecast B'!J34</f>
        <v>2.70598815047927</v>
      </c>
      <c r="J52" s="24" t="n">
        <f aca="false">'2026 Forecast C'!J34</f>
        <v>2.39925188023053</v>
      </c>
      <c r="K52" s="25" t="n">
        <f aca="false">'2026 Forecast A'!F34</f>
        <v>100</v>
      </c>
      <c r="L52" s="26" t="str">
        <f aca="false">IF(OR(AND(D52&gt;0.5,E52&gt;0.5,F52&gt;0.5),AND(D52&lt;0.5,E52&lt;0.5,F52&lt;0.5)),"Yes","No — toss-up")</f>
        <v>Yes</v>
      </c>
    </row>
    <row r="53" customFormat="false" ht="15" hidden="false" customHeight="false" outlineLevel="0" collapsed="false">
      <c r="A53" s="8" t="str">
        <f aca="false">'2026 Forecast A'!A35</f>
        <v>Lehigh</v>
      </c>
      <c r="B53" s="8" t="str">
        <f aca="false">'2026 Forecast A'!B35</f>
        <v>ALBURTIS</v>
      </c>
      <c r="C53" s="8" t="str">
        <f aca="false">'2026 Forecast A'!C35</f>
        <v>(whole municipality)</v>
      </c>
      <c r="D53" s="9" t="n">
        <f aca="false">'2026 Forecast A'!G35</f>
        <v>0.507403751233959</v>
      </c>
      <c r="E53" s="9" t="n">
        <f aca="false">'2026 Forecast B'!G35</f>
        <v>0.510365251727542</v>
      </c>
      <c r="F53" s="9" t="n">
        <f aca="false">'2026 Forecast C'!G35</f>
        <v>0.500493583415597</v>
      </c>
      <c r="G53" s="24" t="n">
        <f aca="false">(MAX(D53:F53)-MIN(D53:F53))*100</f>
        <v>0.987166831194475</v>
      </c>
      <c r="H53" s="24" t="n">
        <f aca="false">'2026 Forecast A'!J35</f>
        <v>2.52713458577249</v>
      </c>
      <c r="I53" s="24" t="n">
        <f aca="false">'2026 Forecast B'!J35</f>
        <v>2.70598815047927</v>
      </c>
      <c r="J53" s="24" t="n">
        <f aca="false">'2026 Forecast C'!J35</f>
        <v>2.39925188023053</v>
      </c>
      <c r="K53" s="25" t="n">
        <f aca="false">'2026 Forecast A'!F35</f>
        <v>1013</v>
      </c>
      <c r="L53" s="26" t="str">
        <f aca="false">IF(OR(AND(D53&gt;0.5,E53&gt;0.5,F53&gt;0.5),AND(D53&lt;0.5,E53&lt;0.5,F53&lt;0.5)),"Yes","No — toss-up")</f>
        <v>Yes</v>
      </c>
    </row>
    <row r="54" customFormat="false" ht="15" hidden="false" customHeight="false" outlineLevel="0" collapsed="false">
      <c r="A54" s="8" t="str">
        <f aca="false">'2026 Forecast A'!A36</f>
        <v>Lehigh</v>
      </c>
      <c r="B54" s="8" t="str">
        <f aca="false">'2026 Forecast A'!B36</f>
        <v>ALLENTOWN</v>
      </c>
      <c r="C54" s="8" t="str">
        <f aca="false">'2026 Forecast A'!C36</f>
        <v>(whole municipality)</v>
      </c>
      <c r="D54" s="9" t="n">
        <f aca="false">'2026 Forecast A'!G36</f>
        <v>0.68619734147223</v>
      </c>
      <c r="E54" s="9" t="n">
        <f aca="false">'2026 Forecast B'!G36</f>
        <v>0.68675956788884</v>
      </c>
      <c r="F54" s="9" t="n">
        <f aca="false">'2026 Forecast C'!G36</f>
        <v>0.713304686558773</v>
      </c>
      <c r="G54" s="24" t="n">
        <f aca="false">(MAX(D54:F54)-MIN(D54:F54))*100</f>
        <v>2.71073450865428</v>
      </c>
      <c r="H54" s="24" t="n">
        <f aca="false">'2026 Forecast A'!J36</f>
        <v>1.13453501956376</v>
      </c>
      <c r="I54" s="24" t="n">
        <f aca="false">'2026 Forecast B'!J36</f>
        <v>1.22035716831382</v>
      </c>
      <c r="J54" s="24" t="n">
        <f aca="false">'2026 Forecast C'!J36</f>
        <v>1.83096893017141</v>
      </c>
      <c r="K54" s="25" t="n">
        <f aca="false">'2026 Forecast A'!F36</f>
        <v>24901</v>
      </c>
      <c r="L54" s="26" t="str">
        <f aca="false">IF(OR(AND(D54&gt;0.5,E54&gt;0.5,F54&gt;0.5),AND(D54&lt;0.5,E54&lt;0.5,F54&lt;0.5)),"Yes","No — toss-up")</f>
        <v>Yes</v>
      </c>
    </row>
    <row r="55" customFormat="false" ht="15" hidden="false" customHeight="false" outlineLevel="0" collapsed="false">
      <c r="A55" s="8" t="str">
        <f aca="false">'2026 Forecast A'!A37</f>
        <v>Lehigh</v>
      </c>
      <c r="B55" s="8" t="str">
        <f aca="false">'2026 Forecast A'!B37</f>
        <v>BETHLEHEM</v>
      </c>
      <c r="C55" s="8" t="str">
        <f aca="false">'2026 Forecast A'!C37</f>
        <v>(whole municipality)</v>
      </c>
      <c r="D55" s="9" t="n">
        <f aca="false">'2026 Forecast A'!G37</f>
        <v>0.67114434165505</v>
      </c>
      <c r="E55" s="9" t="n">
        <f aca="false">'2026 Forecast B'!G37</f>
        <v>0.668356355341528</v>
      </c>
      <c r="F55" s="9" t="n">
        <f aca="false">'2026 Forecast C'!G37</f>
        <v>0.69306805221138</v>
      </c>
      <c r="G55" s="24" t="n">
        <f aca="false">(MAX(D55:F55)-MIN(D55:F55))*100</f>
        <v>2.47116968698516</v>
      </c>
      <c r="H55" s="24" t="n">
        <f aca="false">'2026 Forecast A'!J37</f>
        <v>1.13453501956376</v>
      </c>
      <c r="I55" s="24" t="n">
        <f aca="false">'2026 Forecast B'!J37</f>
        <v>1.22035716831382</v>
      </c>
      <c r="J55" s="24" t="n">
        <f aca="false">'2026 Forecast C'!J37</f>
        <v>1.83096893017141</v>
      </c>
      <c r="K55" s="25" t="n">
        <f aca="false">'2026 Forecast A'!F37</f>
        <v>7891</v>
      </c>
      <c r="L55" s="26" t="str">
        <f aca="false">IF(OR(AND(D55&gt;0.5,E55&gt;0.5,F55&gt;0.5),AND(D55&lt;0.5,E55&lt;0.5,F55&lt;0.5)),"Yes","No — toss-up")</f>
        <v>Yes</v>
      </c>
    </row>
    <row r="56" customFormat="false" ht="15" hidden="false" customHeight="false" outlineLevel="0" collapsed="false">
      <c r="A56" s="8" t="str">
        <f aca="false">'2026 Forecast A'!A38</f>
        <v>Lehigh</v>
      </c>
      <c r="B56" s="8" t="str">
        <f aca="false">'2026 Forecast A'!B38</f>
        <v>CATASAUQUA</v>
      </c>
      <c r="C56" s="8" t="str">
        <f aca="false">'2026 Forecast A'!C38</f>
        <v>(whole municipality)</v>
      </c>
      <c r="D56" s="9" t="n">
        <f aca="false">'2026 Forecast A'!G38</f>
        <v>0.551184834123223</v>
      </c>
      <c r="E56" s="9" t="n">
        <f aca="false">'2026 Forecast B'!G38</f>
        <v>0.548815165876777</v>
      </c>
      <c r="F56" s="9" t="n">
        <f aca="false">'2026 Forecast C'!G38</f>
        <v>0.551658767772512</v>
      </c>
      <c r="G56" s="24" t="n">
        <f aca="false">(MAX(D56:F56)-MIN(D56:F56))*100</f>
        <v>0.284360189573463</v>
      </c>
      <c r="H56" s="24" t="n">
        <f aca="false">'2026 Forecast A'!J38</f>
        <v>1.48763296796655</v>
      </c>
      <c r="I56" s="24" t="n">
        <f aca="false">'2026 Forecast B'!J38</f>
        <v>1.7997491277276</v>
      </c>
      <c r="J56" s="24" t="n">
        <f aca="false">'2026 Forecast C'!J38</f>
        <v>1.3223778391408</v>
      </c>
      <c r="K56" s="25" t="n">
        <f aca="false">'2026 Forecast A'!F38</f>
        <v>2110</v>
      </c>
      <c r="L56" s="26" t="str">
        <f aca="false">IF(OR(AND(D56&gt;0.5,E56&gt;0.5,F56&gt;0.5),AND(D56&lt;0.5,E56&lt;0.5,F56&lt;0.5)),"Yes","No — toss-up")</f>
        <v>Yes</v>
      </c>
    </row>
    <row r="57" customFormat="false" ht="15" hidden="false" customHeight="false" outlineLevel="0" collapsed="false">
      <c r="A57" s="8" t="str">
        <f aca="false">'2026 Forecast A'!A39</f>
        <v>Lehigh</v>
      </c>
      <c r="B57" s="8" t="str">
        <f aca="false">'2026 Forecast A'!B39</f>
        <v>COOPERSBURG</v>
      </c>
      <c r="C57" s="8" t="str">
        <f aca="false">'2026 Forecast A'!C39</f>
        <v>(whole municipality)</v>
      </c>
      <c r="D57" s="9" t="n">
        <f aca="false">'2026 Forecast A'!G39</f>
        <v>0.520918785890074</v>
      </c>
      <c r="E57" s="9" t="n">
        <f aca="false">'2026 Forecast B'!G39</f>
        <v>0.522559474979491</v>
      </c>
      <c r="F57" s="9" t="n">
        <f aca="false">'2026 Forecast C'!G39</f>
        <v>0.511074651353569</v>
      </c>
      <c r="G57" s="24" t="n">
        <f aca="false">(MAX(D57:F57)-MIN(D57:F57))*100</f>
        <v>1.14848236259228</v>
      </c>
      <c r="H57" s="24" t="n">
        <f aca="false">'2026 Forecast A'!J39</f>
        <v>2.52713458577249</v>
      </c>
      <c r="I57" s="24" t="n">
        <f aca="false">'2026 Forecast B'!J39</f>
        <v>2.70598815047927</v>
      </c>
      <c r="J57" s="24" t="n">
        <f aca="false">'2026 Forecast C'!J39</f>
        <v>2.39925188023053</v>
      </c>
      <c r="K57" s="25" t="n">
        <f aca="false">'2026 Forecast A'!F39</f>
        <v>1219</v>
      </c>
      <c r="L57" s="26" t="str">
        <f aca="false">IF(OR(AND(D57&gt;0.5,E57&gt;0.5,F57&gt;0.5),AND(D57&lt;0.5,E57&lt;0.5,F57&lt;0.5)),"Yes","No — toss-up")</f>
        <v>Yes</v>
      </c>
    </row>
    <row r="58" customFormat="false" ht="15" hidden="false" customHeight="false" outlineLevel="0" collapsed="false">
      <c r="A58" s="8" t="str">
        <f aca="false">'2026 Forecast A'!A40</f>
        <v>Lehigh</v>
      </c>
      <c r="B58" s="8" t="str">
        <f aca="false">'2026 Forecast A'!B40</f>
        <v>COPLAY</v>
      </c>
      <c r="C58" s="8" t="str">
        <f aca="false">'2026 Forecast A'!C40</f>
        <v>(whole municipality)</v>
      </c>
      <c r="D58" s="9" t="n">
        <f aca="false">'2026 Forecast A'!G40</f>
        <v>0.543562066306862</v>
      </c>
      <c r="E58" s="9" t="n">
        <f aca="false">'2026 Forecast B'!G40</f>
        <v>0.549730146491904</v>
      </c>
      <c r="F58" s="9" t="n">
        <f aca="false">'2026 Forecast C'!G40</f>
        <v>0.543562066306862</v>
      </c>
      <c r="G58" s="24" t="n">
        <f aca="false">(MAX(D58:F58)-MIN(D58:F58))*100</f>
        <v>0.616808018504245</v>
      </c>
      <c r="H58" s="24" t="n">
        <f aca="false">'2026 Forecast A'!J40</f>
        <v>2.52713458577249</v>
      </c>
      <c r="I58" s="24" t="n">
        <f aca="false">'2026 Forecast B'!J40</f>
        <v>2.70598815047927</v>
      </c>
      <c r="J58" s="24" t="n">
        <f aca="false">'2026 Forecast C'!J40</f>
        <v>2.39925188023053</v>
      </c>
      <c r="K58" s="25" t="n">
        <f aca="false">'2026 Forecast A'!F40</f>
        <v>1297</v>
      </c>
      <c r="L58" s="26" t="str">
        <f aca="false">IF(OR(AND(D58&gt;0.5,E58&gt;0.5,F58&gt;0.5),AND(D58&lt;0.5,E58&lt;0.5,F58&lt;0.5)),"Yes","No — toss-up")</f>
        <v>Yes</v>
      </c>
    </row>
    <row r="59" customFormat="false" ht="15" hidden="false" customHeight="false" outlineLevel="0" collapsed="false">
      <c r="A59" s="8" t="str">
        <f aca="false">'2026 Forecast A'!A41</f>
        <v>Lehigh</v>
      </c>
      <c r="B59" s="8" t="str">
        <f aca="false">'2026 Forecast A'!B41</f>
        <v>EMMAUS</v>
      </c>
      <c r="C59" s="8" t="str">
        <f aca="false">'2026 Forecast A'!C41</f>
        <v>(whole municipality)</v>
      </c>
      <c r="D59" s="9" t="n">
        <f aca="false">'2026 Forecast A'!G41</f>
        <v>0.562352478363493</v>
      </c>
      <c r="E59" s="9" t="n">
        <f aca="false">'2026 Forecast B'!G41</f>
        <v>0.56726986624705</v>
      </c>
      <c r="F59" s="9" t="n">
        <f aca="false">'2026 Forecast C'!G41</f>
        <v>0.563139260424862</v>
      </c>
      <c r="G59" s="24" t="n">
        <f aca="false">(MAX(D59:F59)-MIN(D59:F59))*100</f>
        <v>0.491738788355622</v>
      </c>
      <c r="H59" s="24" t="n">
        <f aca="false">'2026 Forecast A'!J41</f>
        <v>1.13453501956376</v>
      </c>
      <c r="I59" s="24" t="n">
        <f aca="false">'2026 Forecast B'!J41</f>
        <v>1.22035716831382</v>
      </c>
      <c r="J59" s="24" t="n">
        <f aca="false">'2026 Forecast C'!J41</f>
        <v>1.83096893017141</v>
      </c>
      <c r="K59" s="25" t="n">
        <f aca="false">'2026 Forecast A'!F41</f>
        <v>5084</v>
      </c>
      <c r="L59" s="26" t="str">
        <f aca="false">IF(OR(AND(D59&gt;0.5,E59&gt;0.5,F59&gt;0.5),AND(D59&lt;0.5,E59&lt;0.5,F59&lt;0.5)),"Yes","No — toss-up")</f>
        <v>Yes</v>
      </c>
    </row>
    <row r="60" customFormat="false" ht="15" hidden="false" customHeight="false" outlineLevel="0" collapsed="false">
      <c r="A60" s="8" t="str">
        <f aca="false">'2026 Forecast A'!A42</f>
        <v>Lehigh</v>
      </c>
      <c r="B60" s="8" t="str">
        <f aca="false">'2026 Forecast A'!B42</f>
        <v>FOUNTAIN HILL</v>
      </c>
      <c r="C60" s="8" t="str">
        <f aca="false">'2026 Forecast A'!C42</f>
        <v>(whole municipality)</v>
      </c>
      <c r="D60" s="9" t="n">
        <f aca="false">'2026 Forecast A'!G42</f>
        <v>0.68947708198838</v>
      </c>
      <c r="E60" s="9" t="n">
        <f aca="false">'2026 Forecast B'!G42</f>
        <v>0.688831504196256</v>
      </c>
      <c r="F60" s="9" t="n">
        <f aca="false">'2026 Forecast C'!G42</f>
        <v>0.713363460296966</v>
      </c>
      <c r="G60" s="24" t="n">
        <f aca="false">(MAX(D60:F60)-MIN(D60:F60))*100</f>
        <v>2.45319561007101</v>
      </c>
      <c r="H60" s="24" t="n">
        <f aca="false">'2026 Forecast A'!J42</f>
        <v>2.52713458577249</v>
      </c>
      <c r="I60" s="24" t="n">
        <f aca="false">'2026 Forecast B'!J42</f>
        <v>2.70598815047927</v>
      </c>
      <c r="J60" s="24" t="n">
        <f aca="false">'2026 Forecast C'!J42</f>
        <v>2.39925188023053</v>
      </c>
      <c r="K60" s="25" t="n">
        <f aca="false">'2026 Forecast A'!F42</f>
        <v>1549</v>
      </c>
      <c r="L60" s="26" t="str">
        <f aca="false">IF(OR(AND(D60&gt;0.5,E60&gt;0.5,F60&gt;0.5),AND(D60&lt;0.5,E60&lt;0.5,F60&lt;0.5)),"Yes","No — toss-up")</f>
        <v>Yes</v>
      </c>
    </row>
    <row r="61" customFormat="false" ht="15" hidden="false" customHeight="false" outlineLevel="0" collapsed="false">
      <c r="A61" s="8" t="str">
        <f aca="false">'2026 Forecast A'!A43</f>
        <v>Lehigh</v>
      </c>
      <c r="B61" s="8" t="str">
        <f aca="false">'2026 Forecast A'!B43</f>
        <v>HANOVER</v>
      </c>
      <c r="C61" s="8" t="str">
        <f aca="false">'2026 Forecast A'!C43</f>
        <v>(whole municipality)</v>
      </c>
      <c r="D61" s="9" t="n">
        <f aca="false">'2026 Forecast A'!G43</f>
        <v>0.56745182012848</v>
      </c>
      <c r="E61" s="9" t="n">
        <f aca="false">'2026 Forecast B'!G43</f>
        <v>0.571734475374732</v>
      </c>
      <c r="F61" s="9" t="n">
        <f aca="false">'2026 Forecast C'!G43</f>
        <v>0.571734475374732</v>
      </c>
      <c r="G61" s="24" t="n">
        <f aca="false">(MAX(D61:F61)-MIN(D61:F61))*100</f>
        <v>0.428265524625271</v>
      </c>
      <c r="H61" s="24" t="n">
        <f aca="false">'2026 Forecast A'!J43</f>
        <v>2.52713458577249</v>
      </c>
      <c r="I61" s="24" t="n">
        <f aca="false">'2026 Forecast B'!J43</f>
        <v>2.70598815047927</v>
      </c>
      <c r="J61" s="24" t="n">
        <f aca="false">'2026 Forecast C'!J43</f>
        <v>2.39925188023053</v>
      </c>
      <c r="K61" s="25" t="n">
        <f aca="false">'2026 Forecast A'!F43</f>
        <v>467</v>
      </c>
      <c r="L61" s="26" t="str">
        <f aca="false">IF(OR(AND(D61&gt;0.5,E61&gt;0.5,F61&gt;0.5),AND(D61&lt;0.5,E61&lt;0.5,F61&lt;0.5)),"Yes","No — toss-up")</f>
        <v>Yes</v>
      </c>
    </row>
    <row r="62" customFormat="false" ht="15" hidden="false" customHeight="false" outlineLevel="0" collapsed="false">
      <c r="A62" s="8" t="str">
        <f aca="false">'2026 Forecast A'!A44</f>
        <v>Lehigh</v>
      </c>
      <c r="B62" s="8" t="str">
        <f aca="false">'2026 Forecast A'!B44</f>
        <v>HEIDELBERG</v>
      </c>
      <c r="C62" s="8" t="str">
        <f aca="false">'2026 Forecast A'!C44</f>
        <v>(whole municipality)</v>
      </c>
      <c r="D62" s="9" t="n">
        <f aca="false">'2026 Forecast A'!G44</f>
        <v>0.358125</v>
      </c>
      <c r="E62" s="9" t="n">
        <f aca="false">'2026 Forecast B'!G44</f>
        <v>0.358125</v>
      </c>
      <c r="F62" s="9" t="n">
        <f aca="false">'2026 Forecast C'!G44</f>
        <v>0.345625</v>
      </c>
      <c r="G62" s="24" t="n">
        <f aca="false">(MAX(D62:F62)-MIN(D62:F62))*100</f>
        <v>1.25</v>
      </c>
      <c r="H62" s="24" t="n">
        <f aca="false">'2026 Forecast A'!J44</f>
        <v>1.48763296796655</v>
      </c>
      <c r="I62" s="24" t="n">
        <f aca="false">'2026 Forecast B'!J44</f>
        <v>1.7997491277276</v>
      </c>
      <c r="J62" s="24" t="n">
        <f aca="false">'2026 Forecast C'!J44</f>
        <v>1.3223778391408</v>
      </c>
      <c r="K62" s="25" t="n">
        <f aca="false">'2026 Forecast A'!F44</f>
        <v>1600</v>
      </c>
      <c r="L62" s="26" t="str">
        <f aca="false">IF(OR(AND(D62&gt;0.5,E62&gt;0.5,F62&gt;0.5),AND(D62&lt;0.5,E62&lt;0.5,F62&lt;0.5)),"Yes","No — toss-up")</f>
        <v>Yes</v>
      </c>
    </row>
    <row r="63" customFormat="false" ht="15" hidden="false" customHeight="false" outlineLevel="0" collapsed="false">
      <c r="A63" s="8" t="str">
        <f aca="false">'2026 Forecast A'!A45</f>
        <v>Lehigh</v>
      </c>
      <c r="B63" s="8" t="str">
        <f aca="false">'2026 Forecast A'!B45</f>
        <v>LOWER MACUNGIE</v>
      </c>
      <c r="C63" s="8" t="str">
        <f aca="false">'2026 Forecast A'!C45</f>
        <v>(whole municipality)</v>
      </c>
      <c r="D63" s="9" t="n">
        <f aca="false">'2026 Forecast A'!G45</f>
        <v>0.534507616122359</v>
      </c>
      <c r="E63" s="9" t="n">
        <f aca="false">'2026 Forecast B'!G45</f>
        <v>0.534068827179841</v>
      </c>
      <c r="F63" s="9" t="n">
        <f aca="false">'2026 Forecast C'!G45</f>
        <v>0.526295994483796</v>
      </c>
      <c r="G63" s="24" t="n">
        <f aca="false">(MAX(D63:F63)-MIN(D63:F63))*100</f>
        <v>0.821162163856326</v>
      </c>
      <c r="H63" s="24" t="n">
        <f aca="false">'2026 Forecast A'!J45</f>
        <v>1.13453501956376</v>
      </c>
      <c r="I63" s="24" t="n">
        <f aca="false">'2026 Forecast B'!J45</f>
        <v>1.22035716831382</v>
      </c>
      <c r="J63" s="24" t="n">
        <f aca="false">'2026 Forecast C'!J45</f>
        <v>1.83096893017141</v>
      </c>
      <c r="K63" s="25" t="n">
        <f aca="false">'2026 Forecast A'!F45</f>
        <v>15953</v>
      </c>
      <c r="L63" s="26" t="str">
        <f aca="false">IF(OR(AND(D63&gt;0.5,E63&gt;0.5,F63&gt;0.5),AND(D63&lt;0.5,E63&lt;0.5,F63&lt;0.5)),"Yes","No — toss-up")</f>
        <v>Yes</v>
      </c>
    </row>
    <row r="64" customFormat="false" ht="15" hidden="false" customHeight="false" outlineLevel="0" collapsed="false">
      <c r="A64" s="8" t="str">
        <f aca="false">'2026 Forecast A'!A46</f>
        <v>Lehigh</v>
      </c>
      <c r="B64" s="8" t="str">
        <f aca="false">'2026 Forecast A'!B46</f>
        <v>LOWER MILFORD</v>
      </c>
      <c r="C64" s="8" t="str">
        <f aca="false">'2026 Forecast A'!C46</f>
        <v>(whole municipality)</v>
      </c>
      <c r="D64" s="9" t="n">
        <f aca="false">'2026 Forecast A'!G46</f>
        <v>0.417399352151782</v>
      </c>
      <c r="E64" s="9" t="n">
        <f aca="false">'2026 Forecast B'!G46</f>
        <v>0.410920869967608</v>
      </c>
      <c r="F64" s="9" t="n">
        <f aca="false">'2026 Forecast C'!G46</f>
        <v>0.400277649236465</v>
      </c>
      <c r="G64" s="24" t="n">
        <f aca="false">(MAX(D64:F64)-MIN(D64:F64))*100</f>
        <v>1.7121702915317</v>
      </c>
      <c r="H64" s="24" t="n">
        <f aca="false">'2026 Forecast A'!J46</f>
        <v>1.48763296796655</v>
      </c>
      <c r="I64" s="24" t="n">
        <f aca="false">'2026 Forecast B'!J46</f>
        <v>1.7997491277276</v>
      </c>
      <c r="J64" s="24" t="n">
        <f aca="false">'2026 Forecast C'!J46</f>
        <v>1.3223778391408</v>
      </c>
      <c r="K64" s="25" t="n">
        <f aca="false">'2026 Forecast A'!F46</f>
        <v>2161</v>
      </c>
      <c r="L64" s="26" t="str">
        <f aca="false">IF(OR(AND(D64&gt;0.5,E64&gt;0.5,F64&gt;0.5),AND(D64&lt;0.5,E64&lt;0.5,F64&lt;0.5)),"Yes","No — toss-up")</f>
        <v>Yes</v>
      </c>
    </row>
    <row r="65" customFormat="false" ht="15" hidden="false" customHeight="false" outlineLevel="0" collapsed="false">
      <c r="A65" s="8" t="str">
        <f aca="false">'2026 Forecast A'!A47</f>
        <v>Lehigh</v>
      </c>
      <c r="B65" s="8" t="str">
        <f aca="false">'2026 Forecast A'!B47</f>
        <v>LOWHILL</v>
      </c>
      <c r="C65" s="8" t="str">
        <f aca="false">'2026 Forecast A'!C47</f>
        <v>(whole municipality)</v>
      </c>
      <c r="D65" s="9" t="n">
        <f aca="false">'2026 Forecast A'!G47</f>
        <v>0.399342645850452</v>
      </c>
      <c r="E65" s="9" t="n">
        <f aca="false">'2026 Forecast B'!G47</f>
        <v>0.396055875102712</v>
      </c>
      <c r="F65" s="9" t="n">
        <f aca="false">'2026 Forecast C'!G47</f>
        <v>0.383730484798685</v>
      </c>
      <c r="G65" s="24" t="n">
        <f aca="false">(MAX(D65:F65)-MIN(D65:F65))*100</f>
        <v>1.56121610517667</v>
      </c>
      <c r="H65" s="24" t="n">
        <f aca="false">'2026 Forecast A'!J47</f>
        <v>2.52713458577249</v>
      </c>
      <c r="I65" s="24" t="n">
        <f aca="false">'2026 Forecast B'!J47</f>
        <v>2.70598815047927</v>
      </c>
      <c r="J65" s="24" t="n">
        <f aca="false">'2026 Forecast C'!J47</f>
        <v>2.39925188023053</v>
      </c>
      <c r="K65" s="25" t="n">
        <f aca="false">'2026 Forecast A'!F47</f>
        <v>1217</v>
      </c>
      <c r="L65" s="26" t="str">
        <f aca="false">IF(OR(AND(D65&gt;0.5,E65&gt;0.5,F65&gt;0.5),AND(D65&lt;0.5,E65&lt;0.5,F65&lt;0.5)),"Yes","No — toss-up")</f>
        <v>Yes</v>
      </c>
    </row>
    <row r="66" customFormat="false" ht="15" hidden="false" customHeight="false" outlineLevel="0" collapsed="false">
      <c r="A66" s="8" t="str">
        <f aca="false">'2026 Forecast A'!A48</f>
        <v>Lehigh</v>
      </c>
      <c r="B66" s="8" t="str">
        <f aca="false">'2026 Forecast A'!B48</f>
        <v>LYNN</v>
      </c>
      <c r="C66" s="8" t="str">
        <f aca="false">'2026 Forecast A'!C48</f>
        <v>(whole municipality)</v>
      </c>
      <c r="D66" s="9" t="n">
        <f aca="false">'2026 Forecast A'!G48</f>
        <v>0.359498374361356</v>
      </c>
      <c r="E66" s="9" t="n">
        <f aca="false">'2026 Forecast B'!G48</f>
        <v>0.354389224338133</v>
      </c>
      <c r="F66" s="9" t="n">
        <f aca="false">'2026 Forecast C'!G48</f>
        <v>0.346028797027404</v>
      </c>
      <c r="G66" s="24" t="n">
        <f aca="false">(MAX(D66:F66)-MIN(D66:F66))*100</f>
        <v>1.34695773339526</v>
      </c>
      <c r="H66" s="24" t="n">
        <f aca="false">'2026 Forecast A'!J48</f>
        <v>1.48763296796655</v>
      </c>
      <c r="I66" s="24" t="n">
        <f aca="false">'2026 Forecast B'!J48</f>
        <v>1.7997491277276</v>
      </c>
      <c r="J66" s="24" t="n">
        <f aca="false">'2026 Forecast C'!J48</f>
        <v>1.3223778391408</v>
      </c>
      <c r="K66" s="25" t="n">
        <f aca="false">'2026 Forecast A'!F48</f>
        <v>2153</v>
      </c>
      <c r="L66" s="26" t="str">
        <f aca="false">IF(OR(AND(D66&gt;0.5,E66&gt;0.5,F66&gt;0.5),AND(D66&lt;0.5,E66&lt;0.5,F66&lt;0.5)),"Yes","No — toss-up")</f>
        <v>Yes</v>
      </c>
    </row>
    <row r="67" customFormat="false" ht="15" hidden="false" customHeight="false" outlineLevel="0" collapsed="false">
      <c r="A67" s="8" t="str">
        <f aca="false">'2026 Forecast A'!A49</f>
        <v>Lehigh</v>
      </c>
      <c r="B67" s="8" t="str">
        <f aca="false">'2026 Forecast A'!B49</f>
        <v>MACUNGIE</v>
      </c>
      <c r="C67" s="8" t="str">
        <f aca="false">'2026 Forecast A'!C49</f>
        <v>(whole municipality)</v>
      </c>
      <c r="D67" s="9" t="n">
        <f aca="false">'2026 Forecast A'!G49</f>
        <v>0.556497175141243</v>
      </c>
      <c r="E67" s="9" t="n">
        <f aca="false">'2026 Forecast B'!G49</f>
        <v>0.55861581920904</v>
      </c>
      <c r="F67" s="9" t="n">
        <f aca="false">'2026 Forecast C'!G49</f>
        <v>0.554378531073446</v>
      </c>
      <c r="G67" s="24" t="n">
        <f aca="false">(MAX(D67:F67)-MIN(D67:F67))*100</f>
        <v>0.423728813559321</v>
      </c>
      <c r="H67" s="24" t="n">
        <f aca="false">'2026 Forecast A'!J49</f>
        <v>2.52713458577249</v>
      </c>
      <c r="I67" s="24" t="n">
        <f aca="false">'2026 Forecast B'!J49</f>
        <v>2.70598815047927</v>
      </c>
      <c r="J67" s="24" t="n">
        <f aca="false">'2026 Forecast C'!J49</f>
        <v>2.39925188023053</v>
      </c>
      <c r="K67" s="25" t="n">
        <f aca="false">'2026 Forecast A'!F49</f>
        <v>1416</v>
      </c>
      <c r="L67" s="26" t="str">
        <f aca="false">IF(OR(AND(D67&gt;0.5,E67&gt;0.5,F67&gt;0.5),AND(D67&lt;0.5,E67&lt;0.5,F67&lt;0.5)),"Yes","No — toss-up")</f>
        <v>Yes</v>
      </c>
    </row>
    <row r="68" customFormat="false" ht="15" hidden="false" customHeight="false" outlineLevel="0" collapsed="false">
      <c r="A68" s="8" t="str">
        <f aca="false">'2026 Forecast A'!A50</f>
        <v>Lehigh</v>
      </c>
      <c r="B68" s="8" t="str">
        <f aca="false">'2026 Forecast A'!B50</f>
        <v>NORTH WHITEHALL</v>
      </c>
      <c r="C68" s="8" t="str">
        <f aca="false">'2026 Forecast A'!C50</f>
        <v>(whole municipality)</v>
      </c>
      <c r="D68" s="9" t="n">
        <f aca="false">'2026 Forecast A'!G50</f>
        <v>0.451082026694311</v>
      </c>
      <c r="E68" s="9" t="n">
        <f aca="false">'2026 Forecast B'!G50</f>
        <v>0.445898665284437</v>
      </c>
      <c r="F68" s="9" t="n">
        <f aca="false">'2026 Forecast C'!G50</f>
        <v>0.441492808086044</v>
      </c>
      <c r="G68" s="24" t="n">
        <f aca="false">(MAX(D68:F68)-MIN(D68:F68))*100</f>
        <v>0.958921860826745</v>
      </c>
      <c r="H68" s="24" t="n">
        <f aca="false">'2026 Forecast A'!J50</f>
        <v>1.13453501956376</v>
      </c>
      <c r="I68" s="24" t="n">
        <f aca="false">'2026 Forecast B'!J50</f>
        <v>1.22035716831382</v>
      </c>
      <c r="J68" s="24" t="n">
        <f aca="false">'2026 Forecast C'!J50</f>
        <v>1.83096893017141</v>
      </c>
      <c r="K68" s="25" t="n">
        <f aca="false">'2026 Forecast A'!F50</f>
        <v>7717</v>
      </c>
      <c r="L68" s="26" t="str">
        <f aca="false">IF(OR(AND(D68&gt;0.5,E68&gt;0.5,F68&gt;0.5),AND(D68&lt;0.5,E68&lt;0.5,F68&lt;0.5)),"Yes","No — toss-up")</f>
        <v>Yes</v>
      </c>
    </row>
    <row r="69" customFormat="false" ht="15" hidden="false" customHeight="false" outlineLevel="0" collapsed="false">
      <c r="A69" s="8" t="str">
        <f aca="false">'2026 Forecast A'!A51</f>
        <v>Lehigh</v>
      </c>
      <c r="B69" s="8" t="str">
        <f aca="false">'2026 Forecast A'!B51</f>
        <v>SALISBURY</v>
      </c>
      <c r="C69" s="8" t="str">
        <f aca="false">'2026 Forecast A'!C51</f>
        <v>(whole municipality)</v>
      </c>
      <c r="D69" s="9" t="n">
        <f aca="false">'2026 Forecast A'!G51</f>
        <v>0.532192211055276</v>
      </c>
      <c r="E69" s="9" t="n">
        <f aca="false">'2026 Forecast B'!G51</f>
        <v>0.534704773869347</v>
      </c>
      <c r="F69" s="9" t="n">
        <f aca="false">'2026 Forecast C'!G51</f>
        <v>0.526538944723618</v>
      </c>
      <c r="G69" s="24" t="n">
        <f aca="false">(MAX(D69:F69)-MIN(D69:F69))*100</f>
        <v>0.816582914572872</v>
      </c>
      <c r="H69" s="24" t="n">
        <f aca="false">'2026 Forecast A'!J51</f>
        <v>1.13453501956376</v>
      </c>
      <c r="I69" s="24" t="n">
        <f aca="false">'2026 Forecast B'!J51</f>
        <v>1.22035716831382</v>
      </c>
      <c r="J69" s="24" t="n">
        <f aca="false">'2026 Forecast C'!J51</f>
        <v>1.83096893017141</v>
      </c>
      <c r="K69" s="25" t="n">
        <f aca="false">'2026 Forecast A'!F51</f>
        <v>6368</v>
      </c>
      <c r="L69" s="26" t="str">
        <f aca="false">IF(OR(AND(D69&gt;0.5,E69&gt;0.5,F69&gt;0.5),AND(D69&lt;0.5,E69&lt;0.5,F69&lt;0.5)),"Yes","No — toss-up")</f>
        <v>Yes</v>
      </c>
    </row>
    <row r="70" customFormat="false" ht="15" hidden="false" customHeight="false" outlineLevel="0" collapsed="false">
      <c r="A70" s="8" t="str">
        <f aca="false">'2026 Forecast A'!A52</f>
        <v>Lehigh</v>
      </c>
      <c r="B70" s="8" t="str">
        <f aca="false">'2026 Forecast A'!B52</f>
        <v>SLATINGTON</v>
      </c>
      <c r="C70" s="8" t="str">
        <f aca="false">'2026 Forecast A'!C52</f>
        <v>(whole municipality)</v>
      </c>
      <c r="D70" s="9" t="n">
        <f aca="false">'2026 Forecast A'!G52</f>
        <v>0.458179126572909</v>
      </c>
      <c r="E70" s="9" t="n">
        <f aca="false">'2026 Forecast B'!G52</f>
        <v>0.456698741672835</v>
      </c>
      <c r="F70" s="9" t="n">
        <f aca="false">'2026 Forecast C'!G52</f>
        <v>0.454478164322724</v>
      </c>
      <c r="G70" s="24" t="n">
        <f aca="false">(MAX(D70:F70)-MIN(D70:F70))*100</f>
        <v>0.370096225018501</v>
      </c>
      <c r="H70" s="24" t="n">
        <f aca="false">'2026 Forecast A'!J52</f>
        <v>2.52713458577249</v>
      </c>
      <c r="I70" s="24" t="n">
        <f aca="false">'2026 Forecast B'!J52</f>
        <v>2.70598815047927</v>
      </c>
      <c r="J70" s="24" t="n">
        <f aca="false">'2026 Forecast C'!J52</f>
        <v>2.39925188023053</v>
      </c>
      <c r="K70" s="25" t="n">
        <f aca="false">'2026 Forecast A'!F52</f>
        <v>1351</v>
      </c>
      <c r="L70" s="26" t="str">
        <f aca="false">IF(OR(AND(D70&gt;0.5,E70&gt;0.5,F70&gt;0.5),AND(D70&lt;0.5,E70&lt;0.5,F70&lt;0.5)),"Yes","No — toss-up")</f>
        <v>Yes</v>
      </c>
    </row>
    <row r="71" customFormat="false" ht="15" hidden="false" customHeight="false" outlineLevel="0" collapsed="false">
      <c r="A71" s="8" t="str">
        <f aca="false">'2026 Forecast A'!A53</f>
        <v>Lehigh</v>
      </c>
      <c r="B71" s="8" t="str">
        <f aca="false">'2026 Forecast A'!B53</f>
        <v>SOUTH WHITEHALL</v>
      </c>
      <c r="C71" s="8" t="str">
        <f aca="false">'2026 Forecast A'!C53</f>
        <v>(whole municipality)</v>
      </c>
      <c r="D71" s="9" t="n">
        <f aca="false">'2026 Forecast A'!G53</f>
        <v>0.561122640577132</v>
      </c>
      <c r="E71" s="9" t="n">
        <f aca="false">'2026 Forecast B'!G53</f>
        <v>0.564581480383437</v>
      </c>
      <c r="F71" s="9" t="n">
        <f aca="false">'2026 Forecast C'!G53</f>
        <v>0.561320288566064</v>
      </c>
      <c r="G71" s="24" t="n">
        <f aca="false">(MAX(D71:F71)-MIN(D71:F71))*100</f>
        <v>0.345883980630501</v>
      </c>
      <c r="H71" s="24" t="n">
        <f aca="false">'2026 Forecast A'!J53</f>
        <v>1.13453501956376</v>
      </c>
      <c r="I71" s="24" t="n">
        <f aca="false">'2026 Forecast B'!J53</f>
        <v>1.22035716831382</v>
      </c>
      <c r="J71" s="24" t="n">
        <f aca="false">'2026 Forecast C'!J53</f>
        <v>1.83096893017141</v>
      </c>
      <c r="K71" s="25" t="n">
        <f aca="false">'2026 Forecast A'!F53</f>
        <v>10119</v>
      </c>
      <c r="L71" s="26" t="str">
        <f aca="false">IF(OR(AND(D71&gt;0.5,E71&gt;0.5,F71&gt;0.5),AND(D71&lt;0.5,E71&lt;0.5,F71&lt;0.5)),"Yes","No — toss-up")</f>
        <v>Yes</v>
      </c>
    </row>
    <row r="72" customFormat="false" ht="15" hidden="false" customHeight="false" outlineLevel="0" collapsed="false">
      <c r="A72" s="8" t="str">
        <f aca="false">'2026 Forecast A'!A54</f>
        <v>Lehigh</v>
      </c>
      <c r="B72" s="8" t="str">
        <f aca="false">'2026 Forecast A'!B54</f>
        <v>UPPER MACUNGIE</v>
      </c>
      <c r="C72" s="8" t="str">
        <f aca="false">'2026 Forecast A'!C54</f>
        <v>(whole municipality)</v>
      </c>
      <c r="D72" s="9" t="n">
        <f aca="false">'2026 Forecast A'!G54</f>
        <v>0.552192437422333</v>
      </c>
      <c r="E72" s="9" t="n">
        <f aca="false">'2026 Forecast B'!G54</f>
        <v>0.549352032664655</v>
      </c>
      <c r="F72" s="9" t="n">
        <f aca="false">'2026 Forecast C'!G54</f>
        <v>0.550772235043494</v>
      </c>
      <c r="G72" s="24" t="n">
        <f aca="false">(MAX(D72:F72)-MIN(D72:F72))*100</f>
        <v>0.284040475767799</v>
      </c>
      <c r="H72" s="24" t="n">
        <f aca="false">'2026 Forecast A'!J54</f>
        <v>1.13453501956376</v>
      </c>
      <c r="I72" s="24" t="n">
        <f aca="false">'2026 Forecast B'!J54</f>
        <v>1.22035716831382</v>
      </c>
      <c r="J72" s="24" t="n">
        <f aca="false">'2026 Forecast C'!J54</f>
        <v>1.83096893017141</v>
      </c>
      <c r="K72" s="25" t="n">
        <f aca="false">'2026 Forecast A'!F54</f>
        <v>11266</v>
      </c>
      <c r="L72" s="26" t="str">
        <f aca="false">IF(OR(AND(D72&gt;0.5,E72&gt;0.5,F72&gt;0.5),AND(D72&lt;0.5,E72&lt;0.5,F72&lt;0.5)),"Yes","No — toss-up")</f>
        <v>Yes</v>
      </c>
    </row>
    <row r="73" customFormat="false" ht="15" hidden="false" customHeight="false" outlineLevel="0" collapsed="false">
      <c r="A73" s="8" t="str">
        <f aca="false">'2026 Forecast A'!A55</f>
        <v>Lehigh</v>
      </c>
      <c r="B73" s="8" t="str">
        <f aca="false">'2026 Forecast A'!B55</f>
        <v>UPPER MILFORD</v>
      </c>
      <c r="C73" s="8" t="str">
        <f aca="false">'2026 Forecast A'!C55</f>
        <v>(whole municipality)</v>
      </c>
      <c r="D73" s="9" t="n">
        <f aca="false">'2026 Forecast A'!G55</f>
        <v>0.484605087014726</v>
      </c>
      <c r="E73" s="9" t="n">
        <f aca="false">'2026 Forecast B'!G55</f>
        <v>0.474564926372155</v>
      </c>
      <c r="F73" s="9" t="n">
        <f aca="false">'2026 Forecast C'!G55</f>
        <v>0.466979027219991</v>
      </c>
      <c r="G73" s="24" t="n">
        <f aca="false">(MAX(D73:F73)-MIN(D73:F73))*100</f>
        <v>1.76260597947345</v>
      </c>
      <c r="H73" s="24" t="n">
        <f aca="false">'2026 Forecast A'!J55</f>
        <v>1.13453501956376</v>
      </c>
      <c r="I73" s="24" t="n">
        <f aca="false">'2026 Forecast B'!J55</f>
        <v>1.22035716831382</v>
      </c>
      <c r="J73" s="24" t="n">
        <f aca="false">'2026 Forecast C'!J55</f>
        <v>1.83096893017141</v>
      </c>
      <c r="K73" s="25" t="n">
        <f aca="false">'2026 Forecast A'!F55</f>
        <v>4482</v>
      </c>
      <c r="L73" s="26" t="str">
        <f aca="false">IF(OR(AND(D73&gt;0.5,E73&gt;0.5,F73&gt;0.5),AND(D73&lt;0.5,E73&lt;0.5,F73&lt;0.5)),"Yes","No — toss-up")</f>
        <v>Yes</v>
      </c>
    </row>
    <row r="74" customFormat="false" ht="15" hidden="false" customHeight="false" outlineLevel="0" collapsed="false">
      <c r="A74" s="8" t="str">
        <f aca="false">'2026 Forecast A'!A56</f>
        <v>Lehigh</v>
      </c>
      <c r="B74" s="8" t="str">
        <f aca="false">'2026 Forecast A'!B56</f>
        <v>UPPER SAUCON</v>
      </c>
      <c r="C74" s="8" t="str">
        <f aca="false">'2026 Forecast A'!C56</f>
        <v>(whole municipality)</v>
      </c>
      <c r="D74" s="9" t="n">
        <f aca="false">'2026 Forecast A'!G56</f>
        <v>0.528433048433048</v>
      </c>
      <c r="E74" s="9" t="n">
        <f aca="false">'2026 Forecast B'!G56</f>
        <v>0.527293447293447</v>
      </c>
      <c r="F74" s="9" t="n">
        <f aca="false">'2026 Forecast C'!G56</f>
        <v>0.519430199430199</v>
      </c>
      <c r="G74" s="24" t="n">
        <f aca="false">(MAX(D74:F74)-MIN(D74:F74))*100</f>
        <v>0.900284900284898</v>
      </c>
      <c r="H74" s="24" t="n">
        <f aca="false">'2026 Forecast A'!J56</f>
        <v>1.13453501956376</v>
      </c>
      <c r="I74" s="24" t="n">
        <f aca="false">'2026 Forecast B'!J56</f>
        <v>1.22035716831382</v>
      </c>
      <c r="J74" s="24" t="n">
        <f aca="false">'2026 Forecast C'!J56</f>
        <v>1.83096893017141</v>
      </c>
      <c r="K74" s="25" t="n">
        <f aca="false">'2026 Forecast A'!F56</f>
        <v>8775</v>
      </c>
      <c r="L74" s="26" t="str">
        <f aca="false">IF(OR(AND(D74&gt;0.5,E74&gt;0.5,F74&gt;0.5),AND(D74&lt;0.5,E74&lt;0.5,F74&lt;0.5)),"Yes","No — toss-up")</f>
        <v>Yes</v>
      </c>
    </row>
    <row r="75" customFormat="false" ht="15" hidden="false" customHeight="false" outlineLevel="0" collapsed="false">
      <c r="A75" s="8" t="str">
        <f aca="false">'2026 Forecast A'!A57</f>
        <v>Lehigh</v>
      </c>
      <c r="B75" s="8" t="str">
        <f aca="false">'2026 Forecast A'!B57</f>
        <v>WASHINGTON</v>
      </c>
      <c r="C75" s="8" t="str">
        <f aca="false">'2026 Forecast A'!C57</f>
        <v>(whole municipality)</v>
      </c>
      <c r="D75" s="9" t="n">
        <f aca="false">'2026 Forecast A'!G57</f>
        <v>0.37125748502994</v>
      </c>
      <c r="E75" s="9" t="n">
        <f aca="false">'2026 Forecast B'!G57</f>
        <v>0.37125748502994</v>
      </c>
      <c r="F75" s="9" t="n">
        <f aca="false">'2026 Forecast C'!G57</f>
        <v>0.35894876912841</v>
      </c>
      <c r="G75" s="24" t="n">
        <f aca="false">(MAX(D75:F75)-MIN(D75:F75))*100</f>
        <v>1.23087159015303</v>
      </c>
      <c r="H75" s="24" t="n">
        <f aca="false">'2026 Forecast A'!J57</f>
        <v>1.48763296796655</v>
      </c>
      <c r="I75" s="24" t="n">
        <f aca="false">'2026 Forecast B'!J57</f>
        <v>1.7997491277276</v>
      </c>
      <c r="J75" s="24" t="n">
        <f aca="false">'2026 Forecast C'!J57</f>
        <v>1.3223778391408</v>
      </c>
      <c r="K75" s="25" t="n">
        <f aca="false">'2026 Forecast A'!F57</f>
        <v>3006</v>
      </c>
      <c r="L75" s="26" t="str">
        <f aca="false">IF(OR(AND(D75&gt;0.5,E75&gt;0.5,F75&gt;0.5),AND(D75&lt;0.5,E75&lt;0.5,F75&lt;0.5)),"Yes","No — toss-up")</f>
        <v>Yes</v>
      </c>
    </row>
    <row r="76" customFormat="false" ht="15" hidden="false" customHeight="false" outlineLevel="0" collapsed="false">
      <c r="A76" s="8" t="str">
        <f aca="false">'2026 Forecast A'!A58</f>
        <v>Lehigh</v>
      </c>
      <c r="B76" s="8" t="str">
        <f aca="false">'2026 Forecast A'!B58</f>
        <v>WEISENBERG</v>
      </c>
      <c r="C76" s="8" t="str">
        <f aca="false">'2026 Forecast A'!C58</f>
        <v>(whole municipality)</v>
      </c>
      <c r="D76" s="9" t="n">
        <f aca="false">'2026 Forecast A'!G58</f>
        <v>0.391901931649331</v>
      </c>
      <c r="E76" s="9" t="n">
        <f aca="false">'2026 Forecast B'!G58</f>
        <v>0.384101040118871</v>
      </c>
      <c r="F76" s="9" t="n">
        <f aca="false">'2026 Forecast C'!G58</f>
        <v>0.37704309063893</v>
      </c>
      <c r="G76" s="24" t="n">
        <f aca="false">(MAX(D76:F76)-MIN(D76:F76))*100</f>
        <v>1.48588410104012</v>
      </c>
      <c r="H76" s="24" t="n">
        <f aca="false">'2026 Forecast A'!J58</f>
        <v>1.48763296796655</v>
      </c>
      <c r="I76" s="24" t="n">
        <f aca="false">'2026 Forecast B'!J58</f>
        <v>1.7997491277276</v>
      </c>
      <c r="J76" s="24" t="n">
        <f aca="false">'2026 Forecast C'!J58</f>
        <v>1.3223778391408</v>
      </c>
      <c r="K76" s="25" t="n">
        <f aca="false">'2026 Forecast A'!F58</f>
        <v>2692</v>
      </c>
      <c r="L76" s="26" t="str">
        <f aca="false">IF(OR(AND(D76&gt;0.5,E76&gt;0.5,F76&gt;0.5),AND(D76&lt;0.5,E76&lt;0.5,F76&lt;0.5)),"Yes","No — toss-up")</f>
        <v>Yes</v>
      </c>
    </row>
    <row r="77" customFormat="false" ht="15" hidden="false" customHeight="false" outlineLevel="0" collapsed="false">
      <c r="A77" s="8" t="str">
        <f aca="false">'2026 Forecast A'!A59</f>
        <v>Lehigh</v>
      </c>
      <c r="B77" s="8" t="str">
        <f aca="false">'2026 Forecast A'!B59</f>
        <v>WHITEHALL</v>
      </c>
      <c r="C77" s="8" t="str">
        <f aca="false">'2026 Forecast A'!C59</f>
        <v>(whole municipality)</v>
      </c>
      <c r="D77" s="9" t="n">
        <f aca="false">'2026 Forecast A'!G59</f>
        <v>0.548872910998834</v>
      </c>
      <c r="E77" s="9" t="n">
        <f aca="false">'2026 Forecast B'!G59</f>
        <v>0.547512631169841</v>
      </c>
      <c r="F77" s="9" t="n">
        <f aca="false">'2026 Forecast C'!G59</f>
        <v>0.549358725223475</v>
      </c>
      <c r="G77" s="24" t="n">
        <f aca="false">(MAX(D77:F77)-MIN(D77:F77))*100</f>
        <v>0.18460940536339</v>
      </c>
      <c r="H77" s="24" t="n">
        <f aca="false">'2026 Forecast A'!J59</f>
        <v>1.13453501956376</v>
      </c>
      <c r="I77" s="24" t="n">
        <f aca="false">'2026 Forecast B'!J59</f>
        <v>1.22035716831382</v>
      </c>
      <c r="J77" s="24" t="n">
        <f aca="false">'2026 Forecast C'!J59</f>
        <v>1.83096893017141</v>
      </c>
      <c r="K77" s="25" t="n">
        <f aca="false">'2026 Forecast A'!F59</f>
        <v>10292</v>
      </c>
      <c r="L77" s="26" t="str">
        <f aca="false">IF(OR(AND(D77&gt;0.5,E77&gt;0.5,F77&gt;0.5),AND(D77&lt;0.5,E77&lt;0.5,F77&lt;0.5)),"Yes","No — toss-up")</f>
        <v>Yes</v>
      </c>
    </row>
    <row r="78" customFormat="false" ht="15" hidden="false" customHeight="false" outlineLevel="0" collapsed="false">
      <c r="A78" s="8" t="str">
        <f aca="false">'2026 Forecast A'!A60</f>
        <v>Monroe</v>
      </c>
      <c r="B78" s="8" t="str">
        <f aca="false">'2026 Forecast A'!B60</f>
        <v>ELDRED TOWNSHIP</v>
      </c>
      <c r="C78" s="8" t="str">
        <f aca="false">'2026 Forecast A'!C60</f>
        <v>(whole municipality)</v>
      </c>
      <c r="D78" s="9" t="n">
        <f aca="false">'2026 Forecast A'!G60</f>
        <v>0.346835443037975</v>
      </c>
      <c r="E78" s="9" t="n">
        <f aca="false">'2026 Forecast B'!G60</f>
        <v>0.346835443037975</v>
      </c>
      <c r="F78" s="9" t="n">
        <f aca="false">'2026 Forecast C'!G60</f>
        <v>0.335021097046414</v>
      </c>
      <c r="G78" s="24" t="n">
        <f aca="false">(MAX(D78:F78)-MIN(D78:F78))*100</f>
        <v>1.18143459915612</v>
      </c>
      <c r="H78" s="24" t="n">
        <f aca="false">'2026 Forecast A'!J60</f>
        <v>2.52713458577249</v>
      </c>
      <c r="I78" s="24" t="n">
        <f aca="false">'2026 Forecast B'!J60</f>
        <v>2.70598815047927</v>
      </c>
      <c r="J78" s="24" t="n">
        <f aca="false">'2026 Forecast C'!J60</f>
        <v>2.39925188023053</v>
      </c>
      <c r="K78" s="25" t="n">
        <f aca="false">'2026 Forecast A'!F60</f>
        <v>1185</v>
      </c>
      <c r="L78" s="26" t="str">
        <f aca="false">IF(OR(AND(D78&gt;0.5,E78&gt;0.5,F78&gt;0.5),AND(D78&lt;0.5,E78&lt;0.5,F78&lt;0.5)),"Yes","No — toss-up")</f>
        <v>Yes</v>
      </c>
    </row>
    <row r="79" customFormat="false" ht="15" hidden="false" customHeight="false" outlineLevel="0" collapsed="false">
      <c r="A79" s="8" t="str">
        <f aca="false">'2026 Forecast A'!A61</f>
        <v>Monroe</v>
      </c>
      <c r="B79" s="8" t="str">
        <f aca="false">'2026 Forecast A'!B61</f>
        <v>POLK TOWNSHIP</v>
      </c>
      <c r="C79" s="8" t="str">
        <f aca="false">'2026 Forecast A'!C61</f>
        <v>(whole municipality)</v>
      </c>
      <c r="D79" s="9" t="n">
        <f aca="false">'2026 Forecast A'!G61</f>
        <v>0.373044925124792</v>
      </c>
      <c r="E79" s="9" t="n">
        <f aca="false">'2026 Forecast B'!G61</f>
        <v>0.374708818635607</v>
      </c>
      <c r="F79" s="9" t="n">
        <f aca="false">'2026 Forecast C'!G61</f>
        <v>0.362728785357737</v>
      </c>
      <c r="G79" s="24" t="n">
        <f aca="false">(MAX(D79:F79)-MIN(D79:F79))*100</f>
        <v>1.19800332778702</v>
      </c>
      <c r="H79" s="24" t="n">
        <f aca="false">'2026 Forecast A'!J61</f>
        <v>1.48763296796655</v>
      </c>
      <c r="I79" s="24" t="n">
        <f aca="false">'2026 Forecast B'!J61</f>
        <v>1.7997491277276</v>
      </c>
      <c r="J79" s="24" t="n">
        <f aca="false">'2026 Forecast C'!J61</f>
        <v>1.3223778391408</v>
      </c>
      <c r="K79" s="25" t="n">
        <f aca="false">'2026 Forecast A'!F61</f>
        <v>3005</v>
      </c>
      <c r="L79" s="26" t="str">
        <f aca="false">IF(OR(AND(D79&gt;0.5,E79&gt;0.5,F79&gt;0.5),AND(D79&lt;0.5,E79&lt;0.5,F79&lt;0.5)),"Yes","No — toss-up")</f>
        <v>Yes</v>
      </c>
    </row>
    <row r="80" customFormat="false" ht="15" hidden="false" customHeight="false" outlineLevel="0" collapsed="false">
      <c r="A80" s="8" t="str">
        <f aca="false">'2026 Forecast A'!A62</f>
        <v>Monroe</v>
      </c>
      <c r="B80" s="8" t="str">
        <f aca="false">'2026 Forecast A'!B62</f>
        <v>ROSS TOWNSHIP</v>
      </c>
      <c r="C80" s="8" t="str">
        <f aca="false">'2026 Forecast A'!C62</f>
        <v>(whole municipality)</v>
      </c>
      <c r="D80" s="9" t="n">
        <f aca="false">'2026 Forecast A'!G62</f>
        <v>0.375</v>
      </c>
      <c r="E80" s="9" t="n">
        <f aca="false">'2026 Forecast B'!G62</f>
        <v>0.37410071942446</v>
      </c>
      <c r="F80" s="9" t="n">
        <f aca="false">'2026 Forecast C'!G62</f>
        <v>0.361510791366906</v>
      </c>
      <c r="G80" s="24" t="n">
        <f aca="false">(MAX(D80:F80)-MIN(D80:F80))*100</f>
        <v>1.34892086330936</v>
      </c>
      <c r="H80" s="24" t="n">
        <f aca="false">'2026 Forecast A'!J62</f>
        <v>2.52713458577249</v>
      </c>
      <c r="I80" s="24" t="n">
        <f aca="false">'2026 Forecast B'!J62</f>
        <v>2.70598815047927</v>
      </c>
      <c r="J80" s="24" t="n">
        <f aca="false">'2026 Forecast C'!J62</f>
        <v>2.39925188023053</v>
      </c>
      <c r="K80" s="25" t="n">
        <f aca="false">'2026 Forecast A'!F62</f>
        <v>1112</v>
      </c>
      <c r="L80" s="26" t="str">
        <f aca="false">IF(OR(AND(D80&gt;0.5,E80&gt;0.5,F80&gt;0.5),AND(D80&lt;0.5,E80&lt;0.5,F80&lt;0.5)),"Yes","No — toss-up")</f>
        <v>Yes</v>
      </c>
    </row>
    <row r="81" customFormat="false" ht="15" hidden="false" customHeight="false" outlineLevel="0" collapsed="false">
      <c r="A81" s="8" t="str">
        <f aca="false">'2026 Forecast A'!A63</f>
        <v>Northampton</v>
      </c>
      <c r="B81" s="8" t="str">
        <f aca="false">'2026 Forecast A'!B63</f>
        <v>ALLEN</v>
      </c>
      <c r="C81" s="8" t="str">
        <f aca="false">'2026 Forecast A'!C63</f>
        <v>(whole municipality)</v>
      </c>
      <c r="D81" s="9" t="n">
        <f aca="false">'2026 Forecast A'!G63</f>
        <v>0.478076923076923</v>
      </c>
      <c r="E81" s="9" t="n">
        <f aca="false">'2026 Forecast B'!G63</f>
        <v>0.471923076923077</v>
      </c>
      <c r="F81" s="9" t="n">
        <f aca="false">'2026 Forecast C'!G63</f>
        <v>0.473846153846154</v>
      </c>
      <c r="G81" s="24" t="n">
        <f aca="false">(MAX(D81:F81)-MIN(D81:F81))*100</f>
        <v>0.615384615384612</v>
      </c>
      <c r="H81" s="24" t="n">
        <f aca="false">'2026 Forecast A'!J63</f>
        <v>1.48763296796655</v>
      </c>
      <c r="I81" s="24" t="n">
        <f aca="false">'2026 Forecast B'!J63</f>
        <v>1.7997491277276</v>
      </c>
      <c r="J81" s="24" t="n">
        <f aca="false">'2026 Forecast C'!J63</f>
        <v>1.3223778391408</v>
      </c>
      <c r="K81" s="25" t="n">
        <f aca="false">'2026 Forecast A'!F63</f>
        <v>2600</v>
      </c>
      <c r="L81" s="26" t="str">
        <f aca="false">IF(OR(AND(D81&gt;0.5,E81&gt;0.5,F81&gt;0.5),AND(D81&lt;0.5,E81&lt;0.5,F81&lt;0.5)),"Yes","No — toss-up")</f>
        <v>Yes</v>
      </c>
    </row>
    <row r="82" customFormat="false" ht="15" hidden="false" customHeight="false" outlineLevel="0" collapsed="false">
      <c r="A82" s="8" t="str">
        <f aca="false">'2026 Forecast A'!A64</f>
        <v>Northampton</v>
      </c>
      <c r="B82" s="8" t="str">
        <f aca="false">'2026 Forecast A'!B64</f>
        <v>BANGOR</v>
      </c>
      <c r="C82" s="8" t="str">
        <f aca="false">'2026 Forecast A'!C64</f>
        <v>(whole municipality)</v>
      </c>
      <c r="D82" s="9" t="n">
        <f aca="false">'2026 Forecast A'!G64</f>
        <v>0.450814725407363</v>
      </c>
      <c r="E82" s="9" t="n">
        <f aca="false">'2026 Forecast B'!G64</f>
        <v>0.449607724803862</v>
      </c>
      <c r="F82" s="9" t="n">
        <f aca="false">'2026 Forecast C'!G64</f>
        <v>0.444176222088111</v>
      </c>
      <c r="G82" s="24" t="n">
        <f aca="false">(MAX(D82:F82)-MIN(D82:F82))*100</f>
        <v>0.66385033192517</v>
      </c>
      <c r="H82" s="24" t="n">
        <f aca="false">'2026 Forecast A'!J64</f>
        <v>1.48763296796655</v>
      </c>
      <c r="I82" s="24" t="n">
        <f aca="false">'2026 Forecast B'!J64</f>
        <v>1.7997491277276</v>
      </c>
      <c r="J82" s="24" t="n">
        <f aca="false">'2026 Forecast C'!J64</f>
        <v>1.3223778391408</v>
      </c>
      <c r="K82" s="25" t="n">
        <f aca="false">'2026 Forecast A'!F64</f>
        <v>1657</v>
      </c>
      <c r="L82" s="26" t="str">
        <f aca="false">IF(OR(AND(D82&gt;0.5,E82&gt;0.5,F82&gt;0.5),AND(D82&lt;0.5,E82&lt;0.5,F82&lt;0.5)),"Yes","No — toss-up")</f>
        <v>Yes</v>
      </c>
    </row>
    <row r="83" customFormat="false" ht="15" hidden="false" customHeight="false" outlineLevel="0" collapsed="false">
      <c r="A83" s="8" t="str">
        <f aca="false">'2026 Forecast A'!A65</f>
        <v>Northampton</v>
      </c>
      <c r="B83" s="8" t="str">
        <f aca="false">'2026 Forecast A'!B65</f>
        <v>BATH</v>
      </c>
      <c r="C83" s="8" t="str">
        <f aca="false">'2026 Forecast A'!C65</f>
        <v>(whole municipality)</v>
      </c>
      <c r="D83" s="9" t="n">
        <f aca="false">'2026 Forecast A'!G65</f>
        <v>0.5041928721174</v>
      </c>
      <c r="E83" s="9" t="n">
        <f aca="false">'2026 Forecast B'!G65</f>
        <v>0.509433962264151</v>
      </c>
      <c r="F83" s="9" t="n">
        <f aca="false">'2026 Forecast C'!G65</f>
        <v>0.49895178197065</v>
      </c>
      <c r="G83" s="24" t="n">
        <f aca="false">(MAX(D83:F83)-MIN(D83:F83))*100</f>
        <v>1.04821802935011</v>
      </c>
      <c r="H83" s="24" t="n">
        <f aca="false">'2026 Forecast A'!J65</f>
        <v>2.52713458577249</v>
      </c>
      <c r="I83" s="24" t="n">
        <f aca="false">'2026 Forecast B'!J65</f>
        <v>2.70598815047927</v>
      </c>
      <c r="J83" s="24" t="n">
        <f aca="false">'2026 Forecast C'!J65</f>
        <v>2.39925188023053</v>
      </c>
      <c r="K83" s="25" t="n">
        <f aca="false">'2026 Forecast A'!F65</f>
        <v>954</v>
      </c>
      <c r="L83" s="26" t="str">
        <f aca="false">IF(OR(AND(D83&gt;0.5,E83&gt;0.5,F83&gt;0.5),AND(D83&lt;0.5,E83&lt;0.5,F83&lt;0.5)),"Yes","No — toss-up")</f>
        <v>No — toss-up</v>
      </c>
    </row>
    <row r="84" customFormat="false" ht="15" hidden="false" customHeight="false" outlineLevel="0" collapsed="false">
      <c r="A84" s="8" t="str">
        <f aca="false">'2026 Forecast A'!A66</f>
        <v>Northampton</v>
      </c>
      <c r="B84" s="8" t="str">
        <f aca="false">'2026 Forecast A'!B66</f>
        <v>BETHLEHEM</v>
      </c>
      <c r="C84" s="8" t="str">
        <f aca="false">'2026 Forecast A'!C66</f>
        <v>(whole municipality)</v>
      </c>
      <c r="D84" s="9" t="n">
        <f aca="false">'2026 Forecast A'!G66</f>
        <v>0.699679451751962</v>
      </c>
      <c r="E84" s="9" t="n">
        <f aca="false">'2026 Forecast B'!G66</f>
        <v>0.70006632032718</v>
      </c>
      <c r="F84" s="9" t="n">
        <f aca="false">'2026 Forecast C'!G66</f>
        <v>0.727699789985631</v>
      </c>
      <c r="G84" s="24" t="n">
        <f aca="false">(MAX(D84:F84)-MIN(D84:F84))*100</f>
        <v>2.80203382336686</v>
      </c>
      <c r="H84" s="24" t="n">
        <f aca="false">'2026 Forecast A'!J66</f>
        <v>1.13453501956376</v>
      </c>
      <c r="I84" s="24" t="n">
        <f aca="false">'2026 Forecast B'!J66</f>
        <v>1.22035716831382</v>
      </c>
      <c r="J84" s="24" t="n">
        <f aca="false">'2026 Forecast C'!J66</f>
        <v>1.83096893017141</v>
      </c>
      <c r="K84" s="25" t="n">
        <f aca="false">'2026 Forecast A'!F66</f>
        <v>18094</v>
      </c>
      <c r="L84" s="26" t="str">
        <f aca="false">IF(OR(AND(D84&gt;0.5,E84&gt;0.5,F84&gt;0.5),AND(D84&lt;0.5,E84&lt;0.5,F84&lt;0.5)),"Yes","No — toss-up")</f>
        <v>Yes</v>
      </c>
    </row>
    <row r="85" customFormat="false" ht="15" hidden="false" customHeight="false" outlineLevel="0" collapsed="false">
      <c r="A85" s="8" t="str">
        <f aca="false">'2026 Forecast A'!A67</f>
        <v>Northampton</v>
      </c>
      <c r="B85" s="8" t="str">
        <f aca="false">'2026 Forecast A'!B67</f>
        <v>BETHLEHEM TOWNSHIP</v>
      </c>
      <c r="C85" s="8" t="str">
        <f aca="false">'2026 Forecast A'!C67</f>
        <v>(whole municipality)</v>
      </c>
      <c r="D85" s="9" t="n">
        <f aca="false">'2026 Forecast A'!G67</f>
        <v>0.559666748345994</v>
      </c>
      <c r="E85" s="9" t="n">
        <f aca="false">'2026 Forecast B'!G67</f>
        <v>0.564975904598546</v>
      </c>
      <c r="F85" s="9" t="n">
        <f aca="false">'2026 Forecast C'!G67</f>
        <v>0.559421710365107</v>
      </c>
      <c r="G85" s="24" t="n">
        <f aca="false">(MAX(D85:F85)-MIN(D85:F85))*100</f>
        <v>0.55541942334395</v>
      </c>
      <c r="H85" s="24" t="n">
        <f aca="false">'2026 Forecast A'!J67</f>
        <v>1.13453501956376</v>
      </c>
      <c r="I85" s="24" t="n">
        <f aca="false">'2026 Forecast B'!J67</f>
        <v>1.22035716831382</v>
      </c>
      <c r="J85" s="24" t="n">
        <f aca="false">'2026 Forecast C'!J67</f>
        <v>1.83096893017141</v>
      </c>
      <c r="K85" s="25" t="n">
        <f aca="false">'2026 Forecast A'!F67</f>
        <v>12243</v>
      </c>
      <c r="L85" s="26" t="str">
        <f aca="false">IF(OR(AND(D85&gt;0.5,E85&gt;0.5,F85&gt;0.5),AND(D85&lt;0.5,E85&lt;0.5,F85&lt;0.5)),"Yes","No — toss-up")</f>
        <v>Yes</v>
      </c>
    </row>
    <row r="86" customFormat="false" ht="15" hidden="false" customHeight="false" outlineLevel="0" collapsed="false">
      <c r="A86" s="8" t="str">
        <f aca="false">'2026 Forecast A'!A68</f>
        <v>Northampton</v>
      </c>
      <c r="B86" s="8" t="str">
        <f aca="false">'2026 Forecast A'!B68</f>
        <v>BUSHKILL</v>
      </c>
      <c r="C86" s="8" t="str">
        <f aca="false">'2026 Forecast A'!C68</f>
        <v>(whole municipality)</v>
      </c>
      <c r="D86" s="9" t="n">
        <f aca="false">'2026 Forecast A'!G68</f>
        <v>0.426233234826097</v>
      </c>
      <c r="E86" s="9" t="n">
        <f aca="false">'2026 Forecast B'!G68</f>
        <v>0.421914071379859</v>
      </c>
      <c r="F86" s="9" t="n">
        <f aca="false">'2026 Forecast C'!G68</f>
        <v>0.411002500568311</v>
      </c>
      <c r="G86" s="24" t="n">
        <f aca="false">(MAX(D86:F86)-MIN(D86:F86))*100</f>
        <v>1.52307342577858</v>
      </c>
      <c r="H86" s="24" t="n">
        <f aca="false">'2026 Forecast A'!J68</f>
        <v>1.13453501956376</v>
      </c>
      <c r="I86" s="24" t="n">
        <f aca="false">'2026 Forecast B'!J68</f>
        <v>1.22035716831382</v>
      </c>
      <c r="J86" s="24" t="n">
        <f aca="false">'2026 Forecast C'!J68</f>
        <v>1.83096893017141</v>
      </c>
      <c r="K86" s="25" t="n">
        <f aca="false">'2026 Forecast A'!F68</f>
        <v>4399</v>
      </c>
      <c r="L86" s="26" t="str">
        <f aca="false">IF(OR(AND(D86&gt;0.5,E86&gt;0.5,F86&gt;0.5),AND(D86&lt;0.5,E86&lt;0.5,F86&lt;0.5)),"Yes","No — toss-up")</f>
        <v>Yes</v>
      </c>
    </row>
    <row r="87" customFormat="false" ht="15" hidden="false" customHeight="false" outlineLevel="0" collapsed="false">
      <c r="A87" s="8" t="str">
        <f aca="false">'2026 Forecast A'!A69</f>
        <v>Northampton</v>
      </c>
      <c r="B87" s="8" t="str">
        <f aca="false">'2026 Forecast A'!B69</f>
        <v>CHAPMAN</v>
      </c>
      <c r="C87" s="8" t="str">
        <f aca="false">'2026 Forecast A'!C69</f>
        <v>(whole municipality)</v>
      </c>
      <c r="D87" s="9" t="n">
        <f aca="false">'2026 Forecast A'!G69</f>
        <v>0.383720930232558</v>
      </c>
      <c r="E87" s="9" t="n">
        <f aca="false">'2026 Forecast B'!G69</f>
        <v>0.383720930232558</v>
      </c>
      <c r="F87" s="9" t="n">
        <f aca="false">'2026 Forecast C'!G69</f>
        <v>0.372093023255814</v>
      </c>
      <c r="G87" s="24" t="n">
        <f aca="false">(MAX(D87:F87)-MIN(D87:F87))*100</f>
        <v>1.16279069767442</v>
      </c>
      <c r="H87" s="24" t="n">
        <f aca="false">'2026 Forecast A'!J69</f>
        <v>2.52713458577249</v>
      </c>
      <c r="I87" s="24" t="n">
        <f aca="false">'2026 Forecast B'!J69</f>
        <v>2.70598815047927</v>
      </c>
      <c r="J87" s="24" t="n">
        <f aca="false">'2026 Forecast C'!J69</f>
        <v>2.39925188023053</v>
      </c>
      <c r="K87" s="25" t="n">
        <f aca="false">'2026 Forecast A'!F69</f>
        <v>86</v>
      </c>
      <c r="L87" s="26" t="str">
        <f aca="false">IF(OR(AND(D87&gt;0.5,E87&gt;0.5,F87&gt;0.5),AND(D87&lt;0.5,E87&lt;0.5,F87&lt;0.5)),"Yes","No — toss-up")</f>
        <v>Yes</v>
      </c>
    </row>
    <row r="88" customFormat="false" ht="15" hidden="false" customHeight="false" outlineLevel="0" collapsed="false">
      <c r="A88" s="8" t="str">
        <f aca="false">'2026 Forecast A'!A70</f>
        <v>Northampton</v>
      </c>
      <c r="B88" s="8" t="str">
        <f aca="false">'2026 Forecast A'!B70</f>
        <v>EAST ALLEN</v>
      </c>
      <c r="C88" s="8" t="str">
        <f aca="false">'2026 Forecast A'!C70</f>
        <v>(whole municipality)</v>
      </c>
      <c r="D88" s="9" t="n">
        <f aca="false">'2026 Forecast A'!G70</f>
        <v>0.469606674612634</v>
      </c>
      <c r="E88" s="9" t="n">
        <f aca="false">'2026 Forecast B'!G70</f>
        <v>0.465236392530791</v>
      </c>
      <c r="F88" s="9" t="n">
        <f aca="false">'2026 Forecast C'!G70</f>
        <v>0.457687723480334</v>
      </c>
      <c r="G88" s="24" t="n">
        <f aca="false">(MAX(D88:F88)-MIN(D88:F88))*100</f>
        <v>1.19189511323004</v>
      </c>
      <c r="H88" s="24" t="n">
        <f aca="false">'2026 Forecast A'!J70</f>
        <v>1.48763296796655</v>
      </c>
      <c r="I88" s="24" t="n">
        <f aca="false">'2026 Forecast B'!J70</f>
        <v>1.7997491277276</v>
      </c>
      <c r="J88" s="24" t="n">
        <f aca="false">'2026 Forecast C'!J70</f>
        <v>1.3223778391408</v>
      </c>
      <c r="K88" s="25" t="n">
        <f aca="false">'2026 Forecast A'!F70</f>
        <v>2517</v>
      </c>
      <c r="L88" s="26" t="str">
        <f aca="false">IF(OR(AND(D88&gt;0.5,E88&gt;0.5,F88&gt;0.5),AND(D88&lt;0.5,E88&lt;0.5,F88&lt;0.5)),"Yes","No — toss-up")</f>
        <v>Yes</v>
      </c>
    </row>
    <row r="89" customFormat="false" ht="15" hidden="false" customHeight="false" outlineLevel="0" collapsed="false">
      <c r="A89" s="8" t="str">
        <f aca="false">'2026 Forecast A'!A71</f>
        <v>Northampton</v>
      </c>
      <c r="B89" s="8" t="str">
        <f aca="false">'2026 Forecast A'!B71</f>
        <v>EAST BANGOR</v>
      </c>
      <c r="C89" s="8" t="str">
        <f aca="false">'2026 Forecast A'!C71</f>
        <v>(whole municipality)</v>
      </c>
      <c r="D89" s="9" t="n">
        <f aca="false">'2026 Forecast A'!G71</f>
        <v>0.438746438746439</v>
      </c>
      <c r="E89" s="9" t="n">
        <f aca="false">'2026 Forecast B'!G71</f>
        <v>0.438746438746439</v>
      </c>
      <c r="F89" s="9" t="n">
        <f aca="false">'2026 Forecast C'!G71</f>
        <v>0.424501424501425</v>
      </c>
      <c r="G89" s="24" t="n">
        <f aca="false">(MAX(D89:F89)-MIN(D89:F89))*100</f>
        <v>1.42450142450142</v>
      </c>
      <c r="H89" s="24" t="n">
        <f aca="false">'2026 Forecast A'!J71</f>
        <v>2.52713458577249</v>
      </c>
      <c r="I89" s="24" t="n">
        <f aca="false">'2026 Forecast B'!J71</f>
        <v>2.70598815047927</v>
      </c>
      <c r="J89" s="24" t="n">
        <f aca="false">'2026 Forecast C'!J71</f>
        <v>2.39925188023053</v>
      </c>
      <c r="K89" s="25" t="n">
        <f aca="false">'2026 Forecast A'!F71</f>
        <v>351</v>
      </c>
      <c r="L89" s="26" t="str">
        <f aca="false">IF(OR(AND(D89&gt;0.5,E89&gt;0.5,F89&gt;0.5),AND(D89&lt;0.5,E89&lt;0.5,F89&lt;0.5)),"Yes","No — toss-up")</f>
        <v>Yes</v>
      </c>
    </row>
    <row r="90" customFormat="false" ht="15" hidden="false" customHeight="false" outlineLevel="0" collapsed="false">
      <c r="A90" s="8" t="str">
        <f aca="false">'2026 Forecast A'!A72</f>
        <v>Northampton</v>
      </c>
      <c r="B90" s="8" t="str">
        <f aca="false">'2026 Forecast A'!B72</f>
        <v>EASTON</v>
      </c>
      <c r="C90" s="8" t="str">
        <f aca="false">'2026 Forecast A'!C72</f>
        <v>(whole municipality)</v>
      </c>
      <c r="D90" s="9" t="n">
        <f aca="false">'2026 Forecast A'!G72</f>
        <v>0.71267446778514</v>
      </c>
      <c r="E90" s="9" t="n">
        <f aca="false">'2026 Forecast B'!G72</f>
        <v>0.722543352601156</v>
      </c>
      <c r="F90" s="9" t="n">
        <f aca="false">'2026 Forecast C'!G72</f>
        <v>0.742845058508389</v>
      </c>
      <c r="G90" s="24" t="n">
        <f aca="false">(MAX(D90:F90)-MIN(D90:F90))*100</f>
        <v>3.01705907232482</v>
      </c>
      <c r="H90" s="24" t="n">
        <f aca="false">'2026 Forecast A'!J72</f>
        <v>1.13453501956376</v>
      </c>
      <c r="I90" s="24" t="n">
        <f aca="false">'2026 Forecast B'!J72</f>
        <v>1.22035716831382</v>
      </c>
      <c r="J90" s="24" t="n">
        <f aca="false">'2026 Forecast C'!J72</f>
        <v>1.83096893017141</v>
      </c>
      <c r="K90" s="25" t="n">
        <f aca="false">'2026 Forecast A'!F72</f>
        <v>7093</v>
      </c>
      <c r="L90" s="26" t="str">
        <f aca="false">IF(OR(AND(D90&gt;0.5,E90&gt;0.5,F90&gt;0.5),AND(D90&lt;0.5,E90&lt;0.5,F90&lt;0.5)),"Yes","No — toss-up")</f>
        <v>Yes</v>
      </c>
    </row>
    <row r="91" customFormat="false" ht="15" hidden="false" customHeight="false" outlineLevel="0" collapsed="false">
      <c r="A91" s="8" t="str">
        <f aca="false">'2026 Forecast A'!A73</f>
        <v>Northampton</v>
      </c>
      <c r="B91" s="8" t="str">
        <f aca="false">'2026 Forecast A'!B73</f>
        <v>FORKS</v>
      </c>
      <c r="C91" s="8" t="str">
        <f aca="false">'2026 Forecast A'!C73</f>
        <v>(whole municipality)</v>
      </c>
      <c r="D91" s="9" t="n">
        <f aca="false">'2026 Forecast A'!G73</f>
        <v>0.552141057934509</v>
      </c>
      <c r="E91" s="9" t="n">
        <f aca="false">'2026 Forecast B'!G73</f>
        <v>0.551511335012594</v>
      </c>
      <c r="F91" s="9" t="n">
        <f aca="false">'2026 Forecast C'!G73</f>
        <v>0.550503778337532</v>
      </c>
      <c r="G91" s="24" t="n">
        <f aca="false">(MAX(D91:F91)-MIN(D91:F91))*100</f>
        <v>0.163727959697735</v>
      </c>
      <c r="H91" s="24" t="n">
        <f aca="false">'2026 Forecast A'!J73</f>
        <v>1.13453501956376</v>
      </c>
      <c r="I91" s="24" t="n">
        <f aca="false">'2026 Forecast B'!J73</f>
        <v>1.22035716831382</v>
      </c>
      <c r="J91" s="24" t="n">
        <f aca="false">'2026 Forecast C'!J73</f>
        <v>1.83096893017141</v>
      </c>
      <c r="K91" s="25" t="n">
        <f aca="false">'2026 Forecast A'!F73</f>
        <v>7940</v>
      </c>
      <c r="L91" s="26" t="str">
        <f aca="false">IF(OR(AND(D91&gt;0.5,E91&gt;0.5,F91&gt;0.5),AND(D91&lt;0.5,E91&lt;0.5,F91&lt;0.5)),"Yes","No — toss-up")</f>
        <v>Yes</v>
      </c>
    </row>
    <row r="92" customFormat="false" ht="15" hidden="false" customHeight="false" outlineLevel="0" collapsed="false">
      <c r="A92" s="8" t="str">
        <f aca="false">'2026 Forecast A'!A74</f>
        <v>Northampton</v>
      </c>
      <c r="B92" s="8" t="str">
        <f aca="false">'2026 Forecast A'!B74</f>
        <v>FREEMANSBURG</v>
      </c>
      <c r="C92" s="8" t="str">
        <f aca="false">'2026 Forecast A'!C74</f>
        <v>(whole municipality)</v>
      </c>
      <c r="D92" s="9" t="n">
        <f aca="false">'2026 Forecast A'!G74</f>
        <v>0.625925925925926</v>
      </c>
      <c r="E92" s="9" t="n">
        <f aca="false">'2026 Forecast B'!G74</f>
        <v>0.627160493827161</v>
      </c>
      <c r="F92" s="9" t="n">
        <f aca="false">'2026 Forecast C'!G74</f>
        <v>0.634567901234568</v>
      </c>
      <c r="G92" s="24" t="n">
        <f aca="false">(MAX(D92:F92)-MIN(D92:F92))*100</f>
        <v>0.864197530864197</v>
      </c>
      <c r="H92" s="24" t="n">
        <f aca="false">'2026 Forecast A'!J74</f>
        <v>2.52713458577249</v>
      </c>
      <c r="I92" s="24" t="n">
        <f aca="false">'2026 Forecast B'!J74</f>
        <v>2.70598815047927</v>
      </c>
      <c r="J92" s="24" t="n">
        <f aca="false">'2026 Forecast C'!J74</f>
        <v>2.39925188023053</v>
      </c>
      <c r="K92" s="25" t="n">
        <f aca="false">'2026 Forecast A'!F74</f>
        <v>810</v>
      </c>
      <c r="L92" s="26" t="str">
        <f aca="false">IF(OR(AND(D92&gt;0.5,E92&gt;0.5,F92&gt;0.5),AND(D92&lt;0.5,E92&lt;0.5,F92&lt;0.5)),"Yes","No — toss-up")</f>
        <v>Yes</v>
      </c>
    </row>
    <row r="93" customFormat="false" ht="15" hidden="false" customHeight="false" outlineLevel="0" collapsed="false">
      <c r="A93" s="8" t="str">
        <f aca="false">'2026 Forecast A'!A75</f>
        <v>Northampton</v>
      </c>
      <c r="B93" s="8" t="str">
        <f aca="false">'2026 Forecast A'!B75</f>
        <v>GLENDON</v>
      </c>
      <c r="C93" s="8" t="str">
        <f aca="false">'2026 Forecast A'!C75</f>
        <v>(whole municipality)</v>
      </c>
      <c r="D93" s="9" t="n">
        <f aca="false">'2026 Forecast A'!G75</f>
        <v>0.546099290780142</v>
      </c>
      <c r="E93" s="9" t="n">
        <f aca="false">'2026 Forecast B'!G75</f>
        <v>0.553191489361702</v>
      </c>
      <c r="F93" s="9" t="n">
        <f aca="false">'2026 Forecast C'!G75</f>
        <v>0.546099290780142</v>
      </c>
      <c r="G93" s="24" t="n">
        <f aca="false">(MAX(D93:F93)-MIN(D93:F93))*100</f>
        <v>0.709219858156029</v>
      </c>
      <c r="H93" s="24" t="n">
        <f aca="false">'2026 Forecast A'!J75</f>
        <v>2.52713458577249</v>
      </c>
      <c r="I93" s="24" t="n">
        <f aca="false">'2026 Forecast B'!J75</f>
        <v>2.70598815047927</v>
      </c>
      <c r="J93" s="24" t="n">
        <f aca="false">'2026 Forecast C'!J75</f>
        <v>2.39925188023053</v>
      </c>
      <c r="K93" s="25" t="n">
        <f aca="false">'2026 Forecast A'!F75</f>
        <v>141</v>
      </c>
      <c r="L93" s="26" t="str">
        <f aca="false">IF(OR(AND(D93&gt;0.5,E93&gt;0.5,F93&gt;0.5),AND(D93&lt;0.5,E93&lt;0.5,F93&lt;0.5)),"Yes","No — toss-up")</f>
        <v>Yes</v>
      </c>
    </row>
    <row r="94" customFormat="false" ht="15" hidden="false" customHeight="false" outlineLevel="0" collapsed="false">
      <c r="A94" s="8" t="str">
        <f aca="false">'2026 Forecast A'!A76</f>
        <v>Northampton</v>
      </c>
      <c r="B94" s="8" t="str">
        <f aca="false">'2026 Forecast A'!B76</f>
        <v>HANOVER</v>
      </c>
      <c r="C94" s="8" t="str">
        <f aca="false">'2026 Forecast A'!C76</f>
        <v>(whole municipality)</v>
      </c>
      <c r="D94" s="9" t="n">
        <f aca="false">'2026 Forecast A'!G76</f>
        <v>0.563303889663722</v>
      </c>
      <c r="E94" s="9" t="n">
        <f aca="false">'2026 Forecast B'!G76</f>
        <v>0.564853556485356</v>
      </c>
      <c r="F94" s="9" t="n">
        <f aca="false">'2026 Forecast C'!G76</f>
        <v>0.564078723074539</v>
      </c>
      <c r="G94" s="24" t="n">
        <f aca="false">(MAX(D94:F94)-MIN(D94:F94))*100</f>
        <v>0.154966682163338</v>
      </c>
      <c r="H94" s="24" t="n">
        <f aca="false">'2026 Forecast A'!J76</f>
        <v>1.13453501956376</v>
      </c>
      <c r="I94" s="24" t="n">
        <f aca="false">'2026 Forecast B'!J76</f>
        <v>1.22035716831382</v>
      </c>
      <c r="J94" s="24" t="n">
        <f aca="false">'2026 Forecast C'!J76</f>
        <v>1.83096893017141</v>
      </c>
      <c r="K94" s="25" t="n">
        <f aca="false">'2026 Forecast A'!F76</f>
        <v>6453</v>
      </c>
      <c r="L94" s="26" t="str">
        <f aca="false">IF(OR(AND(D94&gt;0.5,E94&gt;0.5,F94&gt;0.5),AND(D94&lt;0.5,E94&lt;0.5,F94&lt;0.5)),"Yes","No — toss-up")</f>
        <v>Yes</v>
      </c>
    </row>
    <row r="95" customFormat="false" ht="15" hidden="false" customHeight="false" outlineLevel="0" collapsed="false">
      <c r="A95" s="8" t="str">
        <f aca="false">'2026 Forecast A'!A77</f>
        <v>Northampton</v>
      </c>
      <c r="B95" s="8" t="str">
        <f aca="false">'2026 Forecast A'!B77</f>
        <v>HELLERTOWN</v>
      </c>
      <c r="C95" s="8" t="str">
        <f aca="false">'2026 Forecast A'!C77</f>
        <v>(whole municipality)</v>
      </c>
      <c r="D95" s="9" t="n">
        <f aca="false">'2026 Forecast A'!G77</f>
        <v>0.547609794014769</v>
      </c>
      <c r="E95" s="9" t="n">
        <f aca="false">'2026 Forecast B'!G77</f>
        <v>0.549941702293043</v>
      </c>
      <c r="F95" s="9" t="n">
        <f aca="false">'2026 Forecast C'!G77</f>
        <v>0.546443839875632</v>
      </c>
      <c r="G95" s="24" t="n">
        <f aca="false">(MAX(D95:F95)-MIN(D95:F95))*100</f>
        <v>0.349786241741157</v>
      </c>
      <c r="H95" s="24" t="n">
        <f aca="false">'2026 Forecast A'!J77</f>
        <v>1.48763296796655</v>
      </c>
      <c r="I95" s="24" t="n">
        <f aca="false">'2026 Forecast B'!J77</f>
        <v>1.7997491277276</v>
      </c>
      <c r="J95" s="24" t="n">
        <f aca="false">'2026 Forecast C'!J77</f>
        <v>1.3223778391408</v>
      </c>
      <c r="K95" s="25" t="n">
        <f aca="false">'2026 Forecast A'!F77</f>
        <v>2573</v>
      </c>
      <c r="L95" s="26" t="str">
        <f aca="false">IF(OR(AND(D95&gt;0.5,E95&gt;0.5,F95&gt;0.5),AND(D95&lt;0.5,E95&lt;0.5,F95&lt;0.5)),"Yes","No — toss-up")</f>
        <v>Yes</v>
      </c>
    </row>
    <row r="96" customFormat="false" ht="15" hidden="false" customHeight="false" outlineLevel="0" collapsed="false">
      <c r="A96" s="8" t="str">
        <f aca="false">'2026 Forecast A'!A78</f>
        <v>Northampton</v>
      </c>
      <c r="B96" s="8" t="str">
        <f aca="false">'2026 Forecast A'!B78</f>
        <v>LEHIGH</v>
      </c>
      <c r="C96" s="8" t="str">
        <f aca="false">'2026 Forecast A'!C78</f>
        <v>(whole municipality)</v>
      </c>
      <c r="D96" s="9" t="n">
        <f aca="false">'2026 Forecast A'!G78</f>
        <v>0.379749314531923</v>
      </c>
      <c r="E96" s="9" t="n">
        <f aca="false">'2026 Forecast B'!G78</f>
        <v>0.374657265961614</v>
      </c>
      <c r="F96" s="9" t="n">
        <f aca="false">'2026 Forecast C'!G78</f>
        <v>0.36780258519389</v>
      </c>
      <c r="G96" s="24" t="n">
        <f aca="false">(MAX(D96:F96)-MIN(D96:F96))*100</f>
        <v>1.19467293380337</v>
      </c>
      <c r="H96" s="24" t="n">
        <f aca="false">'2026 Forecast A'!J78</f>
        <v>1.13453501956376</v>
      </c>
      <c r="I96" s="24" t="n">
        <f aca="false">'2026 Forecast B'!J78</f>
        <v>1.22035716831382</v>
      </c>
      <c r="J96" s="24" t="n">
        <f aca="false">'2026 Forecast C'!J78</f>
        <v>1.83096893017141</v>
      </c>
      <c r="K96" s="25" t="n">
        <f aca="false">'2026 Forecast A'!F78</f>
        <v>5106</v>
      </c>
      <c r="L96" s="26" t="str">
        <f aca="false">IF(OR(AND(D96&gt;0.5,E96&gt;0.5,F96&gt;0.5),AND(D96&lt;0.5,E96&lt;0.5,F96&lt;0.5)),"Yes","No — toss-up")</f>
        <v>Yes</v>
      </c>
    </row>
    <row r="97" customFormat="false" ht="15" hidden="false" customHeight="false" outlineLevel="0" collapsed="false">
      <c r="A97" s="8" t="str">
        <f aca="false">'2026 Forecast A'!A79</f>
        <v>Northampton</v>
      </c>
      <c r="B97" s="8" t="str">
        <f aca="false">'2026 Forecast A'!B79</f>
        <v>LOWER MOUNT BETHEL</v>
      </c>
      <c r="C97" s="8" t="str">
        <f aca="false">'2026 Forecast A'!C79</f>
        <v>(whole municipality)</v>
      </c>
      <c r="D97" s="9" t="n">
        <f aca="false">'2026 Forecast A'!G79</f>
        <v>0.372142857142857</v>
      </c>
      <c r="E97" s="9" t="n">
        <f aca="false">'2026 Forecast B'!G79</f>
        <v>0.372142857142857</v>
      </c>
      <c r="F97" s="9" t="n">
        <f aca="false">'2026 Forecast C'!G79</f>
        <v>0.358571428571429</v>
      </c>
      <c r="G97" s="24" t="n">
        <f aca="false">(MAX(D97:F97)-MIN(D97:F97))*100</f>
        <v>1.35714285714286</v>
      </c>
      <c r="H97" s="24" t="n">
        <f aca="false">'2026 Forecast A'!J79</f>
        <v>2.52713458577249</v>
      </c>
      <c r="I97" s="24" t="n">
        <f aca="false">'2026 Forecast B'!J79</f>
        <v>2.70598815047927</v>
      </c>
      <c r="J97" s="24" t="n">
        <f aca="false">'2026 Forecast C'!J79</f>
        <v>2.39925188023053</v>
      </c>
      <c r="K97" s="25" t="n">
        <f aca="false">'2026 Forecast A'!F79</f>
        <v>1400</v>
      </c>
      <c r="L97" s="26" t="str">
        <f aca="false">IF(OR(AND(D97&gt;0.5,E97&gt;0.5,F97&gt;0.5),AND(D97&lt;0.5,E97&lt;0.5,F97&lt;0.5)),"Yes","No — toss-up")</f>
        <v>Yes</v>
      </c>
    </row>
    <row r="98" customFormat="false" ht="15" hidden="false" customHeight="false" outlineLevel="0" collapsed="false">
      <c r="A98" s="8" t="str">
        <f aca="false">'2026 Forecast A'!A80</f>
        <v>Northampton</v>
      </c>
      <c r="B98" s="8" t="str">
        <f aca="false">'2026 Forecast A'!B80</f>
        <v>LOWER NAZARETH</v>
      </c>
      <c r="C98" s="8" t="str">
        <f aca="false">'2026 Forecast A'!C80</f>
        <v>(whole municipality)</v>
      </c>
      <c r="D98" s="9" t="n">
        <f aca="false">'2026 Forecast A'!G80</f>
        <v>0.492565558258989</v>
      </c>
      <c r="E98" s="9" t="n">
        <f aca="false">'2026 Forecast B'!G80</f>
        <v>0.483103541497702</v>
      </c>
      <c r="F98" s="9" t="n">
        <f aca="false">'2026 Forecast C'!G80</f>
        <v>0.477155988104893</v>
      </c>
      <c r="G98" s="24" t="n">
        <f aca="false">(MAX(D98:F98)-MIN(D98:F98))*100</f>
        <v>1.54095701540957</v>
      </c>
      <c r="H98" s="24" t="n">
        <f aca="false">'2026 Forecast A'!J80</f>
        <v>1.48763296796655</v>
      </c>
      <c r="I98" s="24" t="n">
        <f aca="false">'2026 Forecast B'!J80</f>
        <v>1.7997491277276</v>
      </c>
      <c r="J98" s="24" t="n">
        <f aca="false">'2026 Forecast C'!J80</f>
        <v>1.3223778391408</v>
      </c>
      <c r="K98" s="25" t="n">
        <f aca="false">'2026 Forecast A'!F80</f>
        <v>3699</v>
      </c>
      <c r="L98" s="26" t="str">
        <f aca="false">IF(OR(AND(D98&gt;0.5,E98&gt;0.5,F98&gt;0.5),AND(D98&lt;0.5,E98&lt;0.5,F98&lt;0.5)),"Yes","No — toss-up")</f>
        <v>Yes</v>
      </c>
    </row>
    <row r="99" customFormat="false" ht="15" hidden="false" customHeight="false" outlineLevel="0" collapsed="false">
      <c r="A99" s="8" t="str">
        <f aca="false">'2026 Forecast A'!A81</f>
        <v>Northampton</v>
      </c>
      <c r="B99" s="8" t="str">
        <f aca="false">'2026 Forecast A'!B81</f>
        <v>LOWER SAUCON</v>
      </c>
      <c r="C99" s="8" t="str">
        <f aca="false">'2026 Forecast A'!C81</f>
        <v>(whole municipality)</v>
      </c>
      <c r="D99" s="9" t="n">
        <f aca="false">'2026 Forecast A'!G81</f>
        <v>0.521680445419268</v>
      </c>
      <c r="E99" s="9" t="n">
        <f aca="false">'2026 Forecast B'!G81</f>
        <v>0.521680445419268</v>
      </c>
      <c r="F99" s="9" t="n">
        <f aca="false">'2026 Forecast C'!G81</f>
        <v>0.511219841403746</v>
      </c>
      <c r="G99" s="24" t="n">
        <f aca="false">(MAX(D99:F99)-MIN(D99:F99))*100</f>
        <v>1.04606040155222</v>
      </c>
      <c r="H99" s="24" t="n">
        <f aca="false">'2026 Forecast A'!J81</f>
        <v>1.13453501956376</v>
      </c>
      <c r="I99" s="24" t="n">
        <f aca="false">'2026 Forecast B'!J81</f>
        <v>1.22035716831382</v>
      </c>
      <c r="J99" s="24" t="n">
        <f aca="false">'2026 Forecast C'!J81</f>
        <v>1.83096893017141</v>
      </c>
      <c r="K99" s="25" t="n">
        <f aca="false">'2026 Forecast A'!F81</f>
        <v>5927</v>
      </c>
      <c r="L99" s="26" t="str">
        <f aca="false">IF(OR(AND(D99&gt;0.5,E99&gt;0.5,F99&gt;0.5),AND(D99&lt;0.5,E99&lt;0.5,F99&lt;0.5)),"Yes","No — toss-up")</f>
        <v>Yes</v>
      </c>
    </row>
    <row r="100" customFormat="false" ht="15" hidden="false" customHeight="false" outlineLevel="0" collapsed="false">
      <c r="A100" s="8" t="str">
        <f aca="false">'2026 Forecast A'!A82</f>
        <v>Northampton</v>
      </c>
      <c r="B100" s="8" t="str">
        <f aca="false">'2026 Forecast A'!B82</f>
        <v>MOORE</v>
      </c>
      <c r="C100" s="8" t="str">
        <f aca="false">'2026 Forecast A'!C82</f>
        <v>(whole municipality)</v>
      </c>
      <c r="D100" s="9" t="n">
        <f aca="false">'2026 Forecast A'!G82</f>
        <v>0.375210437710438</v>
      </c>
      <c r="E100" s="9" t="n">
        <f aca="false">'2026 Forecast B'!G82</f>
        <v>0.372895622895623</v>
      </c>
      <c r="F100" s="9" t="n">
        <f aca="false">'2026 Forecast C'!G82</f>
        <v>0.362584175084175</v>
      </c>
      <c r="G100" s="24" t="n">
        <f aca="false">(MAX(D100:F100)-MIN(D100:F100))*100</f>
        <v>1.26262626262627</v>
      </c>
      <c r="H100" s="24" t="n">
        <f aca="false">'2026 Forecast A'!J82</f>
        <v>1.13453501956376</v>
      </c>
      <c r="I100" s="24" t="n">
        <f aca="false">'2026 Forecast B'!J82</f>
        <v>1.22035716831382</v>
      </c>
      <c r="J100" s="24" t="n">
        <f aca="false">'2026 Forecast C'!J82</f>
        <v>1.83096893017141</v>
      </c>
      <c r="K100" s="25" t="n">
        <f aca="false">'2026 Forecast A'!F82</f>
        <v>4752</v>
      </c>
      <c r="L100" s="26" t="str">
        <f aca="false">IF(OR(AND(D100&gt;0.5,E100&gt;0.5,F100&gt;0.5),AND(D100&lt;0.5,E100&lt;0.5,F100&lt;0.5)),"Yes","No — toss-up")</f>
        <v>Yes</v>
      </c>
    </row>
    <row r="101" customFormat="false" ht="15" hidden="false" customHeight="false" outlineLevel="0" collapsed="false">
      <c r="A101" s="8" t="str">
        <f aca="false">'2026 Forecast A'!A83</f>
        <v>Northampton</v>
      </c>
      <c r="B101" s="8" t="str">
        <f aca="false">'2026 Forecast A'!B83</f>
        <v>NAZARETH</v>
      </c>
      <c r="C101" s="8" t="str">
        <f aca="false">'2026 Forecast A'!C83</f>
        <v>(whole municipality)</v>
      </c>
      <c r="D101" s="9" t="n">
        <f aca="false">'2026 Forecast A'!G83</f>
        <v>0.528861788617886</v>
      </c>
      <c r="E101" s="9" t="n">
        <f aca="false">'2026 Forecast B'!G83</f>
        <v>0.529268292682927</v>
      </c>
      <c r="F101" s="9" t="n">
        <f aca="false">'2026 Forecast C'!G83</f>
        <v>0.521951219512195</v>
      </c>
      <c r="G101" s="24" t="n">
        <f aca="false">(MAX(D101:F101)-MIN(D101:F101))*100</f>
        <v>0.731707317073171</v>
      </c>
      <c r="H101" s="24" t="n">
        <f aca="false">'2026 Forecast A'!J83</f>
        <v>1.48763296796655</v>
      </c>
      <c r="I101" s="24" t="n">
        <f aca="false">'2026 Forecast B'!J83</f>
        <v>1.7997491277276</v>
      </c>
      <c r="J101" s="24" t="n">
        <f aca="false">'2026 Forecast C'!J83</f>
        <v>1.3223778391408</v>
      </c>
      <c r="K101" s="25" t="n">
        <f aca="false">'2026 Forecast A'!F83</f>
        <v>2460</v>
      </c>
      <c r="L101" s="26" t="str">
        <f aca="false">IF(OR(AND(D101&gt;0.5,E101&gt;0.5,F101&gt;0.5),AND(D101&lt;0.5,E101&lt;0.5,F101&lt;0.5)),"Yes","No — toss-up")</f>
        <v>Yes</v>
      </c>
    </row>
    <row r="102" customFormat="false" ht="15" hidden="false" customHeight="false" outlineLevel="0" collapsed="false">
      <c r="A102" s="8" t="str">
        <f aca="false">'2026 Forecast A'!A84</f>
        <v>Northampton</v>
      </c>
      <c r="B102" s="8" t="str">
        <f aca="false">'2026 Forecast A'!B84</f>
        <v>NORTH CATASAUQUA</v>
      </c>
      <c r="C102" s="8" t="str">
        <f aca="false">'2026 Forecast A'!C84</f>
        <v>(whole municipality)</v>
      </c>
      <c r="D102" s="9" t="n">
        <f aca="false">'2026 Forecast A'!G84</f>
        <v>0.532863849765258</v>
      </c>
      <c r="E102" s="9" t="n">
        <f aca="false">'2026 Forecast B'!G84</f>
        <v>0.542253521126761</v>
      </c>
      <c r="F102" s="9" t="n">
        <f aca="false">'2026 Forecast C'!G84</f>
        <v>0.528951486697966</v>
      </c>
      <c r="G102" s="24" t="n">
        <f aca="false">(MAX(D102:F102)-MIN(D102:F102))*100</f>
        <v>1.33020344287951</v>
      </c>
      <c r="H102" s="24" t="n">
        <f aca="false">'2026 Forecast A'!J84</f>
        <v>2.52713458577249</v>
      </c>
      <c r="I102" s="24" t="n">
        <f aca="false">'2026 Forecast B'!J84</f>
        <v>2.70598815047927</v>
      </c>
      <c r="J102" s="24" t="n">
        <f aca="false">'2026 Forecast C'!J84</f>
        <v>2.39925188023053</v>
      </c>
      <c r="K102" s="25" t="n">
        <f aca="false">'2026 Forecast A'!F84</f>
        <v>1278</v>
      </c>
      <c r="L102" s="26" t="str">
        <f aca="false">IF(OR(AND(D102&gt;0.5,E102&gt;0.5,F102&gt;0.5),AND(D102&lt;0.5,E102&lt;0.5,F102&lt;0.5)),"Yes","No — toss-up")</f>
        <v>Yes</v>
      </c>
    </row>
    <row r="103" customFormat="false" ht="15" hidden="false" customHeight="false" outlineLevel="0" collapsed="false">
      <c r="A103" s="8" t="str">
        <f aca="false">'2026 Forecast A'!A85</f>
        <v>Northampton</v>
      </c>
      <c r="B103" s="8" t="str">
        <f aca="false">'2026 Forecast A'!B85</f>
        <v>NORTHAMPTON</v>
      </c>
      <c r="C103" s="8" t="str">
        <f aca="false">'2026 Forecast A'!C85</f>
        <v>(whole municipality)</v>
      </c>
      <c r="D103" s="9" t="n">
        <f aca="false">'2026 Forecast A'!G85</f>
        <v>0.514132925897632</v>
      </c>
      <c r="E103" s="9" t="n">
        <f aca="false">'2026 Forecast B'!G85</f>
        <v>0.518461930226636</v>
      </c>
      <c r="F103" s="9" t="n">
        <f aca="false">'2026 Forecast C'!G85</f>
        <v>0.509549274255157</v>
      </c>
      <c r="G103" s="24" t="n">
        <f aca="false">(MAX(D103:F103)-MIN(D103:F103))*100</f>
        <v>0.89126559714795</v>
      </c>
      <c r="H103" s="24" t="n">
        <f aca="false">'2026 Forecast A'!J85</f>
        <v>1.13453501956376</v>
      </c>
      <c r="I103" s="24" t="n">
        <f aca="false">'2026 Forecast B'!J85</f>
        <v>1.22035716831382</v>
      </c>
      <c r="J103" s="24" t="n">
        <f aca="false">'2026 Forecast C'!J85</f>
        <v>1.83096893017141</v>
      </c>
      <c r="K103" s="25" t="n">
        <f aca="false">'2026 Forecast A'!F85</f>
        <v>3927</v>
      </c>
      <c r="L103" s="26" t="str">
        <f aca="false">IF(OR(AND(D103&gt;0.5,E103&gt;0.5,F103&gt;0.5),AND(D103&lt;0.5,E103&lt;0.5,F103&lt;0.5)),"Yes","No — toss-up")</f>
        <v>Yes</v>
      </c>
    </row>
    <row r="104" customFormat="false" ht="15" hidden="false" customHeight="false" outlineLevel="0" collapsed="false">
      <c r="A104" s="8" t="str">
        <f aca="false">'2026 Forecast A'!A86</f>
        <v>Northampton</v>
      </c>
      <c r="B104" s="8" t="str">
        <f aca="false">'2026 Forecast A'!B86</f>
        <v>PALMER</v>
      </c>
      <c r="C104" s="8" t="str">
        <f aca="false">'2026 Forecast A'!C86</f>
        <v>(whole municipality)</v>
      </c>
      <c r="D104" s="9" t="n">
        <f aca="false">'2026 Forecast A'!G86</f>
        <v>0.54416755551246</v>
      </c>
      <c r="E104" s="9" t="n">
        <f aca="false">'2026 Forecast B'!G86</f>
        <v>0.54814312033356</v>
      </c>
      <c r="F104" s="9" t="n">
        <f aca="false">'2026 Forecast C'!G86</f>
        <v>0.54106467565209</v>
      </c>
      <c r="G104" s="24" t="n">
        <f aca="false">(MAX(D104:F104)-MIN(D104:F104))*100</f>
        <v>0.707844468147001</v>
      </c>
      <c r="H104" s="24" t="n">
        <f aca="false">'2026 Forecast A'!J86</f>
        <v>1.13453501956376</v>
      </c>
      <c r="I104" s="24" t="n">
        <f aca="false">'2026 Forecast B'!J86</f>
        <v>1.22035716831382</v>
      </c>
      <c r="J104" s="24" t="n">
        <f aca="false">'2026 Forecast C'!J86</f>
        <v>1.83096893017141</v>
      </c>
      <c r="K104" s="25" t="n">
        <f aca="false">'2026 Forecast A'!F86</f>
        <v>10313</v>
      </c>
      <c r="L104" s="26" t="str">
        <f aca="false">IF(OR(AND(D104&gt;0.5,E104&gt;0.5,F104&gt;0.5),AND(D104&lt;0.5,E104&lt;0.5,F104&lt;0.5)),"Yes","No — toss-up")</f>
        <v>Yes</v>
      </c>
    </row>
    <row r="105" customFormat="false" ht="15" hidden="false" customHeight="false" outlineLevel="0" collapsed="false">
      <c r="A105" s="8" t="str">
        <f aca="false">'2026 Forecast A'!A87</f>
        <v>Northampton</v>
      </c>
      <c r="B105" s="8" t="str">
        <f aca="false">'2026 Forecast A'!B87</f>
        <v>PEN ARGYL</v>
      </c>
      <c r="C105" s="8" t="str">
        <f aca="false">'2026 Forecast A'!C87</f>
        <v>(whole municipality)</v>
      </c>
      <c r="D105" s="9" t="n">
        <f aca="false">'2026 Forecast A'!G87</f>
        <v>0.422808378588053</v>
      </c>
      <c r="E105" s="9" t="n">
        <f aca="false">'2026 Forecast B'!G87</f>
        <v>0.421256788207913</v>
      </c>
      <c r="F105" s="9" t="n">
        <f aca="false">'2026 Forecast C'!G87</f>
        <v>0.411947245927075</v>
      </c>
      <c r="G105" s="24" t="n">
        <f aca="false">(MAX(D105:F105)-MIN(D105:F105))*100</f>
        <v>1.08611326609775</v>
      </c>
      <c r="H105" s="24" t="n">
        <f aca="false">'2026 Forecast A'!J87</f>
        <v>2.52713458577249</v>
      </c>
      <c r="I105" s="24" t="n">
        <f aca="false">'2026 Forecast B'!J87</f>
        <v>2.70598815047927</v>
      </c>
      <c r="J105" s="24" t="n">
        <f aca="false">'2026 Forecast C'!J87</f>
        <v>2.39925188023053</v>
      </c>
      <c r="K105" s="25" t="n">
        <f aca="false">'2026 Forecast A'!F87</f>
        <v>1289</v>
      </c>
      <c r="L105" s="26" t="str">
        <f aca="false">IF(OR(AND(D105&gt;0.5,E105&gt;0.5,F105&gt;0.5),AND(D105&lt;0.5,E105&lt;0.5,F105&lt;0.5)),"Yes","No — toss-up")</f>
        <v>Yes</v>
      </c>
    </row>
    <row r="106" customFormat="false" ht="15" hidden="false" customHeight="false" outlineLevel="0" collapsed="false">
      <c r="A106" s="8" t="str">
        <f aca="false">'2026 Forecast A'!A88</f>
        <v>Northampton</v>
      </c>
      <c r="B106" s="8" t="str">
        <f aca="false">'2026 Forecast A'!B88</f>
        <v>PLAINFIELD</v>
      </c>
      <c r="C106" s="8" t="str">
        <f aca="false">'2026 Forecast A'!C88</f>
        <v>(whole municipality)</v>
      </c>
      <c r="D106" s="9" t="n">
        <f aca="false">'2026 Forecast A'!G88</f>
        <v>0.377358490566038</v>
      </c>
      <c r="E106" s="9" t="n">
        <f aca="false">'2026 Forecast B'!G88</f>
        <v>0.374756018217306</v>
      </c>
      <c r="F106" s="9" t="n">
        <f aca="false">'2026 Forecast C'!G88</f>
        <v>0.36402081977879</v>
      </c>
      <c r="G106" s="24" t="n">
        <f aca="false">(MAX(D106:F106)-MIN(D106:F106))*100</f>
        <v>1.33376707872479</v>
      </c>
      <c r="H106" s="24" t="n">
        <f aca="false">'2026 Forecast A'!J88</f>
        <v>1.48763296796655</v>
      </c>
      <c r="I106" s="24" t="n">
        <f aca="false">'2026 Forecast B'!J88</f>
        <v>1.7997491277276</v>
      </c>
      <c r="J106" s="24" t="n">
        <f aca="false">'2026 Forecast C'!J88</f>
        <v>1.3223778391408</v>
      </c>
      <c r="K106" s="25" t="n">
        <f aca="false">'2026 Forecast A'!F88</f>
        <v>3074</v>
      </c>
      <c r="L106" s="26" t="str">
        <f aca="false">IF(OR(AND(D106&gt;0.5,E106&gt;0.5,F106&gt;0.5),AND(D106&lt;0.5,E106&lt;0.5,F106&lt;0.5)),"Yes","No — toss-up")</f>
        <v>Yes</v>
      </c>
    </row>
    <row r="107" customFormat="false" ht="15" hidden="false" customHeight="false" outlineLevel="0" collapsed="false">
      <c r="A107" s="8" t="str">
        <f aca="false">'2026 Forecast A'!A89</f>
        <v>Northampton</v>
      </c>
      <c r="B107" s="8" t="str">
        <f aca="false">'2026 Forecast A'!B89</f>
        <v>PORTLAND</v>
      </c>
      <c r="C107" s="8" t="str">
        <f aca="false">'2026 Forecast A'!C89</f>
        <v>(whole municipality)</v>
      </c>
      <c r="D107" s="9" t="n">
        <f aca="false">'2026 Forecast A'!G89</f>
        <v>0.38659793814433</v>
      </c>
      <c r="E107" s="9" t="n">
        <f aca="false">'2026 Forecast B'!G89</f>
        <v>0.381443298969072</v>
      </c>
      <c r="F107" s="9" t="n">
        <f aca="false">'2026 Forecast C'!G89</f>
        <v>0.376288659793814</v>
      </c>
      <c r="G107" s="24" t="n">
        <f aca="false">(MAX(D107:F107)-MIN(D107:F107))*100</f>
        <v>1.03092783505155</v>
      </c>
      <c r="H107" s="24" t="n">
        <f aca="false">'2026 Forecast A'!J89</f>
        <v>2.52713458577249</v>
      </c>
      <c r="I107" s="24" t="n">
        <f aca="false">'2026 Forecast B'!J89</f>
        <v>2.70598815047927</v>
      </c>
      <c r="J107" s="24" t="n">
        <f aca="false">'2026 Forecast C'!J89</f>
        <v>2.39925188023053</v>
      </c>
      <c r="K107" s="25" t="n">
        <f aca="false">'2026 Forecast A'!F89</f>
        <v>194</v>
      </c>
      <c r="L107" s="26" t="str">
        <f aca="false">IF(OR(AND(D107&gt;0.5,E107&gt;0.5,F107&gt;0.5),AND(D107&lt;0.5,E107&lt;0.5,F107&lt;0.5)),"Yes","No — toss-up")</f>
        <v>Yes</v>
      </c>
    </row>
    <row r="108" customFormat="false" ht="15" hidden="false" customHeight="false" outlineLevel="0" collapsed="false">
      <c r="A108" s="8" t="str">
        <f aca="false">'2026 Forecast A'!A90</f>
        <v>Northampton</v>
      </c>
      <c r="B108" s="8" t="str">
        <f aca="false">'2026 Forecast A'!B90</f>
        <v>ROSETO</v>
      </c>
      <c r="C108" s="8" t="str">
        <f aca="false">'2026 Forecast A'!C90</f>
        <v>(whole municipality)</v>
      </c>
      <c r="D108" s="9" t="n">
        <f aca="false">'2026 Forecast A'!G90</f>
        <v>0.428994082840237</v>
      </c>
      <c r="E108" s="9" t="n">
        <f aca="false">'2026 Forecast B'!G90</f>
        <v>0.427514792899408</v>
      </c>
      <c r="F108" s="9" t="n">
        <f aca="false">'2026 Forecast C'!G90</f>
        <v>0.424556213017752</v>
      </c>
      <c r="G108" s="24" t="n">
        <f aca="false">(MAX(D108:F108)-MIN(D108:F108))*100</f>
        <v>0.443786982248523</v>
      </c>
      <c r="H108" s="24" t="n">
        <f aca="false">'2026 Forecast A'!J90</f>
        <v>2.52713458577249</v>
      </c>
      <c r="I108" s="24" t="n">
        <f aca="false">'2026 Forecast B'!J90</f>
        <v>2.70598815047927</v>
      </c>
      <c r="J108" s="24" t="n">
        <f aca="false">'2026 Forecast C'!J90</f>
        <v>2.39925188023053</v>
      </c>
      <c r="K108" s="25" t="n">
        <f aca="false">'2026 Forecast A'!F90</f>
        <v>676</v>
      </c>
      <c r="L108" s="26" t="str">
        <f aca="false">IF(OR(AND(D108&gt;0.5,E108&gt;0.5,F108&gt;0.5),AND(D108&lt;0.5,E108&lt;0.5,F108&lt;0.5)),"Yes","No — toss-up")</f>
        <v>Yes</v>
      </c>
    </row>
    <row r="109" customFormat="false" ht="15" hidden="false" customHeight="false" outlineLevel="0" collapsed="false">
      <c r="A109" s="8" t="str">
        <f aca="false">'2026 Forecast A'!A91</f>
        <v>Northampton</v>
      </c>
      <c r="B109" s="8" t="str">
        <f aca="false">'2026 Forecast A'!B91</f>
        <v>STOCKERTOWN</v>
      </c>
      <c r="C109" s="8" t="str">
        <f aca="false">'2026 Forecast A'!C91</f>
        <v>(whole municipality)</v>
      </c>
      <c r="D109" s="9" t="n">
        <f aca="false">'2026 Forecast A'!G91</f>
        <v>0.441860465116279</v>
      </c>
      <c r="E109" s="9" t="n">
        <f aca="false">'2026 Forecast B'!G91</f>
        <v>0.441860465116279</v>
      </c>
      <c r="F109" s="9" t="n">
        <f aca="false">'2026 Forecast C'!G91</f>
        <v>0.431524547803618</v>
      </c>
      <c r="G109" s="24" t="n">
        <f aca="false">(MAX(D109:F109)-MIN(D109:F109))*100</f>
        <v>1.03359173126615</v>
      </c>
      <c r="H109" s="24" t="n">
        <f aca="false">'2026 Forecast A'!J91</f>
        <v>2.52713458577249</v>
      </c>
      <c r="I109" s="24" t="n">
        <f aca="false">'2026 Forecast B'!J91</f>
        <v>2.70598815047927</v>
      </c>
      <c r="J109" s="24" t="n">
        <f aca="false">'2026 Forecast C'!J91</f>
        <v>2.39925188023053</v>
      </c>
      <c r="K109" s="25" t="n">
        <f aca="false">'2026 Forecast A'!F91</f>
        <v>387</v>
      </c>
      <c r="L109" s="26" t="str">
        <f aca="false">IF(OR(AND(D109&gt;0.5,E109&gt;0.5,F109&gt;0.5),AND(D109&lt;0.5,E109&lt;0.5,F109&lt;0.5)),"Yes","No — toss-up")</f>
        <v>Yes</v>
      </c>
    </row>
    <row r="110" customFormat="false" ht="15" hidden="false" customHeight="false" outlineLevel="0" collapsed="false">
      <c r="A110" s="8" t="str">
        <f aca="false">'2026 Forecast A'!A92</f>
        <v>Northampton</v>
      </c>
      <c r="B110" s="8" t="str">
        <f aca="false">'2026 Forecast A'!B92</f>
        <v>TATAMY</v>
      </c>
      <c r="C110" s="8" t="str">
        <f aca="false">'2026 Forecast A'!C92</f>
        <v>(whole municipality)</v>
      </c>
      <c r="D110" s="9" t="n">
        <f aca="false">'2026 Forecast A'!G92</f>
        <v>0.463458110516934</v>
      </c>
      <c r="E110" s="9" t="n">
        <f aca="false">'2026 Forecast B'!G92</f>
        <v>0.46524064171123</v>
      </c>
      <c r="F110" s="9" t="n">
        <f aca="false">'2026 Forecast C'!G92</f>
        <v>0.45632798573975</v>
      </c>
      <c r="G110" s="24" t="n">
        <f aca="false">(MAX(D110:F110)-MIN(D110:F110))*100</f>
        <v>0.891265597147956</v>
      </c>
      <c r="H110" s="24" t="n">
        <f aca="false">'2026 Forecast A'!J92</f>
        <v>2.52713458577249</v>
      </c>
      <c r="I110" s="24" t="n">
        <f aca="false">'2026 Forecast B'!J92</f>
        <v>2.70598815047927</v>
      </c>
      <c r="J110" s="24" t="n">
        <f aca="false">'2026 Forecast C'!J92</f>
        <v>2.39925188023053</v>
      </c>
      <c r="K110" s="25" t="n">
        <f aca="false">'2026 Forecast A'!F92</f>
        <v>561</v>
      </c>
      <c r="L110" s="26" t="str">
        <f aca="false">IF(OR(AND(D110&gt;0.5,E110&gt;0.5,F110&gt;0.5),AND(D110&lt;0.5,E110&lt;0.5,F110&lt;0.5)),"Yes","No — toss-up")</f>
        <v>Yes</v>
      </c>
    </row>
    <row r="111" customFormat="false" ht="15" hidden="false" customHeight="false" outlineLevel="0" collapsed="false">
      <c r="A111" s="8" t="str">
        <f aca="false">'2026 Forecast A'!A93</f>
        <v>Northampton</v>
      </c>
      <c r="B111" s="8" t="str">
        <f aca="false">'2026 Forecast A'!B93</f>
        <v>UPPER MOUNT BETHEL</v>
      </c>
      <c r="C111" s="8" t="str">
        <f aca="false">'2026 Forecast A'!C93</f>
        <v>(whole municipality)</v>
      </c>
      <c r="D111" s="9" t="n">
        <f aca="false">'2026 Forecast A'!G93</f>
        <v>0.35872</v>
      </c>
      <c r="E111" s="9" t="n">
        <f aca="false">'2026 Forecast B'!G93</f>
        <v>0.36352</v>
      </c>
      <c r="F111" s="9" t="n">
        <f aca="false">'2026 Forecast C'!G93</f>
        <v>0.34624</v>
      </c>
      <c r="G111" s="24" t="n">
        <f aca="false">(MAX(D111:F111)-MIN(D111:F111))*100</f>
        <v>1.728</v>
      </c>
      <c r="H111" s="24" t="n">
        <f aca="false">'2026 Forecast A'!J93</f>
        <v>1.48763296796655</v>
      </c>
      <c r="I111" s="24" t="n">
        <f aca="false">'2026 Forecast B'!J93</f>
        <v>1.7997491277276</v>
      </c>
      <c r="J111" s="24" t="n">
        <f aca="false">'2026 Forecast C'!J93</f>
        <v>1.3223778391408</v>
      </c>
      <c r="K111" s="25" t="n">
        <f aca="false">'2026 Forecast A'!F93</f>
        <v>3125</v>
      </c>
      <c r="L111" s="26" t="str">
        <f aca="false">IF(OR(AND(D111&gt;0.5,E111&gt;0.5,F111&gt;0.5),AND(D111&lt;0.5,E111&lt;0.5,F111&lt;0.5)),"Yes","No — toss-up")</f>
        <v>Yes</v>
      </c>
    </row>
    <row r="112" customFormat="false" ht="15" hidden="false" customHeight="false" outlineLevel="0" collapsed="false">
      <c r="A112" s="8" t="str">
        <f aca="false">'2026 Forecast A'!A94</f>
        <v>Northampton</v>
      </c>
      <c r="B112" s="8" t="str">
        <f aca="false">'2026 Forecast A'!B94</f>
        <v>UPPER NAZARETH</v>
      </c>
      <c r="C112" s="8" t="str">
        <f aca="false">'2026 Forecast A'!C94</f>
        <v>(whole municipality)</v>
      </c>
      <c r="D112" s="9" t="n">
        <f aca="false">'2026 Forecast A'!G94</f>
        <v>0.518178944040468</v>
      </c>
      <c r="E112" s="9" t="n">
        <f aca="false">'2026 Forecast B'!G94</f>
        <v>0.521024343977237</v>
      </c>
      <c r="F112" s="9" t="n">
        <f aca="false">'2026 Forecast C'!G94</f>
        <v>0.504268099905153</v>
      </c>
      <c r="G112" s="24" t="n">
        <f aca="false">(MAX(D112:F112)-MIN(D112:F112))*100</f>
        <v>1.67562440720835</v>
      </c>
      <c r="H112" s="24" t="n">
        <f aca="false">'2026 Forecast A'!J94</f>
        <v>1.48763296796655</v>
      </c>
      <c r="I112" s="24" t="n">
        <f aca="false">'2026 Forecast B'!J94</f>
        <v>1.7997491277276</v>
      </c>
      <c r="J112" s="24" t="n">
        <f aca="false">'2026 Forecast C'!J94</f>
        <v>1.3223778391408</v>
      </c>
      <c r="K112" s="25" t="n">
        <f aca="false">'2026 Forecast A'!F94</f>
        <v>3163</v>
      </c>
      <c r="L112" s="26" t="str">
        <f aca="false">IF(OR(AND(D112&gt;0.5,E112&gt;0.5,F112&gt;0.5),AND(D112&lt;0.5,E112&lt;0.5,F112&lt;0.5)),"Yes","No — toss-up")</f>
        <v>Yes</v>
      </c>
    </row>
    <row r="113" customFormat="false" ht="15" hidden="false" customHeight="false" outlineLevel="0" collapsed="false">
      <c r="A113" s="8" t="str">
        <f aca="false">'2026 Forecast A'!A95</f>
        <v>Northampton</v>
      </c>
      <c r="B113" s="8" t="str">
        <f aca="false">'2026 Forecast A'!B95</f>
        <v>WALNUTPORT</v>
      </c>
      <c r="C113" s="8" t="str">
        <f aca="false">'2026 Forecast A'!C95</f>
        <v>(whole municipality)</v>
      </c>
      <c r="D113" s="9" t="n">
        <f aca="false">'2026 Forecast A'!G95</f>
        <v>0.435082872928177</v>
      </c>
      <c r="E113" s="9" t="n">
        <f aca="false">'2026 Forecast B'!G95</f>
        <v>0.439226519337017</v>
      </c>
      <c r="F113" s="9" t="n">
        <f aca="false">'2026 Forecast C'!G95</f>
        <v>0.424033149171271</v>
      </c>
      <c r="G113" s="24" t="n">
        <f aca="false">(MAX(D113:F113)-MIN(D113:F113))*100</f>
        <v>1.51933701657458</v>
      </c>
      <c r="H113" s="24" t="n">
        <f aca="false">'2026 Forecast A'!J95</f>
        <v>2.52713458577249</v>
      </c>
      <c r="I113" s="24" t="n">
        <f aca="false">'2026 Forecast B'!J95</f>
        <v>2.70598815047927</v>
      </c>
      <c r="J113" s="24" t="n">
        <f aca="false">'2026 Forecast C'!J95</f>
        <v>2.39925188023053</v>
      </c>
      <c r="K113" s="25" t="n">
        <f aca="false">'2026 Forecast A'!F95</f>
        <v>724</v>
      </c>
      <c r="L113" s="26" t="str">
        <f aca="false">IF(OR(AND(D113&gt;0.5,E113&gt;0.5,F113&gt;0.5),AND(D113&lt;0.5,E113&lt;0.5,F113&lt;0.5)),"Yes","No — toss-up")</f>
        <v>Yes</v>
      </c>
    </row>
    <row r="114" customFormat="false" ht="15" hidden="false" customHeight="false" outlineLevel="0" collapsed="false">
      <c r="A114" s="8" t="str">
        <f aca="false">'2026 Forecast A'!A96</f>
        <v>Northampton</v>
      </c>
      <c r="B114" s="8" t="str">
        <f aca="false">'2026 Forecast A'!B96</f>
        <v>WASHINGTON</v>
      </c>
      <c r="C114" s="8" t="str">
        <f aca="false">'2026 Forecast A'!C96</f>
        <v>(whole municipality)</v>
      </c>
      <c r="D114" s="9" t="n">
        <f aca="false">'2026 Forecast A'!G96</f>
        <v>0.367045933417615</v>
      </c>
      <c r="E114" s="9" t="n">
        <f aca="false">'2026 Forecast B'!G96</f>
        <v>0.370417193426043</v>
      </c>
      <c r="F114" s="9" t="n">
        <f aca="false">'2026 Forecast C'!G96</f>
        <v>0.355246523388116</v>
      </c>
      <c r="G114" s="24" t="n">
        <f aca="false">(MAX(D114:F114)-MIN(D114:F114))*100</f>
        <v>1.51706700379267</v>
      </c>
      <c r="H114" s="24" t="n">
        <f aca="false">'2026 Forecast A'!J96</f>
        <v>1.48763296796655</v>
      </c>
      <c r="I114" s="24" t="n">
        <f aca="false">'2026 Forecast B'!J96</f>
        <v>1.7997491277276</v>
      </c>
      <c r="J114" s="24" t="n">
        <f aca="false">'2026 Forecast C'!J96</f>
        <v>1.3223778391408</v>
      </c>
      <c r="K114" s="25" t="n">
        <f aca="false">'2026 Forecast A'!F96</f>
        <v>2373</v>
      </c>
      <c r="L114" s="26" t="str">
        <f aca="false">IF(OR(AND(D114&gt;0.5,E114&gt;0.5,F114&gt;0.5),AND(D114&lt;0.5,E114&lt;0.5,F114&lt;0.5)),"Yes","No — toss-up")</f>
        <v>Yes</v>
      </c>
    </row>
    <row r="115" customFormat="false" ht="15" hidden="false" customHeight="false" outlineLevel="0" collapsed="false">
      <c r="A115" s="8" t="str">
        <f aca="false">'2026 Forecast A'!A97</f>
        <v>Northampton</v>
      </c>
      <c r="B115" s="8" t="str">
        <f aca="false">'2026 Forecast A'!B97</f>
        <v>WEST EASTON</v>
      </c>
      <c r="C115" s="8" t="str">
        <f aca="false">'2026 Forecast A'!C97</f>
        <v>(whole municipality)</v>
      </c>
      <c r="D115" s="9" t="n">
        <f aca="false">'2026 Forecast A'!G97</f>
        <v>0.519323671497585</v>
      </c>
      <c r="E115" s="9" t="n">
        <f aca="false">'2026 Forecast B'!G97</f>
        <v>0.521739130434783</v>
      </c>
      <c r="F115" s="9" t="n">
        <f aca="false">'2026 Forecast C'!G97</f>
        <v>0.514492753623188</v>
      </c>
      <c r="G115" s="24" t="n">
        <f aca="false">(MAX(D115:F115)-MIN(D115:F115))*100</f>
        <v>0.724637681159424</v>
      </c>
      <c r="H115" s="24" t="n">
        <f aca="false">'2026 Forecast A'!J97</f>
        <v>2.52713458577249</v>
      </c>
      <c r="I115" s="24" t="n">
        <f aca="false">'2026 Forecast B'!J97</f>
        <v>2.70598815047927</v>
      </c>
      <c r="J115" s="24" t="n">
        <f aca="false">'2026 Forecast C'!J97</f>
        <v>2.39925188023053</v>
      </c>
      <c r="K115" s="25" t="n">
        <f aca="false">'2026 Forecast A'!F97</f>
        <v>414</v>
      </c>
      <c r="L115" s="26" t="str">
        <f aca="false">IF(OR(AND(D115&gt;0.5,E115&gt;0.5,F115&gt;0.5),AND(D115&lt;0.5,E115&lt;0.5,F115&lt;0.5)),"Yes","No — toss-up")</f>
        <v>Yes</v>
      </c>
    </row>
    <row r="116" customFormat="false" ht="15" hidden="false" customHeight="false" outlineLevel="0" collapsed="false">
      <c r="A116" s="8" t="str">
        <f aca="false">'2026 Forecast A'!A98</f>
        <v>Northampton</v>
      </c>
      <c r="B116" s="8" t="str">
        <f aca="false">'2026 Forecast A'!B98</f>
        <v>WILLIAMS TOWNSHIP</v>
      </c>
      <c r="C116" s="8" t="str">
        <f aca="false">'2026 Forecast A'!C98</f>
        <v>(whole municipality)</v>
      </c>
      <c r="D116" s="9" t="n">
        <f aca="false">'2026 Forecast A'!G98</f>
        <v>0.488841978287093</v>
      </c>
      <c r="E116" s="9" t="n">
        <f aca="false">'2026 Forecast B'!G98</f>
        <v>0.484620024125452</v>
      </c>
      <c r="F116" s="9" t="n">
        <f aca="false">'2026 Forecast C'!G98</f>
        <v>0.476176115802171</v>
      </c>
      <c r="G116" s="24" t="n">
        <f aca="false">(MAX(D116:F116)-MIN(D116:F116))*100</f>
        <v>1.26658624849216</v>
      </c>
      <c r="H116" s="24" t="n">
        <f aca="false">'2026 Forecast A'!J98</f>
        <v>1.48763296796655</v>
      </c>
      <c r="I116" s="24" t="n">
        <f aca="false">'2026 Forecast B'!J98</f>
        <v>1.7997491277276</v>
      </c>
      <c r="J116" s="24" t="n">
        <f aca="false">'2026 Forecast C'!J98</f>
        <v>1.3223778391408</v>
      </c>
      <c r="K116" s="25" t="n">
        <f aca="false">'2026 Forecast A'!F98</f>
        <v>3316</v>
      </c>
      <c r="L116" s="26" t="str">
        <f aca="false">IF(OR(AND(D116&gt;0.5,E116&gt;0.5,F116&gt;0.5),AND(D116&lt;0.5,E116&lt;0.5,F116&lt;0.5)),"Yes","No — toss-up")</f>
        <v>Yes</v>
      </c>
    </row>
    <row r="117" customFormat="false" ht="15" hidden="false" customHeight="false" outlineLevel="0" collapsed="false">
      <c r="A117" s="8" t="str">
        <f aca="false">'2026 Forecast A'!A99</f>
        <v>Northampton</v>
      </c>
      <c r="B117" s="8" t="str">
        <f aca="false">'2026 Forecast A'!B99</f>
        <v>WILSON</v>
      </c>
      <c r="C117" s="8" t="str">
        <f aca="false">'2026 Forecast A'!C99</f>
        <v>(whole municipality)</v>
      </c>
      <c r="D117" s="9" t="n">
        <f aca="false">'2026 Forecast A'!G99</f>
        <v>0.578281726995203</v>
      </c>
      <c r="E117" s="9" t="n">
        <f aca="false">'2026 Forecast B'!G99</f>
        <v>0.578281726995203</v>
      </c>
      <c r="F117" s="9" t="n">
        <f aca="false">'2026 Forecast C'!G99</f>
        <v>0.586131705189708</v>
      </c>
      <c r="G117" s="24" t="n">
        <f aca="false">(MAX(D117:F117)-MIN(D117:F117))*100</f>
        <v>0.784997819450506</v>
      </c>
      <c r="H117" s="24" t="n">
        <f aca="false">'2026 Forecast A'!J99</f>
        <v>1.48763296796655</v>
      </c>
      <c r="I117" s="24" t="n">
        <f aca="false">'2026 Forecast B'!J99</f>
        <v>1.7997491277276</v>
      </c>
      <c r="J117" s="24" t="n">
        <f aca="false">'2026 Forecast C'!J99</f>
        <v>1.3223778391408</v>
      </c>
      <c r="K117" s="25" t="n">
        <f aca="false">'2026 Forecast A'!F99</f>
        <v>2293</v>
      </c>
      <c r="L117" s="26" t="str">
        <f aca="false">IF(OR(AND(D117&gt;0.5,E117&gt;0.5,F117&gt;0.5),AND(D117&lt;0.5,E117&lt;0.5,F117&lt;0.5)),"Yes","No — toss-up")</f>
        <v>Yes</v>
      </c>
    </row>
    <row r="118" customFormat="false" ht="15" hidden="false" customHeight="false" outlineLevel="0" collapsed="false">
      <c r="A118" s="8" t="str">
        <f aca="false">'2026 Forecast A'!A100</f>
        <v>Northampton</v>
      </c>
      <c r="B118" s="8" t="str">
        <f aca="false">'2026 Forecast A'!B100</f>
        <v>WIND GAP</v>
      </c>
      <c r="C118" s="8" t="str">
        <f aca="false">'2026 Forecast A'!C100</f>
        <v>(whole municipality)</v>
      </c>
      <c r="D118" s="9" t="n">
        <f aca="false">'2026 Forecast A'!G100</f>
        <v>0.469406392694064</v>
      </c>
      <c r="E118" s="9" t="n">
        <f aca="false">'2026 Forecast B'!G100</f>
        <v>0.467579908675799</v>
      </c>
      <c r="F118" s="9" t="n">
        <f aca="false">'2026 Forecast C'!G100</f>
        <v>0.461187214611872</v>
      </c>
      <c r="G118" s="24" t="n">
        <f aca="false">(MAX(D118:F118)-MIN(D118:F118))*100</f>
        <v>0.82191780821918</v>
      </c>
      <c r="H118" s="24" t="n">
        <f aca="false">'2026 Forecast A'!J100</f>
        <v>2.52713458577249</v>
      </c>
      <c r="I118" s="24" t="n">
        <f aca="false">'2026 Forecast B'!J100</f>
        <v>2.70598815047927</v>
      </c>
      <c r="J118" s="24" t="n">
        <f aca="false">'2026 Forecast C'!J100</f>
        <v>2.39925188023053</v>
      </c>
      <c r="K118" s="25" t="n">
        <f aca="false">'2026 Forecast A'!F100</f>
        <v>1095</v>
      </c>
      <c r="L118" s="26" t="str">
        <f aca="false">IF(OR(AND(D118&gt;0.5,E118&gt;0.5,F118&gt;0.5),AND(D118&lt;0.5,E118&lt;0.5,F118&lt;0.5)),"Yes","No — toss-up")</f>
        <v>Yes</v>
      </c>
    </row>
  </sheetData>
  <mergeCells count="5">
    <mergeCell ref="A5:I5"/>
    <mergeCell ref="A15:I15"/>
    <mergeCell ref="A21:I21"/>
    <mergeCell ref="A26:I26"/>
    <mergeCell ref="A28:L28"/>
  </mergeCells>
  <conditionalFormatting sqref="F23:F25">
    <cfRule type="colorScale" priority="2">
      <colorScale>
        <cfvo type="min" val="0"/>
        <cfvo type="max" val="0"/>
        <color rgb="FF63BE7B"/>
        <color rgb="FFF8696B"/>
      </colorScale>
    </cfRule>
  </conditionalFormatting>
  <conditionalFormatting sqref="D30:F118">
    <cfRule type="colorScale" priority="3">
      <colorScale>
        <cfvo type="num" val="0.25"/>
        <cfvo type="num" val="0.5"/>
        <cfvo type="num" val="0.75"/>
        <color rgb="FFF4B6B6"/>
        <color rgb="FFFFFFFF"/>
        <color rgb="FFB4C7E7"/>
      </colorScale>
    </cfRule>
  </conditionalFormatting>
  <conditionalFormatting sqref="L30:L118">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s>
  <sheetData>
    <row r="1" customFormat="false" ht="17.35"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0" t="s">
        <v>54</v>
      </c>
      <c r="B4" s="0" t="s">
        <v>55</v>
      </c>
      <c r="C4" s="0" t="s">
        <v>56</v>
      </c>
      <c r="D4" s="27" t="n">
        <v>46300</v>
      </c>
      <c r="E4" s="28" t="s">
        <v>57</v>
      </c>
      <c r="F4" s="28" t="s">
        <v>58</v>
      </c>
      <c r="G4" s="28" t="s">
        <v>59</v>
      </c>
      <c r="H4" s="28" t="s">
        <v>60</v>
      </c>
    </row>
    <row r="5" customFormat="false" ht="15" hidden="false" customHeight="false" outlineLevel="0" collapsed="false">
      <c r="A5" s="0" t="s">
        <v>61</v>
      </c>
      <c r="B5" s="29" t="n">
        <f aca="false">'Scenario &amp; Comparison'!$C$6</f>
        <v>0.528169484134382</v>
      </c>
      <c r="C5" s="28" t="s">
        <v>62</v>
      </c>
      <c r="D5" s="30" t="n">
        <f aca="false">B5-SUMPRODUCT(P12:P100,Q12:Q100)/SUM(Q12:Q100)/100</f>
        <v>0.44128518366447</v>
      </c>
      <c r="E5" s="28" t="s">
        <v>63</v>
      </c>
      <c r="F5" s="31" t="n">
        <v>1.94099821797907</v>
      </c>
    </row>
    <row r="6" customFormat="false" ht="15" hidden="false" customHeight="false" outlineLevel="0" collapsed="false">
      <c r="A6" s="4" t="s">
        <v>64</v>
      </c>
      <c r="B6" s="4"/>
      <c r="C6" s="4"/>
      <c r="D6" s="4"/>
      <c r="E6" s="4"/>
      <c r="F6" s="4"/>
      <c r="G6" s="4"/>
      <c r="H6" s="4"/>
      <c r="I6" s="4"/>
      <c r="J6" s="4"/>
      <c r="K6" s="4"/>
      <c r="L6" s="4"/>
      <c r="M6" s="4"/>
    </row>
    <row r="7" customFormat="false" ht="31.5" hidden="false" customHeight="true" outlineLevel="0" collapsed="false">
      <c r="A7" s="7" t="s">
        <v>65</v>
      </c>
      <c r="B7" s="7" t="s">
        <v>66</v>
      </c>
      <c r="C7" s="7" t="s">
        <v>67</v>
      </c>
      <c r="D7" s="7" t="s">
        <v>18</v>
      </c>
      <c r="E7" s="7" t="s">
        <v>19</v>
      </c>
      <c r="F7" s="7" t="s">
        <v>68</v>
      </c>
      <c r="G7" s="7" t="s">
        <v>21</v>
      </c>
      <c r="H7" s="7" t="s">
        <v>69</v>
      </c>
      <c r="I7" s="7" t="s">
        <v>70</v>
      </c>
      <c r="J7" s="7" t="s">
        <v>71</v>
      </c>
      <c r="K7" s="7" t="s">
        <v>72</v>
      </c>
      <c r="L7" s="7" t="s">
        <v>73</v>
      </c>
      <c r="M7" s="7" t="s">
        <v>74</v>
      </c>
    </row>
    <row r="8" customFormat="false" ht="15" hidden="false" customHeight="false" outlineLevel="0" collapsed="false">
      <c r="A8" s="11" t="s">
        <v>75</v>
      </c>
      <c r="B8" s="11" t="s">
        <v>76</v>
      </c>
      <c r="C8" s="11"/>
      <c r="D8" s="32" t="n">
        <f aca="false">SUM(D12:D100)</f>
        <v>156807</v>
      </c>
      <c r="E8" s="32" t="n">
        <f aca="false">SUM(E12:E100)</f>
        <v>140084</v>
      </c>
      <c r="F8" s="32" t="n">
        <f aca="false">D8+E8</f>
        <v>296891</v>
      </c>
      <c r="G8" s="33" t="n">
        <f aca="false">IF(F8=0,"",D8/F8)</f>
        <v>0.528163534765284</v>
      </c>
      <c r="H8" s="33" t="n">
        <f aca="false">IF(F8=0,"",E8/F8)</f>
        <v>0.471836465234716</v>
      </c>
      <c r="I8" s="11" t="s">
        <v>77</v>
      </c>
      <c r="J8" s="34" t="n">
        <v>1.94099821797907</v>
      </c>
      <c r="K8" s="33" t="n">
        <f aca="false">G8-J8/100</f>
        <v>0.508753552585494</v>
      </c>
      <c r="L8" s="33" t="n">
        <f aca="false">G8+J8/100</f>
        <v>0.547573516945075</v>
      </c>
      <c r="M8" s="32" t="n">
        <f aca="false">ROUND(F8*J8/100,0)</f>
        <v>5763</v>
      </c>
    </row>
    <row r="9" customFormat="false" ht="15" hidden="false" customHeight="false" outlineLevel="0" collapsed="false">
      <c r="A9" s="23" t="s">
        <v>78</v>
      </c>
      <c r="B9" s="23"/>
      <c r="C9" s="23"/>
      <c r="D9" s="23"/>
      <c r="E9" s="23"/>
      <c r="F9" s="23"/>
      <c r="G9" s="23"/>
      <c r="H9" s="23"/>
      <c r="I9" s="23"/>
      <c r="J9" s="23"/>
      <c r="K9" s="23"/>
      <c r="L9" s="23"/>
      <c r="M9" s="23"/>
    </row>
    <row r="10" customFormat="false" ht="15" hidden="false" customHeight="false" outlineLevel="0" collapsed="false">
      <c r="A10" s="4" t="s">
        <v>79</v>
      </c>
      <c r="B10" s="4"/>
      <c r="C10" s="4"/>
      <c r="D10" s="4"/>
      <c r="E10" s="4"/>
      <c r="F10" s="4"/>
      <c r="G10" s="4"/>
      <c r="H10" s="4"/>
      <c r="I10" s="4"/>
      <c r="J10" s="4"/>
      <c r="K10" s="4"/>
      <c r="L10" s="4"/>
      <c r="M10" s="4"/>
      <c r="P10" s="35" t="s">
        <v>80</v>
      </c>
      <c r="Q10" s="36"/>
      <c r="R10" s="36"/>
      <c r="S10" s="36"/>
    </row>
    <row r="11" customFormat="false" ht="31.5" hidden="false" customHeight="true" outlineLevel="0" collapsed="false">
      <c r="A11" s="7" t="s">
        <v>42</v>
      </c>
      <c r="B11" s="7" t="s">
        <v>43</v>
      </c>
      <c r="C11" s="7" t="s">
        <v>44</v>
      </c>
      <c r="D11" s="7" t="s">
        <v>18</v>
      </c>
      <c r="E11" s="7" t="s">
        <v>19</v>
      </c>
      <c r="F11" s="7" t="s">
        <v>68</v>
      </c>
      <c r="G11" s="7" t="s">
        <v>21</v>
      </c>
      <c r="H11" s="7" t="s">
        <v>69</v>
      </c>
      <c r="I11" s="7" t="s">
        <v>81</v>
      </c>
      <c r="J11" s="7" t="s">
        <v>71</v>
      </c>
      <c r="K11" s="7" t="s">
        <v>72</v>
      </c>
      <c r="L11" s="7" t="s">
        <v>73</v>
      </c>
      <c r="M11" s="7" t="s">
        <v>74</v>
      </c>
      <c r="P11" s="37" t="s">
        <v>82</v>
      </c>
      <c r="Q11" s="37" t="s">
        <v>83</v>
      </c>
      <c r="R11" s="37" t="s">
        <v>84</v>
      </c>
      <c r="S11" s="37" t="s">
        <v>85</v>
      </c>
    </row>
    <row r="12" customFormat="false" ht="15" hidden="false" customHeight="false" outlineLevel="0" collapsed="false">
      <c r="A12" s="38" t="s">
        <v>86</v>
      </c>
      <c r="B12" s="38" t="s">
        <v>87</v>
      </c>
      <c r="C12" s="38" t="s">
        <v>88</v>
      </c>
      <c r="D12" s="21" t="n">
        <f aca="false">ROUND(Q12*R12,0)</f>
        <v>163</v>
      </c>
      <c r="E12" s="21" t="n">
        <f aca="false">ROUND(Q12,0)-D12</f>
        <v>223</v>
      </c>
      <c r="F12" s="21" t="n">
        <f aca="false">IF(COUNTA(D12:E12)=0,"",SUM(D12:E12))</f>
        <v>386</v>
      </c>
      <c r="G12" s="39" t="n">
        <f aca="false">IF(OR(F12="",F12=0),"",D12/F12)</f>
        <v>0.422279792746114</v>
      </c>
      <c r="H12" s="39" t="n">
        <f aca="false">IF(OR(F12="",F12=0),"",E12/F12)</f>
        <v>0.577720207253886</v>
      </c>
      <c r="I12" s="38" t="s">
        <v>89</v>
      </c>
      <c r="J12" s="40" t="n">
        <v>2.52713458577249</v>
      </c>
      <c r="K12" s="39" t="n">
        <f aca="false">IF(G12="","",MAX(0,G12-J12/100))</f>
        <v>0.397008446888389</v>
      </c>
      <c r="L12" s="39" t="n">
        <f aca="false">IF(G12="","",MIN(1,G12+J12/100))</f>
        <v>0.447551138603839</v>
      </c>
      <c r="M12" s="21" t="n">
        <f aca="false">IF(F12="","",ROUND(F12*J12/100,0))</f>
        <v>10</v>
      </c>
      <c r="P12" s="41" t="n">
        <v>-1.94949896393325</v>
      </c>
      <c r="Q12" s="42" t="n">
        <v>386</v>
      </c>
      <c r="R12" s="43" t="n">
        <f aca="false">MAX(0,MIN(1,P12/100+$D$5))</f>
        <v>0.421790194025138</v>
      </c>
      <c r="S12" s="44" t="s">
        <v>90</v>
      </c>
    </row>
    <row r="13" customFormat="false" ht="15" hidden="false" customHeight="false" outlineLevel="0" collapsed="false">
      <c r="A13" s="38" t="s">
        <v>86</v>
      </c>
      <c r="B13" s="38" t="s">
        <v>91</v>
      </c>
      <c r="C13" s="38" t="s">
        <v>88</v>
      </c>
      <c r="D13" s="21" t="n">
        <f aca="false">ROUND(Q13*R13,0)</f>
        <v>101</v>
      </c>
      <c r="E13" s="21" t="n">
        <f aca="false">ROUND(Q13,0)-D13</f>
        <v>213</v>
      </c>
      <c r="F13" s="21" t="n">
        <f aca="false">IF(COUNTA(D13:E13)=0,"",SUM(D13:E13))</f>
        <v>314</v>
      </c>
      <c r="G13" s="39" t="n">
        <f aca="false">IF(OR(F13="",F13=0),"",D13/F13)</f>
        <v>0.321656050955414</v>
      </c>
      <c r="H13" s="39" t="n">
        <f aca="false">IF(OR(F13="",F13=0),"",E13/F13)</f>
        <v>0.678343949044586</v>
      </c>
      <c r="I13" s="38" t="s">
        <v>89</v>
      </c>
      <c r="J13" s="40" t="n">
        <v>2.52713458577249</v>
      </c>
      <c r="K13" s="39" t="n">
        <f aca="false">IF(G13="","",MAX(0,G13-J13/100))</f>
        <v>0.296384705097689</v>
      </c>
      <c r="L13" s="39" t="n">
        <f aca="false">IF(G13="","",MIN(1,G13+J13/100))</f>
        <v>0.346927396813139</v>
      </c>
      <c r="M13" s="21" t="n">
        <f aca="false">IF(F13="","",ROUND(F13*J13/100,0))</f>
        <v>8</v>
      </c>
      <c r="P13" s="41" t="n">
        <v>-11.9049937131594</v>
      </c>
      <c r="Q13" s="42" t="n">
        <v>314</v>
      </c>
      <c r="R13" s="43" t="n">
        <f aca="false">MAX(0,MIN(1,P13/100+$D$5))</f>
        <v>0.322235246532876</v>
      </c>
      <c r="S13" s="44" t="s">
        <v>90</v>
      </c>
    </row>
    <row r="14" customFormat="false" ht="15" hidden="false" customHeight="false" outlineLevel="0" collapsed="false">
      <c r="A14" s="38" t="s">
        <v>86</v>
      </c>
      <c r="B14" s="38" t="s">
        <v>92</v>
      </c>
      <c r="C14" s="38" t="s">
        <v>88</v>
      </c>
      <c r="D14" s="21" t="n">
        <f aca="false">ROUND(Q14*R14,0)</f>
        <v>127</v>
      </c>
      <c r="E14" s="21" t="n">
        <f aca="false">ROUND(Q14,0)-D14</f>
        <v>221</v>
      </c>
      <c r="F14" s="21" t="n">
        <f aca="false">IF(COUNTA(D14:E14)=0,"",SUM(D14:E14))</f>
        <v>348</v>
      </c>
      <c r="G14" s="39" t="n">
        <f aca="false">IF(OR(F14="",F14=0),"",D14/F14)</f>
        <v>0.364942528735632</v>
      </c>
      <c r="H14" s="39" t="n">
        <f aca="false">IF(OR(F14="",F14=0),"",E14/F14)</f>
        <v>0.635057471264368</v>
      </c>
      <c r="I14" s="38" t="s">
        <v>89</v>
      </c>
      <c r="J14" s="40" t="n">
        <v>2.52713458577249</v>
      </c>
      <c r="K14" s="39" t="n">
        <f aca="false">IF(G14="","",MAX(0,G14-J14/100))</f>
        <v>0.339671182877907</v>
      </c>
      <c r="L14" s="39" t="n">
        <f aca="false">IF(G14="","",MIN(1,G14+J14/100))</f>
        <v>0.390213874593357</v>
      </c>
      <c r="M14" s="21" t="n">
        <f aca="false">IF(F14="","",ROUND(F14*J14/100,0))</f>
        <v>9</v>
      </c>
      <c r="P14" s="41" t="n">
        <v>-7.58563828048723</v>
      </c>
      <c r="Q14" s="42" t="n">
        <v>348</v>
      </c>
      <c r="R14" s="43" t="n">
        <f aca="false">MAX(0,MIN(1,P14/100+$D$5))</f>
        <v>0.365428800859598</v>
      </c>
      <c r="S14" s="44" t="s">
        <v>90</v>
      </c>
    </row>
    <row r="15" customFormat="false" ht="15" hidden="false" customHeight="false" outlineLevel="0" collapsed="false">
      <c r="A15" s="38" t="s">
        <v>86</v>
      </c>
      <c r="B15" s="38" t="s">
        <v>93</v>
      </c>
      <c r="C15" s="38" t="s">
        <v>88</v>
      </c>
      <c r="D15" s="21" t="n">
        <f aca="false">ROUND(Q15*R15,0)</f>
        <v>404</v>
      </c>
      <c r="E15" s="21" t="n">
        <f aca="false">ROUND(Q15,0)-D15</f>
        <v>893</v>
      </c>
      <c r="F15" s="21" t="n">
        <f aca="false">IF(COUNTA(D15:E15)=0,"",SUM(D15:E15))</f>
        <v>1297</v>
      </c>
      <c r="G15" s="39" t="n">
        <f aca="false">IF(OR(F15="",F15=0),"",D15/F15)</f>
        <v>0.311488049344641</v>
      </c>
      <c r="H15" s="39" t="n">
        <f aca="false">IF(OR(F15="",F15=0),"",E15/F15)</f>
        <v>0.688511950655359</v>
      </c>
      <c r="I15" s="38" t="s">
        <v>89</v>
      </c>
      <c r="J15" s="40" t="n">
        <v>2.52713458577249</v>
      </c>
      <c r="K15" s="39" t="n">
        <f aca="false">IF(G15="","",MAX(0,G15-J15/100))</f>
        <v>0.286216703486917</v>
      </c>
      <c r="L15" s="39" t="n">
        <f aca="false">IF(G15="","",MIN(1,G15+J15/100))</f>
        <v>0.336759395202366</v>
      </c>
      <c r="M15" s="21" t="n">
        <f aca="false">IF(F15="","",ROUND(F15*J15/100,0))</f>
        <v>33</v>
      </c>
      <c r="P15" s="41" t="n">
        <v>-12.9725550267221</v>
      </c>
      <c r="Q15" s="42" t="n">
        <v>1297</v>
      </c>
      <c r="R15" s="43" t="n">
        <f aca="false">MAX(0,MIN(1,P15/100+$D$5))</f>
        <v>0.311559633397249</v>
      </c>
      <c r="S15" s="44" t="s">
        <v>90</v>
      </c>
    </row>
    <row r="16" customFormat="false" ht="15" hidden="false" customHeight="false" outlineLevel="0" collapsed="false">
      <c r="A16" s="38" t="s">
        <v>86</v>
      </c>
      <c r="B16" s="38" t="s">
        <v>94</v>
      </c>
      <c r="C16" s="38" t="s">
        <v>88</v>
      </c>
      <c r="D16" s="21" t="n">
        <f aca="false">ROUND(Q16*R16,0)</f>
        <v>36</v>
      </c>
      <c r="E16" s="21" t="n">
        <f aca="false">ROUND(Q16,0)-D16</f>
        <v>58</v>
      </c>
      <c r="F16" s="21" t="n">
        <f aca="false">IF(COUNTA(D16:E16)=0,"",SUM(D16:E16))</f>
        <v>94</v>
      </c>
      <c r="G16" s="39" t="n">
        <f aca="false">IF(OR(F16="",F16=0),"",D16/F16)</f>
        <v>0.382978723404255</v>
      </c>
      <c r="H16" s="39" t="n">
        <f aca="false">IF(OR(F16="",F16=0),"",E16/F16)</f>
        <v>0.617021276595745</v>
      </c>
      <c r="I16" s="38" t="s">
        <v>89</v>
      </c>
      <c r="J16" s="40" t="n">
        <v>2.52713458577249</v>
      </c>
      <c r="K16" s="39" t="n">
        <f aca="false">IF(G16="","",MAX(0,G16-J16/100))</f>
        <v>0.357707377546531</v>
      </c>
      <c r="L16" s="39" t="n">
        <f aca="false">IF(G16="","",MIN(1,G16+J16/100))</f>
        <v>0.40825006926198</v>
      </c>
      <c r="M16" s="21" t="n">
        <f aca="false">IF(F16="","",ROUND(F16*J16/100,0))</f>
        <v>2</v>
      </c>
      <c r="P16" s="41" t="n">
        <v>-5.67964334704866</v>
      </c>
      <c r="Q16" s="42" t="n">
        <v>94</v>
      </c>
      <c r="R16" s="43" t="n">
        <f aca="false">MAX(0,MIN(1,P16/100+$D$5))</f>
        <v>0.384488750193984</v>
      </c>
      <c r="S16" s="44" t="s">
        <v>90</v>
      </c>
    </row>
    <row r="17" customFormat="false" ht="15" hidden="false" customHeight="false" outlineLevel="0" collapsed="false">
      <c r="A17" s="38" t="s">
        <v>86</v>
      </c>
      <c r="B17" s="38" t="s">
        <v>95</v>
      </c>
      <c r="C17" s="38" t="s">
        <v>88</v>
      </c>
      <c r="D17" s="21" t="n">
        <f aca="false">ROUND(Q17*R17,0)</f>
        <v>631</v>
      </c>
      <c r="E17" s="21" t="n">
        <f aca="false">ROUND(Q17,0)-D17</f>
        <v>1327</v>
      </c>
      <c r="F17" s="21" t="n">
        <f aca="false">IF(COUNTA(D17:E17)=0,"",SUM(D17:E17))</f>
        <v>1958</v>
      </c>
      <c r="G17" s="39" t="n">
        <f aca="false">IF(OR(F17="",F17=0),"",D17/F17)</f>
        <v>0.322267620020429</v>
      </c>
      <c r="H17" s="39" t="n">
        <f aca="false">IF(OR(F17="",F17=0),"",E17/F17)</f>
        <v>0.677732379979571</v>
      </c>
      <c r="I17" s="38" t="s">
        <v>89</v>
      </c>
      <c r="J17" s="40" t="n">
        <v>1.48763296796655</v>
      </c>
      <c r="K17" s="39" t="n">
        <f aca="false">IF(G17="","",MAX(0,G17-J17/100))</f>
        <v>0.307391290340764</v>
      </c>
      <c r="L17" s="39" t="n">
        <f aca="false">IF(G17="","",MIN(1,G17+J17/100))</f>
        <v>0.337143949700095</v>
      </c>
      <c r="M17" s="21" t="n">
        <f aca="false">IF(F17="","",ROUND(F17*J17/100,0))</f>
        <v>29</v>
      </c>
      <c r="P17" s="41" t="n">
        <v>-11.9024697006845</v>
      </c>
      <c r="Q17" s="42" t="n">
        <v>1958</v>
      </c>
      <c r="R17" s="43" t="n">
        <f aca="false">MAX(0,MIN(1,P17/100+$D$5))</f>
        <v>0.322260486657625</v>
      </c>
      <c r="S17" s="44" t="s">
        <v>96</v>
      </c>
    </row>
    <row r="18" customFormat="false" ht="15" hidden="false" customHeight="false" outlineLevel="0" collapsed="false">
      <c r="A18" s="38" t="s">
        <v>86</v>
      </c>
      <c r="B18" s="38" t="s">
        <v>97</v>
      </c>
      <c r="C18" s="38" t="s">
        <v>88</v>
      </c>
      <c r="D18" s="21" t="n">
        <f aca="false">ROUND(Q18*R18,0)</f>
        <v>1028</v>
      </c>
      <c r="E18" s="21" t="n">
        <f aca="false">ROUND(Q18,0)-D18</f>
        <v>1108</v>
      </c>
      <c r="F18" s="21" t="n">
        <f aca="false">IF(COUNTA(D18:E18)=0,"",SUM(D18:E18))</f>
        <v>2136</v>
      </c>
      <c r="G18" s="39" t="n">
        <f aca="false">IF(OR(F18="",F18=0),"",D18/F18)</f>
        <v>0.4812734082397</v>
      </c>
      <c r="H18" s="39" t="n">
        <f aca="false">IF(OR(F18="",F18=0),"",E18/F18)</f>
        <v>0.5187265917603</v>
      </c>
      <c r="I18" s="38" t="s">
        <v>89</v>
      </c>
      <c r="J18" s="40" t="n">
        <v>1.48763296796655</v>
      </c>
      <c r="K18" s="39" t="n">
        <f aca="false">IF(G18="","",MAX(0,G18-J18/100))</f>
        <v>0.466397078560035</v>
      </c>
      <c r="L18" s="39" t="n">
        <f aca="false">IF(G18="","",MIN(1,G18+J18/100))</f>
        <v>0.496149737919366</v>
      </c>
      <c r="M18" s="21" t="n">
        <f aca="false">IF(F18="","",ROUND(F18*J18/100,0))</f>
        <v>32</v>
      </c>
      <c r="P18" s="41" t="n">
        <v>3.99474591273859</v>
      </c>
      <c r="Q18" s="42" t="n">
        <v>2136</v>
      </c>
      <c r="R18" s="43" t="n">
        <f aca="false">MAX(0,MIN(1,P18/100+$D$5))</f>
        <v>0.481232642791856</v>
      </c>
      <c r="S18" s="44" t="s">
        <v>96</v>
      </c>
    </row>
    <row r="19" customFormat="false" ht="15" hidden="false" customHeight="false" outlineLevel="0" collapsed="false">
      <c r="A19" s="38" t="s">
        <v>86</v>
      </c>
      <c r="B19" s="38" t="s">
        <v>98</v>
      </c>
      <c r="C19" s="38" t="s">
        <v>88</v>
      </c>
      <c r="D19" s="21" t="n">
        <f aca="false">ROUND(Q19*R19,0)</f>
        <v>311</v>
      </c>
      <c r="E19" s="21" t="n">
        <f aca="false">ROUND(Q19,0)-D19</f>
        <v>526</v>
      </c>
      <c r="F19" s="21" t="n">
        <f aca="false">IF(COUNTA(D19:E19)=0,"",SUM(D19:E19))</f>
        <v>837</v>
      </c>
      <c r="G19" s="39" t="n">
        <f aca="false">IF(OR(F19="",F19=0),"",D19/F19)</f>
        <v>0.371565113500597</v>
      </c>
      <c r="H19" s="39" t="n">
        <f aca="false">IF(OR(F19="",F19=0),"",E19/F19)</f>
        <v>0.628434886499403</v>
      </c>
      <c r="I19" s="38" t="s">
        <v>89</v>
      </c>
      <c r="J19" s="40" t="n">
        <v>2.52713458577249</v>
      </c>
      <c r="K19" s="39" t="n">
        <f aca="false">IF(G19="","",MAX(0,G19-J19/100))</f>
        <v>0.346293767642873</v>
      </c>
      <c r="L19" s="39" t="n">
        <f aca="false">IF(G19="","",MIN(1,G19+J19/100))</f>
        <v>0.396836459358322</v>
      </c>
      <c r="M19" s="21" t="n">
        <f aca="false">IF(F19="","",ROUND(F19*J19/100,0))</f>
        <v>21</v>
      </c>
      <c r="P19" s="41" t="n">
        <v>-6.98940184066776</v>
      </c>
      <c r="Q19" s="42" t="n">
        <v>837</v>
      </c>
      <c r="R19" s="43" t="n">
        <f aca="false">MAX(0,MIN(1,P19/100+$D$5))</f>
        <v>0.371391165257793</v>
      </c>
      <c r="S19" s="44" t="s">
        <v>90</v>
      </c>
    </row>
    <row r="20" customFormat="false" ht="15" hidden="false" customHeight="false" outlineLevel="0" collapsed="false">
      <c r="A20" s="38" t="s">
        <v>86</v>
      </c>
      <c r="B20" s="38" t="s">
        <v>99</v>
      </c>
      <c r="C20" s="38" t="s">
        <v>88</v>
      </c>
      <c r="D20" s="21" t="n">
        <f aca="false">ROUND(Q20*R20,0)</f>
        <v>438</v>
      </c>
      <c r="E20" s="21" t="n">
        <f aca="false">ROUND(Q20,0)-D20</f>
        <v>562</v>
      </c>
      <c r="F20" s="21" t="n">
        <f aca="false">IF(COUNTA(D20:E20)=0,"",SUM(D20:E20))</f>
        <v>1000</v>
      </c>
      <c r="G20" s="39" t="n">
        <f aca="false">IF(OR(F20="",F20=0),"",D20/F20)</f>
        <v>0.438</v>
      </c>
      <c r="H20" s="39" t="n">
        <f aca="false">IF(OR(F20="",F20=0),"",E20/F20)</f>
        <v>0.562</v>
      </c>
      <c r="I20" s="38" t="s">
        <v>89</v>
      </c>
      <c r="J20" s="40" t="n">
        <v>2.52713458577249</v>
      </c>
      <c r="K20" s="39" t="n">
        <f aca="false">IF(G20="","",MAX(0,G20-J20/100))</f>
        <v>0.412728654142275</v>
      </c>
      <c r="L20" s="39" t="n">
        <f aca="false">IF(G20="","",MIN(1,G20+J20/100))</f>
        <v>0.463271345857725</v>
      </c>
      <c r="M20" s="21" t="n">
        <f aca="false">IF(F20="","",ROUND(F20*J20/100,0))</f>
        <v>25</v>
      </c>
      <c r="P20" s="41" t="n">
        <v>-0.280595313615892</v>
      </c>
      <c r="Q20" s="42" t="n">
        <v>1000</v>
      </c>
      <c r="R20" s="43" t="n">
        <f aca="false">MAX(0,MIN(1,P20/100+$D$5))</f>
        <v>0.438479230528311</v>
      </c>
      <c r="S20" s="44" t="s">
        <v>90</v>
      </c>
    </row>
    <row r="21" customFormat="false" ht="15" hidden="false" customHeight="false" outlineLevel="0" collapsed="false">
      <c r="A21" s="38" t="s">
        <v>86</v>
      </c>
      <c r="B21" s="38" t="s">
        <v>100</v>
      </c>
      <c r="C21" s="38" t="s">
        <v>88</v>
      </c>
      <c r="D21" s="21" t="n">
        <f aca="false">ROUND(Q21*R21,0)</f>
        <v>37</v>
      </c>
      <c r="E21" s="21" t="n">
        <f aca="false">ROUND(Q21,0)-D21</f>
        <v>78</v>
      </c>
      <c r="F21" s="21" t="n">
        <f aca="false">IF(COUNTA(D21:E21)=0,"",SUM(D21:E21))</f>
        <v>115</v>
      </c>
      <c r="G21" s="39" t="n">
        <f aca="false">IF(OR(F21="",F21=0),"",D21/F21)</f>
        <v>0.321739130434783</v>
      </c>
      <c r="H21" s="39" t="n">
        <f aca="false">IF(OR(F21="",F21=0),"",E21/F21)</f>
        <v>0.678260869565217</v>
      </c>
      <c r="I21" s="38" t="s">
        <v>89</v>
      </c>
      <c r="J21" s="40" t="n">
        <v>2.52713458577249</v>
      </c>
      <c r="K21" s="39" t="n">
        <f aca="false">IF(G21="","",MAX(0,G21-J21/100))</f>
        <v>0.296467784577058</v>
      </c>
      <c r="L21" s="39" t="n">
        <f aca="false">IF(G21="","",MIN(1,G21+J21/100))</f>
        <v>0.347010476292507</v>
      </c>
      <c r="M21" s="21" t="n">
        <f aca="false">IF(F21="","",ROUND(F21*J21/100,0))</f>
        <v>3</v>
      </c>
      <c r="P21" s="41" t="n">
        <v>-11.9888027624821</v>
      </c>
      <c r="Q21" s="42" t="n">
        <v>115</v>
      </c>
      <c r="R21" s="43" t="n">
        <f aca="false">MAX(0,MIN(1,P21/100+$D$5))</f>
        <v>0.321397156039649</v>
      </c>
      <c r="S21" s="44" t="s">
        <v>90</v>
      </c>
    </row>
    <row r="22" customFormat="false" ht="15" hidden="false" customHeight="false" outlineLevel="0" collapsed="false">
      <c r="A22" s="38" t="s">
        <v>86</v>
      </c>
      <c r="B22" s="38" t="s">
        <v>101</v>
      </c>
      <c r="C22" s="38" t="s">
        <v>88</v>
      </c>
      <c r="D22" s="21" t="n">
        <f aca="false">ROUND(Q22*R22,0)</f>
        <v>59</v>
      </c>
      <c r="E22" s="21" t="n">
        <f aca="false">ROUND(Q22,0)-D22</f>
        <v>182</v>
      </c>
      <c r="F22" s="21" t="n">
        <f aca="false">IF(COUNTA(D22:E22)=0,"",SUM(D22:E22))</f>
        <v>241</v>
      </c>
      <c r="G22" s="39" t="n">
        <f aca="false">IF(OR(F22="",F22=0),"",D22/F22)</f>
        <v>0.244813278008299</v>
      </c>
      <c r="H22" s="39" t="n">
        <f aca="false">IF(OR(F22="",F22=0),"",E22/F22)</f>
        <v>0.755186721991701</v>
      </c>
      <c r="I22" s="38" t="s">
        <v>89</v>
      </c>
      <c r="J22" s="40" t="n">
        <v>2.52713458577249</v>
      </c>
      <c r="K22" s="39" t="n">
        <f aca="false">IF(G22="","",MAX(0,G22-J22/100))</f>
        <v>0.219541932150574</v>
      </c>
      <c r="L22" s="39" t="n">
        <f aca="false">IF(G22="","",MIN(1,G22+J22/100))</f>
        <v>0.270084623866024</v>
      </c>
      <c r="M22" s="21" t="n">
        <f aca="false">IF(F22="","",ROUND(F22*J22/100,0))</f>
        <v>6</v>
      </c>
      <c r="P22" s="41" t="n">
        <v>-19.8046414303663</v>
      </c>
      <c r="Q22" s="42" t="n">
        <v>241</v>
      </c>
      <c r="R22" s="43" t="n">
        <f aca="false">MAX(0,MIN(1,P22/100+$D$5))</f>
        <v>0.243238769360808</v>
      </c>
      <c r="S22" s="44" t="s">
        <v>90</v>
      </c>
    </row>
    <row r="23" customFormat="false" ht="15" hidden="false" customHeight="false" outlineLevel="0" collapsed="false">
      <c r="A23" s="38" t="s">
        <v>86</v>
      </c>
      <c r="B23" s="38" t="s">
        <v>102</v>
      </c>
      <c r="C23" s="38" t="s">
        <v>88</v>
      </c>
      <c r="D23" s="21" t="n">
        <f aca="false">ROUND(Q23*R23,0)</f>
        <v>729</v>
      </c>
      <c r="E23" s="21" t="n">
        <f aca="false">ROUND(Q23,0)-D23</f>
        <v>938</v>
      </c>
      <c r="F23" s="21" t="n">
        <f aca="false">IF(COUNTA(D23:E23)=0,"",SUM(D23:E23))</f>
        <v>1667</v>
      </c>
      <c r="G23" s="39" t="n">
        <f aca="false">IF(OR(F23="",F23=0),"",D23/F23)</f>
        <v>0.437312537492502</v>
      </c>
      <c r="H23" s="39" t="n">
        <f aca="false">IF(OR(F23="",F23=0),"",E23/F23)</f>
        <v>0.562687462507499</v>
      </c>
      <c r="I23" s="38" t="s">
        <v>89</v>
      </c>
      <c r="J23" s="40" t="n">
        <v>1.48763296796655</v>
      </c>
      <c r="K23" s="39" t="n">
        <f aca="false">IF(G23="","",MAX(0,G23-J23/100))</f>
        <v>0.422436207812836</v>
      </c>
      <c r="L23" s="39" t="n">
        <f aca="false">IF(G23="","",MIN(1,G23+J23/100))</f>
        <v>0.452188867172167</v>
      </c>
      <c r="M23" s="21" t="n">
        <f aca="false">IF(F23="","",ROUND(F23*J23/100,0))</f>
        <v>25</v>
      </c>
      <c r="P23" s="41" t="n">
        <v>-0.385751021730289</v>
      </c>
      <c r="Q23" s="42" t="n">
        <v>1667</v>
      </c>
      <c r="R23" s="43" t="n">
        <f aca="false">MAX(0,MIN(1,P23/100+$D$5))</f>
        <v>0.437427673447167</v>
      </c>
      <c r="S23" s="44" t="s">
        <v>96</v>
      </c>
    </row>
    <row r="24" customFormat="false" ht="15" hidden="false" customHeight="false" outlineLevel="0" collapsed="false">
      <c r="A24" s="38" t="s">
        <v>86</v>
      </c>
      <c r="B24" s="38" t="s">
        <v>103</v>
      </c>
      <c r="C24" s="38" t="s">
        <v>88</v>
      </c>
      <c r="D24" s="21" t="n">
        <f aca="false">ROUND(Q24*R24,0)</f>
        <v>452</v>
      </c>
      <c r="E24" s="21" t="n">
        <f aca="false">ROUND(Q24,0)-D24</f>
        <v>894</v>
      </c>
      <c r="F24" s="21" t="n">
        <f aca="false">IF(COUNTA(D24:E24)=0,"",SUM(D24:E24))</f>
        <v>1346</v>
      </c>
      <c r="G24" s="39" t="n">
        <f aca="false">IF(OR(F24="",F24=0),"",D24/F24)</f>
        <v>0.335809806835067</v>
      </c>
      <c r="H24" s="39" t="n">
        <f aca="false">IF(OR(F24="",F24=0),"",E24/F24)</f>
        <v>0.664190193164933</v>
      </c>
      <c r="I24" s="38" t="s">
        <v>89</v>
      </c>
      <c r="J24" s="40" t="n">
        <v>2.52713458577249</v>
      </c>
      <c r="K24" s="39" t="n">
        <f aca="false">IF(G24="","",MAX(0,G24-J24/100))</f>
        <v>0.310538460977342</v>
      </c>
      <c r="L24" s="39" t="n">
        <f aca="false">IF(G24="","",MIN(1,G24+J24/100))</f>
        <v>0.361081152692792</v>
      </c>
      <c r="M24" s="21" t="n">
        <f aca="false">IF(F24="","",ROUND(F24*J24/100,0))</f>
        <v>34</v>
      </c>
      <c r="P24" s="41" t="n">
        <v>-10.5642136561719</v>
      </c>
      <c r="Q24" s="42" t="n">
        <v>1346</v>
      </c>
      <c r="R24" s="43" t="n">
        <f aca="false">MAX(0,MIN(1,P24/100+$D$5))</f>
        <v>0.335643047102751</v>
      </c>
      <c r="S24" s="44" t="s">
        <v>90</v>
      </c>
    </row>
    <row r="25" customFormat="false" ht="15" hidden="false" customHeight="false" outlineLevel="0" collapsed="false">
      <c r="A25" s="38" t="s">
        <v>86</v>
      </c>
      <c r="B25" s="38" t="s">
        <v>104</v>
      </c>
      <c r="C25" s="38" t="s">
        <v>88</v>
      </c>
      <c r="D25" s="21" t="n">
        <f aca="false">ROUND(Q25*R25,0)</f>
        <v>595</v>
      </c>
      <c r="E25" s="21" t="n">
        <f aca="false">ROUND(Q25,0)-D25</f>
        <v>1178</v>
      </c>
      <c r="F25" s="21" t="n">
        <f aca="false">IF(COUNTA(D25:E25)=0,"",SUM(D25:E25))</f>
        <v>1773</v>
      </c>
      <c r="G25" s="39" t="n">
        <f aca="false">IF(OR(F25="",F25=0),"",D25/F25)</f>
        <v>0.335589396503102</v>
      </c>
      <c r="H25" s="39" t="n">
        <f aca="false">IF(OR(F25="",F25=0),"",E25/F25)</f>
        <v>0.664410603496898</v>
      </c>
      <c r="I25" s="38" t="s">
        <v>89</v>
      </c>
      <c r="J25" s="40" t="n">
        <v>1.48763296796655</v>
      </c>
      <c r="K25" s="39" t="n">
        <f aca="false">IF(G25="","",MAX(0,G25-J25/100))</f>
        <v>0.320713066823437</v>
      </c>
      <c r="L25" s="39" t="n">
        <f aca="false">IF(G25="","",MIN(1,G25+J25/100))</f>
        <v>0.350465726182768</v>
      </c>
      <c r="M25" s="21" t="n">
        <f aca="false">IF(F25="","",ROUND(F25*J25/100,0))</f>
        <v>26</v>
      </c>
      <c r="P25" s="41" t="n">
        <v>-10.5577207367626</v>
      </c>
      <c r="Q25" s="42" t="n">
        <v>1773</v>
      </c>
      <c r="R25" s="43" t="n">
        <f aca="false">MAX(0,MIN(1,P25/100+$D$5))</f>
        <v>0.335707976296844</v>
      </c>
      <c r="S25" s="44" t="s">
        <v>96</v>
      </c>
    </row>
    <row r="26" customFormat="false" ht="15" hidden="false" customHeight="false" outlineLevel="0" collapsed="false">
      <c r="A26" s="38" t="s">
        <v>86</v>
      </c>
      <c r="B26" s="38" t="s">
        <v>105</v>
      </c>
      <c r="C26" s="38" t="s">
        <v>88</v>
      </c>
      <c r="D26" s="21" t="n">
        <f aca="false">ROUND(Q26*R26,0)</f>
        <v>528</v>
      </c>
      <c r="E26" s="21" t="n">
        <f aca="false">ROUND(Q26,0)-D26</f>
        <v>666</v>
      </c>
      <c r="F26" s="21" t="n">
        <f aca="false">IF(COUNTA(D26:E26)=0,"",SUM(D26:E26))</f>
        <v>1194</v>
      </c>
      <c r="G26" s="39" t="n">
        <f aca="false">IF(OR(F26="",F26=0),"",D26/F26)</f>
        <v>0.442211055276382</v>
      </c>
      <c r="H26" s="39" t="n">
        <f aca="false">IF(OR(F26="",F26=0),"",E26/F26)</f>
        <v>0.557788944723618</v>
      </c>
      <c r="I26" s="38" t="s">
        <v>89</v>
      </c>
      <c r="J26" s="40" t="n">
        <v>2.52713458577249</v>
      </c>
      <c r="K26" s="39" t="n">
        <f aca="false">IF(G26="","",MAX(0,G26-J26/100))</f>
        <v>0.416939709418657</v>
      </c>
      <c r="L26" s="39" t="n">
        <f aca="false">IF(G26="","",MIN(1,G26+J26/100))</f>
        <v>0.467482401134107</v>
      </c>
      <c r="M26" s="21" t="n">
        <f aca="false">IF(F26="","",ROUND(F26*J26/100,0))</f>
        <v>30</v>
      </c>
      <c r="P26" s="41" t="n">
        <v>0.0547068127685819</v>
      </c>
      <c r="Q26" s="42" t="n">
        <v>1194</v>
      </c>
      <c r="R26" s="43" t="n">
        <f aca="false">MAX(0,MIN(1,P26/100+$D$5))</f>
        <v>0.441832251792156</v>
      </c>
      <c r="S26" s="44" t="s">
        <v>90</v>
      </c>
    </row>
    <row r="27" customFormat="false" ht="15" hidden="false" customHeight="false" outlineLevel="0" collapsed="false">
      <c r="A27" s="38" t="s">
        <v>86</v>
      </c>
      <c r="B27" s="38" t="s">
        <v>106</v>
      </c>
      <c r="C27" s="38" t="s">
        <v>88</v>
      </c>
      <c r="D27" s="21" t="n">
        <f aca="false">ROUND(Q27*R27,0)</f>
        <v>125</v>
      </c>
      <c r="E27" s="21" t="n">
        <f aca="false">ROUND(Q27,0)-D27</f>
        <v>415</v>
      </c>
      <c r="F27" s="21" t="n">
        <f aca="false">IF(COUNTA(D27:E27)=0,"",SUM(D27:E27))</f>
        <v>540</v>
      </c>
      <c r="G27" s="39" t="n">
        <f aca="false">IF(OR(F27="",F27=0),"",D27/F27)</f>
        <v>0.231481481481481</v>
      </c>
      <c r="H27" s="39" t="n">
        <f aca="false">IF(OR(F27="",F27=0),"",E27/F27)</f>
        <v>0.768518518518519</v>
      </c>
      <c r="I27" s="38" t="s">
        <v>89</v>
      </c>
      <c r="J27" s="40" t="n">
        <v>2.52713458577249</v>
      </c>
      <c r="K27" s="39" t="n">
        <f aca="false">IF(G27="","",MAX(0,G27-J27/100))</f>
        <v>0.206210135623757</v>
      </c>
      <c r="L27" s="39" t="n">
        <f aca="false">IF(G27="","",MIN(1,G27+J27/100))</f>
        <v>0.256752827339206</v>
      </c>
      <c r="M27" s="21" t="n">
        <f aca="false">IF(F27="","",ROUND(F27*J27/100,0))</f>
        <v>14</v>
      </c>
      <c r="P27" s="41" t="n">
        <v>-21.0182760992073</v>
      </c>
      <c r="Q27" s="42" t="n">
        <v>540</v>
      </c>
      <c r="R27" s="43" t="n">
        <f aca="false">MAX(0,MIN(1,P27/100+$D$5))</f>
        <v>0.231102422672398</v>
      </c>
      <c r="S27" s="44" t="s">
        <v>90</v>
      </c>
    </row>
    <row r="28" customFormat="false" ht="15" hidden="false" customHeight="false" outlineLevel="0" collapsed="false">
      <c r="A28" s="38" t="s">
        <v>86</v>
      </c>
      <c r="B28" s="38" t="s">
        <v>107</v>
      </c>
      <c r="C28" s="38" t="s">
        <v>88</v>
      </c>
      <c r="D28" s="21" t="n">
        <f aca="false">ROUND(Q28*R28,0)</f>
        <v>800</v>
      </c>
      <c r="E28" s="21" t="n">
        <f aca="false">ROUND(Q28,0)-D28</f>
        <v>1109</v>
      </c>
      <c r="F28" s="21" t="n">
        <f aca="false">IF(COUNTA(D28:E28)=0,"",SUM(D28:E28))</f>
        <v>1909</v>
      </c>
      <c r="G28" s="39" t="n">
        <f aca="false">IF(OR(F28="",F28=0),"",D28/F28)</f>
        <v>0.419067574646412</v>
      </c>
      <c r="H28" s="39" t="n">
        <f aca="false">IF(OR(F28="",F28=0),"",E28/F28)</f>
        <v>0.580932425353588</v>
      </c>
      <c r="I28" s="38" t="s">
        <v>89</v>
      </c>
      <c r="J28" s="40" t="n">
        <v>1.48763296796655</v>
      </c>
      <c r="K28" s="39" t="n">
        <f aca="false">IF(G28="","",MAX(0,G28-J28/100))</f>
        <v>0.404191244966746</v>
      </c>
      <c r="L28" s="39" t="n">
        <f aca="false">IF(G28="","",MIN(1,G28+J28/100))</f>
        <v>0.433943904326077</v>
      </c>
      <c r="M28" s="21" t="n">
        <f aca="false">IF(F28="","",ROUND(F28*J28/100,0))</f>
        <v>28</v>
      </c>
      <c r="P28" s="41" t="n">
        <v>-2.222793585667</v>
      </c>
      <c r="Q28" s="42" t="n">
        <v>1909</v>
      </c>
      <c r="R28" s="43" t="n">
        <f aca="false">MAX(0,MIN(1,P28/100+$D$5))</f>
        <v>0.4190572478078</v>
      </c>
      <c r="S28" s="44" t="s">
        <v>96</v>
      </c>
    </row>
    <row r="29" customFormat="false" ht="15" hidden="false" customHeight="false" outlineLevel="0" collapsed="false">
      <c r="A29" s="38" t="s">
        <v>86</v>
      </c>
      <c r="B29" s="38" t="s">
        <v>108</v>
      </c>
      <c r="C29" s="38" t="s">
        <v>88</v>
      </c>
      <c r="D29" s="21" t="n">
        <f aca="false">ROUND(Q29*R29,0)</f>
        <v>65</v>
      </c>
      <c r="E29" s="21" t="n">
        <f aca="false">ROUND(Q29,0)-D29</f>
        <v>122</v>
      </c>
      <c r="F29" s="21" t="n">
        <f aca="false">IF(COUNTA(D29:E29)=0,"",SUM(D29:E29))</f>
        <v>187</v>
      </c>
      <c r="G29" s="39" t="n">
        <f aca="false">IF(OR(F29="",F29=0),"",D29/F29)</f>
        <v>0.347593582887701</v>
      </c>
      <c r="H29" s="39" t="n">
        <f aca="false">IF(OR(F29="",F29=0),"",E29/F29)</f>
        <v>0.6524064171123</v>
      </c>
      <c r="I29" s="38" t="s">
        <v>89</v>
      </c>
      <c r="J29" s="40" t="n">
        <v>2.52713458577249</v>
      </c>
      <c r="K29" s="39" t="n">
        <f aca="false">IF(G29="","",MAX(0,G29-J29/100))</f>
        <v>0.322322237029976</v>
      </c>
      <c r="L29" s="39" t="n">
        <f aca="false">IF(G29="","",MIN(1,G29+J29/100))</f>
        <v>0.372864928745425</v>
      </c>
      <c r="M29" s="21" t="n">
        <f aca="false">IF(F29="","",ROUND(F29*J29/100,0))</f>
        <v>5</v>
      </c>
      <c r="P29" s="41" t="n">
        <v>-9.42580241653222</v>
      </c>
      <c r="Q29" s="42" t="n">
        <v>187</v>
      </c>
      <c r="R29" s="43" t="n">
        <f aca="false">MAX(0,MIN(1,P29/100+$D$5))</f>
        <v>0.347027159499148</v>
      </c>
      <c r="S29" s="44" t="s">
        <v>90</v>
      </c>
    </row>
    <row r="30" customFormat="false" ht="15" hidden="false" customHeight="false" outlineLevel="0" collapsed="false">
      <c r="A30" s="38" t="s">
        <v>86</v>
      </c>
      <c r="B30" s="38" t="s">
        <v>109</v>
      </c>
      <c r="C30" s="38" t="s">
        <v>88</v>
      </c>
      <c r="D30" s="21" t="n">
        <f aca="false">ROUND(Q30*R30,0)</f>
        <v>1752</v>
      </c>
      <c r="E30" s="21" t="n">
        <f aca="false">ROUND(Q30,0)-D30</f>
        <v>2572</v>
      </c>
      <c r="F30" s="21" t="n">
        <f aca="false">IF(COUNTA(D30:E30)=0,"",SUM(D30:E30))</f>
        <v>4324</v>
      </c>
      <c r="G30" s="39" t="n">
        <f aca="false">IF(OR(F30="",F30=0),"",D30/F30)</f>
        <v>0.40518038852914</v>
      </c>
      <c r="H30" s="39" t="n">
        <f aca="false">IF(OR(F30="",F30=0),"",E30/F30)</f>
        <v>0.59481961147086</v>
      </c>
      <c r="I30" s="38" t="s">
        <v>89</v>
      </c>
      <c r="J30" s="40" t="n">
        <v>1.13453501956376</v>
      </c>
      <c r="K30" s="39" t="n">
        <f aca="false">IF(G30="","",MAX(0,G30-J30/100))</f>
        <v>0.393835038333502</v>
      </c>
      <c r="L30" s="39" t="n">
        <f aca="false">IF(G30="","",MIN(1,G30+J30/100))</f>
        <v>0.416525738724777</v>
      </c>
      <c r="M30" s="21" t="n">
        <f aca="false">IF(F30="","",ROUND(F30*J30/100,0))</f>
        <v>49</v>
      </c>
      <c r="P30" s="41" t="n">
        <v>-3.60313983328634</v>
      </c>
      <c r="Q30" s="42" t="n">
        <v>4324</v>
      </c>
      <c r="R30" s="43" t="n">
        <f aca="false">MAX(0,MIN(1,P30/100+$D$5))</f>
        <v>0.405253785331607</v>
      </c>
      <c r="S30" s="44" t="s">
        <v>110</v>
      </c>
    </row>
    <row r="31" customFormat="false" ht="15" hidden="false" customHeight="false" outlineLevel="0" collapsed="false">
      <c r="A31" s="38" t="s">
        <v>86</v>
      </c>
      <c r="B31" s="38" t="s">
        <v>111</v>
      </c>
      <c r="C31" s="38" t="s">
        <v>88</v>
      </c>
      <c r="D31" s="21" t="n">
        <f aca="false">ROUND(Q31*R31,0)</f>
        <v>585</v>
      </c>
      <c r="E31" s="21" t="n">
        <f aca="false">ROUND(Q31,0)-D31</f>
        <v>650</v>
      </c>
      <c r="F31" s="21" t="n">
        <f aca="false">IF(COUNTA(D31:E31)=0,"",SUM(D31:E31))</f>
        <v>1235</v>
      </c>
      <c r="G31" s="39" t="n">
        <f aca="false">IF(OR(F31="",F31=0),"",D31/F31)</f>
        <v>0.473684210526316</v>
      </c>
      <c r="H31" s="39" t="n">
        <f aca="false">IF(OR(F31="",F31=0),"",E31/F31)</f>
        <v>0.526315789473684</v>
      </c>
      <c r="I31" s="38" t="s">
        <v>89</v>
      </c>
      <c r="J31" s="40" t="n">
        <v>2.52713458577249</v>
      </c>
      <c r="K31" s="39" t="n">
        <f aca="false">IF(G31="","",MAX(0,G31-J31/100))</f>
        <v>0.448412864668591</v>
      </c>
      <c r="L31" s="39" t="n">
        <f aca="false">IF(G31="","",MIN(1,G31+J31/100))</f>
        <v>0.498955556384041</v>
      </c>
      <c r="M31" s="21" t="n">
        <f aca="false">IF(F31="","",ROUND(F31*J31/100,0))</f>
        <v>31</v>
      </c>
      <c r="P31" s="41" t="n">
        <v>3.2323548980958</v>
      </c>
      <c r="Q31" s="42" t="n">
        <v>1235</v>
      </c>
      <c r="R31" s="43" t="n">
        <f aca="false">MAX(0,MIN(1,P31/100+$D$5))</f>
        <v>0.473608732645428</v>
      </c>
      <c r="S31" s="44" t="s">
        <v>90</v>
      </c>
    </row>
    <row r="32" customFormat="false" ht="15" hidden="false" customHeight="false" outlineLevel="0" collapsed="false">
      <c r="A32" s="38" t="s">
        <v>86</v>
      </c>
      <c r="B32" s="38" t="s">
        <v>112</v>
      </c>
      <c r="C32" s="38" t="s">
        <v>88</v>
      </c>
      <c r="D32" s="21" t="n">
        <f aca="false">ROUND(Q32*R32,0)</f>
        <v>714</v>
      </c>
      <c r="E32" s="21" t="n">
        <f aca="false">ROUND(Q32,0)-D32</f>
        <v>1417</v>
      </c>
      <c r="F32" s="21" t="n">
        <f aca="false">IF(COUNTA(D32:E32)=0,"",SUM(D32:E32))</f>
        <v>2131</v>
      </c>
      <c r="G32" s="39" t="n">
        <f aca="false">IF(OR(F32="",F32=0),"",D32/F32)</f>
        <v>0.335053965274519</v>
      </c>
      <c r="H32" s="39" t="n">
        <f aca="false">IF(OR(F32="",F32=0),"",E32/F32)</f>
        <v>0.664946034725481</v>
      </c>
      <c r="I32" s="38" t="s">
        <v>89</v>
      </c>
      <c r="J32" s="40" t="n">
        <v>1.48763296796655</v>
      </c>
      <c r="K32" s="39" t="n">
        <f aca="false">IF(G32="","",MAX(0,G32-J32/100))</f>
        <v>0.320177635594854</v>
      </c>
      <c r="L32" s="39" t="n">
        <f aca="false">IF(G32="","",MIN(1,G32+J32/100))</f>
        <v>0.349930294954185</v>
      </c>
      <c r="M32" s="21" t="n">
        <f aca="false">IF(F32="","",ROUND(F32*J32/100,0))</f>
        <v>32</v>
      </c>
      <c r="P32" s="41" t="n">
        <v>-10.6048351863839</v>
      </c>
      <c r="Q32" s="42" t="n">
        <v>2131</v>
      </c>
      <c r="R32" s="43" t="n">
        <f aca="false">MAX(0,MIN(1,P32/100+$D$5))</f>
        <v>0.335236831800631</v>
      </c>
      <c r="S32" s="44" t="s">
        <v>96</v>
      </c>
    </row>
    <row r="33" customFormat="false" ht="15" hidden="false" customHeight="false" outlineLevel="0" collapsed="false">
      <c r="A33" s="38" t="s">
        <v>86</v>
      </c>
      <c r="B33" s="38" t="s">
        <v>113</v>
      </c>
      <c r="C33" s="38" t="s">
        <v>88</v>
      </c>
      <c r="D33" s="21" t="n">
        <f aca="false">ROUND(Q33*R33,0)</f>
        <v>294</v>
      </c>
      <c r="E33" s="21" t="n">
        <f aca="false">ROUND(Q33,0)-D33</f>
        <v>607</v>
      </c>
      <c r="F33" s="21" t="n">
        <f aca="false">IF(COUNTA(D33:E33)=0,"",SUM(D33:E33))</f>
        <v>901</v>
      </c>
      <c r="G33" s="39" t="n">
        <f aca="false">IF(OR(F33="",F33=0),"",D33/F33)</f>
        <v>0.32630410654828</v>
      </c>
      <c r="H33" s="39" t="n">
        <f aca="false">IF(OR(F33="",F33=0),"",E33/F33)</f>
        <v>0.67369589345172</v>
      </c>
      <c r="I33" s="38" t="s">
        <v>89</v>
      </c>
      <c r="J33" s="40" t="n">
        <v>2.52713458577249</v>
      </c>
      <c r="K33" s="39" t="n">
        <f aca="false">IF(G33="","",MAX(0,G33-J33/100))</f>
        <v>0.301032760690555</v>
      </c>
      <c r="L33" s="39" t="n">
        <f aca="false">IF(G33="","",MIN(1,G33+J33/100))</f>
        <v>0.351575452406005</v>
      </c>
      <c r="M33" s="21" t="n">
        <f aca="false">IF(F33="","",ROUND(F33*J33/100,0))</f>
        <v>23</v>
      </c>
      <c r="P33" s="41" t="n">
        <v>-11.478866674356</v>
      </c>
      <c r="Q33" s="42" t="n">
        <v>901</v>
      </c>
      <c r="R33" s="43" t="n">
        <f aca="false">MAX(0,MIN(1,P33/100+$D$5))</f>
        <v>0.32649651692091</v>
      </c>
      <c r="S33" s="44" t="s">
        <v>90</v>
      </c>
    </row>
    <row r="34" customFormat="false" ht="15" hidden="false" customHeight="false" outlineLevel="0" collapsed="false">
      <c r="A34" s="38" t="s">
        <v>86</v>
      </c>
      <c r="B34" s="38" t="s">
        <v>114</v>
      </c>
      <c r="C34" s="38" t="s">
        <v>88</v>
      </c>
      <c r="D34" s="21" t="n">
        <f aca="false">ROUND(Q34*R34,0)</f>
        <v>38</v>
      </c>
      <c r="E34" s="21" t="n">
        <f aca="false">ROUND(Q34,0)-D34</f>
        <v>62</v>
      </c>
      <c r="F34" s="21" t="n">
        <f aca="false">IF(COUNTA(D34:E34)=0,"",SUM(D34:E34))</f>
        <v>100</v>
      </c>
      <c r="G34" s="39" t="n">
        <f aca="false">IF(OR(F34="",F34=0),"",D34/F34)</f>
        <v>0.38</v>
      </c>
      <c r="H34" s="39" t="n">
        <f aca="false">IF(OR(F34="",F34=0),"",E34/F34)</f>
        <v>0.62</v>
      </c>
      <c r="I34" s="38" t="s">
        <v>89</v>
      </c>
      <c r="J34" s="40" t="n">
        <v>2.52713458577249</v>
      </c>
      <c r="K34" s="39" t="n">
        <f aca="false">IF(G34="","",MAX(0,G34-J34/100))</f>
        <v>0.354728654142275</v>
      </c>
      <c r="L34" s="39" t="n">
        <f aca="false">IF(G34="","",MIN(1,G34+J34/100))</f>
        <v>0.405271345857725</v>
      </c>
      <c r="M34" s="21" t="n">
        <f aca="false">IF(F34="","",ROUND(F34*J34/100,0))</f>
        <v>3</v>
      </c>
      <c r="P34" s="41" t="n">
        <v>-5.9155774997644</v>
      </c>
      <c r="Q34" s="42" t="n">
        <v>100</v>
      </c>
      <c r="R34" s="43" t="n">
        <f aca="false">MAX(0,MIN(1,P34/100+$D$5))</f>
        <v>0.382129408666826</v>
      </c>
      <c r="S34" s="44" t="s">
        <v>90</v>
      </c>
    </row>
    <row r="35" customFormat="false" ht="15" hidden="false" customHeight="false" outlineLevel="0" collapsed="false">
      <c r="A35" s="38" t="s">
        <v>115</v>
      </c>
      <c r="B35" s="38" t="s">
        <v>116</v>
      </c>
      <c r="C35" s="38" t="s">
        <v>88</v>
      </c>
      <c r="D35" s="21" t="n">
        <f aca="false">ROUND(Q35*R35,0)</f>
        <v>514</v>
      </c>
      <c r="E35" s="21" t="n">
        <f aca="false">ROUND(Q35,0)-D35</f>
        <v>499</v>
      </c>
      <c r="F35" s="21" t="n">
        <f aca="false">IF(COUNTA(D35:E35)=0,"",SUM(D35:E35))</f>
        <v>1013</v>
      </c>
      <c r="G35" s="39" t="n">
        <f aca="false">IF(OR(F35="",F35=0),"",D35/F35)</f>
        <v>0.507403751233959</v>
      </c>
      <c r="H35" s="39" t="n">
        <f aca="false">IF(OR(F35="",F35=0),"",E35/F35)</f>
        <v>0.492596248766041</v>
      </c>
      <c r="I35" s="38" t="s">
        <v>89</v>
      </c>
      <c r="J35" s="40" t="n">
        <v>2.52713458577249</v>
      </c>
      <c r="K35" s="39" t="n">
        <f aca="false">IF(G35="","",MAX(0,G35-J35/100))</f>
        <v>0.482132405376234</v>
      </c>
      <c r="L35" s="39" t="n">
        <f aca="false">IF(G35="","",MIN(1,G35+J35/100))</f>
        <v>0.532675097091683</v>
      </c>
      <c r="M35" s="21" t="n">
        <f aca="false">IF(F35="","",ROUND(F35*J35/100,0))</f>
        <v>26</v>
      </c>
      <c r="P35" s="41" t="n">
        <v>6.63929430084309</v>
      </c>
      <c r="Q35" s="42" t="n">
        <v>1013</v>
      </c>
      <c r="R35" s="43" t="n">
        <f aca="false">MAX(0,MIN(1,P35/100+$D$5))</f>
        <v>0.507678126672901</v>
      </c>
      <c r="S35" s="44" t="s">
        <v>90</v>
      </c>
    </row>
    <row r="36" customFormat="false" ht="15" hidden="false" customHeight="false" outlineLevel="0" collapsed="false">
      <c r="A36" s="38" t="s">
        <v>115</v>
      </c>
      <c r="B36" s="38" t="s">
        <v>117</v>
      </c>
      <c r="C36" s="38" t="s">
        <v>88</v>
      </c>
      <c r="D36" s="21" t="n">
        <f aca="false">ROUND(Q36*R36,0)</f>
        <v>17087</v>
      </c>
      <c r="E36" s="21" t="n">
        <f aca="false">ROUND(Q36,0)-D36</f>
        <v>7814</v>
      </c>
      <c r="F36" s="21" t="n">
        <f aca="false">IF(COUNTA(D36:E36)=0,"",SUM(D36:E36))</f>
        <v>24901</v>
      </c>
      <c r="G36" s="39" t="n">
        <f aca="false">IF(OR(F36="",F36=0),"",D36/F36)</f>
        <v>0.68619734147223</v>
      </c>
      <c r="H36" s="39" t="n">
        <f aca="false">IF(OR(F36="",F36=0),"",E36/F36)</f>
        <v>0.31380265852777</v>
      </c>
      <c r="I36" s="38" t="s">
        <v>89</v>
      </c>
      <c r="J36" s="40" t="n">
        <v>1.13453501956376</v>
      </c>
      <c r="K36" s="39" t="n">
        <f aca="false">IF(G36="","",MAX(0,G36-J36/100))</f>
        <v>0.674851991276592</v>
      </c>
      <c r="L36" s="39" t="n">
        <f aca="false">IF(G36="","",MIN(1,G36+J36/100))</f>
        <v>0.697542691667868</v>
      </c>
      <c r="M36" s="21" t="n">
        <f aca="false">IF(F36="","",ROUND(F36*J36/100,0))</f>
        <v>283</v>
      </c>
      <c r="P36" s="41" t="n">
        <v>24.4918421768058</v>
      </c>
      <c r="Q36" s="42" t="n">
        <v>24901</v>
      </c>
      <c r="R36" s="43" t="n">
        <f aca="false">MAX(0,MIN(1,P36/100+$D$5))</f>
        <v>0.686203605432528</v>
      </c>
      <c r="S36" s="44" t="s">
        <v>110</v>
      </c>
    </row>
    <row r="37" customFormat="false" ht="15" hidden="false" customHeight="false" outlineLevel="0" collapsed="false">
      <c r="A37" s="38" t="s">
        <v>115</v>
      </c>
      <c r="B37" s="38" t="s">
        <v>118</v>
      </c>
      <c r="C37" s="38" t="s">
        <v>88</v>
      </c>
      <c r="D37" s="21" t="n">
        <f aca="false">ROUND(Q37*R37,0)</f>
        <v>5296</v>
      </c>
      <c r="E37" s="21" t="n">
        <f aca="false">ROUND(Q37,0)-D37</f>
        <v>2595</v>
      </c>
      <c r="F37" s="21" t="n">
        <f aca="false">IF(COUNTA(D37:E37)=0,"",SUM(D37:E37))</f>
        <v>7891</v>
      </c>
      <c r="G37" s="39" t="n">
        <f aca="false">IF(OR(F37="",F37=0),"",D37/F37)</f>
        <v>0.67114434165505</v>
      </c>
      <c r="H37" s="39" t="n">
        <f aca="false">IF(OR(F37="",F37=0),"",E37/F37)</f>
        <v>0.32885565834495</v>
      </c>
      <c r="I37" s="38" t="s">
        <v>89</v>
      </c>
      <c r="J37" s="40" t="n">
        <v>1.13453501956376</v>
      </c>
      <c r="K37" s="39" t="n">
        <f aca="false">IF(G37="","",MAX(0,G37-J37/100))</f>
        <v>0.659798991459413</v>
      </c>
      <c r="L37" s="39" t="n">
        <f aca="false">IF(G37="","",MIN(1,G37+J37/100))</f>
        <v>0.682489691850688</v>
      </c>
      <c r="M37" s="21" t="n">
        <f aca="false">IF(F37="","",ROUND(F37*J37/100,0))</f>
        <v>90</v>
      </c>
      <c r="P37" s="41" t="n">
        <v>22.9885547010676</v>
      </c>
      <c r="Q37" s="42" t="n">
        <v>7891</v>
      </c>
      <c r="R37" s="43" t="n">
        <f aca="false">MAX(0,MIN(1,P37/100+$D$5))</f>
        <v>0.671170730675146</v>
      </c>
      <c r="S37" s="44" t="s">
        <v>110</v>
      </c>
    </row>
    <row r="38" customFormat="false" ht="15" hidden="false" customHeight="false" outlineLevel="0" collapsed="false">
      <c r="A38" s="38" t="s">
        <v>115</v>
      </c>
      <c r="B38" s="38" t="s">
        <v>119</v>
      </c>
      <c r="C38" s="38" t="s">
        <v>88</v>
      </c>
      <c r="D38" s="21" t="n">
        <f aca="false">ROUND(Q38*R38,0)</f>
        <v>1163</v>
      </c>
      <c r="E38" s="21" t="n">
        <f aca="false">ROUND(Q38,0)-D38</f>
        <v>947</v>
      </c>
      <c r="F38" s="21" t="n">
        <f aca="false">IF(COUNTA(D38:E38)=0,"",SUM(D38:E38))</f>
        <v>2110</v>
      </c>
      <c r="G38" s="39" t="n">
        <f aca="false">IF(OR(F38="",F38=0),"",D38/F38)</f>
        <v>0.551184834123223</v>
      </c>
      <c r="H38" s="39" t="n">
        <f aca="false">IF(OR(F38="",F38=0),"",E38/F38)</f>
        <v>0.448815165876777</v>
      </c>
      <c r="I38" s="38" t="s">
        <v>89</v>
      </c>
      <c r="J38" s="40" t="n">
        <v>1.48763296796655</v>
      </c>
      <c r="K38" s="39" t="n">
        <f aca="false">IF(G38="","",MAX(0,G38-J38/100))</f>
        <v>0.536308504443557</v>
      </c>
      <c r="L38" s="39" t="n">
        <f aca="false">IF(G38="","",MIN(1,G38+J38/100))</f>
        <v>0.566061163802888</v>
      </c>
      <c r="M38" s="21" t="n">
        <f aca="false">IF(F38="","",ROUND(F38*J38/100,0))</f>
        <v>31</v>
      </c>
      <c r="P38" s="41" t="n">
        <v>10.9663414736809</v>
      </c>
      <c r="Q38" s="42" t="n">
        <v>2110</v>
      </c>
      <c r="R38" s="43" t="n">
        <f aca="false">MAX(0,MIN(1,P38/100+$D$5))</f>
        <v>0.550948598401279</v>
      </c>
      <c r="S38" s="44" t="s">
        <v>96</v>
      </c>
    </row>
    <row r="39" customFormat="false" ht="15" hidden="false" customHeight="false" outlineLevel="0" collapsed="false">
      <c r="A39" s="38" t="s">
        <v>115</v>
      </c>
      <c r="B39" s="38" t="s">
        <v>120</v>
      </c>
      <c r="C39" s="38" t="s">
        <v>88</v>
      </c>
      <c r="D39" s="21" t="n">
        <f aca="false">ROUND(Q39*R39,0)</f>
        <v>635</v>
      </c>
      <c r="E39" s="21" t="n">
        <f aca="false">ROUND(Q39,0)-D39</f>
        <v>584</v>
      </c>
      <c r="F39" s="21" t="n">
        <f aca="false">IF(COUNTA(D39:E39)=0,"",SUM(D39:E39))</f>
        <v>1219</v>
      </c>
      <c r="G39" s="39" t="n">
        <f aca="false">IF(OR(F39="",F39=0),"",D39/F39)</f>
        <v>0.520918785890074</v>
      </c>
      <c r="H39" s="39" t="n">
        <f aca="false">IF(OR(F39="",F39=0),"",E39/F39)</f>
        <v>0.479081214109926</v>
      </c>
      <c r="I39" s="38" t="s">
        <v>89</v>
      </c>
      <c r="J39" s="40" t="n">
        <v>2.52713458577249</v>
      </c>
      <c r="K39" s="39" t="n">
        <f aca="false">IF(G39="","",MAX(0,G39-J39/100))</f>
        <v>0.495647440032349</v>
      </c>
      <c r="L39" s="39" t="n">
        <f aca="false">IF(G39="","",MIN(1,G39+J39/100))</f>
        <v>0.546190131747799</v>
      </c>
      <c r="M39" s="21" t="n">
        <f aca="false">IF(F39="","",ROUND(F39*J39/100,0))</f>
        <v>31</v>
      </c>
      <c r="P39" s="41" t="n">
        <v>7.96030635921993</v>
      </c>
      <c r="Q39" s="42" t="n">
        <v>1219</v>
      </c>
      <c r="R39" s="43" t="n">
        <f aca="false">MAX(0,MIN(1,P39/100+$D$5))</f>
        <v>0.52088824725667</v>
      </c>
      <c r="S39" s="44" t="s">
        <v>90</v>
      </c>
    </row>
    <row r="40" customFormat="false" ht="15" hidden="false" customHeight="false" outlineLevel="0" collapsed="false">
      <c r="A40" s="38" t="s">
        <v>115</v>
      </c>
      <c r="B40" s="38" t="s">
        <v>121</v>
      </c>
      <c r="C40" s="38" t="s">
        <v>88</v>
      </c>
      <c r="D40" s="21" t="n">
        <f aca="false">ROUND(Q40*R40,0)</f>
        <v>705</v>
      </c>
      <c r="E40" s="21" t="n">
        <f aca="false">ROUND(Q40,0)-D40</f>
        <v>592</v>
      </c>
      <c r="F40" s="21" t="n">
        <f aca="false">IF(COUNTA(D40:E40)=0,"",SUM(D40:E40))</f>
        <v>1297</v>
      </c>
      <c r="G40" s="39" t="n">
        <f aca="false">IF(OR(F40="",F40=0),"",D40/F40)</f>
        <v>0.543562066306862</v>
      </c>
      <c r="H40" s="39" t="n">
        <f aca="false">IF(OR(F40="",F40=0),"",E40/F40)</f>
        <v>0.456437933693138</v>
      </c>
      <c r="I40" s="38" t="s">
        <v>89</v>
      </c>
      <c r="J40" s="40" t="n">
        <v>2.52713458577249</v>
      </c>
      <c r="K40" s="39" t="n">
        <f aca="false">IF(G40="","",MAX(0,G40-J40/100))</f>
        <v>0.518290720449137</v>
      </c>
      <c r="L40" s="39" t="n">
        <f aca="false">IF(G40="","",MIN(1,G40+J40/100))</f>
        <v>0.568833412164587</v>
      </c>
      <c r="M40" s="21" t="n">
        <f aca="false">IF(F40="","",ROUND(F40*J40/100,0))</f>
        <v>33</v>
      </c>
      <c r="P40" s="41" t="n">
        <v>10.2120203859512</v>
      </c>
      <c r="Q40" s="42" t="n">
        <v>1297</v>
      </c>
      <c r="R40" s="43" t="n">
        <f aca="false">MAX(0,MIN(1,P40/100+$D$5))</f>
        <v>0.543405387523982</v>
      </c>
      <c r="S40" s="44" t="s">
        <v>90</v>
      </c>
    </row>
    <row r="41" customFormat="false" ht="15" hidden="false" customHeight="false" outlineLevel="0" collapsed="false">
      <c r="A41" s="38" t="s">
        <v>115</v>
      </c>
      <c r="B41" s="38" t="s">
        <v>122</v>
      </c>
      <c r="C41" s="38" t="s">
        <v>88</v>
      </c>
      <c r="D41" s="21" t="n">
        <f aca="false">ROUND(Q41*R41,0)</f>
        <v>2859</v>
      </c>
      <c r="E41" s="21" t="n">
        <f aca="false">ROUND(Q41,0)-D41</f>
        <v>2225</v>
      </c>
      <c r="F41" s="21" t="n">
        <f aca="false">IF(COUNTA(D41:E41)=0,"",SUM(D41:E41))</f>
        <v>5084</v>
      </c>
      <c r="G41" s="39" t="n">
        <f aca="false">IF(OR(F41="",F41=0),"",D41/F41)</f>
        <v>0.562352478363493</v>
      </c>
      <c r="H41" s="39" t="n">
        <f aca="false">IF(OR(F41="",F41=0),"",E41/F41)</f>
        <v>0.437647521636507</v>
      </c>
      <c r="I41" s="38" t="s">
        <v>89</v>
      </c>
      <c r="J41" s="40" t="n">
        <v>1.13453501956376</v>
      </c>
      <c r="K41" s="39" t="n">
        <f aca="false">IF(G41="","",MAX(0,G41-J41/100))</f>
        <v>0.551007128167856</v>
      </c>
      <c r="L41" s="39" t="n">
        <f aca="false">IF(G41="","",MIN(1,G41+J41/100))</f>
        <v>0.573697828559131</v>
      </c>
      <c r="M41" s="21" t="n">
        <f aca="false">IF(F41="","",ROUND(F41*J41/100,0))</f>
        <v>58</v>
      </c>
      <c r="P41" s="41" t="n">
        <v>12.1004364161245</v>
      </c>
      <c r="Q41" s="42" t="n">
        <v>5084</v>
      </c>
      <c r="R41" s="43" t="n">
        <f aca="false">MAX(0,MIN(1,P41/100+$D$5))</f>
        <v>0.562289547825715</v>
      </c>
      <c r="S41" s="44" t="s">
        <v>110</v>
      </c>
    </row>
    <row r="42" customFormat="false" ht="15" hidden="false" customHeight="false" outlineLevel="0" collapsed="false">
      <c r="A42" s="38" t="s">
        <v>115</v>
      </c>
      <c r="B42" s="38" t="s">
        <v>123</v>
      </c>
      <c r="C42" s="38" t="s">
        <v>88</v>
      </c>
      <c r="D42" s="21" t="n">
        <f aca="false">ROUND(Q42*R42,0)</f>
        <v>1068</v>
      </c>
      <c r="E42" s="21" t="n">
        <f aca="false">ROUND(Q42,0)-D42</f>
        <v>481</v>
      </c>
      <c r="F42" s="21" t="n">
        <f aca="false">IF(COUNTA(D42:E42)=0,"",SUM(D42:E42))</f>
        <v>1549</v>
      </c>
      <c r="G42" s="39" t="n">
        <f aca="false">IF(OR(F42="",F42=0),"",D42/F42)</f>
        <v>0.68947708198838</v>
      </c>
      <c r="H42" s="39" t="n">
        <f aca="false">IF(OR(F42="",F42=0),"",E42/F42)</f>
        <v>0.31052291801162</v>
      </c>
      <c r="I42" s="38" t="s">
        <v>89</v>
      </c>
      <c r="J42" s="40" t="n">
        <v>2.52713458577249</v>
      </c>
      <c r="K42" s="39" t="n">
        <f aca="false">IF(G42="","",MAX(0,G42-J42/100))</f>
        <v>0.664205736130655</v>
      </c>
      <c r="L42" s="39" t="n">
        <f aca="false">IF(G42="","",MIN(1,G42+J42/100))</f>
        <v>0.714748427846105</v>
      </c>
      <c r="M42" s="21" t="n">
        <f aca="false">IF(F42="","",ROUND(F42*J42/100,0))</f>
        <v>39</v>
      </c>
      <c r="P42" s="41" t="n">
        <v>24.8378193040051</v>
      </c>
      <c r="Q42" s="42" t="n">
        <v>1549</v>
      </c>
      <c r="R42" s="43" t="n">
        <f aca="false">MAX(0,MIN(1,P42/100+$D$5))</f>
        <v>0.689663376704521</v>
      </c>
      <c r="S42" s="44" t="s">
        <v>90</v>
      </c>
    </row>
    <row r="43" customFormat="false" ht="15" hidden="false" customHeight="false" outlineLevel="0" collapsed="false">
      <c r="A43" s="38" t="s">
        <v>115</v>
      </c>
      <c r="B43" s="38" t="s">
        <v>124</v>
      </c>
      <c r="C43" s="38" t="s">
        <v>88</v>
      </c>
      <c r="D43" s="21" t="n">
        <f aca="false">ROUND(Q43*R43,0)</f>
        <v>265</v>
      </c>
      <c r="E43" s="21" t="n">
        <f aca="false">ROUND(Q43,0)-D43</f>
        <v>202</v>
      </c>
      <c r="F43" s="21" t="n">
        <f aca="false">IF(COUNTA(D43:E43)=0,"",SUM(D43:E43))</f>
        <v>467</v>
      </c>
      <c r="G43" s="39" t="n">
        <f aca="false">IF(OR(F43="",F43=0),"",D43/F43)</f>
        <v>0.56745182012848</v>
      </c>
      <c r="H43" s="39" t="n">
        <f aca="false">IF(OR(F43="",F43=0),"",E43/F43)</f>
        <v>0.43254817987152</v>
      </c>
      <c r="I43" s="38" t="s">
        <v>89</v>
      </c>
      <c r="J43" s="40" t="n">
        <v>2.52713458577249</v>
      </c>
      <c r="K43" s="39" t="n">
        <f aca="false">IF(G43="","",MAX(0,G43-J43/100))</f>
        <v>0.542180474270755</v>
      </c>
      <c r="L43" s="39" t="n">
        <f aca="false">IF(G43="","",MIN(1,G43+J43/100))</f>
        <v>0.592723165986204</v>
      </c>
      <c r="M43" s="21" t="n">
        <f aca="false">IF(F43="","",ROUND(F43*J43/100,0))</f>
        <v>12</v>
      </c>
      <c r="P43" s="41" t="n">
        <v>12.5765837353238</v>
      </c>
      <c r="Q43" s="42" t="n">
        <v>467</v>
      </c>
      <c r="R43" s="43" t="n">
        <f aca="false">MAX(0,MIN(1,P43/100+$D$5))</f>
        <v>0.567051021017709</v>
      </c>
      <c r="S43" s="44" t="s">
        <v>90</v>
      </c>
    </row>
    <row r="44" customFormat="false" ht="15" hidden="false" customHeight="false" outlineLevel="0" collapsed="false">
      <c r="A44" s="38" t="s">
        <v>115</v>
      </c>
      <c r="B44" s="38" t="s">
        <v>125</v>
      </c>
      <c r="C44" s="38" t="s">
        <v>88</v>
      </c>
      <c r="D44" s="21" t="n">
        <f aca="false">ROUND(Q44*R44,0)</f>
        <v>573</v>
      </c>
      <c r="E44" s="21" t="n">
        <f aca="false">ROUND(Q44,0)-D44</f>
        <v>1027</v>
      </c>
      <c r="F44" s="21" t="n">
        <f aca="false">IF(COUNTA(D44:E44)=0,"",SUM(D44:E44))</f>
        <v>1600</v>
      </c>
      <c r="G44" s="39" t="n">
        <f aca="false">IF(OR(F44="",F44=0),"",D44/F44)</f>
        <v>0.358125</v>
      </c>
      <c r="H44" s="39" t="n">
        <f aca="false">IF(OR(F44="",F44=0),"",E44/F44)</f>
        <v>0.641875</v>
      </c>
      <c r="I44" s="38" t="s">
        <v>89</v>
      </c>
      <c r="J44" s="40" t="n">
        <v>1.48763296796655</v>
      </c>
      <c r="K44" s="39" t="n">
        <f aca="false">IF(G44="","",MAX(0,G44-J44/100))</f>
        <v>0.343248670320335</v>
      </c>
      <c r="L44" s="39" t="n">
        <f aca="false">IF(G44="","",MIN(1,G44+J44/100))</f>
        <v>0.373001329679666</v>
      </c>
      <c r="M44" s="21" t="n">
        <f aca="false">IF(F44="","",ROUND(F44*J44/100,0))</f>
        <v>24</v>
      </c>
      <c r="P44" s="41" t="n">
        <v>-8.33779942171289</v>
      </c>
      <c r="Q44" s="42" t="n">
        <v>1600</v>
      </c>
      <c r="R44" s="43" t="n">
        <f aca="false">MAX(0,MIN(1,P44/100+$D$5))</f>
        <v>0.357907189447341</v>
      </c>
      <c r="S44" s="44" t="s">
        <v>96</v>
      </c>
    </row>
    <row r="45" customFormat="false" ht="15" hidden="false" customHeight="false" outlineLevel="0" collapsed="false">
      <c r="A45" s="38" t="s">
        <v>115</v>
      </c>
      <c r="B45" s="38" t="s">
        <v>126</v>
      </c>
      <c r="C45" s="38" t="s">
        <v>88</v>
      </c>
      <c r="D45" s="21" t="n">
        <f aca="false">ROUND(Q45*R45,0)</f>
        <v>8527</v>
      </c>
      <c r="E45" s="21" t="n">
        <f aca="false">ROUND(Q45,0)-D45</f>
        <v>7426</v>
      </c>
      <c r="F45" s="21" t="n">
        <f aca="false">IF(COUNTA(D45:E45)=0,"",SUM(D45:E45))</f>
        <v>15953</v>
      </c>
      <c r="G45" s="39" t="n">
        <f aca="false">IF(OR(F45="",F45=0),"",D45/F45)</f>
        <v>0.534507616122359</v>
      </c>
      <c r="H45" s="39" t="n">
        <f aca="false">IF(OR(F45="",F45=0),"",E45/F45)</f>
        <v>0.465492383877641</v>
      </c>
      <c r="I45" s="38" t="s">
        <v>89</v>
      </c>
      <c r="J45" s="40" t="n">
        <v>1.13453501956376</v>
      </c>
      <c r="K45" s="39" t="n">
        <f aca="false">IF(G45="","",MAX(0,G45-J45/100))</f>
        <v>0.523162265926722</v>
      </c>
      <c r="L45" s="39" t="n">
        <f aca="false">IF(G45="","",MIN(1,G45+J45/100))</f>
        <v>0.545852966317997</v>
      </c>
      <c r="M45" s="21" t="n">
        <f aca="false">IF(F45="","",ROUND(F45*J45/100,0))</f>
        <v>181</v>
      </c>
      <c r="P45" s="41" t="n">
        <v>9.32028183110676</v>
      </c>
      <c r="Q45" s="42" t="n">
        <v>15953</v>
      </c>
      <c r="R45" s="43" t="n">
        <f aca="false">MAX(0,MIN(1,P45/100+$D$5))</f>
        <v>0.534488001975538</v>
      </c>
      <c r="S45" s="44" t="s">
        <v>110</v>
      </c>
    </row>
    <row r="46" customFormat="false" ht="15" hidden="false" customHeight="false" outlineLevel="0" collapsed="false">
      <c r="A46" s="38" t="s">
        <v>115</v>
      </c>
      <c r="B46" s="38" t="s">
        <v>127</v>
      </c>
      <c r="C46" s="38" t="s">
        <v>88</v>
      </c>
      <c r="D46" s="21" t="n">
        <f aca="false">ROUND(Q46*R46,0)</f>
        <v>902</v>
      </c>
      <c r="E46" s="21" t="n">
        <f aca="false">ROUND(Q46,0)-D46</f>
        <v>1259</v>
      </c>
      <c r="F46" s="21" t="n">
        <f aca="false">IF(COUNTA(D46:E46)=0,"",SUM(D46:E46))</f>
        <v>2161</v>
      </c>
      <c r="G46" s="39" t="n">
        <f aca="false">IF(OR(F46="",F46=0),"",D46/F46)</f>
        <v>0.417399352151782</v>
      </c>
      <c r="H46" s="39" t="n">
        <f aca="false">IF(OR(F46="",F46=0),"",E46/F46)</f>
        <v>0.582600647848218</v>
      </c>
      <c r="I46" s="38" t="s">
        <v>89</v>
      </c>
      <c r="J46" s="40" t="n">
        <v>1.48763296796655</v>
      </c>
      <c r="K46" s="39" t="n">
        <f aca="false">IF(G46="","",MAX(0,G46-J46/100))</f>
        <v>0.402523022472116</v>
      </c>
      <c r="L46" s="39" t="n">
        <f aca="false">IF(G46="","",MIN(1,G46+J46/100))</f>
        <v>0.432275681831447</v>
      </c>
      <c r="M46" s="21" t="n">
        <f aca="false">IF(F46="","",ROUND(F46*J46/100,0))</f>
        <v>32</v>
      </c>
      <c r="P46" s="41" t="n">
        <v>-2.39429155498353</v>
      </c>
      <c r="Q46" s="42" t="n">
        <v>2161</v>
      </c>
      <c r="R46" s="43" t="n">
        <f aca="false">MAX(0,MIN(1,P46/100+$D$5))</f>
        <v>0.417342268114635</v>
      </c>
      <c r="S46" s="44" t="s">
        <v>96</v>
      </c>
    </row>
    <row r="47" customFormat="false" ht="15" hidden="false" customHeight="false" outlineLevel="0" collapsed="false">
      <c r="A47" s="38" t="s">
        <v>115</v>
      </c>
      <c r="B47" s="38" t="s">
        <v>128</v>
      </c>
      <c r="C47" s="38" t="s">
        <v>88</v>
      </c>
      <c r="D47" s="21" t="n">
        <f aca="false">ROUND(Q47*R47,0)</f>
        <v>486</v>
      </c>
      <c r="E47" s="21" t="n">
        <f aca="false">ROUND(Q47,0)-D47</f>
        <v>731</v>
      </c>
      <c r="F47" s="21" t="n">
        <f aca="false">IF(COUNTA(D47:E47)=0,"",SUM(D47:E47))</f>
        <v>1217</v>
      </c>
      <c r="G47" s="39" t="n">
        <f aca="false">IF(OR(F47="",F47=0),"",D47/F47)</f>
        <v>0.399342645850452</v>
      </c>
      <c r="H47" s="39" t="n">
        <f aca="false">IF(OR(F47="",F47=0),"",E47/F47)</f>
        <v>0.600657354149548</v>
      </c>
      <c r="I47" s="38" t="s">
        <v>89</v>
      </c>
      <c r="J47" s="40" t="n">
        <v>2.52713458577249</v>
      </c>
      <c r="K47" s="39" t="n">
        <f aca="false">IF(G47="","",MAX(0,G47-J47/100))</f>
        <v>0.374071299992727</v>
      </c>
      <c r="L47" s="39" t="n">
        <f aca="false">IF(G47="","",MIN(1,G47+J47/100))</f>
        <v>0.424613991708177</v>
      </c>
      <c r="M47" s="21" t="n">
        <f aca="false">IF(F47="","",ROUND(F47*J47/100,0))</f>
        <v>31</v>
      </c>
      <c r="P47" s="41" t="n">
        <v>-4.15615855709222</v>
      </c>
      <c r="Q47" s="42" t="n">
        <v>1217</v>
      </c>
      <c r="R47" s="43" t="n">
        <f aca="false">MAX(0,MIN(1,P47/100+$D$5))</f>
        <v>0.399723598093548</v>
      </c>
      <c r="S47" s="44" t="s">
        <v>90</v>
      </c>
    </row>
    <row r="48" customFormat="false" ht="15" hidden="false" customHeight="false" outlineLevel="0" collapsed="false">
      <c r="A48" s="38" t="s">
        <v>115</v>
      </c>
      <c r="B48" s="38" t="s">
        <v>129</v>
      </c>
      <c r="C48" s="38" t="s">
        <v>88</v>
      </c>
      <c r="D48" s="21" t="n">
        <f aca="false">ROUND(Q48*R48,0)</f>
        <v>774</v>
      </c>
      <c r="E48" s="21" t="n">
        <f aca="false">ROUND(Q48,0)-D48</f>
        <v>1379</v>
      </c>
      <c r="F48" s="21" t="n">
        <f aca="false">IF(COUNTA(D48:E48)=0,"",SUM(D48:E48))</f>
        <v>2153</v>
      </c>
      <c r="G48" s="39" t="n">
        <f aca="false">IF(OR(F48="",F48=0),"",D48/F48)</f>
        <v>0.359498374361356</v>
      </c>
      <c r="H48" s="39" t="n">
        <f aca="false">IF(OR(F48="",F48=0),"",E48/F48)</f>
        <v>0.640501625638644</v>
      </c>
      <c r="I48" s="38" t="s">
        <v>89</v>
      </c>
      <c r="J48" s="40" t="n">
        <v>1.48763296796655</v>
      </c>
      <c r="K48" s="39" t="n">
        <f aca="false">IF(G48="","",MAX(0,G48-J48/100))</f>
        <v>0.344622044681691</v>
      </c>
      <c r="L48" s="39" t="n">
        <f aca="false">IF(G48="","",MIN(1,G48+J48/100))</f>
        <v>0.374374704041022</v>
      </c>
      <c r="M48" s="21" t="n">
        <f aca="false">IF(F48="","",ROUND(F48*J48/100,0))</f>
        <v>32</v>
      </c>
      <c r="P48" s="41" t="n">
        <v>-8.20169028404295</v>
      </c>
      <c r="Q48" s="42" t="n">
        <v>2153</v>
      </c>
      <c r="R48" s="43" t="n">
        <f aca="false">MAX(0,MIN(1,P48/100+$D$5))</f>
        <v>0.359268280824041</v>
      </c>
      <c r="S48" s="44" t="s">
        <v>96</v>
      </c>
    </row>
    <row r="49" customFormat="false" ht="15" hidden="false" customHeight="false" outlineLevel="0" collapsed="false">
      <c r="A49" s="38" t="s">
        <v>115</v>
      </c>
      <c r="B49" s="38" t="s">
        <v>130</v>
      </c>
      <c r="C49" s="38" t="s">
        <v>88</v>
      </c>
      <c r="D49" s="21" t="n">
        <f aca="false">ROUND(Q49*R49,0)</f>
        <v>788</v>
      </c>
      <c r="E49" s="21" t="n">
        <f aca="false">ROUND(Q49,0)-D49</f>
        <v>628</v>
      </c>
      <c r="F49" s="21" t="n">
        <f aca="false">IF(COUNTA(D49:E49)=0,"",SUM(D49:E49))</f>
        <v>1416</v>
      </c>
      <c r="G49" s="39" t="n">
        <f aca="false">IF(OR(F49="",F49=0),"",D49/F49)</f>
        <v>0.556497175141243</v>
      </c>
      <c r="H49" s="39" t="n">
        <f aca="false">IF(OR(F49="",F49=0),"",E49/F49)</f>
        <v>0.443502824858757</v>
      </c>
      <c r="I49" s="38" t="s">
        <v>89</v>
      </c>
      <c r="J49" s="40" t="n">
        <v>2.52713458577249</v>
      </c>
      <c r="K49" s="39" t="n">
        <f aca="false">IF(G49="","",MAX(0,G49-J49/100))</f>
        <v>0.531225829283518</v>
      </c>
      <c r="L49" s="39" t="n">
        <f aca="false">IF(G49="","",MIN(1,G49+J49/100))</f>
        <v>0.581768520998968</v>
      </c>
      <c r="M49" s="21" t="n">
        <f aca="false">IF(F49="","",ROUND(F49*J49/100,0))</f>
        <v>36</v>
      </c>
      <c r="P49" s="41" t="n">
        <v>11.5275797218019</v>
      </c>
      <c r="Q49" s="42" t="n">
        <v>1416</v>
      </c>
      <c r="R49" s="43" t="n">
        <f aca="false">MAX(0,MIN(1,P49/100+$D$5))</f>
        <v>0.556560980882489</v>
      </c>
      <c r="S49" s="44" t="s">
        <v>90</v>
      </c>
    </row>
    <row r="50" customFormat="false" ht="15" hidden="false" customHeight="false" outlineLevel="0" collapsed="false">
      <c r="A50" s="38" t="s">
        <v>115</v>
      </c>
      <c r="B50" s="38" t="s">
        <v>131</v>
      </c>
      <c r="C50" s="38" t="s">
        <v>88</v>
      </c>
      <c r="D50" s="21" t="n">
        <f aca="false">ROUND(Q50*R50,0)</f>
        <v>3481</v>
      </c>
      <c r="E50" s="21" t="n">
        <f aca="false">ROUND(Q50,0)-D50</f>
        <v>4236</v>
      </c>
      <c r="F50" s="21" t="n">
        <f aca="false">IF(COUNTA(D50:E50)=0,"",SUM(D50:E50))</f>
        <v>7717</v>
      </c>
      <c r="G50" s="39" t="n">
        <f aca="false">IF(OR(F50="",F50=0),"",D50/F50)</f>
        <v>0.451082026694311</v>
      </c>
      <c r="H50" s="39" t="n">
        <f aca="false">IF(OR(F50="",F50=0),"",E50/F50)</f>
        <v>0.548917973305689</v>
      </c>
      <c r="I50" s="38" t="s">
        <v>89</v>
      </c>
      <c r="J50" s="40" t="n">
        <v>1.13453501956376</v>
      </c>
      <c r="K50" s="39" t="n">
        <f aca="false">IF(G50="","",MAX(0,G50-J50/100))</f>
        <v>0.439736676498674</v>
      </c>
      <c r="L50" s="39" t="n">
        <f aca="false">IF(G50="","",MIN(1,G50+J50/100))</f>
        <v>0.462427376889949</v>
      </c>
      <c r="M50" s="21" t="n">
        <f aca="false">IF(F50="","",ROUND(F50*J50/100,0))</f>
        <v>88</v>
      </c>
      <c r="P50" s="41" t="n">
        <v>0.982379290056311</v>
      </c>
      <c r="Q50" s="42" t="n">
        <v>7717</v>
      </c>
      <c r="R50" s="43" t="n">
        <f aca="false">MAX(0,MIN(1,P50/100+$D$5))</f>
        <v>0.451108976565033</v>
      </c>
      <c r="S50" s="44" t="s">
        <v>110</v>
      </c>
    </row>
    <row r="51" customFormat="false" ht="15" hidden="false" customHeight="false" outlineLevel="0" collapsed="false">
      <c r="A51" s="38" t="s">
        <v>115</v>
      </c>
      <c r="B51" s="38" t="s">
        <v>132</v>
      </c>
      <c r="C51" s="38" t="s">
        <v>88</v>
      </c>
      <c r="D51" s="21" t="n">
        <f aca="false">ROUND(Q51*R51,0)</f>
        <v>3389</v>
      </c>
      <c r="E51" s="21" t="n">
        <f aca="false">ROUND(Q51,0)-D51</f>
        <v>2979</v>
      </c>
      <c r="F51" s="21" t="n">
        <f aca="false">IF(COUNTA(D51:E51)=0,"",SUM(D51:E51))</f>
        <v>6368</v>
      </c>
      <c r="G51" s="39" t="n">
        <f aca="false">IF(OR(F51="",F51=0),"",D51/F51)</f>
        <v>0.532192211055276</v>
      </c>
      <c r="H51" s="39" t="n">
        <f aca="false">IF(OR(F51="",F51=0),"",E51/F51)</f>
        <v>0.467807788944724</v>
      </c>
      <c r="I51" s="38" t="s">
        <v>89</v>
      </c>
      <c r="J51" s="40" t="n">
        <v>1.13453501956376</v>
      </c>
      <c r="K51" s="39" t="n">
        <f aca="false">IF(G51="","",MAX(0,G51-J51/100))</f>
        <v>0.520846860859639</v>
      </c>
      <c r="L51" s="39" t="n">
        <f aca="false">IF(G51="","",MIN(1,G51+J51/100))</f>
        <v>0.543537561250914</v>
      </c>
      <c r="M51" s="21" t="n">
        <f aca="false">IF(F51="","",ROUND(F51*J51/100,0))</f>
        <v>72</v>
      </c>
      <c r="P51" s="41" t="n">
        <v>9.09651864844943</v>
      </c>
      <c r="Q51" s="42" t="n">
        <v>6368</v>
      </c>
      <c r="R51" s="43" t="n">
        <f aca="false">MAX(0,MIN(1,P51/100+$D$5))</f>
        <v>0.532250370148965</v>
      </c>
      <c r="S51" s="44" t="s">
        <v>110</v>
      </c>
    </row>
    <row r="52" customFormat="false" ht="15" hidden="false" customHeight="false" outlineLevel="0" collapsed="false">
      <c r="A52" s="38" t="s">
        <v>115</v>
      </c>
      <c r="B52" s="38" t="s">
        <v>133</v>
      </c>
      <c r="C52" s="38" t="s">
        <v>88</v>
      </c>
      <c r="D52" s="21" t="n">
        <f aca="false">ROUND(Q52*R52,0)</f>
        <v>619</v>
      </c>
      <c r="E52" s="21" t="n">
        <f aca="false">ROUND(Q52,0)-D52</f>
        <v>732</v>
      </c>
      <c r="F52" s="21" t="n">
        <f aca="false">IF(COUNTA(D52:E52)=0,"",SUM(D52:E52))</f>
        <v>1351</v>
      </c>
      <c r="G52" s="39" t="n">
        <f aca="false">IF(OR(F52="",F52=0),"",D52/F52)</f>
        <v>0.458179126572909</v>
      </c>
      <c r="H52" s="39" t="n">
        <f aca="false">IF(OR(F52="",F52=0),"",E52/F52)</f>
        <v>0.541820873427091</v>
      </c>
      <c r="I52" s="38" t="s">
        <v>89</v>
      </c>
      <c r="J52" s="40" t="n">
        <v>2.52713458577249</v>
      </c>
      <c r="K52" s="39" t="n">
        <f aca="false">IF(G52="","",MAX(0,G52-J52/100))</f>
        <v>0.432907780715184</v>
      </c>
      <c r="L52" s="39" t="n">
        <f aca="false">IF(G52="","",MIN(1,G52+J52/100))</f>
        <v>0.483450472430634</v>
      </c>
      <c r="M52" s="21" t="n">
        <f aca="false">IF(F52="","",ROUND(F52*J52/100,0))</f>
        <v>34</v>
      </c>
      <c r="P52" s="41" t="n">
        <v>1.65869562536131</v>
      </c>
      <c r="Q52" s="42" t="n">
        <v>1351</v>
      </c>
      <c r="R52" s="43" t="n">
        <f aca="false">MAX(0,MIN(1,P52/100+$D$5))</f>
        <v>0.457872139918083</v>
      </c>
      <c r="S52" s="44" t="s">
        <v>90</v>
      </c>
    </row>
    <row r="53" customFormat="false" ht="15" hidden="false" customHeight="false" outlineLevel="0" collapsed="false">
      <c r="A53" s="38" t="s">
        <v>115</v>
      </c>
      <c r="B53" s="38" t="s">
        <v>134</v>
      </c>
      <c r="C53" s="38" t="s">
        <v>88</v>
      </c>
      <c r="D53" s="21" t="n">
        <f aca="false">ROUND(Q53*R53,0)</f>
        <v>5678</v>
      </c>
      <c r="E53" s="21" t="n">
        <f aca="false">ROUND(Q53,0)-D53</f>
        <v>4441</v>
      </c>
      <c r="F53" s="21" t="n">
        <f aca="false">IF(COUNTA(D53:E53)=0,"",SUM(D53:E53))</f>
        <v>10119</v>
      </c>
      <c r="G53" s="39" t="n">
        <f aca="false">IF(OR(F53="",F53=0),"",D53/F53)</f>
        <v>0.561122640577132</v>
      </c>
      <c r="H53" s="39" t="n">
        <f aca="false">IF(OR(F53="",F53=0),"",E53/F53)</f>
        <v>0.438877359422868</v>
      </c>
      <c r="I53" s="38" t="s">
        <v>89</v>
      </c>
      <c r="J53" s="40" t="n">
        <v>1.13453501956376</v>
      </c>
      <c r="K53" s="39" t="n">
        <f aca="false">IF(G53="","",MAX(0,G53-J53/100))</f>
        <v>0.549777290381495</v>
      </c>
      <c r="L53" s="39" t="n">
        <f aca="false">IF(G53="","",MIN(1,G53+J53/100))</f>
        <v>0.57246799077277</v>
      </c>
      <c r="M53" s="21" t="n">
        <f aca="false">IF(F53="","",ROUND(F53*J53/100,0))</f>
        <v>115</v>
      </c>
      <c r="P53" s="41" t="n">
        <v>11.9833988618109</v>
      </c>
      <c r="Q53" s="42" t="n">
        <v>10119</v>
      </c>
      <c r="R53" s="43" t="n">
        <f aca="false">MAX(0,MIN(1,P53/100+$D$5))</f>
        <v>0.561119172282579</v>
      </c>
      <c r="S53" s="44" t="s">
        <v>110</v>
      </c>
    </row>
    <row r="54" customFormat="false" ht="15" hidden="false" customHeight="false" outlineLevel="0" collapsed="false">
      <c r="A54" s="38" t="s">
        <v>115</v>
      </c>
      <c r="B54" s="38" t="s">
        <v>135</v>
      </c>
      <c r="C54" s="38" t="s">
        <v>88</v>
      </c>
      <c r="D54" s="21" t="n">
        <f aca="false">ROUND(Q54*R54,0)</f>
        <v>6221</v>
      </c>
      <c r="E54" s="21" t="n">
        <f aca="false">ROUND(Q54,0)-D54</f>
        <v>5045</v>
      </c>
      <c r="F54" s="21" t="n">
        <f aca="false">IF(COUNTA(D54:E54)=0,"",SUM(D54:E54))</f>
        <v>11266</v>
      </c>
      <c r="G54" s="39" t="n">
        <f aca="false">IF(OR(F54="",F54=0),"",D54/F54)</f>
        <v>0.552192437422333</v>
      </c>
      <c r="H54" s="39" t="n">
        <f aca="false">IF(OR(F54="",F54=0),"",E54/F54)</f>
        <v>0.447807562577667</v>
      </c>
      <c r="I54" s="38" t="s">
        <v>89</v>
      </c>
      <c r="J54" s="40" t="n">
        <v>1.13453501956376</v>
      </c>
      <c r="K54" s="39" t="n">
        <f aca="false">IF(G54="","",MAX(0,G54-J54/100))</f>
        <v>0.540847087226695</v>
      </c>
      <c r="L54" s="39" t="n">
        <f aca="false">IF(G54="","",MIN(1,G54+J54/100))</f>
        <v>0.56353778761797</v>
      </c>
      <c r="M54" s="21" t="n">
        <f aca="false">IF(F54="","",ROUND(F54*J54/100,0))</f>
        <v>128</v>
      </c>
      <c r="P54" s="41" t="n">
        <v>11.0864197979405</v>
      </c>
      <c r="Q54" s="42" t="n">
        <v>11266</v>
      </c>
      <c r="R54" s="43" t="n">
        <f aca="false">MAX(0,MIN(1,P54/100+$D$5))</f>
        <v>0.552149381643875</v>
      </c>
      <c r="S54" s="44" t="s">
        <v>110</v>
      </c>
    </row>
    <row r="55" customFormat="false" ht="15" hidden="false" customHeight="false" outlineLevel="0" collapsed="false">
      <c r="A55" s="38" t="s">
        <v>115</v>
      </c>
      <c r="B55" s="38" t="s">
        <v>136</v>
      </c>
      <c r="C55" s="38" t="s">
        <v>88</v>
      </c>
      <c r="D55" s="21" t="n">
        <f aca="false">ROUND(Q55*R55,0)</f>
        <v>2172</v>
      </c>
      <c r="E55" s="21" t="n">
        <f aca="false">ROUND(Q55,0)-D55</f>
        <v>2310</v>
      </c>
      <c r="F55" s="21" t="n">
        <f aca="false">IF(COUNTA(D55:E55)=0,"",SUM(D55:E55))</f>
        <v>4482</v>
      </c>
      <c r="G55" s="39" t="n">
        <f aca="false">IF(OR(F55="",F55=0),"",D55/F55)</f>
        <v>0.484605087014726</v>
      </c>
      <c r="H55" s="39" t="n">
        <f aca="false">IF(OR(F55="",F55=0),"",E55/F55)</f>
        <v>0.515394912985274</v>
      </c>
      <c r="I55" s="38" t="s">
        <v>89</v>
      </c>
      <c r="J55" s="40" t="n">
        <v>1.13453501956376</v>
      </c>
      <c r="K55" s="39" t="n">
        <f aca="false">IF(G55="","",MAX(0,G55-J55/100))</f>
        <v>0.473259736819088</v>
      </c>
      <c r="L55" s="39" t="n">
        <f aca="false">IF(G55="","",MIN(1,G55+J55/100))</f>
        <v>0.495950437210363</v>
      </c>
      <c r="M55" s="21" t="n">
        <f aca="false">IF(F55="","",ROUND(F55*J55/100,0))</f>
        <v>51</v>
      </c>
      <c r="P55" s="41" t="n">
        <v>4.32752638825304</v>
      </c>
      <c r="Q55" s="42" t="n">
        <v>4482</v>
      </c>
      <c r="R55" s="43" t="n">
        <f aca="false">MAX(0,MIN(1,P55/100+$D$5))</f>
        <v>0.484560447547001</v>
      </c>
      <c r="S55" s="44" t="s">
        <v>110</v>
      </c>
    </row>
    <row r="56" customFormat="false" ht="15" hidden="false" customHeight="false" outlineLevel="0" collapsed="false">
      <c r="A56" s="38" t="s">
        <v>115</v>
      </c>
      <c r="B56" s="38" t="s">
        <v>137</v>
      </c>
      <c r="C56" s="38" t="s">
        <v>88</v>
      </c>
      <c r="D56" s="21" t="n">
        <f aca="false">ROUND(Q56*R56,0)</f>
        <v>4637</v>
      </c>
      <c r="E56" s="21" t="n">
        <f aca="false">ROUND(Q56,0)-D56</f>
        <v>4138</v>
      </c>
      <c r="F56" s="21" t="n">
        <f aca="false">IF(COUNTA(D56:E56)=0,"",SUM(D56:E56))</f>
        <v>8775</v>
      </c>
      <c r="G56" s="39" t="n">
        <f aca="false">IF(OR(F56="",F56=0),"",D56/F56)</f>
        <v>0.528433048433048</v>
      </c>
      <c r="H56" s="39" t="n">
        <f aca="false">IF(OR(F56="",F56=0),"",E56/F56)</f>
        <v>0.471566951566952</v>
      </c>
      <c r="I56" s="38" t="s">
        <v>89</v>
      </c>
      <c r="J56" s="40" t="n">
        <v>1.13453501956376</v>
      </c>
      <c r="K56" s="39" t="n">
        <f aca="false">IF(G56="","",MAX(0,G56-J56/100))</f>
        <v>0.517087698237411</v>
      </c>
      <c r="L56" s="39" t="n">
        <f aca="false">IF(G56="","",MIN(1,G56+J56/100))</f>
        <v>0.539778398628686</v>
      </c>
      <c r="M56" s="21" t="n">
        <f aca="false">IF(F56="","",ROUND(F56*J56/100,0))</f>
        <v>100</v>
      </c>
      <c r="P56" s="41" t="n">
        <v>8.72042198930291</v>
      </c>
      <c r="Q56" s="42" t="n">
        <v>8775</v>
      </c>
      <c r="R56" s="43" t="n">
        <f aca="false">MAX(0,MIN(1,P56/100+$D$5))</f>
        <v>0.528489403557499</v>
      </c>
      <c r="S56" s="44" t="s">
        <v>110</v>
      </c>
    </row>
    <row r="57" customFormat="false" ht="15" hidden="false" customHeight="false" outlineLevel="0" collapsed="false">
      <c r="A57" s="38" t="s">
        <v>115</v>
      </c>
      <c r="B57" s="38" t="s">
        <v>138</v>
      </c>
      <c r="C57" s="38" t="s">
        <v>88</v>
      </c>
      <c r="D57" s="21" t="n">
        <f aca="false">ROUND(Q57*R57,0)</f>
        <v>1116</v>
      </c>
      <c r="E57" s="21" t="n">
        <f aca="false">ROUND(Q57,0)-D57</f>
        <v>1890</v>
      </c>
      <c r="F57" s="21" t="n">
        <f aca="false">IF(COUNTA(D57:E57)=0,"",SUM(D57:E57))</f>
        <v>3006</v>
      </c>
      <c r="G57" s="39" t="n">
        <f aca="false">IF(OR(F57="",F57=0),"",D57/F57)</f>
        <v>0.37125748502994</v>
      </c>
      <c r="H57" s="39" t="n">
        <f aca="false">IF(OR(F57="",F57=0),"",E57/F57)</f>
        <v>0.62874251497006</v>
      </c>
      <c r="I57" s="38" t="s">
        <v>89</v>
      </c>
      <c r="J57" s="40" t="n">
        <v>1.48763296796655</v>
      </c>
      <c r="K57" s="39" t="n">
        <f aca="false">IF(G57="","",MAX(0,G57-J57/100))</f>
        <v>0.356381155350275</v>
      </c>
      <c r="L57" s="39" t="n">
        <f aca="false">IF(G57="","",MIN(1,G57+J57/100))</f>
        <v>0.386133814709606</v>
      </c>
      <c r="M57" s="21" t="n">
        <f aca="false">IF(F57="","",ROUND(F57*J57/100,0))</f>
        <v>45</v>
      </c>
      <c r="P57" s="41" t="n">
        <v>-7.00972360291474</v>
      </c>
      <c r="Q57" s="42" t="n">
        <v>3006</v>
      </c>
      <c r="R57" s="43" t="n">
        <f aca="false">MAX(0,MIN(1,P57/100+$D$5))</f>
        <v>0.371187947635323</v>
      </c>
      <c r="S57" s="44" t="s">
        <v>96</v>
      </c>
    </row>
    <row r="58" customFormat="false" ht="15" hidden="false" customHeight="false" outlineLevel="0" collapsed="false">
      <c r="A58" s="38" t="s">
        <v>115</v>
      </c>
      <c r="B58" s="38" t="s">
        <v>139</v>
      </c>
      <c r="C58" s="38" t="s">
        <v>88</v>
      </c>
      <c r="D58" s="21" t="n">
        <f aca="false">ROUND(Q58*R58,0)</f>
        <v>1055</v>
      </c>
      <c r="E58" s="21" t="n">
        <f aca="false">ROUND(Q58,0)-D58</f>
        <v>1637</v>
      </c>
      <c r="F58" s="21" t="n">
        <f aca="false">IF(COUNTA(D58:E58)=0,"",SUM(D58:E58))</f>
        <v>2692</v>
      </c>
      <c r="G58" s="39" t="n">
        <f aca="false">IF(OR(F58="",F58=0),"",D58/F58)</f>
        <v>0.391901931649331</v>
      </c>
      <c r="H58" s="39" t="n">
        <f aca="false">IF(OR(F58="",F58=0),"",E58/F58)</f>
        <v>0.608098068350669</v>
      </c>
      <c r="I58" s="38" t="s">
        <v>89</v>
      </c>
      <c r="J58" s="40" t="n">
        <v>1.48763296796655</v>
      </c>
      <c r="K58" s="39" t="n">
        <f aca="false">IF(G58="","",MAX(0,G58-J58/100))</f>
        <v>0.377025601969666</v>
      </c>
      <c r="L58" s="39" t="n">
        <f aca="false">IF(G58="","",MIN(1,G58+J58/100))</f>
        <v>0.406778261328997</v>
      </c>
      <c r="M58" s="21" t="n">
        <f aca="false">IF(F58="","",ROUND(F58*J58/100,0))</f>
        <v>40</v>
      </c>
      <c r="P58" s="41" t="n">
        <v>-4.92582213207067</v>
      </c>
      <c r="Q58" s="42" t="n">
        <v>2692</v>
      </c>
      <c r="R58" s="43" t="n">
        <f aca="false">MAX(0,MIN(1,P58/100+$D$5))</f>
        <v>0.392026962343764</v>
      </c>
      <c r="S58" s="44" t="s">
        <v>96</v>
      </c>
    </row>
    <row r="59" customFormat="false" ht="15" hidden="false" customHeight="false" outlineLevel="0" collapsed="false">
      <c r="A59" s="38" t="s">
        <v>115</v>
      </c>
      <c r="B59" s="38" t="s">
        <v>140</v>
      </c>
      <c r="C59" s="38" t="s">
        <v>88</v>
      </c>
      <c r="D59" s="21" t="n">
        <f aca="false">ROUND(Q59*R59,0)</f>
        <v>5649</v>
      </c>
      <c r="E59" s="21" t="n">
        <f aca="false">ROUND(Q59,0)-D59</f>
        <v>4643</v>
      </c>
      <c r="F59" s="21" t="n">
        <f aca="false">IF(COUNTA(D59:E59)=0,"",SUM(D59:E59))</f>
        <v>10292</v>
      </c>
      <c r="G59" s="39" t="n">
        <f aca="false">IF(OR(F59="",F59=0),"",D59/F59)</f>
        <v>0.548872910998834</v>
      </c>
      <c r="H59" s="39" t="n">
        <f aca="false">IF(OR(F59="",F59=0),"",E59/F59)</f>
        <v>0.451127089001166</v>
      </c>
      <c r="I59" s="38" t="s">
        <v>89</v>
      </c>
      <c r="J59" s="40" t="n">
        <v>1.13453501956376</v>
      </c>
      <c r="K59" s="39" t="n">
        <f aca="false">IF(G59="","",MAX(0,G59-J59/100))</f>
        <v>0.537527560803196</v>
      </c>
      <c r="L59" s="39" t="n">
        <f aca="false">IF(G59="","",MIN(1,G59+J59/100))</f>
        <v>0.560218261194472</v>
      </c>
      <c r="M59" s="21" t="n">
        <f aca="false">IF(F59="","",ROUND(F59*J59/100,0))</f>
        <v>117</v>
      </c>
      <c r="P59" s="41" t="n">
        <v>10.7568567922539</v>
      </c>
      <c r="Q59" s="42" t="n">
        <v>10292</v>
      </c>
      <c r="R59" s="43" t="n">
        <f aca="false">MAX(0,MIN(1,P59/100+$D$5))</f>
        <v>0.54885375158701</v>
      </c>
      <c r="S59" s="44" t="s">
        <v>110</v>
      </c>
    </row>
    <row r="60" customFormat="false" ht="15" hidden="false" customHeight="false" outlineLevel="0" collapsed="false">
      <c r="A60" s="38" t="s">
        <v>141</v>
      </c>
      <c r="B60" s="38" t="s">
        <v>142</v>
      </c>
      <c r="C60" s="38" t="s">
        <v>88</v>
      </c>
      <c r="D60" s="21" t="n">
        <f aca="false">ROUND(Q60*R60,0)</f>
        <v>411</v>
      </c>
      <c r="E60" s="21" t="n">
        <f aca="false">ROUND(Q60,0)-D60</f>
        <v>774</v>
      </c>
      <c r="F60" s="21" t="n">
        <f aca="false">IF(COUNTA(D60:E60)=0,"",SUM(D60:E60))</f>
        <v>1185</v>
      </c>
      <c r="G60" s="39" t="n">
        <f aca="false">IF(OR(F60="",F60=0),"",D60/F60)</f>
        <v>0.346835443037975</v>
      </c>
      <c r="H60" s="39" t="n">
        <f aca="false">IF(OR(F60="",F60=0),"",E60/F60)</f>
        <v>0.653164556962025</v>
      </c>
      <c r="I60" s="38" t="s">
        <v>89</v>
      </c>
      <c r="J60" s="40" t="n">
        <v>2.52713458577249</v>
      </c>
      <c r="K60" s="39" t="n">
        <f aca="false">IF(G60="","",MAX(0,G60-J60/100))</f>
        <v>0.32156409718025</v>
      </c>
      <c r="L60" s="39" t="n">
        <f aca="false">IF(G60="","",MIN(1,G60+J60/100))</f>
        <v>0.3721067888957</v>
      </c>
      <c r="M60" s="21" t="n">
        <f aca="false">IF(F60="","",ROUND(F60*J60/100,0))</f>
        <v>30</v>
      </c>
      <c r="P60" s="41" t="n">
        <v>-9.43130270698304</v>
      </c>
      <c r="Q60" s="42" t="n">
        <v>1185</v>
      </c>
      <c r="R60" s="43" t="n">
        <f aca="false">MAX(0,MIN(1,P60/100+$D$5))</f>
        <v>0.34697215659464</v>
      </c>
      <c r="S60" s="44" t="s">
        <v>90</v>
      </c>
    </row>
    <row r="61" customFormat="false" ht="15" hidden="false" customHeight="false" outlineLevel="0" collapsed="false">
      <c r="A61" s="38" t="s">
        <v>141</v>
      </c>
      <c r="B61" s="38" t="s">
        <v>143</v>
      </c>
      <c r="C61" s="38" t="s">
        <v>88</v>
      </c>
      <c r="D61" s="21" t="n">
        <f aca="false">ROUND(Q61*R61,0)</f>
        <v>1121</v>
      </c>
      <c r="E61" s="21" t="n">
        <f aca="false">ROUND(Q61,0)-D61</f>
        <v>1884</v>
      </c>
      <c r="F61" s="21" t="n">
        <f aca="false">IF(COUNTA(D61:E61)=0,"",SUM(D61:E61))</f>
        <v>3005</v>
      </c>
      <c r="G61" s="39" t="n">
        <f aca="false">IF(OR(F61="",F61=0),"",D61/F61)</f>
        <v>0.373044925124792</v>
      </c>
      <c r="H61" s="39" t="n">
        <f aca="false">IF(OR(F61="",F61=0),"",E61/F61)</f>
        <v>0.626955074875208</v>
      </c>
      <c r="I61" s="38" t="s">
        <v>89</v>
      </c>
      <c r="J61" s="40" t="n">
        <v>1.48763296796655</v>
      </c>
      <c r="K61" s="39" t="n">
        <f aca="false">IF(G61="","",MAX(0,G61-J61/100))</f>
        <v>0.358168595445127</v>
      </c>
      <c r="L61" s="39" t="n">
        <f aca="false">IF(G61="","",MIN(1,G61+J61/100))</f>
        <v>0.387921254804458</v>
      </c>
      <c r="M61" s="21" t="n">
        <f aca="false">IF(F61="","",ROUND(F61*J61/100,0))</f>
        <v>45</v>
      </c>
      <c r="P61" s="41" t="n">
        <v>-6.83094079255657</v>
      </c>
      <c r="Q61" s="42" t="n">
        <v>3005</v>
      </c>
      <c r="R61" s="43" t="n">
        <f aca="false">MAX(0,MIN(1,P61/100+$D$5))</f>
        <v>0.372975775738905</v>
      </c>
      <c r="S61" s="44" t="s">
        <v>96</v>
      </c>
    </row>
    <row r="62" customFormat="false" ht="15" hidden="false" customHeight="false" outlineLevel="0" collapsed="false">
      <c r="A62" s="38" t="s">
        <v>141</v>
      </c>
      <c r="B62" s="38" t="s">
        <v>144</v>
      </c>
      <c r="C62" s="38" t="s">
        <v>88</v>
      </c>
      <c r="D62" s="21" t="n">
        <f aca="false">ROUND(Q62*R62,0)</f>
        <v>417</v>
      </c>
      <c r="E62" s="21" t="n">
        <f aca="false">ROUND(Q62,0)-D62</f>
        <v>695</v>
      </c>
      <c r="F62" s="21" t="n">
        <f aca="false">IF(COUNTA(D62:E62)=0,"",SUM(D62:E62))</f>
        <v>1112</v>
      </c>
      <c r="G62" s="39" t="n">
        <f aca="false">IF(OR(F62="",F62=0),"",D62/F62)</f>
        <v>0.375</v>
      </c>
      <c r="H62" s="39" t="n">
        <f aca="false">IF(OR(F62="",F62=0),"",E62/F62)</f>
        <v>0.625</v>
      </c>
      <c r="I62" s="38" t="s">
        <v>89</v>
      </c>
      <c r="J62" s="40" t="n">
        <v>2.52713458577249</v>
      </c>
      <c r="K62" s="39" t="n">
        <f aca="false">IF(G62="","",MAX(0,G62-J62/100))</f>
        <v>0.349728654142275</v>
      </c>
      <c r="L62" s="39" t="n">
        <f aca="false">IF(G62="","",MIN(1,G62+J62/100))</f>
        <v>0.400271345857725</v>
      </c>
      <c r="M62" s="21" t="n">
        <f aca="false">IF(F62="","",ROUND(F62*J62/100,0))</f>
        <v>28</v>
      </c>
      <c r="P62" s="41" t="n">
        <v>-6.60127786290231</v>
      </c>
      <c r="Q62" s="42" t="n">
        <v>1112</v>
      </c>
      <c r="R62" s="43" t="n">
        <f aca="false">MAX(0,MIN(1,P62/100+$D$5))</f>
        <v>0.375272405035447</v>
      </c>
      <c r="S62" s="44" t="s">
        <v>90</v>
      </c>
    </row>
    <row r="63" customFormat="false" ht="15" hidden="false" customHeight="false" outlineLevel="0" collapsed="false">
      <c r="A63" s="38" t="s">
        <v>145</v>
      </c>
      <c r="B63" s="38" t="s">
        <v>146</v>
      </c>
      <c r="C63" s="38" t="s">
        <v>88</v>
      </c>
      <c r="D63" s="21" t="n">
        <f aca="false">ROUND(Q63*R63,0)</f>
        <v>1243</v>
      </c>
      <c r="E63" s="21" t="n">
        <f aca="false">ROUND(Q63,0)-D63</f>
        <v>1357</v>
      </c>
      <c r="F63" s="21" t="n">
        <f aca="false">IF(COUNTA(D63:E63)=0,"",SUM(D63:E63))</f>
        <v>2600</v>
      </c>
      <c r="G63" s="39" t="n">
        <f aca="false">IF(OR(F63="",F63=0),"",D63/F63)</f>
        <v>0.478076923076923</v>
      </c>
      <c r="H63" s="39" t="n">
        <f aca="false">IF(OR(F63="",F63=0),"",E63/F63)</f>
        <v>0.521923076923077</v>
      </c>
      <c r="I63" s="38" t="s">
        <v>89</v>
      </c>
      <c r="J63" s="40" t="n">
        <v>1.48763296796655</v>
      </c>
      <c r="K63" s="39" t="n">
        <f aca="false">IF(G63="","",MAX(0,G63-J63/100))</f>
        <v>0.463200593397258</v>
      </c>
      <c r="L63" s="39" t="n">
        <f aca="false">IF(G63="","",MIN(1,G63+J63/100))</f>
        <v>0.492953252756589</v>
      </c>
      <c r="M63" s="21" t="n">
        <f aca="false">IF(F63="","",ROUND(F63*J63/100,0))</f>
        <v>39</v>
      </c>
      <c r="P63" s="41" t="n">
        <v>3.66414055623079</v>
      </c>
      <c r="Q63" s="42" t="n">
        <v>2600</v>
      </c>
      <c r="R63" s="43" t="n">
        <f aca="false">MAX(0,MIN(1,P63/100+$D$5))</f>
        <v>0.477926589226778</v>
      </c>
      <c r="S63" s="44" t="s">
        <v>96</v>
      </c>
    </row>
    <row r="64" customFormat="false" ht="15" hidden="false" customHeight="false" outlineLevel="0" collapsed="false">
      <c r="A64" s="38" t="s">
        <v>145</v>
      </c>
      <c r="B64" s="38" t="s">
        <v>147</v>
      </c>
      <c r="C64" s="38" t="s">
        <v>88</v>
      </c>
      <c r="D64" s="21" t="n">
        <f aca="false">ROUND(Q64*R64,0)</f>
        <v>747</v>
      </c>
      <c r="E64" s="21" t="n">
        <f aca="false">ROUND(Q64,0)-D64</f>
        <v>910</v>
      </c>
      <c r="F64" s="21" t="n">
        <f aca="false">IF(COUNTA(D64:E64)=0,"",SUM(D64:E64))</f>
        <v>1657</v>
      </c>
      <c r="G64" s="39" t="n">
        <f aca="false">IF(OR(F64="",F64=0),"",D64/F64)</f>
        <v>0.450814725407363</v>
      </c>
      <c r="H64" s="39" t="n">
        <f aca="false">IF(OR(F64="",F64=0),"",E64/F64)</f>
        <v>0.549185274592637</v>
      </c>
      <c r="I64" s="38" t="s">
        <v>89</v>
      </c>
      <c r="J64" s="40" t="n">
        <v>1.48763296796655</v>
      </c>
      <c r="K64" s="39" t="n">
        <f aca="false">IF(G64="","",MAX(0,G64-J64/100))</f>
        <v>0.435938395727697</v>
      </c>
      <c r="L64" s="39" t="n">
        <f aca="false">IF(G64="","",MIN(1,G64+J64/100))</f>
        <v>0.465691055087028</v>
      </c>
      <c r="M64" s="21" t="n">
        <f aca="false">IF(F64="","",ROUND(F64*J64/100,0))</f>
        <v>25</v>
      </c>
      <c r="P64" s="41" t="n">
        <v>0.928642348984008</v>
      </c>
      <c r="Q64" s="42" t="n">
        <v>1657</v>
      </c>
      <c r="R64" s="43" t="n">
        <f aca="false">MAX(0,MIN(1,P64/100+$D$5))</f>
        <v>0.45057160715431</v>
      </c>
      <c r="S64" s="44" t="s">
        <v>96</v>
      </c>
    </row>
    <row r="65" customFormat="false" ht="15" hidden="false" customHeight="false" outlineLevel="0" collapsed="false">
      <c r="A65" s="38" t="s">
        <v>145</v>
      </c>
      <c r="B65" s="38" t="s">
        <v>148</v>
      </c>
      <c r="C65" s="38" t="s">
        <v>88</v>
      </c>
      <c r="D65" s="21" t="n">
        <f aca="false">ROUND(Q65*R65,0)</f>
        <v>481</v>
      </c>
      <c r="E65" s="21" t="n">
        <f aca="false">ROUND(Q65,0)-D65</f>
        <v>473</v>
      </c>
      <c r="F65" s="21" t="n">
        <f aca="false">IF(COUNTA(D65:E65)=0,"",SUM(D65:E65))</f>
        <v>954</v>
      </c>
      <c r="G65" s="39" t="n">
        <f aca="false">IF(OR(F65="",F65=0),"",D65/F65)</f>
        <v>0.5041928721174</v>
      </c>
      <c r="H65" s="39" t="n">
        <f aca="false">IF(OR(F65="",F65=0),"",E65/F65)</f>
        <v>0.4958071278826</v>
      </c>
      <c r="I65" s="38" t="s">
        <v>89</v>
      </c>
      <c r="J65" s="40" t="n">
        <v>2.52713458577249</v>
      </c>
      <c r="K65" s="39" t="n">
        <f aca="false">IF(G65="","",MAX(0,G65-J65/100))</f>
        <v>0.478921526259676</v>
      </c>
      <c r="L65" s="39" t="n">
        <f aca="false">IF(G65="","",MIN(1,G65+J65/100))</f>
        <v>0.529464217975125</v>
      </c>
      <c r="M65" s="21" t="n">
        <f aca="false">IF(F65="","",ROUND(F65*J65/100,0))</f>
        <v>24</v>
      </c>
      <c r="P65" s="41" t="n">
        <v>6.33406560905899</v>
      </c>
      <c r="Q65" s="42" t="n">
        <v>954</v>
      </c>
      <c r="R65" s="43" t="n">
        <f aca="false">MAX(0,MIN(1,P65/100+$D$5))</f>
        <v>0.50462583975506</v>
      </c>
      <c r="S65" s="44" t="s">
        <v>90</v>
      </c>
    </row>
    <row r="66" customFormat="false" ht="15" hidden="false" customHeight="false" outlineLevel="0" collapsed="false">
      <c r="A66" s="38" t="s">
        <v>145</v>
      </c>
      <c r="B66" s="38" t="s">
        <v>118</v>
      </c>
      <c r="C66" s="38" t="s">
        <v>88</v>
      </c>
      <c r="D66" s="21" t="n">
        <f aca="false">ROUND(Q66*R66,0)</f>
        <v>12660</v>
      </c>
      <c r="E66" s="21" t="n">
        <f aca="false">ROUND(Q66,0)-D66</f>
        <v>5434</v>
      </c>
      <c r="F66" s="21" t="n">
        <f aca="false">IF(COUNTA(D66:E66)=0,"",SUM(D66:E66))</f>
        <v>18094</v>
      </c>
      <c r="G66" s="39" t="n">
        <f aca="false">IF(OR(F66="",F66=0),"",D66/F66)</f>
        <v>0.699679451751962</v>
      </c>
      <c r="H66" s="39" t="n">
        <f aca="false">IF(OR(F66="",F66=0),"",E66/F66)</f>
        <v>0.300320548248038</v>
      </c>
      <c r="I66" s="38" t="s">
        <v>89</v>
      </c>
      <c r="J66" s="40" t="n">
        <v>1.13453501956376</v>
      </c>
      <c r="K66" s="39" t="n">
        <f aca="false">IF(G66="","",MAX(0,G66-J66/100))</f>
        <v>0.688334101556324</v>
      </c>
      <c r="L66" s="39" t="n">
        <f aca="false">IF(G66="","",MIN(1,G66+J66/100))</f>
        <v>0.7110248019476</v>
      </c>
      <c r="M66" s="21" t="n">
        <f aca="false">IF(F66="","",ROUND(F66*J66/100,0))</f>
        <v>205</v>
      </c>
      <c r="P66" s="41" t="n">
        <v>25.8412911276482</v>
      </c>
      <c r="Q66" s="42" t="n">
        <v>18094</v>
      </c>
      <c r="R66" s="43" t="n">
        <f aca="false">MAX(0,MIN(1,P66/100+$D$5))</f>
        <v>0.699698094940952</v>
      </c>
      <c r="S66" s="44" t="s">
        <v>110</v>
      </c>
    </row>
    <row r="67" customFormat="false" ht="15" hidden="false" customHeight="false" outlineLevel="0" collapsed="false">
      <c r="A67" s="38" t="s">
        <v>145</v>
      </c>
      <c r="B67" s="38" t="s">
        <v>149</v>
      </c>
      <c r="C67" s="38" t="s">
        <v>88</v>
      </c>
      <c r="D67" s="21" t="n">
        <f aca="false">ROUND(Q67*R67,0)</f>
        <v>6852</v>
      </c>
      <c r="E67" s="21" t="n">
        <f aca="false">ROUND(Q67,0)-D67</f>
        <v>5391</v>
      </c>
      <c r="F67" s="21" t="n">
        <f aca="false">IF(COUNTA(D67:E67)=0,"",SUM(D67:E67))</f>
        <v>12243</v>
      </c>
      <c r="G67" s="39" t="n">
        <f aca="false">IF(OR(F67="",F67=0),"",D67/F67)</f>
        <v>0.559666748345994</v>
      </c>
      <c r="H67" s="39" t="n">
        <f aca="false">IF(OR(F67="",F67=0),"",E67/F67)</f>
        <v>0.440333251654006</v>
      </c>
      <c r="I67" s="38" t="s">
        <v>89</v>
      </c>
      <c r="J67" s="40" t="n">
        <v>1.13453501956376</v>
      </c>
      <c r="K67" s="39" t="n">
        <f aca="false">IF(G67="","",MAX(0,G67-J67/100))</f>
        <v>0.548321398150356</v>
      </c>
      <c r="L67" s="39" t="n">
        <f aca="false">IF(G67="","",MIN(1,G67+J67/100))</f>
        <v>0.571012098541631</v>
      </c>
      <c r="M67" s="21" t="n">
        <f aca="false">IF(F67="","",ROUND(F67*J67/100,0))</f>
        <v>139</v>
      </c>
      <c r="P67" s="41" t="n">
        <v>11.8398644588889</v>
      </c>
      <c r="Q67" s="42" t="n">
        <v>12243</v>
      </c>
      <c r="R67" s="43" t="n">
        <f aca="false">MAX(0,MIN(1,P67/100+$D$5))</f>
        <v>0.559683828253359</v>
      </c>
      <c r="S67" s="44" t="s">
        <v>110</v>
      </c>
    </row>
    <row r="68" customFormat="false" ht="15" hidden="false" customHeight="false" outlineLevel="0" collapsed="false">
      <c r="A68" s="38" t="s">
        <v>145</v>
      </c>
      <c r="B68" s="38" t="s">
        <v>150</v>
      </c>
      <c r="C68" s="38" t="s">
        <v>88</v>
      </c>
      <c r="D68" s="21" t="n">
        <f aca="false">ROUND(Q68*R68,0)</f>
        <v>1875</v>
      </c>
      <c r="E68" s="21" t="n">
        <f aca="false">ROUND(Q68,0)-D68</f>
        <v>2524</v>
      </c>
      <c r="F68" s="21" t="n">
        <f aca="false">IF(COUNTA(D68:E68)=0,"",SUM(D68:E68))</f>
        <v>4399</v>
      </c>
      <c r="G68" s="39" t="n">
        <f aca="false">IF(OR(F68="",F68=0),"",D68/F68)</f>
        <v>0.426233234826097</v>
      </c>
      <c r="H68" s="39" t="n">
        <f aca="false">IF(OR(F68="",F68=0),"",E68/F68)</f>
        <v>0.573766765173903</v>
      </c>
      <c r="I68" s="38" t="s">
        <v>89</v>
      </c>
      <c r="J68" s="40" t="n">
        <v>1.13453501956376</v>
      </c>
      <c r="K68" s="39" t="n">
        <f aca="false">IF(G68="","",MAX(0,G68-J68/100))</f>
        <v>0.414887884630459</v>
      </c>
      <c r="L68" s="39" t="n">
        <f aca="false">IF(G68="","",MIN(1,G68+J68/100))</f>
        <v>0.437578585021734</v>
      </c>
      <c r="M68" s="21" t="n">
        <f aca="false">IF(F68="","",ROUND(F68*J68/100,0))</f>
        <v>50</v>
      </c>
      <c r="P68" s="41" t="n">
        <v>-1.51408736946939</v>
      </c>
      <c r="Q68" s="42" t="n">
        <v>4399</v>
      </c>
      <c r="R68" s="43" t="n">
        <f aca="false">MAX(0,MIN(1,P68/100+$D$5))</f>
        <v>0.426144309969776</v>
      </c>
      <c r="S68" s="44" t="s">
        <v>110</v>
      </c>
    </row>
    <row r="69" customFormat="false" ht="15" hidden="false" customHeight="false" outlineLevel="0" collapsed="false">
      <c r="A69" s="38" t="s">
        <v>145</v>
      </c>
      <c r="B69" s="38" t="s">
        <v>151</v>
      </c>
      <c r="C69" s="38" t="s">
        <v>88</v>
      </c>
      <c r="D69" s="21" t="n">
        <f aca="false">ROUND(Q69*R69,0)</f>
        <v>33</v>
      </c>
      <c r="E69" s="21" t="n">
        <f aca="false">ROUND(Q69,0)-D69</f>
        <v>53</v>
      </c>
      <c r="F69" s="21" t="n">
        <f aca="false">IF(COUNTA(D69:E69)=0,"",SUM(D69:E69))</f>
        <v>86</v>
      </c>
      <c r="G69" s="39" t="n">
        <f aca="false">IF(OR(F69="",F69=0),"",D69/F69)</f>
        <v>0.383720930232558</v>
      </c>
      <c r="H69" s="39" t="n">
        <f aca="false">IF(OR(F69="",F69=0),"",E69/F69)</f>
        <v>0.616279069767442</v>
      </c>
      <c r="I69" s="38" t="s">
        <v>89</v>
      </c>
      <c r="J69" s="40" t="n">
        <v>2.52713458577249</v>
      </c>
      <c r="K69" s="39" t="n">
        <f aca="false">IF(G69="","",MAX(0,G69-J69/100))</f>
        <v>0.358449584374833</v>
      </c>
      <c r="L69" s="39" t="n">
        <f aca="false">IF(G69="","",MIN(1,G69+J69/100))</f>
        <v>0.408992276090283</v>
      </c>
      <c r="M69" s="21" t="n">
        <f aca="false">IF(F69="","",ROUND(F69*J69/100,0))</f>
        <v>2</v>
      </c>
      <c r="P69" s="41" t="n">
        <v>-5.35723724984915</v>
      </c>
      <c r="Q69" s="42" t="n">
        <v>86</v>
      </c>
      <c r="R69" s="43" t="n">
        <f aca="false">MAX(0,MIN(1,P69/100+$D$5))</f>
        <v>0.387712811165979</v>
      </c>
      <c r="S69" s="44" t="s">
        <v>90</v>
      </c>
    </row>
    <row r="70" customFormat="false" ht="15" hidden="false" customHeight="false" outlineLevel="0" collapsed="false">
      <c r="A70" s="38" t="s">
        <v>145</v>
      </c>
      <c r="B70" s="38" t="s">
        <v>152</v>
      </c>
      <c r="C70" s="38" t="s">
        <v>88</v>
      </c>
      <c r="D70" s="21" t="n">
        <f aca="false">ROUND(Q70*R70,0)</f>
        <v>1182</v>
      </c>
      <c r="E70" s="21" t="n">
        <f aca="false">ROUND(Q70,0)-D70</f>
        <v>1335</v>
      </c>
      <c r="F70" s="21" t="n">
        <f aca="false">IF(COUNTA(D70:E70)=0,"",SUM(D70:E70))</f>
        <v>2517</v>
      </c>
      <c r="G70" s="39" t="n">
        <f aca="false">IF(OR(F70="",F70=0),"",D70/F70)</f>
        <v>0.469606674612634</v>
      </c>
      <c r="H70" s="39" t="n">
        <f aca="false">IF(OR(F70="",F70=0),"",E70/F70)</f>
        <v>0.530393325387366</v>
      </c>
      <c r="I70" s="38" t="s">
        <v>89</v>
      </c>
      <c r="J70" s="40" t="n">
        <v>1.48763296796655</v>
      </c>
      <c r="K70" s="39" t="n">
        <f aca="false">IF(G70="","",MAX(0,G70-J70/100))</f>
        <v>0.454730344932969</v>
      </c>
      <c r="L70" s="39" t="n">
        <f aca="false">IF(G70="","",MIN(1,G70+J70/100))</f>
        <v>0.4844830042923</v>
      </c>
      <c r="M70" s="21" t="n">
        <f aca="false">IF(F70="","",ROUND(F70*J70/100,0))</f>
        <v>37</v>
      </c>
      <c r="P70" s="41" t="n">
        <v>2.84353863089873</v>
      </c>
      <c r="Q70" s="42" t="n">
        <v>2517</v>
      </c>
      <c r="R70" s="43" t="n">
        <f aca="false">MAX(0,MIN(1,P70/100+$D$5))</f>
        <v>0.469720569973458</v>
      </c>
      <c r="S70" s="44" t="s">
        <v>96</v>
      </c>
    </row>
    <row r="71" customFormat="false" ht="15" hidden="false" customHeight="false" outlineLevel="0" collapsed="false">
      <c r="A71" s="38" t="s">
        <v>145</v>
      </c>
      <c r="B71" s="38" t="s">
        <v>153</v>
      </c>
      <c r="C71" s="38" t="s">
        <v>88</v>
      </c>
      <c r="D71" s="21" t="n">
        <f aca="false">ROUND(Q71*R71,0)</f>
        <v>154</v>
      </c>
      <c r="E71" s="21" t="n">
        <f aca="false">ROUND(Q71,0)-D71</f>
        <v>197</v>
      </c>
      <c r="F71" s="21" t="n">
        <f aca="false">IF(COUNTA(D71:E71)=0,"",SUM(D71:E71))</f>
        <v>351</v>
      </c>
      <c r="G71" s="39" t="n">
        <f aca="false">IF(OR(F71="",F71=0),"",D71/F71)</f>
        <v>0.438746438746439</v>
      </c>
      <c r="H71" s="39" t="n">
        <f aca="false">IF(OR(F71="",F71=0),"",E71/F71)</f>
        <v>0.561253561253561</v>
      </c>
      <c r="I71" s="38" t="s">
        <v>89</v>
      </c>
      <c r="J71" s="40" t="n">
        <v>2.52713458577249</v>
      </c>
      <c r="K71" s="39" t="n">
        <f aca="false">IF(G71="","",MAX(0,G71-J71/100))</f>
        <v>0.413475092888714</v>
      </c>
      <c r="L71" s="39" t="n">
        <f aca="false">IF(G71="","",MIN(1,G71+J71/100))</f>
        <v>0.464017784604164</v>
      </c>
      <c r="M71" s="21" t="n">
        <f aca="false">IF(F71="","",ROUND(F71*J71/100,0))</f>
        <v>9</v>
      </c>
      <c r="P71" s="41" t="n">
        <v>-0.208646432843695</v>
      </c>
      <c r="Q71" s="42" t="n">
        <v>351</v>
      </c>
      <c r="R71" s="43" t="n">
        <f aca="false">MAX(0,MIN(1,P71/100+$D$5))</f>
        <v>0.439198719336033</v>
      </c>
      <c r="S71" s="44" t="s">
        <v>90</v>
      </c>
    </row>
    <row r="72" customFormat="false" ht="15" hidden="false" customHeight="false" outlineLevel="0" collapsed="false">
      <c r="A72" s="38" t="s">
        <v>145</v>
      </c>
      <c r="B72" s="38" t="s">
        <v>154</v>
      </c>
      <c r="C72" s="38" t="s">
        <v>88</v>
      </c>
      <c r="D72" s="21" t="n">
        <f aca="false">ROUND(Q72*R72,0)</f>
        <v>5055</v>
      </c>
      <c r="E72" s="21" t="n">
        <f aca="false">ROUND(Q72,0)-D72</f>
        <v>2038</v>
      </c>
      <c r="F72" s="21" t="n">
        <f aca="false">IF(COUNTA(D72:E72)=0,"",SUM(D72:E72))</f>
        <v>7093</v>
      </c>
      <c r="G72" s="39" t="n">
        <f aca="false">IF(OR(F72="",F72=0),"",D72/F72)</f>
        <v>0.71267446778514</v>
      </c>
      <c r="H72" s="39" t="n">
        <f aca="false">IF(OR(F72="",F72=0),"",E72/F72)</f>
        <v>0.28732553221486</v>
      </c>
      <c r="I72" s="38" t="s">
        <v>89</v>
      </c>
      <c r="J72" s="40" t="n">
        <v>1.13453501956376</v>
      </c>
      <c r="K72" s="39" t="n">
        <f aca="false">IF(G72="","",MAX(0,G72-J72/100))</f>
        <v>0.701329117589503</v>
      </c>
      <c r="L72" s="39" t="n">
        <f aca="false">IF(G72="","",MIN(1,G72+J72/100))</f>
        <v>0.724019817980778</v>
      </c>
      <c r="M72" s="21" t="n">
        <f aca="false">IF(F72="","",ROUND(F72*J72/100,0))</f>
        <v>80</v>
      </c>
      <c r="P72" s="41" t="n">
        <v>27.1323571494524</v>
      </c>
      <c r="Q72" s="42" t="n">
        <v>7093</v>
      </c>
      <c r="R72" s="43" t="n">
        <f aca="false">MAX(0,MIN(1,P72/100+$D$5))</f>
        <v>0.712608755158995</v>
      </c>
      <c r="S72" s="44" t="s">
        <v>110</v>
      </c>
    </row>
    <row r="73" customFormat="false" ht="15" hidden="false" customHeight="false" outlineLevel="0" collapsed="false">
      <c r="A73" s="38" t="s">
        <v>145</v>
      </c>
      <c r="B73" s="38" t="s">
        <v>155</v>
      </c>
      <c r="C73" s="38" t="s">
        <v>88</v>
      </c>
      <c r="D73" s="21" t="n">
        <f aca="false">ROUND(Q73*R73,0)</f>
        <v>4384</v>
      </c>
      <c r="E73" s="21" t="n">
        <f aca="false">ROUND(Q73,0)-D73</f>
        <v>3556</v>
      </c>
      <c r="F73" s="21" t="n">
        <f aca="false">IF(COUNTA(D73:E73)=0,"",SUM(D73:E73))</f>
        <v>7940</v>
      </c>
      <c r="G73" s="39" t="n">
        <f aca="false">IF(OR(F73="",F73=0),"",D73/F73)</f>
        <v>0.552141057934509</v>
      </c>
      <c r="H73" s="39" t="n">
        <f aca="false">IF(OR(F73="",F73=0),"",E73/F73)</f>
        <v>0.447858942065491</v>
      </c>
      <c r="I73" s="38" t="s">
        <v>89</v>
      </c>
      <c r="J73" s="40" t="n">
        <v>1.13453501956376</v>
      </c>
      <c r="K73" s="39" t="n">
        <f aca="false">IF(G73="","",MAX(0,G73-J73/100))</f>
        <v>0.540795707738871</v>
      </c>
      <c r="L73" s="39" t="n">
        <f aca="false">IF(G73="","",MIN(1,G73+J73/100))</f>
        <v>0.563486408130147</v>
      </c>
      <c r="M73" s="21" t="n">
        <f aca="false">IF(F73="","",ROUND(F73*J73/100,0))</f>
        <v>90</v>
      </c>
      <c r="P73" s="41" t="n">
        <v>11.0893205746994</v>
      </c>
      <c r="Q73" s="42" t="n">
        <v>7940</v>
      </c>
      <c r="R73" s="43" t="n">
        <f aca="false">MAX(0,MIN(1,P73/100+$D$5))</f>
        <v>0.552178389411464</v>
      </c>
      <c r="S73" s="44" t="s">
        <v>110</v>
      </c>
    </row>
    <row r="74" customFormat="false" ht="15" hidden="false" customHeight="false" outlineLevel="0" collapsed="false">
      <c r="A74" s="38" t="s">
        <v>145</v>
      </c>
      <c r="B74" s="38" t="s">
        <v>156</v>
      </c>
      <c r="C74" s="38" t="s">
        <v>88</v>
      </c>
      <c r="D74" s="21" t="n">
        <f aca="false">ROUND(Q74*R74,0)</f>
        <v>507</v>
      </c>
      <c r="E74" s="21" t="n">
        <f aca="false">ROUND(Q74,0)-D74</f>
        <v>303</v>
      </c>
      <c r="F74" s="21" t="n">
        <f aca="false">IF(COUNTA(D74:E74)=0,"",SUM(D74:E74))</f>
        <v>810</v>
      </c>
      <c r="G74" s="39" t="n">
        <f aca="false">IF(OR(F74="",F74=0),"",D74/F74)</f>
        <v>0.625925925925926</v>
      </c>
      <c r="H74" s="39" t="n">
        <f aca="false">IF(OR(F74="",F74=0),"",E74/F74)</f>
        <v>0.374074074074074</v>
      </c>
      <c r="I74" s="38" t="s">
        <v>89</v>
      </c>
      <c r="J74" s="40" t="n">
        <v>2.52713458577249</v>
      </c>
      <c r="K74" s="39" t="n">
        <f aca="false">IF(G74="","",MAX(0,G74-J74/100))</f>
        <v>0.600654580068201</v>
      </c>
      <c r="L74" s="39" t="n">
        <f aca="false">IF(G74="","",MIN(1,G74+J74/100))</f>
        <v>0.651197271783651</v>
      </c>
      <c r="M74" s="21" t="n">
        <f aca="false">IF(F74="","",ROUND(F74*J74/100,0))</f>
        <v>20</v>
      </c>
      <c r="P74" s="41" t="n">
        <v>18.4491978849235</v>
      </c>
      <c r="Q74" s="42" t="n">
        <v>810</v>
      </c>
      <c r="R74" s="43" t="n">
        <f aca="false">MAX(0,MIN(1,P74/100+$D$5))</f>
        <v>0.625777162513705</v>
      </c>
      <c r="S74" s="44" t="s">
        <v>90</v>
      </c>
    </row>
    <row r="75" customFormat="false" ht="15" hidden="false" customHeight="false" outlineLevel="0" collapsed="false">
      <c r="A75" s="38" t="s">
        <v>145</v>
      </c>
      <c r="B75" s="38" t="s">
        <v>157</v>
      </c>
      <c r="C75" s="38" t="s">
        <v>88</v>
      </c>
      <c r="D75" s="21" t="n">
        <f aca="false">ROUND(Q75*R75,0)</f>
        <v>77</v>
      </c>
      <c r="E75" s="21" t="n">
        <f aca="false">ROUND(Q75,0)-D75</f>
        <v>64</v>
      </c>
      <c r="F75" s="21" t="n">
        <f aca="false">IF(COUNTA(D75:E75)=0,"",SUM(D75:E75))</f>
        <v>141</v>
      </c>
      <c r="G75" s="39" t="n">
        <f aca="false">IF(OR(F75="",F75=0),"",D75/F75)</f>
        <v>0.546099290780142</v>
      </c>
      <c r="H75" s="39" t="n">
        <f aca="false">IF(OR(F75="",F75=0),"",E75/F75)</f>
        <v>0.453900709219858</v>
      </c>
      <c r="I75" s="38" t="s">
        <v>89</v>
      </c>
      <c r="J75" s="40" t="n">
        <v>2.52713458577249</v>
      </c>
      <c r="K75" s="39" t="n">
        <f aca="false">IF(G75="","",MAX(0,G75-J75/100))</f>
        <v>0.520827944922417</v>
      </c>
      <c r="L75" s="39" t="n">
        <f aca="false">IF(G75="","",MIN(1,G75+J75/100))</f>
        <v>0.571370636637867</v>
      </c>
      <c r="M75" s="21" t="n">
        <f aca="false">IF(F75="","",ROUND(F75*J75/100,0))</f>
        <v>4</v>
      </c>
      <c r="P75" s="41" t="n">
        <v>10.7325100641195</v>
      </c>
      <c r="Q75" s="42" t="n">
        <v>141</v>
      </c>
      <c r="R75" s="43" t="n">
        <f aca="false">MAX(0,MIN(1,P75/100+$D$5))</f>
        <v>0.548610284305665</v>
      </c>
      <c r="S75" s="44" t="s">
        <v>90</v>
      </c>
    </row>
    <row r="76" customFormat="false" ht="15" hidden="false" customHeight="false" outlineLevel="0" collapsed="false">
      <c r="A76" s="38" t="s">
        <v>145</v>
      </c>
      <c r="B76" s="38" t="s">
        <v>124</v>
      </c>
      <c r="C76" s="38" t="s">
        <v>88</v>
      </c>
      <c r="D76" s="21" t="n">
        <f aca="false">ROUND(Q76*R76,0)</f>
        <v>3635</v>
      </c>
      <c r="E76" s="21" t="n">
        <f aca="false">ROUND(Q76,0)-D76</f>
        <v>2818</v>
      </c>
      <c r="F76" s="21" t="n">
        <f aca="false">IF(COUNTA(D76:E76)=0,"",SUM(D76:E76))</f>
        <v>6453</v>
      </c>
      <c r="G76" s="39" t="n">
        <f aca="false">IF(OR(F76="",F76=0),"",D76/F76)</f>
        <v>0.563303889663722</v>
      </c>
      <c r="H76" s="39" t="n">
        <f aca="false">IF(OR(F76="",F76=0),"",E76/F76)</f>
        <v>0.436696110336278</v>
      </c>
      <c r="I76" s="38" t="s">
        <v>89</v>
      </c>
      <c r="J76" s="40" t="n">
        <v>1.13453501956376</v>
      </c>
      <c r="K76" s="39" t="n">
        <f aca="false">IF(G76="","",MAX(0,G76-J76/100))</f>
        <v>0.551958539468085</v>
      </c>
      <c r="L76" s="39" t="n">
        <f aca="false">IF(G76="","",MIN(1,G76+J76/100))</f>
        <v>0.57464923985936</v>
      </c>
      <c r="M76" s="21" t="n">
        <f aca="false">IF(F76="","",ROUND(F76*J76/100,0))</f>
        <v>73</v>
      </c>
      <c r="P76" s="41" t="n">
        <v>12.1984643962749</v>
      </c>
      <c r="Q76" s="42" t="n">
        <v>6453</v>
      </c>
      <c r="R76" s="43" t="n">
        <f aca="false">MAX(0,MIN(1,P76/100+$D$5))</f>
        <v>0.563269827627219</v>
      </c>
      <c r="S76" s="44" t="s">
        <v>110</v>
      </c>
    </row>
    <row r="77" customFormat="false" ht="15" hidden="false" customHeight="false" outlineLevel="0" collapsed="false">
      <c r="A77" s="38" t="s">
        <v>145</v>
      </c>
      <c r="B77" s="38" t="s">
        <v>158</v>
      </c>
      <c r="C77" s="38" t="s">
        <v>88</v>
      </c>
      <c r="D77" s="21" t="n">
        <f aca="false">ROUND(Q77*R77,0)</f>
        <v>1409</v>
      </c>
      <c r="E77" s="21" t="n">
        <f aca="false">ROUND(Q77,0)-D77</f>
        <v>1164</v>
      </c>
      <c r="F77" s="21" t="n">
        <f aca="false">IF(COUNTA(D77:E77)=0,"",SUM(D77:E77))</f>
        <v>2573</v>
      </c>
      <c r="G77" s="39" t="n">
        <f aca="false">IF(OR(F77="",F77=0),"",D77/F77)</f>
        <v>0.547609794014769</v>
      </c>
      <c r="H77" s="39" t="n">
        <f aca="false">IF(OR(F77="",F77=0),"",E77/F77)</f>
        <v>0.452390205985231</v>
      </c>
      <c r="I77" s="38" t="s">
        <v>89</v>
      </c>
      <c r="J77" s="40" t="n">
        <v>1.48763296796655</v>
      </c>
      <c r="K77" s="39" t="n">
        <f aca="false">IF(G77="","",MAX(0,G77-J77/100))</f>
        <v>0.532733464335103</v>
      </c>
      <c r="L77" s="39" t="n">
        <f aca="false">IF(G77="","",MIN(1,G77+J77/100))</f>
        <v>0.562486123694434</v>
      </c>
      <c r="M77" s="21" t="n">
        <f aca="false">IF(F77="","",ROUND(F77*J77/100,0))</f>
        <v>38</v>
      </c>
      <c r="P77" s="41" t="n">
        <v>10.6397699418177</v>
      </c>
      <c r="Q77" s="42" t="n">
        <v>2573</v>
      </c>
      <c r="R77" s="43" t="n">
        <f aca="false">MAX(0,MIN(1,P77/100+$D$5))</f>
        <v>0.547682883082647</v>
      </c>
      <c r="S77" s="44" t="s">
        <v>96</v>
      </c>
    </row>
    <row r="78" customFormat="false" ht="15" hidden="false" customHeight="false" outlineLevel="0" collapsed="false">
      <c r="A78" s="38" t="s">
        <v>145</v>
      </c>
      <c r="B78" s="38" t="s">
        <v>159</v>
      </c>
      <c r="C78" s="38" t="s">
        <v>88</v>
      </c>
      <c r="D78" s="21" t="n">
        <f aca="false">ROUND(Q78*R78,0)</f>
        <v>1939</v>
      </c>
      <c r="E78" s="21" t="n">
        <f aca="false">ROUND(Q78,0)-D78</f>
        <v>3167</v>
      </c>
      <c r="F78" s="21" t="n">
        <f aca="false">IF(COUNTA(D78:E78)=0,"",SUM(D78:E78))</f>
        <v>5106</v>
      </c>
      <c r="G78" s="39" t="n">
        <f aca="false">IF(OR(F78="",F78=0),"",D78/F78)</f>
        <v>0.379749314531923</v>
      </c>
      <c r="H78" s="39" t="n">
        <f aca="false">IF(OR(F78="",F78=0),"",E78/F78)</f>
        <v>0.620250685468077</v>
      </c>
      <c r="I78" s="38" t="s">
        <v>89</v>
      </c>
      <c r="J78" s="40" t="n">
        <v>1.13453501956376</v>
      </c>
      <c r="K78" s="39" t="n">
        <f aca="false">IF(G78="","",MAX(0,G78-J78/100))</f>
        <v>0.368403964336286</v>
      </c>
      <c r="L78" s="39" t="n">
        <f aca="false">IF(G78="","",MIN(1,G78+J78/100))</f>
        <v>0.391094664727561</v>
      </c>
      <c r="M78" s="21" t="n">
        <f aca="false">IF(F78="","",ROUND(F78*J78/100,0))</f>
        <v>58</v>
      </c>
      <c r="P78" s="41" t="n">
        <v>-6.14778166275024</v>
      </c>
      <c r="Q78" s="42" t="n">
        <v>5106</v>
      </c>
      <c r="R78" s="43" t="n">
        <f aca="false">MAX(0,MIN(1,P78/100+$D$5))</f>
        <v>0.379807367036968</v>
      </c>
      <c r="S78" s="44" t="s">
        <v>110</v>
      </c>
    </row>
    <row r="79" customFormat="false" ht="15" hidden="false" customHeight="false" outlineLevel="0" collapsed="false">
      <c r="A79" s="38" t="s">
        <v>145</v>
      </c>
      <c r="B79" s="38" t="s">
        <v>160</v>
      </c>
      <c r="C79" s="38" t="s">
        <v>88</v>
      </c>
      <c r="D79" s="21" t="n">
        <f aca="false">ROUND(Q79*R79,0)</f>
        <v>521</v>
      </c>
      <c r="E79" s="21" t="n">
        <f aca="false">ROUND(Q79,0)-D79</f>
        <v>879</v>
      </c>
      <c r="F79" s="21" t="n">
        <f aca="false">IF(COUNTA(D79:E79)=0,"",SUM(D79:E79))</f>
        <v>1400</v>
      </c>
      <c r="G79" s="39" t="n">
        <f aca="false">IF(OR(F79="",F79=0),"",D79/F79)</f>
        <v>0.372142857142857</v>
      </c>
      <c r="H79" s="39" t="n">
        <f aca="false">IF(OR(F79="",F79=0),"",E79/F79)</f>
        <v>0.627857142857143</v>
      </c>
      <c r="I79" s="38" t="s">
        <v>89</v>
      </c>
      <c r="J79" s="40" t="n">
        <v>2.52713458577249</v>
      </c>
      <c r="K79" s="39" t="n">
        <f aca="false">IF(G79="","",MAX(0,G79-J79/100))</f>
        <v>0.346871511285132</v>
      </c>
      <c r="L79" s="39" t="n">
        <f aca="false">IF(G79="","",MIN(1,G79+J79/100))</f>
        <v>0.397414203000582</v>
      </c>
      <c r="M79" s="21" t="n">
        <f aca="false">IF(F79="","",ROUND(F79*J79/100,0))</f>
        <v>35</v>
      </c>
      <c r="P79" s="41" t="n">
        <v>-6.9245648587279</v>
      </c>
      <c r="Q79" s="42" t="n">
        <v>1400</v>
      </c>
      <c r="R79" s="43" t="n">
        <f aca="false">MAX(0,MIN(1,P79/100+$D$5))</f>
        <v>0.372039535077191</v>
      </c>
      <c r="S79" s="44" t="s">
        <v>90</v>
      </c>
    </row>
    <row r="80" customFormat="false" ht="15" hidden="false" customHeight="false" outlineLevel="0" collapsed="false">
      <c r="A80" s="38" t="s">
        <v>145</v>
      </c>
      <c r="B80" s="38" t="s">
        <v>161</v>
      </c>
      <c r="C80" s="38" t="s">
        <v>88</v>
      </c>
      <c r="D80" s="21" t="n">
        <f aca="false">ROUND(Q80*R80,0)</f>
        <v>1822</v>
      </c>
      <c r="E80" s="21" t="n">
        <f aca="false">ROUND(Q80,0)-D80</f>
        <v>1877</v>
      </c>
      <c r="F80" s="21" t="n">
        <f aca="false">IF(COUNTA(D80:E80)=0,"",SUM(D80:E80))</f>
        <v>3699</v>
      </c>
      <c r="G80" s="39" t="n">
        <f aca="false">IF(OR(F80="",F80=0),"",D80/F80)</f>
        <v>0.492565558258989</v>
      </c>
      <c r="H80" s="39" t="n">
        <f aca="false">IF(OR(F80="",F80=0),"",E80/F80)</f>
        <v>0.507434441741011</v>
      </c>
      <c r="I80" s="38" t="s">
        <v>89</v>
      </c>
      <c r="J80" s="40" t="n">
        <v>1.48763296796655</v>
      </c>
      <c r="K80" s="39" t="n">
        <f aca="false">IF(G80="","",MAX(0,G80-J80/100))</f>
        <v>0.477689228579323</v>
      </c>
      <c r="L80" s="39" t="n">
        <f aca="false">IF(G80="","",MIN(1,G80+J80/100))</f>
        <v>0.507441887938654</v>
      </c>
      <c r="M80" s="21" t="n">
        <f aca="false">IF(F80="","",ROUND(F80*J80/100,0))</f>
        <v>55</v>
      </c>
      <c r="P80" s="41" t="n">
        <v>5.12926277649835</v>
      </c>
      <c r="Q80" s="42" t="n">
        <v>3699</v>
      </c>
      <c r="R80" s="43" t="n">
        <f aca="false">MAX(0,MIN(1,P80/100+$D$5))</f>
        <v>0.492577811429454</v>
      </c>
      <c r="S80" s="44" t="s">
        <v>96</v>
      </c>
    </row>
    <row r="81" customFormat="false" ht="15" hidden="false" customHeight="false" outlineLevel="0" collapsed="false">
      <c r="A81" s="38" t="s">
        <v>145</v>
      </c>
      <c r="B81" s="38" t="s">
        <v>162</v>
      </c>
      <c r="C81" s="38" t="s">
        <v>88</v>
      </c>
      <c r="D81" s="21" t="n">
        <f aca="false">ROUND(Q81*R81,0)</f>
        <v>3092</v>
      </c>
      <c r="E81" s="21" t="n">
        <f aca="false">ROUND(Q81,0)-D81</f>
        <v>2835</v>
      </c>
      <c r="F81" s="21" t="n">
        <f aca="false">IF(COUNTA(D81:E81)=0,"",SUM(D81:E81))</f>
        <v>5927</v>
      </c>
      <c r="G81" s="39" t="n">
        <f aca="false">IF(OR(F81="",F81=0),"",D81/F81)</f>
        <v>0.521680445419268</v>
      </c>
      <c r="H81" s="39" t="n">
        <f aca="false">IF(OR(F81="",F81=0),"",E81/F81)</f>
        <v>0.478319554580732</v>
      </c>
      <c r="I81" s="38" t="s">
        <v>89</v>
      </c>
      <c r="J81" s="40" t="n">
        <v>1.13453501956376</v>
      </c>
      <c r="K81" s="39" t="n">
        <f aca="false">IF(G81="","",MAX(0,G81-J81/100))</f>
        <v>0.51033509522363</v>
      </c>
      <c r="L81" s="39" t="n">
        <f aca="false">IF(G81="","",MIN(1,G81+J81/100))</f>
        <v>0.533025795614905</v>
      </c>
      <c r="M81" s="21" t="n">
        <f aca="false">IF(F81="","",ROUND(F81*J81/100,0))</f>
        <v>67</v>
      </c>
      <c r="P81" s="41" t="n">
        <v>8.04719166518367</v>
      </c>
      <c r="Q81" s="42" t="n">
        <v>5927</v>
      </c>
      <c r="R81" s="43" t="n">
        <f aca="false">MAX(0,MIN(1,P81/100+$D$5))</f>
        <v>0.521757100316307</v>
      </c>
      <c r="S81" s="44" t="s">
        <v>110</v>
      </c>
    </row>
    <row r="82" customFormat="false" ht="15" hidden="false" customHeight="false" outlineLevel="0" collapsed="false">
      <c r="A82" s="38" t="s">
        <v>145</v>
      </c>
      <c r="B82" s="38" t="s">
        <v>163</v>
      </c>
      <c r="C82" s="38" t="s">
        <v>88</v>
      </c>
      <c r="D82" s="21" t="n">
        <f aca="false">ROUND(Q82*R82,0)</f>
        <v>1783</v>
      </c>
      <c r="E82" s="21" t="n">
        <f aca="false">ROUND(Q82,0)-D82</f>
        <v>2969</v>
      </c>
      <c r="F82" s="21" t="n">
        <f aca="false">IF(COUNTA(D82:E82)=0,"",SUM(D82:E82))</f>
        <v>4752</v>
      </c>
      <c r="G82" s="39" t="n">
        <f aca="false">IF(OR(F82="",F82=0),"",D82/F82)</f>
        <v>0.375210437710438</v>
      </c>
      <c r="H82" s="39" t="n">
        <f aca="false">IF(OR(F82="",F82=0),"",E82/F82)</f>
        <v>0.624789562289562</v>
      </c>
      <c r="I82" s="38" t="s">
        <v>89</v>
      </c>
      <c r="J82" s="40" t="n">
        <v>1.13453501956376</v>
      </c>
      <c r="K82" s="39" t="n">
        <f aca="false">IF(G82="","",MAX(0,G82-J82/100))</f>
        <v>0.3638650875148</v>
      </c>
      <c r="L82" s="39" t="n">
        <f aca="false">IF(G82="","",MIN(1,G82+J82/100))</f>
        <v>0.386555787906075</v>
      </c>
      <c r="M82" s="21" t="n">
        <f aca="false">IF(F82="","",ROUND(F82*J82/100,0))</f>
        <v>54</v>
      </c>
      <c r="P82" s="41" t="n">
        <v>-6.61149729571558</v>
      </c>
      <c r="Q82" s="42" t="n">
        <v>4752</v>
      </c>
      <c r="R82" s="43" t="n">
        <f aca="false">MAX(0,MIN(1,P82/100+$D$5))</f>
        <v>0.375170210707314</v>
      </c>
      <c r="S82" s="44" t="s">
        <v>110</v>
      </c>
    </row>
    <row r="83" customFormat="false" ht="15" hidden="false" customHeight="false" outlineLevel="0" collapsed="false">
      <c r="A83" s="38" t="s">
        <v>145</v>
      </c>
      <c r="B83" s="38" t="s">
        <v>164</v>
      </c>
      <c r="C83" s="38" t="s">
        <v>88</v>
      </c>
      <c r="D83" s="21" t="n">
        <f aca="false">ROUND(Q83*R83,0)</f>
        <v>1301</v>
      </c>
      <c r="E83" s="21" t="n">
        <f aca="false">ROUND(Q83,0)-D83</f>
        <v>1159</v>
      </c>
      <c r="F83" s="21" t="n">
        <f aca="false">IF(COUNTA(D83:E83)=0,"",SUM(D83:E83))</f>
        <v>2460</v>
      </c>
      <c r="G83" s="39" t="n">
        <f aca="false">IF(OR(F83="",F83=0),"",D83/F83)</f>
        <v>0.528861788617886</v>
      </c>
      <c r="H83" s="39" t="n">
        <f aca="false">IF(OR(F83="",F83=0),"",E83/F83)</f>
        <v>0.471138211382114</v>
      </c>
      <c r="I83" s="38" t="s">
        <v>89</v>
      </c>
      <c r="J83" s="40" t="n">
        <v>1.48763296796655</v>
      </c>
      <c r="K83" s="39" t="n">
        <f aca="false">IF(G83="","",MAX(0,G83-J83/100))</f>
        <v>0.513985458938221</v>
      </c>
      <c r="L83" s="39" t="n">
        <f aca="false">IF(G83="","",MIN(1,G83+J83/100))</f>
        <v>0.543738118297552</v>
      </c>
      <c r="M83" s="21" t="n">
        <f aca="false">IF(F83="","",ROUND(F83*J83/100,0))</f>
        <v>37</v>
      </c>
      <c r="P83" s="41" t="n">
        <v>8.76477239560834</v>
      </c>
      <c r="Q83" s="42" t="n">
        <v>2460</v>
      </c>
      <c r="R83" s="43" t="n">
        <f aca="false">MAX(0,MIN(1,P83/100+$D$5))</f>
        <v>0.528932907620554</v>
      </c>
      <c r="S83" s="44" t="s">
        <v>96</v>
      </c>
    </row>
    <row r="84" customFormat="false" ht="15" hidden="false" customHeight="false" outlineLevel="0" collapsed="false">
      <c r="A84" s="38" t="s">
        <v>145</v>
      </c>
      <c r="B84" s="38" t="s">
        <v>165</v>
      </c>
      <c r="C84" s="38" t="s">
        <v>88</v>
      </c>
      <c r="D84" s="21" t="n">
        <f aca="false">ROUND(Q84*R84,0)</f>
        <v>681</v>
      </c>
      <c r="E84" s="21" t="n">
        <f aca="false">ROUND(Q84,0)-D84</f>
        <v>597</v>
      </c>
      <c r="F84" s="21" t="n">
        <f aca="false">IF(COUNTA(D84:E84)=0,"",SUM(D84:E84))</f>
        <v>1278</v>
      </c>
      <c r="G84" s="39" t="n">
        <f aca="false">IF(OR(F84="",F84=0),"",D84/F84)</f>
        <v>0.532863849765258</v>
      </c>
      <c r="H84" s="39" t="n">
        <f aca="false">IF(OR(F84="",F84=0),"",E84/F84)</f>
        <v>0.467136150234742</v>
      </c>
      <c r="I84" s="38" t="s">
        <v>89</v>
      </c>
      <c r="J84" s="40" t="n">
        <v>2.52713458577249</v>
      </c>
      <c r="K84" s="39" t="n">
        <f aca="false">IF(G84="","",MAX(0,G84-J84/100))</f>
        <v>0.507592503907533</v>
      </c>
      <c r="L84" s="39" t="n">
        <f aca="false">IF(G84="","",MIN(1,G84+J84/100))</f>
        <v>0.558135195622983</v>
      </c>
      <c r="M84" s="21" t="n">
        <f aca="false">IF(F84="","",ROUND(F84*J84/100,0))</f>
        <v>32</v>
      </c>
      <c r="P84" s="41" t="n">
        <v>9.18782024903047</v>
      </c>
      <c r="Q84" s="42" t="n">
        <v>1278</v>
      </c>
      <c r="R84" s="43" t="n">
        <f aca="false">MAX(0,MIN(1,P84/100+$D$5))</f>
        <v>0.533163386154775</v>
      </c>
      <c r="S84" s="44" t="s">
        <v>90</v>
      </c>
    </row>
    <row r="85" customFormat="false" ht="15" hidden="false" customHeight="false" outlineLevel="0" collapsed="false">
      <c r="A85" s="38" t="s">
        <v>145</v>
      </c>
      <c r="B85" s="38" t="s">
        <v>166</v>
      </c>
      <c r="C85" s="38" t="s">
        <v>88</v>
      </c>
      <c r="D85" s="21" t="n">
        <f aca="false">ROUND(Q85*R85,0)</f>
        <v>2019</v>
      </c>
      <c r="E85" s="21" t="n">
        <f aca="false">ROUND(Q85,0)-D85</f>
        <v>1908</v>
      </c>
      <c r="F85" s="21" t="n">
        <f aca="false">IF(COUNTA(D85:E85)=0,"",SUM(D85:E85))</f>
        <v>3927</v>
      </c>
      <c r="G85" s="39" t="n">
        <f aca="false">IF(OR(F85="",F85=0),"",D85/F85)</f>
        <v>0.514132925897632</v>
      </c>
      <c r="H85" s="39" t="n">
        <f aca="false">IF(OR(F85="",F85=0),"",E85/F85)</f>
        <v>0.485867074102368</v>
      </c>
      <c r="I85" s="38" t="s">
        <v>89</v>
      </c>
      <c r="J85" s="40" t="n">
        <v>1.13453501956376</v>
      </c>
      <c r="K85" s="39" t="n">
        <f aca="false">IF(G85="","",MAX(0,G85-J85/100))</f>
        <v>0.502787575701994</v>
      </c>
      <c r="L85" s="39" t="n">
        <f aca="false">IF(G85="","",MIN(1,G85+J85/100))</f>
        <v>0.52547827609327</v>
      </c>
      <c r="M85" s="21" t="n">
        <f aca="false">IF(F85="","",ROUND(F85*J85/100,0))</f>
        <v>45</v>
      </c>
      <c r="P85" s="41" t="n">
        <v>7.28414574426194</v>
      </c>
      <c r="Q85" s="42" t="n">
        <v>3927</v>
      </c>
      <c r="R85" s="43" t="n">
        <f aca="false">MAX(0,MIN(1,P85/100+$D$5))</f>
        <v>0.51412664110709</v>
      </c>
      <c r="S85" s="44" t="s">
        <v>110</v>
      </c>
    </row>
    <row r="86" customFormat="false" ht="15" hidden="false" customHeight="false" outlineLevel="0" collapsed="false">
      <c r="A86" s="38" t="s">
        <v>145</v>
      </c>
      <c r="B86" s="38" t="s">
        <v>167</v>
      </c>
      <c r="C86" s="38" t="s">
        <v>88</v>
      </c>
      <c r="D86" s="21" t="n">
        <f aca="false">ROUND(Q86*R86,0)</f>
        <v>5612</v>
      </c>
      <c r="E86" s="21" t="n">
        <f aca="false">ROUND(Q86,0)-D86</f>
        <v>4701</v>
      </c>
      <c r="F86" s="21" t="n">
        <f aca="false">IF(COUNTA(D86:E86)=0,"",SUM(D86:E86))</f>
        <v>10313</v>
      </c>
      <c r="G86" s="39" t="n">
        <f aca="false">IF(OR(F86="",F86=0),"",D86/F86)</f>
        <v>0.54416755551246</v>
      </c>
      <c r="H86" s="39" t="n">
        <f aca="false">IF(OR(F86="",F86=0),"",E86/F86)</f>
        <v>0.45583244448754</v>
      </c>
      <c r="I86" s="38" t="s">
        <v>89</v>
      </c>
      <c r="J86" s="40" t="n">
        <v>1.13453501956376</v>
      </c>
      <c r="K86" s="39" t="n">
        <f aca="false">IF(G86="","",MAX(0,G86-J86/100))</f>
        <v>0.532822205316822</v>
      </c>
      <c r="L86" s="39" t="n">
        <f aca="false">IF(G86="","",MIN(1,G86+J86/100))</f>
        <v>0.555512905708098</v>
      </c>
      <c r="M86" s="21" t="n">
        <f aca="false">IF(F86="","",ROUND(F86*J86/100,0))</f>
        <v>117</v>
      </c>
      <c r="P86" s="41" t="n">
        <v>10.291230168714</v>
      </c>
      <c r="Q86" s="42" t="n">
        <v>10313</v>
      </c>
      <c r="R86" s="43" t="n">
        <f aca="false">MAX(0,MIN(1,P86/100+$D$5))</f>
        <v>0.54419748535161</v>
      </c>
      <c r="S86" s="44" t="s">
        <v>110</v>
      </c>
    </row>
    <row r="87" customFormat="false" ht="15" hidden="false" customHeight="false" outlineLevel="0" collapsed="false">
      <c r="A87" s="38" t="s">
        <v>145</v>
      </c>
      <c r="B87" s="38" t="s">
        <v>168</v>
      </c>
      <c r="C87" s="38" t="s">
        <v>88</v>
      </c>
      <c r="D87" s="21" t="n">
        <f aca="false">ROUND(Q87*R87,0)</f>
        <v>545</v>
      </c>
      <c r="E87" s="21" t="n">
        <f aca="false">ROUND(Q87,0)-D87</f>
        <v>744</v>
      </c>
      <c r="F87" s="21" t="n">
        <f aca="false">IF(COUNTA(D87:E87)=0,"",SUM(D87:E87))</f>
        <v>1289</v>
      </c>
      <c r="G87" s="39" t="n">
        <f aca="false">IF(OR(F87="",F87=0),"",D87/F87)</f>
        <v>0.422808378588053</v>
      </c>
      <c r="H87" s="39" t="n">
        <f aca="false">IF(OR(F87="",F87=0),"",E87/F87)</f>
        <v>0.577191621411947</v>
      </c>
      <c r="I87" s="38" t="s">
        <v>89</v>
      </c>
      <c r="J87" s="40" t="n">
        <v>2.52713458577249</v>
      </c>
      <c r="K87" s="39" t="n">
        <f aca="false">IF(G87="","",MAX(0,G87-J87/100))</f>
        <v>0.397537032730328</v>
      </c>
      <c r="L87" s="39" t="n">
        <f aca="false">IF(G87="","",MIN(1,G87+J87/100))</f>
        <v>0.448079724445778</v>
      </c>
      <c r="M87" s="21" t="n">
        <f aca="false">IF(F87="","",ROUND(F87*J87/100,0))</f>
        <v>33</v>
      </c>
      <c r="P87" s="41" t="n">
        <v>-1.86205254287425</v>
      </c>
      <c r="Q87" s="42" t="n">
        <v>1289</v>
      </c>
      <c r="R87" s="43" t="n">
        <f aca="false">MAX(0,MIN(1,P87/100+$D$5))</f>
        <v>0.422664658235728</v>
      </c>
      <c r="S87" s="44" t="s">
        <v>90</v>
      </c>
    </row>
    <row r="88" customFormat="false" ht="15" hidden="false" customHeight="false" outlineLevel="0" collapsed="false">
      <c r="A88" s="38" t="s">
        <v>145</v>
      </c>
      <c r="B88" s="38" t="s">
        <v>169</v>
      </c>
      <c r="C88" s="38" t="s">
        <v>88</v>
      </c>
      <c r="D88" s="21" t="n">
        <f aca="false">ROUND(Q88*R88,0)</f>
        <v>1160</v>
      </c>
      <c r="E88" s="21" t="n">
        <f aca="false">ROUND(Q88,0)-D88</f>
        <v>1914</v>
      </c>
      <c r="F88" s="21" t="n">
        <f aca="false">IF(COUNTA(D88:E88)=0,"",SUM(D88:E88))</f>
        <v>3074</v>
      </c>
      <c r="G88" s="39" t="n">
        <f aca="false">IF(OR(F88="",F88=0),"",D88/F88)</f>
        <v>0.377358490566038</v>
      </c>
      <c r="H88" s="39" t="n">
        <f aca="false">IF(OR(F88="",F88=0),"",E88/F88)</f>
        <v>0.622641509433962</v>
      </c>
      <c r="I88" s="38" t="s">
        <v>89</v>
      </c>
      <c r="J88" s="40" t="n">
        <v>1.48763296796655</v>
      </c>
      <c r="K88" s="39" t="n">
        <f aca="false">IF(G88="","",MAX(0,G88-J88/100))</f>
        <v>0.362482160886372</v>
      </c>
      <c r="L88" s="39" t="n">
        <f aca="false">IF(G88="","",MIN(1,G88+J88/100))</f>
        <v>0.392234820245703</v>
      </c>
      <c r="M88" s="21" t="n">
        <f aca="false">IF(F88="","",ROUND(F88*J88/100,0))</f>
        <v>46</v>
      </c>
      <c r="P88" s="41" t="n">
        <v>-6.38214260516376</v>
      </c>
      <c r="Q88" s="42" t="n">
        <v>3074</v>
      </c>
      <c r="R88" s="43" t="n">
        <f aca="false">MAX(0,MIN(1,P88/100+$D$5))</f>
        <v>0.377463757612833</v>
      </c>
      <c r="S88" s="44" t="s">
        <v>96</v>
      </c>
    </row>
    <row r="89" customFormat="false" ht="15" hidden="false" customHeight="false" outlineLevel="0" collapsed="false">
      <c r="A89" s="38" t="s">
        <v>145</v>
      </c>
      <c r="B89" s="38" t="s">
        <v>170</v>
      </c>
      <c r="C89" s="38" t="s">
        <v>88</v>
      </c>
      <c r="D89" s="21" t="n">
        <f aca="false">ROUND(Q89*R89,0)</f>
        <v>75</v>
      </c>
      <c r="E89" s="21" t="n">
        <f aca="false">ROUND(Q89,0)-D89</f>
        <v>119</v>
      </c>
      <c r="F89" s="21" t="n">
        <f aca="false">IF(COUNTA(D89:E89)=0,"",SUM(D89:E89))</f>
        <v>194</v>
      </c>
      <c r="G89" s="39" t="n">
        <f aca="false">IF(OR(F89="",F89=0),"",D89/F89)</f>
        <v>0.38659793814433</v>
      </c>
      <c r="H89" s="39" t="n">
        <f aca="false">IF(OR(F89="",F89=0),"",E89/F89)</f>
        <v>0.61340206185567</v>
      </c>
      <c r="I89" s="38" t="s">
        <v>89</v>
      </c>
      <c r="J89" s="40" t="n">
        <v>2.52713458577249</v>
      </c>
      <c r="K89" s="39" t="n">
        <f aca="false">IF(G89="","",MAX(0,G89-J89/100))</f>
        <v>0.361326592286605</v>
      </c>
      <c r="L89" s="39" t="n">
        <f aca="false">IF(G89="","",MIN(1,G89+J89/100))</f>
        <v>0.411869284002055</v>
      </c>
      <c r="M89" s="21" t="n">
        <f aca="false">IF(F89="","",ROUND(F89*J89/100,0))</f>
        <v>5</v>
      </c>
      <c r="P89" s="41" t="n">
        <v>-5.33048611310052</v>
      </c>
      <c r="Q89" s="42" t="n">
        <v>194</v>
      </c>
      <c r="R89" s="43" t="n">
        <f aca="false">MAX(0,MIN(1,P89/100+$D$5))</f>
        <v>0.387980322533465</v>
      </c>
      <c r="S89" s="44" t="s">
        <v>90</v>
      </c>
    </row>
    <row r="90" customFormat="false" ht="15" hidden="false" customHeight="false" outlineLevel="0" collapsed="false">
      <c r="A90" s="38" t="s">
        <v>145</v>
      </c>
      <c r="B90" s="38" t="s">
        <v>171</v>
      </c>
      <c r="C90" s="38" t="s">
        <v>88</v>
      </c>
      <c r="D90" s="21" t="n">
        <f aca="false">ROUND(Q90*R90,0)</f>
        <v>290</v>
      </c>
      <c r="E90" s="21" t="n">
        <f aca="false">ROUND(Q90,0)-D90</f>
        <v>386</v>
      </c>
      <c r="F90" s="21" t="n">
        <f aca="false">IF(COUNTA(D90:E90)=0,"",SUM(D90:E90))</f>
        <v>676</v>
      </c>
      <c r="G90" s="39" t="n">
        <f aca="false">IF(OR(F90="",F90=0),"",D90/F90)</f>
        <v>0.428994082840237</v>
      </c>
      <c r="H90" s="39" t="n">
        <f aca="false">IF(OR(F90="",F90=0),"",E90/F90)</f>
        <v>0.571005917159763</v>
      </c>
      <c r="I90" s="38" t="s">
        <v>89</v>
      </c>
      <c r="J90" s="40" t="n">
        <v>2.52713458577249</v>
      </c>
      <c r="K90" s="39" t="n">
        <f aca="false">IF(G90="","",MAX(0,G90-J90/100))</f>
        <v>0.403722736982512</v>
      </c>
      <c r="L90" s="39" t="n">
        <f aca="false">IF(G90="","",MIN(1,G90+J90/100))</f>
        <v>0.454265428697962</v>
      </c>
      <c r="M90" s="21" t="n">
        <f aca="false">IF(F90="","",ROUND(F90*J90/100,0))</f>
        <v>17</v>
      </c>
      <c r="P90" s="41" t="n">
        <v>-1.20390558046518</v>
      </c>
      <c r="Q90" s="42" t="n">
        <v>676</v>
      </c>
      <c r="R90" s="43" t="n">
        <f aca="false">MAX(0,MIN(1,P90/100+$D$5))</f>
        <v>0.429246127859818</v>
      </c>
      <c r="S90" s="44" t="s">
        <v>90</v>
      </c>
    </row>
    <row r="91" customFormat="false" ht="15" hidden="false" customHeight="false" outlineLevel="0" collapsed="false">
      <c r="A91" s="38" t="s">
        <v>145</v>
      </c>
      <c r="B91" s="38" t="s">
        <v>172</v>
      </c>
      <c r="C91" s="38" t="s">
        <v>88</v>
      </c>
      <c r="D91" s="21" t="n">
        <f aca="false">ROUND(Q91*R91,0)</f>
        <v>171</v>
      </c>
      <c r="E91" s="21" t="n">
        <f aca="false">ROUND(Q91,0)-D91</f>
        <v>216</v>
      </c>
      <c r="F91" s="21" t="n">
        <f aca="false">IF(COUNTA(D91:E91)=0,"",SUM(D91:E91))</f>
        <v>387</v>
      </c>
      <c r="G91" s="39" t="n">
        <f aca="false">IF(OR(F91="",F91=0),"",D91/F91)</f>
        <v>0.441860465116279</v>
      </c>
      <c r="H91" s="39" t="n">
        <f aca="false">IF(OR(F91="",F91=0),"",E91/F91)</f>
        <v>0.558139534883721</v>
      </c>
      <c r="I91" s="38" t="s">
        <v>89</v>
      </c>
      <c r="J91" s="40" t="n">
        <v>2.52713458577249</v>
      </c>
      <c r="K91" s="39" t="n">
        <f aca="false">IF(G91="","",MAX(0,G91-J91/100))</f>
        <v>0.416589119258554</v>
      </c>
      <c r="L91" s="39" t="n">
        <f aca="false">IF(G91="","",MIN(1,G91+J91/100))</f>
        <v>0.467131810974004</v>
      </c>
      <c r="M91" s="21" t="n">
        <f aca="false">IF(F91="","",ROUND(F91*J91/100,0))</f>
        <v>10</v>
      </c>
      <c r="P91" s="41" t="n">
        <v>0.0129885299389155</v>
      </c>
      <c r="Q91" s="42" t="n">
        <v>387</v>
      </c>
      <c r="R91" s="43" t="n">
        <f aca="false">MAX(0,MIN(1,P91/100+$D$5))</f>
        <v>0.441415068963859</v>
      </c>
      <c r="S91" s="44" t="s">
        <v>90</v>
      </c>
    </row>
    <row r="92" customFormat="false" ht="15" hidden="false" customHeight="false" outlineLevel="0" collapsed="false">
      <c r="A92" s="38" t="s">
        <v>145</v>
      </c>
      <c r="B92" s="38" t="s">
        <v>173</v>
      </c>
      <c r="C92" s="38" t="s">
        <v>88</v>
      </c>
      <c r="D92" s="21" t="n">
        <f aca="false">ROUND(Q92*R92,0)</f>
        <v>260</v>
      </c>
      <c r="E92" s="21" t="n">
        <f aca="false">ROUND(Q92,0)-D92</f>
        <v>301</v>
      </c>
      <c r="F92" s="21" t="n">
        <f aca="false">IF(COUNTA(D92:E92)=0,"",SUM(D92:E92))</f>
        <v>561</v>
      </c>
      <c r="G92" s="39" t="n">
        <f aca="false">IF(OR(F92="",F92=0),"",D92/F92)</f>
        <v>0.463458110516934</v>
      </c>
      <c r="H92" s="39" t="n">
        <f aca="false">IF(OR(F92="",F92=0),"",E92/F92)</f>
        <v>0.536541889483066</v>
      </c>
      <c r="I92" s="38" t="s">
        <v>89</v>
      </c>
      <c r="J92" s="40" t="n">
        <v>2.52713458577249</v>
      </c>
      <c r="K92" s="39" t="n">
        <f aca="false">IF(G92="","",MAX(0,G92-J92/100))</f>
        <v>0.438186764659209</v>
      </c>
      <c r="L92" s="39" t="n">
        <f aca="false">IF(G92="","",MIN(1,G92+J92/100))</f>
        <v>0.488729456374659</v>
      </c>
      <c r="M92" s="21" t="n">
        <f aca="false">IF(F92="","",ROUND(F92*J92/100,0))</f>
        <v>14</v>
      </c>
      <c r="P92" s="41" t="n">
        <v>2.30372690471704</v>
      </c>
      <c r="Q92" s="42" t="n">
        <v>561</v>
      </c>
      <c r="R92" s="43" t="n">
        <f aca="false">MAX(0,MIN(1,P92/100+$D$5))</f>
        <v>0.464322452711641</v>
      </c>
      <c r="S92" s="44" t="s">
        <v>90</v>
      </c>
    </row>
    <row r="93" customFormat="false" ht="15" hidden="false" customHeight="false" outlineLevel="0" collapsed="false">
      <c r="A93" s="38" t="s">
        <v>145</v>
      </c>
      <c r="B93" s="38" t="s">
        <v>174</v>
      </c>
      <c r="C93" s="38" t="s">
        <v>88</v>
      </c>
      <c r="D93" s="21" t="n">
        <f aca="false">ROUND(Q93*R93,0)</f>
        <v>1121</v>
      </c>
      <c r="E93" s="21" t="n">
        <f aca="false">ROUND(Q93,0)-D93</f>
        <v>2004</v>
      </c>
      <c r="F93" s="21" t="n">
        <f aca="false">IF(COUNTA(D93:E93)=0,"",SUM(D93:E93))</f>
        <v>3125</v>
      </c>
      <c r="G93" s="39" t="n">
        <f aca="false">IF(OR(F93="",F93=0),"",D93/F93)</f>
        <v>0.35872</v>
      </c>
      <c r="H93" s="39" t="n">
        <f aca="false">IF(OR(F93="",F93=0),"",E93/F93)</f>
        <v>0.64128</v>
      </c>
      <c r="I93" s="38" t="s">
        <v>89</v>
      </c>
      <c r="J93" s="40" t="n">
        <v>1.48763296796655</v>
      </c>
      <c r="K93" s="39" t="n">
        <f aca="false">IF(G93="","",MAX(0,G93-J93/100))</f>
        <v>0.343843670320335</v>
      </c>
      <c r="L93" s="39" t="n">
        <f aca="false">IF(G93="","",MIN(1,G93+J93/100))</f>
        <v>0.373596329679665</v>
      </c>
      <c r="M93" s="21" t="n">
        <f aca="false">IF(F93="","",ROUND(F93*J93/100,0))</f>
        <v>46</v>
      </c>
      <c r="P93" s="41" t="n">
        <v>-8.26194887632269</v>
      </c>
      <c r="Q93" s="42" t="n">
        <v>3125</v>
      </c>
      <c r="R93" s="43" t="n">
        <f aca="false">MAX(0,MIN(1,P93/100+$D$5))</f>
        <v>0.358665694901243</v>
      </c>
      <c r="S93" s="44" t="s">
        <v>96</v>
      </c>
    </row>
    <row r="94" customFormat="false" ht="15" hidden="false" customHeight="false" outlineLevel="0" collapsed="false">
      <c r="A94" s="38" t="s">
        <v>145</v>
      </c>
      <c r="B94" s="38" t="s">
        <v>175</v>
      </c>
      <c r="C94" s="38" t="s">
        <v>88</v>
      </c>
      <c r="D94" s="21" t="n">
        <f aca="false">ROUND(Q94*R94,0)</f>
        <v>1639</v>
      </c>
      <c r="E94" s="21" t="n">
        <f aca="false">ROUND(Q94,0)-D94</f>
        <v>1524</v>
      </c>
      <c r="F94" s="21" t="n">
        <f aca="false">IF(COUNTA(D94:E94)=0,"",SUM(D94:E94))</f>
        <v>3163</v>
      </c>
      <c r="G94" s="39" t="n">
        <f aca="false">IF(OR(F94="",F94=0),"",D94/F94)</f>
        <v>0.518178944040468</v>
      </c>
      <c r="H94" s="39" t="n">
        <f aca="false">IF(OR(F94="",F94=0),"",E94/F94)</f>
        <v>0.481821055959532</v>
      </c>
      <c r="I94" s="38" t="s">
        <v>89</v>
      </c>
      <c r="J94" s="40" t="n">
        <v>1.48763296796655</v>
      </c>
      <c r="K94" s="39" t="n">
        <f aca="false">IF(G94="","",MAX(0,G94-J94/100))</f>
        <v>0.503302614360803</v>
      </c>
      <c r="L94" s="39" t="n">
        <f aca="false">IF(G94="","",MIN(1,G94+J94/100))</f>
        <v>0.533055273720133</v>
      </c>
      <c r="M94" s="21" t="n">
        <f aca="false">IF(F94="","",ROUND(F94*J94/100,0))</f>
        <v>47</v>
      </c>
      <c r="P94" s="41" t="n">
        <v>7.7036493920073</v>
      </c>
      <c r="Q94" s="42" t="n">
        <v>3163</v>
      </c>
      <c r="R94" s="43" t="n">
        <f aca="false">MAX(0,MIN(1,P94/100+$D$5))</f>
        <v>0.518321677584543</v>
      </c>
      <c r="S94" s="44" t="s">
        <v>96</v>
      </c>
    </row>
    <row r="95" customFormat="false" ht="15" hidden="false" customHeight="false" outlineLevel="0" collapsed="false">
      <c r="A95" s="38" t="s">
        <v>145</v>
      </c>
      <c r="B95" s="38" t="s">
        <v>176</v>
      </c>
      <c r="C95" s="38" t="s">
        <v>88</v>
      </c>
      <c r="D95" s="21" t="n">
        <f aca="false">ROUND(Q95*R95,0)</f>
        <v>315</v>
      </c>
      <c r="E95" s="21" t="n">
        <f aca="false">ROUND(Q95,0)-D95</f>
        <v>409</v>
      </c>
      <c r="F95" s="21" t="n">
        <f aca="false">IF(COUNTA(D95:E95)=0,"",SUM(D95:E95))</f>
        <v>724</v>
      </c>
      <c r="G95" s="39" t="n">
        <f aca="false">IF(OR(F95="",F95=0),"",D95/F95)</f>
        <v>0.435082872928177</v>
      </c>
      <c r="H95" s="39" t="n">
        <f aca="false">IF(OR(F95="",F95=0),"",E95/F95)</f>
        <v>0.564917127071823</v>
      </c>
      <c r="I95" s="38" t="s">
        <v>89</v>
      </c>
      <c r="J95" s="40" t="n">
        <v>2.52713458577249</v>
      </c>
      <c r="K95" s="39" t="n">
        <f aca="false">IF(G95="","",MAX(0,G95-J95/100))</f>
        <v>0.409811527070452</v>
      </c>
      <c r="L95" s="39" t="n">
        <f aca="false">IF(G95="","",MIN(1,G95+J95/100))</f>
        <v>0.460354218785902</v>
      </c>
      <c r="M95" s="21" t="n">
        <f aca="false">IF(F95="","",ROUND(F95*J95/100,0))</f>
        <v>18</v>
      </c>
      <c r="P95" s="41" t="n">
        <v>-0.677314571830072</v>
      </c>
      <c r="Q95" s="42" t="n">
        <v>724</v>
      </c>
      <c r="R95" s="43" t="n">
        <f aca="false">MAX(0,MIN(1,P95/100+$D$5))</f>
        <v>0.43451203794617</v>
      </c>
      <c r="S95" s="44" t="s">
        <v>90</v>
      </c>
    </row>
    <row r="96" customFormat="false" ht="15" hidden="false" customHeight="false" outlineLevel="0" collapsed="false">
      <c r="A96" s="38" t="s">
        <v>145</v>
      </c>
      <c r="B96" s="38" t="s">
        <v>138</v>
      </c>
      <c r="C96" s="38" t="s">
        <v>88</v>
      </c>
      <c r="D96" s="21" t="n">
        <f aca="false">ROUND(Q96*R96,0)</f>
        <v>871</v>
      </c>
      <c r="E96" s="21" t="n">
        <f aca="false">ROUND(Q96,0)-D96</f>
        <v>1502</v>
      </c>
      <c r="F96" s="21" t="n">
        <f aca="false">IF(COUNTA(D96:E96)=0,"",SUM(D96:E96))</f>
        <v>2373</v>
      </c>
      <c r="G96" s="39" t="n">
        <f aca="false">IF(OR(F96="",F96=0),"",D96/F96)</f>
        <v>0.367045933417615</v>
      </c>
      <c r="H96" s="39" t="n">
        <f aca="false">IF(OR(F96="",F96=0),"",E96/F96)</f>
        <v>0.632954066582385</v>
      </c>
      <c r="I96" s="38" t="s">
        <v>89</v>
      </c>
      <c r="J96" s="40" t="n">
        <v>1.48763296796655</v>
      </c>
      <c r="K96" s="39" t="n">
        <f aca="false">IF(G96="","",MAX(0,G96-J96/100))</f>
        <v>0.352169603737949</v>
      </c>
      <c r="L96" s="39" t="n">
        <f aca="false">IF(G96="","",MIN(1,G96+J96/100))</f>
        <v>0.38192226309728</v>
      </c>
      <c r="M96" s="21" t="n">
        <f aca="false">IF(F96="","",ROUND(F96*J96/100,0))</f>
        <v>35</v>
      </c>
      <c r="P96" s="41" t="n">
        <v>-7.42472240019365</v>
      </c>
      <c r="Q96" s="42" t="n">
        <v>2373</v>
      </c>
      <c r="R96" s="43" t="n">
        <f aca="false">MAX(0,MIN(1,P96/100+$D$5))</f>
        <v>0.367037959662534</v>
      </c>
      <c r="S96" s="44" t="s">
        <v>96</v>
      </c>
    </row>
    <row r="97" customFormat="false" ht="15" hidden="false" customHeight="false" outlineLevel="0" collapsed="false">
      <c r="A97" s="38" t="s">
        <v>145</v>
      </c>
      <c r="B97" s="38" t="s">
        <v>177</v>
      </c>
      <c r="C97" s="38" t="s">
        <v>88</v>
      </c>
      <c r="D97" s="21" t="n">
        <f aca="false">ROUND(Q97*R97,0)</f>
        <v>215</v>
      </c>
      <c r="E97" s="21" t="n">
        <f aca="false">ROUND(Q97,0)-D97</f>
        <v>199</v>
      </c>
      <c r="F97" s="21" t="n">
        <f aca="false">IF(COUNTA(D97:E97)=0,"",SUM(D97:E97))</f>
        <v>414</v>
      </c>
      <c r="G97" s="39" t="n">
        <f aca="false">IF(OR(F97="",F97=0),"",D97/F97)</f>
        <v>0.519323671497585</v>
      </c>
      <c r="H97" s="39" t="n">
        <f aca="false">IF(OR(F97="",F97=0),"",E97/F97)</f>
        <v>0.480676328502416</v>
      </c>
      <c r="I97" s="38" t="s">
        <v>89</v>
      </c>
      <c r="J97" s="40" t="n">
        <v>2.52713458577249</v>
      </c>
      <c r="K97" s="39" t="n">
        <f aca="false">IF(G97="","",MAX(0,G97-J97/100))</f>
        <v>0.49405232563986</v>
      </c>
      <c r="L97" s="39" t="n">
        <f aca="false">IF(G97="","",MIN(1,G97+J97/100))</f>
        <v>0.544595017355309</v>
      </c>
      <c r="M97" s="21" t="n">
        <f aca="false">IF(F97="","",ROUND(F97*J97/100,0))</f>
        <v>10</v>
      </c>
      <c r="P97" s="41" t="n">
        <v>7.71758923807404</v>
      </c>
      <c r="Q97" s="42" t="n">
        <v>414</v>
      </c>
      <c r="R97" s="43" t="n">
        <f aca="false">MAX(0,MIN(1,P97/100+$D$5))</f>
        <v>0.518461076045211</v>
      </c>
      <c r="S97" s="44" t="s">
        <v>90</v>
      </c>
    </row>
    <row r="98" customFormat="false" ht="15" hidden="false" customHeight="false" outlineLevel="0" collapsed="false">
      <c r="A98" s="38" t="s">
        <v>145</v>
      </c>
      <c r="B98" s="38" t="s">
        <v>178</v>
      </c>
      <c r="C98" s="38" t="s">
        <v>88</v>
      </c>
      <c r="D98" s="21" t="n">
        <f aca="false">ROUND(Q98*R98,0)</f>
        <v>1621</v>
      </c>
      <c r="E98" s="21" t="n">
        <f aca="false">ROUND(Q98,0)-D98</f>
        <v>1695</v>
      </c>
      <c r="F98" s="21" t="n">
        <f aca="false">IF(COUNTA(D98:E98)=0,"",SUM(D98:E98))</f>
        <v>3316</v>
      </c>
      <c r="G98" s="39" t="n">
        <f aca="false">IF(OR(F98="",F98=0),"",D98/F98)</f>
        <v>0.488841978287093</v>
      </c>
      <c r="H98" s="39" t="n">
        <f aca="false">IF(OR(F98="",F98=0),"",E98/F98)</f>
        <v>0.511158021712907</v>
      </c>
      <c r="I98" s="38" t="s">
        <v>89</v>
      </c>
      <c r="J98" s="40" t="n">
        <v>1.48763296796655</v>
      </c>
      <c r="K98" s="39" t="n">
        <f aca="false">IF(G98="","",MAX(0,G98-J98/100))</f>
        <v>0.473965648607427</v>
      </c>
      <c r="L98" s="39" t="n">
        <f aca="false">IF(G98="","",MIN(1,G98+J98/100))</f>
        <v>0.503718307966758</v>
      </c>
      <c r="M98" s="21" t="n">
        <f aca="false">IF(F98="","",ROUND(F98*J98/100,0))</f>
        <v>49</v>
      </c>
      <c r="P98" s="41" t="n">
        <v>4.74084477959605</v>
      </c>
      <c r="Q98" s="42" t="n">
        <v>3316</v>
      </c>
      <c r="R98" s="43" t="n">
        <f aca="false">MAX(0,MIN(1,P98/100+$D$5))</f>
        <v>0.488693631460431</v>
      </c>
      <c r="S98" s="44" t="s">
        <v>96</v>
      </c>
    </row>
    <row r="99" customFormat="false" ht="15" hidden="false" customHeight="false" outlineLevel="0" collapsed="false">
      <c r="A99" s="38" t="s">
        <v>145</v>
      </c>
      <c r="B99" s="38" t="s">
        <v>179</v>
      </c>
      <c r="C99" s="38" t="s">
        <v>88</v>
      </c>
      <c r="D99" s="21" t="n">
        <f aca="false">ROUND(Q99*R99,0)</f>
        <v>1326</v>
      </c>
      <c r="E99" s="21" t="n">
        <f aca="false">ROUND(Q99,0)-D99</f>
        <v>967</v>
      </c>
      <c r="F99" s="21" t="n">
        <f aca="false">IF(COUNTA(D99:E99)=0,"",SUM(D99:E99))</f>
        <v>2293</v>
      </c>
      <c r="G99" s="39" t="n">
        <f aca="false">IF(OR(F99="",F99=0),"",D99/F99)</f>
        <v>0.578281726995203</v>
      </c>
      <c r="H99" s="39" t="n">
        <f aca="false">IF(OR(F99="",F99=0),"",E99/F99)</f>
        <v>0.421718273004797</v>
      </c>
      <c r="I99" s="38" t="s">
        <v>89</v>
      </c>
      <c r="J99" s="40" t="n">
        <v>1.48763296796655</v>
      </c>
      <c r="K99" s="39" t="n">
        <f aca="false">IF(G99="","",MAX(0,G99-J99/100))</f>
        <v>0.563405397315537</v>
      </c>
      <c r="L99" s="39" t="n">
        <f aca="false">IF(G99="","",MIN(1,G99+J99/100))</f>
        <v>0.593158056674868</v>
      </c>
      <c r="M99" s="21" t="n">
        <f aca="false">IF(F99="","",ROUND(F99*J99/100,0))</f>
        <v>34</v>
      </c>
      <c r="P99" s="41" t="n">
        <v>13.6940002027983</v>
      </c>
      <c r="Q99" s="42" t="n">
        <v>2293</v>
      </c>
      <c r="R99" s="43" t="n">
        <f aca="false">MAX(0,MIN(1,P99/100+$D$5))</f>
        <v>0.578225185692453</v>
      </c>
      <c r="S99" s="44" t="s">
        <v>96</v>
      </c>
    </row>
    <row r="100" customFormat="false" ht="15" hidden="false" customHeight="false" outlineLevel="0" collapsed="false">
      <c r="A100" s="38" t="s">
        <v>145</v>
      </c>
      <c r="B100" s="38" t="s">
        <v>180</v>
      </c>
      <c r="C100" s="38" t="s">
        <v>88</v>
      </c>
      <c r="D100" s="21" t="n">
        <f aca="false">ROUND(Q100*R100,0)</f>
        <v>514</v>
      </c>
      <c r="E100" s="21" t="n">
        <f aca="false">ROUND(Q100,0)-D100</f>
        <v>581</v>
      </c>
      <c r="F100" s="21" t="n">
        <f aca="false">IF(COUNTA(D100:E100)=0,"",SUM(D100:E100))</f>
        <v>1095</v>
      </c>
      <c r="G100" s="39" t="n">
        <f aca="false">IF(OR(F100="",F100=0),"",D100/F100)</f>
        <v>0.469406392694064</v>
      </c>
      <c r="H100" s="39" t="n">
        <f aca="false">IF(OR(F100="",F100=0),"",E100/F100)</f>
        <v>0.530593607305936</v>
      </c>
      <c r="I100" s="38" t="s">
        <v>89</v>
      </c>
      <c r="J100" s="40" t="n">
        <v>2.52713458577249</v>
      </c>
      <c r="K100" s="39" t="n">
        <f aca="false">IF(G100="","",MAX(0,G100-J100/100))</f>
        <v>0.444135046836339</v>
      </c>
      <c r="L100" s="39" t="n">
        <f aca="false">IF(G100="","",MIN(1,G100+J100/100))</f>
        <v>0.494677738551789</v>
      </c>
      <c r="M100" s="21" t="n">
        <f aca="false">IF(F100="","",ROUND(F100*J100/100,0))</f>
        <v>28</v>
      </c>
      <c r="P100" s="41" t="n">
        <v>2.85036015140565</v>
      </c>
      <c r="Q100" s="42" t="n">
        <v>1095</v>
      </c>
      <c r="R100" s="43" t="n">
        <f aca="false">MAX(0,MIN(1,P100/100+$D$5))</f>
        <v>0.469788785178527</v>
      </c>
      <c r="S100" s="44" t="s">
        <v>90</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s>
  <sheetData>
    <row r="1" customFormat="false" ht="17.35" hidden="false" customHeight="false" outlineLevel="0" collapsed="false">
      <c r="A1" s="1" t="s">
        <v>181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0" t="s">
        <v>54</v>
      </c>
      <c r="B4" s="0" t="s">
        <v>182</v>
      </c>
      <c r="C4" s="0" t="s">
        <v>56</v>
      </c>
      <c r="D4" s="27" t="n">
        <v>46300</v>
      </c>
      <c r="E4" s="28" t="s">
        <v>57</v>
      </c>
      <c r="F4" s="28" t="s">
        <v>58</v>
      </c>
      <c r="G4" s="28" t="s">
        <v>59</v>
      </c>
      <c r="H4" s="28" t="s">
        <v>60</v>
      </c>
    </row>
    <row r="5" customFormat="false" ht="15" hidden="false" customHeight="false" outlineLevel="0" collapsed="false">
      <c r="A5" s="0" t="s">
        <v>61</v>
      </c>
      <c r="B5" s="29" t="n">
        <f aca="false">'Scenario &amp; Comparison'!$C$6</f>
        <v>0.528169484134382</v>
      </c>
      <c r="C5" s="28" t="s">
        <v>62</v>
      </c>
      <c r="D5" s="30" t="n">
        <f aca="false">B5-SUMPRODUCT(P12:P100,Q12:Q100)/SUM(Q12:Q100)/100</f>
        <v>0.446260359753039</v>
      </c>
      <c r="E5" s="28" t="s">
        <v>63</v>
      </c>
      <c r="F5" s="31" t="n">
        <v>1.94022906412522</v>
      </c>
    </row>
    <row r="6" customFormat="false" ht="15" hidden="false" customHeight="false" outlineLevel="0" collapsed="false">
      <c r="A6" s="4" t="s">
        <v>64</v>
      </c>
      <c r="B6" s="4"/>
      <c r="C6" s="4"/>
      <c r="D6" s="4"/>
      <c r="E6" s="4"/>
      <c r="F6" s="4"/>
      <c r="G6" s="4"/>
      <c r="H6" s="4"/>
      <c r="I6" s="4"/>
      <c r="J6" s="4"/>
      <c r="K6" s="4"/>
      <c r="L6" s="4"/>
      <c r="M6" s="4"/>
    </row>
    <row r="7" customFormat="false" ht="31.5" hidden="false" customHeight="true" outlineLevel="0" collapsed="false">
      <c r="A7" s="7" t="s">
        <v>65</v>
      </c>
      <c r="B7" s="7" t="s">
        <v>66</v>
      </c>
      <c r="C7" s="7" t="s">
        <v>67</v>
      </c>
      <c r="D7" s="7" t="s">
        <v>18</v>
      </c>
      <c r="E7" s="7" t="s">
        <v>19</v>
      </c>
      <c r="F7" s="7" t="s">
        <v>68</v>
      </c>
      <c r="G7" s="7" t="s">
        <v>21</v>
      </c>
      <c r="H7" s="7" t="s">
        <v>69</v>
      </c>
      <c r="I7" s="7" t="s">
        <v>70</v>
      </c>
      <c r="J7" s="7" t="s">
        <v>71</v>
      </c>
      <c r="K7" s="7" t="s">
        <v>72</v>
      </c>
      <c r="L7" s="7" t="s">
        <v>73</v>
      </c>
      <c r="M7" s="7" t="s">
        <v>74</v>
      </c>
    </row>
    <row r="8" customFormat="false" ht="15" hidden="false" customHeight="false" outlineLevel="0" collapsed="false">
      <c r="A8" s="11" t="s">
        <v>75</v>
      </c>
      <c r="B8" s="11" t="s">
        <v>76</v>
      </c>
      <c r="C8" s="11"/>
      <c r="D8" s="32" t="n">
        <f aca="false">SUM(D12:D100)</f>
        <v>156809</v>
      </c>
      <c r="E8" s="32" t="n">
        <f aca="false">SUM(E12:E100)</f>
        <v>140082</v>
      </c>
      <c r="F8" s="32" t="n">
        <f aca="false">D8+E8</f>
        <v>296891</v>
      </c>
      <c r="G8" s="33" t="n">
        <f aca="false">IF(F8=0,"",D8/F8)</f>
        <v>0.528170271244329</v>
      </c>
      <c r="H8" s="33" t="n">
        <f aca="false">IF(F8=0,"",E8/F8)</f>
        <v>0.471829728755671</v>
      </c>
      <c r="I8" s="11" t="s">
        <v>77</v>
      </c>
      <c r="J8" s="34" t="n">
        <v>1.94022906412522</v>
      </c>
      <c r="K8" s="33" t="n">
        <f aca="false">G8-J8/100</f>
        <v>0.508767980603077</v>
      </c>
      <c r="L8" s="33" t="n">
        <f aca="false">G8+J8/100</f>
        <v>0.547572561885581</v>
      </c>
      <c r="M8" s="32" t="n">
        <f aca="false">ROUND(F8*J8/100,0)</f>
        <v>5760</v>
      </c>
    </row>
    <row r="9" customFormat="false" ht="15" hidden="false" customHeight="false" outlineLevel="0" collapsed="false">
      <c r="A9" s="23" t="s">
        <v>78</v>
      </c>
      <c r="B9" s="23"/>
      <c r="C9" s="23"/>
      <c r="D9" s="23"/>
      <c r="E9" s="23"/>
      <c r="F9" s="23"/>
      <c r="G9" s="23"/>
      <c r="H9" s="23"/>
      <c r="I9" s="23"/>
      <c r="J9" s="23"/>
      <c r="K9" s="23"/>
      <c r="L9" s="23"/>
      <c r="M9" s="23"/>
    </row>
    <row r="10" customFormat="false" ht="15" hidden="false" customHeight="false" outlineLevel="0" collapsed="false">
      <c r="A10" s="4" t="s">
        <v>79</v>
      </c>
      <c r="B10" s="4"/>
      <c r="C10" s="4"/>
      <c r="D10" s="4"/>
      <c r="E10" s="4"/>
      <c r="F10" s="4"/>
      <c r="G10" s="4"/>
      <c r="H10" s="4"/>
      <c r="I10" s="4"/>
      <c r="J10" s="4"/>
      <c r="K10" s="4"/>
      <c r="L10" s="4"/>
      <c r="M10" s="4"/>
      <c r="P10" s="35" t="s">
        <v>80</v>
      </c>
      <c r="Q10" s="36"/>
      <c r="R10" s="36"/>
      <c r="S10" s="36"/>
    </row>
    <row r="11" customFormat="false" ht="31.5" hidden="false" customHeight="true" outlineLevel="0" collapsed="false">
      <c r="A11" s="7" t="s">
        <v>42</v>
      </c>
      <c r="B11" s="7" t="s">
        <v>43</v>
      </c>
      <c r="C11" s="7" t="s">
        <v>44</v>
      </c>
      <c r="D11" s="7" t="s">
        <v>18</v>
      </c>
      <c r="E11" s="7" t="s">
        <v>19</v>
      </c>
      <c r="F11" s="7" t="s">
        <v>68</v>
      </c>
      <c r="G11" s="7" t="s">
        <v>21</v>
      </c>
      <c r="H11" s="7" t="s">
        <v>69</v>
      </c>
      <c r="I11" s="7" t="s">
        <v>81</v>
      </c>
      <c r="J11" s="7" t="s">
        <v>71</v>
      </c>
      <c r="K11" s="7" t="s">
        <v>72</v>
      </c>
      <c r="L11" s="7" t="s">
        <v>73</v>
      </c>
      <c r="M11" s="7" t="s">
        <v>74</v>
      </c>
      <c r="P11" s="37" t="s">
        <v>82</v>
      </c>
      <c r="Q11" s="37" t="s">
        <v>83</v>
      </c>
      <c r="R11" s="37" t="s">
        <v>84</v>
      </c>
      <c r="S11" s="37" t="s">
        <v>85</v>
      </c>
    </row>
    <row r="12" customFormat="false" ht="15" hidden="false" customHeight="false" outlineLevel="0" collapsed="false">
      <c r="A12" s="38" t="s">
        <v>86</v>
      </c>
      <c r="B12" s="38" t="s">
        <v>87</v>
      </c>
      <c r="C12" s="38" t="s">
        <v>88</v>
      </c>
      <c r="D12" s="21" t="n">
        <f aca="false">ROUND(Q12*R12,0)</f>
        <v>165</v>
      </c>
      <c r="E12" s="21" t="n">
        <f aca="false">ROUND(Q12,0)-D12</f>
        <v>221</v>
      </c>
      <c r="F12" s="21" t="n">
        <f aca="false">IF(COUNTA(D12:E12)=0,"",SUM(D12:E12))</f>
        <v>386</v>
      </c>
      <c r="G12" s="39" t="n">
        <f aca="false">IF(OR(F12="",F12=0),"",D12/F12)</f>
        <v>0.427461139896373</v>
      </c>
      <c r="H12" s="39" t="n">
        <f aca="false">IF(OR(F12="",F12=0),"",E12/F12)</f>
        <v>0.572538860103627</v>
      </c>
      <c r="I12" s="38" t="s">
        <v>89</v>
      </c>
      <c r="J12" s="40" t="n">
        <v>2.70598815047927</v>
      </c>
      <c r="K12" s="39" t="n">
        <f aca="false">IF(G12="","",MAX(0,G12-J12/100))</f>
        <v>0.40040125839158</v>
      </c>
      <c r="L12" s="39" t="n">
        <f aca="false">IF(G12="","",MIN(1,G12+J12/100))</f>
        <v>0.454521021401166</v>
      </c>
      <c r="M12" s="21" t="n">
        <f aca="false">IF(F12="","",ROUND(F12*J12/100,0))</f>
        <v>10</v>
      </c>
      <c r="P12" s="41" t="n">
        <v>-1.88604671356007</v>
      </c>
      <c r="Q12" s="42" t="n">
        <v>386</v>
      </c>
      <c r="R12" s="43" t="n">
        <f aca="false">MAX(0,MIN(1,P12/100+$D$5))</f>
        <v>0.427399892617438</v>
      </c>
      <c r="S12" s="44" t="s">
        <v>90</v>
      </c>
    </row>
    <row r="13" customFormat="false" ht="15" hidden="false" customHeight="false" outlineLevel="0" collapsed="false">
      <c r="A13" s="38" t="s">
        <v>86</v>
      </c>
      <c r="B13" s="38" t="s">
        <v>91</v>
      </c>
      <c r="C13" s="38" t="s">
        <v>88</v>
      </c>
      <c r="D13" s="21" t="n">
        <f aca="false">ROUND(Q13*R13,0)</f>
        <v>102</v>
      </c>
      <c r="E13" s="21" t="n">
        <f aca="false">ROUND(Q13,0)-D13</f>
        <v>212</v>
      </c>
      <c r="F13" s="21" t="n">
        <f aca="false">IF(COUNTA(D13:E13)=0,"",SUM(D13:E13))</f>
        <v>314</v>
      </c>
      <c r="G13" s="39" t="n">
        <f aca="false">IF(OR(F13="",F13=0),"",D13/F13)</f>
        <v>0.32484076433121</v>
      </c>
      <c r="H13" s="39" t="n">
        <f aca="false">IF(OR(F13="",F13=0),"",E13/F13)</f>
        <v>0.67515923566879</v>
      </c>
      <c r="I13" s="38" t="s">
        <v>89</v>
      </c>
      <c r="J13" s="40" t="n">
        <v>2.70598815047927</v>
      </c>
      <c r="K13" s="39" t="n">
        <f aca="false">IF(G13="","",MAX(0,G13-J13/100))</f>
        <v>0.297780882826417</v>
      </c>
      <c r="L13" s="39" t="n">
        <f aca="false">IF(G13="","",MIN(1,G13+J13/100))</f>
        <v>0.351900645836003</v>
      </c>
      <c r="M13" s="21" t="n">
        <f aca="false">IF(F13="","",ROUND(F13*J13/100,0))</f>
        <v>8</v>
      </c>
      <c r="P13" s="41" t="n">
        <v>-12.1218513977511</v>
      </c>
      <c r="Q13" s="42" t="n">
        <v>314</v>
      </c>
      <c r="R13" s="43" t="n">
        <f aca="false">MAX(0,MIN(1,P13/100+$D$5))</f>
        <v>0.325041845775528</v>
      </c>
      <c r="S13" s="44" t="s">
        <v>90</v>
      </c>
    </row>
    <row r="14" customFormat="false" ht="15" hidden="false" customHeight="false" outlineLevel="0" collapsed="false">
      <c r="A14" s="38" t="s">
        <v>86</v>
      </c>
      <c r="B14" s="38" t="s">
        <v>92</v>
      </c>
      <c r="C14" s="38" t="s">
        <v>88</v>
      </c>
      <c r="D14" s="21" t="n">
        <f aca="false">ROUND(Q14*R14,0)</f>
        <v>128</v>
      </c>
      <c r="E14" s="21" t="n">
        <f aca="false">ROUND(Q14,0)-D14</f>
        <v>220</v>
      </c>
      <c r="F14" s="21" t="n">
        <f aca="false">IF(COUNTA(D14:E14)=0,"",SUM(D14:E14))</f>
        <v>348</v>
      </c>
      <c r="G14" s="39" t="n">
        <f aca="false">IF(OR(F14="",F14=0),"",D14/F14)</f>
        <v>0.367816091954023</v>
      </c>
      <c r="H14" s="39" t="n">
        <f aca="false">IF(OR(F14="",F14=0),"",E14/F14)</f>
        <v>0.632183908045977</v>
      </c>
      <c r="I14" s="38" t="s">
        <v>89</v>
      </c>
      <c r="J14" s="40" t="n">
        <v>2.70598815047927</v>
      </c>
      <c r="K14" s="39" t="n">
        <f aca="false">IF(G14="","",MAX(0,G14-J14/100))</f>
        <v>0.34075621044923</v>
      </c>
      <c r="L14" s="39" t="n">
        <f aca="false">IF(G14="","",MIN(1,G14+J14/100))</f>
        <v>0.394875973458816</v>
      </c>
      <c r="M14" s="21" t="n">
        <f aca="false">IF(F14="","",ROUND(F14*J14/100,0))</f>
        <v>9</v>
      </c>
      <c r="P14" s="41" t="n">
        <v>-7.84019321884252</v>
      </c>
      <c r="Q14" s="42" t="n">
        <v>348</v>
      </c>
      <c r="R14" s="43" t="n">
        <f aca="false">MAX(0,MIN(1,P14/100+$D$5))</f>
        <v>0.367858427564614</v>
      </c>
      <c r="S14" s="44" t="s">
        <v>90</v>
      </c>
    </row>
    <row r="15" customFormat="false" ht="15" hidden="false" customHeight="false" outlineLevel="0" collapsed="false">
      <c r="A15" s="38" t="s">
        <v>86</v>
      </c>
      <c r="B15" s="38" t="s">
        <v>93</v>
      </c>
      <c r="C15" s="38" t="s">
        <v>88</v>
      </c>
      <c r="D15" s="21" t="n">
        <f aca="false">ROUND(Q15*R15,0)</f>
        <v>409</v>
      </c>
      <c r="E15" s="21" t="n">
        <f aca="false">ROUND(Q15,0)-D15</f>
        <v>888</v>
      </c>
      <c r="F15" s="21" t="n">
        <f aca="false">IF(COUNTA(D15:E15)=0,"",SUM(D15:E15))</f>
        <v>1297</v>
      </c>
      <c r="G15" s="39" t="n">
        <f aca="false">IF(OR(F15="",F15=0),"",D15/F15)</f>
        <v>0.315343099460293</v>
      </c>
      <c r="H15" s="39" t="n">
        <f aca="false">IF(OR(F15="",F15=0),"",E15/F15)</f>
        <v>0.684656900539707</v>
      </c>
      <c r="I15" s="38" t="s">
        <v>89</v>
      </c>
      <c r="J15" s="40" t="n">
        <v>2.70598815047927</v>
      </c>
      <c r="K15" s="39" t="n">
        <f aca="false">IF(G15="","",MAX(0,G15-J15/100))</f>
        <v>0.2882832179555</v>
      </c>
      <c r="L15" s="39" t="n">
        <f aca="false">IF(G15="","",MIN(1,G15+J15/100))</f>
        <v>0.342402980965086</v>
      </c>
      <c r="M15" s="21" t="n">
        <f aca="false">IF(F15="","",ROUND(F15*J15/100,0))</f>
        <v>35</v>
      </c>
      <c r="P15" s="41" t="n">
        <v>-13.1271699718296</v>
      </c>
      <c r="Q15" s="42" t="n">
        <v>1297</v>
      </c>
      <c r="R15" s="43" t="n">
        <f aca="false">MAX(0,MIN(1,P15/100+$D$5))</f>
        <v>0.314988660034743</v>
      </c>
      <c r="S15" s="44" t="s">
        <v>90</v>
      </c>
    </row>
    <row r="16" customFormat="false" ht="15" hidden="false" customHeight="false" outlineLevel="0" collapsed="false">
      <c r="A16" s="38" t="s">
        <v>86</v>
      </c>
      <c r="B16" s="38" t="s">
        <v>94</v>
      </c>
      <c r="C16" s="38" t="s">
        <v>88</v>
      </c>
      <c r="D16" s="21" t="n">
        <f aca="false">ROUND(Q16*R16,0)</f>
        <v>36</v>
      </c>
      <c r="E16" s="21" t="n">
        <f aca="false">ROUND(Q16,0)-D16</f>
        <v>58</v>
      </c>
      <c r="F16" s="21" t="n">
        <f aca="false">IF(COUNTA(D16:E16)=0,"",SUM(D16:E16))</f>
        <v>94</v>
      </c>
      <c r="G16" s="39" t="n">
        <f aca="false">IF(OR(F16="",F16=0),"",D16/F16)</f>
        <v>0.382978723404255</v>
      </c>
      <c r="H16" s="39" t="n">
        <f aca="false">IF(OR(F16="",F16=0),"",E16/F16)</f>
        <v>0.617021276595745</v>
      </c>
      <c r="I16" s="38" t="s">
        <v>89</v>
      </c>
      <c r="J16" s="40" t="n">
        <v>2.70598815047927</v>
      </c>
      <c r="K16" s="39" t="n">
        <f aca="false">IF(G16="","",MAX(0,G16-J16/100))</f>
        <v>0.355918841899463</v>
      </c>
      <c r="L16" s="39" t="n">
        <f aca="false">IF(G16="","",MIN(1,G16+J16/100))</f>
        <v>0.410038604909048</v>
      </c>
      <c r="M16" s="21" t="n">
        <f aca="false">IF(F16="","",ROUND(F16*J16/100,0))</f>
        <v>3</v>
      </c>
      <c r="P16" s="41" t="n">
        <v>-5.80374603190229</v>
      </c>
      <c r="Q16" s="42" t="n">
        <v>94</v>
      </c>
      <c r="R16" s="43" t="n">
        <f aca="false">MAX(0,MIN(1,P16/100+$D$5))</f>
        <v>0.388222899434016</v>
      </c>
      <c r="S16" s="44" t="s">
        <v>90</v>
      </c>
    </row>
    <row r="17" customFormat="false" ht="15" hidden="false" customHeight="false" outlineLevel="0" collapsed="false">
      <c r="A17" s="38" t="s">
        <v>86</v>
      </c>
      <c r="B17" s="38" t="s">
        <v>95</v>
      </c>
      <c r="C17" s="38" t="s">
        <v>88</v>
      </c>
      <c r="D17" s="21" t="n">
        <f aca="false">ROUND(Q17*R17,0)</f>
        <v>626</v>
      </c>
      <c r="E17" s="21" t="n">
        <f aca="false">ROUND(Q17,0)-D17</f>
        <v>1332</v>
      </c>
      <c r="F17" s="21" t="n">
        <f aca="false">IF(COUNTA(D17:E17)=0,"",SUM(D17:E17))</f>
        <v>1958</v>
      </c>
      <c r="G17" s="39" t="n">
        <f aca="false">IF(OR(F17="",F17=0),"",D17/F17)</f>
        <v>0.319713993871297</v>
      </c>
      <c r="H17" s="39" t="n">
        <f aca="false">IF(OR(F17="",F17=0),"",E17/F17)</f>
        <v>0.680286006128703</v>
      </c>
      <c r="I17" s="38" t="s">
        <v>89</v>
      </c>
      <c r="J17" s="40" t="n">
        <v>1.7997491277276</v>
      </c>
      <c r="K17" s="39" t="n">
        <f aca="false">IF(G17="","",MAX(0,G17-J17/100))</f>
        <v>0.301716502594021</v>
      </c>
      <c r="L17" s="39" t="n">
        <f aca="false">IF(G17="","",MIN(1,G17+J17/100))</f>
        <v>0.337711485148573</v>
      </c>
      <c r="M17" s="21" t="n">
        <f aca="false">IF(F17="","",ROUND(F17*J17/100,0))</f>
        <v>35</v>
      </c>
      <c r="P17" s="41" t="n">
        <v>-12.6490033276251</v>
      </c>
      <c r="Q17" s="42" t="n">
        <v>1958</v>
      </c>
      <c r="R17" s="43" t="n">
        <f aca="false">MAX(0,MIN(1,P17/100+$D$5))</f>
        <v>0.319770326476789</v>
      </c>
      <c r="S17" s="44" t="s">
        <v>96</v>
      </c>
    </row>
    <row r="18" customFormat="false" ht="15" hidden="false" customHeight="false" outlineLevel="0" collapsed="false">
      <c r="A18" s="38" t="s">
        <v>86</v>
      </c>
      <c r="B18" s="38" t="s">
        <v>97</v>
      </c>
      <c r="C18" s="38" t="s">
        <v>88</v>
      </c>
      <c r="D18" s="21" t="n">
        <f aca="false">ROUND(Q18*R18,0)</f>
        <v>1029</v>
      </c>
      <c r="E18" s="21" t="n">
        <f aca="false">ROUND(Q18,0)-D18</f>
        <v>1107</v>
      </c>
      <c r="F18" s="21" t="n">
        <f aca="false">IF(COUNTA(D18:E18)=0,"",SUM(D18:E18))</f>
        <v>2136</v>
      </c>
      <c r="G18" s="39" t="n">
        <f aca="false">IF(OR(F18="",F18=0),"",D18/F18)</f>
        <v>0.481741573033708</v>
      </c>
      <c r="H18" s="39" t="n">
        <f aca="false">IF(OR(F18="",F18=0),"",E18/F18)</f>
        <v>0.518258426966292</v>
      </c>
      <c r="I18" s="38" t="s">
        <v>89</v>
      </c>
      <c r="J18" s="40" t="n">
        <v>1.7997491277276</v>
      </c>
      <c r="K18" s="39" t="n">
        <f aca="false">IF(G18="","",MAX(0,G18-J18/100))</f>
        <v>0.463744081756432</v>
      </c>
      <c r="L18" s="39" t="n">
        <f aca="false">IF(G18="","",MIN(1,G18+J18/100))</f>
        <v>0.499739064310984</v>
      </c>
      <c r="M18" s="21" t="n">
        <f aca="false">IF(F18="","",ROUND(F18*J18/100,0))</f>
        <v>38</v>
      </c>
      <c r="P18" s="41" t="n">
        <v>3.54097338730269</v>
      </c>
      <c r="Q18" s="42" t="n">
        <v>2136</v>
      </c>
      <c r="R18" s="43" t="n">
        <f aca="false">MAX(0,MIN(1,P18/100+$D$5))</f>
        <v>0.481670093626066</v>
      </c>
      <c r="S18" s="44" t="s">
        <v>96</v>
      </c>
    </row>
    <row r="19" customFormat="false" ht="15" hidden="false" customHeight="false" outlineLevel="0" collapsed="false">
      <c r="A19" s="38" t="s">
        <v>86</v>
      </c>
      <c r="B19" s="38" t="s">
        <v>98</v>
      </c>
      <c r="C19" s="38" t="s">
        <v>88</v>
      </c>
      <c r="D19" s="21" t="n">
        <f aca="false">ROUND(Q19*R19,0)</f>
        <v>313</v>
      </c>
      <c r="E19" s="21" t="n">
        <f aca="false">ROUND(Q19,0)-D19</f>
        <v>524</v>
      </c>
      <c r="F19" s="21" t="n">
        <f aca="false">IF(COUNTA(D19:E19)=0,"",SUM(D19:E19))</f>
        <v>837</v>
      </c>
      <c r="G19" s="39" t="n">
        <f aca="false">IF(OR(F19="",F19=0),"",D19/F19)</f>
        <v>0.373954599761051</v>
      </c>
      <c r="H19" s="39" t="n">
        <f aca="false">IF(OR(F19="",F19=0),"",E19/F19)</f>
        <v>0.626045400238949</v>
      </c>
      <c r="I19" s="38" t="s">
        <v>89</v>
      </c>
      <c r="J19" s="40" t="n">
        <v>2.70598815047927</v>
      </c>
      <c r="K19" s="39" t="n">
        <f aca="false">IF(G19="","",MAX(0,G19-J19/100))</f>
        <v>0.346894718256259</v>
      </c>
      <c r="L19" s="39" t="n">
        <f aca="false">IF(G19="","",MIN(1,G19+J19/100))</f>
        <v>0.401014481265844</v>
      </c>
      <c r="M19" s="21" t="n">
        <f aca="false">IF(F19="","",ROUND(F19*J19/100,0))</f>
        <v>23</v>
      </c>
      <c r="P19" s="41" t="n">
        <v>-7.22021828281154</v>
      </c>
      <c r="Q19" s="42" t="n">
        <v>837</v>
      </c>
      <c r="R19" s="43" t="n">
        <f aca="false">MAX(0,MIN(1,P19/100+$D$5))</f>
        <v>0.374058176924924</v>
      </c>
      <c r="S19" s="44" t="s">
        <v>90</v>
      </c>
    </row>
    <row r="20" customFormat="false" ht="15" hidden="false" customHeight="false" outlineLevel="0" collapsed="false">
      <c r="A20" s="38" t="s">
        <v>86</v>
      </c>
      <c r="B20" s="38" t="s">
        <v>99</v>
      </c>
      <c r="C20" s="38" t="s">
        <v>88</v>
      </c>
      <c r="D20" s="21" t="n">
        <f aca="false">ROUND(Q20*R20,0)</f>
        <v>446</v>
      </c>
      <c r="E20" s="21" t="n">
        <f aca="false">ROUND(Q20,0)-D20</f>
        <v>554</v>
      </c>
      <c r="F20" s="21" t="n">
        <f aca="false">IF(COUNTA(D20:E20)=0,"",SUM(D20:E20))</f>
        <v>1000</v>
      </c>
      <c r="G20" s="39" t="n">
        <f aca="false">IF(OR(F20="",F20=0),"",D20/F20)</f>
        <v>0.446</v>
      </c>
      <c r="H20" s="39" t="n">
        <f aca="false">IF(OR(F20="",F20=0),"",E20/F20)</f>
        <v>0.554</v>
      </c>
      <c r="I20" s="38" t="s">
        <v>89</v>
      </c>
      <c r="J20" s="40" t="n">
        <v>2.70598815047927</v>
      </c>
      <c r="K20" s="39" t="n">
        <f aca="false">IF(G20="","",MAX(0,G20-J20/100))</f>
        <v>0.418940118495207</v>
      </c>
      <c r="L20" s="39" t="n">
        <f aca="false">IF(G20="","",MIN(1,G20+J20/100))</f>
        <v>0.473059881504793</v>
      </c>
      <c r="M20" s="21" t="n">
        <f aca="false">IF(F20="","",ROUND(F20*J20/100,0))</f>
        <v>27</v>
      </c>
      <c r="P20" s="41" t="n">
        <v>-0.0757703892273123</v>
      </c>
      <c r="Q20" s="42" t="n">
        <v>1000</v>
      </c>
      <c r="R20" s="43" t="n">
        <f aca="false">MAX(0,MIN(1,P20/100+$D$5))</f>
        <v>0.445502655860766</v>
      </c>
      <c r="S20" s="44" t="s">
        <v>90</v>
      </c>
    </row>
    <row r="21" customFormat="false" ht="15" hidden="false" customHeight="false" outlineLevel="0" collapsed="false">
      <c r="A21" s="38" t="s">
        <v>86</v>
      </c>
      <c r="B21" s="38" t="s">
        <v>100</v>
      </c>
      <c r="C21" s="38" t="s">
        <v>88</v>
      </c>
      <c r="D21" s="21" t="n">
        <f aca="false">ROUND(Q21*R21,0)</f>
        <v>37</v>
      </c>
      <c r="E21" s="21" t="n">
        <f aca="false">ROUND(Q21,0)-D21</f>
        <v>78</v>
      </c>
      <c r="F21" s="21" t="n">
        <f aca="false">IF(COUNTA(D21:E21)=0,"",SUM(D21:E21))</f>
        <v>115</v>
      </c>
      <c r="G21" s="39" t="n">
        <f aca="false">IF(OR(F21="",F21=0),"",D21/F21)</f>
        <v>0.321739130434783</v>
      </c>
      <c r="H21" s="39" t="n">
        <f aca="false">IF(OR(F21="",F21=0),"",E21/F21)</f>
        <v>0.678260869565217</v>
      </c>
      <c r="I21" s="38" t="s">
        <v>89</v>
      </c>
      <c r="J21" s="40" t="n">
        <v>2.70598815047927</v>
      </c>
      <c r="K21" s="39" t="n">
        <f aca="false">IF(G21="","",MAX(0,G21-J21/100))</f>
        <v>0.29467924892999</v>
      </c>
      <c r="L21" s="39" t="n">
        <f aca="false">IF(G21="","",MIN(1,G21+J21/100))</f>
        <v>0.348799011939575</v>
      </c>
      <c r="M21" s="21" t="n">
        <f aca="false">IF(F21="","",ROUND(F21*J21/100,0))</f>
        <v>3</v>
      </c>
      <c r="P21" s="41" t="n">
        <v>-12.5917130341237</v>
      </c>
      <c r="Q21" s="42" t="n">
        <v>115</v>
      </c>
      <c r="R21" s="43" t="n">
        <f aca="false">MAX(0,MIN(1,P21/100+$D$5))</f>
        <v>0.320343229411802</v>
      </c>
      <c r="S21" s="44" t="s">
        <v>90</v>
      </c>
    </row>
    <row r="22" customFormat="false" ht="15" hidden="false" customHeight="false" outlineLevel="0" collapsed="false">
      <c r="A22" s="38" t="s">
        <v>86</v>
      </c>
      <c r="B22" s="38" t="s">
        <v>101</v>
      </c>
      <c r="C22" s="38" t="s">
        <v>88</v>
      </c>
      <c r="D22" s="21" t="n">
        <f aca="false">ROUND(Q22*R22,0)</f>
        <v>61</v>
      </c>
      <c r="E22" s="21" t="n">
        <f aca="false">ROUND(Q22,0)-D22</f>
        <v>180</v>
      </c>
      <c r="F22" s="21" t="n">
        <f aca="false">IF(COUNTA(D22:E22)=0,"",SUM(D22:E22))</f>
        <v>241</v>
      </c>
      <c r="G22" s="39" t="n">
        <f aca="false">IF(OR(F22="",F22=0),"",D22/F22)</f>
        <v>0.253112033195021</v>
      </c>
      <c r="H22" s="39" t="n">
        <f aca="false">IF(OR(F22="",F22=0),"",E22/F22)</f>
        <v>0.746887966804979</v>
      </c>
      <c r="I22" s="38" t="s">
        <v>89</v>
      </c>
      <c r="J22" s="40" t="n">
        <v>2.70598815047927</v>
      </c>
      <c r="K22" s="39" t="n">
        <f aca="false">IF(G22="","",MAX(0,G22-J22/100))</f>
        <v>0.226052151690228</v>
      </c>
      <c r="L22" s="39" t="n">
        <f aca="false">IF(G22="","",MIN(1,G22+J22/100))</f>
        <v>0.280171914699813</v>
      </c>
      <c r="M22" s="21" t="n">
        <f aca="false">IF(F22="","",ROUND(F22*J22/100,0))</f>
        <v>7</v>
      </c>
      <c r="P22" s="41" t="n">
        <v>-19.3243072058654</v>
      </c>
      <c r="Q22" s="42" t="n">
        <v>241</v>
      </c>
      <c r="R22" s="43" t="n">
        <f aca="false">MAX(0,MIN(1,P22/100+$D$5))</f>
        <v>0.253017287694386</v>
      </c>
      <c r="S22" s="44" t="s">
        <v>90</v>
      </c>
    </row>
    <row r="23" customFormat="false" ht="15" hidden="false" customHeight="false" outlineLevel="0" collapsed="false">
      <c r="A23" s="38" t="s">
        <v>86</v>
      </c>
      <c r="B23" s="38" t="s">
        <v>102</v>
      </c>
      <c r="C23" s="38" t="s">
        <v>88</v>
      </c>
      <c r="D23" s="21" t="n">
        <f aca="false">ROUND(Q23*R23,0)</f>
        <v>737</v>
      </c>
      <c r="E23" s="21" t="n">
        <f aca="false">ROUND(Q23,0)-D23</f>
        <v>930</v>
      </c>
      <c r="F23" s="21" t="n">
        <f aca="false">IF(COUNTA(D23:E23)=0,"",SUM(D23:E23))</f>
        <v>1667</v>
      </c>
      <c r="G23" s="39" t="n">
        <f aca="false">IF(OR(F23="",F23=0),"",D23/F23)</f>
        <v>0.442111577684463</v>
      </c>
      <c r="H23" s="39" t="n">
        <f aca="false">IF(OR(F23="",F23=0),"",E23/F23)</f>
        <v>0.557888422315537</v>
      </c>
      <c r="I23" s="38" t="s">
        <v>89</v>
      </c>
      <c r="J23" s="40" t="n">
        <v>1.7997491277276</v>
      </c>
      <c r="K23" s="39" t="n">
        <f aca="false">IF(G23="","",MAX(0,G23-J23/100))</f>
        <v>0.424114086407187</v>
      </c>
      <c r="L23" s="39" t="n">
        <f aca="false">IF(G23="","",MIN(1,G23+J23/100))</f>
        <v>0.460109068961739</v>
      </c>
      <c r="M23" s="21" t="n">
        <f aca="false">IF(F23="","",ROUND(F23*J23/100,0))</f>
        <v>30</v>
      </c>
      <c r="P23" s="41" t="n">
        <v>-0.388717372097225</v>
      </c>
      <c r="Q23" s="42" t="n">
        <v>1667</v>
      </c>
      <c r="R23" s="43" t="n">
        <f aca="false">MAX(0,MIN(1,P23/100+$D$5))</f>
        <v>0.442373186032067</v>
      </c>
      <c r="S23" s="44" t="s">
        <v>96</v>
      </c>
    </row>
    <row r="24" customFormat="false" ht="15" hidden="false" customHeight="false" outlineLevel="0" collapsed="false">
      <c r="A24" s="38" t="s">
        <v>86</v>
      </c>
      <c r="B24" s="38" t="s">
        <v>103</v>
      </c>
      <c r="C24" s="38" t="s">
        <v>88</v>
      </c>
      <c r="D24" s="21" t="n">
        <f aca="false">ROUND(Q24*R24,0)</f>
        <v>457</v>
      </c>
      <c r="E24" s="21" t="n">
        <f aca="false">ROUND(Q24,0)-D24</f>
        <v>889</v>
      </c>
      <c r="F24" s="21" t="n">
        <f aca="false">IF(COUNTA(D24:E24)=0,"",SUM(D24:E24))</f>
        <v>1346</v>
      </c>
      <c r="G24" s="39" t="n">
        <f aca="false">IF(OR(F24="",F24=0),"",D24/F24)</f>
        <v>0.339524517087667</v>
      </c>
      <c r="H24" s="39" t="n">
        <f aca="false">IF(OR(F24="",F24=0),"",E24/F24)</f>
        <v>0.660475482912333</v>
      </c>
      <c r="I24" s="38" t="s">
        <v>89</v>
      </c>
      <c r="J24" s="40" t="n">
        <v>2.70598815047927</v>
      </c>
      <c r="K24" s="39" t="n">
        <f aca="false">IF(G24="","",MAX(0,G24-J24/100))</f>
        <v>0.312464635582874</v>
      </c>
      <c r="L24" s="39" t="n">
        <f aca="false">IF(G24="","",MIN(1,G24+J24/100))</f>
        <v>0.36658439859246</v>
      </c>
      <c r="M24" s="21" t="n">
        <f aca="false">IF(F24="","",ROUND(F24*J24/100,0))</f>
        <v>36</v>
      </c>
      <c r="P24" s="41" t="n">
        <v>-10.6591720577008</v>
      </c>
      <c r="Q24" s="42" t="n">
        <v>1346</v>
      </c>
      <c r="R24" s="43" t="n">
        <f aca="false">MAX(0,MIN(1,P24/100+$D$5))</f>
        <v>0.339668639176031</v>
      </c>
      <c r="S24" s="44" t="s">
        <v>90</v>
      </c>
    </row>
    <row r="25" customFormat="false" ht="15" hidden="false" customHeight="false" outlineLevel="0" collapsed="false">
      <c r="A25" s="38" t="s">
        <v>86</v>
      </c>
      <c r="B25" s="38" t="s">
        <v>104</v>
      </c>
      <c r="C25" s="38" t="s">
        <v>88</v>
      </c>
      <c r="D25" s="21" t="n">
        <f aca="false">ROUND(Q25*R25,0)</f>
        <v>599</v>
      </c>
      <c r="E25" s="21" t="n">
        <f aca="false">ROUND(Q25,0)-D25</f>
        <v>1174</v>
      </c>
      <c r="F25" s="21" t="n">
        <f aca="false">IF(COUNTA(D25:E25)=0,"",SUM(D25:E25))</f>
        <v>1773</v>
      </c>
      <c r="G25" s="39" t="n">
        <f aca="false">IF(OR(F25="",F25=0),"",D25/F25)</f>
        <v>0.337845459672871</v>
      </c>
      <c r="H25" s="39" t="n">
        <f aca="false">IF(OR(F25="",F25=0),"",E25/F25)</f>
        <v>0.662154540327129</v>
      </c>
      <c r="I25" s="38" t="s">
        <v>89</v>
      </c>
      <c r="J25" s="40" t="n">
        <v>1.7997491277276</v>
      </c>
      <c r="K25" s="39" t="n">
        <f aca="false">IF(G25="","",MAX(0,G25-J25/100))</f>
        <v>0.319847968395595</v>
      </c>
      <c r="L25" s="39" t="n">
        <f aca="false">IF(G25="","",MIN(1,G25+J25/100))</f>
        <v>0.355842950950147</v>
      </c>
      <c r="M25" s="21" t="n">
        <f aca="false">IF(F25="","",ROUND(F25*J25/100,0))</f>
        <v>32</v>
      </c>
      <c r="P25" s="41" t="n">
        <v>-10.8287334611054</v>
      </c>
      <c r="Q25" s="42" t="n">
        <v>1773</v>
      </c>
      <c r="R25" s="43" t="n">
        <f aca="false">MAX(0,MIN(1,P25/100+$D$5))</f>
        <v>0.337973025141985</v>
      </c>
      <c r="S25" s="44" t="s">
        <v>96</v>
      </c>
    </row>
    <row r="26" customFormat="false" ht="15" hidden="false" customHeight="false" outlineLevel="0" collapsed="false">
      <c r="A26" s="38" t="s">
        <v>86</v>
      </c>
      <c r="B26" s="38" t="s">
        <v>105</v>
      </c>
      <c r="C26" s="38" t="s">
        <v>88</v>
      </c>
      <c r="D26" s="21" t="n">
        <f aca="false">ROUND(Q26*R26,0)</f>
        <v>528</v>
      </c>
      <c r="E26" s="21" t="n">
        <f aca="false">ROUND(Q26,0)-D26</f>
        <v>666</v>
      </c>
      <c r="F26" s="21" t="n">
        <f aca="false">IF(COUNTA(D26:E26)=0,"",SUM(D26:E26))</f>
        <v>1194</v>
      </c>
      <c r="G26" s="39" t="n">
        <f aca="false">IF(OR(F26="",F26=0),"",D26/F26)</f>
        <v>0.442211055276382</v>
      </c>
      <c r="H26" s="39" t="n">
        <f aca="false">IF(OR(F26="",F26=0),"",E26/F26)</f>
        <v>0.557788944723618</v>
      </c>
      <c r="I26" s="38" t="s">
        <v>89</v>
      </c>
      <c r="J26" s="40" t="n">
        <v>2.70598815047927</v>
      </c>
      <c r="K26" s="39" t="n">
        <f aca="false">IF(G26="","",MAX(0,G26-J26/100))</f>
        <v>0.415151173771589</v>
      </c>
      <c r="L26" s="39" t="n">
        <f aca="false">IF(G26="","",MIN(1,G26+J26/100))</f>
        <v>0.469270936781175</v>
      </c>
      <c r="M26" s="21" t="n">
        <f aca="false">IF(F26="","",ROUND(F26*J26/100,0))</f>
        <v>32</v>
      </c>
      <c r="P26" s="41" t="n">
        <v>-0.444041829712986</v>
      </c>
      <c r="Q26" s="42" t="n">
        <v>1194</v>
      </c>
      <c r="R26" s="43" t="n">
        <f aca="false">MAX(0,MIN(1,P26/100+$D$5))</f>
        <v>0.441819941455909</v>
      </c>
      <c r="S26" s="44" t="s">
        <v>90</v>
      </c>
    </row>
    <row r="27" customFormat="false" ht="15" hidden="false" customHeight="false" outlineLevel="0" collapsed="false">
      <c r="A27" s="38" t="s">
        <v>86</v>
      </c>
      <c r="B27" s="38" t="s">
        <v>106</v>
      </c>
      <c r="C27" s="38" t="s">
        <v>88</v>
      </c>
      <c r="D27" s="21" t="n">
        <f aca="false">ROUND(Q27*R27,0)</f>
        <v>129</v>
      </c>
      <c r="E27" s="21" t="n">
        <f aca="false">ROUND(Q27,0)-D27</f>
        <v>411</v>
      </c>
      <c r="F27" s="21" t="n">
        <f aca="false">IF(COUNTA(D27:E27)=0,"",SUM(D27:E27))</f>
        <v>540</v>
      </c>
      <c r="G27" s="39" t="n">
        <f aca="false">IF(OR(F27="",F27=0),"",D27/F27)</f>
        <v>0.238888888888889</v>
      </c>
      <c r="H27" s="39" t="n">
        <f aca="false">IF(OR(F27="",F27=0),"",E27/F27)</f>
        <v>0.761111111111111</v>
      </c>
      <c r="I27" s="38" t="s">
        <v>89</v>
      </c>
      <c r="J27" s="40" t="n">
        <v>2.70598815047927</v>
      </c>
      <c r="K27" s="39" t="n">
        <f aca="false">IF(G27="","",MAX(0,G27-J27/100))</f>
        <v>0.211829007384096</v>
      </c>
      <c r="L27" s="39" t="n">
        <f aca="false">IF(G27="","",MIN(1,G27+J27/100))</f>
        <v>0.265948770393682</v>
      </c>
      <c r="M27" s="21" t="n">
        <f aca="false">IF(F27="","",ROUND(F27*J27/100,0))</f>
        <v>15</v>
      </c>
      <c r="P27" s="41" t="n">
        <v>-20.781893832131</v>
      </c>
      <c r="Q27" s="42" t="n">
        <v>540</v>
      </c>
      <c r="R27" s="43" t="n">
        <f aca="false">MAX(0,MIN(1,P27/100+$D$5))</f>
        <v>0.238441421431729</v>
      </c>
      <c r="S27" s="44" t="s">
        <v>90</v>
      </c>
    </row>
    <row r="28" customFormat="false" ht="15" hidden="false" customHeight="false" outlineLevel="0" collapsed="false">
      <c r="A28" s="38" t="s">
        <v>86</v>
      </c>
      <c r="B28" s="38" t="s">
        <v>107</v>
      </c>
      <c r="C28" s="38" t="s">
        <v>88</v>
      </c>
      <c r="D28" s="21" t="n">
        <f aca="false">ROUND(Q28*R28,0)</f>
        <v>792</v>
      </c>
      <c r="E28" s="21" t="n">
        <f aca="false">ROUND(Q28,0)-D28</f>
        <v>1117</v>
      </c>
      <c r="F28" s="21" t="n">
        <f aca="false">IF(COUNTA(D28:E28)=0,"",SUM(D28:E28))</f>
        <v>1909</v>
      </c>
      <c r="G28" s="39" t="n">
        <f aca="false">IF(OR(F28="",F28=0),"",D28/F28)</f>
        <v>0.414876898899948</v>
      </c>
      <c r="H28" s="39" t="n">
        <f aca="false">IF(OR(F28="",F28=0),"",E28/F28)</f>
        <v>0.585123101100052</v>
      </c>
      <c r="I28" s="38" t="s">
        <v>89</v>
      </c>
      <c r="J28" s="40" t="n">
        <v>1.7997491277276</v>
      </c>
      <c r="K28" s="39" t="n">
        <f aca="false">IF(G28="","",MAX(0,G28-J28/100))</f>
        <v>0.396879407622672</v>
      </c>
      <c r="L28" s="39" t="n">
        <f aca="false">IF(G28="","",MIN(1,G28+J28/100))</f>
        <v>0.432874390177224</v>
      </c>
      <c r="M28" s="21" t="n">
        <f aca="false">IF(F28="","",ROUND(F28*J28/100,0))</f>
        <v>34</v>
      </c>
      <c r="P28" s="41" t="n">
        <v>-3.13048487119494</v>
      </c>
      <c r="Q28" s="42" t="n">
        <v>1909</v>
      </c>
      <c r="R28" s="43" t="n">
        <f aca="false">MAX(0,MIN(1,P28/100+$D$5))</f>
        <v>0.41495551104109</v>
      </c>
      <c r="S28" s="44" t="s">
        <v>96</v>
      </c>
    </row>
    <row r="29" customFormat="false" ht="15" hidden="false" customHeight="false" outlineLevel="0" collapsed="false">
      <c r="A29" s="38" t="s">
        <v>86</v>
      </c>
      <c r="B29" s="38" t="s">
        <v>108</v>
      </c>
      <c r="C29" s="38" t="s">
        <v>88</v>
      </c>
      <c r="D29" s="21" t="n">
        <f aca="false">ROUND(Q29*R29,0)</f>
        <v>66</v>
      </c>
      <c r="E29" s="21" t="n">
        <f aca="false">ROUND(Q29,0)-D29</f>
        <v>121</v>
      </c>
      <c r="F29" s="21" t="n">
        <f aca="false">IF(COUNTA(D29:E29)=0,"",SUM(D29:E29))</f>
        <v>187</v>
      </c>
      <c r="G29" s="39" t="n">
        <f aca="false">IF(OR(F29="",F29=0),"",D29/F29)</f>
        <v>0.352941176470588</v>
      </c>
      <c r="H29" s="39" t="n">
        <f aca="false">IF(OR(F29="",F29=0),"",E29/F29)</f>
        <v>0.647058823529412</v>
      </c>
      <c r="I29" s="38" t="s">
        <v>89</v>
      </c>
      <c r="J29" s="40" t="n">
        <v>2.70598815047927</v>
      </c>
      <c r="K29" s="39" t="n">
        <f aca="false">IF(G29="","",MAX(0,G29-J29/100))</f>
        <v>0.325881294965796</v>
      </c>
      <c r="L29" s="39" t="n">
        <f aca="false">IF(G29="","",MIN(1,G29+J29/100))</f>
        <v>0.380001057975381</v>
      </c>
      <c r="M29" s="21" t="n">
        <f aca="false">IF(F29="","",ROUND(F29*J29/100,0))</f>
        <v>5</v>
      </c>
      <c r="P29" s="41" t="n">
        <v>-9.36938070554231</v>
      </c>
      <c r="Q29" s="42" t="n">
        <v>187</v>
      </c>
      <c r="R29" s="43" t="n">
        <f aca="false">MAX(0,MIN(1,P29/100+$D$5))</f>
        <v>0.352566552697616</v>
      </c>
      <c r="S29" s="44" t="s">
        <v>90</v>
      </c>
    </row>
    <row r="30" customFormat="false" ht="15" hidden="false" customHeight="false" outlineLevel="0" collapsed="false">
      <c r="A30" s="38" t="s">
        <v>86</v>
      </c>
      <c r="B30" s="38" t="s">
        <v>109</v>
      </c>
      <c r="C30" s="38" t="s">
        <v>88</v>
      </c>
      <c r="D30" s="21" t="n">
        <f aca="false">ROUND(Q30*R30,0)</f>
        <v>1724</v>
      </c>
      <c r="E30" s="21" t="n">
        <f aca="false">ROUND(Q30,0)-D30</f>
        <v>2600</v>
      </c>
      <c r="F30" s="21" t="n">
        <f aca="false">IF(COUNTA(D30:E30)=0,"",SUM(D30:E30))</f>
        <v>4324</v>
      </c>
      <c r="G30" s="39" t="n">
        <f aca="false">IF(OR(F30="",F30=0),"",D30/F30)</f>
        <v>0.398704902867715</v>
      </c>
      <c r="H30" s="39" t="n">
        <f aca="false">IF(OR(F30="",F30=0),"",E30/F30)</f>
        <v>0.601295097132285</v>
      </c>
      <c r="I30" s="38" t="s">
        <v>89</v>
      </c>
      <c r="J30" s="40" t="n">
        <v>1.22035716831382</v>
      </c>
      <c r="K30" s="39" t="n">
        <f aca="false">IF(G30="","",MAX(0,G30-J30/100))</f>
        <v>0.386501331184577</v>
      </c>
      <c r="L30" s="39" t="n">
        <f aca="false">IF(G30="","",MIN(1,G30+J30/100))</f>
        <v>0.410908474550853</v>
      </c>
      <c r="M30" s="21" t="n">
        <f aca="false">IF(F30="","",ROUND(F30*J30/100,0))</f>
        <v>53</v>
      </c>
      <c r="P30" s="41" t="n">
        <v>-4.74712962886873</v>
      </c>
      <c r="Q30" s="42" t="n">
        <v>4324</v>
      </c>
      <c r="R30" s="43" t="n">
        <f aca="false">MAX(0,MIN(1,P30/100+$D$5))</f>
        <v>0.398789063464352</v>
      </c>
      <c r="S30" s="44" t="s">
        <v>110</v>
      </c>
    </row>
    <row r="31" customFormat="false" ht="15" hidden="false" customHeight="false" outlineLevel="0" collapsed="false">
      <c r="A31" s="38" t="s">
        <v>86</v>
      </c>
      <c r="B31" s="38" t="s">
        <v>111</v>
      </c>
      <c r="C31" s="38" t="s">
        <v>88</v>
      </c>
      <c r="D31" s="21" t="n">
        <f aca="false">ROUND(Q31*R31,0)</f>
        <v>588</v>
      </c>
      <c r="E31" s="21" t="n">
        <f aca="false">ROUND(Q31,0)-D31</f>
        <v>647</v>
      </c>
      <c r="F31" s="21" t="n">
        <f aca="false">IF(COUNTA(D31:E31)=0,"",SUM(D31:E31))</f>
        <v>1235</v>
      </c>
      <c r="G31" s="39" t="n">
        <f aca="false">IF(OR(F31="",F31=0),"",D31/F31)</f>
        <v>0.476113360323887</v>
      </c>
      <c r="H31" s="39" t="n">
        <f aca="false">IF(OR(F31="",F31=0),"",E31/F31)</f>
        <v>0.523886639676113</v>
      </c>
      <c r="I31" s="38" t="s">
        <v>89</v>
      </c>
      <c r="J31" s="40" t="n">
        <v>2.70598815047927</v>
      </c>
      <c r="K31" s="39" t="n">
        <f aca="false">IF(G31="","",MAX(0,G31-J31/100))</f>
        <v>0.449053478819094</v>
      </c>
      <c r="L31" s="39" t="n">
        <f aca="false">IF(G31="","",MIN(1,G31+J31/100))</f>
        <v>0.503173241828679</v>
      </c>
      <c r="M31" s="21" t="n">
        <f aca="false">IF(F31="","",ROUND(F31*J31/100,0))</f>
        <v>33</v>
      </c>
      <c r="P31" s="41" t="n">
        <v>2.98376312040032</v>
      </c>
      <c r="Q31" s="42" t="n">
        <v>1235</v>
      </c>
      <c r="R31" s="43" t="n">
        <f aca="false">MAX(0,MIN(1,P31/100+$D$5))</f>
        <v>0.476097990957042</v>
      </c>
      <c r="S31" s="44" t="s">
        <v>90</v>
      </c>
    </row>
    <row r="32" customFormat="false" ht="15" hidden="false" customHeight="false" outlineLevel="0" collapsed="false">
      <c r="A32" s="38" t="s">
        <v>86</v>
      </c>
      <c r="B32" s="38" t="s">
        <v>112</v>
      </c>
      <c r="C32" s="38" t="s">
        <v>88</v>
      </c>
      <c r="D32" s="21" t="n">
        <f aca="false">ROUND(Q32*R32,0)</f>
        <v>705</v>
      </c>
      <c r="E32" s="21" t="n">
        <f aca="false">ROUND(Q32,0)-D32</f>
        <v>1426</v>
      </c>
      <c r="F32" s="21" t="n">
        <f aca="false">IF(COUNTA(D32:E32)=0,"",SUM(D32:E32))</f>
        <v>2131</v>
      </c>
      <c r="G32" s="39" t="n">
        <f aca="false">IF(OR(F32="",F32=0),"",D32/F32)</f>
        <v>0.330830595964336</v>
      </c>
      <c r="H32" s="39" t="n">
        <f aca="false">IF(OR(F32="",F32=0),"",E32/F32)</f>
        <v>0.669169404035664</v>
      </c>
      <c r="I32" s="38" t="s">
        <v>89</v>
      </c>
      <c r="J32" s="40" t="n">
        <v>1.7997491277276</v>
      </c>
      <c r="K32" s="39" t="n">
        <f aca="false">IF(G32="","",MAX(0,G32-J32/100))</f>
        <v>0.31283310468706</v>
      </c>
      <c r="L32" s="39" t="n">
        <f aca="false">IF(G32="","",MIN(1,G32+J32/100))</f>
        <v>0.348828087241612</v>
      </c>
      <c r="M32" s="21" t="n">
        <f aca="false">IF(F32="","",ROUND(F32*J32/100,0))</f>
        <v>38</v>
      </c>
      <c r="P32" s="41" t="n">
        <v>-11.5510581434275</v>
      </c>
      <c r="Q32" s="42" t="n">
        <v>2131</v>
      </c>
      <c r="R32" s="43" t="n">
        <f aca="false">MAX(0,MIN(1,P32/100+$D$5))</f>
        <v>0.330749778318764</v>
      </c>
      <c r="S32" s="44" t="s">
        <v>96</v>
      </c>
    </row>
    <row r="33" customFormat="false" ht="15" hidden="false" customHeight="false" outlineLevel="0" collapsed="false">
      <c r="A33" s="38" t="s">
        <v>86</v>
      </c>
      <c r="B33" s="38" t="s">
        <v>113</v>
      </c>
      <c r="C33" s="38" t="s">
        <v>88</v>
      </c>
      <c r="D33" s="21" t="n">
        <f aca="false">ROUND(Q33*R33,0)</f>
        <v>295</v>
      </c>
      <c r="E33" s="21" t="n">
        <f aca="false">ROUND(Q33,0)-D33</f>
        <v>606</v>
      </c>
      <c r="F33" s="21" t="n">
        <f aca="false">IF(COUNTA(D33:E33)=0,"",SUM(D33:E33))</f>
        <v>901</v>
      </c>
      <c r="G33" s="39" t="n">
        <f aca="false">IF(OR(F33="",F33=0),"",D33/F33)</f>
        <v>0.327413984461709</v>
      </c>
      <c r="H33" s="39" t="n">
        <f aca="false">IF(OR(F33="",F33=0),"",E33/F33)</f>
        <v>0.672586015538291</v>
      </c>
      <c r="I33" s="38" t="s">
        <v>89</v>
      </c>
      <c r="J33" s="40" t="n">
        <v>2.70598815047927</v>
      </c>
      <c r="K33" s="39" t="n">
        <f aca="false">IF(G33="","",MAX(0,G33-J33/100))</f>
        <v>0.300354102956917</v>
      </c>
      <c r="L33" s="39" t="n">
        <f aca="false">IF(G33="","",MIN(1,G33+J33/100))</f>
        <v>0.354473865966502</v>
      </c>
      <c r="M33" s="21" t="n">
        <f aca="false">IF(F33="","",ROUND(F33*J33/100,0))</f>
        <v>24</v>
      </c>
      <c r="P33" s="41" t="n">
        <v>-11.9203888940644</v>
      </c>
      <c r="Q33" s="42" t="n">
        <v>901</v>
      </c>
      <c r="R33" s="43" t="n">
        <f aca="false">MAX(0,MIN(1,P33/100+$D$5))</f>
        <v>0.327056470812395</v>
      </c>
      <c r="S33" s="44" t="s">
        <v>90</v>
      </c>
    </row>
    <row r="34" customFormat="false" ht="15" hidden="false" customHeight="false" outlineLevel="0" collapsed="false">
      <c r="A34" s="38" t="s">
        <v>86</v>
      </c>
      <c r="B34" s="38" t="s">
        <v>114</v>
      </c>
      <c r="C34" s="38" t="s">
        <v>88</v>
      </c>
      <c r="D34" s="21" t="n">
        <f aca="false">ROUND(Q34*R34,0)</f>
        <v>38</v>
      </c>
      <c r="E34" s="21" t="n">
        <f aca="false">ROUND(Q34,0)-D34</f>
        <v>62</v>
      </c>
      <c r="F34" s="21" t="n">
        <f aca="false">IF(COUNTA(D34:E34)=0,"",SUM(D34:E34))</f>
        <v>100</v>
      </c>
      <c r="G34" s="39" t="n">
        <f aca="false">IF(OR(F34="",F34=0),"",D34/F34)</f>
        <v>0.38</v>
      </c>
      <c r="H34" s="39" t="n">
        <f aca="false">IF(OR(F34="",F34=0),"",E34/F34)</f>
        <v>0.62</v>
      </c>
      <c r="I34" s="38" t="s">
        <v>89</v>
      </c>
      <c r="J34" s="40" t="n">
        <v>2.70598815047927</v>
      </c>
      <c r="K34" s="39" t="n">
        <f aca="false">IF(G34="","",MAX(0,G34-J34/100))</f>
        <v>0.352940118495207</v>
      </c>
      <c r="L34" s="39" t="n">
        <f aca="false">IF(G34="","",MIN(1,G34+J34/100))</f>
        <v>0.407059881504793</v>
      </c>
      <c r="M34" s="21" t="n">
        <f aca="false">IF(F34="","",ROUND(F34*J34/100,0))</f>
        <v>3</v>
      </c>
      <c r="P34" s="41" t="n">
        <v>-6.37255905699158</v>
      </c>
      <c r="Q34" s="42" t="n">
        <v>100</v>
      </c>
      <c r="R34" s="43" t="n">
        <f aca="false">MAX(0,MIN(1,P34/100+$D$5))</f>
        <v>0.382534769183123</v>
      </c>
      <c r="S34" s="44" t="s">
        <v>90</v>
      </c>
    </row>
    <row r="35" customFormat="false" ht="15" hidden="false" customHeight="false" outlineLevel="0" collapsed="false">
      <c r="A35" s="38" t="s">
        <v>115</v>
      </c>
      <c r="B35" s="38" t="s">
        <v>116</v>
      </c>
      <c r="C35" s="38" t="s">
        <v>88</v>
      </c>
      <c r="D35" s="21" t="n">
        <f aca="false">ROUND(Q35*R35,0)</f>
        <v>517</v>
      </c>
      <c r="E35" s="21" t="n">
        <f aca="false">ROUND(Q35,0)-D35</f>
        <v>496</v>
      </c>
      <c r="F35" s="21" t="n">
        <f aca="false">IF(COUNTA(D35:E35)=0,"",SUM(D35:E35))</f>
        <v>1013</v>
      </c>
      <c r="G35" s="39" t="n">
        <f aca="false">IF(OR(F35="",F35=0),"",D35/F35)</f>
        <v>0.510365251727542</v>
      </c>
      <c r="H35" s="39" t="n">
        <f aca="false">IF(OR(F35="",F35=0),"",E35/F35)</f>
        <v>0.489634748272458</v>
      </c>
      <c r="I35" s="38" t="s">
        <v>89</v>
      </c>
      <c r="J35" s="40" t="n">
        <v>2.70598815047927</v>
      </c>
      <c r="K35" s="39" t="n">
        <f aca="false">IF(G35="","",MAX(0,G35-J35/100))</f>
        <v>0.483305370222749</v>
      </c>
      <c r="L35" s="39" t="n">
        <f aca="false">IF(G35="","",MIN(1,G35+J35/100))</f>
        <v>0.537425133232335</v>
      </c>
      <c r="M35" s="21" t="n">
        <f aca="false">IF(F35="","",ROUND(F35*J35/100,0))</f>
        <v>27</v>
      </c>
      <c r="P35" s="41" t="n">
        <v>6.41572283789779</v>
      </c>
      <c r="Q35" s="42" t="n">
        <v>1013</v>
      </c>
      <c r="R35" s="43" t="n">
        <f aca="false">MAX(0,MIN(1,P35/100+$D$5))</f>
        <v>0.510417588132017</v>
      </c>
      <c r="S35" s="44" t="s">
        <v>90</v>
      </c>
    </row>
    <row r="36" customFormat="false" ht="15" hidden="false" customHeight="false" outlineLevel="0" collapsed="false">
      <c r="A36" s="38" t="s">
        <v>115</v>
      </c>
      <c r="B36" s="38" t="s">
        <v>117</v>
      </c>
      <c r="C36" s="38" t="s">
        <v>88</v>
      </c>
      <c r="D36" s="21" t="n">
        <f aca="false">ROUND(Q36*R36,0)</f>
        <v>17101</v>
      </c>
      <c r="E36" s="21" t="n">
        <f aca="false">ROUND(Q36,0)-D36</f>
        <v>7800</v>
      </c>
      <c r="F36" s="21" t="n">
        <f aca="false">IF(COUNTA(D36:E36)=0,"",SUM(D36:E36))</f>
        <v>24901</v>
      </c>
      <c r="G36" s="39" t="n">
        <f aca="false">IF(OR(F36="",F36=0),"",D36/F36)</f>
        <v>0.68675956788884</v>
      </c>
      <c r="H36" s="39" t="n">
        <f aca="false">IF(OR(F36="",F36=0),"",E36/F36)</f>
        <v>0.31324043211116</v>
      </c>
      <c r="I36" s="38" t="s">
        <v>89</v>
      </c>
      <c r="J36" s="40" t="n">
        <v>1.22035716831382</v>
      </c>
      <c r="K36" s="39" t="n">
        <f aca="false">IF(G36="","",MAX(0,G36-J36/100))</f>
        <v>0.674555996205702</v>
      </c>
      <c r="L36" s="39" t="n">
        <f aca="false">IF(G36="","",MIN(1,G36+J36/100))</f>
        <v>0.698963139571978</v>
      </c>
      <c r="M36" s="21" t="n">
        <f aca="false">IF(F36="","",ROUND(F36*J36/100,0))</f>
        <v>304</v>
      </c>
      <c r="P36" s="41" t="n">
        <v>24.0496555482037</v>
      </c>
      <c r="Q36" s="42" t="n">
        <v>24901</v>
      </c>
      <c r="R36" s="43" t="n">
        <f aca="false">MAX(0,MIN(1,P36/100+$D$5))</f>
        <v>0.686756915235075</v>
      </c>
      <c r="S36" s="44" t="s">
        <v>110</v>
      </c>
    </row>
    <row r="37" customFormat="false" ht="15" hidden="false" customHeight="false" outlineLevel="0" collapsed="false">
      <c r="A37" s="38" t="s">
        <v>115</v>
      </c>
      <c r="B37" s="38" t="s">
        <v>118</v>
      </c>
      <c r="C37" s="38" t="s">
        <v>88</v>
      </c>
      <c r="D37" s="21" t="n">
        <f aca="false">ROUND(Q37*R37,0)</f>
        <v>5274</v>
      </c>
      <c r="E37" s="21" t="n">
        <f aca="false">ROUND(Q37,0)-D37</f>
        <v>2617</v>
      </c>
      <c r="F37" s="21" t="n">
        <f aca="false">IF(COUNTA(D37:E37)=0,"",SUM(D37:E37))</f>
        <v>7891</v>
      </c>
      <c r="G37" s="39" t="n">
        <f aca="false">IF(OR(F37="",F37=0),"",D37/F37)</f>
        <v>0.668356355341528</v>
      </c>
      <c r="H37" s="39" t="n">
        <f aca="false">IF(OR(F37="",F37=0),"",E37/F37)</f>
        <v>0.331643644658472</v>
      </c>
      <c r="I37" s="38" t="s">
        <v>89</v>
      </c>
      <c r="J37" s="40" t="n">
        <v>1.22035716831382</v>
      </c>
      <c r="K37" s="39" t="n">
        <f aca="false">IF(G37="","",MAX(0,G37-J37/100))</f>
        <v>0.65615278365839</v>
      </c>
      <c r="L37" s="39" t="n">
        <f aca="false">IF(G37="","",MIN(1,G37+J37/100))</f>
        <v>0.680559927024667</v>
      </c>
      <c r="M37" s="21" t="n">
        <f aca="false">IF(F37="","",ROUND(F37*J37/100,0))</f>
        <v>96</v>
      </c>
      <c r="P37" s="41" t="n">
        <v>22.2065157840265</v>
      </c>
      <c r="Q37" s="42" t="n">
        <v>7891</v>
      </c>
      <c r="R37" s="43" t="n">
        <f aca="false">MAX(0,MIN(1,P37/100+$D$5))</f>
        <v>0.668325517593304</v>
      </c>
      <c r="S37" s="44" t="s">
        <v>110</v>
      </c>
    </row>
    <row r="38" customFormat="false" ht="15" hidden="false" customHeight="false" outlineLevel="0" collapsed="false">
      <c r="A38" s="38" t="s">
        <v>115</v>
      </c>
      <c r="B38" s="38" t="s">
        <v>119</v>
      </c>
      <c r="C38" s="38" t="s">
        <v>88</v>
      </c>
      <c r="D38" s="21" t="n">
        <f aca="false">ROUND(Q38*R38,0)</f>
        <v>1158</v>
      </c>
      <c r="E38" s="21" t="n">
        <f aca="false">ROUND(Q38,0)-D38</f>
        <v>952</v>
      </c>
      <c r="F38" s="21" t="n">
        <f aca="false">IF(COUNTA(D38:E38)=0,"",SUM(D38:E38))</f>
        <v>2110</v>
      </c>
      <c r="G38" s="39" t="n">
        <f aca="false">IF(OR(F38="",F38=0),"",D38/F38)</f>
        <v>0.548815165876777</v>
      </c>
      <c r="H38" s="39" t="n">
        <f aca="false">IF(OR(F38="",F38=0),"",E38/F38)</f>
        <v>0.451184834123223</v>
      </c>
      <c r="I38" s="38" t="s">
        <v>89</v>
      </c>
      <c r="J38" s="40" t="n">
        <v>1.7997491277276</v>
      </c>
      <c r="K38" s="39" t="n">
        <f aca="false">IF(G38="","",MAX(0,G38-J38/100))</f>
        <v>0.530817674599501</v>
      </c>
      <c r="L38" s="39" t="n">
        <f aca="false">IF(G38="","",MIN(1,G38+J38/100))</f>
        <v>0.566812657154053</v>
      </c>
      <c r="M38" s="21" t="n">
        <f aca="false">IF(F38="","",ROUND(F38*J38/100,0))</f>
        <v>38</v>
      </c>
      <c r="P38" s="41" t="n">
        <v>10.2404310293946</v>
      </c>
      <c r="Q38" s="42" t="n">
        <v>2110</v>
      </c>
      <c r="R38" s="43" t="n">
        <f aca="false">MAX(0,MIN(1,P38/100+$D$5))</f>
        <v>0.548664670046985</v>
      </c>
      <c r="S38" s="44" t="s">
        <v>96</v>
      </c>
    </row>
    <row r="39" customFormat="false" ht="15" hidden="false" customHeight="false" outlineLevel="0" collapsed="false">
      <c r="A39" s="38" t="s">
        <v>115</v>
      </c>
      <c r="B39" s="38" t="s">
        <v>120</v>
      </c>
      <c r="C39" s="38" t="s">
        <v>88</v>
      </c>
      <c r="D39" s="21" t="n">
        <f aca="false">ROUND(Q39*R39,0)</f>
        <v>637</v>
      </c>
      <c r="E39" s="21" t="n">
        <f aca="false">ROUND(Q39,0)-D39</f>
        <v>582</v>
      </c>
      <c r="F39" s="21" t="n">
        <f aca="false">IF(COUNTA(D39:E39)=0,"",SUM(D39:E39))</f>
        <v>1219</v>
      </c>
      <c r="G39" s="39" t="n">
        <f aca="false">IF(OR(F39="",F39=0),"",D39/F39)</f>
        <v>0.522559474979491</v>
      </c>
      <c r="H39" s="39" t="n">
        <f aca="false">IF(OR(F39="",F39=0),"",E39/F39)</f>
        <v>0.477440525020509</v>
      </c>
      <c r="I39" s="38" t="s">
        <v>89</v>
      </c>
      <c r="J39" s="40" t="n">
        <v>2.70598815047927</v>
      </c>
      <c r="K39" s="39" t="n">
        <f aca="false">IF(G39="","",MAX(0,G39-J39/100))</f>
        <v>0.495499593474699</v>
      </c>
      <c r="L39" s="39" t="n">
        <f aca="false">IF(G39="","",MIN(1,G39+J39/100))</f>
        <v>0.549619356484284</v>
      </c>
      <c r="M39" s="21" t="n">
        <f aca="false">IF(F39="","",ROUND(F39*J39/100,0))</f>
        <v>33</v>
      </c>
      <c r="P39" s="41" t="n">
        <v>7.60145041004988</v>
      </c>
      <c r="Q39" s="42" t="n">
        <v>1219</v>
      </c>
      <c r="R39" s="43" t="n">
        <f aca="false">MAX(0,MIN(1,P39/100+$D$5))</f>
        <v>0.522274863853538</v>
      </c>
      <c r="S39" s="44" t="s">
        <v>90</v>
      </c>
    </row>
    <row r="40" customFormat="false" ht="15" hidden="false" customHeight="false" outlineLevel="0" collapsed="false">
      <c r="A40" s="38" t="s">
        <v>115</v>
      </c>
      <c r="B40" s="38" t="s">
        <v>121</v>
      </c>
      <c r="C40" s="38" t="s">
        <v>88</v>
      </c>
      <c r="D40" s="21" t="n">
        <f aca="false">ROUND(Q40*R40,0)</f>
        <v>713</v>
      </c>
      <c r="E40" s="21" t="n">
        <f aca="false">ROUND(Q40,0)-D40</f>
        <v>584</v>
      </c>
      <c r="F40" s="21" t="n">
        <f aca="false">IF(COUNTA(D40:E40)=0,"",SUM(D40:E40))</f>
        <v>1297</v>
      </c>
      <c r="G40" s="39" t="n">
        <f aca="false">IF(OR(F40="",F40=0),"",D40/F40)</f>
        <v>0.549730146491904</v>
      </c>
      <c r="H40" s="39" t="n">
        <f aca="false">IF(OR(F40="",F40=0),"",E40/F40)</f>
        <v>0.450269853508096</v>
      </c>
      <c r="I40" s="38" t="s">
        <v>89</v>
      </c>
      <c r="J40" s="40" t="n">
        <v>2.70598815047927</v>
      </c>
      <c r="K40" s="39" t="n">
        <f aca="false">IF(G40="","",MAX(0,G40-J40/100))</f>
        <v>0.522670264987112</v>
      </c>
      <c r="L40" s="39" t="n">
        <f aca="false">IF(G40="","",MIN(1,G40+J40/100))</f>
        <v>0.576790027996697</v>
      </c>
      <c r="M40" s="21" t="n">
        <f aca="false">IF(F40="","",ROUND(F40*J40/100,0))</f>
        <v>35</v>
      </c>
      <c r="P40" s="41" t="n">
        <v>10.3153821997176</v>
      </c>
      <c r="Q40" s="42" t="n">
        <v>1297</v>
      </c>
      <c r="R40" s="43" t="n">
        <f aca="false">MAX(0,MIN(1,P40/100+$D$5))</f>
        <v>0.549414181750215</v>
      </c>
      <c r="S40" s="44" t="s">
        <v>90</v>
      </c>
    </row>
    <row r="41" customFormat="false" ht="15" hidden="false" customHeight="false" outlineLevel="0" collapsed="false">
      <c r="A41" s="38" t="s">
        <v>115</v>
      </c>
      <c r="B41" s="38" t="s">
        <v>122</v>
      </c>
      <c r="C41" s="38" t="s">
        <v>88</v>
      </c>
      <c r="D41" s="21" t="n">
        <f aca="false">ROUND(Q41*R41,0)</f>
        <v>2884</v>
      </c>
      <c r="E41" s="21" t="n">
        <f aca="false">ROUND(Q41,0)-D41</f>
        <v>2200</v>
      </c>
      <c r="F41" s="21" t="n">
        <f aca="false">IF(COUNTA(D41:E41)=0,"",SUM(D41:E41))</f>
        <v>5084</v>
      </c>
      <c r="G41" s="39" t="n">
        <f aca="false">IF(OR(F41="",F41=0),"",D41/F41)</f>
        <v>0.56726986624705</v>
      </c>
      <c r="H41" s="39" t="n">
        <f aca="false">IF(OR(F41="",F41=0),"",E41/F41)</f>
        <v>0.43273013375295</v>
      </c>
      <c r="I41" s="38" t="s">
        <v>89</v>
      </c>
      <c r="J41" s="40" t="n">
        <v>1.22035716831382</v>
      </c>
      <c r="K41" s="39" t="n">
        <f aca="false">IF(G41="","",MAX(0,G41-J41/100))</f>
        <v>0.555066294563911</v>
      </c>
      <c r="L41" s="39" t="n">
        <f aca="false">IF(G41="","",MIN(1,G41+J41/100))</f>
        <v>0.579473437930188</v>
      </c>
      <c r="M41" s="21" t="n">
        <f aca="false">IF(F41="","",ROUND(F41*J41/100,0))</f>
        <v>62</v>
      </c>
      <c r="P41" s="41" t="n">
        <v>12.0923656276082</v>
      </c>
      <c r="Q41" s="42" t="n">
        <v>5084</v>
      </c>
      <c r="R41" s="43" t="n">
        <f aca="false">MAX(0,MIN(1,P41/100+$D$5))</f>
        <v>0.567184016029121</v>
      </c>
      <c r="S41" s="44" t="s">
        <v>110</v>
      </c>
    </row>
    <row r="42" customFormat="false" ht="15" hidden="false" customHeight="false" outlineLevel="0" collapsed="false">
      <c r="A42" s="38" t="s">
        <v>115</v>
      </c>
      <c r="B42" s="38" t="s">
        <v>123</v>
      </c>
      <c r="C42" s="38" t="s">
        <v>88</v>
      </c>
      <c r="D42" s="21" t="n">
        <f aca="false">ROUND(Q42*R42,0)</f>
        <v>1067</v>
      </c>
      <c r="E42" s="21" t="n">
        <f aca="false">ROUND(Q42,0)-D42</f>
        <v>482</v>
      </c>
      <c r="F42" s="21" t="n">
        <f aca="false">IF(COUNTA(D42:E42)=0,"",SUM(D42:E42))</f>
        <v>1549</v>
      </c>
      <c r="G42" s="39" t="n">
        <f aca="false">IF(OR(F42="",F42=0),"",D42/F42)</f>
        <v>0.688831504196256</v>
      </c>
      <c r="H42" s="39" t="n">
        <f aca="false">IF(OR(F42="",F42=0),"",E42/F42)</f>
        <v>0.311168495803744</v>
      </c>
      <c r="I42" s="38" t="s">
        <v>89</v>
      </c>
      <c r="J42" s="40" t="n">
        <v>2.70598815047927</v>
      </c>
      <c r="K42" s="39" t="n">
        <f aca="false">IF(G42="","",MAX(0,G42-J42/100))</f>
        <v>0.661771622691463</v>
      </c>
      <c r="L42" s="39" t="n">
        <f aca="false">IF(G42="","",MIN(1,G42+J42/100))</f>
        <v>0.715891385701048</v>
      </c>
      <c r="M42" s="21" t="n">
        <f aca="false">IF(F42="","",ROUND(F42*J42/100,0))</f>
        <v>42</v>
      </c>
      <c r="P42" s="41" t="n">
        <v>24.2793370623691</v>
      </c>
      <c r="Q42" s="42" t="n">
        <v>1549</v>
      </c>
      <c r="R42" s="43" t="n">
        <f aca="false">MAX(0,MIN(1,P42/100+$D$5))</f>
        <v>0.68905373037673</v>
      </c>
      <c r="S42" s="44" t="s">
        <v>90</v>
      </c>
    </row>
    <row r="43" customFormat="false" ht="15" hidden="false" customHeight="false" outlineLevel="0" collapsed="false">
      <c r="A43" s="38" t="s">
        <v>115</v>
      </c>
      <c r="B43" s="38" t="s">
        <v>124</v>
      </c>
      <c r="C43" s="38" t="s">
        <v>88</v>
      </c>
      <c r="D43" s="21" t="n">
        <f aca="false">ROUND(Q43*R43,0)</f>
        <v>267</v>
      </c>
      <c r="E43" s="21" t="n">
        <f aca="false">ROUND(Q43,0)-D43</f>
        <v>200</v>
      </c>
      <c r="F43" s="21" t="n">
        <f aca="false">IF(COUNTA(D43:E43)=0,"",SUM(D43:E43))</f>
        <v>467</v>
      </c>
      <c r="G43" s="39" t="n">
        <f aca="false">IF(OR(F43="",F43=0),"",D43/F43)</f>
        <v>0.571734475374732</v>
      </c>
      <c r="H43" s="39" t="n">
        <f aca="false">IF(OR(F43="",F43=0),"",E43/F43)</f>
        <v>0.428265524625268</v>
      </c>
      <c r="I43" s="38" t="s">
        <v>89</v>
      </c>
      <c r="J43" s="40" t="n">
        <v>2.70598815047927</v>
      </c>
      <c r="K43" s="39" t="n">
        <f aca="false">IF(G43="","",MAX(0,G43-J43/100))</f>
        <v>0.54467459386994</v>
      </c>
      <c r="L43" s="39" t="n">
        <f aca="false">IF(G43="","",MIN(1,G43+J43/100))</f>
        <v>0.598794356879525</v>
      </c>
      <c r="M43" s="21" t="n">
        <f aca="false">IF(F43="","",ROUND(F43*J43/100,0))</f>
        <v>13</v>
      </c>
      <c r="P43" s="41" t="n">
        <v>12.5522211095448</v>
      </c>
      <c r="Q43" s="42" t="n">
        <v>467</v>
      </c>
      <c r="R43" s="43" t="n">
        <f aca="false">MAX(0,MIN(1,P43/100+$D$5))</f>
        <v>0.571782570848487</v>
      </c>
      <c r="S43" s="44" t="s">
        <v>90</v>
      </c>
    </row>
    <row r="44" customFormat="false" ht="15" hidden="false" customHeight="false" outlineLevel="0" collapsed="false">
      <c r="A44" s="38" t="s">
        <v>115</v>
      </c>
      <c r="B44" s="38" t="s">
        <v>125</v>
      </c>
      <c r="C44" s="38" t="s">
        <v>88</v>
      </c>
      <c r="D44" s="21" t="n">
        <f aca="false">ROUND(Q44*R44,0)</f>
        <v>573</v>
      </c>
      <c r="E44" s="21" t="n">
        <f aca="false">ROUND(Q44,0)-D44</f>
        <v>1027</v>
      </c>
      <c r="F44" s="21" t="n">
        <f aca="false">IF(COUNTA(D44:E44)=0,"",SUM(D44:E44))</f>
        <v>1600</v>
      </c>
      <c r="G44" s="39" t="n">
        <f aca="false">IF(OR(F44="",F44=0),"",D44/F44)</f>
        <v>0.358125</v>
      </c>
      <c r="H44" s="39" t="n">
        <f aca="false">IF(OR(F44="",F44=0),"",E44/F44)</f>
        <v>0.641875</v>
      </c>
      <c r="I44" s="38" t="s">
        <v>89</v>
      </c>
      <c r="J44" s="40" t="n">
        <v>1.7997491277276</v>
      </c>
      <c r="K44" s="39" t="n">
        <f aca="false">IF(G44="","",MAX(0,G44-J44/100))</f>
        <v>0.340127508722724</v>
      </c>
      <c r="L44" s="39" t="n">
        <f aca="false">IF(G44="","",MIN(1,G44+J44/100))</f>
        <v>0.376122491277276</v>
      </c>
      <c r="M44" s="21" t="n">
        <f aca="false">IF(F44="","",ROUND(F44*J44/100,0))</f>
        <v>29</v>
      </c>
      <c r="P44" s="41" t="n">
        <v>-8.78433644446183</v>
      </c>
      <c r="Q44" s="42" t="n">
        <v>1600</v>
      </c>
      <c r="R44" s="43" t="n">
        <f aca="false">MAX(0,MIN(1,P44/100+$D$5))</f>
        <v>0.358416995308421</v>
      </c>
      <c r="S44" s="44" t="s">
        <v>96</v>
      </c>
    </row>
    <row r="45" customFormat="false" ht="15" hidden="false" customHeight="false" outlineLevel="0" collapsed="false">
      <c r="A45" s="38" t="s">
        <v>115</v>
      </c>
      <c r="B45" s="38" t="s">
        <v>126</v>
      </c>
      <c r="C45" s="38" t="s">
        <v>88</v>
      </c>
      <c r="D45" s="21" t="n">
        <f aca="false">ROUND(Q45*R45,0)</f>
        <v>8520</v>
      </c>
      <c r="E45" s="21" t="n">
        <f aca="false">ROUND(Q45,0)-D45</f>
        <v>7433</v>
      </c>
      <c r="F45" s="21" t="n">
        <f aca="false">IF(COUNTA(D45:E45)=0,"",SUM(D45:E45))</f>
        <v>15953</v>
      </c>
      <c r="G45" s="39" t="n">
        <f aca="false">IF(OR(F45="",F45=0),"",D45/F45)</f>
        <v>0.534068827179841</v>
      </c>
      <c r="H45" s="39" t="n">
        <f aca="false">IF(OR(F45="",F45=0),"",E45/F45)</f>
        <v>0.465931172820159</v>
      </c>
      <c r="I45" s="38" t="s">
        <v>89</v>
      </c>
      <c r="J45" s="40" t="n">
        <v>1.22035716831382</v>
      </c>
      <c r="K45" s="39" t="n">
        <f aca="false">IF(G45="","",MAX(0,G45-J45/100))</f>
        <v>0.521865255496703</v>
      </c>
      <c r="L45" s="39" t="n">
        <f aca="false">IF(G45="","",MIN(1,G45+J45/100))</f>
        <v>0.546272398862979</v>
      </c>
      <c r="M45" s="21" t="n">
        <f aca="false">IF(F45="","",ROUND(F45*J45/100,0))</f>
        <v>195</v>
      </c>
      <c r="P45" s="41" t="n">
        <v>8.77947326165713</v>
      </c>
      <c r="Q45" s="42" t="n">
        <v>15953</v>
      </c>
      <c r="R45" s="43" t="n">
        <f aca="false">MAX(0,MIN(1,P45/100+$D$5))</f>
        <v>0.53405509236961</v>
      </c>
      <c r="S45" s="44" t="s">
        <v>110</v>
      </c>
    </row>
    <row r="46" customFormat="false" ht="15" hidden="false" customHeight="false" outlineLevel="0" collapsed="false">
      <c r="A46" s="38" t="s">
        <v>115</v>
      </c>
      <c r="B46" s="38" t="s">
        <v>127</v>
      </c>
      <c r="C46" s="38" t="s">
        <v>88</v>
      </c>
      <c r="D46" s="21" t="n">
        <f aca="false">ROUND(Q46*R46,0)</f>
        <v>888</v>
      </c>
      <c r="E46" s="21" t="n">
        <f aca="false">ROUND(Q46,0)-D46</f>
        <v>1273</v>
      </c>
      <c r="F46" s="21" t="n">
        <f aca="false">IF(COUNTA(D46:E46)=0,"",SUM(D46:E46))</f>
        <v>2161</v>
      </c>
      <c r="G46" s="39" t="n">
        <f aca="false">IF(OR(F46="",F46=0),"",D46/F46)</f>
        <v>0.410920869967608</v>
      </c>
      <c r="H46" s="39" t="n">
        <f aca="false">IF(OR(F46="",F46=0),"",E46/F46)</f>
        <v>0.589079130032392</v>
      </c>
      <c r="I46" s="38" t="s">
        <v>89</v>
      </c>
      <c r="J46" s="40" t="n">
        <v>1.7997491277276</v>
      </c>
      <c r="K46" s="39" t="n">
        <f aca="false">IF(G46="","",MAX(0,G46-J46/100))</f>
        <v>0.392923378690332</v>
      </c>
      <c r="L46" s="39" t="n">
        <f aca="false">IF(G46="","",MIN(1,G46+J46/100))</f>
        <v>0.428918361244884</v>
      </c>
      <c r="M46" s="21" t="n">
        <f aca="false">IF(F46="","",ROUND(F46*J46/100,0))</f>
        <v>39</v>
      </c>
      <c r="P46" s="41" t="n">
        <v>-3.51982613840313</v>
      </c>
      <c r="Q46" s="42" t="n">
        <v>2161</v>
      </c>
      <c r="R46" s="43" t="n">
        <f aca="false">MAX(0,MIN(1,P46/100+$D$5))</f>
        <v>0.411062098369008</v>
      </c>
      <c r="S46" s="44" t="s">
        <v>96</v>
      </c>
    </row>
    <row r="47" customFormat="false" ht="15" hidden="false" customHeight="false" outlineLevel="0" collapsed="false">
      <c r="A47" s="38" t="s">
        <v>115</v>
      </c>
      <c r="B47" s="38" t="s">
        <v>128</v>
      </c>
      <c r="C47" s="38" t="s">
        <v>88</v>
      </c>
      <c r="D47" s="21" t="n">
        <f aca="false">ROUND(Q47*R47,0)</f>
        <v>482</v>
      </c>
      <c r="E47" s="21" t="n">
        <f aca="false">ROUND(Q47,0)-D47</f>
        <v>735</v>
      </c>
      <c r="F47" s="21" t="n">
        <f aca="false">IF(COUNTA(D47:E47)=0,"",SUM(D47:E47))</f>
        <v>1217</v>
      </c>
      <c r="G47" s="39" t="n">
        <f aca="false">IF(OR(F47="",F47=0),"",D47/F47)</f>
        <v>0.396055875102712</v>
      </c>
      <c r="H47" s="39" t="n">
        <f aca="false">IF(OR(F47="",F47=0),"",E47/F47)</f>
        <v>0.603944124897288</v>
      </c>
      <c r="I47" s="38" t="s">
        <v>89</v>
      </c>
      <c r="J47" s="40" t="n">
        <v>2.70598815047927</v>
      </c>
      <c r="K47" s="39" t="n">
        <f aca="false">IF(G47="","",MAX(0,G47-J47/100))</f>
        <v>0.368995993597919</v>
      </c>
      <c r="L47" s="39" t="n">
        <f aca="false">IF(G47="","",MIN(1,G47+J47/100))</f>
        <v>0.423115756607504</v>
      </c>
      <c r="M47" s="21" t="n">
        <f aca="false">IF(F47="","",ROUND(F47*J47/100,0))</f>
        <v>33</v>
      </c>
      <c r="P47" s="41" t="n">
        <v>-5.00639936234727</v>
      </c>
      <c r="Q47" s="42" t="n">
        <v>1217</v>
      </c>
      <c r="R47" s="43" t="n">
        <f aca="false">MAX(0,MIN(1,P47/100+$D$5))</f>
        <v>0.396196366129566</v>
      </c>
      <c r="S47" s="44" t="s">
        <v>90</v>
      </c>
    </row>
    <row r="48" customFormat="false" ht="15" hidden="false" customHeight="false" outlineLevel="0" collapsed="false">
      <c r="A48" s="38" t="s">
        <v>115</v>
      </c>
      <c r="B48" s="38" t="s">
        <v>129</v>
      </c>
      <c r="C48" s="38" t="s">
        <v>88</v>
      </c>
      <c r="D48" s="21" t="n">
        <f aca="false">ROUND(Q48*R48,0)</f>
        <v>763</v>
      </c>
      <c r="E48" s="21" t="n">
        <f aca="false">ROUND(Q48,0)-D48</f>
        <v>1390</v>
      </c>
      <c r="F48" s="21" t="n">
        <f aca="false">IF(COUNTA(D48:E48)=0,"",SUM(D48:E48))</f>
        <v>2153</v>
      </c>
      <c r="G48" s="39" t="n">
        <f aca="false">IF(OR(F48="",F48=0),"",D48/F48)</f>
        <v>0.354389224338133</v>
      </c>
      <c r="H48" s="39" t="n">
        <f aca="false">IF(OR(F48="",F48=0),"",E48/F48)</f>
        <v>0.645610775661867</v>
      </c>
      <c r="I48" s="38" t="s">
        <v>89</v>
      </c>
      <c r="J48" s="40" t="n">
        <v>1.7997491277276</v>
      </c>
      <c r="K48" s="39" t="n">
        <f aca="false">IF(G48="","",MAX(0,G48-J48/100))</f>
        <v>0.336391733060857</v>
      </c>
      <c r="L48" s="39" t="n">
        <f aca="false">IF(G48="","",MIN(1,G48+J48/100))</f>
        <v>0.372386715615409</v>
      </c>
      <c r="M48" s="21" t="n">
        <f aca="false">IF(F48="","",ROUND(F48*J48/100,0))</f>
        <v>39</v>
      </c>
      <c r="P48" s="41" t="n">
        <v>-9.20211787676653</v>
      </c>
      <c r="Q48" s="42" t="n">
        <v>2153</v>
      </c>
      <c r="R48" s="43" t="n">
        <f aca="false">MAX(0,MIN(1,P48/100+$D$5))</f>
        <v>0.354239180985374</v>
      </c>
      <c r="S48" s="44" t="s">
        <v>96</v>
      </c>
    </row>
    <row r="49" customFormat="false" ht="15" hidden="false" customHeight="false" outlineLevel="0" collapsed="false">
      <c r="A49" s="38" t="s">
        <v>115</v>
      </c>
      <c r="B49" s="38" t="s">
        <v>130</v>
      </c>
      <c r="C49" s="38" t="s">
        <v>88</v>
      </c>
      <c r="D49" s="21" t="n">
        <f aca="false">ROUND(Q49*R49,0)</f>
        <v>791</v>
      </c>
      <c r="E49" s="21" t="n">
        <f aca="false">ROUND(Q49,0)-D49</f>
        <v>625</v>
      </c>
      <c r="F49" s="21" t="n">
        <f aca="false">IF(COUNTA(D49:E49)=0,"",SUM(D49:E49))</f>
        <v>1416</v>
      </c>
      <c r="G49" s="39" t="n">
        <f aca="false">IF(OR(F49="",F49=0),"",D49/F49)</f>
        <v>0.55861581920904</v>
      </c>
      <c r="H49" s="39" t="n">
        <f aca="false">IF(OR(F49="",F49=0),"",E49/F49)</f>
        <v>0.441384180790961</v>
      </c>
      <c r="I49" s="38" t="s">
        <v>89</v>
      </c>
      <c r="J49" s="40" t="n">
        <v>2.70598815047927</v>
      </c>
      <c r="K49" s="39" t="n">
        <f aca="false">IF(G49="","",MAX(0,G49-J49/100))</f>
        <v>0.531555937704247</v>
      </c>
      <c r="L49" s="39" t="n">
        <f aca="false">IF(G49="","",MIN(1,G49+J49/100))</f>
        <v>0.585675700713832</v>
      </c>
      <c r="M49" s="21" t="n">
        <f aca="false">IF(F49="","",ROUND(F49*J49/100,0))</f>
        <v>38</v>
      </c>
      <c r="P49" s="41" t="n">
        <v>11.239870868287</v>
      </c>
      <c r="Q49" s="42" t="n">
        <v>1416</v>
      </c>
      <c r="R49" s="43" t="n">
        <f aca="false">MAX(0,MIN(1,P49/100+$D$5))</f>
        <v>0.558659068435909</v>
      </c>
      <c r="S49" s="44" t="s">
        <v>90</v>
      </c>
    </row>
    <row r="50" customFormat="false" ht="15" hidden="false" customHeight="false" outlineLevel="0" collapsed="false">
      <c r="A50" s="38" t="s">
        <v>115</v>
      </c>
      <c r="B50" s="38" t="s">
        <v>131</v>
      </c>
      <c r="C50" s="38" t="s">
        <v>88</v>
      </c>
      <c r="D50" s="21" t="n">
        <f aca="false">ROUND(Q50*R50,0)</f>
        <v>3441</v>
      </c>
      <c r="E50" s="21" t="n">
        <f aca="false">ROUND(Q50,0)-D50</f>
        <v>4276</v>
      </c>
      <c r="F50" s="21" t="n">
        <f aca="false">IF(COUNTA(D50:E50)=0,"",SUM(D50:E50))</f>
        <v>7717</v>
      </c>
      <c r="G50" s="39" t="n">
        <f aca="false">IF(OR(F50="",F50=0),"",D50/F50)</f>
        <v>0.445898665284437</v>
      </c>
      <c r="H50" s="39" t="n">
        <f aca="false">IF(OR(F50="",F50=0),"",E50/F50)</f>
        <v>0.554101334715563</v>
      </c>
      <c r="I50" s="38" t="s">
        <v>89</v>
      </c>
      <c r="J50" s="40" t="n">
        <v>1.22035716831382</v>
      </c>
      <c r="K50" s="39" t="n">
        <f aca="false">IF(G50="","",MAX(0,G50-J50/100))</f>
        <v>0.433695093601299</v>
      </c>
      <c r="L50" s="39" t="n">
        <f aca="false">IF(G50="","",MIN(1,G50+J50/100))</f>
        <v>0.458102236967575</v>
      </c>
      <c r="M50" s="21" t="n">
        <f aca="false">IF(F50="","",ROUND(F50*J50/100,0))</f>
        <v>94</v>
      </c>
      <c r="P50" s="41" t="n">
        <v>-0.0387363188759171</v>
      </c>
      <c r="Q50" s="42" t="n">
        <v>7717</v>
      </c>
      <c r="R50" s="43" t="n">
        <f aca="false">MAX(0,MIN(1,P50/100+$D$5))</f>
        <v>0.44587299656428</v>
      </c>
      <c r="S50" s="44" t="s">
        <v>110</v>
      </c>
    </row>
    <row r="51" customFormat="false" ht="15" hidden="false" customHeight="false" outlineLevel="0" collapsed="false">
      <c r="A51" s="38" t="s">
        <v>115</v>
      </c>
      <c r="B51" s="38" t="s">
        <v>132</v>
      </c>
      <c r="C51" s="38" t="s">
        <v>88</v>
      </c>
      <c r="D51" s="21" t="n">
        <f aca="false">ROUND(Q51*R51,0)</f>
        <v>3405</v>
      </c>
      <c r="E51" s="21" t="n">
        <f aca="false">ROUND(Q51,0)-D51</f>
        <v>2963</v>
      </c>
      <c r="F51" s="21" t="n">
        <f aca="false">IF(COUNTA(D51:E51)=0,"",SUM(D51:E51))</f>
        <v>6368</v>
      </c>
      <c r="G51" s="39" t="n">
        <f aca="false">IF(OR(F51="",F51=0),"",D51/F51)</f>
        <v>0.534704773869347</v>
      </c>
      <c r="H51" s="39" t="n">
        <f aca="false">IF(OR(F51="",F51=0),"",E51/F51)</f>
        <v>0.465295226130653</v>
      </c>
      <c r="I51" s="38" t="s">
        <v>89</v>
      </c>
      <c r="J51" s="40" t="n">
        <v>1.22035716831382</v>
      </c>
      <c r="K51" s="39" t="n">
        <f aca="false">IF(G51="","",MAX(0,G51-J51/100))</f>
        <v>0.522501202186209</v>
      </c>
      <c r="L51" s="39" t="n">
        <f aca="false">IF(G51="","",MIN(1,G51+J51/100))</f>
        <v>0.546908345552485</v>
      </c>
      <c r="M51" s="21" t="n">
        <f aca="false">IF(F51="","",ROUND(F51*J51/100,0))</f>
        <v>78</v>
      </c>
      <c r="P51" s="41" t="n">
        <v>8.84283667186255</v>
      </c>
      <c r="Q51" s="42" t="n">
        <v>6368</v>
      </c>
      <c r="R51" s="43" t="n">
        <f aca="false">MAX(0,MIN(1,P51/100+$D$5))</f>
        <v>0.534688726471664</v>
      </c>
      <c r="S51" s="44" t="s">
        <v>110</v>
      </c>
    </row>
    <row r="52" customFormat="false" ht="15" hidden="false" customHeight="false" outlineLevel="0" collapsed="false">
      <c r="A52" s="38" t="s">
        <v>115</v>
      </c>
      <c r="B52" s="38" t="s">
        <v>133</v>
      </c>
      <c r="C52" s="38" t="s">
        <v>88</v>
      </c>
      <c r="D52" s="21" t="n">
        <f aca="false">ROUND(Q52*R52,0)</f>
        <v>617</v>
      </c>
      <c r="E52" s="21" t="n">
        <f aca="false">ROUND(Q52,0)-D52</f>
        <v>734</v>
      </c>
      <c r="F52" s="21" t="n">
        <f aca="false">IF(COUNTA(D52:E52)=0,"",SUM(D52:E52))</f>
        <v>1351</v>
      </c>
      <c r="G52" s="39" t="n">
        <f aca="false">IF(OR(F52="",F52=0),"",D52/F52)</f>
        <v>0.456698741672835</v>
      </c>
      <c r="H52" s="39" t="n">
        <f aca="false">IF(OR(F52="",F52=0),"",E52/F52)</f>
        <v>0.543301258327165</v>
      </c>
      <c r="I52" s="38" t="s">
        <v>89</v>
      </c>
      <c r="J52" s="40" t="n">
        <v>2.70598815047927</v>
      </c>
      <c r="K52" s="39" t="n">
        <f aca="false">IF(G52="","",MAX(0,G52-J52/100))</f>
        <v>0.429638860168042</v>
      </c>
      <c r="L52" s="39" t="n">
        <f aca="false">IF(G52="","",MIN(1,G52+J52/100))</f>
        <v>0.483758623177628</v>
      </c>
      <c r="M52" s="21" t="n">
        <f aca="false">IF(F52="","",ROUND(F52*J52/100,0))</f>
        <v>37</v>
      </c>
      <c r="P52" s="41" t="n">
        <v>1.00709951653191</v>
      </c>
      <c r="Q52" s="42" t="n">
        <v>1351</v>
      </c>
      <c r="R52" s="43" t="n">
        <f aca="false">MAX(0,MIN(1,P52/100+$D$5))</f>
        <v>0.456331354918358</v>
      </c>
      <c r="S52" s="44" t="s">
        <v>90</v>
      </c>
    </row>
    <row r="53" customFormat="false" ht="15" hidden="false" customHeight="false" outlineLevel="0" collapsed="false">
      <c r="A53" s="38" t="s">
        <v>115</v>
      </c>
      <c r="B53" s="38" t="s">
        <v>134</v>
      </c>
      <c r="C53" s="38" t="s">
        <v>88</v>
      </c>
      <c r="D53" s="21" t="n">
        <f aca="false">ROUND(Q53*R53,0)</f>
        <v>5713</v>
      </c>
      <c r="E53" s="21" t="n">
        <f aca="false">ROUND(Q53,0)-D53</f>
        <v>4406</v>
      </c>
      <c r="F53" s="21" t="n">
        <f aca="false">IF(COUNTA(D53:E53)=0,"",SUM(D53:E53))</f>
        <v>10119</v>
      </c>
      <c r="G53" s="39" t="n">
        <f aca="false">IF(OR(F53="",F53=0),"",D53/F53)</f>
        <v>0.564581480383437</v>
      </c>
      <c r="H53" s="39" t="n">
        <f aca="false">IF(OR(F53="",F53=0),"",E53/F53)</f>
        <v>0.435418519616563</v>
      </c>
      <c r="I53" s="38" t="s">
        <v>89</v>
      </c>
      <c r="J53" s="40" t="n">
        <v>1.22035716831382</v>
      </c>
      <c r="K53" s="39" t="n">
        <f aca="false">IF(G53="","",MAX(0,G53-J53/100))</f>
        <v>0.552377908700299</v>
      </c>
      <c r="L53" s="39" t="n">
        <f aca="false">IF(G53="","",MIN(1,G53+J53/100))</f>
        <v>0.576785052066575</v>
      </c>
      <c r="M53" s="21" t="n">
        <f aca="false">IF(F53="","",ROUND(F53*J53/100,0))</f>
        <v>123</v>
      </c>
      <c r="P53" s="41" t="n">
        <v>11.8349648392921</v>
      </c>
      <c r="Q53" s="42" t="n">
        <v>10119</v>
      </c>
      <c r="R53" s="43" t="n">
        <f aca="false">MAX(0,MIN(1,P53/100+$D$5))</f>
        <v>0.56461000814596</v>
      </c>
      <c r="S53" s="44" t="s">
        <v>110</v>
      </c>
    </row>
    <row r="54" customFormat="false" ht="15" hidden="false" customHeight="false" outlineLevel="0" collapsed="false">
      <c r="A54" s="38" t="s">
        <v>115</v>
      </c>
      <c r="B54" s="38" t="s">
        <v>135</v>
      </c>
      <c r="C54" s="38" t="s">
        <v>88</v>
      </c>
      <c r="D54" s="21" t="n">
        <f aca="false">ROUND(Q54*R54,0)</f>
        <v>6189</v>
      </c>
      <c r="E54" s="21" t="n">
        <f aca="false">ROUND(Q54,0)-D54</f>
        <v>5077</v>
      </c>
      <c r="F54" s="21" t="n">
        <f aca="false">IF(COUNTA(D54:E54)=0,"",SUM(D54:E54))</f>
        <v>11266</v>
      </c>
      <c r="G54" s="39" t="n">
        <f aca="false">IF(OR(F54="",F54=0),"",D54/F54)</f>
        <v>0.549352032664655</v>
      </c>
      <c r="H54" s="39" t="n">
        <f aca="false">IF(OR(F54="",F54=0),"",E54/F54)</f>
        <v>0.450647967335345</v>
      </c>
      <c r="I54" s="38" t="s">
        <v>89</v>
      </c>
      <c r="J54" s="40" t="n">
        <v>1.22035716831382</v>
      </c>
      <c r="K54" s="39" t="n">
        <f aca="false">IF(G54="","",MAX(0,G54-J54/100))</f>
        <v>0.537148460981517</v>
      </c>
      <c r="L54" s="39" t="n">
        <f aca="false">IF(G54="","",MIN(1,G54+J54/100))</f>
        <v>0.561555604347793</v>
      </c>
      <c r="M54" s="21" t="n">
        <f aca="false">IF(F54="","",ROUND(F54*J54/100,0))</f>
        <v>137</v>
      </c>
      <c r="P54" s="41" t="n">
        <v>10.3066961294022</v>
      </c>
      <c r="Q54" s="42" t="n">
        <v>11266</v>
      </c>
      <c r="R54" s="43" t="n">
        <f aca="false">MAX(0,MIN(1,P54/100+$D$5))</f>
        <v>0.549327321047061</v>
      </c>
      <c r="S54" s="44" t="s">
        <v>110</v>
      </c>
    </row>
    <row r="55" customFormat="false" ht="15" hidden="false" customHeight="false" outlineLevel="0" collapsed="false">
      <c r="A55" s="38" t="s">
        <v>115</v>
      </c>
      <c r="B55" s="38" t="s">
        <v>136</v>
      </c>
      <c r="C55" s="38" t="s">
        <v>88</v>
      </c>
      <c r="D55" s="21" t="n">
        <f aca="false">ROUND(Q55*R55,0)</f>
        <v>2127</v>
      </c>
      <c r="E55" s="21" t="n">
        <f aca="false">ROUND(Q55,0)-D55</f>
        <v>2355</v>
      </c>
      <c r="F55" s="21" t="n">
        <f aca="false">IF(COUNTA(D55:E55)=0,"",SUM(D55:E55))</f>
        <v>4482</v>
      </c>
      <c r="G55" s="39" t="n">
        <f aca="false">IF(OR(F55="",F55=0),"",D55/F55)</f>
        <v>0.474564926372155</v>
      </c>
      <c r="H55" s="39" t="n">
        <f aca="false">IF(OR(F55="",F55=0),"",E55/F55)</f>
        <v>0.525435073627845</v>
      </c>
      <c r="I55" s="38" t="s">
        <v>89</v>
      </c>
      <c r="J55" s="40" t="n">
        <v>1.22035716831382</v>
      </c>
      <c r="K55" s="39" t="n">
        <f aca="false">IF(G55="","",MAX(0,G55-J55/100))</f>
        <v>0.462361354689017</v>
      </c>
      <c r="L55" s="39" t="n">
        <f aca="false">IF(G55="","",MIN(1,G55+J55/100))</f>
        <v>0.486768498055293</v>
      </c>
      <c r="M55" s="21" t="n">
        <f aca="false">IF(F55="","",ROUND(F55*J55/100,0))</f>
        <v>55</v>
      </c>
      <c r="P55" s="41" t="n">
        <v>2.83552586597126</v>
      </c>
      <c r="Q55" s="42" t="n">
        <v>4482</v>
      </c>
      <c r="R55" s="43" t="n">
        <f aca="false">MAX(0,MIN(1,P55/100+$D$5))</f>
        <v>0.474615618412752</v>
      </c>
      <c r="S55" s="44" t="s">
        <v>110</v>
      </c>
    </row>
    <row r="56" customFormat="false" ht="15" hidden="false" customHeight="false" outlineLevel="0" collapsed="false">
      <c r="A56" s="38" t="s">
        <v>115</v>
      </c>
      <c r="B56" s="38" t="s">
        <v>137</v>
      </c>
      <c r="C56" s="38" t="s">
        <v>88</v>
      </c>
      <c r="D56" s="21" t="n">
        <f aca="false">ROUND(Q56*R56,0)</f>
        <v>4627</v>
      </c>
      <c r="E56" s="21" t="n">
        <f aca="false">ROUND(Q56,0)-D56</f>
        <v>4148</v>
      </c>
      <c r="F56" s="21" t="n">
        <f aca="false">IF(COUNTA(D56:E56)=0,"",SUM(D56:E56))</f>
        <v>8775</v>
      </c>
      <c r="G56" s="39" t="n">
        <f aca="false">IF(OR(F56="",F56=0),"",D56/F56)</f>
        <v>0.527293447293447</v>
      </c>
      <c r="H56" s="39" t="n">
        <f aca="false">IF(OR(F56="",F56=0),"",E56/F56)</f>
        <v>0.472706552706553</v>
      </c>
      <c r="I56" s="38" t="s">
        <v>89</v>
      </c>
      <c r="J56" s="40" t="n">
        <v>1.22035716831382</v>
      </c>
      <c r="K56" s="39" t="n">
        <f aca="false">IF(G56="","",MAX(0,G56-J56/100))</f>
        <v>0.515089875610309</v>
      </c>
      <c r="L56" s="39" t="n">
        <f aca="false">IF(G56="","",MIN(1,G56+J56/100))</f>
        <v>0.539497018976585</v>
      </c>
      <c r="M56" s="21" t="n">
        <f aca="false">IF(F56="","",ROUND(F56*J56/100,0))</f>
        <v>107</v>
      </c>
      <c r="P56" s="41" t="n">
        <v>8.10259942020351</v>
      </c>
      <c r="Q56" s="42" t="n">
        <v>8775</v>
      </c>
      <c r="R56" s="43" t="n">
        <f aca="false">MAX(0,MIN(1,P56/100+$D$5))</f>
        <v>0.527286353955074</v>
      </c>
      <c r="S56" s="44" t="s">
        <v>110</v>
      </c>
    </row>
    <row r="57" customFormat="false" ht="15" hidden="false" customHeight="false" outlineLevel="0" collapsed="false">
      <c r="A57" s="38" t="s">
        <v>115</v>
      </c>
      <c r="B57" s="38" t="s">
        <v>138</v>
      </c>
      <c r="C57" s="38" t="s">
        <v>88</v>
      </c>
      <c r="D57" s="21" t="n">
        <f aca="false">ROUND(Q57*R57,0)</f>
        <v>1116</v>
      </c>
      <c r="E57" s="21" t="n">
        <f aca="false">ROUND(Q57,0)-D57</f>
        <v>1890</v>
      </c>
      <c r="F57" s="21" t="n">
        <f aca="false">IF(COUNTA(D57:E57)=0,"",SUM(D57:E57))</f>
        <v>3006</v>
      </c>
      <c r="G57" s="39" t="n">
        <f aca="false">IF(OR(F57="",F57=0),"",D57/F57)</f>
        <v>0.37125748502994</v>
      </c>
      <c r="H57" s="39" t="n">
        <f aca="false">IF(OR(F57="",F57=0),"",E57/F57)</f>
        <v>0.62874251497006</v>
      </c>
      <c r="I57" s="38" t="s">
        <v>89</v>
      </c>
      <c r="J57" s="40" t="n">
        <v>1.7997491277276</v>
      </c>
      <c r="K57" s="39" t="n">
        <f aca="false">IF(G57="","",MAX(0,G57-J57/100))</f>
        <v>0.353259993752664</v>
      </c>
      <c r="L57" s="39" t="n">
        <f aca="false">IF(G57="","",MIN(1,G57+J57/100))</f>
        <v>0.389254976307216</v>
      </c>
      <c r="M57" s="21" t="n">
        <f aca="false">IF(F57="","",ROUND(F57*J57/100,0))</f>
        <v>54</v>
      </c>
      <c r="P57" s="41" t="n">
        <v>-7.48678646718646</v>
      </c>
      <c r="Q57" s="42" t="n">
        <v>3006</v>
      </c>
      <c r="R57" s="43" t="n">
        <f aca="false">MAX(0,MIN(1,P57/100+$D$5))</f>
        <v>0.371392495081174</v>
      </c>
      <c r="S57" s="44" t="s">
        <v>96</v>
      </c>
    </row>
    <row r="58" customFormat="false" ht="15" hidden="false" customHeight="false" outlineLevel="0" collapsed="false">
      <c r="A58" s="38" t="s">
        <v>115</v>
      </c>
      <c r="B58" s="38" t="s">
        <v>139</v>
      </c>
      <c r="C58" s="38" t="s">
        <v>88</v>
      </c>
      <c r="D58" s="21" t="n">
        <f aca="false">ROUND(Q58*R58,0)</f>
        <v>1034</v>
      </c>
      <c r="E58" s="21" t="n">
        <f aca="false">ROUND(Q58,0)-D58</f>
        <v>1658</v>
      </c>
      <c r="F58" s="21" t="n">
        <f aca="false">IF(COUNTA(D58:E58)=0,"",SUM(D58:E58))</f>
        <v>2692</v>
      </c>
      <c r="G58" s="39" t="n">
        <f aca="false">IF(OR(F58="",F58=0),"",D58/F58)</f>
        <v>0.384101040118871</v>
      </c>
      <c r="H58" s="39" t="n">
        <f aca="false">IF(OR(F58="",F58=0),"",E58/F58)</f>
        <v>0.615898959881129</v>
      </c>
      <c r="I58" s="38" t="s">
        <v>89</v>
      </c>
      <c r="J58" s="40" t="n">
        <v>1.7997491277276</v>
      </c>
      <c r="K58" s="39" t="n">
        <f aca="false">IF(G58="","",MAX(0,G58-J58/100))</f>
        <v>0.366103548841595</v>
      </c>
      <c r="L58" s="39" t="n">
        <f aca="false">IF(G58="","",MIN(1,G58+J58/100))</f>
        <v>0.402098531396147</v>
      </c>
      <c r="M58" s="21" t="n">
        <f aca="false">IF(F58="","",ROUND(F58*J58/100,0))</f>
        <v>48</v>
      </c>
      <c r="P58" s="41" t="n">
        <v>-6.22481984395344</v>
      </c>
      <c r="Q58" s="42" t="n">
        <v>2692</v>
      </c>
      <c r="R58" s="43" t="n">
        <f aca="false">MAX(0,MIN(1,P58/100+$D$5))</f>
        <v>0.384012161313505</v>
      </c>
      <c r="S58" s="44" t="s">
        <v>96</v>
      </c>
    </row>
    <row r="59" customFormat="false" ht="15" hidden="false" customHeight="false" outlineLevel="0" collapsed="false">
      <c r="A59" s="38" t="s">
        <v>115</v>
      </c>
      <c r="B59" s="38" t="s">
        <v>140</v>
      </c>
      <c r="C59" s="38" t="s">
        <v>88</v>
      </c>
      <c r="D59" s="21" t="n">
        <f aca="false">ROUND(Q59*R59,0)</f>
        <v>5635</v>
      </c>
      <c r="E59" s="21" t="n">
        <f aca="false">ROUND(Q59,0)-D59</f>
        <v>4657</v>
      </c>
      <c r="F59" s="21" t="n">
        <f aca="false">IF(COUNTA(D59:E59)=0,"",SUM(D59:E59))</f>
        <v>10292</v>
      </c>
      <c r="G59" s="39" t="n">
        <f aca="false">IF(OR(F59="",F59=0),"",D59/F59)</f>
        <v>0.547512631169841</v>
      </c>
      <c r="H59" s="39" t="n">
        <f aca="false">IF(OR(F59="",F59=0),"",E59/F59)</f>
        <v>0.452487368830159</v>
      </c>
      <c r="I59" s="38" t="s">
        <v>89</v>
      </c>
      <c r="J59" s="40" t="n">
        <v>1.22035716831382</v>
      </c>
      <c r="K59" s="39" t="n">
        <f aca="false">IF(G59="","",MAX(0,G59-J59/100))</f>
        <v>0.535309059486703</v>
      </c>
      <c r="L59" s="39" t="n">
        <f aca="false">IF(G59="","",MIN(1,G59+J59/100))</f>
        <v>0.559716202852979</v>
      </c>
      <c r="M59" s="21" t="n">
        <f aca="false">IF(F59="","",ROUND(F59*J59/100,0))</f>
        <v>126</v>
      </c>
      <c r="P59" s="41" t="n">
        <v>10.1240730847675</v>
      </c>
      <c r="Q59" s="42" t="n">
        <v>10292</v>
      </c>
      <c r="R59" s="43" t="n">
        <f aca="false">MAX(0,MIN(1,P59/100+$D$5))</f>
        <v>0.547501090600714</v>
      </c>
      <c r="S59" s="44" t="s">
        <v>110</v>
      </c>
    </row>
    <row r="60" customFormat="false" ht="15" hidden="false" customHeight="false" outlineLevel="0" collapsed="false">
      <c r="A60" s="38" t="s">
        <v>141</v>
      </c>
      <c r="B60" s="38" t="s">
        <v>142</v>
      </c>
      <c r="C60" s="38" t="s">
        <v>88</v>
      </c>
      <c r="D60" s="21" t="n">
        <f aca="false">ROUND(Q60*R60,0)</f>
        <v>411</v>
      </c>
      <c r="E60" s="21" t="n">
        <f aca="false">ROUND(Q60,0)-D60</f>
        <v>774</v>
      </c>
      <c r="F60" s="21" t="n">
        <f aca="false">IF(COUNTA(D60:E60)=0,"",SUM(D60:E60))</f>
        <v>1185</v>
      </c>
      <c r="G60" s="39" t="n">
        <f aca="false">IF(OR(F60="",F60=0),"",D60/F60)</f>
        <v>0.346835443037975</v>
      </c>
      <c r="H60" s="39" t="n">
        <f aca="false">IF(OR(F60="",F60=0),"",E60/F60)</f>
        <v>0.653164556962025</v>
      </c>
      <c r="I60" s="38" t="s">
        <v>89</v>
      </c>
      <c r="J60" s="40" t="n">
        <v>2.70598815047927</v>
      </c>
      <c r="K60" s="39" t="n">
        <f aca="false">IF(G60="","",MAX(0,G60-J60/100))</f>
        <v>0.319775561533182</v>
      </c>
      <c r="L60" s="39" t="n">
        <f aca="false">IF(G60="","",MIN(1,G60+J60/100))</f>
        <v>0.373895324542767</v>
      </c>
      <c r="M60" s="21" t="n">
        <f aca="false">IF(F60="","",ROUND(F60*J60/100,0))</f>
        <v>32</v>
      </c>
      <c r="P60" s="41" t="n">
        <v>-9.93828971202343</v>
      </c>
      <c r="Q60" s="42" t="n">
        <v>1185</v>
      </c>
      <c r="R60" s="43" t="n">
        <f aca="false">MAX(0,MIN(1,P60/100+$D$5))</f>
        <v>0.346877462632805</v>
      </c>
      <c r="S60" s="44" t="s">
        <v>90</v>
      </c>
    </row>
    <row r="61" customFormat="false" ht="15" hidden="false" customHeight="false" outlineLevel="0" collapsed="false">
      <c r="A61" s="38" t="s">
        <v>141</v>
      </c>
      <c r="B61" s="38" t="s">
        <v>143</v>
      </c>
      <c r="C61" s="38" t="s">
        <v>88</v>
      </c>
      <c r="D61" s="21" t="n">
        <f aca="false">ROUND(Q61*R61,0)</f>
        <v>1126</v>
      </c>
      <c r="E61" s="21" t="n">
        <f aca="false">ROUND(Q61,0)-D61</f>
        <v>1879</v>
      </c>
      <c r="F61" s="21" t="n">
        <f aca="false">IF(COUNTA(D61:E61)=0,"",SUM(D61:E61))</f>
        <v>3005</v>
      </c>
      <c r="G61" s="39" t="n">
        <f aca="false">IF(OR(F61="",F61=0),"",D61/F61)</f>
        <v>0.374708818635607</v>
      </c>
      <c r="H61" s="39" t="n">
        <f aca="false">IF(OR(F61="",F61=0),"",E61/F61)</f>
        <v>0.625291181364393</v>
      </c>
      <c r="I61" s="38" t="s">
        <v>89</v>
      </c>
      <c r="J61" s="40" t="n">
        <v>1.7997491277276</v>
      </c>
      <c r="K61" s="39" t="n">
        <f aca="false">IF(G61="","",MAX(0,G61-J61/100))</f>
        <v>0.356711327358331</v>
      </c>
      <c r="L61" s="39" t="n">
        <f aca="false">IF(G61="","",MIN(1,G61+J61/100))</f>
        <v>0.392706309912883</v>
      </c>
      <c r="M61" s="21" t="n">
        <f aca="false">IF(F61="","",ROUND(F61*J61/100,0))</f>
        <v>54</v>
      </c>
      <c r="P61" s="41" t="n">
        <v>-7.1636327556437</v>
      </c>
      <c r="Q61" s="42" t="n">
        <v>3005</v>
      </c>
      <c r="R61" s="43" t="n">
        <f aca="false">MAX(0,MIN(1,P61/100+$D$5))</f>
        <v>0.374624032196602</v>
      </c>
      <c r="S61" s="44" t="s">
        <v>96</v>
      </c>
    </row>
    <row r="62" customFormat="false" ht="15" hidden="false" customHeight="false" outlineLevel="0" collapsed="false">
      <c r="A62" s="38" t="s">
        <v>141</v>
      </c>
      <c r="B62" s="38" t="s">
        <v>144</v>
      </c>
      <c r="C62" s="38" t="s">
        <v>88</v>
      </c>
      <c r="D62" s="21" t="n">
        <f aca="false">ROUND(Q62*R62,0)</f>
        <v>416</v>
      </c>
      <c r="E62" s="21" t="n">
        <f aca="false">ROUND(Q62,0)-D62</f>
        <v>696</v>
      </c>
      <c r="F62" s="21" t="n">
        <f aca="false">IF(COUNTA(D62:E62)=0,"",SUM(D62:E62))</f>
        <v>1112</v>
      </c>
      <c r="G62" s="39" t="n">
        <f aca="false">IF(OR(F62="",F62=0),"",D62/F62)</f>
        <v>0.37410071942446</v>
      </c>
      <c r="H62" s="39" t="n">
        <f aca="false">IF(OR(F62="",F62=0),"",E62/F62)</f>
        <v>0.62589928057554</v>
      </c>
      <c r="I62" s="38" t="s">
        <v>89</v>
      </c>
      <c r="J62" s="40" t="n">
        <v>2.70598815047927</v>
      </c>
      <c r="K62" s="39" t="n">
        <f aca="false">IF(G62="","",MAX(0,G62-J62/100))</f>
        <v>0.347040837919668</v>
      </c>
      <c r="L62" s="39" t="n">
        <f aca="false">IF(G62="","",MIN(1,G62+J62/100))</f>
        <v>0.401160600929253</v>
      </c>
      <c r="M62" s="21" t="n">
        <f aca="false">IF(F62="","",ROUND(F62*J62/100,0))</f>
        <v>30</v>
      </c>
      <c r="P62" s="41" t="n">
        <v>-7.24868345688693</v>
      </c>
      <c r="Q62" s="42" t="n">
        <v>1112</v>
      </c>
      <c r="R62" s="43" t="n">
        <f aca="false">MAX(0,MIN(1,P62/100+$D$5))</f>
        <v>0.37377352518417</v>
      </c>
      <c r="S62" s="44" t="s">
        <v>90</v>
      </c>
    </row>
    <row r="63" customFormat="false" ht="15" hidden="false" customHeight="false" outlineLevel="0" collapsed="false">
      <c r="A63" s="38" t="s">
        <v>145</v>
      </c>
      <c r="B63" s="38" t="s">
        <v>146</v>
      </c>
      <c r="C63" s="38" t="s">
        <v>88</v>
      </c>
      <c r="D63" s="21" t="n">
        <f aca="false">ROUND(Q63*R63,0)</f>
        <v>1227</v>
      </c>
      <c r="E63" s="21" t="n">
        <f aca="false">ROUND(Q63,0)-D63</f>
        <v>1373</v>
      </c>
      <c r="F63" s="21" t="n">
        <f aca="false">IF(COUNTA(D63:E63)=0,"",SUM(D63:E63))</f>
        <v>2600</v>
      </c>
      <c r="G63" s="39" t="n">
        <f aca="false">IF(OR(F63="",F63=0),"",D63/F63)</f>
        <v>0.471923076923077</v>
      </c>
      <c r="H63" s="39" t="n">
        <f aca="false">IF(OR(F63="",F63=0),"",E63/F63)</f>
        <v>0.528076923076923</v>
      </c>
      <c r="I63" s="38" t="s">
        <v>89</v>
      </c>
      <c r="J63" s="40" t="n">
        <v>1.7997491277276</v>
      </c>
      <c r="K63" s="39" t="n">
        <f aca="false">IF(G63="","",MAX(0,G63-J63/100))</f>
        <v>0.453925585645801</v>
      </c>
      <c r="L63" s="39" t="n">
        <f aca="false">IF(G63="","",MIN(1,G63+J63/100))</f>
        <v>0.489920568200353</v>
      </c>
      <c r="M63" s="21" t="n">
        <f aca="false">IF(F63="","",ROUND(F63*J63/100,0))</f>
        <v>47</v>
      </c>
      <c r="P63" s="41" t="n">
        <v>2.56959945870452</v>
      </c>
      <c r="Q63" s="42" t="n">
        <v>2600</v>
      </c>
      <c r="R63" s="43" t="n">
        <f aca="false">MAX(0,MIN(1,P63/100+$D$5))</f>
        <v>0.471956354340084</v>
      </c>
      <c r="S63" s="44" t="s">
        <v>96</v>
      </c>
    </row>
    <row r="64" customFormat="false" ht="15" hidden="false" customHeight="false" outlineLevel="0" collapsed="false">
      <c r="A64" s="38" t="s">
        <v>145</v>
      </c>
      <c r="B64" s="38" t="s">
        <v>147</v>
      </c>
      <c r="C64" s="38" t="s">
        <v>88</v>
      </c>
      <c r="D64" s="21" t="n">
        <f aca="false">ROUND(Q64*R64,0)</f>
        <v>745</v>
      </c>
      <c r="E64" s="21" t="n">
        <f aca="false">ROUND(Q64,0)-D64</f>
        <v>912</v>
      </c>
      <c r="F64" s="21" t="n">
        <f aca="false">IF(COUNTA(D64:E64)=0,"",SUM(D64:E64))</f>
        <v>1657</v>
      </c>
      <c r="G64" s="39" t="n">
        <f aca="false">IF(OR(F64="",F64=0),"",D64/F64)</f>
        <v>0.449607724803862</v>
      </c>
      <c r="H64" s="39" t="n">
        <f aca="false">IF(OR(F64="",F64=0),"",E64/F64)</f>
        <v>0.550392275196138</v>
      </c>
      <c r="I64" s="38" t="s">
        <v>89</v>
      </c>
      <c r="J64" s="40" t="n">
        <v>1.7997491277276</v>
      </c>
      <c r="K64" s="39" t="n">
        <f aca="false">IF(G64="","",MAX(0,G64-J64/100))</f>
        <v>0.431610233526586</v>
      </c>
      <c r="L64" s="39" t="n">
        <f aca="false">IF(G64="","",MIN(1,G64+J64/100))</f>
        <v>0.467605216081138</v>
      </c>
      <c r="M64" s="21" t="n">
        <f aca="false">IF(F64="","",ROUND(F64*J64/100,0))</f>
        <v>30</v>
      </c>
      <c r="P64" s="41" t="n">
        <v>0.33748618883341</v>
      </c>
      <c r="Q64" s="42" t="n">
        <v>1657</v>
      </c>
      <c r="R64" s="43" t="n">
        <f aca="false">MAX(0,MIN(1,P64/100+$D$5))</f>
        <v>0.449635221641373</v>
      </c>
      <c r="S64" s="44" t="s">
        <v>96</v>
      </c>
    </row>
    <row r="65" customFormat="false" ht="15" hidden="false" customHeight="false" outlineLevel="0" collapsed="false">
      <c r="A65" s="38" t="s">
        <v>145</v>
      </c>
      <c r="B65" s="38" t="s">
        <v>148</v>
      </c>
      <c r="C65" s="38" t="s">
        <v>88</v>
      </c>
      <c r="D65" s="21" t="n">
        <f aca="false">ROUND(Q65*R65,0)</f>
        <v>486</v>
      </c>
      <c r="E65" s="21" t="n">
        <f aca="false">ROUND(Q65,0)-D65</f>
        <v>468</v>
      </c>
      <c r="F65" s="21" t="n">
        <f aca="false">IF(COUNTA(D65:E65)=0,"",SUM(D65:E65))</f>
        <v>954</v>
      </c>
      <c r="G65" s="39" t="n">
        <f aca="false">IF(OR(F65="",F65=0),"",D65/F65)</f>
        <v>0.509433962264151</v>
      </c>
      <c r="H65" s="39" t="n">
        <f aca="false">IF(OR(F65="",F65=0),"",E65/F65)</f>
        <v>0.490566037735849</v>
      </c>
      <c r="I65" s="38" t="s">
        <v>89</v>
      </c>
      <c r="J65" s="40" t="n">
        <v>2.70598815047927</v>
      </c>
      <c r="K65" s="39" t="n">
        <f aca="false">IF(G65="","",MAX(0,G65-J65/100))</f>
        <v>0.482374080759358</v>
      </c>
      <c r="L65" s="39" t="n">
        <f aca="false">IF(G65="","",MIN(1,G65+J65/100))</f>
        <v>0.536493843768944</v>
      </c>
      <c r="M65" s="21" t="n">
        <f aca="false">IF(F65="","",ROUND(F65*J65/100,0))</f>
        <v>26</v>
      </c>
      <c r="P65" s="41" t="n">
        <v>6.35624555092846</v>
      </c>
      <c r="Q65" s="42" t="n">
        <v>954</v>
      </c>
      <c r="R65" s="43" t="n">
        <f aca="false">MAX(0,MIN(1,P65/100+$D$5))</f>
        <v>0.509822815262324</v>
      </c>
      <c r="S65" s="44" t="s">
        <v>90</v>
      </c>
    </row>
    <row r="66" customFormat="false" ht="15" hidden="false" customHeight="false" outlineLevel="0" collapsed="false">
      <c r="A66" s="38" t="s">
        <v>145</v>
      </c>
      <c r="B66" s="38" t="s">
        <v>118</v>
      </c>
      <c r="C66" s="38" t="s">
        <v>88</v>
      </c>
      <c r="D66" s="21" t="n">
        <f aca="false">ROUND(Q66*R66,0)</f>
        <v>12667</v>
      </c>
      <c r="E66" s="21" t="n">
        <f aca="false">ROUND(Q66,0)-D66</f>
        <v>5427</v>
      </c>
      <c r="F66" s="21" t="n">
        <f aca="false">IF(COUNTA(D66:E66)=0,"",SUM(D66:E66))</f>
        <v>18094</v>
      </c>
      <c r="G66" s="39" t="n">
        <f aca="false">IF(OR(F66="",F66=0),"",D66/F66)</f>
        <v>0.70006632032718</v>
      </c>
      <c r="H66" s="39" t="n">
        <f aca="false">IF(OR(F66="",F66=0),"",E66/F66)</f>
        <v>0.29993367967282</v>
      </c>
      <c r="I66" s="38" t="s">
        <v>89</v>
      </c>
      <c r="J66" s="40" t="n">
        <v>1.22035716831382</v>
      </c>
      <c r="K66" s="39" t="n">
        <f aca="false">IF(G66="","",MAX(0,G66-J66/100))</f>
        <v>0.687862748644042</v>
      </c>
      <c r="L66" s="39" t="n">
        <f aca="false">IF(G66="","",MIN(1,G66+J66/100))</f>
        <v>0.712269892010318</v>
      </c>
      <c r="M66" s="21" t="n">
        <f aca="false">IF(F66="","",ROUND(F66*J66/100,0))</f>
        <v>221</v>
      </c>
      <c r="P66" s="41" t="n">
        <v>25.3798787973898</v>
      </c>
      <c r="Q66" s="42" t="n">
        <v>18094</v>
      </c>
      <c r="R66" s="43" t="n">
        <f aca="false">MAX(0,MIN(1,P66/100+$D$5))</f>
        <v>0.700059147726937</v>
      </c>
      <c r="S66" s="44" t="s">
        <v>110</v>
      </c>
    </row>
    <row r="67" customFormat="false" ht="15" hidden="false" customHeight="false" outlineLevel="0" collapsed="false">
      <c r="A67" s="38" t="s">
        <v>145</v>
      </c>
      <c r="B67" s="38" t="s">
        <v>149</v>
      </c>
      <c r="C67" s="38" t="s">
        <v>88</v>
      </c>
      <c r="D67" s="21" t="n">
        <f aca="false">ROUND(Q67*R67,0)</f>
        <v>6917</v>
      </c>
      <c r="E67" s="21" t="n">
        <f aca="false">ROUND(Q67,0)-D67</f>
        <v>5326</v>
      </c>
      <c r="F67" s="21" t="n">
        <f aca="false">IF(COUNTA(D67:E67)=0,"",SUM(D67:E67))</f>
        <v>12243</v>
      </c>
      <c r="G67" s="39" t="n">
        <f aca="false">IF(OR(F67="",F67=0),"",D67/F67)</f>
        <v>0.564975904598546</v>
      </c>
      <c r="H67" s="39" t="n">
        <f aca="false">IF(OR(F67="",F67=0),"",E67/F67)</f>
        <v>0.435024095401454</v>
      </c>
      <c r="I67" s="38" t="s">
        <v>89</v>
      </c>
      <c r="J67" s="40" t="n">
        <v>1.22035716831382</v>
      </c>
      <c r="K67" s="39" t="n">
        <f aca="false">IF(G67="","",MAX(0,G67-J67/100))</f>
        <v>0.552772332915408</v>
      </c>
      <c r="L67" s="39" t="n">
        <f aca="false">IF(G67="","",MIN(1,G67+J67/100))</f>
        <v>0.577179476281684</v>
      </c>
      <c r="M67" s="21" t="n">
        <f aca="false">IF(F67="","",ROUND(F67*J67/100,0))</f>
        <v>149</v>
      </c>
      <c r="P67" s="41" t="n">
        <v>11.8699612333963</v>
      </c>
      <c r="Q67" s="42" t="n">
        <v>12243</v>
      </c>
      <c r="R67" s="43" t="n">
        <f aca="false">MAX(0,MIN(1,P67/100+$D$5))</f>
        <v>0.564959972087002</v>
      </c>
      <c r="S67" s="44" t="s">
        <v>110</v>
      </c>
    </row>
    <row r="68" customFormat="false" ht="15" hidden="false" customHeight="false" outlineLevel="0" collapsed="false">
      <c r="A68" s="38" t="s">
        <v>145</v>
      </c>
      <c r="B68" s="38" t="s">
        <v>150</v>
      </c>
      <c r="C68" s="38" t="s">
        <v>88</v>
      </c>
      <c r="D68" s="21" t="n">
        <f aca="false">ROUND(Q68*R68,0)</f>
        <v>1856</v>
      </c>
      <c r="E68" s="21" t="n">
        <f aca="false">ROUND(Q68,0)-D68</f>
        <v>2543</v>
      </c>
      <c r="F68" s="21" t="n">
        <f aca="false">IF(COUNTA(D68:E68)=0,"",SUM(D68:E68))</f>
        <v>4399</v>
      </c>
      <c r="G68" s="39" t="n">
        <f aca="false">IF(OR(F68="",F68=0),"",D68/F68)</f>
        <v>0.421914071379859</v>
      </c>
      <c r="H68" s="39" t="n">
        <f aca="false">IF(OR(F68="",F68=0),"",E68/F68)</f>
        <v>0.578085928620141</v>
      </c>
      <c r="I68" s="38" t="s">
        <v>89</v>
      </c>
      <c r="J68" s="40" t="n">
        <v>1.22035716831382</v>
      </c>
      <c r="K68" s="39" t="n">
        <f aca="false">IF(G68="","",MAX(0,G68-J68/100))</f>
        <v>0.409710499696721</v>
      </c>
      <c r="L68" s="39" t="n">
        <f aca="false">IF(G68="","",MIN(1,G68+J68/100))</f>
        <v>0.434117643062997</v>
      </c>
      <c r="M68" s="21" t="n">
        <f aca="false">IF(F68="","",ROUND(F68*J68/100,0))</f>
        <v>54</v>
      </c>
      <c r="P68" s="41" t="n">
        <v>-2.4326711960705</v>
      </c>
      <c r="Q68" s="42" t="n">
        <v>4399</v>
      </c>
      <c r="R68" s="43" t="n">
        <f aca="false">MAX(0,MIN(1,P68/100+$D$5))</f>
        <v>0.421933647792334</v>
      </c>
      <c r="S68" s="44" t="s">
        <v>110</v>
      </c>
    </row>
    <row r="69" customFormat="false" ht="15" hidden="false" customHeight="false" outlineLevel="0" collapsed="false">
      <c r="A69" s="38" t="s">
        <v>145</v>
      </c>
      <c r="B69" s="38" t="s">
        <v>151</v>
      </c>
      <c r="C69" s="38" t="s">
        <v>88</v>
      </c>
      <c r="D69" s="21" t="n">
        <f aca="false">ROUND(Q69*R69,0)</f>
        <v>33</v>
      </c>
      <c r="E69" s="21" t="n">
        <f aca="false">ROUND(Q69,0)-D69</f>
        <v>53</v>
      </c>
      <c r="F69" s="21" t="n">
        <f aca="false">IF(COUNTA(D69:E69)=0,"",SUM(D69:E69))</f>
        <v>86</v>
      </c>
      <c r="G69" s="39" t="n">
        <f aca="false">IF(OR(F69="",F69=0),"",D69/F69)</f>
        <v>0.383720930232558</v>
      </c>
      <c r="H69" s="39" t="n">
        <f aca="false">IF(OR(F69="",F69=0),"",E69/F69)</f>
        <v>0.616279069767442</v>
      </c>
      <c r="I69" s="38" t="s">
        <v>89</v>
      </c>
      <c r="J69" s="40" t="n">
        <v>2.70598815047927</v>
      </c>
      <c r="K69" s="39" t="n">
        <f aca="false">IF(G69="","",MAX(0,G69-J69/100))</f>
        <v>0.356661048727765</v>
      </c>
      <c r="L69" s="39" t="n">
        <f aca="false">IF(G69="","",MIN(1,G69+J69/100))</f>
        <v>0.410780811737351</v>
      </c>
      <c r="M69" s="21" t="n">
        <f aca="false">IF(F69="","",ROUND(F69*J69/100,0))</f>
        <v>2</v>
      </c>
      <c r="P69" s="41" t="n">
        <v>-6.26995489878686</v>
      </c>
      <c r="Q69" s="42" t="n">
        <v>86</v>
      </c>
      <c r="R69" s="43" t="n">
        <f aca="false">MAX(0,MIN(1,P69/100+$D$5))</f>
        <v>0.38356081076517</v>
      </c>
      <c r="S69" s="44" t="s">
        <v>90</v>
      </c>
    </row>
    <row r="70" customFormat="false" ht="15" hidden="false" customHeight="false" outlineLevel="0" collapsed="false">
      <c r="A70" s="38" t="s">
        <v>145</v>
      </c>
      <c r="B70" s="38" t="s">
        <v>152</v>
      </c>
      <c r="C70" s="38" t="s">
        <v>88</v>
      </c>
      <c r="D70" s="21" t="n">
        <f aca="false">ROUND(Q70*R70,0)</f>
        <v>1171</v>
      </c>
      <c r="E70" s="21" t="n">
        <f aca="false">ROUND(Q70,0)-D70</f>
        <v>1346</v>
      </c>
      <c r="F70" s="21" t="n">
        <f aca="false">IF(COUNTA(D70:E70)=0,"",SUM(D70:E70))</f>
        <v>2517</v>
      </c>
      <c r="G70" s="39" t="n">
        <f aca="false">IF(OR(F70="",F70=0),"",D70/F70)</f>
        <v>0.465236392530791</v>
      </c>
      <c r="H70" s="39" t="n">
        <f aca="false">IF(OR(F70="",F70=0),"",E70/F70)</f>
        <v>0.534763607469209</v>
      </c>
      <c r="I70" s="38" t="s">
        <v>89</v>
      </c>
      <c r="J70" s="40" t="n">
        <v>1.7997491277276</v>
      </c>
      <c r="K70" s="39" t="n">
        <f aca="false">IF(G70="","",MAX(0,G70-J70/100))</f>
        <v>0.447238901253515</v>
      </c>
      <c r="L70" s="39" t="n">
        <f aca="false">IF(G70="","",MIN(1,G70+J70/100))</f>
        <v>0.483233883808067</v>
      </c>
      <c r="M70" s="21" t="n">
        <f aca="false">IF(F70="","",ROUND(F70*J70/100,0))</f>
        <v>45</v>
      </c>
      <c r="P70" s="41" t="n">
        <v>1.89708022648325</v>
      </c>
      <c r="Q70" s="42" t="n">
        <v>2517</v>
      </c>
      <c r="R70" s="43" t="n">
        <f aca="false">MAX(0,MIN(1,P70/100+$D$5))</f>
        <v>0.465231162017871</v>
      </c>
      <c r="S70" s="44" t="s">
        <v>96</v>
      </c>
    </row>
    <row r="71" customFormat="false" ht="15" hidden="false" customHeight="false" outlineLevel="0" collapsed="false">
      <c r="A71" s="38" t="s">
        <v>145</v>
      </c>
      <c r="B71" s="38" t="s">
        <v>153</v>
      </c>
      <c r="C71" s="38" t="s">
        <v>88</v>
      </c>
      <c r="D71" s="21" t="n">
        <f aca="false">ROUND(Q71*R71,0)</f>
        <v>154</v>
      </c>
      <c r="E71" s="21" t="n">
        <f aca="false">ROUND(Q71,0)-D71</f>
        <v>197</v>
      </c>
      <c r="F71" s="21" t="n">
        <f aca="false">IF(COUNTA(D71:E71)=0,"",SUM(D71:E71))</f>
        <v>351</v>
      </c>
      <c r="G71" s="39" t="n">
        <f aca="false">IF(OR(F71="",F71=0),"",D71/F71)</f>
        <v>0.438746438746439</v>
      </c>
      <c r="H71" s="39" t="n">
        <f aca="false">IF(OR(F71="",F71=0),"",E71/F71)</f>
        <v>0.561253561253561</v>
      </c>
      <c r="I71" s="38" t="s">
        <v>89</v>
      </c>
      <c r="J71" s="40" t="n">
        <v>2.70598815047927</v>
      </c>
      <c r="K71" s="39" t="n">
        <f aca="false">IF(G71="","",MAX(0,G71-J71/100))</f>
        <v>0.411686557241646</v>
      </c>
      <c r="L71" s="39" t="n">
        <f aca="false">IF(G71="","",MIN(1,G71+J71/100))</f>
        <v>0.465806320251232</v>
      </c>
      <c r="M71" s="21" t="n">
        <f aca="false">IF(F71="","",ROUND(F71*J71/100,0))</f>
        <v>9</v>
      </c>
      <c r="P71" s="41" t="n">
        <v>-0.772781790685098</v>
      </c>
      <c r="Q71" s="42" t="n">
        <v>351</v>
      </c>
      <c r="R71" s="43" t="n">
        <f aca="false">MAX(0,MIN(1,P71/100+$D$5))</f>
        <v>0.438532541846188</v>
      </c>
      <c r="S71" s="44" t="s">
        <v>90</v>
      </c>
    </row>
    <row r="72" customFormat="false" ht="15" hidden="false" customHeight="false" outlineLevel="0" collapsed="false">
      <c r="A72" s="38" t="s">
        <v>145</v>
      </c>
      <c r="B72" s="38" t="s">
        <v>154</v>
      </c>
      <c r="C72" s="38" t="s">
        <v>88</v>
      </c>
      <c r="D72" s="21" t="n">
        <f aca="false">ROUND(Q72*R72,0)</f>
        <v>5125</v>
      </c>
      <c r="E72" s="21" t="n">
        <f aca="false">ROUND(Q72,0)-D72</f>
        <v>1968</v>
      </c>
      <c r="F72" s="21" t="n">
        <f aca="false">IF(COUNTA(D72:E72)=0,"",SUM(D72:E72))</f>
        <v>7093</v>
      </c>
      <c r="G72" s="39" t="n">
        <f aca="false">IF(OR(F72="",F72=0),"",D72/F72)</f>
        <v>0.722543352601156</v>
      </c>
      <c r="H72" s="39" t="n">
        <f aca="false">IF(OR(F72="",F72=0),"",E72/F72)</f>
        <v>0.277456647398844</v>
      </c>
      <c r="I72" s="38" t="s">
        <v>89</v>
      </c>
      <c r="J72" s="40" t="n">
        <v>1.22035716831382</v>
      </c>
      <c r="K72" s="39" t="n">
        <f aca="false">IF(G72="","",MAX(0,G72-J72/100))</f>
        <v>0.710339780918018</v>
      </c>
      <c r="L72" s="39" t="n">
        <f aca="false">IF(G72="","",MIN(1,G72+J72/100))</f>
        <v>0.734746924284294</v>
      </c>
      <c r="M72" s="21" t="n">
        <f aca="false">IF(F72="","",ROUND(F72*J72/100,0))</f>
        <v>87</v>
      </c>
      <c r="P72" s="41" t="n">
        <v>27.6269738656667</v>
      </c>
      <c r="Q72" s="42" t="n">
        <v>7093</v>
      </c>
      <c r="R72" s="43" t="n">
        <f aca="false">MAX(0,MIN(1,P72/100+$D$5))</f>
        <v>0.722530098409706</v>
      </c>
      <c r="S72" s="44" t="s">
        <v>110</v>
      </c>
    </row>
    <row r="73" customFormat="false" ht="15" hidden="false" customHeight="false" outlineLevel="0" collapsed="false">
      <c r="A73" s="38" t="s">
        <v>145</v>
      </c>
      <c r="B73" s="38" t="s">
        <v>155</v>
      </c>
      <c r="C73" s="38" t="s">
        <v>88</v>
      </c>
      <c r="D73" s="21" t="n">
        <f aca="false">ROUND(Q73*R73,0)</f>
        <v>4379</v>
      </c>
      <c r="E73" s="21" t="n">
        <f aca="false">ROUND(Q73,0)-D73</f>
        <v>3561</v>
      </c>
      <c r="F73" s="21" t="n">
        <f aca="false">IF(COUNTA(D73:E73)=0,"",SUM(D73:E73))</f>
        <v>7940</v>
      </c>
      <c r="G73" s="39" t="n">
        <f aca="false">IF(OR(F73="",F73=0),"",D73/F73)</f>
        <v>0.551511335012594</v>
      </c>
      <c r="H73" s="39" t="n">
        <f aca="false">IF(OR(F73="",F73=0),"",E73/F73)</f>
        <v>0.448488664987406</v>
      </c>
      <c r="I73" s="38" t="s">
        <v>89</v>
      </c>
      <c r="J73" s="40" t="n">
        <v>1.22035716831382</v>
      </c>
      <c r="K73" s="39" t="n">
        <f aca="false">IF(G73="","",MAX(0,G73-J73/100))</f>
        <v>0.539307763329456</v>
      </c>
      <c r="L73" s="39" t="n">
        <f aca="false">IF(G73="","",MIN(1,G73+J73/100))</f>
        <v>0.563714906695733</v>
      </c>
      <c r="M73" s="21" t="n">
        <f aca="false">IF(F73="","",ROUND(F73*J73/100,0))</f>
        <v>97</v>
      </c>
      <c r="P73" s="41" t="n">
        <v>10.5254732242445</v>
      </c>
      <c r="Q73" s="42" t="n">
        <v>7940</v>
      </c>
      <c r="R73" s="43" t="n">
        <f aca="false">MAX(0,MIN(1,P73/100+$D$5))</f>
        <v>0.551515091995484</v>
      </c>
      <c r="S73" s="44" t="s">
        <v>110</v>
      </c>
    </row>
    <row r="74" customFormat="false" ht="15" hidden="false" customHeight="false" outlineLevel="0" collapsed="false">
      <c r="A74" s="38" t="s">
        <v>145</v>
      </c>
      <c r="B74" s="38" t="s">
        <v>156</v>
      </c>
      <c r="C74" s="38" t="s">
        <v>88</v>
      </c>
      <c r="D74" s="21" t="n">
        <f aca="false">ROUND(Q74*R74,0)</f>
        <v>508</v>
      </c>
      <c r="E74" s="21" t="n">
        <f aca="false">ROUND(Q74,0)-D74</f>
        <v>302</v>
      </c>
      <c r="F74" s="21" t="n">
        <f aca="false">IF(COUNTA(D74:E74)=0,"",SUM(D74:E74))</f>
        <v>810</v>
      </c>
      <c r="G74" s="39" t="n">
        <f aca="false">IF(OR(F74="",F74=0),"",D74/F74)</f>
        <v>0.627160493827161</v>
      </c>
      <c r="H74" s="39" t="n">
        <f aca="false">IF(OR(F74="",F74=0),"",E74/F74)</f>
        <v>0.37283950617284</v>
      </c>
      <c r="I74" s="38" t="s">
        <v>89</v>
      </c>
      <c r="J74" s="40" t="n">
        <v>2.70598815047927</v>
      </c>
      <c r="K74" s="39" t="n">
        <f aca="false">IF(G74="","",MAX(0,G74-J74/100))</f>
        <v>0.600100612322368</v>
      </c>
      <c r="L74" s="39" t="n">
        <f aca="false">IF(G74="","",MIN(1,G74+J74/100))</f>
        <v>0.654220375331953</v>
      </c>
      <c r="M74" s="21" t="n">
        <f aca="false">IF(F74="","",ROUND(F74*J74/100,0))</f>
        <v>22</v>
      </c>
      <c r="P74" s="41" t="n">
        <v>18.0472811668784</v>
      </c>
      <c r="Q74" s="42" t="n">
        <v>810</v>
      </c>
      <c r="R74" s="43" t="n">
        <f aca="false">MAX(0,MIN(1,P74/100+$D$5))</f>
        <v>0.626733171421823</v>
      </c>
      <c r="S74" s="44" t="s">
        <v>90</v>
      </c>
    </row>
    <row r="75" customFormat="false" ht="15" hidden="false" customHeight="false" outlineLevel="0" collapsed="false">
      <c r="A75" s="38" t="s">
        <v>145</v>
      </c>
      <c r="B75" s="38" t="s">
        <v>157</v>
      </c>
      <c r="C75" s="38" t="s">
        <v>88</v>
      </c>
      <c r="D75" s="21" t="n">
        <f aca="false">ROUND(Q75*R75,0)</f>
        <v>78</v>
      </c>
      <c r="E75" s="21" t="n">
        <f aca="false">ROUND(Q75,0)-D75</f>
        <v>63</v>
      </c>
      <c r="F75" s="21" t="n">
        <f aca="false">IF(COUNTA(D75:E75)=0,"",SUM(D75:E75))</f>
        <v>141</v>
      </c>
      <c r="G75" s="39" t="n">
        <f aca="false">IF(OR(F75="",F75=0),"",D75/F75)</f>
        <v>0.553191489361702</v>
      </c>
      <c r="H75" s="39" t="n">
        <f aca="false">IF(OR(F75="",F75=0),"",E75/F75)</f>
        <v>0.446808510638298</v>
      </c>
      <c r="I75" s="38" t="s">
        <v>89</v>
      </c>
      <c r="J75" s="40" t="n">
        <v>2.70598815047927</v>
      </c>
      <c r="K75" s="39" t="n">
        <f aca="false">IF(G75="","",MAX(0,G75-J75/100))</f>
        <v>0.52613160785691</v>
      </c>
      <c r="L75" s="39" t="n">
        <f aca="false">IF(G75="","",MIN(1,G75+J75/100))</f>
        <v>0.580251370866495</v>
      </c>
      <c r="M75" s="21" t="n">
        <f aca="false">IF(F75="","",ROUND(F75*J75/100,0))</f>
        <v>4</v>
      </c>
      <c r="P75" s="41" t="n">
        <v>10.6185782336171</v>
      </c>
      <c r="Q75" s="42" t="n">
        <v>141</v>
      </c>
      <c r="R75" s="43" t="n">
        <f aca="false">MAX(0,MIN(1,P75/100+$D$5))</f>
        <v>0.55244614208921</v>
      </c>
      <c r="S75" s="44" t="s">
        <v>90</v>
      </c>
    </row>
    <row r="76" customFormat="false" ht="15" hidden="false" customHeight="false" outlineLevel="0" collapsed="false">
      <c r="A76" s="38" t="s">
        <v>145</v>
      </c>
      <c r="B76" s="38" t="s">
        <v>124</v>
      </c>
      <c r="C76" s="38" t="s">
        <v>88</v>
      </c>
      <c r="D76" s="21" t="n">
        <f aca="false">ROUND(Q76*R76,0)</f>
        <v>3645</v>
      </c>
      <c r="E76" s="21" t="n">
        <f aca="false">ROUND(Q76,0)-D76</f>
        <v>2808</v>
      </c>
      <c r="F76" s="21" t="n">
        <f aca="false">IF(COUNTA(D76:E76)=0,"",SUM(D76:E76))</f>
        <v>6453</v>
      </c>
      <c r="G76" s="39" t="n">
        <f aca="false">IF(OR(F76="",F76=0),"",D76/F76)</f>
        <v>0.564853556485356</v>
      </c>
      <c r="H76" s="39" t="n">
        <f aca="false">IF(OR(F76="",F76=0),"",E76/F76)</f>
        <v>0.435146443514644</v>
      </c>
      <c r="I76" s="38" t="s">
        <v>89</v>
      </c>
      <c r="J76" s="40" t="n">
        <v>1.22035716831382</v>
      </c>
      <c r="K76" s="39" t="n">
        <f aca="false">IF(G76="","",MAX(0,G76-J76/100))</f>
        <v>0.552649984802218</v>
      </c>
      <c r="L76" s="39" t="n">
        <f aca="false">IF(G76="","",MIN(1,G76+J76/100))</f>
        <v>0.577057128168494</v>
      </c>
      <c r="M76" s="21" t="n">
        <f aca="false">IF(F76="","",ROUND(F76*J76/100,0))</f>
        <v>79</v>
      </c>
      <c r="P76" s="41" t="n">
        <v>11.8627320345673</v>
      </c>
      <c r="Q76" s="42" t="n">
        <v>6453</v>
      </c>
      <c r="R76" s="43" t="n">
        <f aca="false">MAX(0,MIN(1,P76/100+$D$5))</f>
        <v>0.564887680098712</v>
      </c>
      <c r="S76" s="44" t="s">
        <v>110</v>
      </c>
    </row>
    <row r="77" customFormat="false" ht="15" hidden="false" customHeight="false" outlineLevel="0" collapsed="false">
      <c r="A77" s="38" t="s">
        <v>145</v>
      </c>
      <c r="B77" s="38" t="s">
        <v>158</v>
      </c>
      <c r="C77" s="38" t="s">
        <v>88</v>
      </c>
      <c r="D77" s="21" t="n">
        <f aca="false">ROUND(Q77*R77,0)</f>
        <v>1415</v>
      </c>
      <c r="E77" s="21" t="n">
        <f aca="false">ROUND(Q77,0)-D77</f>
        <v>1158</v>
      </c>
      <c r="F77" s="21" t="n">
        <f aca="false">IF(COUNTA(D77:E77)=0,"",SUM(D77:E77))</f>
        <v>2573</v>
      </c>
      <c r="G77" s="39" t="n">
        <f aca="false">IF(OR(F77="",F77=0),"",D77/F77)</f>
        <v>0.549941702293043</v>
      </c>
      <c r="H77" s="39" t="n">
        <f aca="false">IF(OR(F77="",F77=0),"",E77/F77)</f>
        <v>0.450058297706957</v>
      </c>
      <c r="I77" s="38" t="s">
        <v>89</v>
      </c>
      <c r="J77" s="40" t="n">
        <v>1.7997491277276</v>
      </c>
      <c r="K77" s="39" t="n">
        <f aca="false">IF(G77="","",MAX(0,G77-J77/100))</f>
        <v>0.531944211015767</v>
      </c>
      <c r="L77" s="39" t="n">
        <f aca="false">IF(G77="","",MIN(1,G77+J77/100))</f>
        <v>0.567939193570319</v>
      </c>
      <c r="M77" s="21" t="n">
        <f aca="false">IF(F77="","",ROUND(F77*J77/100,0))</f>
        <v>46</v>
      </c>
      <c r="P77" s="41" t="n">
        <v>10.3789224093226</v>
      </c>
      <c r="Q77" s="42" t="n">
        <v>2573</v>
      </c>
      <c r="R77" s="43" t="n">
        <f aca="false">MAX(0,MIN(1,P77/100+$D$5))</f>
        <v>0.550049583846265</v>
      </c>
      <c r="S77" s="44" t="s">
        <v>96</v>
      </c>
    </row>
    <row r="78" customFormat="false" ht="15" hidden="false" customHeight="false" outlineLevel="0" collapsed="false">
      <c r="A78" s="38" t="s">
        <v>145</v>
      </c>
      <c r="B78" s="38" t="s">
        <v>159</v>
      </c>
      <c r="C78" s="38" t="s">
        <v>88</v>
      </c>
      <c r="D78" s="21" t="n">
        <f aca="false">ROUND(Q78*R78,0)</f>
        <v>1913</v>
      </c>
      <c r="E78" s="21" t="n">
        <f aca="false">ROUND(Q78,0)-D78</f>
        <v>3193</v>
      </c>
      <c r="F78" s="21" t="n">
        <f aca="false">IF(COUNTA(D78:E78)=0,"",SUM(D78:E78))</f>
        <v>5106</v>
      </c>
      <c r="G78" s="39" t="n">
        <f aca="false">IF(OR(F78="",F78=0),"",D78/F78)</f>
        <v>0.374657265961614</v>
      </c>
      <c r="H78" s="39" t="n">
        <f aca="false">IF(OR(F78="",F78=0),"",E78/F78)</f>
        <v>0.625342734038386</v>
      </c>
      <c r="I78" s="38" t="s">
        <v>89</v>
      </c>
      <c r="J78" s="40" t="n">
        <v>1.22035716831382</v>
      </c>
      <c r="K78" s="39" t="n">
        <f aca="false">IF(G78="","",MAX(0,G78-J78/100))</f>
        <v>0.362453694278476</v>
      </c>
      <c r="L78" s="39" t="n">
        <f aca="false">IF(G78="","",MIN(1,G78+J78/100))</f>
        <v>0.386860837644752</v>
      </c>
      <c r="M78" s="21" t="n">
        <f aca="false">IF(F78="","",ROUND(F78*J78/100,0))</f>
        <v>62</v>
      </c>
      <c r="P78" s="41" t="n">
        <v>-7.16440445158038</v>
      </c>
      <c r="Q78" s="42" t="n">
        <v>5106</v>
      </c>
      <c r="R78" s="43" t="n">
        <f aca="false">MAX(0,MIN(1,P78/100+$D$5))</f>
        <v>0.374616315237235</v>
      </c>
      <c r="S78" s="44" t="s">
        <v>110</v>
      </c>
    </row>
    <row r="79" customFormat="false" ht="15" hidden="false" customHeight="false" outlineLevel="0" collapsed="false">
      <c r="A79" s="38" t="s">
        <v>145</v>
      </c>
      <c r="B79" s="38" t="s">
        <v>160</v>
      </c>
      <c r="C79" s="38" t="s">
        <v>88</v>
      </c>
      <c r="D79" s="21" t="n">
        <f aca="false">ROUND(Q79*R79,0)</f>
        <v>521</v>
      </c>
      <c r="E79" s="21" t="n">
        <f aca="false">ROUND(Q79,0)-D79</f>
        <v>879</v>
      </c>
      <c r="F79" s="21" t="n">
        <f aca="false">IF(COUNTA(D79:E79)=0,"",SUM(D79:E79))</f>
        <v>1400</v>
      </c>
      <c r="G79" s="39" t="n">
        <f aca="false">IF(OR(F79="",F79=0),"",D79/F79)</f>
        <v>0.372142857142857</v>
      </c>
      <c r="H79" s="39" t="n">
        <f aca="false">IF(OR(F79="",F79=0),"",E79/F79)</f>
        <v>0.627857142857143</v>
      </c>
      <c r="I79" s="38" t="s">
        <v>89</v>
      </c>
      <c r="J79" s="40" t="n">
        <v>2.70598815047927</v>
      </c>
      <c r="K79" s="39" t="n">
        <f aca="false">IF(G79="","",MAX(0,G79-J79/100))</f>
        <v>0.345082975638064</v>
      </c>
      <c r="L79" s="39" t="n">
        <f aca="false">IF(G79="","",MIN(1,G79+J79/100))</f>
        <v>0.39920273864765</v>
      </c>
      <c r="M79" s="21" t="n">
        <f aca="false">IF(F79="","",ROUND(F79*J79/100,0))</f>
        <v>38</v>
      </c>
      <c r="P79" s="41" t="n">
        <v>-7.38263826362472</v>
      </c>
      <c r="Q79" s="42" t="n">
        <v>1400</v>
      </c>
      <c r="R79" s="43" t="n">
        <f aca="false">MAX(0,MIN(1,P79/100+$D$5))</f>
        <v>0.372433977116792</v>
      </c>
      <c r="S79" s="44" t="s">
        <v>90</v>
      </c>
    </row>
    <row r="80" customFormat="false" ht="15" hidden="false" customHeight="false" outlineLevel="0" collapsed="false">
      <c r="A80" s="38" t="s">
        <v>145</v>
      </c>
      <c r="B80" s="38" t="s">
        <v>161</v>
      </c>
      <c r="C80" s="38" t="s">
        <v>88</v>
      </c>
      <c r="D80" s="21" t="n">
        <f aca="false">ROUND(Q80*R80,0)</f>
        <v>1787</v>
      </c>
      <c r="E80" s="21" t="n">
        <f aca="false">ROUND(Q80,0)-D80</f>
        <v>1912</v>
      </c>
      <c r="F80" s="21" t="n">
        <f aca="false">IF(COUNTA(D80:E80)=0,"",SUM(D80:E80))</f>
        <v>3699</v>
      </c>
      <c r="G80" s="39" t="n">
        <f aca="false">IF(OR(F80="",F80=0),"",D80/F80)</f>
        <v>0.483103541497702</v>
      </c>
      <c r="H80" s="39" t="n">
        <f aca="false">IF(OR(F80="",F80=0),"",E80/F80)</f>
        <v>0.516896458502298</v>
      </c>
      <c r="I80" s="38" t="s">
        <v>89</v>
      </c>
      <c r="J80" s="40" t="n">
        <v>1.7997491277276</v>
      </c>
      <c r="K80" s="39" t="n">
        <f aca="false">IF(G80="","",MAX(0,G80-J80/100))</f>
        <v>0.465106050220426</v>
      </c>
      <c r="L80" s="39" t="n">
        <f aca="false">IF(G80="","",MIN(1,G80+J80/100))</f>
        <v>0.501101032774978</v>
      </c>
      <c r="M80" s="21" t="n">
        <f aca="false">IF(F80="","",ROUND(F80*J80/100,0))</f>
        <v>67</v>
      </c>
      <c r="P80" s="41" t="n">
        <v>3.6723327370613</v>
      </c>
      <c r="Q80" s="42" t="n">
        <v>3699</v>
      </c>
      <c r="R80" s="43" t="n">
        <f aca="false">MAX(0,MIN(1,P80/100+$D$5))</f>
        <v>0.482983687123652</v>
      </c>
      <c r="S80" s="44" t="s">
        <v>96</v>
      </c>
    </row>
    <row r="81" customFormat="false" ht="15" hidden="false" customHeight="false" outlineLevel="0" collapsed="false">
      <c r="A81" s="38" t="s">
        <v>145</v>
      </c>
      <c r="B81" s="38" t="s">
        <v>162</v>
      </c>
      <c r="C81" s="38" t="s">
        <v>88</v>
      </c>
      <c r="D81" s="21" t="n">
        <f aca="false">ROUND(Q81*R81,0)</f>
        <v>3092</v>
      </c>
      <c r="E81" s="21" t="n">
        <f aca="false">ROUND(Q81,0)-D81</f>
        <v>2835</v>
      </c>
      <c r="F81" s="21" t="n">
        <f aca="false">IF(COUNTA(D81:E81)=0,"",SUM(D81:E81))</f>
        <v>5927</v>
      </c>
      <c r="G81" s="39" t="n">
        <f aca="false">IF(OR(F81="",F81=0),"",D81/F81)</f>
        <v>0.521680445419268</v>
      </c>
      <c r="H81" s="39" t="n">
        <f aca="false">IF(OR(F81="",F81=0),"",E81/F81)</f>
        <v>0.478319554580732</v>
      </c>
      <c r="I81" s="38" t="s">
        <v>89</v>
      </c>
      <c r="J81" s="40" t="n">
        <v>1.22035716831382</v>
      </c>
      <c r="K81" s="39" t="n">
        <f aca="false">IF(G81="","",MAX(0,G81-J81/100))</f>
        <v>0.50947687373613</v>
      </c>
      <c r="L81" s="39" t="n">
        <f aca="false">IF(G81="","",MIN(1,G81+J81/100))</f>
        <v>0.533884017102406</v>
      </c>
      <c r="M81" s="21" t="n">
        <f aca="false">IF(F81="","",ROUND(F81*J81/100,0))</f>
        <v>72</v>
      </c>
      <c r="P81" s="41" t="n">
        <v>7.5441412740582</v>
      </c>
      <c r="Q81" s="42" t="n">
        <v>5927</v>
      </c>
      <c r="R81" s="43" t="n">
        <f aca="false">MAX(0,MIN(1,P81/100+$D$5))</f>
        <v>0.521701772493621</v>
      </c>
      <c r="S81" s="44" t="s">
        <v>110</v>
      </c>
    </row>
    <row r="82" customFormat="false" ht="15" hidden="false" customHeight="false" outlineLevel="0" collapsed="false">
      <c r="A82" s="38" t="s">
        <v>145</v>
      </c>
      <c r="B82" s="38" t="s">
        <v>163</v>
      </c>
      <c r="C82" s="38" t="s">
        <v>88</v>
      </c>
      <c r="D82" s="21" t="n">
        <f aca="false">ROUND(Q82*R82,0)</f>
        <v>1772</v>
      </c>
      <c r="E82" s="21" t="n">
        <f aca="false">ROUND(Q82,0)-D82</f>
        <v>2980</v>
      </c>
      <c r="F82" s="21" t="n">
        <f aca="false">IF(COUNTA(D82:E82)=0,"",SUM(D82:E82))</f>
        <v>4752</v>
      </c>
      <c r="G82" s="39" t="n">
        <f aca="false">IF(OR(F82="",F82=0),"",D82/F82)</f>
        <v>0.372895622895623</v>
      </c>
      <c r="H82" s="39" t="n">
        <f aca="false">IF(OR(F82="",F82=0),"",E82/F82)</f>
        <v>0.627104377104377</v>
      </c>
      <c r="I82" s="38" t="s">
        <v>89</v>
      </c>
      <c r="J82" s="40" t="n">
        <v>1.22035716831382</v>
      </c>
      <c r="K82" s="39" t="n">
        <f aca="false">IF(G82="","",MAX(0,G82-J82/100))</f>
        <v>0.360692051212485</v>
      </c>
      <c r="L82" s="39" t="n">
        <f aca="false">IF(G82="","",MIN(1,G82+J82/100))</f>
        <v>0.385099194578761</v>
      </c>
      <c r="M82" s="21" t="n">
        <f aca="false">IF(F82="","",ROUND(F82*J82/100,0))</f>
        <v>58</v>
      </c>
      <c r="P82" s="41" t="n">
        <v>-7.33460829289198</v>
      </c>
      <c r="Q82" s="42" t="n">
        <v>4752</v>
      </c>
      <c r="R82" s="43" t="n">
        <f aca="false">MAX(0,MIN(1,P82/100+$D$5))</f>
        <v>0.372914276824119</v>
      </c>
      <c r="S82" s="44" t="s">
        <v>110</v>
      </c>
    </row>
    <row r="83" customFormat="false" ht="15" hidden="false" customHeight="false" outlineLevel="0" collapsed="false">
      <c r="A83" s="38" t="s">
        <v>145</v>
      </c>
      <c r="B83" s="38" t="s">
        <v>164</v>
      </c>
      <c r="C83" s="38" t="s">
        <v>88</v>
      </c>
      <c r="D83" s="21" t="n">
        <f aca="false">ROUND(Q83*R83,0)</f>
        <v>1302</v>
      </c>
      <c r="E83" s="21" t="n">
        <f aca="false">ROUND(Q83,0)-D83</f>
        <v>1158</v>
      </c>
      <c r="F83" s="21" t="n">
        <f aca="false">IF(COUNTA(D83:E83)=0,"",SUM(D83:E83))</f>
        <v>2460</v>
      </c>
      <c r="G83" s="39" t="n">
        <f aca="false">IF(OR(F83="",F83=0),"",D83/F83)</f>
        <v>0.529268292682927</v>
      </c>
      <c r="H83" s="39" t="n">
        <f aca="false">IF(OR(F83="",F83=0),"",E83/F83)</f>
        <v>0.470731707317073</v>
      </c>
      <c r="I83" s="38" t="s">
        <v>89</v>
      </c>
      <c r="J83" s="40" t="n">
        <v>1.7997491277276</v>
      </c>
      <c r="K83" s="39" t="n">
        <f aca="false">IF(G83="","",MAX(0,G83-J83/100))</f>
        <v>0.511270801405651</v>
      </c>
      <c r="L83" s="39" t="n">
        <f aca="false">IF(G83="","",MIN(1,G83+J83/100))</f>
        <v>0.547265783960203</v>
      </c>
      <c r="M83" s="21" t="n">
        <f aca="false">IF(F83="","",ROUND(F83*J83/100,0))</f>
        <v>44</v>
      </c>
      <c r="P83" s="41" t="n">
        <v>8.31842958141443</v>
      </c>
      <c r="Q83" s="42" t="n">
        <v>2460</v>
      </c>
      <c r="R83" s="43" t="n">
        <f aca="false">MAX(0,MIN(1,P83/100+$D$5))</f>
        <v>0.529444655567183</v>
      </c>
      <c r="S83" s="44" t="s">
        <v>96</v>
      </c>
    </row>
    <row r="84" customFormat="false" ht="15" hidden="false" customHeight="false" outlineLevel="0" collapsed="false">
      <c r="A84" s="38" t="s">
        <v>145</v>
      </c>
      <c r="B84" s="38" t="s">
        <v>165</v>
      </c>
      <c r="C84" s="38" t="s">
        <v>88</v>
      </c>
      <c r="D84" s="21" t="n">
        <f aca="false">ROUND(Q84*R84,0)</f>
        <v>693</v>
      </c>
      <c r="E84" s="21" t="n">
        <f aca="false">ROUND(Q84,0)-D84</f>
        <v>585</v>
      </c>
      <c r="F84" s="21" t="n">
        <f aca="false">IF(COUNTA(D84:E84)=0,"",SUM(D84:E84))</f>
        <v>1278</v>
      </c>
      <c r="G84" s="39" t="n">
        <f aca="false">IF(OR(F84="",F84=0),"",D84/F84)</f>
        <v>0.542253521126761</v>
      </c>
      <c r="H84" s="39" t="n">
        <f aca="false">IF(OR(F84="",F84=0),"",E84/F84)</f>
        <v>0.457746478873239</v>
      </c>
      <c r="I84" s="38" t="s">
        <v>89</v>
      </c>
      <c r="J84" s="40" t="n">
        <v>2.70598815047927</v>
      </c>
      <c r="K84" s="39" t="n">
        <f aca="false">IF(G84="","",MAX(0,G84-J84/100))</f>
        <v>0.515193639621968</v>
      </c>
      <c r="L84" s="39" t="n">
        <f aca="false">IF(G84="","",MIN(1,G84+J84/100))</f>
        <v>0.569313402631553</v>
      </c>
      <c r="M84" s="21" t="n">
        <f aca="false">IF(F84="","",ROUND(F84*J84/100,0))</f>
        <v>35</v>
      </c>
      <c r="P84" s="41" t="n">
        <v>9.61402875954639</v>
      </c>
      <c r="Q84" s="42" t="n">
        <v>1278</v>
      </c>
      <c r="R84" s="43" t="n">
        <f aca="false">MAX(0,MIN(1,P84/100+$D$5))</f>
        <v>0.542400647348503</v>
      </c>
      <c r="S84" s="44" t="s">
        <v>90</v>
      </c>
    </row>
    <row r="85" customFormat="false" ht="15" hidden="false" customHeight="false" outlineLevel="0" collapsed="false">
      <c r="A85" s="38" t="s">
        <v>145</v>
      </c>
      <c r="B85" s="38" t="s">
        <v>166</v>
      </c>
      <c r="C85" s="38" t="s">
        <v>88</v>
      </c>
      <c r="D85" s="21" t="n">
        <f aca="false">ROUND(Q85*R85,0)</f>
        <v>2036</v>
      </c>
      <c r="E85" s="21" t="n">
        <f aca="false">ROUND(Q85,0)-D85</f>
        <v>1891</v>
      </c>
      <c r="F85" s="21" t="n">
        <f aca="false">IF(COUNTA(D85:E85)=0,"",SUM(D85:E85))</f>
        <v>3927</v>
      </c>
      <c r="G85" s="39" t="n">
        <f aca="false">IF(OR(F85="",F85=0),"",D85/F85)</f>
        <v>0.518461930226636</v>
      </c>
      <c r="H85" s="39" t="n">
        <f aca="false">IF(OR(F85="",F85=0),"",E85/F85)</f>
        <v>0.481538069773364</v>
      </c>
      <c r="I85" s="38" t="s">
        <v>89</v>
      </c>
      <c r="J85" s="40" t="n">
        <v>1.22035716831382</v>
      </c>
      <c r="K85" s="39" t="n">
        <f aca="false">IF(G85="","",MAX(0,G85-J85/100))</f>
        <v>0.506258358543498</v>
      </c>
      <c r="L85" s="39" t="n">
        <f aca="false">IF(G85="","",MIN(1,G85+J85/100))</f>
        <v>0.530665501909774</v>
      </c>
      <c r="M85" s="21" t="n">
        <f aca="false">IF(F85="","",ROUND(F85*J85/100,0))</f>
        <v>48</v>
      </c>
      <c r="P85" s="41" t="n">
        <v>7.2215208167098</v>
      </c>
      <c r="Q85" s="42" t="n">
        <v>3927</v>
      </c>
      <c r="R85" s="43" t="n">
        <f aca="false">MAX(0,MIN(1,P85/100+$D$5))</f>
        <v>0.518475567920137</v>
      </c>
      <c r="S85" s="44" t="s">
        <v>110</v>
      </c>
    </row>
    <row r="86" customFormat="false" ht="15" hidden="false" customHeight="false" outlineLevel="0" collapsed="false">
      <c r="A86" s="38" t="s">
        <v>145</v>
      </c>
      <c r="B86" s="38" t="s">
        <v>167</v>
      </c>
      <c r="C86" s="38" t="s">
        <v>88</v>
      </c>
      <c r="D86" s="21" t="n">
        <f aca="false">ROUND(Q86*R86,0)</f>
        <v>5653</v>
      </c>
      <c r="E86" s="21" t="n">
        <f aca="false">ROUND(Q86,0)-D86</f>
        <v>4660</v>
      </c>
      <c r="F86" s="21" t="n">
        <f aca="false">IF(COUNTA(D86:E86)=0,"",SUM(D86:E86))</f>
        <v>10313</v>
      </c>
      <c r="G86" s="39" t="n">
        <f aca="false">IF(OR(F86="",F86=0),"",D86/F86)</f>
        <v>0.54814312033356</v>
      </c>
      <c r="H86" s="39" t="n">
        <f aca="false">IF(OR(F86="",F86=0),"",E86/F86)</f>
        <v>0.45185687966644</v>
      </c>
      <c r="I86" s="38" t="s">
        <v>89</v>
      </c>
      <c r="J86" s="40" t="n">
        <v>1.22035716831382</v>
      </c>
      <c r="K86" s="39" t="n">
        <f aca="false">IF(G86="","",MAX(0,G86-J86/100))</f>
        <v>0.535939548650422</v>
      </c>
      <c r="L86" s="39" t="n">
        <f aca="false">IF(G86="","",MIN(1,G86+J86/100))</f>
        <v>0.560346692016698</v>
      </c>
      <c r="M86" s="21" t="n">
        <f aca="false">IF(F86="","",ROUND(F86*J86/100,0))</f>
        <v>126</v>
      </c>
      <c r="P86" s="41" t="n">
        <v>10.192073480522</v>
      </c>
      <c r="Q86" s="42" t="n">
        <v>10313</v>
      </c>
      <c r="R86" s="43" t="n">
        <f aca="false">MAX(0,MIN(1,P86/100+$D$5))</f>
        <v>0.548181094558259</v>
      </c>
      <c r="S86" s="44" t="s">
        <v>110</v>
      </c>
    </row>
    <row r="87" customFormat="false" ht="15" hidden="false" customHeight="false" outlineLevel="0" collapsed="false">
      <c r="A87" s="38" t="s">
        <v>145</v>
      </c>
      <c r="B87" s="38" t="s">
        <v>168</v>
      </c>
      <c r="C87" s="38" t="s">
        <v>88</v>
      </c>
      <c r="D87" s="21" t="n">
        <f aca="false">ROUND(Q87*R87,0)</f>
        <v>543</v>
      </c>
      <c r="E87" s="21" t="n">
        <f aca="false">ROUND(Q87,0)-D87</f>
        <v>746</v>
      </c>
      <c r="F87" s="21" t="n">
        <f aca="false">IF(COUNTA(D87:E87)=0,"",SUM(D87:E87))</f>
        <v>1289</v>
      </c>
      <c r="G87" s="39" t="n">
        <f aca="false">IF(OR(F87="",F87=0),"",D87/F87)</f>
        <v>0.421256788207913</v>
      </c>
      <c r="H87" s="39" t="n">
        <f aca="false">IF(OR(F87="",F87=0),"",E87/F87)</f>
        <v>0.578743211792087</v>
      </c>
      <c r="I87" s="38" t="s">
        <v>89</v>
      </c>
      <c r="J87" s="40" t="n">
        <v>2.70598815047927</v>
      </c>
      <c r="K87" s="39" t="n">
        <f aca="false">IF(G87="","",MAX(0,G87-J87/100))</f>
        <v>0.39419690670312</v>
      </c>
      <c r="L87" s="39" t="n">
        <f aca="false">IF(G87="","",MIN(1,G87+J87/100))</f>
        <v>0.448316669712706</v>
      </c>
      <c r="M87" s="21" t="n">
        <f aca="false">IF(F87="","",ROUND(F87*J87/100,0))</f>
        <v>35</v>
      </c>
      <c r="P87" s="41" t="n">
        <v>-2.49914214228446</v>
      </c>
      <c r="Q87" s="42" t="n">
        <v>1289</v>
      </c>
      <c r="R87" s="43" t="n">
        <f aca="false">MAX(0,MIN(1,P87/100+$D$5))</f>
        <v>0.421268938330194</v>
      </c>
      <c r="S87" s="44" t="s">
        <v>90</v>
      </c>
    </row>
    <row r="88" customFormat="false" ht="15" hidden="false" customHeight="false" outlineLevel="0" collapsed="false">
      <c r="A88" s="38" t="s">
        <v>145</v>
      </c>
      <c r="B88" s="38" t="s">
        <v>169</v>
      </c>
      <c r="C88" s="38" t="s">
        <v>88</v>
      </c>
      <c r="D88" s="21" t="n">
        <f aca="false">ROUND(Q88*R88,0)</f>
        <v>1152</v>
      </c>
      <c r="E88" s="21" t="n">
        <f aca="false">ROUND(Q88,0)-D88</f>
        <v>1922</v>
      </c>
      <c r="F88" s="21" t="n">
        <f aca="false">IF(COUNTA(D88:E88)=0,"",SUM(D88:E88))</f>
        <v>3074</v>
      </c>
      <c r="G88" s="39" t="n">
        <f aca="false">IF(OR(F88="",F88=0),"",D88/F88)</f>
        <v>0.374756018217306</v>
      </c>
      <c r="H88" s="39" t="n">
        <f aca="false">IF(OR(F88="",F88=0),"",E88/F88)</f>
        <v>0.625243981782694</v>
      </c>
      <c r="I88" s="38" t="s">
        <v>89</v>
      </c>
      <c r="J88" s="40" t="n">
        <v>1.7997491277276</v>
      </c>
      <c r="K88" s="39" t="n">
        <f aca="false">IF(G88="","",MAX(0,G88-J88/100))</f>
        <v>0.35675852694003</v>
      </c>
      <c r="L88" s="39" t="n">
        <f aca="false">IF(G88="","",MIN(1,G88+J88/100))</f>
        <v>0.392753509494582</v>
      </c>
      <c r="M88" s="21" t="n">
        <f aca="false">IF(F88="","",ROUND(F88*J88/100,0))</f>
        <v>55</v>
      </c>
      <c r="P88" s="41" t="n">
        <v>-7.13682491790491</v>
      </c>
      <c r="Q88" s="42" t="n">
        <v>3074</v>
      </c>
      <c r="R88" s="43" t="n">
        <f aca="false">MAX(0,MIN(1,P88/100+$D$5))</f>
        <v>0.37489211057399</v>
      </c>
      <c r="S88" s="44" t="s">
        <v>96</v>
      </c>
    </row>
    <row r="89" customFormat="false" ht="15" hidden="false" customHeight="false" outlineLevel="0" collapsed="false">
      <c r="A89" s="38" t="s">
        <v>145</v>
      </c>
      <c r="B89" s="38" t="s">
        <v>170</v>
      </c>
      <c r="C89" s="38" t="s">
        <v>88</v>
      </c>
      <c r="D89" s="21" t="n">
        <f aca="false">ROUND(Q89*R89,0)</f>
        <v>74</v>
      </c>
      <c r="E89" s="21" t="n">
        <f aca="false">ROUND(Q89,0)-D89</f>
        <v>120</v>
      </c>
      <c r="F89" s="21" t="n">
        <f aca="false">IF(COUNTA(D89:E89)=0,"",SUM(D89:E89))</f>
        <v>194</v>
      </c>
      <c r="G89" s="39" t="n">
        <f aca="false">IF(OR(F89="",F89=0),"",D89/F89)</f>
        <v>0.381443298969072</v>
      </c>
      <c r="H89" s="39" t="n">
        <f aca="false">IF(OR(F89="",F89=0),"",E89/F89)</f>
        <v>0.618556701030928</v>
      </c>
      <c r="I89" s="38" t="s">
        <v>89</v>
      </c>
      <c r="J89" s="40" t="n">
        <v>2.70598815047927</v>
      </c>
      <c r="K89" s="39" t="n">
        <f aca="false">IF(G89="","",MAX(0,G89-J89/100))</f>
        <v>0.354383417464279</v>
      </c>
      <c r="L89" s="39" t="n">
        <f aca="false">IF(G89="","",MIN(1,G89+J89/100))</f>
        <v>0.408503180473865</v>
      </c>
      <c r="M89" s="21" t="n">
        <f aca="false">IF(F89="","",ROUND(F89*J89/100,0))</f>
        <v>5</v>
      </c>
      <c r="P89" s="41" t="n">
        <v>-6.31561509272712</v>
      </c>
      <c r="Q89" s="42" t="n">
        <v>194</v>
      </c>
      <c r="R89" s="43" t="n">
        <f aca="false">MAX(0,MIN(1,P89/100+$D$5))</f>
        <v>0.383104208825768</v>
      </c>
      <c r="S89" s="44" t="s">
        <v>90</v>
      </c>
    </row>
    <row r="90" customFormat="false" ht="15" hidden="false" customHeight="false" outlineLevel="0" collapsed="false">
      <c r="A90" s="38" t="s">
        <v>145</v>
      </c>
      <c r="B90" s="38" t="s">
        <v>171</v>
      </c>
      <c r="C90" s="38" t="s">
        <v>88</v>
      </c>
      <c r="D90" s="21" t="n">
        <f aca="false">ROUND(Q90*R90,0)</f>
        <v>289</v>
      </c>
      <c r="E90" s="21" t="n">
        <f aca="false">ROUND(Q90,0)-D90</f>
        <v>387</v>
      </c>
      <c r="F90" s="21" t="n">
        <f aca="false">IF(COUNTA(D90:E90)=0,"",SUM(D90:E90))</f>
        <v>676</v>
      </c>
      <c r="G90" s="39" t="n">
        <f aca="false">IF(OR(F90="",F90=0),"",D90/F90)</f>
        <v>0.427514792899408</v>
      </c>
      <c r="H90" s="39" t="n">
        <f aca="false">IF(OR(F90="",F90=0),"",E90/F90)</f>
        <v>0.572485207100592</v>
      </c>
      <c r="I90" s="38" t="s">
        <v>89</v>
      </c>
      <c r="J90" s="40" t="n">
        <v>2.70598815047927</v>
      </c>
      <c r="K90" s="39" t="n">
        <f aca="false">IF(G90="","",MAX(0,G90-J90/100))</f>
        <v>0.400454911394616</v>
      </c>
      <c r="L90" s="39" t="n">
        <f aca="false">IF(G90="","",MIN(1,G90+J90/100))</f>
        <v>0.454574674404201</v>
      </c>
      <c r="M90" s="21" t="n">
        <f aca="false">IF(F90="","",ROUND(F90*J90/100,0))</f>
        <v>18</v>
      </c>
      <c r="P90" s="41" t="n">
        <v>-1.80633953968545</v>
      </c>
      <c r="Q90" s="42" t="n">
        <v>676</v>
      </c>
      <c r="R90" s="43" t="n">
        <f aca="false">MAX(0,MIN(1,P90/100+$D$5))</f>
        <v>0.428196964356184</v>
      </c>
      <c r="S90" s="44" t="s">
        <v>90</v>
      </c>
    </row>
    <row r="91" customFormat="false" ht="15" hidden="false" customHeight="false" outlineLevel="0" collapsed="false">
      <c r="A91" s="38" t="s">
        <v>145</v>
      </c>
      <c r="B91" s="38" t="s">
        <v>172</v>
      </c>
      <c r="C91" s="38" t="s">
        <v>88</v>
      </c>
      <c r="D91" s="21" t="n">
        <f aca="false">ROUND(Q91*R91,0)</f>
        <v>171</v>
      </c>
      <c r="E91" s="21" t="n">
        <f aca="false">ROUND(Q91,0)-D91</f>
        <v>216</v>
      </c>
      <c r="F91" s="21" t="n">
        <f aca="false">IF(COUNTA(D91:E91)=0,"",SUM(D91:E91))</f>
        <v>387</v>
      </c>
      <c r="G91" s="39" t="n">
        <f aca="false">IF(OR(F91="",F91=0),"",D91/F91)</f>
        <v>0.441860465116279</v>
      </c>
      <c r="H91" s="39" t="n">
        <f aca="false">IF(OR(F91="",F91=0),"",E91/F91)</f>
        <v>0.558139534883721</v>
      </c>
      <c r="I91" s="38" t="s">
        <v>89</v>
      </c>
      <c r="J91" s="40" t="n">
        <v>2.70598815047927</v>
      </c>
      <c r="K91" s="39" t="n">
        <f aca="false">IF(G91="","",MAX(0,G91-J91/100))</f>
        <v>0.414800583611486</v>
      </c>
      <c r="L91" s="39" t="n">
        <f aca="false">IF(G91="","",MIN(1,G91+J91/100))</f>
        <v>0.468920346621072</v>
      </c>
      <c r="M91" s="21" t="n">
        <f aca="false">IF(F91="","",ROUND(F91*J91/100,0))</f>
        <v>10</v>
      </c>
      <c r="P91" s="41" t="n">
        <v>-0.328139529968832</v>
      </c>
      <c r="Q91" s="42" t="n">
        <v>387</v>
      </c>
      <c r="R91" s="43" t="n">
        <f aca="false">MAX(0,MIN(1,P91/100+$D$5))</f>
        <v>0.442978964453351</v>
      </c>
      <c r="S91" s="44" t="s">
        <v>90</v>
      </c>
    </row>
    <row r="92" customFormat="false" ht="15" hidden="false" customHeight="false" outlineLevel="0" collapsed="false">
      <c r="A92" s="38" t="s">
        <v>145</v>
      </c>
      <c r="B92" s="38" t="s">
        <v>173</v>
      </c>
      <c r="C92" s="38" t="s">
        <v>88</v>
      </c>
      <c r="D92" s="21" t="n">
        <f aca="false">ROUND(Q92*R92,0)</f>
        <v>261</v>
      </c>
      <c r="E92" s="21" t="n">
        <f aca="false">ROUND(Q92,0)-D92</f>
        <v>300</v>
      </c>
      <c r="F92" s="21" t="n">
        <f aca="false">IF(COUNTA(D92:E92)=0,"",SUM(D92:E92))</f>
        <v>561</v>
      </c>
      <c r="G92" s="39" t="n">
        <f aca="false">IF(OR(F92="",F92=0),"",D92/F92)</f>
        <v>0.46524064171123</v>
      </c>
      <c r="H92" s="39" t="n">
        <f aca="false">IF(OR(F92="",F92=0),"",E92/F92)</f>
        <v>0.53475935828877</v>
      </c>
      <c r="I92" s="38" t="s">
        <v>89</v>
      </c>
      <c r="J92" s="40" t="n">
        <v>2.70598815047927</v>
      </c>
      <c r="K92" s="39" t="n">
        <f aca="false">IF(G92="","",MAX(0,G92-J92/100))</f>
        <v>0.438180760206437</v>
      </c>
      <c r="L92" s="39" t="n">
        <f aca="false">IF(G92="","",MIN(1,G92+J92/100))</f>
        <v>0.492300523216023</v>
      </c>
      <c r="M92" s="21" t="n">
        <f aca="false">IF(F92="","",ROUND(F92*J92/100,0))</f>
        <v>15</v>
      </c>
      <c r="P92" s="41" t="n">
        <v>1.8997694807886</v>
      </c>
      <c r="Q92" s="42" t="n">
        <v>561</v>
      </c>
      <c r="R92" s="43" t="n">
        <f aca="false">MAX(0,MIN(1,P92/100+$D$5))</f>
        <v>0.465258054560925</v>
      </c>
      <c r="S92" s="44" t="s">
        <v>90</v>
      </c>
    </row>
    <row r="93" customFormat="false" ht="15" hidden="false" customHeight="false" outlineLevel="0" collapsed="false">
      <c r="A93" s="38" t="s">
        <v>145</v>
      </c>
      <c r="B93" s="38" t="s">
        <v>174</v>
      </c>
      <c r="C93" s="38" t="s">
        <v>88</v>
      </c>
      <c r="D93" s="21" t="n">
        <f aca="false">ROUND(Q93*R93,0)</f>
        <v>1136</v>
      </c>
      <c r="E93" s="21" t="n">
        <f aca="false">ROUND(Q93,0)-D93</f>
        <v>1989</v>
      </c>
      <c r="F93" s="21" t="n">
        <f aca="false">IF(COUNTA(D93:E93)=0,"",SUM(D93:E93))</f>
        <v>3125</v>
      </c>
      <c r="G93" s="39" t="n">
        <f aca="false">IF(OR(F93="",F93=0),"",D93/F93)</f>
        <v>0.36352</v>
      </c>
      <c r="H93" s="39" t="n">
        <f aca="false">IF(OR(F93="",F93=0),"",E93/F93)</f>
        <v>0.63648</v>
      </c>
      <c r="I93" s="38" t="s">
        <v>89</v>
      </c>
      <c r="J93" s="40" t="n">
        <v>1.7997491277276</v>
      </c>
      <c r="K93" s="39" t="n">
        <f aca="false">IF(G93="","",MAX(0,G93-J93/100))</f>
        <v>0.345522508722724</v>
      </c>
      <c r="L93" s="39" t="n">
        <f aca="false">IF(G93="","",MIN(1,G93+J93/100))</f>
        <v>0.381517491277276</v>
      </c>
      <c r="M93" s="21" t="n">
        <f aca="false">IF(F93="","",ROUND(F93*J93/100,0))</f>
        <v>56</v>
      </c>
      <c r="P93" s="41" t="n">
        <v>-8.28754565907101</v>
      </c>
      <c r="Q93" s="42" t="n">
        <v>3125</v>
      </c>
      <c r="R93" s="43" t="n">
        <f aca="false">MAX(0,MIN(1,P93/100+$D$5))</f>
        <v>0.363384903162329</v>
      </c>
      <c r="S93" s="44" t="s">
        <v>96</v>
      </c>
    </row>
    <row r="94" customFormat="false" ht="15" hidden="false" customHeight="false" outlineLevel="0" collapsed="false">
      <c r="A94" s="38" t="s">
        <v>145</v>
      </c>
      <c r="B94" s="38" t="s">
        <v>175</v>
      </c>
      <c r="C94" s="38" t="s">
        <v>88</v>
      </c>
      <c r="D94" s="21" t="n">
        <f aca="false">ROUND(Q94*R94,0)</f>
        <v>1648</v>
      </c>
      <c r="E94" s="21" t="n">
        <f aca="false">ROUND(Q94,0)-D94</f>
        <v>1515</v>
      </c>
      <c r="F94" s="21" t="n">
        <f aca="false">IF(COUNTA(D94:E94)=0,"",SUM(D94:E94))</f>
        <v>3163</v>
      </c>
      <c r="G94" s="39" t="n">
        <f aca="false">IF(OR(F94="",F94=0),"",D94/F94)</f>
        <v>0.521024343977237</v>
      </c>
      <c r="H94" s="39" t="n">
        <f aca="false">IF(OR(F94="",F94=0),"",E94/F94)</f>
        <v>0.478975656022763</v>
      </c>
      <c r="I94" s="38" t="s">
        <v>89</v>
      </c>
      <c r="J94" s="40" t="n">
        <v>1.7997491277276</v>
      </c>
      <c r="K94" s="39" t="n">
        <f aca="false">IF(G94="","",MAX(0,G94-J94/100))</f>
        <v>0.503026852699961</v>
      </c>
      <c r="L94" s="39" t="n">
        <f aca="false">IF(G94="","",MIN(1,G94+J94/100))</f>
        <v>0.539021835254513</v>
      </c>
      <c r="M94" s="21" t="n">
        <f aca="false">IF(F94="","",ROUND(F94*J94/100,0))</f>
        <v>57</v>
      </c>
      <c r="P94" s="41" t="n">
        <v>7.4806809678855</v>
      </c>
      <c r="Q94" s="42" t="n">
        <v>3163</v>
      </c>
      <c r="R94" s="43" t="n">
        <f aca="false">MAX(0,MIN(1,P94/100+$D$5))</f>
        <v>0.521067169431894</v>
      </c>
      <c r="S94" s="44" t="s">
        <v>96</v>
      </c>
    </row>
    <row r="95" customFormat="false" ht="15" hidden="false" customHeight="false" outlineLevel="0" collapsed="false">
      <c r="A95" s="38" t="s">
        <v>145</v>
      </c>
      <c r="B95" s="38" t="s">
        <v>176</v>
      </c>
      <c r="C95" s="38" t="s">
        <v>88</v>
      </c>
      <c r="D95" s="21" t="n">
        <f aca="false">ROUND(Q95*R95,0)</f>
        <v>318</v>
      </c>
      <c r="E95" s="21" t="n">
        <f aca="false">ROUND(Q95,0)-D95</f>
        <v>406</v>
      </c>
      <c r="F95" s="21" t="n">
        <f aca="false">IF(COUNTA(D95:E95)=0,"",SUM(D95:E95))</f>
        <v>724</v>
      </c>
      <c r="G95" s="39" t="n">
        <f aca="false">IF(OR(F95="",F95=0),"",D95/F95)</f>
        <v>0.439226519337017</v>
      </c>
      <c r="H95" s="39" t="n">
        <f aca="false">IF(OR(F95="",F95=0),"",E95/F95)</f>
        <v>0.560773480662983</v>
      </c>
      <c r="I95" s="38" t="s">
        <v>89</v>
      </c>
      <c r="J95" s="40" t="n">
        <v>2.70598815047927</v>
      </c>
      <c r="K95" s="39" t="n">
        <f aca="false">IF(G95="","",MAX(0,G95-J95/100))</f>
        <v>0.412166637832224</v>
      </c>
      <c r="L95" s="39" t="n">
        <f aca="false">IF(G95="","",MIN(1,G95+J95/100))</f>
        <v>0.466286400841809</v>
      </c>
      <c r="M95" s="21" t="n">
        <f aca="false">IF(F95="","",ROUND(F95*J95/100,0))</f>
        <v>20</v>
      </c>
      <c r="P95" s="41" t="n">
        <v>-0.696497496747202</v>
      </c>
      <c r="Q95" s="42" t="n">
        <v>724</v>
      </c>
      <c r="R95" s="43" t="n">
        <f aca="false">MAX(0,MIN(1,P95/100+$D$5))</f>
        <v>0.439295384785567</v>
      </c>
      <c r="S95" s="44" t="s">
        <v>90</v>
      </c>
    </row>
    <row r="96" customFormat="false" ht="15" hidden="false" customHeight="false" outlineLevel="0" collapsed="false">
      <c r="A96" s="38" t="s">
        <v>145</v>
      </c>
      <c r="B96" s="38" t="s">
        <v>138</v>
      </c>
      <c r="C96" s="38" t="s">
        <v>88</v>
      </c>
      <c r="D96" s="21" t="n">
        <f aca="false">ROUND(Q96*R96,0)</f>
        <v>879</v>
      </c>
      <c r="E96" s="21" t="n">
        <f aca="false">ROUND(Q96,0)-D96</f>
        <v>1494</v>
      </c>
      <c r="F96" s="21" t="n">
        <f aca="false">IF(COUNTA(D96:E96)=0,"",SUM(D96:E96))</f>
        <v>2373</v>
      </c>
      <c r="G96" s="39" t="n">
        <f aca="false">IF(OR(F96="",F96=0),"",D96/F96)</f>
        <v>0.370417193426043</v>
      </c>
      <c r="H96" s="39" t="n">
        <f aca="false">IF(OR(F96="",F96=0),"",E96/F96)</f>
        <v>0.629582806573957</v>
      </c>
      <c r="I96" s="38" t="s">
        <v>89</v>
      </c>
      <c r="J96" s="40" t="n">
        <v>1.7997491277276</v>
      </c>
      <c r="K96" s="39" t="n">
        <f aca="false">IF(G96="","",MAX(0,G96-J96/100))</f>
        <v>0.352419702148767</v>
      </c>
      <c r="L96" s="39" t="n">
        <f aca="false">IF(G96="","",MIN(1,G96+J96/100))</f>
        <v>0.388414684703319</v>
      </c>
      <c r="M96" s="21" t="n">
        <f aca="false">IF(F96="","",ROUND(F96*J96/100,0))</f>
        <v>43</v>
      </c>
      <c r="P96" s="41" t="n">
        <v>-7.59315251517204</v>
      </c>
      <c r="Q96" s="42" t="n">
        <v>2373</v>
      </c>
      <c r="R96" s="43" t="n">
        <f aca="false">MAX(0,MIN(1,P96/100+$D$5))</f>
        <v>0.370328834601319</v>
      </c>
      <c r="S96" s="44" t="s">
        <v>96</v>
      </c>
    </row>
    <row r="97" customFormat="false" ht="15" hidden="false" customHeight="false" outlineLevel="0" collapsed="false">
      <c r="A97" s="38" t="s">
        <v>145</v>
      </c>
      <c r="B97" s="38" t="s">
        <v>177</v>
      </c>
      <c r="C97" s="38" t="s">
        <v>88</v>
      </c>
      <c r="D97" s="21" t="n">
        <f aca="false">ROUND(Q97*R97,0)</f>
        <v>216</v>
      </c>
      <c r="E97" s="21" t="n">
        <f aca="false">ROUND(Q97,0)-D97</f>
        <v>198</v>
      </c>
      <c r="F97" s="21" t="n">
        <f aca="false">IF(COUNTA(D97:E97)=0,"",SUM(D97:E97))</f>
        <v>414</v>
      </c>
      <c r="G97" s="39" t="n">
        <f aca="false">IF(OR(F97="",F97=0),"",D97/F97)</f>
        <v>0.521739130434783</v>
      </c>
      <c r="H97" s="39" t="n">
        <f aca="false">IF(OR(F97="",F97=0),"",E97/F97)</f>
        <v>0.478260869565217</v>
      </c>
      <c r="I97" s="38" t="s">
        <v>89</v>
      </c>
      <c r="J97" s="40" t="n">
        <v>2.70598815047927</v>
      </c>
      <c r="K97" s="39" t="n">
        <f aca="false">IF(G97="","",MAX(0,G97-J97/100))</f>
        <v>0.49467924892999</v>
      </c>
      <c r="L97" s="39" t="n">
        <f aca="false">IF(G97="","",MIN(1,G97+J97/100))</f>
        <v>0.548799011939575</v>
      </c>
      <c r="M97" s="21" t="n">
        <f aca="false">IF(F97="","",ROUND(F97*J97/100,0))</f>
        <v>11</v>
      </c>
      <c r="P97" s="41" t="n">
        <v>7.47522771566025</v>
      </c>
      <c r="Q97" s="42" t="n">
        <v>414</v>
      </c>
      <c r="R97" s="43" t="n">
        <f aca="false">MAX(0,MIN(1,P97/100+$D$5))</f>
        <v>0.521012636909642</v>
      </c>
      <c r="S97" s="44" t="s">
        <v>90</v>
      </c>
    </row>
    <row r="98" customFormat="false" ht="15" hidden="false" customHeight="false" outlineLevel="0" collapsed="false">
      <c r="A98" s="38" t="s">
        <v>145</v>
      </c>
      <c r="B98" s="38" t="s">
        <v>178</v>
      </c>
      <c r="C98" s="38" t="s">
        <v>88</v>
      </c>
      <c r="D98" s="21" t="n">
        <f aca="false">ROUND(Q98*R98,0)</f>
        <v>1607</v>
      </c>
      <c r="E98" s="21" t="n">
        <f aca="false">ROUND(Q98,0)-D98</f>
        <v>1709</v>
      </c>
      <c r="F98" s="21" t="n">
        <f aca="false">IF(COUNTA(D98:E98)=0,"",SUM(D98:E98))</f>
        <v>3316</v>
      </c>
      <c r="G98" s="39" t="n">
        <f aca="false">IF(OR(F98="",F98=0),"",D98/F98)</f>
        <v>0.484620024125452</v>
      </c>
      <c r="H98" s="39" t="n">
        <f aca="false">IF(OR(F98="",F98=0),"",E98/F98)</f>
        <v>0.515379975874548</v>
      </c>
      <c r="I98" s="38" t="s">
        <v>89</v>
      </c>
      <c r="J98" s="40" t="n">
        <v>1.7997491277276</v>
      </c>
      <c r="K98" s="39" t="n">
        <f aca="false">IF(G98="","",MAX(0,G98-J98/100))</f>
        <v>0.466622532848176</v>
      </c>
      <c r="L98" s="39" t="n">
        <f aca="false">IF(G98="","",MIN(1,G98+J98/100))</f>
        <v>0.502617515402728</v>
      </c>
      <c r="M98" s="21" t="n">
        <f aca="false">IF(F98="","",ROUND(F98*J98/100,0))</f>
        <v>60</v>
      </c>
      <c r="P98" s="41" t="n">
        <v>3.84079475056747</v>
      </c>
      <c r="Q98" s="42" t="n">
        <v>3316</v>
      </c>
      <c r="R98" s="43" t="n">
        <f aca="false">MAX(0,MIN(1,P98/100+$D$5))</f>
        <v>0.484668307258714</v>
      </c>
      <c r="S98" s="44" t="s">
        <v>96</v>
      </c>
    </row>
    <row r="99" customFormat="false" ht="15" hidden="false" customHeight="false" outlineLevel="0" collapsed="false">
      <c r="A99" s="38" t="s">
        <v>145</v>
      </c>
      <c r="B99" s="38" t="s">
        <v>179</v>
      </c>
      <c r="C99" s="38" t="s">
        <v>88</v>
      </c>
      <c r="D99" s="21" t="n">
        <f aca="false">ROUND(Q99*R99,0)</f>
        <v>1326</v>
      </c>
      <c r="E99" s="21" t="n">
        <f aca="false">ROUND(Q99,0)-D99</f>
        <v>967</v>
      </c>
      <c r="F99" s="21" t="n">
        <f aca="false">IF(COUNTA(D99:E99)=0,"",SUM(D99:E99))</f>
        <v>2293</v>
      </c>
      <c r="G99" s="39" t="n">
        <f aca="false">IF(OR(F99="",F99=0),"",D99/F99)</f>
        <v>0.578281726995203</v>
      </c>
      <c r="H99" s="39" t="n">
        <f aca="false">IF(OR(F99="",F99=0),"",E99/F99)</f>
        <v>0.421718273004797</v>
      </c>
      <c r="I99" s="38" t="s">
        <v>89</v>
      </c>
      <c r="J99" s="40" t="n">
        <v>1.7997491277276</v>
      </c>
      <c r="K99" s="39" t="n">
        <f aca="false">IF(G99="","",MAX(0,G99-J99/100))</f>
        <v>0.560284235717927</v>
      </c>
      <c r="L99" s="39" t="n">
        <f aca="false">IF(G99="","",MIN(1,G99+J99/100))</f>
        <v>0.596279218272479</v>
      </c>
      <c r="M99" s="21" t="n">
        <f aca="false">IF(F99="","",ROUND(F99*J99/100,0))</f>
        <v>41</v>
      </c>
      <c r="P99" s="41" t="n">
        <v>13.2036304828809</v>
      </c>
      <c r="Q99" s="42" t="n">
        <v>2293</v>
      </c>
      <c r="R99" s="43" t="n">
        <f aca="false">MAX(0,MIN(1,P99/100+$D$5))</f>
        <v>0.578296664581848</v>
      </c>
      <c r="S99" s="44" t="s">
        <v>96</v>
      </c>
    </row>
    <row r="100" customFormat="false" ht="15" hidden="false" customHeight="false" outlineLevel="0" collapsed="false">
      <c r="A100" s="38" t="s">
        <v>145</v>
      </c>
      <c r="B100" s="38" t="s">
        <v>180</v>
      </c>
      <c r="C100" s="38" t="s">
        <v>88</v>
      </c>
      <c r="D100" s="21" t="n">
        <f aca="false">ROUND(Q100*R100,0)</f>
        <v>512</v>
      </c>
      <c r="E100" s="21" t="n">
        <f aca="false">ROUND(Q100,0)-D100</f>
        <v>583</v>
      </c>
      <c r="F100" s="21" t="n">
        <f aca="false">IF(COUNTA(D100:E100)=0,"",SUM(D100:E100))</f>
        <v>1095</v>
      </c>
      <c r="G100" s="39" t="n">
        <f aca="false">IF(OR(F100="",F100=0),"",D100/F100)</f>
        <v>0.467579908675799</v>
      </c>
      <c r="H100" s="39" t="n">
        <f aca="false">IF(OR(F100="",F100=0),"",E100/F100)</f>
        <v>0.532420091324201</v>
      </c>
      <c r="I100" s="38" t="s">
        <v>89</v>
      </c>
      <c r="J100" s="40" t="n">
        <v>2.70598815047927</v>
      </c>
      <c r="K100" s="39" t="n">
        <f aca="false">IF(G100="","",MAX(0,G100-J100/100))</f>
        <v>0.440520027171006</v>
      </c>
      <c r="L100" s="39" t="n">
        <f aca="false">IF(G100="","",MIN(1,G100+J100/100))</f>
        <v>0.494639790180592</v>
      </c>
      <c r="M100" s="21" t="n">
        <f aca="false">IF(F100="","",ROUND(F100*J100/100,0))</f>
        <v>30</v>
      </c>
      <c r="P100" s="41" t="n">
        <v>2.1114011513789</v>
      </c>
      <c r="Q100" s="42" t="n">
        <v>1095</v>
      </c>
      <c r="R100" s="43" t="n">
        <f aca="false">MAX(0,MIN(1,P100/100+$D$5))</f>
        <v>0.467374371266828</v>
      </c>
      <c r="S100" s="44" t="s">
        <v>90</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s>
  <sheetData>
    <row r="1" customFormat="false" ht="17.35" hidden="false" customHeight="false" outlineLevel="0" collapsed="false">
      <c r="A1" s="1" t="s">
        <v>183</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0" t="s">
        <v>54</v>
      </c>
      <c r="B4" s="0" t="s">
        <v>184</v>
      </c>
      <c r="C4" s="0" t="s">
        <v>56</v>
      </c>
      <c r="D4" s="27" t="n">
        <v>46300</v>
      </c>
      <c r="E4" s="28" t="s">
        <v>57</v>
      </c>
      <c r="F4" s="28" t="s">
        <v>58</v>
      </c>
      <c r="G4" s="28" t="s">
        <v>59</v>
      </c>
      <c r="H4" s="28" t="s">
        <v>60</v>
      </c>
    </row>
    <row r="5" customFormat="false" ht="15" hidden="false" customHeight="false" outlineLevel="0" collapsed="false">
      <c r="A5" s="0" t="s">
        <v>61</v>
      </c>
      <c r="B5" s="29" t="n">
        <f aca="false">'Scenario &amp; Comparison'!$C$6</f>
        <v>0.528169484134382</v>
      </c>
      <c r="C5" s="28" t="s">
        <v>62</v>
      </c>
      <c r="D5" s="30" t="n">
        <f aca="false">B5-SUMPRODUCT(P12:P100,Q12:Q100)/SUM(Q12:Q100)/100</f>
        <v>0.437099299818483</v>
      </c>
      <c r="E5" s="28" t="s">
        <v>63</v>
      </c>
      <c r="F5" s="31" t="n">
        <v>1.94125460259702</v>
      </c>
    </row>
    <row r="6" customFormat="false" ht="15" hidden="false" customHeight="false" outlineLevel="0" collapsed="false">
      <c r="A6" s="4" t="s">
        <v>64</v>
      </c>
      <c r="B6" s="4"/>
      <c r="C6" s="4"/>
      <c r="D6" s="4"/>
      <c r="E6" s="4"/>
      <c r="F6" s="4"/>
      <c r="G6" s="4"/>
      <c r="H6" s="4"/>
      <c r="I6" s="4"/>
      <c r="J6" s="4"/>
      <c r="K6" s="4"/>
      <c r="L6" s="4"/>
      <c r="M6" s="4"/>
    </row>
    <row r="7" customFormat="false" ht="31.5" hidden="false" customHeight="true" outlineLevel="0" collapsed="false">
      <c r="A7" s="7" t="s">
        <v>65</v>
      </c>
      <c r="B7" s="7" t="s">
        <v>66</v>
      </c>
      <c r="C7" s="7" t="s">
        <v>67</v>
      </c>
      <c r="D7" s="7" t="s">
        <v>18</v>
      </c>
      <c r="E7" s="7" t="s">
        <v>19</v>
      </c>
      <c r="F7" s="7" t="s">
        <v>68</v>
      </c>
      <c r="G7" s="7" t="s">
        <v>21</v>
      </c>
      <c r="H7" s="7" t="s">
        <v>69</v>
      </c>
      <c r="I7" s="7" t="s">
        <v>70</v>
      </c>
      <c r="J7" s="7" t="s">
        <v>71</v>
      </c>
      <c r="K7" s="7" t="s">
        <v>72</v>
      </c>
      <c r="L7" s="7" t="s">
        <v>73</v>
      </c>
      <c r="M7" s="7" t="s">
        <v>74</v>
      </c>
    </row>
    <row r="8" customFormat="false" ht="15" hidden="false" customHeight="false" outlineLevel="0" collapsed="false">
      <c r="A8" s="11" t="s">
        <v>75</v>
      </c>
      <c r="B8" s="11" t="s">
        <v>76</v>
      </c>
      <c r="C8" s="11"/>
      <c r="D8" s="32" t="n">
        <f aca="false">SUM(D12:D100)</f>
        <v>156805</v>
      </c>
      <c r="E8" s="32" t="n">
        <f aca="false">SUM(E12:E100)</f>
        <v>140086</v>
      </c>
      <c r="F8" s="32" t="n">
        <f aca="false">D8+E8</f>
        <v>296891</v>
      </c>
      <c r="G8" s="33" t="n">
        <f aca="false">IF(F8=0,"",D8/F8)</f>
        <v>0.52815679828624</v>
      </c>
      <c r="H8" s="33" t="n">
        <f aca="false">IF(F8=0,"",E8/F8)</f>
        <v>0.47184320171376</v>
      </c>
      <c r="I8" s="11" t="s">
        <v>77</v>
      </c>
      <c r="J8" s="34" t="n">
        <v>1.94125460259702</v>
      </c>
      <c r="K8" s="33" t="n">
        <f aca="false">G8-J8/100</f>
        <v>0.50874425226027</v>
      </c>
      <c r="L8" s="33" t="n">
        <f aca="false">G8+J8/100</f>
        <v>0.54756934431221</v>
      </c>
      <c r="M8" s="32" t="n">
        <f aca="false">ROUND(F8*J8/100,0)</f>
        <v>5763</v>
      </c>
    </row>
    <row r="9" customFormat="false" ht="15" hidden="false" customHeight="false" outlineLevel="0" collapsed="false">
      <c r="A9" s="23" t="s">
        <v>78</v>
      </c>
      <c r="B9" s="23"/>
      <c r="C9" s="23"/>
      <c r="D9" s="23"/>
      <c r="E9" s="23"/>
      <c r="F9" s="23"/>
      <c r="G9" s="23"/>
      <c r="H9" s="23"/>
      <c r="I9" s="23"/>
      <c r="J9" s="23"/>
      <c r="K9" s="23"/>
      <c r="L9" s="23"/>
      <c r="M9" s="23"/>
    </row>
    <row r="10" customFormat="false" ht="15" hidden="false" customHeight="false" outlineLevel="0" collapsed="false">
      <c r="A10" s="4" t="s">
        <v>79</v>
      </c>
      <c r="B10" s="4"/>
      <c r="C10" s="4"/>
      <c r="D10" s="4"/>
      <c r="E10" s="4"/>
      <c r="F10" s="4"/>
      <c r="G10" s="4"/>
      <c r="H10" s="4"/>
      <c r="I10" s="4"/>
      <c r="J10" s="4"/>
      <c r="K10" s="4"/>
      <c r="L10" s="4"/>
      <c r="M10" s="4"/>
      <c r="P10" s="35" t="s">
        <v>80</v>
      </c>
      <c r="Q10" s="36"/>
      <c r="R10" s="36"/>
      <c r="S10" s="36"/>
    </row>
    <row r="11" customFormat="false" ht="31.5" hidden="false" customHeight="true" outlineLevel="0" collapsed="false">
      <c r="A11" s="7" t="s">
        <v>42</v>
      </c>
      <c r="B11" s="7" t="s">
        <v>43</v>
      </c>
      <c r="C11" s="7" t="s">
        <v>44</v>
      </c>
      <c r="D11" s="7" t="s">
        <v>18</v>
      </c>
      <c r="E11" s="7" t="s">
        <v>19</v>
      </c>
      <c r="F11" s="7" t="s">
        <v>68</v>
      </c>
      <c r="G11" s="7" t="s">
        <v>21</v>
      </c>
      <c r="H11" s="7" t="s">
        <v>69</v>
      </c>
      <c r="I11" s="7" t="s">
        <v>81</v>
      </c>
      <c r="J11" s="7" t="s">
        <v>71</v>
      </c>
      <c r="K11" s="7" t="s">
        <v>72</v>
      </c>
      <c r="L11" s="7" t="s">
        <v>73</v>
      </c>
      <c r="M11" s="7" t="s">
        <v>74</v>
      </c>
      <c r="P11" s="37" t="s">
        <v>82</v>
      </c>
      <c r="Q11" s="37" t="s">
        <v>83</v>
      </c>
      <c r="R11" s="37" t="s">
        <v>84</v>
      </c>
      <c r="S11" s="37" t="s">
        <v>85</v>
      </c>
    </row>
    <row r="12" customFormat="false" ht="15" hidden="false" customHeight="false" outlineLevel="0" collapsed="false">
      <c r="A12" s="38" t="s">
        <v>86</v>
      </c>
      <c r="B12" s="38" t="s">
        <v>87</v>
      </c>
      <c r="C12" s="38" t="s">
        <v>88</v>
      </c>
      <c r="D12" s="21" t="n">
        <f aca="false">ROUND(Q12*R12,0)</f>
        <v>165</v>
      </c>
      <c r="E12" s="21" t="n">
        <f aca="false">ROUND(Q12,0)-D12</f>
        <v>221</v>
      </c>
      <c r="F12" s="21" t="n">
        <f aca="false">IF(COUNTA(D12:E12)=0,"",SUM(D12:E12))</f>
        <v>386</v>
      </c>
      <c r="G12" s="39" t="n">
        <f aca="false">IF(OR(F12="",F12=0),"",D12/F12)</f>
        <v>0.427461139896373</v>
      </c>
      <c r="H12" s="39" t="n">
        <f aca="false">IF(OR(F12="",F12=0),"",E12/F12)</f>
        <v>0.572538860103627</v>
      </c>
      <c r="I12" s="38" t="s">
        <v>89</v>
      </c>
      <c r="J12" s="40" t="n">
        <v>2.39925188023053</v>
      </c>
      <c r="K12" s="39" t="n">
        <f aca="false">IF(G12="","",MAX(0,G12-J12/100))</f>
        <v>0.403468621094068</v>
      </c>
      <c r="L12" s="39" t="n">
        <f aca="false">IF(G12="","",MIN(1,G12+J12/100))</f>
        <v>0.451453658698678</v>
      </c>
      <c r="M12" s="21" t="n">
        <f aca="false">IF(F12="","",ROUND(F12*J12/100,0))</f>
        <v>9</v>
      </c>
      <c r="P12" s="41" t="n">
        <v>-1.02062125795249</v>
      </c>
      <c r="Q12" s="42" t="n">
        <v>386</v>
      </c>
      <c r="R12" s="43" t="n">
        <f aca="false">MAX(0,MIN(1,P12/100+$D$5))</f>
        <v>0.426893087238958</v>
      </c>
      <c r="S12" s="44" t="s">
        <v>90</v>
      </c>
    </row>
    <row r="13" customFormat="false" ht="15" hidden="false" customHeight="false" outlineLevel="0" collapsed="false">
      <c r="A13" s="38" t="s">
        <v>86</v>
      </c>
      <c r="B13" s="38" t="s">
        <v>91</v>
      </c>
      <c r="C13" s="38" t="s">
        <v>88</v>
      </c>
      <c r="D13" s="21" t="n">
        <f aca="false">ROUND(Q13*R13,0)</f>
        <v>98</v>
      </c>
      <c r="E13" s="21" t="n">
        <f aca="false">ROUND(Q13,0)-D13</f>
        <v>216</v>
      </c>
      <c r="F13" s="21" t="n">
        <f aca="false">IF(COUNTA(D13:E13)=0,"",SUM(D13:E13))</f>
        <v>314</v>
      </c>
      <c r="G13" s="39" t="n">
        <f aca="false">IF(OR(F13="",F13=0),"",D13/F13)</f>
        <v>0.312101910828025</v>
      </c>
      <c r="H13" s="39" t="n">
        <f aca="false">IF(OR(F13="",F13=0),"",E13/F13)</f>
        <v>0.687898089171975</v>
      </c>
      <c r="I13" s="38" t="s">
        <v>89</v>
      </c>
      <c r="J13" s="40" t="n">
        <v>2.39925188023053</v>
      </c>
      <c r="K13" s="39" t="n">
        <f aca="false">IF(G13="","",MAX(0,G13-J13/100))</f>
        <v>0.28810939202572</v>
      </c>
      <c r="L13" s="39" t="n">
        <f aca="false">IF(G13="","",MIN(1,G13+J13/100))</f>
        <v>0.336094429630331</v>
      </c>
      <c r="M13" s="21" t="n">
        <f aca="false">IF(F13="","",ROUND(F13*J13/100,0))</f>
        <v>8</v>
      </c>
      <c r="P13" s="41" t="n">
        <v>-12.466719801476</v>
      </c>
      <c r="Q13" s="42" t="n">
        <v>314</v>
      </c>
      <c r="R13" s="43" t="n">
        <f aca="false">MAX(0,MIN(1,P13/100+$D$5))</f>
        <v>0.312432101803723</v>
      </c>
      <c r="S13" s="44" t="s">
        <v>90</v>
      </c>
    </row>
    <row r="14" customFormat="false" ht="15" hidden="false" customHeight="false" outlineLevel="0" collapsed="false">
      <c r="A14" s="38" t="s">
        <v>86</v>
      </c>
      <c r="B14" s="38" t="s">
        <v>92</v>
      </c>
      <c r="C14" s="38" t="s">
        <v>88</v>
      </c>
      <c r="D14" s="21" t="n">
        <f aca="false">ROUND(Q14*R14,0)</f>
        <v>123</v>
      </c>
      <c r="E14" s="21" t="n">
        <f aca="false">ROUND(Q14,0)-D14</f>
        <v>225</v>
      </c>
      <c r="F14" s="21" t="n">
        <f aca="false">IF(COUNTA(D14:E14)=0,"",SUM(D14:E14))</f>
        <v>348</v>
      </c>
      <c r="G14" s="39" t="n">
        <f aca="false">IF(OR(F14="",F14=0),"",D14/F14)</f>
        <v>0.353448275862069</v>
      </c>
      <c r="H14" s="39" t="n">
        <f aca="false">IF(OR(F14="",F14=0),"",E14/F14)</f>
        <v>0.646551724137931</v>
      </c>
      <c r="I14" s="38" t="s">
        <v>89</v>
      </c>
      <c r="J14" s="40" t="n">
        <v>2.39925188023053</v>
      </c>
      <c r="K14" s="39" t="n">
        <f aca="false">IF(G14="","",MAX(0,G14-J14/100))</f>
        <v>0.329455757059764</v>
      </c>
      <c r="L14" s="39" t="n">
        <f aca="false">IF(G14="","",MIN(1,G14+J14/100))</f>
        <v>0.377440794664374</v>
      </c>
      <c r="M14" s="21" t="n">
        <f aca="false">IF(F14="","",ROUND(F14*J14/100,0))</f>
        <v>8</v>
      </c>
      <c r="P14" s="41" t="n">
        <v>-8.43515802500883</v>
      </c>
      <c r="Q14" s="42" t="n">
        <v>348</v>
      </c>
      <c r="R14" s="43" t="n">
        <f aca="false">MAX(0,MIN(1,P14/100+$D$5))</f>
        <v>0.352747719568394</v>
      </c>
      <c r="S14" s="44" t="s">
        <v>90</v>
      </c>
    </row>
    <row r="15" customFormat="false" ht="15" hidden="false" customHeight="false" outlineLevel="0" collapsed="false">
      <c r="A15" s="38" t="s">
        <v>86</v>
      </c>
      <c r="B15" s="38" t="s">
        <v>93</v>
      </c>
      <c r="C15" s="38" t="s">
        <v>88</v>
      </c>
      <c r="D15" s="21" t="n">
        <f aca="false">ROUND(Q15*R15,0)</f>
        <v>384</v>
      </c>
      <c r="E15" s="21" t="n">
        <f aca="false">ROUND(Q15,0)-D15</f>
        <v>913</v>
      </c>
      <c r="F15" s="21" t="n">
        <f aca="false">IF(COUNTA(D15:E15)=0,"",SUM(D15:E15))</f>
        <v>1297</v>
      </c>
      <c r="G15" s="39" t="n">
        <f aca="false">IF(OR(F15="",F15=0),"",D15/F15)</f>
        <v>0.296067848882035</v>
      </c>
      <c r="H15" s="39" t="n">
        <f aca="false">IF(OR(F15="",F15=0),"",E15/F15)</f>
        <v>0.703932151117965</v>
      </c>
      <c r="I15" s="38" t="s">
        <v>89</v>
      </c>
      <c r="J15" s="40" t="n">
        <v>2.39925188023053</v>
      </c>
      <c r="K15" s="39" t="n">
        <f aca="false">IF(G15="","",MAX(0,G15-J15/100))</f>
        <v>0.27207533007973</v>
      </c>
      <c r="L15" s="39" t="n">
        <f aca="false">IF(G15="","",MIN(1,G15+J15/100))</f>
        <v>0.320060367684341</v>
      </c>
      <c r="M15" s="21" t="n">
        <f aca="false">IF(F15="","",ROUND(F15*J15/100,0))</f>
        <v>31</v>
      </c>
      <c r="P15" s="41" t="n">
        <v>-14.0894048598347</v>
      </c>
      <c r="Q15" s="42" t="n">
        <v>1297</v>
      </c>
      <c r="R15" s="43" t="n">
        <f aca="false">MAX(0,MIN(1,P15/100+$D$5))</f>
        <v>0.296205251220136</v>
      </c>
      <c r="S15" s="44" t="s">
        <v>90</v>
      </c>
    </row>
    <row r="16" customFormat="false" ht="15" hidden="false" customHeight="false" outlineLevel="0" collapsed="false">
      <c r="A16" s="38" t="s">
        <v>86</v>
      </c>
      <c r="B16" s="38" t="s">
        <v>94</v>
      </c>
      <c r="C16" s="38" t="s">
        <v>88</v>
      </c>
      <c r="D16" s="21" t="n">
        <f aca="false">ROUND(Q16*R16,0)</f>
        <v>35</v>
      </c>
      <c r="E16" s="21" t="n">
        <f aca="false">ROUND(Q16,0)-D16</f>
        <v>59</v>
      </c>
      <c r="F16" s="21" t="n">
        <f aca="false">IF(COUNTA(D16:E16)=0,"",SUM(D16:E16))</f>
        <v>94</v>
      </c>
      <c r="G16" s="39" t="n">
        <f aca="false">IF(OR(F16="",F16=0),"",D16/F16)</f>
        <v>0.372340425531915</v>
      </c>
      <c r="H16" s="39" t="n">
        <f aca="false">IF(OR(F16="",F16=0),"",E16/F16)</f>
        <v>0.627659574468085</v>
      </c>
      <c r="I16" s="38" t="s">
        <v>89</v>
      </c>
      <c r="J16" s="40" t="n">
        <v>2.39925188023053</v>
      </c>
      <c r="K16" s="39" t="n">
        <f aca="false">IF(G16="","",MAX(0,G16-J16/100))</f>
        <v>0.34834790672961</v>
      </c>
      <c r="L16" s="39" t="n">
        <f aca="false">IF(G16="","",MIN(1,G16+J16/100))</f>
        <v>0.39633294433422</v>
      </c>
      <c r="M16" s="21" t="n">
        <f aca="false">IF(F16="","",ROUND(F16*J16/100,0))</f>
        <v>2</v>
      </c>
      <c r="P16" s="41" t="n">
        <v>-6.2139641693908</v>
      </c>
      <c r="Q16" s="42" t="n">
        <v>94</v>
      </c>
      <c r="R16" s="43" t="n">
        <f aca="false">MAX(0,MIN(1,P16/100+$D$5))</f>
        <v>0.374959658124575</v>
      </c>
      <c r="S16" s="44" t="s">
        <v>90</v>
      </c>
    </row>
    <row r="17" customFormat="false" ht="15" hidden="false" customHeight="false" outlineLevel="0" collapsed="false">
      <c r="A17" s="38" t="s">
        <v>86</v>
      </c>
      <c r="B17" s="38" t="s">
        <v>95</v>
      </c>
      <c r="C17" s="38" t="s">
        <v>88</v>
      </c>
      <c r="D17" s="21" t="n">
        <f aca="false">ROUND(Q17*R17,0)</f>
        <v>605</v>
      </c>
      <c r="E17" s="21" t="n">
        <f aca="false">ROUND(Q17,0)-D17</f>
        <v>1353</v>
      </c>
      <c r="F17" s="21" t="n">
        <f aca="false">IF(COUNTA(D17:E17)=0,"",SUM(D17:E17))</f>
        <v>1958</v>
      </c>
      <c r="G17" s="39" t="n">
        <f aca="false">IF(OR(F17="",F17=0),"",D17/F17)</f>
        <v>0.308988764044944</v>
      </c>
      <c r="H17" s="39" t="n">
        <f aca="false">IF(OR(F17="",F17=0),"",E17/F17)</f>
        <v>0.691011235955056</v>
      </c>
      <c r="I17" s="38" t="s">
        <v>89</v>
      </c>
      <c r="J17" s="40" t="n">
        <v>1.3223778391408</v>
      </c>
      <c r="K17" s="39" t="n">
        <f aca="false">IF(G17="","",MAX(0,G17-J17/100))</f>
        <v>0.295764985653536</v>
      </c>
      <c r="L17" s="39" t="n">
        <f aca="false">IF(G17="","",MIN(1,G17+J17/100))</f>
        <v>0.322212542436352</v>
      </c>
      <c r="M17" s="21" t="n">
        <f aca="false">IF(F17="","",ROUND(F17*J17/100,0))</f>
        <v>26</v>
      </c>
      <c r="P17" s="41" t="n">
        <v>-12.7872899646898</v>
      </c>
      <c r="Q17" s="42" t="n">
        <v>1958</v>
      </c>
      <c r="R17" s="43" t="n">
        <f aca="false">MAX(0,MIN(1,P17/100+$D$5))</f>
        <v>0.309226400171585</v>
      </c>
      <c r="S17" s="44" t="s">
        <v>96</v>
      </c>
    </row>
    <row r="18" customFormat="false" ht="15" hidden="false" customHeight="false" outlineLevel="0" collapsed="false">
      <c r="A18" s="38" t="s">
        <v>86</v>
      </c>
      <c r="B18" s="38" t="s">
        <v>97</v>
      </c>
      <c r="C18" s="38" t="s">
        <v>88</v>
      </c>
      <c r="D18" s="21" t="n">
        <f aca="false">ROUND(Q18*R18,0)</f>
        <v>1019</v>
      </c>
      <c r="E18" s="21" t="n">
        <f aca="false">ROUND(Q18,0)-D18</f>
        <v>1117</v>
      </c>
      <c r="F18" s="21" t="n">
        <f aca="false">IF(COUNTA(D18:E18)=0,"",SUM(D18:E18))</f>
        <v>2136</v>
      </c>
      <c r="G18" s="39" t="n">
        <f aca="false">IF(OR(F18="",F18=0),"",D18/F18)</f>
        <v>0.477059925093633</v>
      </c>
      <c r="H18" s="39" t="n">
        <f aca="false">IF(OR(F18="",F18=0),"",E18/F18)</f>
        <v>0.522940074906367</v>
      </c>
      <c r="I18" s="38" t="s">
        <v>89</v>
      </c>
      <c r="J18" s="40" t="n">
        <v>1.3223778391408</v>
      </c>
      <c r="K18" s="39" t="n">
        <f aca="false">IF(G18="","",MAX(0,G18-J18/100))</f>
        <v>0.463836146702225</v>
      </c>
      <c r="L18" s="39" t="n">
        <f aca="false">IF(G18="","",MIN(1,G18+J18/100))</f>
        <v>0.490283703485041</v>
      </c>
      <c r="M18" s="21" t="n">
        <f aca="false">IF(F18="","",ROUND(F18*J18/100,0))</f>
        <v>28</v>
      </c>
      <c r="P18" s="41" t="n">
        <v>3.98670014090458</v>
      </c>
      <c r="Q18" s="42" t="n">
        <v>2136</v>
      </c>
      <c r="R18" s="43" t="n">
        <f aca="false">MAX(0,MIN(1,P18/100+$D$5))</f>
        <v>0.476966301227529</v>
      </c>
      <c r="S18" s="44" t="s">
        <v>96</v>
      </c>
    </row>
    <row r="19" customFormat="false" ht="15" hidden="false" customHeight="false" outlineLevel="0" collapsed="false">
      <c r="A19" s="38" t="s">
        <v>86</v>
      </c>
      <c r="B19" s="38" t="s">
        <v>98</v>
      </c>
      <c r="C19" s="38" t="s">
        <v>88</v>
      </c>
      <c r="D19" s="21" t="n">
        <f aca="false">ROUND(Q19*R19,0)</f>
        <v>298</v>
      </c>
      <c r="E19" s="21" t="n">
        <f aca="false">ROUND(Q19,0)-D19</f>
        <v>539</v>
      </c>
      <c r="F19" s="21" t="n">
        <f aca="false">IF(COUNTA(D19:E19)=0,"",SUM(D19:E19))</f>
        <v>837</v>
      </c>
      <c r="G19" s="39" t="n">
        <f aca="false">IF(OR(F19="",F19=0),"",D19/F19)</f>
        <v>0.356033452807646</v>
      </c>
      <c r="H19" s="39" t="n">
        <f aca="false">IF(OR(F19="",F19=0),"",E19/F19)</f>
        <v>0.643966547192354</v>
      </c>
      <c r="I19" s="38" t="s">
        <v>89</v>
      </c>
      <c r="J19" s="40" t="n">
        <v>2.39925188023053</v>
      </c>
      <c r="K19" s="39" t="n">
        <f aca="false">IF(G19="","",MAX(0,G19-J19/100))</f>
        <v>0.332040934005341</v>
      </c>
      <c r="L19" s="39" t="n">
        <f aca="false">IF(G19="","",MIN(1,G19+J19/100))</f>
        <v>0.380025971609952</v>
      </c>
      <c r="M19" s="21" t="n">
        <f aca="false">IF(F19="","",ROUND(F19*J19/100,0))</f>
        <v>20</v>
      </c>
      <c r="P19" s="41" t="n">
        <v>-8.08718707935811</v>
      </c>
      <c r="Q19" s="42" t="n">
        <v>837</v>
      </c>
      <c r="R19" s="43" t="n">
        <f aca="false">MAX(0,MIN(1,P19/100+$D$5))</f>
        <v>0.356227429024902</v>
      </c>
      <c r="S19" s="44" t="s">
        <v>90</v>
      </c>
    </row>
    <row r="20" customFormat="false" ht="15" hidden="false" customHeight="false" outlineLevel="0" collapsed="false">
      <c r="A20" s="38" t="s">
        <v>86</v>
      </c>
      <c r="B20" s="38" t="s">
        <v>99</v>
      </c>
      <c r="C20" s="38" t="s">
        <v>88</v>
      </c>
      <c r="D20" s="21" t="n">
        <f aca="false">ROUND(Q20*R20,0)</f>
        <v>440</v>
      </c>
      <c r="E20" s="21" t="n">
        <f aca="false">ROUND(Q20,0)-D20</f>
        <v>560</v>
      </c>
      <c r="F20" s="21" t="n">
        <f aca="false">IF(COUNTA(D20:E20)=0,"",SUM(D20:E20))</f>
        <v>1000</v>
      </c>
      <c r="G20" s="39" t="n">
        <f aca="false">IF(OR(F20="",F20=0),"",D20/F20)</f>
        <v>0.44</v>
      </c>
      <c r="H20" s="39" t="n">
        <f aca="false">IF(OR(F20="",F20=0),"",E20/F20)</f>
        <v>0.56</v>
      </c>
      <c r="I20" s="38" t="s">
        <v>89</v>
      </c>
      <c r="J20" s="40" t="n">
        <v>2.39925188023053</v>
      </c>
      <c r="K20" s="39" t="n">
        <f aca="false">IF(G20="","",MAX(0,G20-J20/100))</f>
        <v>0.416007481197695</v>
      </c>
      <c r="L20" s="39" t="n">
        <f aca="false">IF(G20="","",MIN(1,G20+J20/100))</f>
        <v>0.463992518802305</v>
      </c>
      <c r="M20" s="21" t="n">
        <f aca="false">IF(F20="","",ROUND(F20*J20/100,0))</f>
        <v>24</v>
      </c>
      <c r="P20" s="41" t="n">
        <v>0.306575322289085</v>
      </c>
      <c r="Q20" s="42" t="n">
        <v>1000</v>
      </c>
      <c r="R20" s="43" t="n">
        <f aca="false">MAX(0,MIN(1,P20/100+$D$5))</f>
        <v>0.440165053041374</v>
      </c>
      <c r="S20" s="44" t="s">
        <v>90</v>
      </c>
    </row>
    <row r="21" customFormat="false" ht="15" hidden="false" customHeight="false" outlineLevel="0" collapsed="false">
      <c r="A21" s="38" t="s">
        <v>86</v>
      </c>
      <c r="B21" s="38" t="s">
        <v>100</v>
      </c>
      <c r="C21" s="38" t="s">
        <v>88</v>
      </c>
      <c r="D21" s="21" t="n">
        <f aca="false">ROUND(Q21*R21,0)</f>
        <v>35</v>
      </c>
      <c r="E21" s="21" t="n">
        <f aca="false">ROUND(Q21,0)-D21</f>
        <v>80</v>
      </c>
      <c r="F21" s="21" t="n">
        <f aca="false">IF(COUNTA(D21:E21)=0,"",SUM(D21:E21))</f>
        <v>115</v>
      </c>
      <c r="G21" s="39" t="n">
        <f aca="false">IF(OR(F21="",F21=0),"",D21/F21)</f>
        <v>0.304347826086957</v>
      </c>
      <c r="H21" s="39" t="n">
        <f aca="false">IF(OR(F21="",F21=0),"",E21/F21)</f>
        <v>0.695652173913044</v>
      </c>
      <c r="I21" s="38" t="s">
        <v>89</v>
      </c>
      <c r="J21" s="40" t="n">
        <v>2.39925188023053</v>
      </c>
      <c r="K21" s="39" t="n">
        <f aca="false">IF(G21="","",MAX(0,G21-J21/100))</f>
        <v>0.280355307284651</v>
      </c>
      <c r="L21" s="39" t="n">
        <f aca="false">IF(G21="","",MIN(1,G21+J21/100))</f>
        <v>0.328340344889262</v>
      </c>
      <c r="M21" s="21" t="n">
        <f aca="false">IF(F21="","",ROUND(F21*J21/100,0))</f>
        <v>3</v>
      </c>
      <c r="P21" s="41" t="n">
        <v>-13.196146442127</v>
      </c>
      <c r="Q21" s="42" t="n">
        <v>115</v>
      </c>
      <c r="R21" s="43" t="n">
        <f aca="false">MAX(0,MIN(1,P21/100+$D$5))</f>
        <v>0.305137835397213</v>
      </c>
      <c r="S21" s="44" t="s">
        <v>90</v>
      </c>
    </row>
    <row r="22" customFormat="false" ht="15" hidden="false" customHeight="false" outlineLevel="0" collapsed="false">
      <c r="A22" s="38" t="s">
        <v>86</v>
      </c>
      <c r="B22" s="38" t="s">
        <v>101</v>
      </c>
      <c r="C22" s="38" t="s">
        <v>88</v>
      </c>
      <c r="D22" s="21" t="n">
        <f aca="false">ROUND(Q22*R22,0)</f>
        <v>52</v>
      </c>
      <c r="E22" s="21" t="n">
        <f aca="false">ROUND(Q22,0)-D22</f>
        <v>189</v>
      </c>
      <c r="F22" s="21" t="n">
        <f aca="false">IF(COUNTA(D22:E22)=0,"",SUM(D22:E22))</f>
        <v>241</v>
      </c>
      <c r="G22" s="39" t="n">
        <f aca="false">IF(OR(F22="",F22=0),"",D22/F22)</f>
        <v>0.215767634854772</v>
      </c>
      <c r="H22" s="39" t="n">
        <f aca="false">IF(OR(F22="",F22=0),"",E22/F22)</f>
        <v>0.784232365145228</v>
      </c>
      <c r="I22" s="38" t="s">
        <v>89</v>
      </c>
      <c r="J22" s="40" t="n">
        <v>2.39925188023053</v>
      </c>
      <c r="K22" s="39" t="n">
        <f aca="false">IF(G22="","",MAX(0,G22-J22/100))</f>
        <v>0.191775116052467</v>
      </c>
      <c r="L22" s="39" t="n">
        <f aca="false">IF(G22="","",MIN(1,G22+J22/100))</f>
        <v>0.239760153657077</v>
      </c>
      <c r="M22" s="21" t="n">
        <f aca="false">IF(F22="","",ROUND(F22*J22/100,0))</f>
        <v>6</v>
      </c>
      <c r="P22" s="41" t="n">
        <v>-21.9922306097889</v>
      </c>
      <c r="Q22" s="42" t="n">
        <v>241</v>
      </c>
      <c r="R22" s="43" t="n">
        <f aca="false">MAX(0,MIN(1,P22/100+$D$5))</f>
        <v>0.217176993720594</v>
      </c>
      <c r="S22" s="44" t="s">
        <v>90</v>
      </c>
    </row>
    <row r="23" customFormat="false" ht="15" hidden="false" customHeight="false" outlineLevel="0" collapsed="false">
      <c r="A23" s="38" t="s">
        <v>86</v>
      </c>
      <c r="B23" s="38" t="s">
        <v>102</v>
      </c>
      <c r="C23" s="38" t="s">
        <v>88</v>
      </c>
      <c r="D23" s="21" t="n">
        <f aca="false">ROUND(Q23*R23,0)</f>
        <v>715</v>
      </c>
      <c r="E23" s="21" t="n">
        <f aca="false">ROUND(Q23,0)-D23</f>
        <v>952</v>
      </c>
      <c r="F23" s="21" t="n">
        <f aca="false">IF(COUNTA(D23:E23)=0,"",SUM(D23:E23))</f>
        <v>1667</v>
      </c>
      <c r="G23" s="39" t="n">
        <f aca="false">IF(OR(F23="",F23=0),"",D23/F23)</f>
        <v>0.428914217156569</v>
      </c>
      <c r="H23" s="39" t="n">
        <f aca="false">IF(OR(F23="",F23=0),"",E23/F23)</f>
        <v>0.571085782843431</v>
      </c>
      <c r="I23" s="38" t="s">
        <v>89</v>
      </c>
      <c r="J23" s="40" t="n">
        <v>1.3223778391408</v>
      </c>
      <c r="K23" s="39" t="n">
        <f aca="false">IF(G23="","",MAX(0,G23-J23/100))</f>
        <v>0.415690438765161</v>
      </c>
      <c r="L23" s="39" t="n">
        <f aca="false">IF(G23="","",MIN(1,G23+J23/100))</f>
        <v>0.442137995547977</v>
      </c>
      <c r="M23" s="21" t="n">
        <f aca="false">IF(F23="","",ROUND(F23*J23/100,0))</f>
        <v>22</v>
      </c>
      <c r="P23" s="41" t="n">
        <v>-0.799617731256549</v>
      </c>
      <c r="Q23" s="42" t="n">
        <v>1667</v>
      </c>
      <c r="R23" s="43" t="n">
        <f aca="false">MAX(0,MIN(1,P23/100+$D$5))</f>
        <v>0.429103122505917</v>
      </c>
      <c r="S23" s="44" t="s">
        <v>96</v>
      </c>
    </row>
    <row r="24" customFormat="false" ht="15" hidden="false" customHeight="false" outlineLevel="0" collapsed="false">
      <c r="A24" s="38" t="s">
        <v>86</v>
      </c>
      <c r="B24" s="38" t="s">
        <v>103</v>
      </c>
      <c r="C24" s="38" t="s">
        <v>88</v>
      </c>
      <c r="D24" s="21" t="n">
        <f aca="false">ROUND(Q24*R24,0)</f>
        <v>435</v>
      </c>
      <c r="E24" s="21" t="n">
        <f aca="false">ROUND(Q24,0)-D24</f>
        <v>911</v>
      </c>
      <c r="F24" s="21" t="n">
        <f aca="false">IF(COUNTA(D24:E24)=0,"",SUM(D24:E24))</f>
        <v>1346</v>
      </c>
      <c r="G24" s="39" t="n">
        <f aca="false">IF(OR(F24="",F24=0),"",D24/F24)</f>
        <v>0.323179791976226</v>
      </c>
      <c r="H24" s="39" t="n">
        <f aca="false">IF(OR(F24="",F24=0),"",E24/F24)</f>
        <v>0.676820208023774</v>
      </c>
      <c r="I24" s="38" t="s">
        <v>89</v>
      </c>
      <c r="J24" s="40" t="n">
        <v>2.39925188023053</v>
      </c>
      <c r="K24" s="39" t="n">
        <f aca="false">IF(G24="","",MAX(0,G24-J24/100))</f>
        <v>0.299187273173921</v>
      </c>
      <c r="L24" s="39" t="n">
        <f aca="false">IF(G24="","",MIN(1,G24+J24/100))</f>
        <v>0.347172310778531</v>
      </c>
      <c r="M24" s="21" t="n">
        <f aca="false">IF(F24="","",ROUND(F24*J24/100,0))</f>
        <v>32</v>
      </c>
      <c r="P24" s="41" t="n">
        <v>-11.3638642109451</v>
      </c>
      <c r="Q24" s="42" t="n">
        <v>1346</v>
      </c>
      <c r="R24" s="43" t="n">
        <f aca="false">MAX(0,MIN(1,P24/100+$D$5))</f>
        <v>0.323460657709032</v>
      </c>
      <c r="S24" s="44" t="s">
        <v>90</v>
      </c>
    </row>
    <row r="25" customFormat="false" ht="15" hidden="false" customHeight="false" outlineLevel="0" collapsed="false">
      <c r="A25" s="38" t="s">
        <v>86</v>
      </c>
      <c r="B25" s="38" t="s">
        <v>104</v>
      </c>
      <c r="C25" s="38" t="s">
        <v>88</v>
      </c>
      <c r="D25" s="21" t="n">
        <f aca="false">ROUND(Q25*R25,0)</f>
        <v>572</v>
      </c>
      <c r="E25" s="21" t="n">
        <f aca="false">ROUND(Q25,0)-D25</f>
        <v>1201</v>
      </c>
      <c r="F25" s="21" t="n">
        <f aca="false">IF(COUNTA(D25:E25)=0,"",SUM(D25:E25))</f>
        <v>1773</v>
      </c>
      <c r="G25" s="39" t="n">
        <f aca="false">IF(OR(F25="",F25=0),"",D25/F25)</f>
        <v>0.322617033276932</v>
      </c>
      <c r="H25" s="39" t="n">
        <f aca="false">IF(OR(F25="",F25=0),"",E25/F25)</f>
        <v>0.677382966723068</v>
      </c>
      <c r="I25" s="38" t="s">
        <v>89</v>
      </c>
      <c r="J25" s="40" t="n">
        <v>1.3223778391408</v>
      </c>
      <c r="K25" s="39" t="n">
        <f aca="false">IF(G25="","",MAX(0,G25-J25/100))</f>
        <v>0.309393254885524</v>
      </c>
      <c r="L25" s="39" t="n">
        <f aca="false">IF(G25="","",MIN(1,G25+J25/100))</f>
        <v>0.33584081166834</v>
      </c>
      <c r="M25" s="21" t="n">
        <f aca="false">IF(F25="","",ROUND(F25*J25/100,0))</f>
        <v>23</v>
      </c>
      <c r="P25" s="41" t="n">
        <v>-11.4512478722785</v>
      </c>
      <c r="Q25" s="42" t="n">
        <v>1773</v>
      </c>
      <c r="R25" s="43" t="n">
        <f aca="false">MAX(0,MIN(1,P25/100+$D$5))</f>
        <v>0.322586821095698</v>
      </c>
      <c r="S25" s="44" t="s">
        <v>96</v>
      </c>
    </row>
    <row r="26" customFormat="false" ht="15" hidden="false" customHeight="false" outlineLevel="0" collapsed="false">
      <c r="A26" s="38" t="s">
        <v>86</v>
      </c>
      <c r="B26" s="38" t="s">
        <v>105</v>
      </c>
      <c r="C26" s="38" t="s">
        <v>88</v>
      </c>
      <c r="D26" s="21" t="n">
        <f aca="false">ROUND(Q26*R26,0)</f>
        <v>524</v>
      </c>
      <c r="E26" s="21" t="n">
        <f aca="false">ROUND(Q26,0)-D26</f>
        <v>670</v>
      </c>
      <c r="F26" s="21" t="n">
        <f aca="false">IF(COUNTA(D26:E26)=0,"",SUM(D26:E26))</f>
        <v>1194</v>
      </c>
      <c r="G26" s="39" t="n">
        <f aca="false">IF(OR(F26="",F26=0),"",D26/F26)</f>
        <v>0.438860971524288</v>
      </c>
      <c r="H26" s="39" t="n">
        <f aca="false">IF(OR(F26="",F26=0),"",E26/F26)</f>
        <v>0.561139028475712</v>
      </c>
      <c r="I26" s="38" t="s">
        <v>89</v>
      </c>
      <c r="J26" s="40" t="n">
        <v>2.39925188023053</v>
      </c>
      <c r="K26" s="39" t="n">
        <f aca="false">IF(G26="","",MAX(0,G26-J26/100))</f>
        <v>0.414868452721983</v>
      </c>
      <c r="L26" s="39" t="n">
        <f aca="false">IF(G26="","",MIN(1,G26+J26/100))</f>
        <v>0.462853490326593</v>
      </c>
      <c r="M26" s="21" t="n">
        <f aca="false">IF(F26="","",ROUND(F26*J26/100,0))</f>
        <v>29</v>
      </c>
      <c r="P26" s="41" t="n">
        <v>0.14723874057726</v>
      </c>
      <c r="Q26" s="42" t="n">
        <v>1194</v>
      </c>
      <c r="R26" s="43" t="n">
        <f aca="false">MAX(0,MIN(1,P26/100+$D$5))</f>
        <v>0.438571687224255</v>
      </c>
      <c r="S26" s="44" t="s">
        <v>90</v>
      </c>
    </row>
    <row r="27" customFormat="false" ht="15" hidden="false" customHeight="false" outlineLevel="0" collapsed="false">
      <c r="A27" s="38" t="s">
        <v>86</v>
      </c>
      <c r="B27" s="38" t="s">
        <v>106</v>
      </c>
      <c r="C27" s="38" t="s">
        <v>88</v>
      </c>
      <c r="D27" s="21" t="n">
        <f aca="false">ROUND(Q27*R27,0)</f>
        <v>111</v>
      </c>
      <c r="E27" s="21" t="n">
        <f aca="false">ROUND(Q27,0)-D27</f>
        <v>429</v>
      </c>
      <c r="F27" s="21" t="n">
        <f aca="false">IF(COUNTA(D27:E27)=0,"",SUM(D27:E27))</f>
        <v>540</v>
      </c>
      <c r="G27" s="39" t="n">
        <f aca="false">IF(OR(F27="",F27=0),"",D27/F27)</f>
        <v>0.205555555555556</v>
      </c>
      <c r="H27" s="39" t="n">
        <f aca="false">IF(OR(F27="",F27=0),"",E27/F27)</f>
        <v>0.794444444444444</v>
      </c>
      <c r="I27" s="38" t="s">
        <v>89</v>
      </c>
      <c r="J27" s="40" t="n">
        <v>2.39925188023053</v>
      </c>
      <c r="K27" s="39" t="n">
        <f aca="false">IF(G27="","",MAX(0,G27-J27/100))</f>
        <v>0.18156303675325</v>
      </c>
      <c r="L27" s="39" t="n">
        <f aca="false">IF(G27="","",MIN(1,G27+J27/100))</f>
        <v>0.229548074357861</v>
      </c>
      <c r="M27" s="21" t="n">
        <f aca="false">IF(F27="","",ROUND(F27*J27/100,0))</f>
        <v>13</v>
      </c>
      <c r="P27" s="41" t="n">
        <v>-23.1206378394179</v>
      </c>
      <c r="Q27" s="42" t="n">
        <v>540</v>
      </c>
      <c r="R27" s="43" t="n">
        <f aca="false">MAX(0,MIN(1,P27/100+$D$5))</f>
        <v>0.205892921424303</v>
      </c>
      <c r="S27" s="44" t="s">
        <v>90</v>
      </c>
    </row>
    <row r="28" customFormat="false" ht="15" hidden="false" customHeight="false" outlineLevel="0" collapsed="false">
      <c r="A28" s="38" t="s">
        <v>86</v>
      </c>
      <c r="B28" s="38" t="s">
        <v>107</v>
      </c>
      <c r="C28" s="38" t="s">
        <v>88</v>
      </c>
      <c r="D28" s="21" t="n">
        <f aca="false">ROUND(Q28*R28,0)</f>
        <v>787</v>
      </c>
      <c r="E28" s="21" t="n">
        <f aca="false">ROUND(Q28,0)-D28</f>
        <v>1122</v>
      </c>
      <c r="F28" s="21" t="n">
        <f aca="false">IF(COUNTA(D28:E28)=0,"",SUM(D28:E28))</f>
        <v>1909</v>
      </c>
      <c r="G28" s="39" t="n">
        <f aca="false">IF(OR(F28="",F28=0),"",D28/F28)</f>
        <v>0.412257726558408</v>
      </c>
      <c r="H28" s="39" t="n">
        <f aca="false">IF(OR(F28="",F28=0),"",E28/F28)</f>
        <v>0.587742273441593</v>
      </c>
      <c r="I28" s="38" t="s">
        <v>89</v>
      </c>
      <c r="J28" s="40" t="n">
        <v>1.3223778391408</v>
      </c>
      <c r="K28" s="39" t="n">
        <f aca="false">IF(G28="","",MAX(0,G28-J28/100))</f>
        <v>0.399033948167</v>
      </c>
      <c r="L28" s="39" t="n">
        <f aca="false">IF(G28="","",MIN(1,G28+J28/100))</f>
        <v>0.425481504949815</v>
      </c>
      <c r="M28" s="21" t="n">
        <f aca="false">IF(F28="","",ROUND(F28*J28/100,0))</f>
        <v>25</v>
      </c>
      <c r="P28" s="41" t="n">
        <v>-2.5003009401711</v>
      </c>
      <c r="Q28" s="42" t="n">
        <v>1909</v>
      </c>
      <c r="R28" s="43" t="n">
        <f aca="false">MAX(0,MIN(1,P28/100+$D$5))</f>
        <v>0.412096290416772</v>
      </c>
      <c r="S28" s="44" t="s">
        <v>96</v>
      </c>
    </row>
    <row r="29" customFormat="false" ht="15" hidden="false" customHeight="false" outlineLevel="0" collapsed="false">
      <c r="A29" s="38" t="s">
        <v>86</v>
      </c>
      <c r="B29" s="38" t="s">
        <v>108</v>
      </c>
      <c r="C29" s="38" t="s">
        <v>88</v>
      </c>
      <c r="D29" s="21" t="n">
        <f aca="false">ROUND(Q29*R29,0)</f>
        <v>63</v>
      </c>
      <c r="E29" s="21" t="n">
        <f aca="false">ROUND(Q29,0)-D29</f>
        <v>124</v>
      </c>
      <c r="F29" s="21" t="n">
        <f aca="false">IF(COUNTA(D29:E29)=0,"",SUM(D29:E29))</f>
        <v>187</v>
      </c>
      <c r="G29" s="39" t="n">
        <f aca="false">IF(OR(F29="",F29=0),"",D29/F29)</f>
        <v>0.336898395721925</v>
      </c>
      <c r="H29" s="39" t="n">
        <f aca="false">IF(OR(F29="",F29=0),"",E29/F29)</f>
        <v>0.663101604278075</v>
      </c>
      <c r="I29" s="38" t="s">
        <v>89</v>
      </c>
      <c r="J29" s="40" t="n">
        <v>2.39925188023053</v>
      </c>
      <c r="K29" s="39" t="n">
        <f aca="false">IF(G29="","",MAX(0,G29-J29/100))</f>
        <v>0.31290587691962</v>
      </c>
      <c r="L29" s="39" t="n">
        <f aca="false">IF(G29="","",MIN(1,G29+J29/100))</f>
        <v>0.36089091452423</v>
      </c>
      <c r="M29" s="21" t="n">
        <f aca="false">IF(F29="","",ROUND(F29*J29/100,0))</f>
        <v>4</v>
      </c>
      <c r="P29" s="41" t="n">
        <v>-10.2707410371076</v>
      </c>
      <c r="Q29" s="42" t="n">
        <v>187</v>
      </c>
      <c r="R29" s="43" t="n">
        <f aca="false">MAX(0,MIN(1,P29/100+$D$5))</f>
        <v>0.334391889447407</v>
      </c>
      <c r="S29" s="44" t="s">
        <v>90</v>
      </c>
    </row>
    <row r="30" customFormat="false" ht="15" hidden="false" customHeight="false" outlineLevel="0" collapsed="false">
      <c r="A30" s="38" t="s">
        <v>86</v>
      </c>
      <c r="B30" s="38" t="s">
        <v>109</v>
      </c>
      <c r="C30" s="38" t="s">
        <v>88</v>
      </c>
      <c r="D30" s="21" t="n">
        <f aca="false">ROUND(Q30*R30,0)</f>
        <v>1709</v>
      </c>
      <c r="E30" s="21" t="n">
        <f aca="false">ROUND(Q30,0)-D30</f>
        <v>2615</v>
      </c>
      <c r="F30" s="21" t="n">
        <f aca="false">IF(COUNTA(D30:E30)=0,"",SUM(D30:E30))</f>
        <v>4324</v>
      </c>
      <c r="G30" s="39" t="n">
        <f aca="false">IF(OR(F30="",F30=0),"",D30/F30)</f>
        <v>0.395235892691952</v>
      </c>
      <c r="H30" s="39" t="n">
        <f aca="false">IF(OR(F30="",F30=0),"",E30/F30)</f>
        <v>0.604764107308048</v>
      </c>
      <c r="I30" s="38" t="s">
        <v>89</v>
      </c>
      <c r="J30" s="40" t="n">
        <v>1.83096893017141</v>
      </c>
      <c r="K30" s="39" t="n">
        <f aca="false">IF(G30="","",MAX(0,G30-J30/100))</f>
        <v>0.376926203390238</v>
      </c>
      <c r="L30" s="39" t="n">
        <f aca="false">IF(G30="","",MIN(1,G30+J30/100))</f>
        <v>0.413545581993666</v>
      </c>
      <c r="M30" s="21" t="n">
        <f aca="false">IF(F30="","",ROUND(F30*J30/100,0))</f>
        <v>79</v>
      </c>
      <c r="P30" s="41" t="n">
        <v>-4.18176353081318</v>
      </c>
      <c r="Q30" s="42" t="n">
        <v>4324</v>
      </c>
      <c r="R30" s="43" t="n">
        <f aca="false">MAX(0,MIN(1,P30/100+$D$5))</f>
        <v>0.395281664510351</v>
      </c>
      <c r="S30" s="44" t="s">
        <v>110</v>
      </c>
    </row>
    <row r="31" customFormat="false" ht="15" hidden="false" customHeight="false" outlineLevel="0" collapsed="false">
      <c r="A31" s="38" t="s">
        <v>86</v>
      </c>
      <c r="B31" s="38" t="s">
        <v>111</v>
      </c>
      <c r="C31" s="38" t="s">
        <v>88</v>
      </c>
      <c r="D31" s="21" t="n">
        <f aca="false">ROUND(Q31*R31,0)</f>
        <v>583</v>
      </c>
      <c r="E31" s="21" t="n">
        <f aca="false">ROUND(Q31,0)-D31</f>
        <v>652</v>
      </c>
      <c r="F31" s="21" t="n">
        <f aca="false">IF(COUNTA(D31:E31)=0,"",SUM(D31:E31))</f>
        <v>1235</v>
      </c>
      <c r="G31" s="39" t="n">
        <f aca="false">IF(OR(F31="",F31=0),"",D31/F31)</f>
        <v>0.472064777327935</v>
      </c>
      <c r="H31" s="39" t="n">
        <f aca="false">IF(OR(F31="",F31=0),"",E31/F31)</f>
        <v>0.527935222672065</v>
      </c>
      <c r="I31" s="38" t="s">
        <v>89</v>
      </c>
      <c r="J31" s="40" t="n">
        <v>2.39925188023053</v>
      </c>
      <c r="K31" s="39" t="n">
        <f aca="false">IF(G31="","",MAX(0,G31-J31/100))</f>
        <v>0.44807225852563</v>
      </c>
      <c r="L31" s="39" t="n">
        <f aca="false">IF(G31="","",MIN(1,G31+J31/100))</f>
        <v>0.496057296130241</v>
      </c>
      <c r="M31" s="21" t="n">
        <f aca="false">IF(F31="","",ROUND(F31*J31/100,0))</f>
        <v>30</v>
      </c>
      <c r="P31" s="41" t="n">
        <v>3.52967419651331</v>
      </c>
      <c r="Q31" s="42" t="n">
        <v>1235</v>
      </c>
      <c r="R31" s="43" t="n">
        <f aca="false">MAX(0,MIN(1,P31/100+$D$5))</f>
        <v>0.472396041783616</v>
      </c>
      <c r="S31" s="44" t="s">
        <v>90</v>
      </c>
    </row>
    <row r="32" customFormat="false" ht="15" hidden="false" customHeight="false" outlineLevel="0" collapsed="false">
      <c r="A32" s="38" t="s">
        <v>86</v>
      </c>
      <c r="B32" s="38" t="s">
        <v>112</v>
      </c>
      <c r="C32" s="38" t="s">
        <v>88</v>
      </c>
      <c r="D32" s="21" t="n">
        <f aca="false">ROUND(Q32*R32,0)</f>
        <v>688</v>
      </c>
      <c r="E32" s="21" t="n">
        <f aca="false">ROUND(Q32,0)-D32</f>
        <v>1443</v>
      </c>
      <c r="F32" s="21" t="n">
        <f aca="false">IF(COUNTA(D32:E32)=0,"",SUM(D32:E32))</f>
        <v>2131</v>
      </c>
      <c r="G32" s="39" t="n">
        <f aca="false">IF(OR(F32="",F32=0),"",D32/F32)</f>
        <v>0.322853120600657</v>
      </c>
      <c r="H32" s="39" t="n">
        <f aca="false">IF(OR(F32="",F32=0),"",E32/F32)</f>
        <v>0.677146879399343</v>
      </c>
      <c r="I32" s="38" t="s">
        <v>89</v>
      </c>
      <c r="J32" s="40" t="n">
        <v>1.3223778391408</v>
      </c>
      <c r="K32" s="39" t="n">
        <f aca="false">IF(G32="","",MAX(0,G32-J32/100))</f>
        <v>0.309629342209249</v>
      </c>
      <c r="L32" s="39" t="n">
        <f aca="false">IF(G32="","",MIN(1,G32+J32/100))</f>
        <v>0.336076898992065</v>
      </c>
      <c r="M32" s="21" t="n">
        <f aca="false">IF(F32="","",ROUND(F32*J32/100,0))</f>
        <v>28</v>
      </c>
      <c r="P32" s="41" t="n">
        <v>-11.4122568500556</v>
      </c>
      <c r="Q32" s="42" t="n">
        <v>2131</v>
      </c>
      <c r="R32" s="43" t="n">
        <f aca="false">MAX(0,MIN(1,P32/100+$D$5))</f>
        <v>0.322976731317927</v>
      </c>
      <c r="S32" s="44" t="s">
        <v>96</v>
      </c>
    </row>
    <row r="33" customFormat="false" ht="15" hidden="false" customHeight="false" outlineLevel="0" collapsed="false">
      <c r="A33" s="38" t="s">
        <v>86</v>
      </c>
      <c r="B33" s="38" t="s">
        <v>113</v>
      </c>
      <c r="C33" s="38" t="s">
        <v>88</v>
      </c>
      <c r="D33" s="21" t="n">
        <f aca="false">ROUND(Q33*R33,0)</f>
        <v>286</v>
      </c>
      <c r="E33" s="21" t="n">
        <f aca="false">ROUND(Q33,0)-D33</f>
        <v>615</v>
      </c>
      <c r="F33" s="21" t="n">
        <f aca="false">IF(COUNTA(D33:E33)=0,"",SUM(D33:E33))</f>
        <v>901</v>
      </c>
      <c r="G33" s="39" t="n">
        <f aca="false">IF(OR(F33="",F33=0),"",D33/F33)</f>
        <v>0.317425083240844</v>
      </c>
      <c r="H33" s="39" t="n">
        <f aca="false">IF(OR(F33="",F33=0),"",E33/F33)</f>
        <v>0.682574916759157</v>
      </c>
      <c r="I33" s="38" t="s">
        <v>89</v>
      </c>
      <c r="J33" s="40" t="n">
        <v>2.39925188023053</v>
      </c>
      <c r="K33" s="39" t="n">
        <f aca="false">IF(G33="","",MAX(0,G33-J33/100))</f>
        <v>0.293432564438538</v>
      </c>
      <c r="L33" s="39" t="n">
        <f aca="false">IF(G33="","",MIN(1,G33+J33/100))</f>
        <v>0.341417602043149</v>
      </c>
      <c r="M33" s="21" t="n">
        <f aca="false">IF(F33="","",ROUND(F33*J33/100,0))</f>
        <v>22</v>
      </c>
      <c r="P33" s="41" t="n">
        <v>-11.9927878213964</v>
      </c>
      <c r="Q33" s="42" t="n">
        <v>901</v>
      </c>
      <c r="R33" s="43" t="n">
        <f aca="false">MAX(0,MIN(1,P33/100+$D$5))</f>
        <v>0.317171421604519</v>
      </c>
      <c r="S33" s="44" t="s">
        <v>90</v>
      </c>
    </row>
    <row r="34" customFormat="false" ht="15" hidden="false" customHeight="false" outlineLevel="0" collapsed="false">
      <c r="A34" s="38" t="s">
        <v>86</v>
      </c>
      <c r="B34" s="38" t="s">
        <v>114</v>
      </c>
      <c r="C34" s="38" t="s">
        <v>88</v>
      </c>
      <c r="D34" s="21" t="n">
        <f aca="false">ROUND(Q34*R34,0)</f>
        <v>37</v>
      </c>
      <c r="E34" s="21" t="n">
        <f aca="false">ROUND(Q34,0)-D34</f>
        <v>63</v>
      </c>
      <c r="F34" s="21" t="n">
        <f aca="false">IF(COUNTA(D34:E34)=0,"",SUM(D34:E34))</f>
        <v>100</v>
      </c>
      <c r="G34" s="39" t="n">
        <f aca="false">IF(OR(F34="",F34=0),"",D34/F34)</f>
        <v>0.37</v>
      </c>
      <c r="H34" s="39" t="n">
        <f aca="false">IF(OR(F34="",F34=0),"",E34/F34)</f>
        <v>0.63</v>
      </c>
      <c r="I34" s="38" t="s">
        <v>89</v>
      </c>
      <c r="J34" s="40" t="n">
        <v>2.39925188023053</v>
      </c>
      <c r="K34" s="39" t="n">
        <f aca="false">IF(G34="","",MAX(0,G34-J34/100))</f>
        <v>0.346007481197695</v>
      </c>
      <c r="L34" s="39" t="n">
        <f aca="false">IF(G34="","",MIN(1,G34+J34/100))</f>
        <v>0.393992518802305</v>
      </c>
      <c r="M34" s="21" t="n">
        <f aca="false">IF(F34="","",ROUND(F34*J34/100,0))</f>
        <v>2</v>
      </c>
      <c r="P34" s="41" t="n">
        <v>-6.40450914067639</v>
      </c>
      <c r="Q34" s="42" t="n">
        <v>100</v>
      </c>
      <c r="R34" s="43" t="n">
        <f aca="false">MAX(0,MIN(1,P34/100+$D$5))</f>
        <v>0.373054208411719</v>
      </c>
      <c r="S34" s="44" t="s">
        <v>90</v>
      </c>
    </row>
    <row r="35" customFormat="false" ht="15" hidden="false" customHeight="false" outlineLevel="0" collapsed="false">
      <c r="A35" s="38" t="s">
        <v>115</v>
      </c>
      <c r="B35" s="38" t="s">
        <v>116</v>
      </c>
      <c r="C35" s="38" t="s">
        <v>88</v>
      </c>
      <c r="D35" s="21" t="n">
        <f aca="false">ROUND(Q35*R35,0)</f>
        <v>507</v>
      </c>
      <c r="E35" s="21" t="n">
        <f aca="false">ROUND(Q35,0)-D35</f>
        <v>506</v>
      </c>
      <c r="F35" s="21" t="n">
        <f aca="false">IF(COUNTA(D35:E35)=0,"",SUM(D35:E35))</f>
        <v>1013</v>
      </c>
      <c r="G35" s="39" t="n">
        <f aca="false">IF(OR(F35="",F35=0),"",D35/F35)</f>
        <v>0.500493583415597</v>
      </c>
      <c r="H35" s="39" t="n">
        <f aca="false">IF(OR(F35="",F35=0),"",E35/F35)</f>
        <v>0.499506416584403</v>
      </c>
      <c r="I35" s="38" t="s">
        <v>89</v>
      </c>
      <c r="J35" s="40" t="n">
        <v>2.39925188023053</v>
      </c>
      <c r="K35" s="39" t="n">
        <f aca="false">IF(G35="","",MAX(0,G35-J35/100))</f>
        <v>0.476501064613292</v>
      </c>
      <c r="L35" s="39" t="n">
        <f aca="false">IF(G35="","",MIN(1,G35+J35/100))</f>
        <v>0.524486102217903</v>
      </c>
      <c r="M35" s="21" t="n">
        <f aca="false">IF(F35="","",ROUND(F35*J35/100,0))</f>
        <v>24</v>
      </c>
      <c r="P35" s="41" t="n">
        <v>6.32707563188</v>
      </c>
      <c r="Q35" s="42" t="n">
        <v>1013</v>
      </c>
      <c r="R35" s="43" t="n">
        <f aca="false">MAX(0,MIN(1,P35/100+$D$5))</f>
        <v>0.500370056137283</v>
      </c>
      <c r="S35" s="44" t="s">
        <v>90</v>
      </c>
    </row>
    <row r="36" customFormat="false" ht="15" hidden="false" customHeight="false" outlineLevel="0" collapsed="false">
      <c r="A36" s="38" t="s">
        <v>115</v>
      </c>
      <c r="B36" s="38" t="s">
        <v>117</v>
      </c>
      <c r="C36" s="38" t="s">
        <v>88</v>
      </c>
      <c r="D36" s="21" t="n">
        <f aca="false">ROUND(Q36*R36,0)</f>
        <v>17762</v>
      </c>
      <c r="E36" s="21" t="n">
        <f aca="false">ROUND(Q36,0)-D36</f>
        <v>7139</v>
      </c>
      <c r="F36" s="21" t="n">
        <f aca="false">IF(COUNTA(D36:E36)=0,"",SUM(D36:E36))</f>
        <v>24901</v>
      </c>
      <c r="G36" s="39" t="n">
        <f aca="false">IF(OR(F36="",F36=0),"",D36/F36)</f>
        <v>0.713304686558773</v>
      </c>
      <c r="H36" s="39" t="n">
        <f aca="false">IF(OR(F36="",F36=0),"",E36/F36)</f>
        <v>0.286695313441227</v>
      </c>
      <c r="I36" s="38" t="s">
        <v>89</v>
      </c>
      <c r="J36" s="40" t="n">
        <v>1.83096893017141</v>
      </c>
      <c r="K36" s="39" t="n">
        <f aca="false">IF(G36="","",MAX(0,G36-J36/100))</f>
        <v>0.694994997257059</v>
      </c>
      <c r="L36" s="39" t="n">
        <f aca="false">IF(G36="","",MIN(1,G36+J36/100))</f>
        <v>0.731614375860487</v>
      </c>
      <c r="M36" s="21" t="n">
        <f aca="false">IF(F36="","",ROUND(F36*J36/100,0))</f>
        <v>456</v>
      </c>
      <c r="P36" s="41" t="n">
        <v>27.6190338910932</v>
      </c>
      <c r="Q36" s="42" t="n">
        <v>24901</v>
      </c>
      <c r="R36" s="43" t="n">
        <f aca="false">MAX(0,MIN(1,P36/100+$D$5))</f>
        <v>0.713289638729415</v>
      </c>
      <c r="S36" s="44" t="s">
        <v>110</v>
      </c>
    </row>
    <row r="37" customFormat="false" ht="15" hidden="false" customHeight="false" outlineLevel="0" collapsed="false">
      <c r="A37" s="38" t="s">
        <v>115</v>
      </c>
      <c r="B37" s="38" t="s">
        <v>118</v>
      </c>
      <c r="C37" s="38" t="s">
        <v>88</v>
      </c>
      <c r="D37" s="21" t="n">
        <f aca="false">ROUND(Q37*R37,0)</f>
        <v>5469</v>
      </c>
      <c r="E37" s="21" t="n">
        <f aca="false">ROUND(Q37,0)-D37</f>
        <v>2422</v>
      </c>
      <c r="F37" s="21" t="n">
        <f aca="false">IF(COUNTA(D37:E37)=0,"",SUM(D37:E37))</f>
        <v>7891</v>
      </c>
      <c r="G37" s="39" t="n">
        <f aca="false">IF(OR(F37="",F37=0),"",D37/F37)</f>
        <v>0.69306805221138</v>
      </c>
      <c r="H37" s="39" t="n">
        <f aca="false">IF(OR(F37="",F37=0),"",E37/F37)</f>
        <v>0.30693194778862</v>
      </c>
      <c r="I37" s="38" t="s">
        <v>89</v>
      </c>
      <c r="J37" s="40" t="n">
        <v>1.83096893017141</v>
      </c>
      <c r="K37" s="39" t="n">
        <f aca="false">IF(G37="","",MAX(0,G37-J37/100))</f>
        <v>0.674758362909666</v>
      </c>
      <c r="L37" s="39" t="n">
        <f aca="false">IF(G37="","",MIN(1,G37+J37/100))</f>
        <v>0.711377741513094</v>
      </c>
      <c r="M37" s="21" t="n">
        <f aca="false">IF(F37="","",ROUND(F37*J37/100,0))</f>
        <v>144</v>
      </c>
      <c r="P37" s="41" t="n">
        <v>25.6026816045264</v>
      </c>
      <c r="Q37" s="42" t="n">
        <v>7891</v>
      </c>
      <c r="R37" s="43" t="n">
        <f aca="false">MAX(0,MIN(1,P37/100+$D$5))</f>
        <v>0.693126115863746</v>
      </c>
      <c r="S37" s="44" t="s">
        <v>110</v>
      </c>
    </row>
    <row r="38" customFormat="false" ht="15" hidden="false" customHeight="false" outlineLevel="0" collapsed="false">
      <c r="A38" s="38" t="s">
        <v>115</v>
      </c>
      <c r="B38" s="38" t="s">
        <v>119</v>
      </c>
      <c r="C38" s="38" t="s">
        <v>88</v>
      </c>
      <c r="D38" s="21" t="n">
        <f aca="false">ROUND(Q38*R38,0)</f>
        <v>1164</v>
      </c>
      <c r="E38" s="21" t="n">
        <f aca="false">ROUND(Q38,0)-D38</f>
        <v>946</v>
      </c>
      <c r="F38" s="21" t="n">
        <f aca="false">IF(COUNTA(D38:E38)=0,"",SUM(D38:E38))</f>
        <v>2110</v>
      </c>
      <c r="G38" s="39" t="n">
        <f aca="false">IF(OR(F38="",F38=0),"",D38/F38)</f>
        <v>0.551658767772512</v>
      </c>
      <c r="H38" s="39" t="n">
        <f aca="false">IF(OR(F38="",F38=0),"",E38/F38)</f>
        <v>0.448341232227488</v>
      </c>
      <c r="I38" s="38" t="s">
        <v>89</v>
      </c>
      <c r="J38" s="40" t="n">
        <v>1.3223778391408</v>
      </c>
      <c r="K38" s="39" t="n">
        <f aca="false">IF(G38="","",MAX(0,G38-J38/100))</f>
        <v>0.538434989381104</v>
      </c>
      <c r="L38" s="39" t="n">
        <f aca="false">IF(G38="","",MIN(1,G38+J38/100))</f>
        <v>0.56488254616392</v>
      </c>
      <c r="M38" s="21" t="n">
        <f aca="false">IF(F38="","",ROUND(F38*J38/100,0))</f>
        <v>28</v>
      </c>
      <c r="P38" s="41" t="n">
        <v>11.4781240637544</v>
      </c>
      <c r="Q38" s="42" t="n">
        <v>2110</v>
      </c>
      <c r="R38" s="43" t="n">
        <f aca="false">MAX(0,MIN(1,P38/100+$D$5))</f>
        <v>0.551880540456027</v>
      </c>
      <c r="S38" s="44" t="s">
        <v>96</v>
      </c>
    </row>
    <row r="39" customFormat="false" ht="15" hidden="false" customHeight="false" outlineLevel="0" collapsed="false">
      <c r="A39" s="38" t="s">
        <v>115</v>
      </c>
      <c r="B39" s="38" t="s">
        <v>120</v>
      </c>
      <c r="C39" s="38" t="s">
        <v>88</v>
      </c>
      <c r="D39" s="21" t="n">
        <f aca="false">ROUND(Q39*R39,0)</f>
        <v>623</v>
      </c>
      <c r="E39" s="21" t="n">
        <f aca="false">ROUND(Q39,0)-D39</f>
        <v>596</v>
      </c>
      <c r="F39" s="21" t="n">
        <f aca="false">IF(COUNTA(D39:E39)=0,"",SUM(D39:E39))</f>
        <v>1219</v>
      </c>
      <c r="G39" s="39" t="n">
        <f aca="false">IF(OR(F39="",F39=0),"",D39/F39)</f>
        <v>0.511074651353569</v>
      </c>
      <c r="H39" s="39" t="n">
        <f aca="false">IF(OR(F39="",F39=0),"",E39/F39)</f>
        <v>0.488925348646432</v>
      </c>
      <c r="I39" s="38" t="s">
        <v>89</v>
      </c>
      <c r="J39" s="40" t="n">
        <v>2.39925188023053</v>
      </c>
      <c r="K39" s="39" t="n">
        <f aca="false">IF(G39="","",MAX(0,G39-J39/100))</f>
        <v>0.487082132551263</v>
      </c>
      <c r="L39" s="39" t="n">
        <f aca="false">IF(G39="","",MIN(1,G39+J39/100))</f>
        <v>0.535067170155874</v>
      </c>
      <c r="M39" s="21" t="n">
        <f aca="false">IF(F39="","",ROUND(F39*J39/100,0))</f>
        <v>29</v>
      </c>
      <c r="P39" s="41" t="n">
        <v>7.35652146669575</v>
      </c>
      <c r="Q39" s="42" t="n">
        <v>1219</v>
      </c>
      <c r="R39" s="43" t="n">
        <f aca="false">MAX(0,MIN(1,P39/100+$D$5))</f>
        <v>0.51066451448544</v>
      </c>
      <c r="S39" s="44" t="s">
        <v>90</v>
      </c>
    </row>
    <row r="40" customFormat="false" ht="15" hidden="false" customHeight="false" outlineLevel="0" collapsed="false">
      <c r="A40" s="38" t="s">
        <v>115</v>
      </c>
      <c r="B40" s="38" t="s">
        <v>121</v>
      </c>
      <c r="C40" s="38" t="s">
        <v>88</v>
      </c>
      <c r="D40" s="21" t="n">
        <f aca="false">ROUND(Q40*R40,0)</f>
        <v>705</v>
      </c>
      <c r="E40" s="21" t="n">
        <f aca="false">ROUND(Q40,0)-D40</f>
        <v>592</v>
      </c>
      <c r="F40" s="21" t="n">
        <f aca="false">IF(COUNTA(D40:E40)=0,"",SUM(D40:E40))</f>
        <v>1297</v>
      </c>
      <c r="G40" s="39" t="n">
        <f aca="false">IF(OR(F40="",F40=0),"",D40/F40)</f>
        <v>0.543562066306862</v>
      </c>
      <c r="H40" s="39" t="n">
        <f aca="false">IF(OR(F40="",F40=0),"",E40/F40)</f>
        <v>0.456437933693138</v>
      </c>
      <c r="I40" s="38" t="s">
        <v>89</v>
      </c>
      <c r="J40" s="40" t="n">
        <v>2.39925188023053</v>
      </c>
      <c r="K40" s="39" t="n">
        <f aca="false">IF(G40="","",MAX(0,G40-J40/100))</f>
        <v>0.519569547504557</v>
      </c>
      <c r="L40" s="39" t="n">
        <f aca="false">IF(G40="","",MIN(1,G40+J40/100))</f>
        <v>0.567554585109167</v>
      </c>
      <c r="M40" s="21" t="n">
        <f aca="false">IF(F40="","",ROUND(F40*J40/100,0))</f>
        <v>31</v>
      </c>
      <c r="P40" s="41" t="n">
        <v>10.6202982389492</v>
      </c>
      <c r="Q40" s="42" t="n">
        <v>1297</v>
      </c>
      <c r="R40" s="43" t="n">
        <f aca="false">MAX(0,MIN(1,P40/100+$D$5))</f>
        <v>0.543302282207974</v>
      </c>
      <c r="S40" s="44" t="s">
        <v>90</v>
      </c>
    </row>
    <row r="41" customFormat="false" ht="15" hidden="false" customHeight="false" outlineLevel="0" collapsed="false">
      <c r="A41" s="38" t="s">
        <v>115</v>
      </c>
      <c r="B41" s="38" t="s">
        <v>122</v>
      </c>
      <c r="C41" s="38" t="s">
        <v>88</v>
      </c>
      <c r="D41" s="21" t="n">
        <f aca="false">ROUND(Q41*R41,0)</f>
        <v>2863</v>
      </c>
      <c r="E41" s="21" t="n">
        <f aca="false">ROUND(Q41,0)-D41</f>
        <v>2221</v>
      </c>
      <c r="F41" s="21" t="n">
        <f aca="false">IF(COUNTA(D41:E41)=0,"",SUM(D41:E41))</f>
        <v>5084</v>
      </c>
      <c r="G41" s="39" t="n">
        <f aca="false">IF(OR(F41="",F41=0),"",D41/F41)</f>
        <v>0.563139260424862</v>
      </c>
      <c r="H41" s="39" t="n">
        <f aca="false">IF(OR(F41="",F41=0),"",E41/F41)</f>
        <v>0.436860739575138</v>
      </c>
      <c r="I41" s="38" t="s">
        <v>89</v>
      </c>
      <c r="J41" s="40" t="n">
        <v>1.83096893017141</v>
      </c>
      <c r="K41" s="39" t="n">
        <f aca="false">IF(G41="","",MAX(0,G41-J41/100))</f>
        <v>0.544829571123148</v>
      </c>
      <c r="L41" s="39" t="n">
        <f aca="false">IF(G41="","",MIN(1,G41+J41/100))</f>
        <v>0.581448949726576</v>
      </c>
      <c r="M41" s="21" t="n">
        <f aca="false">IF(F41="","",ROUND(F41*J41/100,0))</f>
        <v>93</v>
      </c>
      <c r="P41" s="41" t="n">
        <v>12.611031247229</v>
      </c>
      <c r="Q41" s="42" t="n">
        <v>5084</v>
      </c>
      <c r="R41" s="43" t="n">
        <f aca="false">MAX(0,MIN(1,P41/100+$D$5))</f>
        <v>0.563209612290773</v>
      </c>
      <c r="S41" s="44" t="s">
        <v>110</v>
      </c>
    </row>
    <row r="42" customFormat="false" ht="15" hidden="false" customHeight="false" outlineLevel="0" collapsed="false">
      <c r="A42" s="38" t="s">
        <v>115</v>
      </c>
      <c r="B42" s="38" t="s">
        <v>123</v>
      </c>
      <c r="C42" s="38" t="s">
        <v>88</v>
      </c>
      <c r="D42" s="21" t="n">
        <f aca="false">ROUND(Q42*R42,0)</f>
        <v>1105</v>
      </c>
      <c r="E42" s="21" t="n">
        <f aca="false">ROUND(Q42,0)-D42</f>
        <v>444</v>
      </c>
      <c r="F42" s="21" t="n">
        <f aca="false">IF(COUNTA(D42:E42)=0,"",SUM(D42:E42))</f>
        <v>1549</v>
      </c>
      <c r="G42" s="39" t="n">
        <f aca="false">IF(OR(F42="",F42=0),"",D42/F42)</f>
        <v>0.713363460296966</v>
      </c>
      <c r="H42" s="39" t="n">
        <f aca="false">IF(OR(F42="",F42=0),"",E42/F42)</f>
        <v>0.286636539703034</v>
      </c>
      <c r="I42" s="38" t="s">
        <v>89</v>
      </c>
      <c r="J42" s="40" t="n">
        <v>2.39925188023053</v>
      </c>
      <c r="K42" s="39" t="n">
        <f aca="false">IF(G42="","",MAX(0,G42-J42/100))</f>
        <v>0.689370941494661</v>
      </c>
      <c r="L42" s="39" t="n">
        <f aca="false">IF(G42="","",MIN(1,G42+J42/100))</f>
        <v>0.737355979099271</v>
      </c>
      <c r="M42" s="21" t="n">
        <f aca="false">IF(F42="","",ROUND(F42*J42/100,0))</f>
        <v>37</v>
      </c>
      <c r="P42" s="41" t="n">
        <v>27.6220092463041</v>
      </c>
      <c r="Q42" s="42" t="n">
        <v>1549</v>
      </c>
      <c r="R42" s="43" t="n">
        <f aca="false">MAX(0,MIN(1,P42/100+$D$5))</f>
        <v>0.713319392281523</v>
      </c>
      <c r="S42" s="44" t="s">
        <v>90</v>
      </c>
    </row>
    <row r="43" customFormat="false" ht="15" hidden="false" customHeight="false" outlineLevel="0" collapsed="false">
      <c r="A43" s="38" t="s">
        <v>115</v>
      </c>
      <c r="B43" s="38" t="s">
        <v>124</v>
      </c>
      <c r="C43" s="38" t="s">
        <v>88</v>
      </c>
      <c r="D43" s="21" t="n">
        <f aca="false">ROUND(Q43*R43,0)</f>
        <v>267</v>
      </c>
      <c r="E43" s="21" t="n">
        <f aca="false">ROUND(Q43,0)-D43</f>
        <v>200</v>
      </c>
      <c r="F43" s="21" t="n">
        <f aca="false">IF(COUNTA(D43:E43)=0,"",SUM(D43:E43))</f>
        <v>467</v>
      </c>
      <c r="G43" s="39" t="n">
        <f aca="false">IF(OR(F43="",F43=0),"",D43/F43)</f>
        <v>0.571734475374732</v>
      </c>
      <c r="H43" s="39" t="n">
        <f aca="false">IF(OR(F43="",F43=0),"",E43/F43)</f>
        <v>0.428265524625268</v>
      </c>
      <c r="I43" s="38" t="s">
        <v>89</v>
      </c>
      <c r="J43" s="40" t="n">
        <v>2.39925188023053</v>
      </c>
      <c r="K43" s="39" t="n">
        <f aca="false">IF(G43="","",MAX(0,G43-J43/100))</f>
        <v>0.547741956572427</v>
      </c>
      <c r="L43" s="39" t="n">
        <f aca="false">IF(G43="","",MIN(1,G43+J43/100))</f>
        <v>0.595726994177038</v>
      </c>
      <c r="M43" s="21" t="n">
        <f aca="false">IF(F43="","",ROUND(F43*J43/100,0))</f>
        <v>11</v>
      </c>
      <c r="P43" s="41" t="n">
        <v>13.3829675995039</v>
      </c>
      <c r="Q43" s="42" t="n">
        <v>467</v>
      </c>
      <c r="R43" s="43" t="n">
        <f aca="false">MAX(0,MIN(1,P43/100+$D$5))</f>
        <v>0.570928975813522</v>
      </c>
      <c r="S43" s="44" t="s">
        <v>90</v>
      </c>
    </row>
    <row r="44" customFormat="false" ht="15" hidden="false" customHeight="false" outlineLevel="0" collapsed="false">
      <c r="A44" s="38" t="s">
        <v>115</v>
      </c>
      <c r="B44" s="38" t="s">
        <v>125</v>
      </c>
      <c r="C44" s="38" t="s">
        <v>88</v>
      </c>
      <c r="D44" s="21" t="n">
        <f aca="false">ROUND(Q44*R44,0)</f>
        <v>553</v>
      </c>
      <c r="E44" s="21" t="n">
        <f aca="false">ROUND(Q44,0)-D44</f>
        <v>1047</v>
      </c>
      <c r="F44" s="21" t="n">
        <f aca="false">IF(COUNTA(D44:E44)=0,"",SUM(D44:E44))</f>
        <v>1600</v>
      </c>
      <c r="G44" s="39" t="n">
        <f aca="false">IF(OR(F44="",F44=0),"",D44/F44)</f>
        <v>0.345625</v>
      </c>
      <c r="H44" s="39" t="n">
        <f aca="false">IF(OR(F44="",F44=0),"",E44/F44)</f>
        <v>0.654375</v>
      </c>
      <c r="I44" s="38" t="s">
        <v>89</v>
      </c>
      <c r="J44" s="40" t="n">
        <v>1.3223778391408</v>
      </c>
      <c r="K44" s="39" t="n">
        <f aca="false">IF(G44="","",MAX(0,G44-J44/100))</f>
        <v>0.332401221608592</v>
      </c>
      <c r="L44" s="39" t="n">
        <f aca="false">IF(G44="","",MIN(1,G44+J44/100))</f>
        <v>0.358848778391408</v>
      </c>
      <c r="M44" s="21" t="n">
        <f aca="false">IF(F44="","",ROUND(F44*J44/100,0))</f>
        <v>21</v>
      </c>
      <c r="P44" s="41" t="n">
        <v>-9.13319743269438</v>
      </c>
      <c r="Q44" s="42" t="n">
        <v>1600</v>
      </c>
      <c r="R44" s="43" t="n">
        <f aca="false">MAX(0,MIN(1,P44/100+$D$5))</f>
        <v>0.345767325491539</v>
      </c>
      <c r="S44" s="44" t="s">
        <v>96</v>
      </c>
    </row>
    <row r="45" customFormat="false" ht="15" hidden="false" customHeight="false" outlineLevel="0" collapsed="false">
      <c r="A45" s="38" t="s">
        <v>115</v>
      </c>
      <c r="B45" s="38" t="s">
        <v>126</v>
      </c>
      <c r="C45" s="38" t="s">
        <v>88</v>
      </c>
      <c r="D45" s="21" t="n">
        <f aca="false">ROUND(Q45*R45,0)</f>
        <v>8396</v>
      </c>
      <c r="E45" s="21" t="n">
        <f aca="false">ROUND(Q45,0)-D45</f>
        <v>7557</v>
      </c>
      <c r="F45" s="21" t="n">
        <f aca="false">IF(COUNTA(D45:E45)=0,"",SUM(D45:E45))</f>
        <v>15953</v>
      </c>
      <c r="G45" s="39" t="n">
        <f aca="false">IF(OR(F45="",F45=0),"",D45/F45)</f>
        <v>0.526295994483796</v>
      </c>
      <c r="H45" s="39" t="n">
        <f aca="false">IF(OR(F45="",F45=0),"",E45/F45)</f>
        <v>0.473704005516204</v>
      </c>
      <c r="I45" s="38" t="s">
        <v>89</v>
      </c>
      <c r="J45" s="40" t="n">
        <v>1.83096893017141</v>
      </c>
      <c r="K45" s="39" t="n">
        <f aca="false">IF(G45="","",MAX(0,G45-J45/100))</f>
        <v>0.507986305182082</v>
      </c>
      <c r="L45" s="39" t="n">
        <f aca="false">IF(G45="","",MIN(1,G45+J45/100))</f>
        <v>0.54460568378551</v>
      </c>
      <c r="M45" s="21" t="n">
        <f aca="false">IF(F45="","",ROUND(F45*J45/100,0))</f>
        <v>292</v>
      </c>
      <c r="P45" s="41" t="n">
        <v>8.92007547030964</v>
      </c>
      <c r="Q45" s="42" t="n">
        <v>15953</v>
      </c>
      <c r="R45" s="43" t="n">
        <f aca="false">MAX(0,MIN(1,P45/100+$D$5))</f>
        <v>0.526300054521579</v>
      </c>
      <c r="S45" s="44" t="s">
        <v>110</v>
      </c>
    </row>
    <row r="46" customFormat="false" ht="15" hidden="false" customHeight="false" outlineLevel="0" collapsed="false">
      <c r="A46" s="38" t="s">
        <v>115</v>
      </c>
      <c r="B46" s="38" t="s">
        <v>127</v>
      </c>
      <c r="C46" s="38" t="s">
        <v>88</v>
      </c>
      <c r="D46" s="21" t="n">
        <f aca="false">ROUND(Q46*R46,0)</f>
        <v>865</v>
      </c>
      <c r="E46" s="21" t="n">
        <f aca="false">ROUND(Q46,0)-D46</f>
        <v>1296</v>
      </c>
      <c r="F46" s="21" t="n">
        <f aca="false">IF(COUNTA(D46:E46)=0,"",SUM(D46:E46))</f>
        <v>2161</v>
      </c>
      <c r="G46" s="39" t="n">
        <f aca="false">IF(OR(F46="",F46=0),"",D46/F46)</f>
        <v>0.400277649236465</v>
      </c>
      <c r="H46" s="39" t="n">
        <f aca="false">IF(OR(F46="",F46=0),"",E46/F46)</f>
        <v>0.599722350763535</v>
      </c>
      <c r="I46" s="38" t="s">
        <v>89</v>
      </c>
      <c r="J46" s="40" t="n">
        <v>1.3223778391408</v>
      </c>
      <c r="K46" s="39" t="n">
        <f aca="false">IF(G46="","",MAX(0,G46-J46/100))</f>
        <v>0.387053870845057</v>
      </c>
      <c r="L46" s="39" t="n">
        <f aca="false">IF(G46="","",MIN(1,G46+J46/100))</f>
        <v>0.413501427627873</v>
      </c>
      <c r="M46" s="21" t="n">
        <f aca="false">IF(F46="","",ROUND(F46*J46/100,0))</f>
        <v>29</v>
      </c>
      <c r="P46" s="41" t="n">
        <v>-3.66528659328381</v>
      </c>
      <c r="Q46" s="42" t="n">
        <v>2161</v>
      </c>
      <c r="R46" s="43" t="n">
        <f aca="false">MAX(0,MIN(1,P46/100+$D$5))</f>
        <v>0.400446433885645</v>
      </c>
      <c r="S46" s="44" t="s">
        <v>96</v>
      </c>
    </row>
    <row r="47" customFormat="false" ht="15" hidden="false" customHeight="false" outlineLevel="0" collapsed="false">
      <c r="A47" s="38" t="s">
        <v>115</v>
      </c>
      <c r="B47" s="38" t="s">
        <v>128</v>
      </c>
      <c r="C47" s="38" t="s">
        <v>88</v>
      </c>
      <c r="D47" s="21" t="n">
        <f aca="false">ROUND(Q47*R47,0)</f>
        <v>467</v>
      </c>
      <c r="E47" s="21" t="n">
        <f aca="false">ROUND(Q47,0)-D47</f>
        <v>750</v>
      </c>
      <c r="F47" s="21" t="n">
        <f aca="false">IF(COUNTA(D47:E47)=0,"",SUM(D47:E47))</f>
        <v>1217</v>
      </c>
      <c r="G47" s="39" t="n">
        <f aca="false">IF(OR(F47="",F47=0),"",D47/F47)</f>
        <v>0.383730484798685</v>
      </c>
      <c r="H47" s="39" t="n">
        <f aca="false">IF(OR(F47="",F47=0),"",E47/F47)</f>
        <v>0.616269515201315</v>
      </c>
      <c r="I47" s="38" t="s">
        <v>89</v>
      </c>
      <c r="J47" s="40" t="n">
        <v>2.39925188023053</v>
      </c>
      <c r="K47" s="39" t="n">
        <f aca="false">IF(G47="","",MAX(0,G47-J47/100))</f>
        <v>0.35973796599638</v>
      </c>
      <c r="L47" s="39" t="n">
        <f aca="false">IF(G47="","",MIN(1,G47+J47/100))</f>
        <v>0.407723003600991</v>
      </c>
      <c r="M47" s="21" t="n">
        <f aca="false">IF(F47="","",ROUND(F47*J47/100,0))</f>
        <v>29</v>
      </c>
      <c r="P47" s="41" t="n">
        <v>-5.35819604534783</v>
      </c>
      <c r="Q47" s="42" t="n">
        <v>1217</v>
      </c>
      <c r="R47" s="43" t="n">
        <f aca="false">MAX(0,MIN(1,P47/100+$D$5))</f>
        <v>0.383517339365005</v>
      </c>
      <c r="S47" s="44" t="s">
        <v>90</v>
      </c>
    </row>
    <row r="48" customFormat="false" ht="15" hidden="false" customHeight="false" outlineLevel="0" collapsed="false">
      <c r="A48" s="38" t="s">
        <v>115</v>
      </c>
      <c r="B48" s="38" t="s">
        <v>129</v>
      </c>
      <c r="C48" s="38" t="s">
        <v>88</v>
      </c>
      <c r="D48" s="21" t="n">
        <f aca="false">ROUND(Q48*R48,0)</f>
        <v>745</v>
      </c>
      <c r="E48" s="21" t="n">
        <f aca="false">ROUND(Q48,0)-D48</f>
        <v>1408</v>
      </c>
      <c r="F48" s="21" t="n">
        <f aca="false">IF(COUNTA(D48:E48)=0,"",SUM(D48:E48))</f>
        <v>2153</v>
      </c>
      <c r="G48" s="39" t="n">
        <f aca="false">IF(OR(F48="",F48=0),"",D48/F48)</f>
        <v>0.346028797027404</v>
      </c>
      <c r="H48" s="39" t="n">
        <f aca="false">IF(OR(F48="",F48=0),"",E48/F48)</f>
        <v>0.653971202972596</v>
      </c>
      <c r="I48" s="38" t="s">
        <v>89</v>
      </c>
      <c r="J48" s="40" t="n">
        <v>1.3223778391408</v>
      </c>
      <c r="K48" s="39" t="n">
        <f aca="false">IF(G48="","",MAX(0,G48-J48/100))</f>
        <v>0.332805018635996</v>
      </c>
      <c r="L48" s="39" t="n">
        <f aca="false">IF(G48="","",MIN(1,G48+J48/100))</f>
        <v>0.359252575418812</v>
      </c>
      <c r="M48" s="21" t="n">
        <f aca="false">IF(F48="","",ROUND(F48*J48/100,0))</f>
        <v>28</v>
      </c>
      <c r="P48" s="41" t="n">
        <v>-9.08674511248393</v>
      </c>
      <c r="Q48" s="42" t="n">
        <v>2153</v>
      </c>
      <c r="R48" s="43" t="n">
        <f aca="false">MAX(0,MIN(1,P48/100+$D$5))</f>
        <v>0.346231848693644</v>
      </c>
      <c r="S48" s="44" t="s">
        <v>96</v>
      </c>
    </row>
    <row r="49" customFormat="false" ht="15" hidden="false" customHeight="false" outlineLevel="0" collapsed="false">
      <c r="A49" s="38" t="s">
        <v>115</v>
      </c>
      <c r="B49" s="38" t="s">
        <v>130</v>
      </c>
      <c r="C49" s="38" t="s">
        <v>88</v>
      </c>
      <c r="D49" s="21" t="n">
        <f aca="false">ROUND(Q49*R49,0)</f>
        <v>785</v>
      </c>
      <c r="E49" s="21" t="n">
        <f aca="false">ROUND(Q49,0)-D49</f>
        <v>631</v>
      </c>
      <c r="F49" s="21" t="n">
        <f aca="false">IF(COUNTA(D49:E49)=0,"",SUM(D49:E49))</f>
        <v>1416</v>
      </c>
      <c r="G49" s="39" t="n">
        <f aca="false">IF(OR(F49="",F49=0),"",D49/F49)</f>
        <v>0.554378531073446</v>
      </c>
      <c r="H49" s="39" t="n">
        <f aca="false">IF(OR(F49="",F49=0),"",E49/F49)</f>
        <v>0.445621468926554</v>
      </c>
      <c r="I49" s="38" t="s">
        <v>89</v>
      </c>
      <c r="J49" s="40" t="n">
        <v>2.39925188023053</v>
      </c>
      <c r="K49" s="39" t="n">
        <f aca="false">IF(G49="","",MAX(0,G49-J49/100))</f>
        <v>0.530386012271141</v>
      </c>
      <c r="L49" s="39" t="n">
        <f aca="false">IF(G49="","",MIN(1,G49+J49/100))</f>
        <v>0.578371049875752</v>
      </c>
      <c r="M49" s="21" t="n">
        <f aca="false">IF(F49="","",ROUND(F49*J49/100,0))</f>
        <v>34</v>
      </c>
      <c r="P49" s="41" t="n">
        <v>11.731029223154</v>
      </c>
      <c r="Q49" s="42" t="n">
        <v>1416</v>
      </c>
      <c r="R49" s="43" t="n">
        <f aca="false">MAX(0,MIN(1,P49/100+$D$5))</f>
        <v>0.554409592050023</v>
      </c>
      <c r="S49" s="44" t="s">
        <v>90</v>
      </c>
    </row>
    <row r="50" customFormat="false" ht="15" hidden="false" customHeight="false" outlineLevel="0" collapsed="false">
      <c r="A50" s="38" t="s">
        <v>115</v>
      </c>
      <c r="B50" s="38" t="s">
        <v>131</v>
      </c>
      <c r="C50" s="38" t="s">
        <v>88</v>
      </c>
      <c r="D50" s="21" t="n">
        <f aca="false">ROUND(Q50*R50,0)</f>
        <v>3407</v>
      </c>
      <c r="E50" s="21" t="n">
        <f aca="false">ROUND(Q50,0)-D50</f>
        <v>4310</v>
      </c>
      <c r="F50" s="21" t="n">
        <f aca="false">IF(COUNTA(D50:E50)=0,"",SUM(D50:E50))</f>
        <v>7717</v>
      </c>
      <c r="G50" s="39" t="n">
        <f aca="false">IF(OR(F50="",F50=0),"",D50/F50)</f>
        <v>0.441492808086044</v>
      </c>
      <c r="H50" s="39" t="n">
        <f aca="false">IF(OR(F50="",F50=0),"",E50/F50)</f>
        <v>0.558507191913956</v>
      </c>
      <c r="I50" s="38" t="s">
        <v>89</v>
      </c>
      <c r="J50" s="40" t="n">
        <v>1.83096893017141</v>
      </c>
      <c r="K50" s="39" t="n">
        <f aca="false">IF(G50="","",MAX(0,G50-J50/100))</f>
        <v>0.42318311878433</v>
      </c>
      <c r="L50" s="39" t="n">
        <f aca="false">IF(G50="","",MIN(1,G50+J50/100))</f>
        <v>0.459802497387758</v>
      </c>
      <c r="M50" s="21" t="n">
        <f aca="false">IF(F50="","",ROUND(F50*J50/100,0))</f>
        <v>141</v>
      </c>
      <c r="P50" s="41" t="n">
        <v>0.437247288894384</v>
      </c>
      <c r="Q50" s="42" t="n">
        <v>7717</v>
      </c>
      <c r="R50" s="43" t="n">
        <f aca="false">MAX(0,MIN(1,P50/100+$D$5))</f>
        <v>0.441471772707427</v>
      </c>
      <c r="S50" s="44" t="s">
        <v>110</v>
      </c>
    </row>
    <row r="51" customFormat="false" ht="15" hidden="false" customHeight="false" outlineLevel="0" collapsed="false">
      <c r="A51" s="38" t="s">
        <v>115</v>
      </c>
      <c r="B51" s="38" t="s">
        <v>132</v>
      </c>
      <c r="C51" s="38" t="s">
        <v>88</v>
      </c>
      <c r="D51" s="21" t="n">
        <f aca="false">ROUND(Q51*R51,0)</f>
        <v>3353</v>
      </c>
      <c r="E51" s="21" t="n">
        <f aca="false">ROUND(Q51,0)-D51</f>
        <v>3015</v>
      </c>
      <c r="F51" s="21" t="n">
        <f aca="false">IF(COUNTA(D51:E51)=0,"",SUM(D51:E51))</f>
        <v>6368</v>
      </c>
      <c r="G51" s="39" t="n">
        <f aca="false">IF(OR(F51="",F51=0),"",D51/F51)</f>
        <v>0.526538944723618</v>
      </c>
      <c r="H51" s="39" t="n">
        <f aca="false">IF(OR(F51="",F51=0),"",E51/F51)</f>
        <v>0.473461055276382</v>
      </c>
      <c r="I51" s="38" t="s">
        <v>89</v>
      </c>
      <c r="J51" s="40" t="n">
        <v>1.83096893017141</v>
      </c>
      <c r="K51" s="39" t="n">
        <f aca="false">IF(G51="","",MAX(0,G51-J51/100))</f>
        <v>0.508229255421904</v>
      </c>
      <c r="L51" s="39" t="n">
        <f aca="false">IF(G51="","",MIN(1,G51+J51/100))</f>
        <v>0.544848634025332</v>
      </c>
      <c r="M51" s="21" t="n">
        <f aca="false">IF(F51="","",ROUND(F51*J51/100,0))</f>
        <v>117</v>
      </c>
      <c r="P51" s="41" t="n">
        <v>8.9403647051058</v>
      </c>
      <c r="Q51" s="42" t="n">
        <v>6368</v>
      </c>
      <c r="R51" s="43" t="n">
        <f aca="false">MAX(0,MIN(1,P51/100+$D$5))</f>
        <v>0.526502946869541</v>
      </c>
      <c r="S51" s="44" t="s">
        <v>110</v>
      </c>
    </row>
    <row r="52" customFormat="false" ht="15" hidden="false" customHeight="false" outlineLevel="0" collapsed="false">
      <c r="A52" s="38" t="s">
        <v>115</v>
      </c>
      <c r="B52" s="38" t="s">
        <v>133</v>
      </c>
      <c r="C52" s="38" t="s">
        <v>88</v>
      </c>
      <c r="D52" s="21" t="n">
        <f aca="false">ROUND(Q52*R52,0)</f>
        <v>614</v>
      </c>
      <c r="E52" s="21" t="n">
        <f aca="false">ROUND(Q52,0)-D52</f>
        <v>737</v>
      </c>
      <c r="F52" s="21" t="n">
        <f aca="false">IF(COUNTA(D52:E52)=0,"",SUM(D52:E52))</f>
        <v>1351</v>
      </c>
      <c r="G52" s="39" t="n">
        <f aca="false">IF(OR(F52="",F52=0),"",D52/F52)</f>
        <v>0.454478164322724</v>
      </c>
      <c r="H52" s="39" t="n">
        <f aca="false">IF(OR(F52="",F52=0),"",E52/F52)</f>
        <v>0.545521835677276</v>
      </c>
      <c r="I52" s="38" t="s">
        <v>89</v>
      </c>
      <c r="J52" s="40" t="n">
        <v>2.39925188023053</v>
      </c>
      <c r="K52" s="39" t="n">
        <f aca="false">IF(G52="","",MAX(0,G52-J52/100))</f>
        <v>0.430485645520419</v>
      </c>
      <c r="L52" s="39" t="n">
        <f aca="false">IF(G52="","",MIN(1,G52+J52/100))</f>
        <v>0.478470683125029</v>
      </c>
      <c r="M52" s="21" t="n">
        <f aca="false">IF(F52="","",ROUND(F52*J52/100,0))</f>
        <v>32</v>
      </c>
      <c r="P52" s="41" t="n">
        <v>1.71603451773743</v>
      </c>
      <c r="Q52" s="42" t="n">
        <v>1351</v>
      </c>
      <c r="R52" s="43" t="n">
        <f aca="false">MAX(0,MIN(1,P52/100+$D$5))</f>
        <v>0.454259644995857</v>
      </c>
      <c r="S52" s="44" t="s">
        <v>90</v>
      </c>
    </row>
    <row r="53" customFormat="false" ht="15" hidden="false" customHeight="false" outlineLevel="0" collapsed="false">
      <c r="A53" s="38" t="s">
        <v>115</v>
      </c>
      <c r="B53" s="38" t="s">
        <v>134</v>
      </c>
      <c r="C53" s="38" t="s">
        <v>88</v>
      </c>
      <c r="D53" s="21" t="n">
        <f aca="false">ROUND(Q53*R53,0)</f>
        <v>5680</v>
      </c>
      <c r="E53" s="21" t="n">
        <f aca="false">ROUND(Q53,0)-D53</f>
        <v>4439</v>
      </c>
      <c r="F53" s="21" t="n">
        <f aca="false">IF(COUNTA(D53:E53)=0,"",SUM(D53:E53))</f>
        <v>10119</v>
      </c>
      <c r="G53" s="39" t="n">
        <f aca="false">IF(OR(F53="",F53=0),"",D53/F53)</f>
        <v>0.561320288566064</v>
      </c>
      <c r="H53" s="39" t="n">
        <f aca="false">IF(OR(F53="",F53=0),"",E53/F53)</f>
        <v>0.438679711433936</v>
      </c>
      <c r="I53" s="38" t="s">
        <v>89</v>
      </c>
      <c r="J53" s="40" t="n">
        <v>1.83096893017141</v>
      </c>
      <c r="K53" s="39" t="n">
        <f aca="false">IF(G53="","",MAX(0,G53-J53/100))</f>
        <v>0.54301059926435</v>
      </c>
      <c r="L53" s="39" t="n">
        <f aca="false">IF(G53="","",MIN(1,G53+J53/100))</f>
        <v>0.579629977867778</v>
      </c>
      <c r="M53" s="21" t="n">
        <f aca="false">IF(F53="","",ROUND(F53*J53/100,0))</f>
        <v>185</v>
      </c>
      <c r="P53" s="41" t="n">
        <v>12.4197701631263</v>
      </c>
      <c r="Q53" s="42" t="n">
        <v>10119</v>
      </c>
      <c r="R53" s="43" t="n">
        <f aca="false">MAX(0,MIN(1,P53/100+$D$5))</f>
        <v>0.561297001449745</v>
      </c>
      <c r="S53" s="44" t="s">
        <v>110</v>
      </c>
    </row>
    <row r="54" customFormat="false" ht="15" hidden="false" customHeight="false" outlineLevel="0" collapsed="false">
      <c r="A54" s="38" t="s">
        <v>115</v>
      </c>
      <c r="B54" s="38" t="s">
        <v>135</v>
      </c>
      <c r="C54" s="38" t="s">
        <v>88</v>
      </c>
      <c r="D54" s="21" t="n">
        <f aca="false">ROUND(Q54*R54,0)</f>
        <v>6205</v>
      </c>
      <c r="E54" s="21" t="n">
        <f aca="false">ROUND(Q54,0)-D54</f>
        <v>5061</v>
      </c>
      <c r="F54" s="21" t="n">
        <f aca="false">IF(COUNTA(D54:E54)=0,"",SUM(D54:E54))</f>
        <v>11266</v>
      </c>
      <c r="G54" s="39" t="n">
        <f aca="false">IF(OR(F54="",F54=0),"",D54/F54)</f>
        <v>0.550772235043494</v>
      </c>
      <c r="H54" s="39" t="n">
        <f aca="false">IF(OR(F54="",F54=0),"",E54/F54)</f>
        <v>0.449227764956506</v>
      </c>
      <c r="I54" s="38" t="s">
        <v>89</v>
      </c>
      <c r="J54" s="40" t="n">
        <v>1.83096893017141</v>
      </c>
      <c r="K54" s="39" t="n">
        <f aca="false">IF(G54="","",MAX(0,G54-J54/100))</f>
        <v>0.53246254574178</v>
      </c>
      <c r="L54" s="39" t="n">
        <f aca="false">IF(G54="","",MIN(1,G54+J54/100))</f>
        <v>0.569081924345208</v>
      </c>
      <c r="M54" s="21" t="n">
        <f aca="false">IF(F54="","",ROUND(F54*J54/100,0))</f>
        <v>206</v>
      </c>
      <c r="P54" s="41" t="n">
        <v>11.3704794898515</v>
      </c>
      <c r="Q54" s="42" t="n">
        <v>11266</v>
      </c>
      <c r="R54" s="43" t="n">
        <f aca="false">MAX(0,MIN(1,P54/100+$D$5))</f>
        <v>0.550804094716997</v>
      </c>
      <c r="S54" s="44" t="s">
        <v>110</v>
      </c>
    </row>
    <row r="55" customFormat="false" ht="15" hidden="false" customHeight="false" outlineLevel="0" collapsed="false">
      <c r="A55" s="38" t="s">
        <v>115</v>
      </c>
      <c r="B55" s="38" t="s">
        <v>136</v>
      </c>
      <c r="C55" s="38" t="s">
        <v>88</v>
      </c>
      <c r="D55" s="21" t="n">
        <f aca="false">ROUND(Q55*R55,0)</f>
        <v>2093</v>
      </c>
      <c r="E55" s="21" t="n">
        <f aca="false">ROUND(Q55,0)-D55</f>
        <v>2389</v>
      </c>
      <c r="F55" s="21" t="n">
        <f aca="false">IF(COUNTA(D55:E55)=0,"",SUM(D55:E55))</f>
        <v>4482</v>
      </c>
      <c r="G55" s="39" t="n">
        <f aca="false">IF(OR(F55="",F55=0),"",D55/F55)</f>
        <v>0.466979027219991</v>
      </c>
      <c r="H55" s="39" t="n">
        <f aca="false">IF(OR(F55="",F55=0),"",E55/F55)</f>
        <v>0.533020972780009</v>
      </c>
      <c r="I55" s="38" t="s">
        <v>89</v>
      </c>
      <c r="J55" s="40" t="n">
        <v>1.83096893017141</v>
      </c>
      <c r="K55" s="39" t="n">
        <f aca="false">IF(G55="","",MAX(0,G55-J55/100))</f>
        <v>0.448669337918277</v>
      </c>
      <c r="L55" s="39" t="n">
        <f aca="false">IF(G55="","",MIN(1,G55+J55/100))</f>
        <v>0.485288716521705</v>
      </c>
      <c r="M55" s="21" t="n">
        <f aca="false">IF(F55="","",ROUND(F55*J55/100,0))</f>
        <v>82</v>
      </c>
      <c r="P55" s="41" t="n">
        <v>2.97906478016407</v>
      </c>
      <c r="Q55" s="42" t="n">
        <v>4482</v>
      </c>
      <c r="R55" s="43" t="n">
        <f aca="false">MAX(0,MIN(1,P55/100+$D$5))</f>
        <v>0.466889947620123</v>
      </c>
      <c r="S55" s="44" t="s">
        <v>110</v>
      </c>
    </row>
    <row r="56" customFormat="false" ht="15" hidden="false" customHeight="false" outlineLevel="0" collapsed="false">
      <c r="A56" s="38" t="s">
        <v>115</v>
      </c>
      <c r="B56" s="38" t="s">
        <v>137</v>
      </c>
      <c r="C56" s="38" t="s">
        <v>88</v>
      </c>
      <c r="D56" s="21" t="n">
        <f aca="false">ROUND(Q56*R56,0)</f>
        <v>4558</v>
      </c>
      <c r="E56" s="21" t="n">
        <f aca="false">ROUND(Q56,0)-D56</f>
        <v>4217</v>
      </c>
      <c r="F56" s="21" t="n">
        <f aca="false">IF(COUNTA(D56:E56)=0,"",SUM(D56:E56))</f>
        <v>8775</v>
      </c>
      <c r="G56" s="39" t="n">
        <f aca="false">IF(OR(F56="",F56=0),"",D56/F56)</f>
        <v>0.519430199430199</v>
      </c>
      <c r="H56" s="39" t="n">
        <f aca="false">IF(OR(F56="",F56=0),"",E56/F56)</f>
        <v>0.480569800569801</v>
      </c>
      <c r="I56" s="38" t="s">
        <v>89</v>
      </c>
      <c r="J56" s="40" t="n">
        <v>1.83096893017141</v>
      </c>
      <c r="K56" s="39" t="n">
        <f aca="false">IF(G56="","",MAX(0,G56-J56/100))</f>
        <v>0.501120510128485</v>
      </c>
      <c r="L56" s="39" t="n">
        <f aca="false">IF(G56="","",MIN(1,G56+J56/100))</f>
        <v>0.537739888731914</v>
      </c>
      <c r="M56" s="21" t="n">
        <f aca="false">IF(F56="","",ROUND(F56*J56/100,0))</f>
        <v>161</v>
      </c>
      <c r="P56" s="41" t="n">
        <v>8.23531455629215</v>
      </c>
      <c r="Q56" s="42" t="n">
        <v>8775</v>
      </c>
      <c r="R56" s="43" t="n">
        <f aca="false">MAX(0,MIN(1,P56/100+$D$5))</f>
        <v>0.519452445381404</v>
      </c>
      <c r="S56" s="44" t="s">
        <v>110</v>
      </c>
    </row>
    <row r="57" customFormat="false" ht="15" hidden="false" customHeight="false" outlineLevel="0" collapsed="false">
      <c r="A57" s="38" t="s">
        <v>115</v>
      </c>
      <c r="B57" s="38" t="s">
        <v>138</v>
      </c>
      <c r="C57" s="38" t="s">
        <v>88</v>
      </c>
      <c r="D57" s="21" t="n">
        <f aca="false">ROUND(Q57*R57,0)</f>
        <v>1079</v>
      </c>
      <c r="E57" s="21" t="n">
        <f aca="false">ROUND(Q57,0)-D57</f>
        <v>1927</v>
      </c>
      <c r="F57" s="21" t="n">
        <f aca="false">IF(COUNTA(D57:E57)=0,"",SUM(D57:E57))</f>
        <v>3006</v>
      </c>
      <c r="G57" s="39" t="n">
        <f aca="false">IF(OR(F57="",F57=0),"",D57/F57)</f>
        <v>0.35894876912841</v>
      </c>
      <c r="H57" s="39" t="n">
        <f aca="false">IF(OR(F57="",F57=0),"",E57/F57)</f>
        <v>0.64105123087159</v>
      </c>
      <c r="I57" s="38" t="s">
        <v>89</v>
      </c>
      <c r="J57" s="40" t="n">
        <v>1.3223778391408</v>
      </c>
      <c r="K57" s="39" t="n">
        <f aca="false">IF(G57="","",MAX(0,G57-J57/100))</f>
        <v>0.345724990737002</v>
      </c>
      <c r="L57" s="39" t="n">
        <f aca="false">IF(G57="","",MIN(1,G57+J57/100))</f>
        <v>0.372172547519818</v>
      </c>
      <c r="M57" s="21" t="n">
        <f aca="false">IF(F57="","",ROUND(F57*J57/100,0))</f>
        <v>40</v>
      </c>
      <c r="P57" s="41" t="n">
        <v>-7.81900976695442</v>
      </c>
      <c r="Q57" s="42" t="n">
        <v>3006</v>
      </c>
      <c r="R57" s="43" t="n">
        <f aca="false">MAX(0,MIN(1,P57/100+$D$5))</f>
        <v>0.358909202148939</v>
      </c>
      <c r="S57" s="44" t="s">
        <v>96</v>
      </c>
    </row>
    <row r="58" customFormat="false" ht="15" hidden="false" customHeight="false" outlineLevel="0" collapsed="false">
      <c r="A58" s="38" t="s">
        <v>115</v>
      </c>
      <c r="B58" s="38" t="s">
        <v>139</v>
      </c>
      <c r="C58" s="38" t="s">
        <v>88</v>
      </c>
      <c r="D58" s="21" t="n">
        <f aca="false">ROUND(Q58*R58,0)</f>
        <v>1015</v>
      </c>
      <c r="E58" s="21" t="n">
        <f aca="false">ROUND(Q58,0)-D58</f>
        <v>1677</v>
      </c>
      <c r="F58" s="21" t="n">
        <f aca="false">IF(COUNTA(D58:E58)=0,"",SUM(D58:E58))</f>
        <v>2692</v>
      </c>
      <c r="G58" s="39" t="n">
        <f aca="false">IF(OR(F58="",F58=0),"",D58/F58)</f>
        <v>0.37704309063893</v>
      </c>
      <c r="H58" s="39" t="n">
        <f aca="false">IF(OR(F58="",F58=0),"",E58/F58)</f>
        <v>0.62295690936107</v>
      </c>
      <c r="I58" s="38" t="s">
        <v>89</v>
      </c>
      <c r="J58" s="40" t="n">
        <v>1.3223778391408</v>
      </c>
      <c r="K58" s="39" t="n">
        <f aca="false">IF(G58="","",MAX(0,G58-J58/100))</f>
        <v>0.363819312247522</v>
      </c>
      <c r="L58" s="39" t="n">
        <f aca="false">IF(G58="","",MIN(1,G58+J58/100))</f>
        <v>0.390266869030338</v>
      </c>
      <c r="M58" s="21" t="n">
        <f aca="false">IF(F58="","",ROUND(F58*J58/100,0))</f>
        <v>36</v>
      </c>
      <c r="P58" s="41" t="n">
        <v>-6.0145598178844</v>
      </c>
      <c r="Q58" s="42" t="n">
        <v>2692</v>
      </c>
      <c r="R58" s="43" t="n">
        <f aca="false">MAX(0,MIN(1,P58/100+$D$5))</f>
        <v>0.376953701639639</v>
      </c>
      <c r="S58" s="44" t="s">
        <v>96</v>
      </c>
    </row>
    <row r="59" customFormat="false" ht="15" hidden="false" customHeight="false" outlineLevel="0" collapsed="false">
      <c r="A59" s="38" t="s">
        <v>115</v>
      </c>
      <c r="B59" s="38" t="s">
        <v>140</v>
      </c>
      <c r="C59" s="38" t="s">
        <v>88</v>
      </c>
      <c r="D59" s="21" t="n">
        <f aca="false">ROUND(Q59*R59,0)</f>
        <v>5654</v>
      </c>
      <c r="E59" s="21" t="n">
        <f aca="false">ROUND(Q59,0)-D59</f>
        <v>4638</v>
      </c>
      <c r="F59" s="21" t="n">
        <f aca="false">IF(COUNTA(D59:E59)=0,"",SUM(D59:E59))</f>
        <v>10292</v>
      </c>
      <c r="G59" s="39" t="n">
        <f aca="false">IF(OR(F59="",F59=0),"",D59/F59)</f>
        <v>0.549358725223475</v>
      </c>
      <c r="H59" s="39" t="n">
        <f aca="false">IF(OR(F59="",F59=0),"",E59/F59)</f>
        <v>0.450641274776525</v>
      </c>
      <c r="I59" s="38" t="s">
        <v>89</v>
      </c>
      <c r="J59" s="40" t="n">
        <v>1.83096893017141</v>
      </c>
      <c r="K59" s="39" t="n">
        <f aca="false">IF(G59="","",MAX(0,G59-J59/100))</f>
        <v>0.53104903592176</v>
      </c>
      <c r="L59" s="39" t="n">
        <f aca="false">IF(G59="","",MIN(1,G59+J59/100))</f>
        <v>0.567668414525189</v>
      </c>
      <c r="M59" s="21" t="n">
        <f aca="false">IF(F59="","",ROUND(F59*J59/100,0))</f>
        <v>188</v>
      </c>
      <c r="P59" s="41" t="n">
        <v>11.2285819000652</v>
      </c>
      <c r="Q59" s="42" t="n">
        <v>10292</v>
      </c>
      <c r="R59" s="43" t="n">
        <f aca="false">MAX(0,MIN(1,P59/100+$D$5))</f>
        <v>0.549385118819134</v>
      </c>
      <c r="S59" s="44" t="s">
        <v>110</v>
      </c>
    </row>
    <row r="60" customFormat="false" ht="15" hidden="false" customHeight="false" outlineLevel="0" collapsed="false">
      <c r="A60" s="38" t="s">
        <v>141</v>
      </c>
      <c r="B60" s="38" t="s">
        <v>142</v>
      </c>
      <c r="C60" s="38" t="s">
        <v>88</v>
      </c>
      <c r="D60" s="21" t="n">
        <f aca="false">ROUND(Q60*R60,0)</f>
        <v>397</v>
      </c>
      <c r="E60" s="21" t="n">
        <f aca="false">ROUND(Q60,0)-D60</f>
        <v>788</v>
      </c>
      <c r="F60" s="21" t="n">
        <f aca="false">IF(COUNTA(D60:E60)=0,"",SUM(D60:E60))</f>
        <v>1185</v>
      </c>
      <c r="G60" s="39" t="n">
        <f aca="false">IF(OR(F60="",F60=0),"",D60/F60)</f>
        <v>0.335021097046414</v>
      </c>
      <c r="H60" s="39" t="n">
        <f aca="false">IF(OR(F60="",F60=0),"",E60/F60)</f>
        <v>0.664978902953587</v>
      </c>
      <c r="I60" s="38" t="s">
        <v>89</v>
      </c>
      <c r="J60" s="40" t="n">
        <v>2.39925188023053</v>
      </c>
      <c r="K60" s="39" t="n">
        <f aca="false">IF(G60="","",MAX(0,G60-J60/100))</f>
        <v>0.311028578244108</v>
      </c>
      <c r="L60" s="39" t="n">
        <f aca="false">IF(G60="","",MIN(1,G60+J60/100))</f>
        <v>0.359013615848719</v>
      </c>
      <c r="M60" s="21" t="n">
        <f aca="false">IF(F60="","",ROUND(F60*J60/100,0))</f>
        <v>28</v>
      </c>
      <c r="P60" s="41" t="n">
        <v>-10.1657239781327</v>
      </c>
      <c r="Q60" s="42" t="n">
        <v>1185</v>
      </c>
      <c r="R60" s="43" t="n">
        <f aca="false">MAX(0,MIN(1,P60/100+$D$5))</f>
        <v>0.335442060037156</v>
      </c>
      <c r="S60" s="44" t="s">
        <v>90</v>
      </c>
    </row>
    <row r="61" customFormat="false" ht="15" hidden="false" customHeight="false" outlineLevel="0" collapsed="false">
      <c r="A61" s="38" t="s">
        <v>141</v>
      </c>
      <c r="B61" s="38" t="s">
        <v>143</v>
      </c>
      <c r="C61" s="38" t="s">
        <v>88</v>
      </c>
      <c r="D61" s="21" t="n">
        <f aca="false">ROUND(Q61*R61,0)</f>
        <v>1090</v>
      </c>
      <c r="E61" s="21" t="n">
        <f aca="false">ROUND(Q61,0)-D61</f>
        <v>1915</v>
      </c>
      <c r="F61" s="21" t="n">
        <f aca="false">IF(COUNTA(D61:E61)=0,"",SUM(D61:E61))</f>
        <v>3005</v>
      </c>
      <c r="G61" s="39" t="n">
        <f aca="false">IF(OR(F61="",F61=0),"",D61/F61)</f>
        <v>0.362728785357737</v>
      </c>
      <c r="H61" s="39" t="n">
        <f aca="false">IF(OR(F61="",F61=0),"",E61/F61)</f>
        <v>0.637271214642263</v>
      </c>
      <c r="I61" s="38" t="s">
        <v>89</v>
      </c>
      <c r="J61" s="40" t="n">
        <v>1.3223778391408</v>
      </c>
      <c r="K61" s="39" t="n">
        <f aca="false">IF(G61="","",MAX(0,G61-J61/100))</f>
        <v>0.349505006966329</v>
      </c>
      <c r="L61" s="39" t="n">
        <f aca="false">IF(G61="","",MIN(1,G61+J61/100))</f>
        <v>0.375952563749145</v>
      </c>
      <c r="M61" s="21" t="n">
        <f aca="false">IF(F61="","",ROUND(F61*J61/100,0))</f>
        <v>40</v>
      </c>
      <c r="P61" s="41" t="n">
        <v>-7.43911608759325</v>
      </c>
      <c r="Q61" s="42" t="n">
        <v>3005</v>
      </c>
      <c r="R61" s="43" t="n">
        <f aca="false">MAX(0,MIN(1,P61/100+$D$5))</f>
        <v>0.36270813894255</v>
      </c>
      <c r="S61" s="44" t="s">
        <v>96</v>
      </c>
    </row>
    <row r="62" customFormat="false" ht="15" hidden="false" customHeight="false" outlineLevel="0" collapsed="false">
      <c r="A62" s="38" t="s">
        <v>141</v>
      </c>
      <c r="B62" s="38" t="s">
        <v>144</v>
      </c>
      <c r="C62" s="38" t="s">
        <v>88</v>
      </c>
      <c r="D62" s="21" t="n">
        <f aca="false">ROUND(Q62*R62,0)</f>
        <v>402</v>
      </c>
      <c r="E62" s="21" t="n">
        <f aca="false">ROUND(Q62,0)-D62</f>
        <v>710</v>
      </c>
      <c r="F62" s="21" t="n">
        <f aca="false">IF(COUNTA(D62:E62)=0,"",SUM(D62:E62))</f>
        <v>1112</v>
      </c>
      <c r="G62" s="39" t="n">
        <f aca="false">IF(OR(F62="",F62=0),"",D62/F62)</f>
        <v>0.361510791366906</v>
      </c>
      <c r="H62" s="39" t="n">
        <f aca="false">IF(OR(F62="",F62=0),"",E62/F62)</f>
        <v>0.638489208633094</v>
      </c>
      <c r="I62" s="38" t="s">
        <v>89</v>
      </c>
      <c r="J62" s="40" t="n">
        <v>2.39925188023053</v>
      </c>
      <c r="K62" s="39" t="n">
        <f aca="false">IF(G62="","",MAX(0,G62-J62/100))</f>
        <v>0.337518272564601</v>
      </c>
      <c r="L62" s="39" t="n">
        <f aca="false">IF(G62="","",MIN(1,G62+J62/100))</f>
        <v>0.385503310169212</v>
      </c>
      <c r="M62" s="21" t="n">
        <f aca="false">IF(F62="","",ROUND(F62*J62/100,0))</f>
        <v>27</v>
      </c>
      <c r="P62" s="41" t="n">
        <v>-7.5376583121992</v>
      </c>
      <c r="Q62" s="42" t="n">
        <v>1112</v>
      </c>
      <c r="R62" s="43" t="n">
        <f aca="false">MAX(0,MIN(1,P62/100+$D$5))</f>
        <v>0.361722716696491</v>
      </c>
      <c r="S62" s="44" t="s">
        <v>90</v>
      </c>
    </row>
    <row r="63" customFormat="false" ht="15" hidden="false" customHeight="false" outlineLevel="0" collapsed="false">
      <c r="A63" s="38" t="s">
        <v>145</v>
      </c>
      <c r="B63" s="38" t="s">
        <v>146</v>
      </c>
      <c r="C63" s="38" t="s">
        <v>88</v>
      </c>
      <c r="D63" s="21" t="n">
        <f aca="false">ROUND(Q63*R63,0)</f>
        <v>1232</v>
      </c>
      <c r="E63" s="21" t="n">
        <f aca="false">ROUND(Q63,0)-D63</f>
        <v>1368</v>
      </c>
      <c r="F63" s="21" t="n">
        <f aca="false">IF(COUNTA(D63:E63)=0,"",SUM(D63:E63))</f>
        <v>2600</v>
      </c>
      <c r="G63" s="39" t="n">
        <f aca="false">IF(OR(F63="",F63=0),"",D63/F63)</f>
        <v>0.473846153846154</v>
      </c>
      <c r="H63" s="39" t="n">
        <f aca="false">IF(OR(F63="",F63=0),"",E63/F63)</f>
        <v>0.526153846153846</v>
      </c>
      <c r="I63" s="38" t="s">
        <v>89</v>
      </c>
      <c r="J63" s="40" t="n">
        <v>1.3223778391408</v>
      </c>
      <c r="K63" s="39" t="n">
        <f aca="false">IF(G63="","",MAX(0,G63-J63/100))</f>
        <v>0.460622375454746</v>
      </c>
      <c r="L63" s="39" t="n">
        <f aca="false">IF(G63="","",MIN(1,G63+J63/100))</f>
        <v>0.487069932237562</v>
      </c>
      <c r="M63" s="21" t="n">
        <f aca="false">IF(F63="","",ROUND(F63*J63/100,0))</f>
        <v>34</v>
      </c>
      <c r="P63" s="41" t="n">
        <v>3.67225561918503</v>
      </c>
      <c r="Q63" s="42" t="n">
        <v>2600</v>
      </c>
      <c r="R63" s="43" t="n">
        <f aca="false">MAX(0,MIN(1,P63/100+$D$5))</f>
        <v>0.473821856010333</v>
      </c>
      <c r="S63" s="44" t="s">
        <v>96</v>
      </c>
    </row>
    <row r="64" customFormat="false" ht="15" hidden="false" customHeight="false" outlineLevel="0" collapsed="false">
      <c r="A64" s="38" t="s">
        <v>145</v>
      </c>
      <c r="B64" s="38" t="s">
        <v>147</v>
      </c>
      <c r="C64" s="38" t="s">
        <v>88</v>
      </c>
      <c r="D64" s="21" t="n">
        <f aca="false">ROUND(Q64*R64,0)</f>
        <v>736</v>
      </c>
      <c r="E64" s="21" t="n">
        <f aca="false">ROUND(Q64,0)-D64</f>
        <v>921</v>
      </c>
      <c r="F64" s="21" t="n">
        <f aca="false">IF(COUNTA(D64:E64)=0,"",SUM(D64:E64))</f>
        <v>1657</v>
      </c>
      <c r="G64" s="39" t="n">
        <f aca="false">IF(OR(F64="",F64=0),"",D64/F64)</f>
        <v>0.444176222088111</v>
      </c>
      <c r="H64" s="39" t="n">
        <f aca="false">IF(OR(F64="",F64=0),"",E64/F64)</f>
        <v>0.555823777911889</v>
      </c>
      <c r="I64" s="38" t="s">
        <v>89</v>
      </c>
      <c r="J64" s="40" t="n">
        <v>1.3223778391408</v>
      </c>
      <c r="K64" s="39" t="n">
        <f aca="false">IF(G64="","",MAX(0,G64-J64/100))</f>
        <v>0.430952443696703</v>
      </c>
      <c r="L64" s="39" t="n">
        <f aca="false">IF(G64="","",MIN(1,G64+J64/100))</f>
        <v>0.457400000479519</v>
      </c>
      <c r="M64" s="21" t="n">
        <f aca="false">IF(F64="","",ROUND(F64*J64/100,0))</f>
        <v>22</v>
      </c>
      <c r="P64" s="41" t="n">
        <v>0.734533616234618</v>
      </c>
      <c r="Q64" s="42" t="n">
        <v>1657</v>
      </c>
      <c r="R64" s="43" t="n">
        <f aca="false">MAX(0,MIN(1,P64/100+$D$5))</f>
        <v>0.444444635980829</v>
      </c>
      <c r="S64" s="44" t="s">
        <v>96</v>
      </c>
    </row>
    <row r="65" customFormat="false" ht="15" hidden="false" customHeight="false" outlineLevel="0" collapsed="false">
      <c r="A65" s="38" t="s">
        <v>145</v>
      </c>
      <c r="B65" s="38" t="s">
        <v>148</v>
      </c>
      <c r="C65" s="38" t="s">
        <v>88</v>
      </c>
      <c r="D65" s="21" t="n">
        <f aca="false">ROUND(Q65*R65,0)</f>
        <v>476</v>
      </c>
      <c r="E65" s="21" t="n">
        <f aca="false">ROUND(Q65,0)-D65</f>
        <v>478</v>
      </c>
      <c r="F65" s="21" t="n">
        <f aca="false">IF(COUNTA(D65:E65)=0,"",SUM(D65:E65))</f>
        <v>954</v>
      </c>
      <c r="G65" s="39" t="n">
        <f aca="false">IF(OR(F65="",F65=0),"",D65/F65)</f>
        <v>0.49895178197065</v>
      </c>
      <c r="H65" s="39" t="n">
        <f aca="false">IF(OR(F65="",F65=0),"",E65/F65)</f>
        <v>0.50104821802935</v>
      </c>
      <c r="I65" s="38" t="s">
        <v>89</v>
      </c>
      <c r="J65" s="40" t="n">
        <v>2.39925188023053</v>
      </c>
      <c r="K65" s="39" t="n">
        <f aca="false">IF(G65="","",MAX(0,G65-J65/100))</f>
        <v>0.474959263168345</v>
      </c>
      <c r="L65" s="39" t="n">
        <f aca="false">IF(G65="","",MIN(1,G65+J65/100))</f>
        <v>0.522944300772955</v>
      </c>
      <c r="M65" s="21" t="n">
        <f aca="false">IF(F65="","",ROUND(F65*J65/100,0))</f>
        <v>23</v>
      </c>
      <c r="P65" s="41" t="n">
        <v>6.19537193790134</v>
      </c>
      <c r="Q65" s="42" t="n">
        <v>954</v>
      </c>
      <c r="R65" s="43" t="n">
        <f aca="false">MAX(0,MIN(1,P65/100+$D$5))</f>
        <v>0.499053019197496</v>
      </c>
      <c r="S65" s="44" t="s">
        <v>90</v>
      </c>
    </row>
    <row r="66" customFormat="false" ht="15" hidden="false" customHeight="false" outlineLevel="0" collapsed="false">
      <c r="A66" s="38" t="s">
        <v>145</v>
      </c>
      <c r="B66" s="38" t="s">
        <v>118</v>
      </c>
      <c r="C66" s="38" t="s">
        <v>88</v>
      </c>
      <c r="D66" s="21" t="n">
        <f aca="false">ROUND(Q66*R66,0)</f>
        <v>13167</v>
      </c>
      <c r="E66" s="21" t="n">
        <f aca="false">ROUND(Q66,0)-D66</f>
        <v>4927</v>
      </c>
      <c r="F66" s="21" t="n">
        <f aca="false">IF(COUNTA(D66:E66)=0,"",SUM(D66:E66))</f>
        <v>18094</v>
      </c>
      <c r="G66" s="39" t="n">
        <f aca="false">IF(OR(F66="",F66=0),"",D66/F66)</f>
        <v>0.727699789985631</v>
      </c>
      <c r="H66" s="39" t="n">
        <f aca="false">IF(OR(F66="",F66=0),"",E66/F66)</f>
        <v>0.272300210014369</v>
      </c>
      <c r="I66" s="38" t="s">
        <v>89</v>
      </c>
      <c r="J66" s="40" t="n">
        <v>1.83096893017141</v>
      </c>
      <c r="K66" s="39" t="n">
        <f aca="false">IF(G66="","",MAX(0,G66-J66/100))</f>
        <v>0.709390100683917</v>
      </c>
      <c r="L66" s="39" t="n">
        <f aca="false">IF(G66="","",MIN(1,G66+J66/100))</f>
        <v>0.746009479287345</v>
      </c>
      <c r="M66" s="21" t="n">
        <f aca="false">IF(F66="","",ROUND(F66*J66/100,0))</f>
        <v>331</v>
      </c>
      <c r="P66" s="41" t="n">
        <v>29.0614087033459</v>
      </c>
      <c r="Q66" s="42" t="n">
        <v>18094</v>
      </c>
      <c r="R66" s="43" t="n">
        <f aca="false">MAX(0,MIN(1,P66/100+$D$5))</f>
        <v>0.727713386851942</v>
      </c>
      <c r="S66" s="44" t="s">
        <v>110</v>
      </c>
    </row>
    <row r="67" customFormat="false" ht="15" hidden="false" customHeight="false" outlineLevel="0" collapsed="false">
      <c r="A67" s="38" t="s">
        <v>145</v>
      </c>
      <c r="B67" s="38" t="s">
        <v>149</v>
      </c>
      <c r="C67" s="38" t="s">
        <v>88</v>
      </c>
      <c r="D67" s="21" t="n">
        <f aca="false">ROUND(Q67*R67,0)</f>
        <v>6849</v>
      </c>
      <c r="E67" s="21" t="n">
        <f aca="false">ROUND(Q67,0)-D67</f>
        <v>5394</v>
      </c>
      <c r="F67" s="21" t="n">
        <f aca="false">IF(COUNTA(D67:E67)=0,"",SUM(D67:E67))</f>
        <v>12243</v>
      </c>
      <c r="G67" s="39" t="n">
        <f aca="false">IF(OR(F67="",F67=0),"",D67/F67)</f>
        <v>0.559421710365107</v>
      </c>
      <c r="H67" s="39" t="n">
        <f aca="false">IF(OR(F67="",F67=0),"",E67/F67)</f>
        <v>0.440578289634893</v>
      </c>
      <c r="I67" s="38" t="s">
        <v>89</v>
      </c>
      <c r="J67" s="40" t="n">
        <v>1.83096893017141</v>
      </c>
      <c r="K67" s="39" t="n">
        <f aca="false">IF(G67="","",MAX(0,G67-J67/100))</f>
        <v>0.541112021063393</v>
      </c>
      <c r="L67" s="39" t="n">
        <f aca="false">IF(G67="","",MIN(1,G67+J67/100))</f>
        <v>0.577731399666821</v>
      </c>
      <c r="M67" s="21" t="n">
        <f aca="false">IF(F67="","",ROUND(F67*J67/100,0))</f>
        <v>224</v>
      </c>
      <c r="P67" s="41" t="n">
        <v>12.2337309636198</v>
      </c>
      <c r="Q67" s="42" t="n">
        <v>12243</v>
      </c>
      <c r="R67" s="43" t="n">
        <f aca="false">MAX(0,MIN(1,P67/100+$D$5))</f>
        <v>0.559436609454681</v>
      </c>
      <c r="S67" s="44" t="s">
        <v>110</v>
      </c>
    </row>
    <row r="68" customFormat="false" ht="15" hidden="false" customHeight="false" outlineLevel="0" collapsed="false">
      <c r="A68" s="38" t="s">
        <v>145</v>
      </c>
      <c r="B68" s="38" t="s">
        <v>150</v>
      </c>
      <c r="C68" s="38" t="s">
        <v>88</v>
      </c>
      <c r="D68" s="21" t="n">
        <f aca="false">ROUND(Q68*R68,0)</f>
        <v>1808</v>
      </c>
      <c r="E68" s="21" t="n">
        <f aca="false">ROUND(Q68,0)-D68</f>
        <v>2591</v>
      </c>
      <c r="F68" s="21" t="n">
        <f aca="false">IF(COUNTA(D68:E68)=0,"",SUM(D68:E68))</f>
        <v>4399</v>
      </c>
      <c r="G68" s="39" t="n">
        <f aca="false">IF(OR(F68="",F68=0),"",D68/F68)</f>
        <v>0.411002500568311</v>
      </c>
      <c r="H68" s="39" t="n">
        <f aca="false">IF(OR(F68="",F68=0),"",E68/F68)</f>
        <v>0.588997499431689</v>
      </c>
      <c r="I68" s="38" t="s">
        <v>89</v>
      </c>
      <c r="J68" s="40" t="n">
        <v>1.83096893017141</v>
      </c>
      <c r="K68" s="39" t="n">
        <f aca="false">IF(G68="","",MAX(0,G68-J68/100))</f>
        <v>0.392692811266597</v>
      </c>
      <c r="L68" s="39" t="n">
        <f aca="false">IF(G68="","",MIN(1,G68+J68/100))</f>
        <v>0.429312189870025</v>
      </c>
      <c r="M68" s="21" t="n">
        <f aca="false">IF(F68="","",ROUND(F68*J68/100,0))</f>
        <v>81</v>
      </c>
      <c r="P68" s="41" t="n">
        <v>-2.59951689503037</v>
      </c>
      <c r="Q68" s="42" t="n">
        <v>4399</v>
      </c>
      <c r="R68" s="43" t="n">
        <f aca="false">MAX(0,MIN(1,P68/100+$D$5))</f>
        <v>0.411104130868179</v>
      </c>
      <c r="S68" s="44" t="s">
        <v>110</v>
      </c>
    </row>
    <row r="69" customFormat="false" ht="15" hidden="false" customHeight="false" outlineLevel="0" collapsed="false">
      <c r="A69" s="38" t="s">
        <v>145</v>
      </c>
      <c r="B69" s="38" t="s">
        <v>151</v>
      </c>
      <c r="C69" s="38" t="s">
        <v>88</v>
      </c>
      <c r="D69" s="21" t="n">
        <f aca="false">ROUND(Q69*R69,0)</f>
        <v>32</v>
      </c>
      <c r="E69" s="21" t="n">
        <f aca="false">ROUND(Q69,0)-D69</f>
        <v>54</v>
      </c>
      <c r="F69" s="21" t="n">
        <f aca="false">IF(COUNTA(D69:E69)=0,"",SUM(D69:E69))</f>
        <v>86</v>
      </c>
      <c r="G69" s="39" t="n">
        <f aca="false">IF(OR(F69="",F69=0),"",D69/F69)</f>
        <v>0.372093023255814</v>
      </c>
      <c r="H69" s="39" t="n">
        <f aca="false">IF(OR(F69="",F69=0),"",E69/F69)</f>
        <v>0.627906976744186</v>
      </c>
      <c r="I69" s="38" t="s">
        <v>89</v>
      </c>
      <c r="J69" s="40" t="n">
        <v>2.39925188023053</v>
      </c>
      <c r="K69" s="39" t="n">
        <f aca="false">IF(G69="","",MAX(0,G69-J69/100))</f>
        <v>0.348100504453509</v>
      </c>
      <c r="L69" s="39" t="n">
        <f aca="false">IF(G69="","",MIN(1,G69+J69/100))</f>
        <v>0.396085542058119</v>
      </c>
      <c r="M69" s="21" t="n">
        <f aca="false">IF(F69="","",ROUND(F69*J69/100,0))</f>
        <v>2</v>
      </c>
      <c r="P69" s="41" t="n">
        <v>-6.1842403899122</v>
      </c>
      <c r="Q69" s="42" t="n">
        <v>86</v>
      </c>
      <c r="R69" s="43" t="n">
        <f aca="false">MAX(0,MIN(1,P69/100+$D$5))</f>
        <v>0.375256895919361</v>
      </c>
      <c r="S69" s="44" t="s">
        <v>90</v>
      </c>
    </row>
    <row r="70" customFormat="false" ht="15" hidden="false" customHeight="false" outlineLevel="0" collapsed="false">
      <c r="A70" s="38" t="s">
        <v>145</v>
      </c>
      <c r="B70" s="38" t="s">
        <v>152</v>
      </c>
      <c r="C70" s="38" t="s">
        <v>88</v>
      </c>
      <c r="D70" s="21" t="n">
        <f aca="false">ROUND(Q70*R70,0)</f>
        <v>1152</v>
      </c>
      <c r="E70" s="21" t="n">
        <f aca="false">ROUND(Q70,0)-D70</f>
        <v>1365</v>
      </c>
      <c r="F70" s="21" t="n">
        <f aca="false">IF(COUNTA(D70:E70)=0,"",SUM(D70:E70))</f>
        <v>2517</v>
      </c>
      <c r="G70" s="39" t="n">
        <f aca="false">IF(OR(F70="",F70=0),"",D70/F70)</f>
        <v>0.457687723480334</v>
      </c>
      <c r="H70" s="39" t="n">
        <f aca="false">IF(OR(F70="",F70=0),"",E70/F70)</f>
        <v>0.542312276519666</v>
      </c>
      <c r="I70" s="38" t="s">
        <v>89</v>
      </c>
      <c r="J70" s="40" t="n">
        <v>1.3223778391408</v>
      </c>
      <c r="K70" s="39" t="n">
        <f aca="false">IF(G70="","",MAX(0,G70-J70/100))</f>
        <v>0.444463945088926</v>
      </c>
      <c r="L70" s="39" t="n">
        <f aca="false">IF(G70="","",MIN(1,G70+J70/100))</f>
        <v>0.470911501871742</v>
      </c>
      <c r="M70" s="21" t="n">
        <f aca="false">IF(F70="","",ROUND(F70*J70/100,0))</f>
        <v>33</v>
      </c>
      <c r="P70" s="41" t="n">
        <v>2.07641701776665</v>
      </c>
      <c r="Q70" s="42" t="n">
        <v>2517</v>
      </c>
      <c r="R70" s="43" t="n">
        <f aca="false">MAX(0,MIN(1,P70/100+$D$5))</f>
        <v>0.457863469996149</v>
      </c>
      <c r="S70" s="44" t="s">
        <v>96</v>
      </c>
    </row>
    <row r="71" customFormat="false" ht="15" hidden="false" customHeight="false" outlineLevel="0" collapsed="false">
      <c r="A71" s="38" t="s">
        <v>145</v>
      </c>
      <c r="B71" s="38" t="s">
        <v>153</v>
      </c>
      <c r="C71" s="38" t="s">
        <v>88</v>
      </c>
      <c r="D71" s="21" t="n">
        <f aca="false">ROUND(Q71*R71,0)</f>
        <v>149</v>
      </c>
      <c r="E71" s="21" t="n">
        <f aca="false">ROUND(Q71,0)-D71</f>
        <v>202</v>
      </c>
      <c r="F71" s="21" t="n">
        <f aca="false">IF(COUNTA(D71:E71)=0,"",SUM(D71:E71))</f>
        <v>351</v>
      </c>
      <c r="G71" s="39" t="n">
        <f aca="false">IF(OR(F71="",F71=0),"",D71/F71)</f>
        <v>0.424501424501425</v>
      </c>
      <c r="H71" s="39" t="n">
        <f aca="false">IF(OR(F71="",F71=0),"",E71/F71)</f>
        <v>0.575498575498576</v>
      </c>
      <c r="I71" s="38" t="s">
        <v>89</v>
      </c>
      <c r="J71" s="40" t="n">
        <v>2.39925188023053</v>
      </c>
      <c r="K71" s="39" t="n">
        <f aca="false">IF(G71="","",MAX(0,G71-J71/100))</f>
        <v>0.400508905699119</v>
      </c>
      <c r="L71" s="39" t="n">
        <f aca="false">IF(G71="","",MIN(1,G71+J71/100))</f>
        <v>0.44849394330373</v>
      </c>
      <c r="M71" s="21" t="n">
        <f aca="false">IF(F71="","",ROUND(F71*J71/100,0))</f>
        <v>8</v>
      </c>
      <c r="P71" s="41" t="n">
        <v>-1.35055860191255</v>
      </c>
      <c r="Q71" s="42" t="n">
        <v>351</v>
      </c>
      <c r="R71" s="43" t="n">
        <f aca="false">MAX(0,MIN(1,P71/100+$D$5))</f>
        <v>0.423593713799357</v>
      </c>
      <c r="S71" s="44" t="s">
        <v>90</v>
      </c>
    </row>
    <row r="72" customFormat="false" ht="15" hidden="false" customHeight="false" outlineLevel="0" collapsed="false">
      <c r="A72" s="38" t="s">
        <v>145</v>
      </c>
      <c r="B72" s="38" t="s">
        <v>154</v>
      </c>
      <c r="C72" s="38" t="s">
        <v>88</v>
      </c>
      <c r="D72" s="21" t="n">
        <f aca="false">ROUND(Q72*R72,0)</f>
        <v>5269</v>
      </c>
      <c r="E72" s="21" t="n">
        <f aca="false">ROUND(Q72,0)-D72</f>
        <v>1824</v>
      </c>
      <c r="F72" s="21" t="n">
        <f aca="false">IF(COUNTA(D72:E72)=0,"",SUM(D72:E72))</f>
        <v>7093</v>
      </c>
      <c r="G72" s="39" t="n">
        <f aca="false">IF(OR(F72="",F72=0),"",D72/F72)</f>
        <v>0.742845058508389</v>
      </c>
      <c r="H72" s="39" t="n">
        <f aca="false">IF(OR(F72="",F72=0),"",E72/F72)</f>
        <v>0.257154941491611</v>
      </c>
      <c r="I72" s="38" t="s">
        <v>89</v>
      </c>
      <c r="J72" s="40" t="n">
        <v>1.83096893017141</v>
      </c>
      <c r="K72" s="39" t="n">
        <f aca="false">IF(G72="","",MAX(0,G72-J72/100))</f>
        <v>0.724535369206675</v>
      </c>
      <c r="L72" s="39" t="n">
        <f aca="false">IF(G72="","",MIN(1,G72+J72/100))</f>
        <v>0.761154747810103</v>
      </c>
      <c r="M72" s="21" t="n">
        <f aca="false">IF(F72="","",ROUND(F72*J72/100,0))</f>
        <v>130</v>
      </c>
      <c r="P72" s="41" t="n">
        <v>30.5759185239968</v>
      </c>
      <c r="Q72" s="42" t="n">
        <v>7093</v>
      </c>
      <c r="R72" s="43" t="n">
        <f aca="false">MAX(0,MIN(1,P72/100+$D$5))</f>
        <v>0.742858485058451</v>
      </c>
      <c r="S72" s="44" t="s">
        <v>110</v>
      </c>
    </row>
    <row r="73" customFormat="false" ht="15" hidden="false" customHeight="false" outlineLevel="0" collapsed="false">
      <c r="A73" s="38" t="s">
        <v>145</v>
      </c>
      <c r="B73" s="38" t="s">
        <v>155</v>
      </c>
      <c r="C73" s="38" t="s">
        <v>88</v>
      </c>
      <c r="D73" s="21" t="n">
        <f aca="false">ROUND(Q73*R73,0)</f>
        <v>4371</v>
      </c>
      <c r="E73" s="21" t="n">
        <f aca="false">ROUND(Q73,0)-D73</f>
        <v>3569</v>
      </c>
      <c r="F73" s="21" t="n">
        <f aca="false">IF(COUNTA(D73:E73)=0,"",SUM(D73:E73))</f>
        <v>7940</v>
      </c>
      <c r="G73" s="39" t="n">
        <f aca="false">IF(OR(F73="",F73=0),"",D73/F73)</f>
        <v>0.550503778337532</v>
      </c>
      <c r="H73" s="39" t="n">
        <f aca="false">IF(OR(F73="",F73=0),"",E73/F73)</f>
        <v>0.449496221662469</v>
      </c>
      <c r="I73" s="38" t="s">
        <v>89</v>
      </c>
      <c r="J73" s="40" t="n">
        <v>1.83096893017141</v>
      </c>
      <c r="K73" s="39" t="n">
        <f aca="false">IF(G73="","",MAX(0,G73-J73/100))</f>
        <v>0.532194089035817</v>
      </c>
      <c r="L73" s="39" t="n">
        <f aca="false">IF(G73="","",MIN(1,G73+J73/100))</f>
        <v>0.568813467639246</v>
      </c>
      <c r="M73" s="21" t="n">
        <f aca="false">IF(F73="","",ROUND(F73*J73/100,0))</f>
        <v>145</v>
      </c>
      <c r="P73" s="41" t="n">
        <v>11.3376891941974</v>
      </c>
      <c r="Q73" s="42" t="n">
        <v>7940</v>
      </c>
      <c r="R73" s="43" t="n">
        <f aca="false">MAX(0,MIN(1,P73/100+$D$5))</f>
        <v>0.550476191760457</v>
      </c>
      <c r="S73" s="44" t="s">
        <v>110</v>
      </c>
    </row>
    <row r="74" customFormat="false" ht="15" hidden="false" customHeight="false" outlineLevel="0" collapsed="false">
      <c r="A74" s="38" t="s">
        <v>145</v>
      </c>
      <c r="B74" s="38" t="s">
        <v>156</v>
      </c>
      <c r="C74" s="38" t="s">
        <v>88</v>
      </c>
      <c r="D74" s="21" t="n">
        <f aca="false">ROUND(Q74*R74,0)</f>
        <v>514</v>
      </c>
      <c r="E74" s="21" t="n">
        <f aca="false">ROUND(Q74,0)-D74</f>
        <v>296</v>
      </c>
      <c r="F74" s="21" t="n">
        <f aca="false">IF(COUNTA(D74:E74)=0,"",SUM(D74:E74))</f>
        <v>810</v>
      </c>
      <c r="G74" s="39" t="n">
        <f aca="false">IF(OR(F74="",F74=0),"",D74/F74)</f>
        <v>0.634567901234568</v>
      </c>
      <c r="H74" s="39" t="n">
        <f aca="false">IF(OR(F74="",F74=0),"",E74/F74)</f>
        <v>0.365432098765432</v>
      </c>
      <c r="I74" s="38" t="s">
        <v>89</v>
      </c>
      <c r="J74" s="40" t="n">
        <v>2.39925188023053</v>
      </c>
      <c r="K74" s="39" t="n">
        <f aca="false">IF(G74="","",MAX(0,G74-J74/100))</f>
        <v>0.610575382432263</v>
      </c>
      <c r="L74" s="39" t="n">
        <f aca="false">IF(G74="","",MIN(1,G74+J74/100))</f>
        <v>0.658560420036873</v>
      </c>
      <c r="M74" s="21" t="n">
        <f aca="false">IF(F74="","",ROUND(F74*J74/100,0))</f>
        <v>19</v>
      </c>
      <c r="P74" s="41" t="n">
        <v>19.6893921140015</v>
      </c>
      <c r="Q74" s="42" t="n">
        <v>810</v>
      </c>
      <c r="R74" s="43" t="n">
        <f aca="false">MAX(0,MIN(1,P74/100+$D$5))</f>
        <v>0.633993220958498</v>
      </c>
      <c r="S74" s="44" t="s">
        <v>90</v>
      </c>
    </row>
    <row r="75" customFormat="false" ht="15" hidden="false" customHeight="false" outlineLevel="0" collapsed="false">
      <c r="A75" s="38" t="s">
        <v>145</v>
      </c>
      <c r="B75" s="38" t="s">
        <v>157</v>
      </c>
      <c r="C75" s="38" t="s">
        <v>88</v>
      </c>
      <c r="D75" s="21" t="n">
        <f aca="false">ROUND(Q75*R75,0)</f>
        <v>77</v>
      </c>
      <c r="E75" s="21" t="n">
        <f aca="false">ROUND(Q75,0)-D75</f>
        <v>64</v>
      </c>
      <c r="F75" s="21" t="n">
        <f aca="false">IF(COUNTA(D75:E75)=0,"",SUM(D75:E75))</f>
        <v>141</v>
      </c>
      <c r="G75" s="39" t="n">
        <f aca="false">IF(OR(F75="",F75=0),"",D75/F75)</f>
        <v>0.546099290780142</v>
      </c>
      <c r="H75" s="39" t="n">
        <f aca="false">IF(OR(F75="",F75=0),"",E75/F75)</f>
        <v>0.453900709219858</v>
      </c>
      <c r="I75" s="38" t="s">
        <v>89</v>
      </c>
      <c r="J75" s="40" t="n">
        <v>2.39925188023053</v>
      </c>
      <c r="K75" s="39" t="n">
        <f aca="false">IF(G75="","",MAX(0,G75-J75/100))</f>
        <v>0.522106771977837</v>
      </c>
      <c r="L75" s="39" t="n">
        <f aca="false">IF(G75="","",MIN(1,G75+J75/100))</f>
        <v>0.570091809582447</v>
      </c>
      <c r="M75" s="21" t="n">
        <f aca="false">IF(F75="","",ROUND(F75*J75/100,0))</f>
        <v>3</v>
      </c>
      <c r="P75" s="41" t="n">
        <v>10.9116351831094</v>
      </c>
      <c r="Q75" s="42" t="n">
        <v>141</v>
      </c>
      <c r="R75" s="43" t="n">
        <f aca="false">MAX(0,MIN(1,P75/100+$D$5))</f>
        <v>0.546215651649577</v>
      </c>
      <c r="S75" s="44" t="s">
        <v>90</v>
      </c>
    </row>
    <row r="76" customFormat="false" ht="15" hidden="false" customHeight="false" outlineLevel="0" collapsed="false">
      <c r="A76" s="38" t="s">
        <v>145</v>
      </c>
      <c r="B76" s="38" t="s">
        <v>124</v>
      </c>
      <c r="C76" s="38" t="s">
        <v>88</v>
      </c>
      <c r="D76" s="21" t="n">
        <f aca="false">ROUND(Q76*R76,0)</f>
        <v>3640</v>
      </c>
      <c r="E76" s="21" t="n">
        <f aca="false">ROUND(Q76,0)-D76</f>
        <v>2813</v>
      </c>
      <c r="F76" s="21" t="n">
        <f aca="false">IF(COUNTA(D76:E76)=0,"",SUM(D76:E76))</f>
        <v>6453</v>
      </c>
      <c r="G76" s="39" t="n">
        <f aca="false">IF(OR(F76="",F76=0),"",D76/F76)</f>
        <v>0.564078723074539</v>
      </c>
      <c r="H76" s="39" t="n">
        <f aca="false">IF(OR(F76="",F76=0),"",E76/F76)</f>
        <v>0.435921276925461</v>
      </c>
      <c r="I76" s="38" t="s">
        <v>89</v>
      </c>
      <c r="J76" s="40" t="n">
        <v>1.83096893017141</v>
      </c>
      <c r="K76" s="39" t="n">
        <f aca="false">IF(G76="","",MAX(0,G76-J76/100))</f>
        <v>0.545769033772825</v>
      </c>
      <c r="L76" s="39" t="n">
        <f aca="false">IF(G76="","",MIN(1,G76+J76/100))</f>
        <v>0.582388412376253</v>
      </c>
      <c r="M76" s="21" t="n">
        <f aca="false">IF(F76="","",ROUND(F76*J76/100,0))</f>
        <v>118</v>
      </c>
      <c r="P76" s="41" t="n">
        <v>12.7001655092111</v>
      </c>
      <c r="Q76" s="42" t="n">
        <v>6453</v>
      </c>
      <c r="R76" s="43" t="n">
        <f aca="false">MAX(0,MIN(1,P76/100+$D$5))</f>
        <v>0.564100954910593</v>
      </c>
      <c r="S76" s="44" t="s">
        <v>110</v>
      </c>
    </row>
    <row r="77" customFormat="false" ht="15" hidden="false" customHeight="false" outlineLevel="0" collapsed="false">
      <c r="A77" s="38" t="s">
        <v>145</v>
      </c>
      <c r="B77" s="38" t="s">
        <v>158</v>
      </c>
      <c r="C77" s="38" t="s">
        <v>88</v>
      </c>
      <c r="D77" s="21" t="n">
        <f aca="false">ROUND(Q77*R77,0)</f>
        <v>1406</v>
      </c>
      <c r="E77" s="21" t="n">
        <f aca="false">ROUND(Q77,0)-D77</f>
        <v>1167</v>
      </c>
      <c r="F77" s="21" t="n">
        <f aca="false">IF(COUNTA(D77:E77)=0,"",SUM(D77:E77))</f>
        <v>2573</v>
      </c>
      <c r="G77" s="39" t="n">
        <f aca="false">IF(OR(F77="",F77=0),"",D77/F77)</f>
        <v>0.546443839875632</v>
      </c>
      <c r="H77" s="39" t="n">
        <f aca="false">IF(OR(F77="",F77=0),"",E77/F77)</f>
        <v>0.453556160124368</v>
      </c>
      <c r="I77" s="38" t="s">
        <v>89</v>
      </c>
      <c r="J77" s="40" t="n">
        <v>1.3223778391408</v>
      </c>
      <c r="K77" s="39" t="n">
        <f aca="false">IF(G77="","",MAX(0,G77-J77/100))</f>
        <v>0.533220061484224</v>
      </c>
      <c r="L77" s="39" t="n">
        <f aca="false">IF(G77="","",MIN(1,G77+J77/100))</f>
        <v>0.55966761826704</v>
      </c>
      <c r="M77" s="21" t="n">
        <f aca="false">IF(F77="","",ROUND(F77*J77/100,0))</f>
        <v>34</v>
      </c>
      <c r="P77" s="41" t="n">
        <v>10.942646384398</v>
      </c>
      <c r="Q77" s="42" t="n">
        <v>2573</v>
      </c>
      <c r="R77" s="43" t="n">
        <f aca="false">MAX(0,MIN(1,P77/100+$D$5))</f>
        <v>0.546525763662463</v>
      </c>
      <c r="S77" s="44" t="s">
        <v>96</v>
      </c>
    </row>
    <row r="78" customFormat="false" ht="15" hidden="false" customHeight="false" outlineLevel="0" collapsed="false">
      <c r="A78" s="38" t="s">
        <v>145</v>
      </c>
      <c r="B78" s="38" t="s">
        <v>159</v>
      </c>
      <c r="C78" s="38" t="s">
        <v>88</v>
      </c>
      <c r="D78" s="21" t="n">
        <f aca="false">ROUND(Q78*R78,0)</f>
        <v>1878</v>
      </c>
      <c r="E78" s="21" t="n">
        <f aca="false">ROUND(Q78,0)-D78</f>
        <v>3228</v>
      </c>
      <c r="F78" s="21" t="n">
        <f aca="false">IF(COUNTA(D78:E78)=0,"",SUM(D78:E78))</f>
        <v>5106</v>
      </c>
      <c r="G78" s="39" t="n">
        <f aca="false">IF(OR(F78="",F78=0),"",D78/F78)</f>
        <v>0.36780258519389</v>
      </c>
      <c r="H78" s="39" t="n">
        <f aca="false">IF(OR(F78="",F78=0),"",E78/F78)</f>
        <v>0.632197414806111</v>
      </c>
      <c r="I78" s="38" t="s">
        <v>89</v>
      </c>
      <c r="J78" s="40" t="n">
        <v>1.83096893017141</v>
      </c>
      <c r="K78" s="39" t="n">
        <f aca="false">IF(G78="","",MAX(0,G78-J78/100))</f>
        <v>0.349492895892175</v>
      </c>
      <c r="L78" s="39" t="n">
        <f aca="false">IF(G78="","",MIN(1,G78+J78/100))</f>
        <v>0.386112274495604</v>
      </c>
      <c r="M78" s="21" t="n">
        <f aca="false">IF(F78="","",ROUND(F78*J78/100,0))</f>
        <v>93</v>
      </c>
      <c r="P78" s="41" t="n">
        <v>-6.93640752739933</v>
      </c>
      <c r="Q78" s="42" t="n">
        <v>5106</v>
      </c>
      <c r="R78" s="43" t="n">
        <f aca="false">MAX(0,MIN(1,P78/100+$D$5))</f>
        <v>0.36773522454449</v>
      </c>
      <c r="S78" s="44" t="s">
        <v>110</v>
      </c>
    </row>
    <row r="79" customFormat="false" ht="15" hidden="false" customHeight="false" outlineLevel="0" collapsed="false">
      <c r="A79" s="38" t="s">
        <v>145</v>
      </c>
      <c r="B79" s="38" t="s">
        <v>160</v>
      </c>
      <c r="C79" s="38" t="s">
        <v>88</v>
      </c>
      <c r="D79" s="21" t="n">
        <f aca="false">ROUND(Q79*R79,0)</f>
        <v>502</v>
      </c>
      <c r="E79" s="21" t="n">
        <f aca="false">ROUND(Q79,0)-D79</f>
        <v>898</v>
      </c>
      <c r="F79" s="21" t="n">
        <f aca="false">IF(COUNTA(D79:E79)=0,"",SUM(D79:E79))</f>
        <v>1400</v>
      </c>
      <c r="G79" s="39" t="n">
        <f aca="false">IF(OR(F79="",F79=0),"",D79/F79)</f>
        <v>0.358571428571429</v>
      </c>
      <c r="H79" s="39" t="n">
        <f aca="false">IF(OR(F79="",F79=0),"",E79/F79)</f>
        <v>0.641428571428572</v>
      </c>
      <c r="I79" s="38" t="s">
        <v>89</v>
      </c>
      <c r="J79" s="40" t="n">
        <v>2.39925188023053</v>
      </c>
      <c r="K79" s="39" t="n">
        <f aca="false">IF(G79="","",MAX(0,G79-J79/100))</f>
        <v>0.334578909769123</v>
      </c>
      <c r="L79" s="39" t="n">
        <f aca="false">IF(G79="","",MIN(1,G79+J79/100))</f>
        <v>0.382563947373734</v>
      </c>
      <c r="M79" s="21" t="n">
        <f aca="false">IF(F79="","",ROUND(F79*J79/100,0))</f>
        <v>34</v>
      </c>
      <c r="P79" s="41" t="n">
        <v>-7.88030463526672</v>
      </c>
      <c r="Q79" s="42" t="n">
        <v>1400</v>
      </c>
      <c r="R79" s="43" t="n">
        <f aca="false">MAX(0,MIN(1,P79/100+$D$5))</f>
        <v>0.358296253465816</v>
      </c>
      <c r="S79" s="44" t="s">
        <v>90</v>
      </c>
    </row>
    <row r="80" customFormat="false" ht="15" hidden="false" customHeight="false" outlineLevel="0" collapsed="false">
      <c r="A80" s="38" t="s">
        <v>145</v>
      </c>
      <c r="B80" s="38" t="s">
        <v>161</v>
      </c>
      <c r="C80" s="38" t="s">
        <v>88</v>
      </c>
      <c r="D80" s="21" t="n">
        <f aca="false">ROUND(Q80*R80,0)</f>
        <v>1765</v>
      </c>
      <c r="E80" s="21" t="n">
        <f aca="false">ROUND(Q80,0)-D80</f>
        <v>1934</v>
      </c>
      <c r="F80" s="21" t="n">
        <f aca="false">IF(COUNTA(D80:E80)=0,"",SUM(D80:E80))</f>
        <v>3699</v>
      </c>
      <c r="G80" s="39" t="n">
        <f aca="false">IF(OR(F80="",F80=0),"",D80/F80)</f>
        <v>0.477155988104893</v>
      </c>
      <c r="H80" s="39" t="n">
        <f aca="false">IF(OR(F80="",F80=0),"",E80/F80)</f>
        <v>0.522844011895107</v>
      </c>
      <c r="I80" s="38" t="s">
        <v>89</v>
      </c>
      <c r="J80" s="40" t="n">
        <v>1.3223778391408</v>
      </c>
      <c r="K80" s="39" t="n">
        <f aca="false">IF(G80="","",MAX(0,G80-J80/100))</f>
        <v>0.463932209713485</v>
      </c>
      <c r="L80" s="39" t="n">
        <f aca="false">IF(G80="","",MIN(1,G80+J80/100))</f>
        <v>0.490379766496301</v>
      </c>
      <c r="M80" s="21" t="n">
        <f aca="false">IF(F80="","",ROUND(F80*J80/100,0))</f>
        <v>49</v>
      </c>
      <c r="P80" s="41" t="n">
        <v>4.00106395065495</v>
      </c>
      <c r="Q80" s="42" t="n">
        <v>3699</v>
      </c>
      <c r="R80" s="43" t="n">
        <f aca="false">MAX(0,MIN(1,P80/100+$D$5))</f>
        <v>0.477109939325032</v>
      </c>
      <c r="S80" s="44" t="s">
        <v>96</v>
      </c>
    </row>
    <row r="81" customFormat="false" ht="15" hidden="false" customHeight="false" outlineLevel="0" collapsed="false">
      <c r="A81" s="38" t="s">
        <v>145</v>
      </c>
      <c r="B81" s="38" t="s">
        <v>162</v>
      </c>
      <c r="C81" s="38" t="s">
        <v>88</v>
      </c>
      <c r="D81" s="21" t="n">
        <f aca="false">ROUND(Q81*R81,0)</f>
        <v>3030</v>
      </c>
      <c r="E81" s="21" t="n">
        <f aca="false">ROUND(Q81,0)-D81</f>
        <v>2897</v>
      </c>
      <c r="F81" s="21" t="n">
        <f aca="false">IF(COUNTA(D81:E81)=0,"",SUM(D81:E81))</f>
        <v>5927</v>
      </c>
      <c r="G81" s="39" t="n">
        <f aca="false">IF(OR(F81="",F81=0),"",D81/F81)</f>
        <v>0.511219841403746</v>
      </c>
      <c r="H81" s="39" t="n">
        <f aca="false">IF(OR(F81="",F81=0),"",E81/F81)</f>
        <v>0.488780158596254</v>
      </c>
      <c r="I81" s="38" t="s">
        <v>89</v>
      </c>
      <c r="J81" s="40" t="n">
        <v>1.83096893017141</v>
      </c>
      <c r="K81" s="39" t="n">
        <f aca="false">IF(G81="","",MAX(0,G81-J81/100))</f>
        <v>0.492910152102031</v>
      </c>
      <c r="L81" s="39" t="n">
        <f aca="false">IF(G81="","",MIN(1,G81+J81/100))</f>
        <v>0.52952953070546</v>
      </c>
      <c r="M81" s="21" t="n">
        <f aca="false">IF(F81="","",ROUND(F81*J81/100,0))</f>
        <v>109</v>
      </c>
      <c r="P81" s="41" t="n">
        <v>7.41166492492561</v>
      </c>
      <c r="Q81" s="42" t="n">
        <v>5927</v>
      </c>
      <c r="R81" s="43" t="n">
        <f aca="false">MAX(0,MIN(1,P81/100+$D$5))</f>
        <v>0.511215949067739</v>
      </c>
      <c r="S81" s="44" t="s">
        <v>110</v>
      </c>
    </row>
    <row r="82" customFormat="false" ht="15" hidden="false" customHeight="false" outlineLevel="0" collapsed="false">
      <c r="A82" s="38" t="s">
        <v>145</v>
      </c>
      <c r="B82" s="38" t="s">
        <v>163</v>
      </c>
      <c r="C82" s="38" t="s">
        <v>88</v>
      </c>
      <c r="D82" s="21" t="n">
        <f aca="false">ROUND(Q82*R82,0)</f>
        <v>1723</v>
      </c>
      <c r="E82" s="21" t="n">
        <f aca="false">ROUND(Q82,0)-D82</f>
        <v>3029</v>
      </c>
      <c r="F82" s="21" t="n">
        <f aca="false">IF(COUNTA(D82:E82)=0,"",SUM(D82:E82))</f>
        <v>4752</v>
      </c>
      <c r="G82" s="39" t="n">
        <f aca="false">IF(OR(F82="",F82=0),"",D82/F82)</f>
        <v>0.362584175084175</v>
      </c>
      <c r="H82" s="39" t="n">
        <f aca="false">IF(OR(F82="",F82=0),"",E82/F82)</f>
        <v>0.637415824915825</v>
      </c>
      <c r="I82" s="38" t="s">
        <v>89</v>
      </c>
      <c r="J82" s="40" t="n">
        <v>1.83096893017141</v>
      </c>
      <c r="K82" s="39" t="n">
        <f aca="false">IF(G82="","",MAX(0,G82-J82/100))</f>
        <v>0.344274485782461</v>
      </c>
      <c r="L82" s="39" t="n">
        <f aca="false">IF(G82="","",MIN(1,G82+J82/100))</f>
        <v>0.380893864385889</v>
      </c>
      <c r="M82" s="21" t="n">
        <f aca="false">IF(F82="","",ROUND(F82*J82/100,0))</f>
        <v>87</v>
      </c>
      <c r="P82" s="41" t="n">
        <v>-7.44657929737762</v>
      </c>
      <c r="Q82" s="42" t="n">
        <v>4752</v>
      </c>
      <c r="R82" s="43" t="n">
        <f aca="false">MAX(0,MIN(1,P82/100+$D$5))</f>
        <v>0.362633506844707</v>
      </c>
      <c r="S82" s="44" t="s">
        <v>110</v>
      </c>
    </row>
    <row r="83" customFormat="false" ht="15" hidden="false" customHeight="false" outlineLevel="0" collapsed="false">
      <c r="A83" s="38" t="s">
        <v>145</v>
      </c>
      <c r="B83" s="38" t="s">
        <v>164</v>
      </c>
      <c r="C83" s="38" t="s">
        <v>88</v>
      </c>
      <c r="D83" s="21" t="n">
        <f aca="false">ROUND(Q83*R83,0)</f>
        <v>1284</v>
      </c>
      <c r="E83" s="21" t="n">
        <f aca="false">ROUND(Q83,0)-D83</f>
        <v>1176</v>
      </c>
      <c r="F83" s="21" t="n">
        <f aca="false">IF(COUNTA(D83:E83)=0,"",SUM(D83:E83))</f>
        <v>2460</v>
      </c>
      <c r="G83" s="39" t="n">
        <f aca="false">IF(OR(F83="",F83=0),"",D83/F83)</f>
        <v>0.521951219512195</v>
      </c>
      <c r="H83" s="39" t="n">
        <f aca="false">IF(OR(F83="",F83=0),"",E83/F83)</f>
        <v>0.478048780487805</v>
      </c>
      <c r="I83" s="38" t="s">
        <v>89</v>
      </c>
      <c r="J83" s="40" t="n">
        <v>1.3223778391408</v>
      </c>
      <c r="K83" s="39" t="n">
        <f aca="false">IF(G83="","",MAX(0,G83-J83/100))</f>
        <v>0.508727441120787</v>
      </c>
      <c r="L83" s="39" t="n">
        <f aca="false">IF(G83="","",MIN(1,G83+J83/100))</f>
        <v>0.535174997903603</v>
      </c>
      <c r="M83" s="21" t="n">
        <f aca="false">IF(F83="","",ROUND(F83*J83/100,0))</f>
        <v>33</v>
      </c>
      <c r="P83" s="41" t="n">
        <v>8.48806157691493</v>
      </c>
      <c r="Q83" s="42" t="n">
        <v>2460</v>
      </c>
      <c r="R83" s="43" t="n">
        <f aca="false">MAX(0,MIN(1,P83/100+$D$5))</f>
        <v>0.521979915587632</v>
      </c>
      <c r="S83" s="44" t="s">
        <v>96</v>
      </c>
    </row>
    <row r="84" customFormat="false" ht="15" hidden="false" customHeight="false" outlineLevel="0" collapsed="false">
      <c r="A84" s="38" t="s">
        <v>145</v>
      </c>
      <c r="B84" s="38" t="s">
        <v>165</v>
      </c>
      <c r="C84" s="38" t="s">
        <v>88</v>
      </c>
      <c r="D84" s="21" t="n">
        <f aca="false">ROUND(Q84*R84,0)</f>
        <v>676</v>
      </c>
      <c r="E84" s="21" t="n">
        <f aca="false">ROUND(Q84,0)-D84</f>
        <v>602</v>
      </c>
      <c r="F84" s="21" t="n">
        <f aca="false">IF(COUNTA(D84:E84)=0,"",SUM(D84:E84))</f>
        <v>1278</v>
      </c>
      <c r="G84" s="39" t="n">
        <f aca="false">IF(OR(F84="",F84=0),"",D84/F84)</f>
        <v>0.528951486697966</v>
      </c>
      <c r="H84" s="39" t="n">
        <f aca="false">IF(OR(F84="",F84=0),"",E84/F84)</f>
        <v>0.471048513302034</v>
      </c>
      <c r="I84" s="38" t="s">
        <v>89</v>
      </c>
      <c r="J84" s="40" t="n">
        <v>2.39925188023053</v>
      </c>
      <c r="K84" s="39" t="n">
        <f aca="false">IF(G84="","",MAX(0,G84-J84/100))</f>
        <v>0.50495896789566</v>
      </c>
      <c r="L84" s="39" t="n">
        <f aca="false">IF(G84="","",MIN(1,G84+J84/100))</f>
        <v>0.552944005500271</v>
      </c>
      <c r="M84" s="21" t="n">
        <f aca="false">IF(F84="","",ROUND(F84*J84/100,0))</f>
        <v>31</v>
      </c>
      <c r="P84" s="41" t="n">
        <v>9.20414258178239</v>
      </c>
      <c r="Q84" s="42" t="n">
        <v>1278</v>
      </c>
      <c r="R84" s="43" t="n">
        <f aca="false">MAX(0,MIN(1,P84/100+$D$5))</f>
        <v>0.529140725636307</v>
      </c>
      <c r="S84" s="44" t="s">
        <v>90</v>
      </c>
    </row>
    <row r="85" customFormat="false" ht="15" hidden="false" customHeight="false" outlineLevel="0" collapsed="false">
      <c r="A85" s="38" t="s">
        <v>145</v>
      </c>
      <c r="B85" s="38" t="s">
        <v>166</v>
      </c>
      <c r="C85" s="38" t="s">
        <v>88</v>
      </c>
      <c r="D85" s="21" t="n">
        <f aca="false">ROUND(Q85*R85,0)</f>
        <v>2001</v>
      </c>
      <c r="E85" s="21" t="n">
        <f aca="false">ROUND(Q85,0)-D85</f>
        <v>1926</v>
      </c>
      <c r="F85" s="21" t="n">
        <f aca="false">IF(COUNTA(D85:E85)=0,"",SUM(D85:E85))</f>
        <v>3927</v>
      </c>
      <c r="G85" s="39" t="n">
        <f aca="false">IF(OR(F85="",F85=0),"",D85/F85)</f>
        <v>0.509549274255157</v>
      </c>
      <c r="H85" s="39" t="n">
        <f aca="false">IF(OR(F85="",F85=0),"",E85/F85)</f>
        <v>0.490450725744843</v>
      </c>
      <c r="I85" s="38" t="s">
        <v>89</v>
      </c>
      <c r="J85" s="40" t="n">
        <v>1.83096893017141</v>
      </c>
      <c r="K85" s="39" t="n">
        <f aca="false">IF(G85="","",MAX(0,G85-J85/100))</f>
        <v>0.491239584953443</v>
      </c>
      <c r="L85" s="39" t="n">
        <f aca="false">IF(G85="","",MIN(1,G85+J85/100))</f>
        <v>0.527858963556871</v>
      </c>
      <c r="M85" s="21" t="n">
        <f aca="false">IF(F85="","",ROUND(F85*J85/100,0))</f>
        <v>72</v>
      </c>
      <c r="P85" s="41" t="n">
        <v>7.246868247156</v>
      </c>
      <c r="Q85" s="42" t="n">
        <v>3927</v>
      </c>
      <c r="R85" s="43" t="n">
        <f aca="false">MAX(0,MIN(1,P85/100+$D$5))</f>
        <v>0.509567982290043</v>
      </c>
      <c r="S85" s="44" t="s">
        <v>110</v>
      </c>
    </row>
    <row r="86" customFormat="false" ht="15" hidden="false" customHeight="false" outlineLevel="0" collapsed="false">
      <c r="A86" s="38" t="s">
        <v>145</v>
      </c>
      <c r="B86" s="38" t="s">
        <v>167</v>
      </c>
      <c r="C86" s="38" t="s">
        <v>88</v>
      </c>
      <c r="D86" s="21" t="n">
        <f aca="false">ROUND(Q86*R86,0)</f>
        <v>5580</v>
      </c>
      <c r="E86" s="21" t="n">
        <f aca="false">ROUND(Q86,0)-D86</f>
        <v>4733</v>
      </c>
      <c r="F86" s="21" t="n">
        <f aca="false">IF(COUNTA(D86:E86)=0,"",SUM(D86:E86))</f>
        <v>10313</v>
      </c>
      <c r="G86" s="39" t="n">
        <f aca="false">IF(OR(F86="",F86=0),"",D86/F86)</f>
        <v>0.54106467565209</v>
      </c>
      <c r="H86" s="39" t="n">
        <f aca="false">IF(OR(F86="",F86=0),"",E86/F86)</f>
        <v>0.45893532434791</v>
      </c>
      <c r="I86" s="38" t="s">
        <v>89</v>
      </c>
      <c r="J86" s="40" t="n">
        <v>1.83096893017141</v>
      </c>
      <c r="K86" s="39" t="n">
        <f aca="false">IF(G86="","",MAX(0,G86-J86/100))</f>
        <v>0.522754986350376</v>
      </c>
      <c r="L86" s="39" t="n">
        <f aca="false">IF(G86="","",MIN(1,G86+J86/100))</f>
        <v>0.559374364953804</v>
      </c>
      <c r="M86" s="21" t="n">
        <f aca="false">IF(F86="","",ROUND(F86*J86/100,0))</f>
        <v>189</v>
      </c>
      <c r="P86" s="41" t="n">
        <v>10.3964550220325</v>
      </c>
      <c r="Q86" s="42" t="n">
        <v>10313</v>
      </c>
      <c r="R86" s="43" t="n">
        <f aca="false">MAX(0,MIN(1,P86/100+$D$5))</f>
        <v>0.541063850038808</v>
      </c>
      <c r="S86" s="44" t="s">
        <v>110</v>
      </c>
    </row>
    <row r="87" customFormat="false" ht="15" hidden="false" customHeight="false" outlineLevel="0" collapsed="false">
      <c r="A87" s="38" t="s">
        <v>145</v>
      </c>
      <c r="B87" s="38" t="s">
        <v>168</v>
      </c>
      <c r="C87" s="38" t="s">
        <v>88</v>
      </c>
      <c r="D87" s="21" t="n">
        <f aca="false">ROUND(Q87*R87,0)</f>
        <v>531</v>
      </c>
      <c r="E87" s="21" t="n">
        <f aca="false">ROUND(Q87,0)-D87</f>
        <v>758</v>
      </c>
      <c r="F87" s="21" t="n">
        <f aca="false">IF(COUNTA(D87:E87)=0,"",SUM(D87:E87))</f>
        <v>1289</v>
      </c>
      <c r="G87" s="39" t="n">
        <f aca="false">IF(OR(F87="",F87=0),"",D87/F87)</f>
        <v>0.411947245927075</v>
      </c>
      <c r="H87" s="39" t="n">
        <f aca="false">IF(OR(F87="",F87=0),"",E87/F87)</f>
        <v>0.588052754072925</v>
      </c>
      <c r="I87" s="38" t="s">
        <v>89</v>
      </c>
      <c r="J87" s="40" t="n">
        <v>2.39925188023053</v>
      </c>
      <c r="K87" s="39" t="n">
        <f aca="false">IF(G87="","",MAX(0,G87-J87/100))</f>
        <v>0.38795472712477</v>
      </c>
      <c r="L87" s="39" t="n">
        <f aca="false">IF(G87="","",MIN(1,G87+J87/100))</f>
        <v>0.435939764729381</v>
      </c>
      <c r="M87" s="21" t="n">
        <f aca="false">IF(F87="","",ROUND(F87*J87/100,0))</f>
        <v>31</v>
      </c>
      <c r="P87" s="41" t="n">
        <v>-2.54704891993593</v>
      </c>
      <c r="Q87" s="42" t="n">
        <v>1289</v>
      </c>
      <c r="R87" s="43" t="n">
        <f aca="false">MAX(0,MIN(1,P87/100+$D$5))</f>
        <v>0.411628810619123</v>
      </c>
      <c r="S87" s="44" t="s">
        <v>90</v>
      </c>
    </row>
    <row r="88" customFormat="false" ht="15" hidden="false" customHeight="false" outlineLevel="0" collapsed="false">
      <c r="A88" s="38" t="s">
        <v>145</v>
      </c>
      <c r="B88" s="38" t="s">
        <v>169</v>
      </c>
      <c r="C88" s="38" t="s">
        <v>88</v>
      </c>
      <c r="D88" s="21" t="n">
        <f aca="false">ROUND(Q88*R88,0)</f>
        <v>1119</v>
      </c>
      <c r="E88" s="21" t="n">
        <f aca="false">ROUND(Q88,0)-D88</f>
        <v>1955</v>
      </c>
      <c r="F88" s="21" t="n">
        <f aca="false">IF(COUNTA(D88:E88)=0,"",SUM(D88:E88))</f>
        <v>3074</v>
      </c>
      <c r="G88" s="39" t="n">
        <f aca="false">IF(OR(F88="",F88=0),"",D88/F88)</f>
        <v>0.36402081977879</v>
      </c>
      <c r="H88" s="39" t="n">
        <f aca="false">IF(OR(F88="",F88=0),"",E88/F88)</f>
        <v>0.63597918022121</v>
      </c>
      <c r="I88" s="38" t="s">
        <v>89</v>
      </c>
      <c r="J88" s="40" t="n">
        <v>1.3223778391408</v>
      </c>
      <c r="K88" s="39" t="n">
        <f aca="false">IF(G88="","",MAX(0,G88-J88/100))</f>
        <v>0.350797041387382</v>
      </c>
      <c r="L88" s="39" t="n">
        <f aca="false">IF(G88="","",MIN(1,G88+J88/100))</f>
        <v>0.377244598170198</v>
      </c>
      <c r="M88" s="21" t="n">
        <f aca="false">IF(F88="","",ROUND(F88*J88/100,0))</f>
        <v>41</v>
      </c>
      <c r="P88" s="41" t="n">
        <v>-7.31125173940434</v>
      </c>
      <c r="Q88" s="42" t="n">
        <v>3074</v>
      </c>
      <c r="R88" s="43" t="n">
        <f aca="false">MAX(0,MIN(1,P88/100+$D$5))</f>
        <v>0.363986782424439</v>
      </c>
      <c r="S88" s="44" t="s">
        <v>96</v>
      </c>
    </row>
    <row r="89" customFormat="false" ht="15" hidden="false" customHeight="false" outlineLevel="0" collapsed="false">
      <c r="A89" s="38" t="s">
        <v>145</v>
      </c>
      <c r="B89" s="38" t="s">
        <v>170</v>
      </c>
      <c r="C89" s="38" t="s">
        <v>88</v>
      </c>
      <c r="D89" s="21" t="n">
        <f aca="false">ROUND(Q89*R89,0)</f>
        <v>73</v>
      </c>
      <c r="E89" s="21" t="n">
        <f aca="false">ROUND(Q89,0)-D89</f>
        <v>121</v>
      </c>
      <c r="F89" s="21" t="n">
        <f aca="false">IF(COUNTA(D89:E89)=0,"",SUM(D89:E89))</f>
        <v>194</v>
      </c>
      <c r="G89" s="39" t="n">
        <f aca="false">IF(OR(F89="",F89=0),"",D89/F89)</f>
        <v>0.376288659793814</v>
      </c>
      <c r="H89" s="39" t="n">
        <f aca="false">IF(OR(F89="",F89=0),"",E89/F89)</f>
        <v>0.623711340206186</v>
      </c>
      <c r="I89" s="38" t="s">
        <v>89</v>
      </c>
      <c r="J89" s="40" t="n">
        <v>2.39925188023053</v>
      </c>
      <c r="K89" s="39" t="n">
        <f aca="false">IF(G89="","",MAX(0,G89-J89/100))</f>
        <v>0.352296140991509</v>
      </c>
      <c r="L89" s="39" t="n">
        <f aca="false">IF(G89="","",MIN(1,G89+J89/100))</f>
        <v>0.40028117859612</v>
      </c>
      <c r="M89" s="21" t="n">
        <f aca="false">IF(F89="","",ROUND(F89*J89/100,0))</f>
        <v>5</v>
      </c>
      <c r="P89" s="41" t="n">
        <v>-6.27394132818181</v>
      </c>
      <c r="Q89" s="42" t="n">
        <v>194</v>
      </c>
      <c r="R89" s="43" t="n">
        <f aca="false">MAX(0,MIN(1,P89/100+$D$5))</f>
        <v>0.374359886536665</v>
      </c>
      <c r="S89" s="44" t="s">
        <v>90</v>
      </c>
    </row>
    <row r="90" customFormat="false" ht="15" hidden="false" customHeight="false" outlineLevel="0" collapsed="false">
      <c r="A90" s="38" t="s">
        <v>145</v>
      </c>
      <c r="B90" s="38" t="s">
        <v>171</v>
      </c>
      <c r="C90" s="38" t="s">
        <v>88</v>
      </c>
      <c r="D90" s="21" t="n">
        <f aca="false">ROUND(Q90*R90,0)</f>
        <v>287</v>
      </c>
      <c r="E90" s="21" t="n">
        <f aca="false">ROUND(Q90,0)-D90</f>
        <v>389</v>
      </c>
      <c r="F90" s="21" t="n">
        <f aca="false">IF(COUNTA(D90:E90)=0,"",SUM(D90:E90))</f>
        <v>676</v>
      </c>
      <c r="G90" s="39" t="n">
        <f aca="false">IF(OR(F90="",F90=0),"",D90/F90)</f>
        <v>0.424556213017752</v>
      </c>
      <c r="H90" s="39" t="n">
        <f aca="false">IF(OR(F90="",F90=0),"",E90/F90)</f>
        <v>0.575443786982249</v>
      </c>
      <c r="I90" s="38" t="s">
        <v>89</v>
      </c>
      <c r="J90" s="40" t="n">
        <v>2.39925188023053</v>
      </c>
      <c r="K90" s="39" t="n">
        <f aca="false">IF(G90="","",MAX(0,G90-J90/100))</f>
        <v>0.400563694215446</v>
      </c>
      <c r="L90" s="39" t="n">
        <f aca="false">IF(G90="","",MIN(1,G90+J90/100))</f>
        <v>0.448548731820057</v>
      </c>
      <c r="M90" s="21" t="n">
        <f aca="false">IF(F90="","",ROUND(F90*J90/100,0))</f>
        <v>16</v>
      </c>
      <c r="P90" s="41" t="n">
        <v>-1.20511336671013</v>
      </c>
      <c r="Q90" s="42" t="n">
        <v>676</v>
      </c>
      <c r="R90" s="43" t="n">
        <f aca="false">MAX(0,MIN(1,P90/100+$D$5))</f>
        <v>0.425048166151381</v>
      </c>
      <c r="S90" s="44" t="s">
        <v>90</v>
      </c>
    </row>
    <row r="91" customFormat="false" ht="15" hidden="false" customHeight="false" outlineLevel="0" collapsed="false">
      <c r="A91" s="38" t="s">
        <v>145</v>
      </c>
      <c r="B91" s="38" t="s">
        <v>172</v>
      </c>
      <c r="C91" s="38" t="s">
        <v>88</v>
      </c>
      <c r="D91" s="21" t="n">
        <f aca="false">ROUND(Q91*R91,0)</f>
        <v>167</v>
      </c>
      <c r="E91" s="21" t="n">
        <f aca="false">ROUND(Q91,0)-D91</f>
        <v>220</v>
      </c>
      <c r="F91" s="21" t="n">
        <f aca="false">IF(COUNTA(D91:E91)=0,"",SUM(D91:E91))</f>
        <v>387</v>
      </c>
      <c r="G91" s="39" t="n">
        <f aca="false">IF(OR(F91="",F91=0),"",D91/F91)</f>
        <v>0.431524547803618</v>
      </c>
      <c r="H91" s="39" t="n">
        <f aca="false">IF(OR(F91="",F91=0),"",E91/F91)</f>
        <v>0.568475452196382</v>
      </c>
      <c r="I91" s="38" t="s">
        <v>89</v>
      </c>
      <c r="J91" s="40" t="n">
        <v>2.39925188023053</v>
      </c>
      <c r="K91" s="39" t="n">
        <f aca="false">IF(G91="","",MAX(0,G91-J91/100))</f>
        <v>0.407532029001312</v>
      </c>
      <c r="L91" s="39" t="n">
        <f aca="false">IF(G91="","",MIN(1,G91+J91/100))</f>
        <v>0.455517066605923</v>
      </c>
      <c r="M91" s="21" t="n">
        <f aca="false">IF(F91="","",ROUND(F91*J91/100,0))</f>
        <v>9</v>
      </c>
      <c r="P91" s="41" t="n">
        <v>-0.644735943543113</v>
      </c>
      <c r="Q91" s="42" t="n">
        <v>387</v>
      </c>
      <c r="R91" s="43" t="n">
        <f aca="false">MAX(0,MIN(1,P91/100+$D$5))</f>
        <v>0.430651940383052</v>
      </c>
      <c r="S91" s="44" t="s">
        <v>90</v>
      </c>
    </row>
    <row r="92" customFormat="false" ht="15" hidden="false" customHeight="false" outlineLevel="0" collapsed="false">
      <c r="A92" s="38" t="s">
        <v>145</v>
      </c>
      <c r="B92" s="38" t="s">
        <v>173</v>
      </c>
      <c r="C92" s="38" t="s">
        <v>88</v>
      </c>
      <c r="D92" s="21" t="n">
        <f aca="false">ROUND(Q92*R92,0)</f>
        <v>256</v>
      </c>
      <c r="E92" s="21" t="n">
        <f aca="false">ROUND(Q92,0)-D92</f>
        <v>305</v>
      </c>
      <c r="F92" s="21" t="n">
        <f aca="false">IF(COUNTA(D92:E92)=0,"",SUM(D92:E92))</f>
        <v>561</v>
      </c>
      <c r="G92" s="39" t="n">
        <f aca="false">IF(OR(F92="",F92=0),"",D92/F92)</f>
        <v>0.45632798573975</v>
      </c>
      <c r="H92" s="39" t="n">
        <f aca="false">IF(OR(F92="",F92=0),"",E92/F92)</f>
        <v>0.54367201426025</v>
      </c>
      <c r="I92" s="38" t="s">
        <v>89</v>
      </c>
      <c r="J92" s="40" t="n">
        <v>2.39925188023053</v>
      </c>
      <c r="K92" s="39" t="n">
        <f aca="false">IF(G92="","",MAX(0,G92-J92/100))</f>
        <v>0.432335466937445</v>
      </c>
      <c r="L92" s="39" t="n">
        <f aca="false">IF(G92="","",MIN(1,G92+J92/100))</f>
        <v>0.480320504542056</v>
      </c>
      <c r="M92" s="21" t="n">
        <f aca="false">IF(F92="","",ROUND(F92*J92/100,0))</f>
        <v>13</v>
      </c>
      <c r="P92" s="41" t="n">
        <v>1.93967332986846</v>
      </c>
      <c r="Q92" s="42" t="n">
        <v>561</v>
      </c>
      <c r="R92" s="43" t="n">
        <f aca="false">MAX(0,MIN(1,P92/100+$D$5))</f>
        <v>0.456496033117167</v>
      </c>
      <c r="S92" s="44" t="s">
        <v>90</v>
      </c>
    </row>
    <row r="93" customFormat="false" ht="15" hidden="false" customHeight="false" outlineLevel="0" collapsed="false">
      <c r="A93" s="38" t="s">
        <v>145</v>
      </c>
      <c r="B93" s="38" t="s">
        <v>174</v>
      </c>
      <c r="C93" s="38" t="s">
        <v>88</v>
      </c>
      <c r="D93" s="21" t="n">
        <f aca="false">ROUND(Q93*R93,0)</f>
        <v>1082</v>
      </c>
      <c r="E93" s="21" t="n">
        <f aca="false">ROUND(Q93,0)-D93</f>
        <v>2043</v>
      </c>
      <c r="F93" s="21" t="n">
        <f aca="false">IF(COUNTA(D93:E93)=0,"",SUM(D93:E93))</f>
        <v>3125</v>
      </c>
      <c r="G93" s="39" t="n">
        <f aca="false">IF(OR(F93="",F93=0),"",D93/F93)</f>
        <v>0.34624</v>
      </c>
      <c r="H93" s="39" t="n">
        <f aca="false">IF(OR(F93="",F93=0),"",E93/F93)</f>
        <v>0.65376</v>
      </c>
      <c r="I93" s="38" t="s">
        <v>89</v>
      </c>
      <c r="J93" s="40" t="n">
        <v>1.3223778391408</v>
      </c>
      <c r="K93" s="39" t="n">
        <f aca="false">IF(G93="","",MAX(0,G93-J93/100))</f>
        <v>0.333016221608592</v>
      </c>
      <c r="L93" s="39" t="n">
        <f aca="false">IF(G93="","",MIN(1,G93+J93/100))</f>
        <v>0.359463778391408</v>
      </c>
      <c r="M93" s="21" t="n">
        <f aca="false">IF(F93="","",ROUND(F93*J93/100,0))</f>
        <v>41</v>
      </c>
      <c r="P93" s="41" t="n">
        <v>-9.07736912210726</v>
      </c>
      <c r="Q93" s="42" t="n">
        <v>3125</v>
      </c>
      <c r="R93" s="43" t="n">
        <f aca="false">MAX(0,MIN(1,P93/100+$D$5))</f>
        <v>0.34632560859741</v>
      </c>
      <c r="S93" s="44" t="s">
        <v>96</v>
      </c>
    </row>
    <row r="94" customFormat="false" ht="15" hidden="false" customHeight="false" outlineLevel="0" collapsed="false">
      <c r="A94" s="38" t="s">
        <v>145</v>
      </c>
      <c r="B94" s="38" t="s">
        <v>175</v>
      </c>
      <c r="C94" s="38" t="s">
        <v>88</v>
      </c>
      <c r="D94" s="21" t="n">
        <f aca="false">ROUND(Q94*R94,0)</f>
        <v>1595</v>
      </c>
      <c r="E94" s="21" t="n">
        <f aca="false">ROUND(Q94,0)-D94</f>
        <v>1568</v>
      </c>
      <c r="F94" s="21" t="n">
        <f aca="false">IF(COUNTA(D94:E94)=0,"",SUM(D94:E94))</f>
        <v>3163</v>
      </c>
      <c r="G94" s="39" t="n">
        <f aca="false">IF(OR(F94="",F94=0),"",D94/F94)</f>
        <v>0.504268099905153</v>
      </c>
      <c r="H94" s="39" t="n">
        <f aca="false">IF(OR(F94="",F94=0),"",E94/F94)</f>
        <v>0.495731900094847</v>
      </c>
      <c r="I94" s="38" t="s">
        <v>89</v>
      </c>
      <c r="J94" s="40" t="n">
        <v>1.3223778391408</v>
      </c>
      <c r="K94" s="39" t="n">
        <f aca="false">IF(G94="","",MAX(0,G94-J94/100))</f>
        <v>0.491044321513745</v>
      </c>
      <c r="L94" s="39" t="n">
        <f aca="false">IF(G94="","",MIN(1,G94+J94/100))</f>
        <v>0.517491878296561</v>
      </c>
      <c r="M94" s="21" t="n">
        <f aca="false">IF(F94="","",ROUND(F94*J94/100,0))</f>
        <v>42</v>
      </c>
      <c r="P94" s="41" t="n">
        <v>6.73040427117306</v>
      </c>
      <c r="Q94" s="42" t="n">
        <v>3163</v>
      </c>
      <c r="R94" s="43" t="n">
        <f aca="false">MAX(0,MIN(1,P94/100+$D$5))</f>
        <v>0.504403342530214</v>
      </c>
      <c r="S94" s="44" t="s">
        <v>96</v>
      </c>
    </row>
    <row r="95" customFormat="false" ht="15" hidden="false" customHeight="false" outlineLevel="0" collapsed="false">
      <c r="A95" s="38" t="s">
        <v>145</v>
      </c>
      <c r="B95" s="38" t="s">
        <v>176</v>
      </c>
      <c r="C95" s="38" t="s">
        <v>88</v>
      </c>
      <c r="D95" s="21" t="n">
        <f aca="false">ROUND(Q95*R95,0)</f>
        <v>307</v>
      </c>
      <c r="E95" s="21" t="n">
        <f aca="false">ROUND(Q95,0)-D95</f>
        <v>417</v>
      </c>
      <c r="F95" s="21" t="n">
        <f aca="false">IF(COUNTA(D95:E95)=0,"",SUM(D95:E95))</f>
        <v>724</v>
      </c>
      <c r="G95" s="39" t="n">
        <f aca="false">IF(OR(F95="",F95=0),"",D95/F95)</f>
        <v>0.424033149171271</v>
      </c>
      <c r="H95" s="39" t="n">
        <f aca="false">IF(OR(F95="",F95=0),"",E95/F95)</f>
        <v>0.575966850828729</v>
      </c>
      <c r="I95" s="38" t="s">
        <v>89</v>
      </c>
      <c r="J95" s="40" t="n">
        <v>2.39925188023053</v>
      </c>
      <c r="K95" s="39" t="n">
        <f aca="false">IF(G95="","",MAX(0,G95-J95/100))</f>
        <v>0.400040630368965</v>
      </c>
      <c r="L95" s="39" t="n">
        <f aca="false">IF(G95="","",MIN(1,G95+J95/100))</f>
        <v>0.448025667973576</v>
      </c>
      <c r="M95" s="21" t="n">
        <f aca="false">IF(F95="","",ROUND(F95*J95/100,0))</f>
        <v>17</v>
      </c>
      <c r="P95" s="41" t="n">
        <v>-1.28210993573592</v>
      </c>
      <c r="Q95" s="42" t="n">
        <v>724</v>
      </c>
      <c r="R95" s="43" t="n">
        <f aca="false">MAX(0,MIN(1,P95/100+$D$5))</f>
        <v>0.424278200461124</v>
      </c>
      <c r="S95" s="44" t="s">
        <v>90</v>
      </c>
    </row>
    <row r="96" customFormat="false" ht="15" hidden="false" customHeight="false" outlineLevel="0" collapsed="false">
      <c r="A96" s="38" t="s">
        <v>145</v>
      </c>
      <c r="B96" s="38" t="s">
        <v>138</v>
      </c>
      <c r="C96" s="38" t="s">
        <v>88</v>
      </c>
      <c r="D96" s="21" t="n">
        <f aca="false">ROUND(Q96*R96,0)</f>
        <v>843</v>
      </c>
      <c r="E96" s="21" t="n">
        <f aca="false">ROUND(Q96,0)-D96</f>
        <v>1530</v>
      </c>
      <c r="F96" s="21" t="n">
        <f aca="false">IF(COUNTA(D96:E96)=0,"",SUM(D96:E96))</f>
        <v>2373</v>
      </c>
      <c r="G96" s="39" t="n">
        <f aca="false">IF(OR(F96="",F96=0),"",D96/F96)</f>
        <v>0.355246523388116</v>
      </c>
      <c r="H96" s="39" t="n">
        <f aca="false">IF(OR(F96="",F96=0),"",E96/F96)</f>
        <v>0.644753476611884</v>
      </c>
      <c r="I96" s="38" t="s">
        <v>89</v>
      </c>
      <c r="J96" s="40" t="n">
        <v>1.3223778391408</v>
      </c>
      <c r="K96" s="39" t="n">
        <f aca="false">IF(G96="","",MAX(0,G96-J96/100))</f>
        <v>0.342022744996708</v>
      </c>
      <c r="L96" s="39" t="n">
        <f aca="false">IF(G96="","",MIN(1,G96+J96/100))</f>
        <v>0.368470301779524</v>
      </c>
      <c r="M96" s="21" t="n">
        <f aca="false">IF(F96="","",ROUND(F96*J96/100,0))</f>
        <v>31</v>
      </c>
      <c r="P96" s="41" t="n">
        <v>-8.20411263427561</v>
      </c>
      <c r="Q96" s="42" t="n">
        <v>2373</v>
      </c>
      <c r="R96" s="43" t="n">
        <f aca="false">MAX(0,MIN(1,P96/100+$D$5))</f>
        <v>0.355058173475727</v>
      </c>
      <c r="S96" s="44" t="s">
        <v>96</v>
      </c>
    </row>
    <row r="97" customFormat="false" ht="15" hidden="false" customHeight="false" outlineLevel="0" collapsed="false">
      <c r="A97" s="38" t="s">
        <v>145</v>
      </c>
      <c r="B97" s="38" t="s">
        <v>177</v>
      </c>
      <c r="C97" s="38" t="s">
        <v>88</v>
      </c>
      <c r="D97" s="21" t="n">
        <f aca="false">ROUND(Q97*R97,0)</f>
        <v>213</v>
      </c>
      <c r="E97" s="21" t="n">
        <f aca="false">ROUND(Q97,0)-D97</f>
        <v>201</v>
      </c>
      <c r="F97" s="21" t="n">
        <f aca="false">IF(COUNTA(D97:E97)=0,"",SUM(D97:E97))</f>
        <v>414</v>
      </c>
      <c r="G97" s="39" t="n">
        <f aca="false">IF(OR(F97="",F97=0),"",D97/F97)</f>
        <v>0.514492753623188</v>
      </c>
      <c r="H97" s="39" t="n">
        <f aca="false">IF(OR(F97="",F97=0),"",E97/F97)</f>
        <v>0.485507246376812</v>
      </c>
      <c r="I97" s="38" t="s">
        <v>89</v>
      </c>
      <c r="J97" s="40" t="n">
        <v>2.39925188023053</v>
      </c>
      <c r="K97" s="39" t="n">
        <f aca="false">IF(G97="","",MAX(0,G97-J97/100))</f>
        <v>0.490500234820883</v>
      </c>
      <c r="L97" s="39" t="n">
        <f aca="false">IF(G97="","",MIN(1,G97+J97/100))</f>
        <v>0.538485272425494</v>
      </c>
      <c r="M97" s="21" t="n">
        <f aca="false">IF(F97="","",ROUND(F97*J97/100,0))</f>
        <v>10</v>
      </c>
      <c r="P97" s="41" t="n">
        <v>7.77853938832551</v>
      </c>
      <c r="Q97" s="42" t="n">
        <v>414</v>
      </c>
      <c r="R97" s="43" t="n">
        <f aca="false">MAX(0,MIN(1,P97/100+$D$5))</f>
        <v>0.514884693701738</v>
      </c>
      <c r="S97" s="44" t="s">
        <v>90</v>
      </c>
    </row>
    <row r="98" customFormat="false" ht="15" hidden="false" customHeight="false" outlineLevel="0" collapsed="false">
      <c r="A98" s="38" t="s">
        <v>145</v>
      </c>
      <c r="B98" s="38" t="s">
        <v>178</v>
      </c>
      <c r="C98" s="38" t="s">
        <v>88</v>
      </c>
      <c r="D98" s="21" t="n">
        <f aca="false">ROUND(Q98*R98,0)</f>
        <v>1579</v>
      </c>
      <c r="E98" s="21" t="n">
        <f aca="false">ROUND(Q98,0)-D98</f>
        <v>1737</v>
      </c>
      <c r="F98" s="21" t="n">
        <f aca="false">IF(COUNTA(D98:E98)=0,"",SUM(D98:E98))</f>
        <v>3316</v>
      </c>
      <c r="G98" s="39" t="n">
        <f aca="false">IF(OR(F98="",F98=0),"",D98/F98)</f>
        <v>0.476176115802171</v>
      </c>
      <c r="H98" s="39" t="n">
        <f aca="false">IF(OR(F98="",F98=0),"",E98/F98)</f>
        <v>0.523823884197829</v>
      </c>
      <c r="I98" s="38" t="s">
        <v>89</v>
      </c>
      <c r="J98" s="40" t="n">
        <v>1.3223778391408</v>
      </c>
      <c r="K98" s="39" t="n">
        <f aca="false">IF(G98="","",MAX(0,G98-J98/100))</f>
        <v>0.462952337410763</v>
      </c>
      <c r="L98" s="39" t="n">
        <f aca="false">IF(G98="","",MIN(1,G98+J98/100))</f>
        <v>0.489399894193579</v>
      </c>
      <c r="M98" s="21" t="n">
        <f aca="false">IF(F98="","",ROUND(F98*J98/100,0))</f>
        <v>44</v>
      </c>
      <c r="P98" s="41" t="n">
        <v>3.90416799226974</v>
      </c>
      <c r="Q98" s="42" t="n">
        <v>3316</v>
      </c>
      <c r="R98" s="43" t="n">
        <f aca="false">MAX(0,MIN(1,P98/100+$D$5))</f>
        <v>0.47614097974118</v>
      </c>
      <c r="S98" s="44" t="s">
        <v>96</v>
      </c>
    </row>
    <row r="99" customFormat="false" ht="15" hidden="false" customHeight="false" outlineLevel="0" collapsed="false">
      <c r="A99" s="38" t="s">
        <v>145</v>
      </c>
      <c r="B99" s="38" t="s">
        <v>179</v>
      </c>
      <c r="C99" s="38" t="s">
        <v>88</v>
      </c>
      <c r="D99" s="21" t="n">
        <f aca="false">ROUND(Q99*R99,0)</f>
        <v>1344</v>
      </c>
      <c r="E99" s="21" t="n">
        <f aca="false">ROUND(Q99,0)-D99</f>
        <v>949</v>
      </c>
      <c r="F99" s="21" t="n">
        <f aca="false">IF(COUNTA(D99:E99)=0,"",SUM(D99:E99))</f>
        <v>2293</v>
      </c>
      <c r="G99" s="39" t="n">
        <f aca="false">IF(OR(F99="",F99=0),"",D99/F99)</f>
        <v>0.586131705189708</v>
      </c>
      <c r="H99" s="39" t="n">
        <f aca="false">IF(OR(F99="",F99=0),"",E99/F99)</f>
        <v>0.413868294810292</v>
      </c>
      <c r="I99" s="38" t="s">
        <v>89</v>
      </c>
      <c r="J99" s="40" t="n">
        <v>1.3223778391408</v>
      </c>
      <c r="K99" s="39" t="n">
        <f aca="false">IF(G99="","",MAX(0,G99-J99/100))</f>
        <v>0.5729079267983</v>
      </c>
      <c r="L99" s="39" t="n">
        <f aca="false">IF(G99="","",MIN(1,G99+J99/100))</f>
        <v>0.599355483581116</v>
      </c>
      <c r="M99" s="21" t="n">
        <f aca="false">IF(F99="","",ROUND(F99*J99/100,0))</f>
        <v>30</v>
      </c>
      <c r="P99" s="41" t="n">
        <v>14.9236981182269</v>
      </c>
      <c r="Q99" s="42" t="n">
        <v>2293</v>
      </c>
      <c r="R99" s="43" t="n">
        <f aca="false">MAX(0,MIN(1,P99/100+$D$5))</f>
        <v>0.586336281000752</v>
      </c>
      <c r="S99" s="44" t="s">
        <v>96</v>
      </c>
    </row>
    <row r="100" customFormat="false" ht="15" hidden="false" customHeight="false" outlineLevel="0" collapsed="false">
      <c r="A100" s="38" t="s">
        <v>145</v>
      </c>
      <c r="B100" s="38" t="s">
        <v>180</v>
      </c>
      <c r="C100" s="38" t="s">
        <v>88</v>
      </c>
      <c r="D100" s="21" t="n">
        <f aca="false">ROUND(Q100*R100,0)</f>
        <v>505</v>
      </c>
      <c r="E100" s="21" t="n">
        <f aca="false">ROUND(Q100,0)-D100</f>
        <v>590</v>
      </c>
      <c r="F100" s="21" t="n">
        <f aca="false">IF(COUNTA(D100:E100)=0,"",SUM(D100:E100))</f>
        <v>1095</v>
      </c>
      <c r="G100" s="39" t="n">
        <f aca="false">IF(OR(F100="",F100=0),"",D100/F100)</f>
        <v>0.461187214611872</v>
      </c>
      <c r="H100" s="39" t="n">
        <f aca="false">IF(OR(F100="",F100=0),"",E100/F100)</f>
        <v>0.538812785388128</v>
      </c>
      <c r="I100" s="38" t="s">
        <v>89</v>
      </c>
      <c r="J100" s="40" t="n">
        <v>2.39925188023053</v>
      </c>
      <c r="K100" s="39" t="n">
        <f aca="false">IF(G100="","",MAX(0,G100-J100/100))</f>
        <v>0.437194695809567</v>
      </c>
      <c r="L100" s="39" t="n">
        <f aca="false">IF(G100="","",MIN(1,G100+J100/100))</f>
        <v>0.485179733414177</v>
      </c>
      <c r="M100" s="21" t="n">
        <f aca="false">IF(F100="","",ROUND(F100*J100/100,0))</f>
        <v>26</v>
      </c>
      <c r="P100" s="41" t="n">
        <v>2.4519248015627</v>
      </c>
      <c r="Q100" s="42" t="n">
        <v>1095</v>
      </c>
      <c r="R100" s="43" t="n">
        <f aca="false">MAX(0,MIN(1,P100/100+$D$5))</f>
        <v>0.46161854783411</v>
      </c>
      <c r="S100" s="44" t="s">
        <v>90</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185</v>
      </c>
    </row>
    <row r="3" customFormat="false" ht="15" hidden="false" customHeight="false" outlineLevel="0" collapsed="false">
      <c r="A3" s="5" t="s">
        <v>186</v>
      </c>
    </row>
    <row r="4" customFormat="false" ht="33.75" hidden="false" customHeight="true" outlineLevel="0" collapsed="false">
      <c r="A4" s="45" t="s">
        <v>187</v>
      </c>
      <c r="B4" s="45"/>
      <c r="C4" s="45"/>
      <c r="D4" s="45"/>
      <c r="E4" s="45"/>
      <c r="F4" s="45"/>
      <c r="G4" s="45"/>
      <c r="H4" s="45"/>
    </row>
    <row r="5" customFormat="false" ht="15" hidden="false" customHeight="false" outlineLevel="0" collapsed="false">
      <c r="A5" s="5" t="s">
        <v>188</v>
      </c>
    </row>
    <row r="6" customFormat="false" ht="33.75" hidden="false" customHeight="true" outlineLevel="0" collapsed="false">
      <c r="A6" s="45" t="s">
        <v>189</v>
      </c>
      <c r="B6" s="45"/>
      <c r="C6" s="45"/>
      <c r="D6" s="45"/>
      <c r="E6" s="45"/>
      <c r="F6" s="45"/>
      <c r="G6" s="45"/>
      <c r="H6" s="45"/>
    </row>
    <row r="7" customFormat="false" ht="15" hidden="false" customHeight="false" outlineLevel="0" collapsed="false">
      <c r="A7" s="5" t="s">
        <v>190</v>
      </c>
    </row>
    <row r="8" customFormat="false" ht="33.75" hidden="false" customHeight="true" outlineLevel="0" collapsed="false">
      <c r="A8" s="45" t="s">
        <v>191</v>
      </c>
      <c r="B8" s="45"/>
      <c r="C8" s="45"/>
      <c r="D8" s="45"/>
      <c r="E8" s="45"/>
      <c r="F8" s="45"/>
      <c r="G8" s="45"/>
      <c r="H8" s="45"/>
    </row>
    <row r="9" customFormat="false" ht="15" hidden="false" customHeight="false" outlineLevel="0" collapsed="false">
      <c r="A9" s="5" t="s">
        <v>192</v>
      </c>
    </row>
    <row r="10" customFormat="false" ht="33.75" hidden="false" customHeight="true" outlineLevel="0" collapsed="false">
      <c r="A10" s="45" t="s">
        <v>193</v>
      </c>
      <c r="B10" s="45"/>
      <c r="C10" s="45"/>
      <c r="D10" s="45"/>
      <c r="E10" s="45"/>
      <c r="F10" s="45"/>
      <c r="G10" s="45"/>
      <c r="H10" s="45"/>
    </row>
    <row r="11" customFormat="false" ht="15" hidden="false" customHeight="false" outlineLevel="0" collapsed="false">
      <c r="A11" s="5" t="s">
        <v>194</v>
      </c>
    </row>
    <row r="12" customFormat="false" ht="33.75" hidden="false" customHeight="true" outlineLevel="0" collapsed="false">
      <c r="A12" s="45" t="s">
        <v>195</v>
      </c>
      <c r="B12" s="45"/>
      <c r="C12" s="45"/>
      <c r="D12" s="45"/>
      <c r="E12" s="45"/>
      <c r="F12" s="45"/>
      <c r="G12" s="45"/>
      <c r="H12" s="45"/>
    </row>
    <row r="14" customFormat="false" ht="15" hidden="false" customHeight="false" outlineLevel="0" collapsed="false">
      <c r="A14" s="4" t="s">
        <v>196</v>
      </c>
      <c r="B14" s="4"/>
      <c r="C14" s="4"/>
      <c r="D14" s="4"/>
      <c r="E14" s="4"/>
      <c r="F14" s="4"/>
      <c r="G14" s="4"/>
      <c r="H14" s="4"/>
    </row>
    <row r="15" customFormat="false" ht="31.5" hidden="false" customHeight="true" outlineLevel="0" collapsed="false">
      <c r="A15" s="7" t="s">
        <v>197</v>
      </c>
      <c r="B15" s="7" t="s">
        <v>25</v>
      </c>
      <c r="C15" s="7" t="s">
        <v>27</v>
      </c>
      <c r="D15" s="7" t="s">
        <v>29</v>
      </c>
      <c r="E15" s="7" t="s">
        <v>198</v>
      </c>
    </row>
    <row r="16" customFormat="false" ht="15" hidden="false" customHeight="false" outlineLevel="0" collapsed="false">
      <c r="A16" s="16" t="s">
        <v>199</v>
      </c>
      <c r="B16" s="9" t="n">
        <v>0.0021988196844981</v>
      </c>
      <c r="C16" s="9" t="n">
        <v>0</v>
      </c>
      <c r="D16" s="9" t="n">
        <v>0.00203919655217403</v>
      </c>
      <c r="E16" s="46" t="n">
        <v>1</v>
      </c>
    </row>
    <row r="17" customFormat="false" ht="15" hidden="false" customHeight="false" outlineLevel="0" collapsed="false">
      <c r="A17" s="16" t="s">
        <v>200</v>
      </c>
      <c r="B17" s="9" t="n">
        <v>0.780011412062897</v>
      </c>
      <c r="C17" s="9" t="n">
        <v>0.785036003719484</v>
      </c>
      <c r="D17" s="9" t="n">
        <v>0.657413249777114</v>
      </c>
      <c r="E17" s="46" t="n">
        <v>0.9087993842659</v>
      </c>
    </row>
    <row r="18" customFormat="false" ht="15" hidden="false" customHeight="false" outlineLevel="0" collapsed="false">
      <c r="A18" s="16" t="s">
        <v>201</v>
      </c>
      <c r="B18" s="9" t="n">
        <v>0.217789768252605</v>
      </c>
      <c r="C18" s="9" t="n">
        <v>0.214963996280516</v>
      </c>
      <c r="D18" s="9" t="n">
        <v>0.340547553670712</v>
      </c>
      <c r="E18" s="46" t="n">
        <v>1.68605143892932</v>
      </c>
    </row>
    <row r="19" customFormat="false" ht="15" hidden="false" customHeight="false" outlineLevel="0" collapsed="false">
      <c r="A19" s="3" t="s">
        <v>202</v>
      </c>
    </row>
    <row r="21" customFormat="false" ht="15" hidden="false" customHeight="false" outlineLevel="0" collapsed="false">
      <c r="A21" s="4" t="s">
        <v>203</v>
      </c>
      <c r="B21" s="4"/>
      <c r="C21" s="4"/>
      <c r="D21" s="4"/>
      <c r="E21" s="4"/>
      <c r="F21" s="4"/>
      <c r="G21" s="4"/>
      <c r="H21" s="4"/>
    </row>
    <row r="22" customFormat="false" ht="31.5" hidden="false" customHeight="true" outlineLevel="0" collapsed="false">
      <c r="A22" s="7" t="s">
        <v>204</v>
      </c>
      <c r="B22" s="7" t="s">
        <v>25</v>
      </c>
      <c r="C22" s="7" t="s">
        <v>205</v>
      </c>
      <c r="D22" s="7" t="s">
        <v>27</v>
      </c>
      <c r="E22" s="7" t="s">
        <v>205</v>
      </c>
      <c r="F22" s="7" t="s">
        <v>29</v>
      </c>
      <c r="G22" s="7" t="s">
        <v>205</v>
      </c>
    </row>
    <row r="23" customFormat="false" ht="15" hidden="false" customHeight="false" outlineLevel="0" collapsed="false">
      <c r="A23" s="8" t="n">
        <v>1</v>
      </c>
      <c r="B23" s="8" t="s">
        <v>206</v>
      </c>
      <c r="C23" s="9" t="n">
        <v>0.210340962515575</v>
      </c>
      <c r="D23" s="8" t="s">
        <v>206</v>
      </c>
      <c r="E23" s="9" t="n">
        <v>0.224166795744943</v>
      </c>
      <c r="F23" s="8" t="s">
        <v>206</v>
      </c>
      <c r="G23" s="9" t="n">
        <v>0.177280657167436</v>
      </c>
    </row>
    <row r="24" customFormat="false" ht="15" hidden="false" customHeight="false" outlineLevel="0" collapsed="false">
      <c r="A24" s="8" t="n">
        <v>2</v>
      </c>
      <c r="B24" s="8" t="s">
        <v>207</v>
      </c>
      <c r="C24" s="9" t="n">
        <v>0.181215491396081</v>
      </c>
      <c r="D24" s="8" t="s">
        <v>207</v>
      </c>
      <c r="E24" s="9" t="n">
        <v>0.210039887016066</v>
      </c>
      <c r="F24" s="8" t="s">
        <v>208</v>
      </c>
      <c r="G24" s="9" t="n">
        <v>0.157222126753297</v>
      </c>
    </row>
    <row r="25" customFormat="false" ht="15" hidden="false" customHeight="false" outlineLevel="0" collapsed="false">
      <c r="A25" s="8" t="n">
        <v>3</v>
      </c>
      <c r="B25" s="8" t="s">
        <v>209</v>
      </c>
      <c r="C25" s="9" t="n">
        <v>0.157020859198981</v>
      </c>
      <c r="D25" s="8" t="s">
        <v>209</v>
      </c>
      <c r="E25" s="9" t="n">
        <v>0.167299923903793</v>
      </c>
      <c r="F25" s="8" t="s">
        <v>207</v>
      </c>
      <c r="G25" s="9" t="n">
        <v>0.152732977064504</v>
      </c>
    </row>
    <row r="26" customFormat="false" ht="15" hidden="false" customHeight="false" outlineLevel="0" collapsed="false">
      <c r="A26" s="8" t="n">
        <v>4</v>
      </c>
      <c r="B26" s="8" t="s">
        <v>208</v>
      </c>
      <c r="C26" s="9" t="n">
        <v>0.100547985679825</v>
      </c>
      <c r="D26" s="8" t="s">
        <v>208</v>
      </c>
      <c r="E26" s="9" t="n">
        <v>0.135181445177337</v>
      </c>
      <c r="F26" s="8" t="s">
        <v>209</v>
      </c>
      <c r="G26" s="9" t="n">
        <v>0.132341132107018</v>
      </c>
    </row>
    <row r="27" customFormat="false" ht="15" hidden="false" customHeight="false" outlineLevel="0" collapsed="false">
      <c r="A27" s="8" t="n">
        <v>5</v>
      </c>
      <c r="B27" s="8" t="s">
        <v>210</v>
      </c>
      <c r="C27" s="9" t="n">
        <v>0.0982613145602293</v>
      </c>
      <c r="D27" s="8" t="s">
        <v>210</v>
      </c>
      <c r="E27" s="9" t="n">
        <v>0.100769222121526</v>
      </c>
      <c r="F27" s="8" t="s">
        <v>211</v>
      </c>
      <c r="G27" s="9" t="n">
        <v>0.124049331077864</v>
      </c>
    </row>
    <row r="28" customFormat="false" ht="15" hidden="false" customHeight="false" outlineLevel="0" collapsed="false">
      <c r="A28" s="8" t="n">
        <v>6</v>
      </c>
      <c r="B28" s="8" t="s">
        <v>211</v>
      </c>
      <c r="C28" s="9" t="n">
        <v>0.0793330469596096</v>
      </c>
      <c r="D28" s="8" t="s">
        <v>212</v>
      </c>
      <c r="E28" s="9" t="n">
        <v>0.0827601749331565</v>
      </c>
      <c r="F28" s="8" t="s">
        <v>210</v>
      </c>
      <c r="G28" s="9" t="n">
        <v>0.0828171089978908</v>
      </c>
    </row>
    <row r="29" customFormat="false" ht="15" hidden="false" customHeight="false" outlineLevel="0" collapsed="false">
      <c r="A29" s="8" t="n">
        <v>7</v>
      </c>
      <c r="B29" s="8" t="s">
        <v>212</v>
      </c>
      <c r="C29" s="9" t="n">
        <v>0.0718460864042921</v>
      </c>
      <c r="D29" s="8" t="s">
        <v>211</v>
      </c>
      <c r="E29" s="9" t="n">
        <v>0.079782551103179</v>
      </c>
      <c r="F29" s="8" t="s">
        <v>212</v>
      </c>
      <c r="G29" s="9" t="n">
        <v>0.060553689877302</v>
      </c>
    </row>
    <row r="30" customFormat="false" ht="15" hidden="false" customHeight="false" outlineLevel="0" collapsed="false">
      <c r="A30" s="8" t="n">
        <v>8</v>
      </c>
      <c r="B30" s="8" t="s">
        <v>213</v>
      </c>
      <c r="C30" s="9" t="n">
        <v>0.0129894305625747</v>
      </c>
      <c r="D30" s="8"/>
      <c r="E30" s="8"/>
      <c r="F30" s="8" t="s">
        <v>214</v>
      </c>
      <c r="G30" s="9" t="n">
        <v>0.0163415274403708</v>
      </c>
    </row>
    <row r="31" customFormat="false" ht="15" hidden="false" customHeight="false" outlineLevel="0" collapsed="false">
      <c r="A31" s="8" t="n">
        <v>9</v>
      </c>
      <c r="B31" s="8" t="s">
        <v>214</v>
      </c>
      <c r="C31" s="9" t="n">
        <v>0.010450867832612</v>
      </c>
      <c r="D31" s="8"/>
      <c r="E31" s="8"/>
      <c r="F31" s="8" t="s">
        <v>215</v>
      </c>
      <c r="G31" s="9" t="n">
        <v>0.0160576731356494</v>
      </c>
    </row>
    <row r="32" customFormat="false" ht="15" hidden="false" customHeight="false" outlineLevel="0" collapsed="false">
      <c r="A32" s="8" t="n">
        <v>10</v>
      </c>
      <c r="B32" s="8" t="s">
        <v>215</v>
      </c>
      <c r="C32" s="9" t="n">
        <v>0.0102693349965178</v>
      </c>
      <c r="D32" s="8"/>
      <c r="E32" s="8"/>
      <c r="F32" s="8" t="s">
        <v>213</v>
      </c>
      <c r="G32" s="9" t="n">
        <v>0.0109478190021761</v>
      </c>
    </row>
    <row r="34" customFormat="false" ht="15" hidden="false" customHeight="false" outlineLevel="0" collapsed="false">
      <c r="A34" s="4" t="s">
        <v>216</v>
      </c>
      <c r="B34" s="4"/>
      <c r="C34" s="4"/>
      <c r="D34" s="4"/>
      <c r="E34" s="4"/>
      <c r="F34" s="4"/>
      <c r="G34" s="4"/>
      <c r="H34" s="4"/>
    </row>
    <row r="35" customFormat="false" ht="31.5" hidden="false" customHeight="true" outlineLevel="0" collapsed="false">
      <c r="A35" s="7" t="s">
        <v>217</v>
      </c>
      <c r="B35" s="7" t="s">
        <v>218</v>
      </c>
      <c r="C35" s="7" t="s">
        <v>219</v>
      </c>
      <c r="D35" s="7" t="s">
        <v>220</v>
      </c>
    </row>
    <row r="36" customFormat="false" ht="15" hidden="false" customHeight="false" outlineLevel="0" collapsed="false">
      <c r="A36" s="38" t="s">
        <v>206</v>
      </c>
      <c r="B36" s="38" t="n">
        <v>20</v>
      </c>
      <c r="C36" s="39" t="n">
        <v>0.205738956169815</v>
      </c>
      <c r="D36" s="38" t="s">
        <v>221</v>
      </c>
    </row>
    <row r="37" customFormat="false" ht="15" hidden="false" customHeight="false" outlineLevel="0" collapsed="false">
      <c r="A37" s="38" t="s">
        <v>207</v>
      </c>
      <c r="B37" s="38" t="n">
        <v>20</v>
      </c>
      <c r="C37" s="39" t="n">
        <v>0.176790463291517</v>
      </c>
      <c r="D37" s="38" t="s">
        <v>221</v>
      </c>
    </row>
    <row r="38" customFormat="false" ht="15" hidden="false" customHeight="false" outlineLevel="0" collapsed="false">
      <c r="A38" s="38" t="s">
        <v>209</v>
      </c>
      <c r="B38" s="38" t="n">
        <v>20</v>
      </c>
      <c r="C38" s="39" t="n">
        <v>0.154670138686392</v>
      </c>
      <c r="D38" s="38" t="s">
        <v>221</v>
      </c>
    </row>
    <row r="39" customFormat="false" ht="15" hidden="false" customHeight="false" outlineLevel="0" collapsed="false">
      <c r="A39" s="38" t="s">
        <v>208</v>
      </c>
      <c r="B39" s="38" t="n">
        <v>20</v>
      </c>
      <c r="C39" s="39" t="n">
        <v>0.0970768642628434</v>
      </c>
      <c r="D39" s="38" t="s">
        <v>221</v>
      </c>
    </row>
    <row r="40" customFormat="false" ht="15" hidden="false" customHeight="false" outlineLevel="0" collapsed="false">
      <c r="A40" s="38" t="s">
        <v>210</v>
      </c>
      <c r="B40" s="38" t="n">
        <v>20</v>
      </c>
      <c r="C40" s="39" t="n">
        <v>0.0923827920028706</v>
      </c>
      <c r="D40" s="38" t="s">
        <v>221</v>
      </c>
    </row>
    <row r="41" customFormat="false" ht="15" hidden="false" customHeight="false" outlineLevel="0" collapsed="false">
      <c r="A41" s="38" t="s">
        <v>211</v>
      </c>
      <c r="B41" s="38" t="n">
        <v>20</v>
      </c>
      <c r="C41" s="39" t="n">
        <v>0.0785631908810124</v>
      </c>
      <c r="D41" s="38" t="s">
        <v>221</v>
      </c>
    </row>
    <row r="42" customFormat="false" ht="15" hidden="false" customHeight="false" outlineLevel="0" collapsed="false">
      <c r="A42" s="38" t="s">
        <v>212</v>
      </c>
      <c r="B42" s="38" t="n">
        <v>20</v>
      </c>
      <c r="C42" s="39" t="n">
        <v>0.0702216656345184</v>
      </c>
      <c r="D42" s="38" t="s">
        <v>221</v>
      </c>
    </row>
    <row r="43" customFormat="false" ht="15" hidden="false" customHeight="false" outlineLevel="0" collapsed="false">
      <c r="A43" s="38" t="s">
        <v>213</v>
      </c>
      <c r="B43" s="38" t="n">
        <v>20</v>
      </c>
      <c r="C43" s="39" t="n">
        <v>0.0160268502692119</v>
      </c>
      <c r="D43" s="38" t="s">
        <v>222</v>
      </c>
    </row>
    <row r="44" customFormat="false" ht="15" hidden="false" customHeight="false" outlineLevel="0" collapsed="false">
      <c r="A44" s="38" t="s">
        <v>223</v>
      </c>
      <c r="B44" s="38" t="n">
        <v>20</v>
      </c>
      <c r="C44" s="39" t="n">
        <v>0.0139220627249178</v>
      </c>
      <c r="D44" s="38" t="s">
        <v>222</v>
      </c>
    </row>
    <row r="45" customFormat="false" ht="15" hidden="false" customHeight="false" outlineLevel="0" collapsed="false">
      <c r="A45" s="38" t="s">
        <v>214</v>
      </c>
      <c r="B45" s="38" t="n">
        <v>18</v>
      </c>
      <c r="C45" s="39" t="n">
        <v>0.0131017249995886</v>
      </c>
      <c r="D45" s="38" t="s">
        <v>222</v>
      </c>
    </row>
    <row r="46" customFormat="false" ht="15" hidden="false" customHeight="false" outlineLevel="0" collapsed="false">
      <c r="A46" s="38" t="s">
        <v>224</v>
      </c>
      <c r="B46" s="38" t="n">
        <v>20</v>
      </c>
      <c r="C46" s="39" t="n">
        <v>0.0125221134643199</v>
      </c>
      <c r="D46" s="38" t="s">
        <v>222</v>
      </c>
    </row>
    <row r="47" customFormat="false" ht="15" hidden="false" customHeight="false" outlineLevel="0" collapsed="false">
      <c r="A47" s="38" t="s">
        <v>225</v>
      </c>
      <c r="B47" s="38" t="n">
        <v>20</v>
      </c>
      <c r="C47" s="39" t="n">
        <v>0.00951752326537287</v>
      </c>
      <c r="D47" s="38" t="s">
        <v>222</v>
      </c>
    </row>
    <row r="48" customFormat="false" ht="15" hidden="false" customHeight="false" outlineLevel="0" collapsed="false">
      <c r="A48" s="38" t="s">
        <v>226</v>
      </c>
      <c r="B48" s="38" t="n">
        <v>20</v>
      </c>
      <c r="C48" s="39" t="n">
        <v>0.00935191456869984</v>
      </c>
      <c r="D48" s="38" t="s">
        <v>222</v>
      </c>
    </row>
    <row r="49" customFormat="false" ht="15" hidden="false" customHeight="false" outlineLevel="0" collapsed="false">
      <c r="A49" s="38" t="s">
        <v>215</v>
      </c>
      <c r="B49" s="38" t="n">
        <v>20</v>
      </c>
      <c r="C49" s="39" t="n">
        <v>0.00931192690101068</v>
      </c>
      <c r="D49" s="38" t="s">
        <v>222</v>
      </c>
    </row>
    <row r="50" customFormat="false" ht="15" hidden="false" customHeight="false" outlineLevel="0" collapsed="false">
      <c r="A50" s="38" t="s">
        <v>227</v>
      </c>
      <c r="B50" s="38" t="n">
        <v>20</v>
      </c>
      <c r="C50" s="39" t="n">
        <v>0.00850194164957362</v>
      </c>
      <c r="D50" s="38" t="s">
        <v>222</v>
      </c>
    </row>
    <row r="51" customFormat="false" ht="15" hidden="false" customHeight="false" outlineLevel="0" collapsed="false">
      <c r="A51" s="38" t="s">
        <v>228</v>
      </c>
      <c r="B51" s="38" t="n">
        <v>19</v>
      </c>
      <c r="C51" s="39" t="n">
        <v>0.00849106249755241</v>
      </c>
      <c r="D51" s="38" t="s">
        <v>222</v>
      </c>
    </row>
    <row r="52" customFormat="false" ht="15" hidden="false" customHeight="false" outlineLevel="0" collapsed="false">
      <c r="A52" s="38" t="s">
        <v>229</v>
      </c>
      <c r="B52" s="38" t="n">
        <v>20</v>
      </c>
      <c r="C52" s="39" t="n">
        <v>0.00778333998260967</v>
      </c>
      <c r="D52" s="38" t="s">
        <v>222</v>
      </c>
    </row>
    <row r="53" customFormat="false" ht="15" hidden="false" customHeight="false" outlineLevel="0" collapsed="false">
      <c r="A53" s="38" t="s">
        <v>230</v>
      </c>
      <c r="B53" s="38" t="n">
        <v>20</v>
      </c>
      <c r="C53" s="39" t="n">
        <v>0.007387600614757</v>
      </c>
      <c r="D53" s="38" t="s">
        <v>222</v>
      </c>
    </row>
    <row r="54" customFormat="false" ht="15" hidden="false" customHeight="false" outlineLevel="0" collapsed="false">
      <c r="A54" s="38" t="s">
        <v>231</v>
      </c>
      <c r="B54" s="38" t="n">
        <v>6</v>
      </c>
      <c r="C54" s="39" t="n">
        <v>0.00316673193582269</v>
      </c>
      <c r="D54" s="38" t="s">
        <v>222</v>
      </c>
    </row>
    <row r="55" customFormat="false" ht="15" hidden="false" customHeight="false" outlineLevel="0" collapsed="false">
      <c r="A55" s="38" t="s">
        <v>232</v>
      </c>
      <c r="B55" s="38" t="n">
        <v>5</v>
      </c>
      <c r="C55" s="39" t="n">
        <v>0.00294752799831983</v>
      </c>
      <c r="D55" s="38" t="s">
        <v>222</v>
      </c>
    </row>
    <row r="56" customFormat="false" ht="15" hidden="false" customHeight="false" outlineLevel="0" collapsed="false">
      <c r="A56" s="38" t="s">
        <v>233</v>
      </c>
      <c r="B56" s="38" t="n">
        <v>10</v>
      </c>
      <c r="C56" s="39" t="n">
        <v>0.00252360819927522</v>
      </c>
      <c r="D56" s="38" t="s">
        <v>222</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{DCF21FD8-8577-4951-AE3E-37AC99CEBAE8}</x14:id>
        </ext>
      </extLst>
    </cfRule>
  </conditionalFormatting>
  <conditionalFormatting sqref="D36:D56">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CF21FD8-8577-4951-AE3E-37AC99CEBAE8}">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7" t="s">
        <v>234</v>
      </c>
      <c r="B1" s="7" t="s">
        <v>235</v>
      </c>
      <c r="C1" s="7" t="s">
        <v>197</v>
      </c>
      <c r="D1" s="7" t="s">
        <v>236</v>
      </c>
      <c r="E1" s="7" t="s">
        <v>237</v>
      </c>
      <c r="F1" s="7" t="s">
        <v>238</v>
      </c>
      <c r="G1" s="7" t="s">
        <v>239</v>
      </c>
      <c r="H1" s="7" t="s">
        <v>240</v>
      </c>
      <c r="I1" s="7" t="s">
        <v>241</v>
      </c>
      <c r="J1" s="7" t="s">
        <v>242</v>
      </c>
    </row>
    <row r="2" customFormat="false" ht="28.35" hidden="false" customHeight="false" outlineLevel="0" collapsed="false">
      <c r="A2" s="38" t="n">
        <v>1</v>
      </c>
      <c r="B2" s="47" t="s">
        <v>243</v>
      </c>
      <c r="C2" s="38" t="s">
        <v>200</v>
      </c>
      <c r="D2" s="39" t="n">
        <v>0.210340962515575</v>
      </c>
      <c r="E2" s="39" t="n">
        <v>0.269663955248149</v>
      </c>
      <c r="F2" s="21" t="n">
        <v>173.321664817073</v>
      </c>
      <c r="G2" s="38" t="s">
        <v>244</v>
      </c>
      <c r="H2" s="47" t="s">
        <v>245</v>
      </c>
      <c r="I2" s="38" t="s">
        <v>206</v>
      </c>
      <c r="J2" s="38" t="s">
        <v>246</v>
      </c>
    </row>
    <row r="3" customFormat="false" ht="28.35" hidden="false" customHeight="false" outlineLevel="0" collapsed="false">
      <c r="A3" s="38" t="n">
        <v>2</v>
      </c>
      <c r="B3" s="47" t="s">
        <v>247</v>
      </c>
      <c r="C3" s="38" t="s">
        <v>200</v>
      </c>
      <c r="D3" s="39" t="n">
        <v>0.181215491396081</v>
      </c>
      <c r="E3" s="39" t="n">
        <v>0.232324153972081</v>
      </c>
      <c r="F3" s="21" t="n">
        <v>149.322178066419</v>
      </c>
      <c r="G3" s="38" t="s">
        <v>244</v>
      </c>
      <c r="H3" s="47" t="s">
        <v>245</v>
      </c>
      <c r="I3" s="38" t="s">
        <v>207</v>
      </c>
      <c r="J3" s="38" t="s">
        <v>246</v>
      </c>
    </row>
    <row r="4" customFormat="false" ht="28.35" hidden="false" customHeight="false" outlineLevel="0" collapsed="false">
      <c r="A4" s="38" t="n">
        <v>3</v>
      </c>
      <c r="B4" s="47" t="s">
        <v>248</v>
      </c>
      <c r="C4" s="38" t="s">
        <v>200</v>
      </c>
      <c r="D4" s="39" t="n">
        <v>0.157020859198981</v>
      </c>
      <c r="E4" s="39" t="n">
        <v>0.2013058485692</v>
      </c>
      <c r="F4" s="21" t="n">
        <v>129.385719271678</v>
      </c>
      <c r="G4" s="38" t="s">
        <v>244</v>
      </c>
      <c r="H4" s="47" t="s">
        <v>245</v>
      </c>
      <c r="I4" s="38" t="s">
        <v>209</v>
      </c>
      <c r="J4" s="38" t="s">
        <v>246</v>
      </c>
    </row>
    <row r="5" customFormat="false" ht="15" hidden="false" customHeight="false" outlineLevel="0" collapsed="false">
      <c r="A5" s="38" t="n">
        <v>4</v>
      </c>
      <c r="B5" s="47" t="s">
        <v>249</v>
      </c>
      <c r="C5" s="38" t="s">
        <v>201</v>
      </c>
      <c r="D5" s="39" t="n">
        <v>0.100547985679825</v>
      </c>
      <c r="E5" s="39" t="n">
        <v>0.461674515228852</v>
      </c>
      <c r="F5" s="21" t="n">
        <v>82.8518804117394</v>
      </c>
      <c r="G5" s="38" t="s">
        <v>244</v>
      </c>
      <c r="H5" s="47" t="s">
        <v>245</v>
      </c>
      <c r="I5" s="38" t="s">
        <v>208</v>
      </c>
      <c r="J5" s="38" t="s">
        <v>246</v>
      </c>
    </row>
    <row r="6" customFormat="false" ht="15" hidden="false" customHeight="false" outlineLevel="0" collapsed="false">
      <c r="A6" s="38" t="n">
        <v>5</v>
      </c>
      <c r="B6" s="47" t="s">
        <v>250</v>
      </c>
      <c r="C6" s="38" t="s">
        <v>200</v>
      </c>
      <c r="D6" s="39" t="n">
        <v>0.0982613145602293</v>
      </c>
      <c r="E6" s="39" t="n">
        <v>0.125974201198361</v>
      </c>
      <c r="F6" s="21" t="n">
        <v>80.9676556720709</v>
      </c>
      <c r="G6" s="38" t="s">
        <v>244</v>
      </c>
      <c r="H6" s="47" t="s">
        <v>245</v>
      </c>
      <c r="I6" s="38" t="s">
        <v>210</v>
      </c>
      <c r="J6" s="38" t="s">
        <v>246</v>
      </c>
    </row>
    <row r="7" customFormat="false" ht="15" hidden="false" customHeight="false" outlineLevel="0" collapsed="false">
      <c r="A7" s="38" t="n">
        <v>6</v>
      </c>
      <c r="B7" s="47" t="s">
        <v>251</v>
      </c>
      <c r="C7" s="38" t="s">
        <v>201</v>
      </c>
      <c r="D7" s="39" t="n">
        <v>0.0793330469596096</v>
      </c>
      <c r="E7" s="39" t="n">
        <v>0.364264343527813</v>
      </c>
      <c r="F7" s="21" t="n">
        <v>65.3706991239638</v>
      </c>
      <c r="G7" s="38" t="s">
        <v>244</v>
      </c>
      <c r="H7" s="47" t="s">
        <v>245</v>
      </c>
      <c r="I7" s="38" t="s">
        <v>211</v>
      </c>
      <c r="J7" s="38" t="s">
        <v>246</v>
      </c>
    </row>
    <row r="8" customFormat="false" ht="28.35" hidden="false" customHeight="false" outlineLevel="0" collapsed="false">
      <c r="A8" s="38" t="n">
        <v>7</v>
      </c>
      <c r="B8" s="47" t="s">
        <v>252</v>
      </c>
      <c r="C8" s="38" t="s">
        <v>200</v>
      </c>
      <c r="D8" s="39" t="n">
        <v>0.0718460864042921</v>
      </c>
      <c r="E8" s="39" t="n">
        <v>0.0921090195517534</v>
      </c>
      <c r="F8" s="21" t="n">
        <v>59.2014182936961</v>
      </c>
      <c r="G8" s="38" t="s">
        <v>244</v>
      </c>
      <c r="H8" s="47" t="s">
        <v>245</v>
      </c>
      <c r="I8" s="38" t="s">
        <v>212</v>
      </c>
      <c r="J8" s="38" t="s">
        <v>246</v>
      </c>
    </row>
    <row r="9" customFormat="false" ht="15" hidden="false" customHeight="false" outlineLevel="0" collapsed="false">
      <c r="A9" s="38" t="n">
        <v>8</v>
      </c>
      <c r="B9" s="47" t="s">
        <v>253</v>
      </c>
      <c r="C9" s="38" t="s">
        <v>200</v>
      </c>
      <c r="D9" s="39" t="n">
        <v>0.0129894305625747</v>
      </c>
      <c r="E9" s="39" t="n">
        <v>0.0166528724601882</v>
      </c>
      <c r="F9" s="21" t="n">
        <v>10.7033347342628</v>
      </c>
      <c r="G9" s="38" t="s">
        <v>244</v>
      </c>
      <c r="H9" s="47" t="s">
        <v>245</v>
      </c>
      <c r="I9" s="38" t="s">
        <v>213</v>
      </c>
      <c r="J9" s="38" t="s">
        <v>254</v>
      </c>
    </row>
    <row r="10" customFormat="false" ht="15" hidden="false" customHeight="false" outlineLevel="0" collapsed="false">
      <c r="A10" s="38" t="n">
        <v>9</v>
      </c>
      <c r="B10" s="47" t="s">
        <v>255</v>
      </c>
      <c r="C10" s="38" t="s">
        <v>201</v>
      </c>
      <c r="D10" s="39" t="n">
        <v>0.010450867832612</v>
      </c>
      <c r="E10" s="39" t="n">
        <v>0.0479860367934753</v>
      </c>
      <c r="F10" s="21" t="n">
        <v>8.61155045535829</v>
      </c>
      <c r="G10" s="38" t="s">
        <v>244</v>
      </c>
      <c r="H10" s="47" t="s">
        <v>256</v>
      </c>
      <c r="I10" s="38" t="s">
        <v>214</v>
      </c>
      <c r="J10" s="38" t="s">
        <v>254</v>
      </c>
    </row>
    <row r="11" customFormat="false" ht="15" hidden="false" customHeight="false" outlineLevel="0" collapsed="false">
      <c r="A11" s="38" t="n">
        <v>10</v>
      </c>
      <c r="B11" s="47" t="s">
        <v>257</v>
      </c>
      <c r="C11" s="38" t="s">
        <v>201</v>
      </c>
      <c r="D11" s="39" t="n">
        <v>0.0102693349965178</v>
      </c>
      <c r="E11" s="39" t="n">
        <v>0.0471525135405205</v>
      </c>
      <c r="F11" s="21" t="n">
        <v>8.46196678418689</v>
      </c>
      <c r="G11" s="38" t="s">
        <v>244</v>
      </c>
      <c r="H11" s="47" t="s">
        <v>245</v>
      </c>
      <c r="I11" s="38" t="s">
        <v>215</v>
      </c>
      <c r="J11" s="38" t="s">
        <v>254</v>
      </c>
    </row>
    <row r="12" customFormat="false" ht="15" hidden="false" customHeight="false" outlineLevel="0" collapsed="false">
      <c r="A12" s="38" t="n">
        <v>11</v>
      </c>
      <c r="B12" s="47" t="s">
        <v>258</v>
      </c>
      <c r="C12" s="38" t="s">
        <v>200</v>
      </c>
      <c r="D12" s="39" t="n">
        <v>0.00975180482586543</v>
      </c>
      <c r="E12" s="39" t="n">
        <v>0.0125021309625135</v>
      </c>
      <c r="F12" s="21" t="n">
        <v>8.03552017246765</v>
      </c>
      <c r="G12" s="38" t="s">
        <v>244</v>
      </c>
      <c r="H12" s="47" t="s">
        <v>245</v>
      </c>
      <c r="I12" s="38" t="s">
        <v>223</v>
      </c>
      <c r="J12" s="38" t="s">
        <v>254</v>
      </c>
    </row>
    <row r="13" customFormat="false" ht="15" hidden="false" customHeight="false" outlineLevel="0" collapsed="false">
      <c r="A13" s="38" t="n">
        <v>12</v>
      </c>
      <c r="B13" s="47" t="s">
        <v>259</v>
      </c>
      <c r="C13" s="38" t="s">
        <v>200</v>
      </c>
      <c r="D13" s="39" t="n">
        <v>0.00926387374444407</v>
      </c>
      <c r="E13" s="39" t="n">
        <v>0.0118765874462579</v>
      </c>
      <c r="F13" s="21" t="n">
        <v>7.63346331042547</v>
      </c>
      <c r="G13" s="38" t="s">
        <v>244</v>
      </c>
      <c r="H13" s="47" t="s">
        <v>245</v>
      </c>
      <c r="I13" s="38" t="s">
        <v>224</v>
      </c>
      <c r="J13" s="38" t="s">
        <v>254</v>
      </c>
    </row>
    <row r="14" customFormat="false" ht="15" hidden="false" customHeight="false" outlineLevel="0" collapsed="false">
      <c r="A14" s="38" t="n">
        <v>13</v>
      </c>
      <c r="B14" s="47" t="s">
        <v>260</v>
      </c>
      <c r="C14" s="38" t="s">
        <v>200</v>
      </c>
      <c r="D14" s="39" t="n">
        <v>0.00885664374605497</v>
      </c>
      <c r="E14" s="39" t="n">
        <v>0.0113545053432382</v>
      </c>
      <c r="F14" s="21" t="n">
        <v>7.29790441385996</v>
      </c>
      <c r="G14" s="38" t="s">
        <v>244</v>
      </c>
      <c r="H14" s="47" t="s">
        <v>245</v>
      </c>
      <c r="I14" s="38" t="s">
        <v>226</v>
      </c>
      <c r="J14" s="38" t="s">
        <v>254</v>
      </c>
    </row>
    <row r="15" customFormat="false" ht="15" hidden="false" customHeight="false" outlineLevel="0" collapsed="false">
      <c r="A15" s="38" t="n">
        <v>14</v>
      </c>
      <c r="B15" s="47" t="s">
        <v>261</v>
      </c>
      <c r="C15" s="38" t="s">
        <v>200</v>
      </c>
      <c r="D15" s="39" t="n">
        <v>0.00751463645853185</v>
      </c>
      <c r="E15" s="39" t="n">
        <v>0.00963400835208025</v>
      </c>
      <c r="F15" s="21" t="n">
        <v>6.19208586815977</v>
      </c>
      <c r="G15" s="38" t="s">
        <v>244</v>
      </c>
      <c r="H15" s="47" t="s">
        <v>245</v>
      </c>
      <c r="I15" s="38" t="s">
        <v>225</v>
      </c>
      <c r="J15" s="38" t="s">
        <v>254</v>
      </c>
    </row>
    <row r="16" customFormat="false" ht="28.35" hidden="false" customHeight="false" outlineLevel="0" collapsed="false">
      <c r="A16" s="38" t="n">
        <v>15</v>
      </c>
      <c r="B16" s="47" t="s">
        <v>262</v>
      </c>
      <c r="C16" s="38" t="s">
        <v>200</v>
      </c>
      <c r="D16" s="39" t="n">
        <v>0.00709890822835586</v>
      </c>
      <c r="E16" s="39" t="n">
        <v>0.00910103123950632</v>
      </c>
      <c r="F16" s="21" t="n">
        <v>5.84952439984747</v>
      </c>
      <c r="G16" s="38" t="s">
        <v>244</v>
      </c>
      <c r="H16" s="47" t="s">
        <v>245</v>
      </c>
      <c r="I16" s="38" t="s">
        <v>227</v>
      </c>
      <c r="J16" s="38" t="s">
        <v>254</v>
      </c>
    </row>
    <row r="17" customFormat="false" ht="15" hidden="false" customHeight="false" outlineLevel="0" collapsed="false">
      <c r="A17" s="38" t="n">
        <v>16</v>
      </c>
      <c r="B17" s="47" t="s">
        <v>263</v>
      </c>
      <c r="C17" s="38" t="s">
        <v>201</v>
      </c>
      <c r="D17" s="39" t="n">
        <v>0.00592939599745455</v>
      </c>
      <c r="E17" s="39" t="n">
        <v>0.0272253193757812</v>
      </c>
      <c r="F17" s="21" t="n">
        <v>4.88584236445346</v>
      </c>
      <c r="G17" s="38" t="s">
        <v>244</v>
      </c>
      <c r="H17" s="47" t="s">
        <v>264</v>
      </c>
      <c r="I17" s="38" t="s">
        <v>228</v>
      </c>
      <c r="J17" s="38" t="s">
        <v>254</v>
      </c>
    </row>
    <row r="18" customFormat="false" ht="15" hidden="false" customHeight="false" outlineLevel="0" collapsed="false">
      <c r="A18" s="38" t="n">
        <v>17</v>
      </c>
      <c r="B18" s="47" t="s">
        <v>265</v>
      </c>
      <c r="C18" s="38" t="s">
        <v>200</v>
      </c>
      <c r="D18" s="39" t="n">
        <v>0.00585140042191214</v>
      </c>
      <c r="E18" s="39" t="n">
        <v>0.00750168565667127</v>
      </c>
      <c r="F18" s="21" t="n">
        <v>4.8215737463027</v>
      </c>
      <c r="G18" s="38" t="s">
        <v>244</v>
      </c>
      <c r="H18" s="47" t="s">
        <v>245</v>
      </c>
      <c r="I18" s="38" t="s">
        <v>229</v>
      </c>
      <c r="J18" s="38" t="s">
        <v>254</v>
      </c>
    </row>
    <row r="19" customFormat="false" ht="28.35" hidden="false" customHeight="false" outlineLevel="0" collapsed="false">
      <c r="A19" s="38" t="n">
        <v>18</v>
      </c>
      <c r="B19" s="47" t="s">
        <v>266</v>
      </c>
      <c r="C19" s="38" t="s">
        <v>201</v>
      </c>
      <c r="D19" s="39" t="n">
        <v>0.00500876998937952</v>
      </c>
      <c r="E19" s="39" t="n">
        <v>0.0229981877916783</v>
      </c>
      <c r="F19" s="21" t="n">
        <v>4.12724341879329</v>
      </c>
      <c r="G19" s="38" t="s">
        <v>244</v>
      </c>
      <c r="H19" s="47" t="s">
        <v>245</v>
      </c>
      <c r="I19" s="38" t="s">
        <v>230</v>
      </c>
      <c r="J19" s="38" t="s">
        <v>254</v>
      </c>
    </row>
    <row r="20" customFormat="false" ht="15" hidden="false" customHeight="false" outlineLevel="0" collapsed="false">
      <c r="A20" s="38" t="n">
        <v>19</v>
      </c>
      <c r="B20" s="47" t="s">
        <v>267</v>
      </c>
      <c r="C20" s="38" t="s">
        <v>201</v>
      </c>
      <c r="D20" s="39" t="n">
        <v>0.00322169308513361</v>
      </c>
      <c r="E20" s="39" t="n">
        <v>0.014792674196691</v>
      </c>
      <c r="F20" s="21" t="n">
        <v>2.65468600298748</v>
      </c>
      <c r="G20" s="38" t="s">
        <v>244</v>
      </c>
      <c r="H20" s="47" t="s">
        <v>268</v>
      </c>
      <c r="I20" s="38" t="s">
        <v>232</v>
      </c>
      <c r="J20" s="38" t="s">
        <v>254</v>
      </c>
    </row>
    <row r="21" customFormat="false" ht="15" hidden="false" customHeight="false" outlineLevel="0" collapsed="false">
      <c r="A21" s="38" t="n">
        <v>20</v>
      </c>
      <c r="B21" s="47" t="s">
        <v>269</v>
      </c>
      <c r="C21" s="38" t="s">
        <v>201</v>
      </c>
      <c r="D21" s="39" t="n">
        <v>0.00302867371207257</v>
      </c>
      <c r="E21" s="39" t="n">
        <v>0.0139064095451892</v>
      </c>
      <c r="F21" s="21" t="n">
        <v>2.49563738648982</v>
      </c>
      <c r="G21" s="38" t="s">
        <v>244</v>
      </c>
      <c r="H21" s="47" t="s">
        <v>270</v>
      </c>
      <c r="I21" s="38" t="s">
        <v>233</v>
      </c>
      <c r="J21" s="38" t="s">
        <v>254</v>
      </c>
    </row>
    <row r="22" customFormat="false" ht="15" hidden="false" customHeight="false" outlineLevel="0" collapsed="false">
      <c r="A22" s="38" t="n">
        <v>21</v>
      </c>
      <c r="B22" s="47" t="s">
        <v>271</v>
      </c>
      <c r="C22" s="38" t="s">
        <v>199</v>
      </c>
      <c r="D22" s="39" t="n">
        <v>0.0021988196844981</v>
      </c>
      <c r="E22" s="39" t="n">
        <v>1</v>
      </c>
      <c r="F22" s="21" t="n">
        <v>1.81183485989584</v>
      </c>
      <c r="G22" s="38" t="s">
        <v>244</v>
      </c>
      <c r="H22" s="47" t="s">
        <v>272</v>
      </c>
      <c r="I22" s="38" t="s">
        <v>231</v>
      </c>
      <c r="J22" s="38" t="s">
        <v>254</v>
      </c>
    </row>
    <row r="24" customFormat="false" ht="15" hidden="false" customHeight="false" outlineLevel="0" collapsed="false">
      <c r="B24" s="5" t="s">
        <v>273</v>
      </c>
      <c r="C24" s="28" t="s">
        <v>200</v>
      </c>
      <c r="D24" s="48" t="n">
        <f aca="false">SUMIF(C2:C22,"Historical voter data",D2:D22)</f>
        <v>0.780011412062897</v>
      </c>
      <c r="F24" s="49" t="n">
        <f aca="false">SUMIF(C2:C22,"Historical voter data",F2:F22)</f>
        <v>642.732042766263</v>
      </c>
    </row>
    <row r="25" customFormat="false" ht="15" hidden="false" customHeight="false" outlineLevel="0" collapsed="false">
      <c r="B25" s="5" t="s">
        <v>274</v>
      </c>
      <c r="C25" s="28" t="s">
        <v>201</v>
      </c>
      <c r="D25" s="48" t="n">
        <f aca="false">SUMIF(C2:C22,"Voter registration data",D2:D22)</f>
        <v>0.217789768252605</v>
      </c>
      <c r="F25" s="49" t="n">
        <f aca="false">SUMIF(C2:C22,"Voter registration data",F2:F22)</f>
        <v>179.459505947972</v>
      </c>
    </row>
    <row r="26" customFormat="false" ht="15" hidden="false" customHeight="false" outlineLevel="0" collapsed="false">
      <c r="B26" s="5" t="s">
        <v>275</v>
      </c>
      <c r="C26" s="28" t="s">
        <v>199</v>
      </c>
      <c r="D26" s="48" t="n">
        <f aca="false">SUMIF(C2:C22,"Election type",D2:D22)</f>
        <v>0.0021988196844981</v>
      </c>
      <c r="F26" s="49" t="n">
        <f aca="false">SUMIF(C2:C22,"Election type",F2:F22)</f>
        <v>1.81183485989584</v>
      </c>
    </row>
    <row r="27" customFormat="false" ht="15" hidden="false" customHeight="false" outlineLevel="0" collapsed="false">
      <c r="B27" s="5" t="s">
        <v>276</v>
      </c>
      <c r="D27" s="48" t="n">
        <f aca="false">SUM(D2:D22)</f>
        <v>1</v>
      </c>
      <c r="F27" s="49" t="n">
        <f aca="false">SUM(F2:F22)</f>
        <v>824.003383574131</v>
      </c>
    </row>
    <row r="29" customFormat="false" ht="15" hidden="false" customHeight="false" outlineLevel="0" collapsed="false">
      <c r="B29" s="5" t="s">
        <v>70</v>
      </c>
    </row>
    <row r="30" customFormat="false" ht="30" hidden="false" customHeight="true" outlineLevel="0" collapsed="false">
      <c r="B30" s="50" t="s">
        <v>277</v>
      </c>
    </row>
    <row r="31" customFormat="false" ht="45" hidden="false" customHeight="true" outlineLevel="0" collapsed="false">
      <c r="B31" s="50" t="s">
        <v>278</v>
      </c>
    </row>
    <row r="32" customFormat="false" ht="45" hidden="false" customHeight="true" outlineLevel="0" collapsed="false">
      <c r="B32" s="50" t="s">
        <v>279</v>
      </c>
    </row>
    <row r="33" customFormat="false" ht="30" hidden="false" customHeight="true" outlineLevel="0" collapsed="false">
      <c r="B33" s="50" t="s">
        <v>280</v>
      </c>
    </row>
    <row r="34" customFormat="false" ht="60" hidden="false" customHeight="true" outlineLevel="0" collapsed="false">
      <c r="B34" s="50" t="s">
        <v>281</v>
      </c>
    </row>
    <row r="35" customFormat="false" ht="30" hidden="false" customHeight="true" outlineLevel="0" collapsed="false">
      <c r="B35" s="50" t="s">
        <v>282</v>
      </c>
    </row>
    <row r="36" customFormat="false" ht="45" hidden="false" customHeight="true" outlineLevel="0" collapsed="false">
      <c r="B36" s="50" t="s">
        <v>283</v>
      </c>
    </row>
    <row r="37" customFormat="false" ht="30" hidden="false" customHeight="true" outlineLevel="0" collapsed="false">
      <c r="B37" s="50" t="s">
        <v>284</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{7239A1AB-B2C3-4449-93A3-5A54E000A775}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239A1AB-B2C3-4449-93A3-5A54E000A775}">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7" t="s">
        <v>234</v>
      </c>
      <c r="B1" s="7" t="s">
        <v>235</v>
      </c>
      <c r="C1" s="7" t="s">
        <v>197</v>
      </c>
      <c r="D1" s="7" t="s">
        <v>236</v>
      </c>
      <c r="E1" s="7" t="s">
        <v>237</v>
      </c>
      <c r="F1" s="7" t="s">
        <v>238</v>
      </c>
      <c r="G1" s="7" t="s">
        <v>239</v>
      </c>
      <c r="H1" s="7" t="s">
        <v>240</v>
      </c>
      <c r="I1" s="7" t="s">
        <v>241</v>
      </c>
      <c r="J1" s="7" t="s">
        <v>242</v>
      </c>
    </row>
    <row r="2" customFormat="false" ht="28.35" hidden="false" customHeight="false" outlineLevel="0" collapsed="false">
      <c r="A2" s="38" t="n">
        <v>1</v>
      </c>
      <c r="B2" s="47" t="s">
        <v>243</v>
      </c>
      <c r="C2" s="38" t="s">
        <v>200</v>
      </c>
      <c r="D2" s="39" t="n">
        <v>0.224166795744943</v>
      </c>
      <c r="E2" s="39" t="n">
        <v>0.285549700501436</v>
      </c>
      <c r="F2" s="21" t="n">
        <v>174.922351444734</v>
      </c>
      <c r="G2" s="38" t="s">
        <v>244</v>
      </c>
      <c r="H2" s="47" t="s">
        <v>245</v>
      </c>
      <c r="I2" s="38" t="s">
        <v>206</v>
      </c>
      <c r="J2" s="38" t="s">
        <v>246</v>
      </c>
    </row>
    <row r="3" customFormat="false" ht="28.35" hidden="false" customHeight="false" outlineLevel="0" collapsed="false">
      <c r="A3" s="38" t="n">
        <v>2</v>
      </c>
      <c r="B3" s="47" t="s">
        <v>247</v>
      </c>
      <c r="C3" s="38" t="s">
        <v>200</v>
      </c>
      <c r="D3" s="39" t="n">
        <v>0.210039887016066</v>
      </c>
      <c r="E3" s="39" t="n">
        <v>0.267554463770962</v>
      </c>
      <c r="F3" s="21" t="n">
        <v>163.89880941975</v>
      </c>
      <c r="G3" s="38" t="s">
        <v>244</v>
      </c>
      <c r="H3" s="47" t="s">
        <v>245</v>
      </c>
      <c r="I3" s="38" t="s">
        <v>207</v>
      </c>
      <c r="J3" s="38" t="s">
        <v>246</v>
      </c>
    </row>
    <row r="4" customFormat="false" ht="28.35" hidden="false" customHeight="false" outlineLevel="0" collapsed="false">
      <c r="A4" s="38" t="n">
        <v>3</v>
      </c>
      <c r="B4" s="47" t="s">
        <v>248</v>
      </c>
      <c r="C4" s="38" t="s">
        <v>200</v>
      </c>
      <c r="D4" s="39" t="n">
        <v>0.167299923903793</v>
      </c>
      <c r="E4" s="39" t="n">
        <v>0.21311114791058</v>
      </c>
      <c r="F4" s="21" t="n">
        <v>130.547862757844</v>
      </c>
      <c r="G4" s="38" t="s">
        <v>244</v>
      </c>
      <c r="H4" s="47" t="s">
        <v>245</v>
      </c>
      <c r="I4" s="38" t="s">
        <v>209</v>
      </c>
      <c r="J4" s="38" t="s">
        <v>246</v>
      </c>
    </row>
    <row r="5" customFormat="false" ht="15" hidden="false" customHeight="false" outlineLevel="0" collapsed="false">
      <c r="A5" s="38" t="n">
        <v>4</v>
      </c>
      <c r="B5" s="47" t="s">
        <v>249</v>
      </c>
      <c r="C5" s="38" t="s">
        <v>201</v>
      </c>
      <c r="D5" s="39" t="n">
        <v>0.135181445177337</v>
      </c>
      <c r="E5" s="39" t="n">
        <v>0.628856215535427</v>
      </c>
      <c r="F5" s="21" t="n">
        <v>105.485097306837</v>
      </c>
      <c r="G5" s="38" t="s">
        <v>244</v>
      </c>
      <c r="H5" s="47" t="s">
        <v>245</v>
      </c>
      <c r="I5" s="38" t="s">
        <v>208</v>
      </c>
      <c r="J5" s="38" t="s">
        <v>246</v>
      </c>
    </row>
    <row r="6" customFormat="false" ht="15" hidden="false" customHeight="false" outlineLevel="0" collapsed="false">
      <c r="A6" s="38" t="n">
        <v>5</v>
      </c>
      <c r="B6" s="47" t="s">
        <v>250</v>
      </c>
      <c r="C6" s="38" t="s">
        <v>200</v>
      </c>
      <c r="D6" s="39" t="n">
        <v>0.100769222121526</v>
      </c>
      <c r="E6" s="39" t="n">
        <v>0.128362548525269</v>
      </c>
      <c r="F6" s="21" t="n">
        <v>78.6324719866619</v>
      </c>
      <c r="G6" s="38" t="s">
        <v>244</v>
      </c>
      <c r="H6" s="47" t="s">
        <v>245</v>
      </c>
      <c r="I6" s="38" t="s">
        <v>210</v>
      </c>
      <c r="J6" s="38" t="s">
        <v>246</v>
      </c>
    </row>
    <row r="7" customFormat="false" ht="28.35" hidden="false" customHeight="false" outlineLevel="0" collapsed="false">
      <c r="A7" s="38" t="n">
        <v>6</v>
      </c>
      <c r="B7" s="47" t="s">
        <v>252</v>
      </c>
      <c r="C7" s="38" t="s">
        <v>200</v>
      </c>
      <c r="D7" s="39" t="n">
        <v>0.0827601749331565</v>
      </c>
      <c r="E7" s="39" t="n">
        <v>0.105422139291753</v>
      </c>
      <c r="F7" s="21" t="n">
        <v>64.5796107187826</v>
      </c>
      <c r="G7" s="38" t="s">
        <v>244</v>
      </c>
      <c r="H7" s="47" t="s">
        <v>245</v>
      </c>
      <c r="I7" s="38" t="s">
        <v>212</v>
      </c>
      <c r="J7" s="38" t="s">
        <v>246</v>
      </c>
    </row>
    <row r="8" customFormat="false" ht="15" hidden="false" customHeight="false" outlineLevel="0" collapsed="false">
      <c r="A8" s="38" t="n">
        <v>7</v>
      </c>
      <c r="B8" s="47" t="s">
        <v>251</v>
      </c>
      <c r="C8" s="38" t="s">
        <v>201</v>
      </c>
      <c r="D8" s="39" t="n">
        <v>0.079782551103179</v>
      </c>
      <c r="E8" s="39" t="n">
        <v>0.371143784464573</v>
      </c>
      <c r="F8" s="21" t="n">
        <v>62.2561044192583</v>
      </c>
      <c r="G8" s="38" t="s">
        <v>244</v>
      </c>
      <c r="H8" s="47" t="s">
        <v>245</v>
      </c>
      <c r="I8" s="38" t="s">
        <v>211</v>
      </c>
      <c r="J8" s="38" t="s">
        <v>246</v>
      </c>
    </row>
    <row r="10" customFormat="false" ht="15" hidden="false" customHeight="false" outlineLevel="0" collapsed="false">
      <c r="B10" s="5" t="s">
        <v>273</v>
      </c>
      <c r="C10" s="28" t="s">
        <v>200</v>
      </c>
      <c r="D10" s="48" t="n">
        <f aca="false">SUMIF(C2:C8,"Historical voter data",D2:D8)</f>
        <v>0.785036003719484</v>
      </c>
      <c r="F10" s="49" t="n">
        <f aca="false">SUMIF(C2:C8,"Historical voter data",F2:F8)</f>
        <v>612.581106327773</v>
      </c>
    </row>
    <row r="11" customFormat="false" ht="15" hidden="false" customHeight="false" outlineLevel="0" collapsed="false">
      <c r="B11" s="5" t="s">
        <v>274</v>
      </c>
      <c r="C11" s="28" t="s">
        <v>201</v>
      </c>
      <c r="D11" s="48" t="n">
        <f aca="false">SUMIF(C2:C8,"Voter registration data",D2:D8)</f>
        <v>0.214963996280516</v>
      </c>
      <c r="F11" s="49" t="n">
        <f aca="false">SUMIF(C2:C8,"Voter registration data",F2:F8)</f>
        <v>167.741201726095</v>
      </c>
    </row>
    <row r="12" customFormat="false" ht="15" hidden="false" customHeight="false" outlineLevel="0" collapsed="false">
      <c r="B12" s="5" t="s">
        <v>276</v>
      </c>
      <c r="D12" s="48" t="n">
        <f aca="false">SUM(D2:D8)</f>
        <v>1</v>
      </c>
      <c r="F12" s="49" t="n">
        <f aca="false">SUM(F2:F8)</f>
        <v>780.322308053868</v>
      </c>
    </row>
    <row r="14" customFormat="false" ht="15" hidden="false" customHeight="false" outlineLevel="0" collapsed="false">
      <c r="B14" s="5" t="s">
        <v>70</v>
      </c>
    </row>
    <row r="15" customFormat="false" ht="30" hidden="false" customHeight="true" outlineLevel="0" collapsed="false">
      <c r="B15" s="50" t="s">
        <v>277</v>
      </c>
    </row>
    <row r="16" customFormat="false" ht="45" hidden="false" customHeight="true" outlineLevel="0" collapsed="false">
      <c r="B16" s="50" t="s">
        <v>278</v>
      </c>
    </row>
    <row r="17" customFormat="false" ht="45" hidden="false" customHeight="true" outlineLevel="0" collapsed="false">
      <c r="B17" s="50" t="s">
        <v>279</v>
      </c>
    </row>
    <row r="18" customFormat="false" ht="30" hidden="false" customHeight="true" outlineLevel="0" collapsed="false">
      <c r="B18" s="50" t="s">
        <v>280</v>
      </c>
    </row>
    <row r="19" customFormat="false" ht="60" hidden="false" customHeight="true" outlineLevel="0" collapsed="false">
      <c r="B19" s="50" t="s">
        <v>281</v>
      </c>
    </row>
    <row r="20" customFormat="false" ht="45" hidden="false" customHeight="true" outlineLevel="0" collapsed="false">
      <c r="B20" s="50" t="s">
        <v>285</v>
      </c>
    </row>
    <row r="21" customFormat="false" ht="45" hidden="false" customHeight="true" outlineLevel="0" collapsed="false">
      <c r="B21" s="50" t="s">
        <v>283</v>
      </c>
    </row>
    <row r="22" customFormat="false" ht="30" hidden="false" customHeight="true" outlineLevel="0" collapsed="false">
      <c r="B22" s="50" t="s">
        <v>284</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{4386845D-B8E9-4DD6-B945-1B68358C82D5}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386845D-B8E9-4DD6-B945-1B68358C82D5}">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7" t="s">
        <v>234</v>
      </c>
      <c r="B1" s="7" t="s">
        <v>235</v>
      </c>
      <c r="C1" s="7" t="s">
        <v>197</v>
      </c>
      <c r="D1" s="7" t="s">
        <v>236</v>
      </c>
      <c r="E1" s="7" t="s">
        <v>237</v>
      </c>
      <c r="F1" s="7" t="s">
        <v>238</v>
      </c>
      <c r="G1" s="7" t="s">
        <v>239</v>
      </c>
      <c r="H1" s="7" t="s">
        <v>240</v>
      </c>
      <c r="I1" s="7" t="s">
        <v>241</v>
      </c>
      <c r="J1" s="7" t="s">
        <v>242</v>
      </c>
    </row>
    <row r="2" customFormat="false" ht="28.35" hidden="false" customHeight="false" outlineLevel="0" collapsed="false">
      <c r="A2" s="38" t="n">
        <v>1</v>
      </c>
      <c r="B2" s="47" t="s">
        <v>243</v>
      </c>
      <c r="C2" s="38" t="s">
        <v>200</v>
      </c>
      <c r="D2" s="39" t="n">
        <v>0.177280657167436</v>
      </c>
      <c r="E2" s="39" t="n">
        <v>0.269663955248149</v>
      </c>
      <c r="F2" s="21" t="n">
        <v>157.514622265696</v>
      </c>
      <c r="G2" s="38" t="s">
        <v>244</v>
      </c>
      <c r="H2" s="47" t="s">
        <v>245</v>
      </c>
      <c r="I2" s="38" t="s">
        <v>206</v>
      </c>
      <c r="J2" s="38" t="s">
        <v>246</v>
      </c>
    </row>
    <row r="3" customFormat="false" ht="15" hidden="false" customHeight="false" outlineLevel="0" collapsed="false">
      <c r="A3" s="38" t="n">
        <v>2</v>
      </c>
      <c r="B3" s="47" t="s">
        <v>249</v>
      </c>
      <c r="C3" s="38" t="s">
        <v>201</v>
      </c>
      <c r="D3" s="39" t="n">
        <v>0.157222126753297</v>
      </c>
      <c r="E3" s="39" t="n">
        <v>0.461674515228852</v>
      </c>
      <c r="F3" s="21" t="n">
        <v>139.692532186213</v>
      </c>
      <c r="G3" s="38" t="s">
        <v>244</v>
      </c>
      <c r="H3" s="47" t="s">
        <v>245</v>
      </c>
      <c r="I3" s="38" t="s">
        <v>208</v>
      </c>
      <c r="J3" s="38" t="s">
        <v>246</v>
      </c>
    </row>
    <row r="4" customFormat="false" ht="28.35" hidden="false" customHeight="false" outlineLevel="0" collapsed="false">
      <c r="A4" s="38" t="n">
        <v>3</v>
      </c>
      <c r="B4" s="47" t="s">
        <v>247</v>
      </c>
      <c r="C4" s="38" t="s">
        <v>200</v>
      </c>
      <c r="D4" s="39" t="n">
        <v>0.152732977064504</v>
      </c>
      <c r="E4" s="39" t="n">
        <v>0.232324153972081</v>
      </c>
      <c r="F4" s="21" t="n">
        <v>135.703903484005</v>
      </c>
      <c r="G4" s="38" t="s">
        <v>244</v>
      </c>
      <c r="H4" s="47" t="s">
        <v>245</v>
      </c>
      <c r="I4" s="38" t="s">
        <v>207</v>
      </c>
      <c r="J4" s="38" t="s">
        <v>246</v>
      </c>
    </row>
    <row r="5" customFormat="false" ht="28.35" hidden="false" customHeight="false" outlineLevel="0" collapsed="false">
      <c r="A5" s="38" t="n">
        <v>4</v>
      </c>
      <c r="B5" s="47" t="s">
        <v>248</v>
      </c>
      <c r="C5" s="38" t="s">
        <v>200</v>
      </c>
      <c r="D5" s="39" t="n">
        <v>0.132341132107018</v>
      </c>
      <c r="E5" s="39" t="n">
        <v>0.2013058485692</v>
      </c>
      <c r="F5" s="21" t="n">
        <v>117.585662006901</v>
      </c>
      <c r="G5" s="38" t="s">
        <v>244</v>
      </c>
      <c r="H5" s="47" t="s">
        <v>245</v>
      </c>
      <c r="I5" s="38" t="s">
        <v>209</v>
      </c>
      <c r="J5" s="38" t="s">
        <v>246</v>
      </c>
    </row>
    <row r="6" customFormat="false" ht="15" hidden="false" customHeight="false" outlineLevel="0" collapsed="false">
      <c r="A6" s="38" t="n">
        <v>5</v>
      </c>
      <c r="B6" s="47" t="s">
        <v>251</v>
      </c>
      <c r="C6" s="38" t="s">
        <v>201</v>
      </c>
      <c r="D6" s="39" t="n">
        <v>0.124049331077864</v>
      </c>
      <c r="E6" s="39" t="n">
        <v>0.364264343527813</v>
      </c>
      <c r="F6" s="21" t="n">
        <v>110.218361321775</v>
      </c>
      <c r="G6" s="38" t="s">
        <v>244</v>
      </c>
      <c r="H6" s="47" t="s">
        <v>245</v>
      </c>
      <c r="I6" s="38" t="s">
        <v>211</v>
      </c>
      <c r="J6" s="38" t="s">
        <v>246</v>
      </c>
    </row>
    <row r="7" customFormat="false" ht="15" hidden="false" customHeight="false" outlineLevel="0" collapsed="false">
      <c r="A7" s="38" t="n">
        <v>6</v>
      </c>
      <c r="B7" s="47" t="s">
        <v>250</v>
      </c>
      <c r="C7" s="38" t="s">
        <v>200</v>
      </c>
      <c r="D7" s="39" t="n">
        <v>0.0828171089978908</v>
      </c>
      <c r="E7" s="39" t="n">
        <v>0.125974201198361</v>
      </c>
      <c r="F7" s="21" t="n">
        <v>73.5833556202314</v>
      </c>
      <c r="G7" s="38" t="s">
        <v>244</v>
      </c>
      <c r="H7" s="47" t="s">
        <v>245</v>
      </c>
      <c r="I7" s="38" t="s">
        <v>210</v>
      </c>
      <c r="J7" s="38" t="s">
        <v>246</v>
      </c>
    </row>
    <row r="8" customFormat="false" ht="28.35" hidden="false" customHeight="false" outlineLevel="0" collapsed="false">
      <c r="A8" s="38" t="n">
        <v>7</v>
      </c>
      <c r="B8" s="47" t="s">
        <v>252</v>
      </c>
      <c r="C8" s="38" t="s">
        <v>200</v>
      </c>
      <c r="D8" s="39" t="n">
        <v>0.060553689877302</v>
      </c>
      <c r="E8" s="39" t="n">
        <v>0.0921090195517534</v>
      </c>
      <c r="F8" s="21" t="n">
        <v>53.802212492979</v>
      </c>
      <c r="G8" s="38" t="s">
        <v>244</v>
      </c>
      <c r="H8" s="47" t="s">
        <v>245</v>
      </c>
      <c r="I8" s="38" t="s">
        <v>212</v>
      </c>
      <c r="J8" s="38" t="s">
        <v>246</v>
      </c>
    </row>
    <row r="9" customFormat="false" ht="15" hidden="false" customHeight="false" outlineLevel="0" collapsed="false">
      <c r="A9" s="38" t="n">
        <v>8</v>
      </c>
      <c r="B9" s="47" t="s">
        <v>255</v>
      </c>
      <c r="C9" s="38" t="s">
        <v>201</v>
      </c>
      <c r="D9" s="39" t="n">
        <v>0.0163415274403708</v>
      </c>
      <c r="E9" s="39" t="n">
        <v>0.0479860367934753</v>
      </c>
      <c r="F9" s="21" t="n">
        <v>14.5195170366693</v>
      </c>
      <c r="G9" s="38" t="s">
        <v>244</v>
      </c>
      <c r="H9" s="47" t="s">
        <v>256</v>
      </c>
      <c r="I9" s="38" t="s">
        <v>214</v>
      </c>
      <c r="J9" s="38" t="s">
        <v>254</v>
      </c>
    </row>
    <row r="10" customFormat="false" ht="15" hidden="false" customHeight="false" outlineLevel="0" collapsed="false">
      <c r="A10" s="38" t="n">
        <v>9</v>
      </c>
      <c r="B10" s="47" t="s">
        <v>257</v>
      </c>
      <c r="C10" s="38" t="s">
        <v>201</v>
      </c>
      <c r="D10" s="39" t="n">
        <v>0.0160576731356494</v>
      </c>
      <c r="E10" s="39" t="n">
        <v>0.0471525135405205</v>
      </c>
      <c r="F10" s="21" t="n">
        <v>14.2673112726504</v>
      </c>
      <c r="G10" s="38" t="s">
        <v>244</v>
      </c>
      <c r="H10" s="47" t="s">
        <v>245</v>
      </c>
      <c r="I10" s="38" t="s">
        <v>215</v>
      </c>
      <c r="J10" s="38" t="s">
        <v>254</v>
      </c>
    </row>
    <row r="11" customFormat="false" ht="15" hidden="false" customHeight="false" outlineLevel="0" collapsed="false">
      <c r="A11" s="38" t="n">
        <v>10</v>
      </c>
      <c r="B11" s="47" t="s">
        <v>253</v>
      </c>
      <c r="C11" s="38" t="s">
        <v>200</v>
      </c>
      <c r="D11" s="39" t="n">
        <v>0.0109478190021761</v>
      </c>
      <c r="E11" s="39" t="n">
        <v>0.0166528724601882</v>
      </c>
      <c r="F11" s="21" t="n">
        <v>9.72718401608982</v>
      </c>
      <c r="G11" s="38" t="s">
        <v>244</v>
      </c>
      <c r="H11" s="47" t="s">
        <v>245</v>
      </c>
      <c r="I11" s="38" t="s">
        <v>213</v>
      </c>
      <c r="J11" s="38" t="s">
        <v>254</v>
      </c>
    </row>
    <row r="12" customFormat="false" ht="15" hidden="false" customHeight="false" outlineLevel="0" collapsed="false">
      <c r="A12" s="38" t="n">
        <v>11</v>
      </c>
      <c r="B12" s="47" t="s">
        <v>263</v>
      </c>
      <c r="C12" s="38" t="s">
        <v>201</v>
      </c>
      <c r="D12" s="39" t="n">
        <v>0.00927151591132612</v>
      </c>
      <c r="E12" s="39" t="n">
        <v>0.0272253193757812</v>
      </c>
      <c r="F12" s="21" t="n">
        <v>8.23778154896858</v>
      </c>
      <c r="G12" s="38" t="s">
        <v>244</v>
      </c>
      <c r="H12" s="47" t="s">
        <v>264</v>
      </c>
      <c r="I12" s="38" t="s">
        <v>228</v>
      </c>
      <c r="J12" s="38" t="s">
        <v>254</v>
      </c>
    </row>
    <row r="13" customFormat="false" ht="15" hidden="false" customHeight="false" outlineLevel="0" collapsed="false">
      <c r="A13" s="38" t="n">
        <v>12</v>
      </c>
      <c r="B13" s="47" t="s">
        <v>258</v>
      </c>
      <c r="C13" s="38" t="s">
        <v>200</v>
      </c>
      <c r="D13" s="39" t="n">
        <v>0.0082190665452051</v>
      </c>
      <c r="E13" s="39" t="n">
        <v>0.0125021309625135</v>
      </c>
      <c r="F13" s="21" t="n">
        <v>7.30267578499482</v>
      </c>
      <c r="G13" s="38" t="s">
        <v>244</v>
      </c>
      <c r="H13" s="47" t="s">
        <v>245</v>
      </c>
      <c r="I13" s="38" t="s">
        <v>223</v>
      </c>
      <c r="J13" s="38" t="s">
        <v>254</v>
      </c>
    </row>
    <row r="14" customFormat="false" ht="28.35" hidden="false" customHeight="false" outlineLevel="0" collapsed="false">
      <c r="A14" s="38" t="n">
        <v>13</v>
      </c>
      <c r="B14" s="47" t="s">
        <v>266</v>
      </c>
      <c r="C14" s="38" t="s">
        <v>201</v>
      </c>
      <c r="D14" s="39" t="n">
        <v>0.00783197659131568</v>
      </c>
      <c r="E14" s="39" t="n">
        <v>0.0229981877916783</v>
      </c>
      <c r="F14" s="21" t="n">
        <v>6.95874470506798</v>
      </c>
      <c r="G14" s="38" t="s">
        <v>244</v>
      </c>
      <c r="H14" s="47" t="s">
        <v>245</v>
      </c>
      <c r="I14" s="38" t="s">
        <v>230</v>
      </c>
      <c r="J14" s="38" t="s">
        <v>254</v>
      </c>
    </row>
    <row r="15" customFormat="false" ht="15" hidden="false" customHeight="false" outlineLevel="0" collapsed="false">
      <c r="A15" s="38" t="n">
        <v>14</v>
      </c>
      <c r="B15" s="47" t="s">
        <v>259</v>
      </c>
      <c r="C15" s="38" t="s">
        <v>200</v>
      </c>
      <c r="D15" s="39" t="n">
        <v>0.00780782594930646</v>
      </c>
      <c r="E15" s="39" t="n">
        <v>0.0118765874462579</v>
      </c>
      <c r="F15" s="21" t="n">
        <v>6.937286756331</v>
      </c>
      <c r="G15" s="38" t="s">
        <v>244</v>
      </c>
      <c r="H15" s="47" t="s">
        <v>245</v>
      </c>
      <c r="I15" s="38" t="s">
        <v>224</v>
      </c>
      <c r="J15" s="38" t="s">
        <v>254</v>
      </c>
    </row>
    <row r="16" customFormat="false" ht="15" hidden="false" customHeight="false" outlineLevel="0" collapsed="false">
      <c r="A16" s="38" t="n">
        <v>15</v>
      </c>
      <c r="B16" s="47" t="s">
        <v>260</v>
      </c>
      <c r="C16" s="38" t="s">
        <v>200</v>
      </c>
      <c r="D16" s="39" t="n">
        <v>0.00746460225730986</v>
      </c>
      <c r="E16" s="39" t="n">
        <v>0.0113545053432383</v>
      </c>
      <c r="F16" s="21" t="n">
        <v>6.63233103774732</v>
      </c>
      <c r="G16" s="38" t="s">
        <v>244</v>
      </c>
      <c r="H16" s="47" t="s">
        <v>245</v>
      </c>
      <c r="I16" s="38" t="s">
        <v>226</v>
      </c>
      <c r="J16" s="38" t="s">
        <v>254</v>
      </c>
    </row>
    <row r="17" customFormat="false" ht="15" hidden="false" customHeight="false" outlineLevel="0" collapsed="false">
      <c r="A17" s="38" t="n">
        <v>16</v>
      </c>
      <c r="B17" s="47" t="s">
        <v>261</v>
      </c>
      <c r="C17" s="38" t="s">
        <v>200</v>
      </c>
      <c r="D17" s="39" t="n">
        <v>0.00633352473912094</v>
      </c>
      <c r="E17" s="39" t="n">
        <v>0.00963400835208024</v>
      </c>
      <c r="F17" s="21" t="n">
        <v>5.62736382430518</v>
      </c>
      <c r="G17" s="38" t="s">
        <v>244</v>
      </c>
      <c r="H17" s="47" t="s">
        <v>245</v>
      </c>
      <c r="I17" s="38" t="s">
        <v>225</v>
      </c>
      <c r="J17" s="38" t="s">
        <v>254</v>
      </c>
    </row>
    <row r="18" customFormat="false" ht="28.35" hidden="false" customHeight="false" outlineLevel="0" collapsed="false">
      <c r="A18" s="38" t="n">
        <v>17</v>
      </c>
      <c r="B18" s="47" t="s">
        <v>262</v>
      </c>
      <c r="C18" s="38" t="s">
        <v>200</v>
      </c>
      <c r="D18" s="39" t="n">
        <v>0.00598313852348689</v>
      </c>
      <c r="E18" s="39" t="n">
        <v>0.00910103123950632</v>
      </c>
      <c r="F18" s="21" t="n">
        <v>5.31604417282973</v>
      </c>
      <c r="G18" s="38" t="s">
        <v>244</v>
      </c>
      <c r="H18" s="47" t="s">
        <v>245</v>
      </c>
      <c r="I18" s="38" t="s">
        <v>227</v>
      </c>
      <c r="J18" s="38" t="s">
        <v>254</v>
      </c>
    </row>
    <row r="19" customFormat="false" ht="15" hidden="false" customHeight="false" outlineLevel="0" collapsed="false">
      <c r="A19" s="38" t="n">
        <v>18</v>
      </c>
      <c r="B19" s="47" t="s">
        <v>267</v>
      </c>
      <c r="C19" s="38" t="s">
        <v>201</v>
      </c>
      <c r="D19" s="39" t="n">
        <v>0.00503760900993096</v>
      </c>
      <c r="E19" s="39" t="n">
        <v>0.014792674196691</v>
      </c>
      <c r="F19" s="21" t="n">
        <v>4.47593715524256</v>
      </c>
      <c r="G19" s="38" t="s">
        <v>244</v>
      </c>
      <c r="H19" s="47" t="s">
        <v>268</v>
      </c>
      <c r="I19" s="38" t="s">
        <v>232</v>
      </c>
      <c r="J19" s="38" t="s">
        <v>254</v>
      </c>
    </row>
    <row r="20" customFormat="false" ht="15" hidden="false" customHeight="false" outlineLevel="0" collapsed="false">
      <c r="A20" s="38" t="n">
        <v>19</v>
      </c>
      <c r="B20" s="47" t="s">
        <v>265</v>
      </c>
      <c r="C20" s="38" t="s">
        <v>200</v>
      </c>
      <c r="D20" s="39" t="n">
        <v>0.00493170754635863</v>
      </c>
      <c r="E20" s="39" t="n">
        <v>0.00750168565667127</v>
      </c>
      <c r="F20" s="21" t="n">
        <v>4.38184325183252</v>
      </c>
      <c r="G20" s="38" t="s">
        <v>244</v>
      </c>
      <c r="H20" s="47" t="s">
        <v>245</v>
      </c>
      <c r="I20" s="38" t="s">
        <v>229</v>
      </c>
      <c r="J20" s="38" t="s">
        <v>254</v>
      </c>
    </row>
    <row r="21" customFormat="false" ht="15" hidden="false" customHeight="false" outlineLevel="0" collapsed="false">
      <c r="A21" s="38" t="n">
        <v>20</v>
      </c>
      <c r="B21" s="47" t="s">
        <v>269</v>
      </c>
      <c r="C21" s="38" t="s">
        <v>201</v>
      </c>
      <c r="D21" s="39" t="n">
        <v>0.00473579375095722</v>
      </c>
      <c r="E21" s="39" t="n">
        <v>0.0139064095451892</v>
      </c>
      <c r="F21" s="21" t="n">
        <v>4.20777300653697</v>
      </c>
      <c r="G21" s="38" t="s">
        <v>244</v>
      </c>
      <c r="H21" s="47" t="s">
        <v>270</v>
      </c>
      <c r="I21" s="38" t="s">
        <v>233</v>
      </c>
      <c r="J21" s="38" t="s">
        <v>254</v>
      </c>
    </row>
    <row r="22" customFormat="false" ht="15" hidden="false" customHeight="false" outlineLevel="0" collapsed="false">
      <c r="A22" s="38" t="n">
        <v>21</v>
      </c>
      <c r="B22" s="47" t="s">
        <v>271</v>
      </c>
      <c r="C22" s="38" t="s">
        <v>199</v>
      </c>
      <c r="D22" s="39" t="n">
        <v>0.00203919655217403</v>
      </c>
      <c r="E22" s="39" t="n">
        <v>1</v>
      </c>
      <c r="F22" s="21" t="n">
        <v>1.81183485989584</v>
      </c>
      <c r="G22" s="38" t="s">
        <v>244</v>
      </c>
      <c r="H22" s="47" t="s">
        <v>272</v>
      </c>
      <c r="I22" s="38" t="s">
        <v>231</v>
      </c>
      <c r="J22" s="38" t="s">
        <v>254</v>
      </c>
    </row>
    <row r="24" customFormat="false" ht="15" hidden="false" customHeight="false" outlineLevel="0" collapsed="false">
      <c r="B24" s="5" t="s">
        <v>273</v>
      </c>
      <c r="C24" s="28" t="s">
        <v>200</v>
      </c>
      <c r="D24" s="48" t="n">
        <f aca="false">SUMIF(C2:C22,"Historical voter data",D2:D22)</f>
        <v>0.657413249777115</v>
      </c>
      <c r="F24" s="49" t="n">
        <f aca="false">SUMIF(C2:C22,"Historical voter data",F2:F22)</f>
        <v>584.114484713943</v>
      </c>
    </row>
    <row r="25" customFormat="false" ht="15" hidden="false" customHeight="false" outlineLevel="0" collapsed="false">
      <c r="B25" s="5" t="s">
        <v>274</v>
      </c>
      <c r="C25" s="28" t="s">
        <v>201</v>
      </c>
      <c r="D25" s="48" t="n">
        <f aca="false">SUMIF(C2:C22,"Voter registration data",D2:D22)</f>
        <v>0.340547553670712</v>
      </c>
      <c r="F25" s="49" t="n">
        <f aca="false">SUMIF(C2:C22,"Voter registration data",F2:F22)</f>
        <v>302.577958233123</v>
      </c>
    </row>
    <row r="26" customFormat="false" ht="15" hidden="false" customHeight="false" outlineLevel="0" collapsed="false">
      <c r="B26" s="5" t="s">
        <v>275</v>
      </c>
      <c r="C26" s="28" t="s">
        <v>199</v>
      </c>
      <c r="D26" s="48" t="n">
        <f aca="false">SUMIF(C2:C22,"Election type",D2:D22)</f>
        <v>0.00203919655217403</v>
      </c>
      <c r="F26" s="49" t="n">
        <f aca="false">SUMIF(C2:C22,"Election type",F2:F22)</f>
        <v>1.81183485989584</v>
      </c>
    </row>
    <row r="27" customFormat="false" ht="15" hidden="false" customHeight="false" outlineLevel="0" collapsed="false">
      <c r="B27" s="5" t="s">
        <v>276</v>
      </c>
      <c r="D27" s="48" t="n">
        <f aca="false">SUM(D2:D22)</f>
        <v>1</v>
      </c>
      <c r="F27" s="49" t="n">
        <f aca="false">SUM(F2:F22)</f>
        <v>888.504277806962</v>
      </c>
    </row>
    <row r="29" customFormat="false" ht="15" hidden="false" customHeight="false" outlineLevel="0" collapsed="false">
      <c r="B29" s="5" t="s">
        <v>70</v>
      </c>
    </row>
    <row r="30" customFormat="false" ht="30" hidden="false" customHeight="true" outlineLevel="0" collapsed="false">
      <c r="B30" s="50" t="s">
        <v>277</v>
      </c>
    </row>
    <row r="31" customFormat="false" ht="45" hidden="false" customHeight="true" outlineLevel="0" collapsed="false">
      <c r="B31" s="50" t="s">
        <v>278</v>
      </c>
    </row>
    <row r="32" customFormat="false" ht="45" hidden="false" customHeight="true" outlineLevel="0" collapsed="false">
      <c r="B32" s="50" t="s">
        <v>279</v>
      </c>
    </row>
    <row r="33" customFormat="false" ht="30" hidden="false" customHeight="true" outlineLevel="0" collapsed="false">
      <c r="B33" s="50" t="s">
        <v>280</v>
      </c>
    </row>
    <row r="34" customFormat="false" ht="60" hidden="false" customHeight="true" outlineLevel="0" collapsed="false">
      <c r="B34" s="50" t="s">
        <v>281</v>
      </c>
    </row>
    <row r="35" customFormat="false" ht="60" hidden="false" customHeight="true" outlineLevel="0" collapsed="false">
      <c r="B35" s="50" t="s">
        <v>286</v>
      </c>
    </row>
    <row r="36" customFormat="false" ht="45" hidden="false" customHeight="true" outlineLevel="0" collapsed="false">
      <c r="B36" s="50" t="s">
        <v>283</v>
      </c>
    </row>
    <row r="37" customFormat="false" ht="30" hidden="false" customHeight="true" outlineLevel="0" collapsed="false">
      <c r="B37" s="50" t="s">
        <v>284</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{1299E848-50C0-4BCF-BF39-4254AE8E7CBF}</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299E848-50C0-4BCF-BF39-4254AE8E7CBF}">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287</v>
      </c>
      <c r="E1" s="7" t="s">
        <v>288</v>
      </c>
      <c r="F1" s="7" t="s">
        <v>289</v>
      </c>
      <c r="G1" s="7" t="s">
        <v>290</v>
      </c>
      <c r="H1" s="7" t="s">
        <v>291</v>
      </c>
      <c r="I1" s="7" t="s">
        <v>292</v>
      </c>
      <c r="J1" s="7" t="s">
        <v>293</v>
      </c>
      <c r="K1" s="7" t="s">
        <v>294</v>
      </c>
      <c r="L1" s="7" t="s">
        <v>295</v>
      </c>
      <c r="M1" s="7" t="s">
        <v>296</v>
      </c>
    </row>
    <row r="2" customFormat="false" ht="15" hidden="false" customHeight="false" outlineLevel="0" collapsed="false">
      <c r="A2" s="38" t="s">
        <v>86</v>
      </c>
      <c r="B2" s="38" t="s">
        <v>87</v>
      </c>
      <c r="C2" s="38" t="s">
        <v>88</v>
      </c>
      <c r="D2" s="21" t="n">
        <v>195</v>
      </c>
      <c r="E2" s="21" t="n">
        <v>181</v>
      </c>
      <c r="F2" s="51" t="n">
        <f aca="false">IF(E2="","",D2-E2)</f>
        <v>14</v>
      </c>
      <c r="G2" s="21" t="n">
        <v>308</v>
      </c>
      <c r="H2" s="21" t="n">
        <v>285</v>
      </c>
      <c r="I2" s="51" t="n">
        <f aca="false">IF(H2="","",G2-H2)</f>
        <v>23</v>
      </c>
      <c r="J2" s="39" t="n">
        <f aca="false">IF(OR(D2="",D2+G2=0),"",D2/(D2+G2))</f>
        <v>0.387673956262425</v>
      </c>
      <c r="K2" s="39" t="n">
        <f aca="false">IF(E2="","",E2/(E2+H2))</f>
        <v>0.388412017167382</v>
      </c>
      <c r="L2" s="52" t="n">
        <f aca="false">IF(OR(K2="",J2=""),"",(J2-K2)*100)</f>
        <v>-0.0738060904956539</v>
      </c>
      <c r="M2" s="38"/>
    </row>
    <row r="3" customFormat="false" ht="15" hidden="false" customHeight="false" outlineLevel="0" collapsed="false">
      <c r="A3" s="38" t="s">
        <v>86</v>
      </c>
      <c r="B3" s="38" t="s">
        <v>91</v>
      </c>
      <c r="C3" s="38" t="s">
        <v>88</v>
      </c>
      <c r="D3" s="21" t="n">
        <v>123</v>
      </c>
      <c r="E3" s="21" t="n">
        <v>118</v>
      </c>
      <c r="F3" s="51" t="n">
        <f aca="false">IF(E3="","",D3-E3)</f>
        <v>5</v>
      </c>
      <c r="G3" s="21" t="n">
        <v>280</v>
      </c>
      <c r="H3" s="21" t="n">
        <v>300</v>
      </c>
      <c r="I3" s="51" t="n">
        <f aca="false">IF(H3="","",G3-H3)</f>
        <v>-20</v>
      </c>
      <c r="J3" s="39" t="n">
        <f aca="false">IF(OR(D3="",D3+G3=0),"",D3/(D3+G3))</f>
        <v>0.305210918114144</v>
      </c>
      <c r="K3" s="39" t="n">
        <f aca="false">IF(E3="","",E3/(E3+H3))</f>
        <v>0.282296650717703</v>
      </c>
      <c r="L3" s="52" t="n">
        <f aca="false">IF(OR(K3="",J3=""),"",(J3-K3)*100)</f>
        <v>2.29142673964406</v>
      </c>
      <c r="M3" s="38"/>
    </row>
    <row r="4" customFormat="false" ht="15" hidden="false" customHeight="false" outlineLevel="0" collapsed="false">
      <c r="A4" s="38" t="s">
        <v>86</v>
      </c>
      <c r="B4" s="38" t="s">
        <v>92</v>
      </c>
      <c r="C4" s="38" t="s">
        <v>88</v>
      </c>
      <c r="D4" s="21" t="n">
        <v>154</v>
      </c>
      <c r="E4" s="21" t="n">
        <v>144</v>
      </c>
      <c r="F4" s="51" t="n">
        <f aca="false">IF(E4="","",D4-E4)</f>
        <v>10</v>
      </c>
      <c r="G4" s="21" t="n">
        <v>274</v>
      </c>
      <c r="H4" s="21" t="n">
        <v>310</v>
      </c>
      <c r="I4" s="51" t="n">
        <f aca="false">IF(H4="","",G4-H4)</f>
        <v>-36</v>
      </c>
      <c r="J4" s="39" t="n">
        <f aca="false">IF(OR(D4="",D4+G4=0),"",D4/(D4+G4))</f>
        <v>0.35981308411215</v>
      </c>
      <c r="K4" s="39" t="n">
        <f aca="false">IF(E4="","",E4/(E4+H4))</f>
        <v>0.317180616740088</v>
      </c>
      <c r="L4" s="52" t="n">
        <f aca="false">IF(OR(K4="",J4=""),"",(J4-K4)*100)</f>
        <v>4.26324673720614</v>
      </c>
      <c r="M4" s="38"/>
    </row>
    <row r="5" customFormat="false" ht="15" hidden="false" customHeight="false" outlineLevel="0" collapsed="false">
      <c r="A5" s="38" t="s">
        <v>86</v>
      </c>
      <c r="B5" s="38" t="s">
        <v>93</v>
      </c>
      <c r="C5" s="38" t="s">
        <v>88</v>
      </c>
      <c r="D5" s="21" t="n">
        <v>482</v>
      </c>
      <c r="E5" s="21" t="n">
        <v>438</v>
      </c>
      <c r="F5" s="51" t="n">
        <f aca="false">IF(E5="","",D5-E5)</f>
        <v>44</v>
      </c>
      <c r="G5" s="21" t="n">
        <v>1088</v>
      </c>
      <c r="H5" s="21" t="n">
        <v>1253</v>
      </c>
      <c r="I5" s="51" t="n">
        <f aca="false">IF(H5="","",G5-H5)</f>
        <v>-165</v>
      </c>
      <c r="J5" s="39" t="n">
        <f aca="false">IF(OR(D5="",D5+G5=0),"",D5/(D5+G5))</f>
        <v>0.307006369426752</v>
      </c>
      <c r="K5" s="39" t="n">
        <f aca="false">IF(E5="","",E5/(E5+H5))</f>
        <v>0.259018332347723</v>
      </c>
      <c r="L5" s="52" t="n">
        <f aca="false">IF(OR(K5="",J5=""),"",(J5-K5)*100)</f>
        <v>4.79880370790283</v>
      </c>
      <c r="M5" s="38"/>
    </row>
    <row r="6" customFormat="false" ht="15" hidden="false" customHeight="false" outlineLevel="0" collapsed="false">
      <c r="A6" s="38" t="s">
        <v>86</v>
      </c>
      <c r="B6" s="38" t="s">
        <v>94</v>
      </c>
      <c r="C6" s="38" t="s">
        <v>88</v>
      </c>
      <c r="D6" s="21" t="n">
        <v>46</v>
      </c>
      <c r="E6" s="21" t="n">
        <v>38</v>
      </c>
      <c r="F6" s="51" t="n">
        <f aca="false">IF(E6="","",D6-E6)</f>
        <v>8</v>
      </c>
      <c r="G6" s="21" t="n">
        <v>75</v>
      </c>
      <c r="H6" s="21" t="n">
        <v>78</v>
      </c>
      <c r="I6" s="51" t="n">
        <f aca="false">IF(H6="","",G6-H6)</f>
        <v>-3</v>
      </c>
      <c r="J6" s="39" t="n">
        <f aca="false">IF(OR(D6="",D6+G6=0),"",D6/(D6+G6))</f>
        <v>0.380165289256198</v>
      </c>
      <c r="K6" s="39" t="n">
        <f aca="false">IF(E6="","",E6/(E6+H6))</f>
        <v>0.327586206896552</v>
      </c>
      <c r="L6" s="52" t="n">
        <f aca="false">IF(OR(K6="",J6=""),"",(J6-K6)*100)</f>
        <v>5.25790823596466</v>
      </c>
      <c r="M6" s="38"/>
    </row>
    <row r="7" customFormat="false" ht="15" hidden="false" customHeight="false" outlineLevel="0" collapsed="false">
      <c r="A7" s="38" t="s">
        <v>86</v>
      </c>
      <c r="B7" s="38" t="s">
        <v>95</v>
      </c>
      <c r="C7" s="38" t="s">
        <v>88</v>
      </c>
      <c r="D7" s="21" t="n">
        <v>759</v>
      </c>
      <c r="E7" s="21" t="n">
        <v>708</v>
      </c>
      <c r="F7" s="51" t="n">
        <f aca="false">IF(E7="","",D7-E7)</f>
        <v>51</v>
      </c>
      <c r="G7" s="21" t="n">
        <v>1700</v>
      </c>
      <c r="H7" s="21" t="n">
        <v>1846</v>
      </c>
      <c r="I7" s="51" t="n">
        <f aca="false">IF(H7="","",G7-H7)</f>
        <v>-146</v>
      </c>
      <c r="J7" s="39" t="n">
        <f aca="false">IF(OR(D7="",D7+G7=0),"",D7/(D7+G7))</f>
        <v>0.308662057747052</v>
      </c>
      <c r="K7" s="39" t="n">
        <f aca="false">IF(E7="","",E7/(E7+H7))</f>
        <v>0.277212216131558</v>
      </c>
      <c r="L7" s="52" t="n">
        <f aca="false">IF(OR(K7="",J7=""),"",(J7-K7)*100)</f>
        <v>3.14498416154933</v>
      </c>
      <c r="M7" s="38"/>
    </row>
    <row r="8" customFormat="false" ht="15" hidden="false" customHeight="false" outlineLevel="0" collapsed="false">
      <c r="A8" s="38" t="s">
        <v>86</v>
      </c>
      <c r="B8" s="38" t="s">
        <v>97</v>
      </c>
      <c r="C8" s="38" t="s">
        <v>88</v>
      </c>
      <c r="D8" s="21" t="n">
        <v>1218</v>
      </c>
      <c r="E8" s="21" t="n">
        <v>1104</v>
      </c>
      <c r="F8" s="51" t="n">
        <f aca="false">IF(E8="","",D8-E8)</f>
        <v>114</v>
      </c>
      <c r="G8" s="21" t="n">
        <v>1359</v>
      </c>
      <c r="H8" s="21" t="n">
        <v>1481</v>
      </c>
      <c r="I8" s="51" t="n">
        <f aca="false">IF(H8="","",G8-H8)</f>
        <v>-122</v>
      </c>
      <c r="J8" s="39" t="n">
        <f aca="false">IF(OR(D8="",D8+G8=0),"",D8/(D8+G8))</f>
        <v>0.472642607683353</v>
      </c>
      <c r="K8" s="39" t="n">
        <f aca="false">IF(E8="","",E8/(E8+H8))</f>
        <v>0.427079303675048</v>
      </c>
      <c r="L8" s="52" t="n">
        <f aca="false">IF(OR(K8="",J8=""),"",(J8-K8)*100)</f>
        <v>4.55633040083044</v>
      </c>
      <c r="M8" s="38"/>
    </row>
    <row r="9" customFormat="false" ht="15" hidden="false" customHeight="false" outlineLevel="0" collapsed="false">
      <c r="A9" s="38" t="s">
        <v>86</v>
      </c>
      <c r="B9" s="38" t="s">
        <v>98</v>
      </c>
      <c r="C9" s="38" t="s">
        <v>88</v>
      </c>
      <c r="D9" s="21" t="n">
        <v>378</v>
      </c>
      <c r="E9" s="21" t="n">
        <v>351</v>
      </c>
      <c r="F9" s="51" t="n">
        <f aca="false">IF(E9="","",D9-E9)</f>
        <v>27</v>
      </c>
      <c r="G9" s="21" t="n">
        <v>723</v>
      </c>
      <c r="H9" s="21" t="n">
        <v>697</v>
      </c>
      <c r="I9" s="51" t="n">
        <f aca="false">IF(H9="","",G9-H9)</f>
        <v>26</v>
      </c>
      <c r="J9" s="39" t="n">
        <f aca="false">IF(OR(D9="",D9+G9=0),"",D9/(D9+G9))</f>
        <v>0.343324250681199</v>
      </c>
      <c r="K9" s="39" t="n">
        <f aca="false">IF(E9="","",E9/(E9+H9))</f>
        <v>0.334923664122137</v>
      </c>
      <c r="L9" s="52" t="n">
        <f aca="false">IF(OR(K9="",J9=""),"",(J9-K9)*100)</f>
        <v>0.840058655906151</v>
      </c>
      <c r="M9" s="38"/>
    </row>
    <row r="10" customFormat="false" ht="15" hidden="false" customHeight="false" outlineLevel="0" collapsed="false">
      <c r="A10" s="38" t="s">
        <v>86</v>
      </c>
      <c r="B10" s="38" t="s">
        <v>99</v>
      </c>
      <c r="C10" s="38" t="s">
        <v>88</v>
      </c>
      <c r="D10" s="21" t="n">
        <v>642</v>
      </c>
      <c r="E10" s="21" t="n">
        <v>575</v>
      </c>
      <c r="F10" s="51" t="n">
        <f aca="false">IF(E10="","",D10-E10)</f>
        <v>67</v>
      </c>
      <c r="G10" s="21" t="n">
        <v>818</v>
      </c>
      <c r="H10" s="21" t="n">
        <v>880</v>
      </c>
      <c r="I10" s="51" t="n">
        <f aca="false">IF(H10="","",G10-H10)</f>
        <v>-62</v>
      </c>
      <c r="J10" s="39" t="n">
        <f aca="false">IF(OR(D10="",D10+G10=0),"",D10/(D10+G10))</f>
        <v>0.43972602739726</v>
      </c>
      <c r="K10" s="39" t="n">
        <f aca="false">IF(E10="","",E10/(E10+H10))</f>
        <v>0.395189003436426</v>
      </c>
      <c r="L10" s="52" t="n">
        <f aca="false">IF(OR(K10="",J10=""),"",(J10-K10)*100)</f>
        <v>4.45370239608342</v>
      </c>
      <c r="M10" s="38"/>
    </row>
    <row r="11" customFormat="false" ht="15" hidden="false" customHeight="false" outlineLevel="0" collapsed="false">
      <c r="A11" s="38" t="s">
        <v>86</v>
      </c>
      <c r="B11" s="38" t="s">
        <v>100</v>
      </c>
      <c r="C11" s="38" t="s">
        <v>88</v>
      </c>
      <c r="D11" s="21" t="n">
        <v>47</v>
      </c>
      <c r="E11" s="21" t="n">
        <v>38</v>
      </c>
      <c r="F11" s="51" t="n">
        <f aca="false">IF(E11="","",D11-E11)</f>
        <v>9</v>
      </c>
      <c r="G11" s="21" t="n">
        <v>94</v>
      </c>
      <c r="H11" s="21" t="n">
        <v>107</v>
      </c>
      <c r="I11" s="51" t="n">
        <f aca="false">IF(H11="","",G11-H11)</f>
        <v>-13</v>
      </c>
      <c r="J11" s="39" t="n">
        <f aca="false">IF(OR(D11="",D11+G11=0),"",D11/(D11+G11))</f>
        <v>0.333333333333333</v>
      </c>
      <c r="K11" s="39" t="n">
        <f aca="false">IF(E11="","",E11/(E11+H11))</f>
        <v>0.262068965517241</v>
      </c>
      <c r="L11" s="52" t="n">
        <f aca="false">IF(OR(K11="",J11=""),"",(J11-K11)*100)</f>
        <v>7.12643678160919</v>
      </c>
      <c r="M11" s="38"/>
    </row>
    <row r="12" customFormat="false" ht="15" hidden="false" customHeight="false" outlineLevel="0" collapsed="false">
      <c r="A12" s="38" t="s">
        <v>86</v>
      </c>
      <c r="B12" s="38" t="s">
        <v>101</v>
      </c>
      <c r="C12" s="38" t="s">
        <v>88</v>
      </c>
      <c r="D12" s="21" t="n">
        <v>68</v>
      </c>
      <c r="E12" s="21" t="n">
        <v>58</v>
      </c>
      <c r="F12" s="51" t="n">
        <f aca="false">IF(E12="","",D12-E12)</f>
        <v>10</v>
      </c>
      <c r="G12" s="21" t="n">
        <v>206</v>
      </c>
      <c r="H12" s="21" t="n">
        <v>216</v>
      </c>
      <c r="I12" s="51" t="n">
        <f aca="false">IF(H12="","",G12-H12)</f>
        <v>-10</v>
      </c>
      <c r="J12" s="39" t="n">
        <f aca="false">IF(OR(D12="",D12+G12=0),"",D12/(D12+G12))</f>
        <v>0.248175182481752</v>
      </c>
      <c r="K12" s="39" t="n">
        <f aca="false">IF(E12="","",E12/(E12+H12))</f>
        <v>0.211678832116788</v>
      </c>
      <c r="L12" s="52" t="n">
        <f aca="false">IF(OR(K12="",J12=""),"",(J12-K12)*100)</f>
        <v>3.64963503649635</v>
      </c>
      <c r="M12" s="38"/>
    </row>
    <row r="13" customFormat="false" ht="15" hidden="false" customHeight="false" outlineLevel="0" collapsed="false">
      <c r="A13" s="38" t="s">
        <v>86</v>
      </c>
      <c r="B13" s="38" t="s">
        <v>102</v>
      </c>
      <c r="C13" s="38" t="s">
        <v>88</v>
      </c>
      <c r="D13" s="21" t="n">
        <v>965</v>
      </c>
      <c r="E13" s="21" t="n">
        <v>944</v>
      </c>
      <c r="F13" s="51" t="n">
        <f aca="false">IF(E13="","",D13-E13)</f>
        <v>21</v>
      </c>
      <c r="G13" s="21" t="n">
        <v>1286</v>
      </c>
      <c r="H13" s="21" t="n">
        <v>1486</v>
      </c>
      <c r="I13" s="51" t="n">
        <f aca="false">IF(H13="","",G13-H13)</f>
        <v>-200</v>
      </c>
      <c r="J13" s="39" t="n">
        <f aca="false">IF(OR(D13="",D13+G13=0),"",D13/(D13+G13))</f>
        <v>0.428698356286095</v>
      </c>
      <c r="K13" s="39" t="n">
        <f aca="false">IF(E13="","",E13/(E13+H13))</f>
        <v>0.388477366255144</v>
      </c>
      <c r="L13" s="52" t="n">
        <f aca="false">IF(OR(K13="",J13=""),"",(J13-K13)*100)</f>
        <v>4.02209900309511</v>
      </c>
      <c r="M13" s="38"/>
    </row>
    <row r="14" customFormat="false" ht="15" hidden="false" customHeight="false" outlineLevel="0" collapsed="false">
      <c r="A14" s="38" t="s">
        <v>86</v>
      </c>
      <c r="B14" s="38" t="s">
        <v>103</v>
      </c>
      <c r="C14" s="38" t="s">
        <v>88</v>
      </c>
      <c r="D14" s="21" t="n">
        <v>551</v>
      </c>
      <c r="E14" s="21" t="n">
        <v>515</v>
      </c>
      <c r="F14" s="51" t="n">
        <f aca="false">IF(E14="","",D14-E14)</f>
        <v>36</v>
      </c>
      <c r="G14" s="21" t="n">
        <v>1102</v>
      </c>
      <c r="H14" s="21" t="n">
        <v>1293</v>
      </c>
      <c r="I14" s="51" t="n">
        <f aca="false">IF(H14="","",G14-H14)</f>
        <v>-191</v>
      </c>
      <c r="J14" s="39" t="n">
        <f aca="false">IF(OR(D14="",D14+G14=0),"",D14/(D14+G14))</f>
        <v>0.333333333333333</v>
      </c>
      <c r="K14" s="39" t="n">
        <f aca="false">IF(E14="","",E14/(E14+H14))</f>
        <v>0.284845132743363</v>
      </c>
      <c r="L14" s="52" t="n">
        <f aca="false">IF(OR(K14="",J14=""),"",(J14-K14)*100)</f>
        <v>4.84882005899705</v>
      </c>
      <c r="M14" s="38"/>
    </row>
    <row r="15" customFormat="false" ht="15" hidden="false" customHeight="false" outlineLevel="0" collapsed="false">
      <c r="A15" s="38" t="s">
        <v>86</v>
      </c>
      <c r="B15" s="38" t="s">
        <v>104</v>
      </c>
      <c r="C15" s="38" t="s">
        <v>88</v>
      </c>
      <c r="D15" s="21" t="n">
        <v>669</v>
      </c>
      <c r="E15" s="21" t="n">
        <v>694</v>
      </c>
      <c r="F15" s="51" t="n">
        <f aca="false">IF(E15="","",D15-E15)</f>
        <v>-25</v>
      </c>
      <c r="G15" s="21" t="n">
        <v>1453</v>
      </c>
      <c r="H15" s="21" t="n">
        <v>1695</v>
      </c>
      <c r="I15" s="51" t="n">
        <f aca="false">IF(H15="","",G15-H15)</f>
        <v>-242</v>
      </c>
      <c r="J15" s="39" t="n">
        <f aca="false">IF(OR(D15="",D15+G15=0),"",D15/(D15+G15))</f>
        <v>0.315268614514609</v>
      </c>
      <c r="K15" s="39" t="n">
        <f aca="false">IF(E15="","",E15/(E15+H15))</f>
        <v>0.290498116366681</v>
      </c>
      <c r="L15" s="52" t="n">
        <f aca="false">IF(OR(K15="",J15=""),"",(J15-K15)*100)</f>
        <v>2.47704981479283</v>
      </c>
      <c r="M15" s="38"/>
    </row>
    <row r="16" customFormat="false" ht="15" hidden="false" customHeight="false" outlineLevel="0" collapsed="false">
      <c r="A16" s="38" t="s">
        <v>86</v>
      </c>
      <c r="B16" s="38" t="s">
        <v>105</v>
      </c>
      <c r="C16" s="38" t="s">
        <v>88</v>
      </c>
      <c r="D16" s="21" t="n">
        <v>638</v>
      </c>
      <c r="E16" s="21" t="n">
        <v>601</v>
      </c>
      <c r="F16" s="51" t="n">
        <f aca="false">IF(E16="","",D16-E16)</f>
        <v>37</v>
      </c>
      <c r="G16" s="21" t="n">
        <v>899</v>
      </c>
      <c r="H16" s="21" t="n">
        <v>955</v>
      </c>
      <c r="I16" s="51" t="n">
        <f aca="false">IF(H16="","",G16-H16)</f>
        <v>-56</v>
      </c>
      <c r="J16" s="39" t="n">
        <f aca="false">IF(OR(D16="",D16+G16=0),"",D16/(D16+G16))</f>
        <v>0.415094339622642</v>
      </c>
      <c r="K16" s="39" t="n">
        <f aca="false">IF(E16="","",E16/(E16+H16))</f>
        <v>0.386246786632391</v>
      </c>
      <c r="L16" s="52" t="n">
        <f aca="false">IF(OR(K16="",J16=""),"",(J16-K16)*100)</f>
        <v>2.88475529902508</v>
      </c>
      <c r="M16" s="38"/>
    </row>
    <row r="17" customFormat="false" ht="15" hidden="false" customHeight="false" outlineLevel="0" collapsed="false">
      <c r="A17" s="38" t="s">
        <v>86</v>
      </c>
      <c r="B17" s="38" t="s">
        <v>106</v>
      </c>
      <c r="C17" s="38" t="s">
        <v>88</v>
      </c>
      <c r="D17" s="21" t="n">
        <v>150</v>
      </c>
      <c r="E17" s="21" t="n">
        <v>134</v>
      </c>
      <c r="F17" s="51" t="n">
        <f aca="false">IF(E17="","",D17-E17)</f>
        <v>16</v>
      </c>
      <c r="G17" s="21" t="n">
        <v>490</v>
      </c>
      <c r="H17" s="21" t="n">
        <v>505</v>
      </c>
      <c r="I17" s="51" t="n">
        <f aca="false">IF(H17="","",G17-H17)</f>
        <v>-15</v>
      </c>
      <c r="J17" s="39" t="n">
        <f aca="false">IF(OR(D17="",D17+G17=0),"",D17/(D17+G17))</f>
        <v>0.234375</v>
      </c>
      <c r="K17" s="39" t="n">
        <f aca="false">IF(E17="","",E17/(E17+H17))</f>
        <v>0.209702660406886</v>
      </c>
      <c r="L17" s="52" t="n">
        <f aca="false">IF(OR(K17="",J17=""),"",(J17-K17)*100)</f>
        <v>2.46723395931142</v>
      </c>
      <c r="M17" s="38"/>
    </row>
    <row r="18" customFormat="false" ht="15" hidden="false" customHeight="false" outlineLevel="0" collapsed="false">
      <c r="A18" s="38" t="s">
        <v>86</v>
      </c>
      <c r="B18" s="38" t="s">
        <v>107</v>
      </c>
      <c r="C18" s="38" t="s">
        <v>88</v>
      </c>
      <c r="D18" s="21" t="n">
        <v>1018</v>
      </c>
      <c r="E18" s="21" t="n">
        <v>981</v>
      </c>
      <c r="F18" s="51" t="n">
        <f aca="false">IF(E18="","",D18-E18)</f>
        <v>37</v>
      </c>
      <c r="G18" s="21" t="n">
        <v>1521</v>
      </c>
      <c r="H18" s="21" t="n">
        <v>1740</v>
      </c>
      <c r="I18" s="51" t="n">
        <f aca="false">IF(H18="","",G18-H18)</f>
        <v>-219</v>
      </c>
      <c r="J18" s="39" t="n">
        <f aca="false">IF(OR(D18="",D18+G18=0),"",D18/(D18+G18))</f>
        <v>0.400945254037022</v>
      </c>
      <c r="K18" s="39" t="n">
        <f aca="false">IF(E18="","",E18/(E18+H18))</f>
        <v>0.360529217199559</v>
      </c>
      <c r="L18" s="52" t="n">
        <f aca="false">IF(OR(K18="",J18=""),"",(J18-K18)*100)</f>
        <v>4.04160368374635</v>
      </c>
      <c r="M18" s="38"/>
    </row>
    <row r="19" customFormat="false" ht="15" hidden="false" customHeight="false" outlineLevel="0" collapsed="false">
      <c r="A19" s="38" t="s">
        <v>86</v>
      </c>
      <c r="B19" s="38" t="s">
        <v>108</v>
      </c>
      <c r="C19" s="38" t="s">
        <v>88</v>
      </c>
      <c r="D19" s="21" t="n">
        <v>67</v>
      </c>
      <c r="E19" s="21" t="n">
        <v>74</v>
      </c>
      <c r="F19" s="51" t="n">
        <f aca="false">IF(E19="","",D19-E19)</f>
        <v>-7</v>
      </c>
      <c r="G19" s="21" t="n">
        <v>152</v>
      </c>
      <c r="H19" s="21" t="n">
        <v>162</v>
      </c>
      <c r="I19" s="51" t="n">
        <f aca="false">IF(H19="","",G19-H19)</f>
        <v>-10</v>
      </c>
      <c r="J19" s="39" t="n">
        <f aca="false">IF(OR(D19="",D19+G19=0),"",D19/(D19+G19))</f>
        <v>0.305936073059361</v>
      </c>
      <c r="K19" s="39" t="n">
        <f aca="false">IF(E19="","",E19/(E19+H19))</f>
        <v>0.313559322033898</v>
      </c>
      <c r="L19" s="52" t="n">
        <f aca="false">IF(OR(K19="",J19=""),"",(J19-K19)*100)</f>
        <v>-0.762324897453759</v>
      </c>
      <c r="M19" s="38"/>
    </row>
    <row r="20" customFormat="false" ht="15" hidden="false" customHeight="false" outlineLevel="0" collapsed="false">
      <c r="A20" s="38" t="s">
        <v>86</v>
      </c>
      <c r="B20" s="38" t="s">
        <v>109</v>
      </c>
      <c r="C20" s="38" t="s">
        <v>88</v>
      </c>
      <c r="D20" s="21" t="n">
        <v>2024</v>
      </c>
      <c r="E20" s="21" t="n">
        <v>2047</v>
      </c>
      <c r="F20" s="51" t="n">
        <f aca="false">IF(E20="","",D20-E20)</f>
        <v>-23</v>
      </c>
      <c r="G20" s="21" t="n">
        <v>3447</v>
      </c>
      <c r="H20" s="21" t="n">
        <v>3702</v>
      </c>
      <c r="I20" s="51" t="n">
        <f aca="false">IF(H20="","",G20-H20)</f>
        <v>-255</v>
      </c>
      <c r="J20" s="39" t="n">
        <f aca="false">IF(OR(D20="",D20+G20=0),"",D20/(D20+G20))</f>
        <v>0.369950648875891</v>
      </c>
      <c r="K20" s="39" t="n">
        <f aca="false">IF(E20="","",E20/(E20+H20))</f>
        <v>0.356061923812837</v>
      </c>
      <c r="L20" s="52" t="n">
        <f aca="false">IF(OR(K20="",J20=""),"",(J20-K20)*100)</f>
        <v>1.38887250630541</v>
      </c>
      <c r="M20" s="38"/>
    </row>
    <row r="21" customFormat="false" ht="15" hidden="false" customHeight="false" outlineLevel="0" collapsed="false">
      <c r="A21" s="38" t="s">
        <v>86</v>
      </c>
      <c r="B21" s="38" t="s">
        <v>111</v>
      </c>
      <c r="C21" s="38" t="s">
        <v>88</v>
      </c>
      <c r="D21" s="21" t="n">
        <v>721</v>
      </c>
      <c r="E21" s="21" t="n">
        <v>660</v>
      </c>
      <c r="F21" s="51" t="n">
        <f aca="false">IF(E21="","",D21-E21)</f>
        <v>61</v>
      </c>
      <c r="G21" s="21" t="n">
        <v>816</v>
      </c>
      <c r="H21" s="21" t="n">
        <v>913</v>
      </c>
      <c r="I21" s="51" t="n">
        <f aca="false">IF(H21="","",G21-H21)</f>
        <v>-97</v>
      </c>
      <c r="J21" s="39" t="n">
        <f aca="false">IF(OR(D21="",D21+G21=0),"",D21/(D21+G21))</f>
        <v>0.469095640858816</v>
      </c>
      <c r="K21" s="39" t="n">
        <f aca="false">IF(E21="","",E21/(E21+H21))</f>
        <v>0.41958041958042</v>
      </c>
      <c r="L21" s="52" t="n">
        <f aca="false">IF(OR(K21="",J21=""),"",(J21-K21)*100)</f>
        <v>4.95152212783963</v>
      </c>
      <c r="M21" s="38"/>
    </row>
    <row r="22" customFormat="false" ht="15" hidden="false" customHeight="false" outlineLevel="0" collapsed="false">
      <c r="A22" s="38" t="s">
        <v>86</v>
      </c>
      <c r="B22" s="38" t="s">
        <v>112</v>
      </c>
      <c r="C22" s="38" t="s">
        <v>88</v>
      </c>
      <c r="D22" s="21" t="n">
        <v>808</v>
      </c>
      <c r="E22" s="21" t="n">
        <v>802</v>
      </c>
      <c r="F22" s="51" t="n">
        <f aca="false">IF(E22="","",D22-E22)</f>
        <v>6</v>
      </c>
      <c r="G22" s="21" t="n">
        <v>1807</v>
      </c>
      <c r="H22" s="21" t="n">
        <v>1955</v>
      </c>
      <c r="I22" s="51" t="n">
        <f aca="false">IF(H22="","",G22-H22)</f>
        <v>-148</v>
      </c>
      <c r="J22" s="39" t="n">
        <f aca="false">IF(OR(D22="",D22+G22=0),"",D22/(D22+G22))</f>
        <v>0.308986615678776</v>
      </c>
      <c r="K22" s="39" t="n">
        <f aca="false">IF(E22="","",E22/(E22+H22))</f>
        <v>0.290895901342038</v>
      </c>
      <c r="L22" s="52" t="n">
        <f aca="false">IF(OR(K22="",J22=""),"",(J22-K22)*100)</f>
        <v>1.80907143367378</v>
      </c>
      <c r="M22" s="38"/>
    </row>
    <row r="23" customFormat="false" ht="15" hidden="false" customHeight="false" outlineLevel="0" collapsed="false">
      <c r="A23" s="38" t="s">
        <v>86</v>
      </c>
      <c r="B23" s="38" t="s">
        <v>113</v>
      </c>
      <c r="C23" s="38" t="s">
        <v>88</v>
      </c>
      <c r="D23" s="21" t="n">
        <v>383</v>
      </c>
      <c r="E23" s="21" t="n">
        <v>351</v>
      </c>
      <c r="F23" s="51" t="n">
        <f aca="false">IF(E23="","",D23-E23)</f>
        <v>32</v>
      </c>
      <c r="G23" s="21" t="n">
        <v>838</v>
      </c>
      <c r="H23" s="21" t="n">
        <v>849</v>
      </c>
      <c r="I23" s="51" t="n">
        <f aca="false">IF(H23="","",G23-H23)</f>
        <v>-11</v>
      </c>
      <c r="J23" s="39" t="n">
        <f aca="false">IF(OR(D23="",D23+G23=0),"",D23/(D23+G23))</f>
        <v>0.313677313677314</v>
      </c>
      <c r="K23" s="39" t="n">
        <f aca="false">IF(E23="","",E23/(E23+H23))</f>
        <v>0.2925</v>
      </c>
      <c r="L23" s="52" t="n">
        <f aca="false">IF(OR(K23="",J23=""),"",(J23-K23)*100)</f>
        <v>2.11773136773137</v>
      </c>
      <c r="M23" s="38"/>
    </row>
    <row r="24" customFormat="false" ht="15" hidden="false" customHeight="false" outlineLevel="0" collapsed="false">
      <c r="A24" s="38" t="s">
        <v>86</v>
      </c>
      <c r="B24" s="38" t="s">
        <v>114</v>
      </c>
      <c r="C24" s="38" t="s">
        <v>88</v>
      </c>
      <c r="D24" s="21" t="n">
        <v>68</v>
      </c>
      <c r="E24" s="21" t="n">
        <v>58</v>
      </c>
      <c r="F24" s="51" t="n">
        <f aca="false">IF(E24="","",D24-E24)</f>
        <v>10</v>
      </c>
      <c r="G24" s="21" t="n">
        <v>85</v>
      </c>
      <c r="H24" s="21" t="n">
        <v>105</v>
      </c>
      <c r="I24" s="51" t="n">
        <f aca="false">IF(H24="","",G24-H24)</f>
        <v>-20</v>
      </c>
      <c r="J24" s="39" t="n">
        <f aca="false">IF(OR(D24="",D24+G24=0),"",D24/(D24+G24))</f>
        <v>0.444444444444444</v>
      </c>
      <c r="K24" s="39" t="n">
        <f aca="false">IF(E24="","",E24/(E24+H24))</f>
        <v>0.355828220858896</v>
      </c>
      <c r="L24" s="52" t="n">
        <f aca="false">IF(OR(K24="",J24=""),"",(J24-K24)*100)</f>
        <v>8.86162235855487</v>
      </c>
      <c r="M24" s="38"/>
    </row>
    <row r="25" customFormat="false" ht="15" hidden="false" customHeight="false" outlineLevel="0" collapsed="false">
      <c r="A25" s="38" t="s">
        <v>115</v>
      </c>
      <c r="B25" s="38" t="s">
        <v>116</v>
      </c>
      <c r="C25" s="38" t="s">
        <v>88</v>
      </c>
      <c r="D25" s="21" t="n">
        <v>677</v>
      </c>
      <c r="E25" s="21" t="n">
        <v>601</v>
      </c>
      <c r="F25" s="51" t="n">
        <f aca="false">IF(E25="","",D25-E25)</f>
        <v>76</v>
      </c>
      <c r="G25" s="21" t="n">
        <v>702</v>
      </c>
      <c r="H25" s="21" t="n">
        <v>766</v>
      </c>
      <c r="I25" s="51" t="n">
        <f aca="false">IF(H25="","",G25-H25)</f>
        <v>-64</v>
      </c>
      <c r="J25" s="39" t="n">
        <f aca="false">IF(OR(D25="",D25+G25=0),"",D25/(D25+G25))</f>
        <v>0.490935460478608</v>
      </c>
      <c r="K25" s="39" t="n">
        <f aca="false">IF(E25="","",E25/(E25+H25))</f>
        <v>0.439648866130212</v>
      </c>
      <c r="L25" s="52" t="n">
        <f aca="false">IF(OR(K25="",J25=""),"",(J25-K25)*100)</f>
        <v>5.12865943483956</v>
      </c>
      <c r="M25" s="38"/>
    </row>
    <row r="26" customFormat="false" ht="15" hidden="false" customHeight="false" outlineLevel="0" collapsed="false">
      <c r="A26" s="38" t="s">
        <v>115</v>
      </c>
      <c r="B26" s="38" t="s">
        <v>117</v>
      </c>
      <c r="C26" s="38" t="s">
        <v>88</v>
      </c>
      <c r="D26" s="21" t="n">
        <v>27680</v>
      </c>
      <c r="E26" s="21" t="n">
        <v>26568</v>
      </c>
      <c r="F26" s="51" t="n">
        <f aca="false">IF(E26="","",D26-E26)</f>
        <v>1112</v>
      </c>
      <c r="G26" s="21" t="n">
        <v>13210</v>
      </c>
      <c r="H26" s="21" t="n">
        <v>14583</v>
      </c>
      <c r="I26" s="51" t="n">
        <f aca="false">IF(H26="","",G26-H26)</f>
        <v>-1373</v>
      </c>
      <c r="J26" s="39" t="n">
        <f aca="false">IF(OR(D26="",D26+G26=0),"",D26/(D26+G26))</f>
        <v>0.67693812668134</v>
      </c>
      <c r="K26" s="39" t="n">
        <f aca="false">IF(E26="","",E26/(E26+H26))</f>
        <v>0.645622220602172</v>
      </c>
      <c r="L26" s="52" t="n">
        <f aca="false">IF(OR(K26="",J26=""),"",(J26-K26)*100)</f>
        <v>3.13159060791678</v>
      </c>
      <c r="M26" s="38"/>
    </row>
    <row r="27" customFormat="false" ht="15" hidden="false" customHeight="false" outlineLevel="0" collapsed="false">
      <c r="A27" s="38" t="s">
        <v>115</v>
      </c>
      <c r="B27" s="38" t="s">
        <v>118</v>
      </c>
      <c r="C27" s="38" t="s">
        <v>88</v>
      </c>
      <c r="D27" s="21" t="n">
        <v>6713</v>
      </c>
      <c r="E27" s="21" t="n">
        <v>6612</v>
      </c>
      <c r="F27" s="51" t="n">
        <f aca="false">IF(E27="","",D27-E27)</f>
        <v>101</v>
      </c>
      <c r="G27" s="21" t="n">
        <v>3546</v>
      </c>
      <c r="H27" s="21" t="n">
        <v>3834</v>
      </c>
      <c r="I27" s="51" t="n">
        <f aca="false">IF(H27="","",G27-H27)</f>
        <v>-288</v>
      </c>
      <c r="J27" s="39" t="n">
        <f aca="false">IF(OR(D27="",D27+G27=0),"",D27/(D27+G27))</f>
        <v>0.654352276050297</v>
      </c>
      <c r="K27" s="39" t="n">
        <f aca="false">IF(E27="","",E27/(E27+H27))</f>
        <v>0.632969557725445</v>
      </c>
      <c r="L27" s="52" t="n">
        <f aca="false">IF(OR(K27="",J27=""),"",(J27-K27)*100)</f>
        <v>2.13827183248522</v>
      </c>
      <c r="M27" s="38"/>
    </row>
    <row r="28" customFormat="false" ht="15" hidden="false" customHeight="false" outlineLevel="0" collapsed="false">
      <c r="A28" s="38" t="s">
        <v>115</v>
      </c>
      <c r="B28" s="38" t="s">
        <v>119</v>
      </c>
      <c r="C28" s="38" t="s">
        <v>88</v>
      </c>
      <c r="D28" s="21" t="n">
        <v>1644</v>
      </c>
      <c r="E28" s="21" t="n">
        <v>1560</v>
      </c>
      <c r="F28" s="51" t="n">
        <f aca="false">IF(E28="","",D28-E28)</f>
        <v>84</v>
      </c>
      <c r="G28" s="21" t="n">
        <v>1434</v>
      </c>
      <c r="H28" s="21" t="n">
        <v>1491</v>
      </c>
      <c r="I28" s="51" t="n">
        <f aca="false">IF(H28="","",G28-H28)</f>
        <v>-57</v>
      </c>
      <c r="J28" s="39" t="n">
        <f aca="false">IF(OR(D28="",D28+G28=0),"",D28/(D28+G28))</f>
        <v>0.53411306042885</v>
      </c>
      <c r="K28" s="39" t="n">
        <f aca="false">IF(E28="","",E28/(E28+H28))</f>
        <v>0.511307767944936</v>
      </c>
      <c r="L28" s="52" t="n">
        <f aca="false">IF(OR(K28="",J28=""),"",(J28-K28)*100)</f>
        <v>2.28052924839138</v>
      </c>
      <c r="M28" s="38"/>
    </row>
    <row r="29" customFormat="false" ht="15" hidden="false" customHeight="false" outlineLevel="0" collapsed="false">
      <c r="A29" s="38" t="s">
        <v>115</v>
      </c>
      <c r="B29" s="38" t="s">
        <v>120</v>
      </c>
      <c r="C29" s="38" t="s">
        <v>88</v>
      </c>
      <c r="D29" s="21" t="n">
        <v>743</v>
      </c>
      <c r="E29" s="21" t="n">
        <v>735</v>
      </c>
      <c r="F29" s="51" t="n">
        <f aca="false">IF(E29="","",D29-E29)</f>
        <v>8</v>
      </c>
      <c r="G29" s="21" t="n">
        <v>752</v>
      </c>
      <c r="H29" s="21" t="n">
        <v>804</v>
      </c>
      <c r="I29" s="51" t="n">
        <f aca="false">IF(H29="","",G29-H29)</f>
        <v>-52</v>
      </c>
      <c r="J29" s="39" t="n">
        <f aca="false">IF(OR(D29="",D29+G29=0),"",D29/(D29+G29))</f>
        <v>0.496989966555184</v>
      </c>
      <c r="K29" s="39" t="n">
        <f aca="false">IF(E29="","",E29/(E29+H29))</f>
        <v>0.477582846003899</v>
      </c>
      <c r="L29" s="52" t="n">
        <f aca="false">IF(OR(K29="",J29=""),"",(J29-K29)*100)</f>
        <v>1.94071205512854</v>
      </c>
      <c r="M29" s="38"/>
    </row>
    <row r="30" customFormat="false" ht="15" hidden="false" customHeight="false" outlineLevel="0" collapsed="false">
      <c r="A30" s="38" t="s">
        <v>115</v>
      </c>
      <c r="B30" s="38" t="s">
        <v>121</v>
      </c>
      <c r="C30" s="38" t="s">
        <v>88</v>
      </c>
      <c r="D30" s="21" t="n">
        <v>926</v>
      </c>
      <c r="E30" s="21" t="n">
        <v>899</v>
      </c>
      <c r="F30" s="51" t="n">
        <f aca="false">IF(E30="","",D30-E30)</f>
        <v>27</v>
      </c>
      <c r="G30" s="21" t="n">
        <v>822</v>
      </c>
      <c r="H30" s="21" t="n">
        <v>898</v>
      </c>
      <c r="I30" s="51" t="n">
        <f aca="false">IF(H30="","",G30-H30)</f>
        <v>-76</v>
      </c>
      <c r="J30" s="39" t="n">
        <f aca="false">IF(OR(D30="",D30+G30=0),"",D30/(D30+G30))</f>
        <v>0.52974828375286</v>
      </c>
      <c r="K30" s="39" t="n">
        <f aca="false">IF(E30="","",E30/(E30+H30))</f>
        <v>0.500278241513634</v>
      </c>
      <c r="L30" s="52" t="n">
        <f aca="false">IF(OR(K30="",J30=""),"",(J30-K30)*100)</f>
        <v>2.94700422392266</v>
      </c>
      <c r="M30" s="38"/>
    </row>
    <row r="31" customFormat="false" ht="15" hidden="false" customHeight="false" outlineLevel="0" collapsed="false">
      <c r="A31" s="38" t="s">
        <v>115</v>
      </c>
      <c r="B31" s="38" t="s">
        <v>122</v>
      </c>
      <c r="C31" s="38" t="s">
        <v>88</v>
      </c>
      <c r="D31" s="21" t="n">
        <v>3476</v>
      </c>
      <c r="E31" s="21" t="n">
        <v>3663</v>
      </c>
      <c r="F31" s="51" t="n">
        <f aca="false">IF(E31="","",D31-E31)</f>
        <v>-187</v>
      </c>
      <c r="G31" s="21" t="n">
        <v>2995</v>
      </c>
      <c r="H31" s="21" t="n">
        <v>3236</v>
      </c>
      <c r="I31" s="51" t="n">
        <f aca="false">IF(H31="","",G31-H31)</f>
        <v>-241</v>
      </c>
      <c r="J31" s="39" t="n">
        <f aca="false">IF(OR(D31="",D31+G31=0),"",D31/(D31+G31))</f>
        <v>0.537165816720754</v>
      </c>
      <c r="K31" s="39" t="n">
        <f aca="false">IF(E31="","",E31/(E31+H31))</f>
        <v>0.530946513987535</v>
      </c>
      <c r="L31" s="52" t="n">
        <f aca="false">IF(OR(K31="",J31=""),"",(J31-K31)*100)</f>
        <v>0.621930273321969</v>
      </c>
      <c r="M31" s="38"/>
    </row>
    <row r="32" customFormat="false" ht="15" hidden="false" customHeight="false" outlineLevel="0" collapsed="false">
      <c r="A32" s="38" t="s">
        <v>115</v>
      </c>
      <c r="B32" s="38" t="s">
        <v>123</v>
      </c>
      <c r="C32" s="38" t="s">
        <v>88</v>
      </c>
      <c r="D32" s="21" t="n">
        <v>1494</v>
      </c>
      <c r="E32" s="21" t="n">
        <v>1433</v>
      </c>
      <c r="F32" s="51" t="n">
        <f aca="false">IF(E32="","",D32-E32)</f>
        <v>61</v>
      </c>
      <c r="G32" s="21" t="n">
        <v>724</v>
      </c>
      <c r="H32" s="21" t="n">
        <v>793</v>
      </c>
      <c r="I32" s="51" t="n">
        <f aca="false">IF(H32="","",G32-H32)</f>
        <v>-69</v>
      </c>
      <c r="J32" s="39" t="n">
        <f aca="false">IF(OR(D32="",D32+G32=0),"",D32/(D32+G32))</f>
        <v>0.673579801623084</v>
      </c>
      <c r="K32" s="39" t="n">
        <f aca="false">IF(E32="","",E32/(E32+H32))</f>
        <v>0.643755615453729</v>
      </c>
      <c r="L32" s="52" t="n">
        <f aca="false">IF(OR(K32="",J32=""),"",(J32-K32)*100)</f>
        <v>2.98241861693552</v>
      </c>
      <c r="M32" s="38"/>
    </row>
    <row r="33" customFormat="false" ht="15" hidden="false" customHeight="false" outlineLevel="0" collapsed="false">
      <c r="A33" s="38" t="s">
        <v>115</v>
      </c>
      <c r="B33" s="38" t="s">
        <v>124</v>
      </c>
      <c r="C33" s="38" t="s">
        <v>88</v>
      </c>
      <c r="D33" s="21" t="n">
        <v>384</v>
      </c>
      <c r="E33" s="21" t="n">
        <v>379</v>
      </c>
      <c r="F33" s="51" t="n">
        <f aca="false">IF(E33="","",D33-E33)</f>
        <v>5</v>
      </c>
      <c r="G33" s="21" t="n">
        <v>325</v>
      </c>
      <c r="H33" s="21" t="n">
        <v>330</v>
      </c>
      <c r="I33" s="51" t="n">
        <f aca="false">IF(H33="","",G33-H33)</f>
        <v>-5</v>
      </c>
      <c r="J33" s="39" t="n">
        <f aca="false">IF(OR(D33="",D33+G33=0),"",D33/(D33+G33))</f>
        <v>0.541607898448519</v>
      </c>
      <c r="K33" s="39" t="n">
        <f aca="false">IF(E33="","",E33/(E33+H33))</f>
        <v>0.534555712270804</v>
      </c>
      <c r="L33" s="52" t="n">
        <f aca="false">IF(OR(K33="",J33=""),"",(J33-K33)*100)</f>
        <v>0.705218617771519</v>
      </c>
      <c r="M33" s="38"/>
    </row>
    <row r="34" customFormat="false" ht="15" hidden="false" customHeight="false" outlineLevel="0" collapsed="false">
      <c r="A34" s="38" t="s">
        <v>115</v>
      </c>
      <c r="B34" s="38" t="s">
        <v>125</v>
      </c>
      <c r="C34" s="38" t="s">
        <v>88</v>
      </c>
      <c r="D34" s="21" t="n">
        <v>654</v>
      </c>
      <c r="E34" s="21" t="n">
        <v>654</v>
      </c>
      <c r="F34" s="51" t="n">
        <f aca="false">IF(E34="","",D34-E34)</f>
        <v>0</v>
      </c>
      <c r="G34" s="21" t="n">
        <v>1287</v>
      </c>
      <c r="H34" s="21" t="n">
        <v>1439</v>
      </c>
      <c r="I34" s="51" t="n">
        <f aca="false">IF(H34="","",G34-H34)</f>
        <v>-152</v>
      </c>
      <c r="J34" s="39" t="n">
        <f aca="false">IF(OR(D34="",D34+G34=0),"",D34/(D34+G34))</f>
        <v>0.33693972179289</v>
      </c>
      <c r="K34" s="39" t="n">
        <f aca="false">IF(E34="","",E34/(E34+H34))</f>
        <v>0.312470138557095</v>
      </c>
      <c r="L34" s="52" t="n">
        <f aca="false">IF(OR(K34="",J34=""),"",(J34-K34)*100)</f>
        <v>2.44695832357952</v>
      </c>
      <c r="M34" s="38"/>
    </row>
    <row r="35" customFormat="false" ht="15" hidden="false" customHeight="false" outlineLevel="0" collapsed="false">
      <c r="A35" s="38" t="s">
        <v>115</v>
      </c>
      <c r="B35" s="38" t="s">
        <v>126</v>
      </c>
      <c r="C35" s="38" t="s">
        <v>88</v>
      </c>
      <c r="D35" s="21" t="n">
        <v>10209</v>
      </c>
      <c r="E35" s="21" t="n">
        <v>10021</v>
      </c>
      <c r="F35" s="51" t="n">
        <f aca="false">IF(E35="","",D35-E35)</f>
        <v>188</v>
      </c>
      <c r="G35" s="21" t="n">
        <v>9587</v>
      </c>
      <c r="H35" s="21" t="n">
        <v>10199</v>
      </c>
      <c r="I35" s="51" t="n">
        <f aca="false">IF(H35="","",G35-H35)</f>
        <v>-612</v>
      </c>
      <c r="J35" s="39" t="n">
        <f aca="false">IF(OR(D35="",D35+G35=0),"",D35/(D35+G35))</f>
        <v>0.515710244493837</v>
      </c>
      <c r="K35" s="39" t="n">
        <f aca="false">IF(E35="","",E35/(E35+H35))</f>
        <v>0.495598417408506</v>
      </c>
      <c r="L35" s="52" t="n">
        <f aca="false">IF(OR(K35="",J35=""),"",(J35-K35)*100)</f>
        <v>2.01118270853308</v>
      </c>
      <c r="M35" s="38"/>
    </row>
    <row r="36" customFormat="false" ht="15" hidden="false" customHeight="false" outlineLevel="0" collapsed="false">
      <c r="A36" s="38" t="s">
        <v>115</v>
      </c>
      <c r="B36" s="38" t="s">
        <v>127</v>
      </c>
      <c r="C36" s="38" t="s">
        <v>88</v>
      </c>
      <c r="D36" s="21" t="n">
        <v>979</v>
      </c>
      <c r="E36" s="21" t="n">
        <v>985</v>
      </c>
      <c r="F36" s="51" t="n">
        <f aca="false">IF(E36="","",D36-E36)</f>
        <v>-6</v>
      </c>
      <c r="G36" s="21" t="n">
        <v>1537</v>
      </c>
      <c r="H36" s="21" t="n">
        <v>1586</v>
      </c>
      <c r="I36" s="51" t="n">
        <f aca="false">IF(H36="","",G36-H36)</f>
        <v>-49</v>
      </c>
      <c r="J36" s="39" t="n">
        <f aca="false">IF(OR(D36="",D36+G36=0),"",D36/(D36+G36))</f>
        <v>0.389109697933227</v>
      </c>
      <c r="K36" s="39" t="n">
        <f aca="false">IF(E36="","",E36/(E36+H36))</f>
        <v>0.383119408790354</v>
      </c>
      <c r="L36" s="52" t="n">
        <f aca="false">IF(OR(K36="",J36=""),"",(J36-K36)*100)</f>
        <v>0.599028914287342</v>
      </c>
      <c r="M36" s="38"/>
    </row>
    <row r="37" customFormat="false" ht="15" hidden="false" customHeight="false" outlineLevel="0" collapsed="false">
      <c r="A37" s="38" t="s">
        <v>115</v>
      </c>
      <c r="B37" s="38" t="s">
        <v>128</v>
      </c>
      <c r="C37" s="38" t="s">
        <v>88</v>
      </c>
      <c r="D37" s="21" t="n">
        <v>555</v>
      </c>
      <c r="E37" s="21" t="n">
        <v>543</v>
      </c>
      <c r="F37" s="51" t="n">
        <f aca="false">IF(E37="","",D37-E37)</f>
        <v>12</v>
      </c>
      <c r="G37" s="21" t="n">
        <v>933</v>
      </c>
      <c r="H37" s="21" t="n">
        <v>990</v>
      </c>
      <c r="I37" s="51" t="n">
        <f aca="false">IF(H37="","",G37-H37)</f>
        <v>-57</v>
      </c>
      <c r="J37" s="39" t="n">
        <f aca="false">IF(OR(D37="",D37+G37=0),"",D37/(D37+G37))</f>
        <v>0.372983870967742</v>
      </c>
      <c r="K37" s="39" t="n">
        <f aca="false">IF(E37="","",E37/(E37+H37))</f>
        <v>0.354207436399217</v>
      </c>
      <c r="L37" s="52" t="n">
        <f aca="false">IF(OR(K37="",J37=""),"",(J37-K37)*100)</f>
        <v>1.87764345685247</v>
      </c>
      <c r="M37" s="38"/>
    </row>
    <row r="38" customFormat="false" ht="15" hidden="false" customHeight="false" outlineLevel="0" collapsed="false">
      <c r="A38" s="38" t="s">
        <v>115</v>
      </c>
      <c r="B38" s="38" t="s">
        <v>129</v>
      </c>
      <c r="C38" s="38" t="s">
        <v>88</v>
      </c>
      <c r="D38" s="21" t="n">
        <v>901</v>
      </c>
      <c r="E38" s="21" t="n">
        <v>850</v>
      </c>
      <c r="F38" s="51" t="n">
        <f aca="false">IF(E38="","",D38-E38)</f>
        <v>51</v>
      </c>
      <c r="G38" s="21" t="n">
        <v>1728</v>
      </c>
      <c r="H38" s="21" t="n">
        <v>1856</v>
      </c>
      <c r="I38" s="51" t="n">
        <f aca="false">IF(H38="","",G38-H38)</f>
        <v>-128</v>
      </c>
      <c r="J38" s="39" t="n">
        <f aca="false">IF(OR(D38="",D38+G38=0),"",D38/(D38+G38))</f>
        <v>0.342715861544313</v>
      </c>
      <c r="K38" s="39" t="n">
        <f aca="false">IF(E38="","",E38/(E38+H38))</f>
        <v>0.314116777531412</v>
      </c>
      <c r="L38" s="52" t="n">
        <f aca="false">IF(OR(K38="",J38=""),"",(J38-K38)*100)</f>
        <v>2.85990840129018</v>
      </c>
      <c r="M38" s="38"/>
    </row>
    <row r="39" customFormat="false" ht="15" hidden="false" customHeight="false" outlineLevel="0" collapsed="false">
      <c r="A39" s="38" t="s">
        <v>115</v>
      </c>
      <c r="B39" s="38" t="s">
        <v>130</v>
      </c>
      <c r="C39" s="38" t="s">
        <v>88</v>
      </c>
      <c r="D39" s="21" t="n">
        <v>996</v>
      </c>
      <c r="E39" s="21" t="n">
        <v>980</v>
      </c>
      <c r="F39" s="51" t="n">
        <f aca="false">IF(E39="","",D39-E39)</f>
        <v>16</v>
      </c>
      <c r="G39" s="21" t="n">
        <v>861</v>
      </c>
      <c r="H39" s="21" t="n">
        <v>872</v>
      </c>
      <c r="I39" s="51" t="n">
        <f aca="false">IF(H39="","",G39-H39)</f>
        <v>-11</v>
      </c>
      <c r="J39" s="39" t="n">
        <f aca="false">IF(OR(D39="",D39+G39=0),"",D39/(D39+G39))</f>
        <v>0.536348949919225</v>
      </c>
      <c r="K39" s="39" t="n">
        <f aca="false">IF(E39="","",E39/(E39+H39))</f>
        <v>0.529157667386609</v>
      </c>
      <c r="L39" s="52" t="n">
        <f aca="false">IF(OR(K39="",J39=""),"",(J39-K39)*100)</f>
        <v>0.719128253261547</v>
      </c>
      <c r="M39" s="38"/>
    </row>
    <row r="40" customFormat="false" ht="15" hidden="false" customHeight="false" outlineLevel="0" collapsed="false">
      <c r="A40" s="38" t="s">
        <v>115</v>
      </c>
      <c r="B40" s="38" t="s">
        <v>131</v>
      </c>
      <c r="C40" s="38" t="s">
        <v>88</v>
      </c>
      <c r="D40" s="21" t="n">
        <v>4212</v>
      </c>
      <c r="E40" s="21" t="n">
        <v>4022</v>
      </c>
      <c r="F40" s="51" t="n">
        <f aca="false">IF(E40="","",D40-E40)</f>
        <v>190</v>
      </c>
      <c r="G40" s="21" t="n">
        <v>5547</v>
      </c>
      <c r="H40" s="21" t="n">
        <v>5915</v>
      </c>
      <c r="I40" s="51" t="n">
        <f aca="false">IF(H40="","",G40-H40)</f>
        <v>-368</v>
      </c>
      <c r="J40" s="39" t="n">
        <f aca="false">IF(OR(D40="",D40+G40=0),"",D40/(D40+G40))</f>
        <v>0.431601598524439</v>
      </c>
      <c r="K40" s="39" t="n">
        <f aca="false">IF(E40="","",E40/(E40+H40))</f>
        <v>0.404749924524504</v>
      </c>
      <c r="L40" s="52" t="n">
        <f aca="false">IF(OR(K40="",J40=""),"",(J40-K40)*100)</f>
        <v>2.68516739999346</v>
      </c>
      <c r="M40" s="38"/>
    </row>
    <row r="41" customFormat="false" ht="15" hidden="false" customHeight="false" outlineLevel="0" collapsed="false">
      <c r="A41" s="38" t="s">
        <v>115</v>
      </c>
      <c r="B41" s="38" t="s">
        <v>132</v>
      </c>
      <c r="C41" s="38" t="s">
        <v>88</v>
      </c>
      <c r="D41" s="21" t="n">
        <v>4172</v>
      </c>
      <c r="E41" s="21" t="n">
        <v>4010</v>
      </c>
      <c r="F41" s="51" t="n">
        <f aca="false">IF(E41="","",D41-E41)</f>
        <v>162</v>
      </c>
      <c r="G41" s="21" t="n">
        <v>4000</v>
      </c>
      <c r="H41" s="21" t="n">
        <v>4104</v>
      </c>
      <c r="I41" s="51" t="n">
        <f aca="false">IF(H41="","",G41-H41)</f>
        <v>-104</v>
      </c>
      <c r="J41" s="39" t="n">
        <f aca="false">IF(OR(D41="",D41+G41=0),"",D41/(D41+G41))</f>
        <v>0.51052373959863</v>
      </c>
      <c r="K41" s="39" t="n">
        <f aca="false">IF(E41="","",E41/(E41+H41))</f>
        <v>0.494207542519103</v>
      </c>
      <c r="L41" s="52" t="n">
        <f aca="false">IF(OR(K41="",J41=""),"",(J41-K41)*100)</f>
        <v>1.63161970795268</v>
      </c>
      <c r="M41" s="38"/>
    </row>
    <row r="42" customFormat="false" ht="15" hidden="false" customHeight="false" outlineLevel="0" collapsed="false">
      <c r="A42" s="38" t="s">
        <v>115</v>
      </c>
      <c r="B42" s="38" t="s">
        <v>133</v>
      </c>
      <c r="C42" s="38" t="s">
        <v>88</v>
      </c>
      <c r="D42" s="21" t="n">
        <v>855</v>
      </c>
      <c r="E42" s="21" t="n">
        <v>800</v>
      </c>
      <c r="F42" s="51" t="n">
        <f aca="false">IF(E42="","",D42-E42)</f>
        <v>55</v>
      </c>
      <c r="G42" s="21" t="n">
        <v>1042</v>
      </c>
      <c r="H42" s="21" t="n">
        <v>1156</v>
      </c>
      <c r="I42" s="51" t="n">
        <f aca="false">IF(H42="","",G42-H42)</f>
        <v>-114</v>
      </c>
      <c r="J42" s="39" t="n">
        <f aca="false">IF(OR(D42="",D42+G42=0),"",D42/(D42+G42))</f>
        <v>0.450711649973643</v>
      </c>
      <c r="K42" s="39" t="n">
        <f aca="false">IF(E42="","",E42/(E42+H42))</f>
        <v>0.408997955010225</v>
      </c>
      <c r="L42" s="52" t="n">
        <f aca="false">IF(OR(K42="",J42=""),"",(J42-K42)*100)</f>
        <v>4.17136949634176</v>
      </c>
      <c r="M42" s="38"/>
    </row>
    <row r="43" customFormat="false" ht="15" hidden="false" customHeight="false" outlineLevel="0" collapsed="false">
      <c r="A43" s="38" t="s">
        <v>115</v>
      </c>
      <c r="B43" s="38" t="s">
        <v>134</v>
      </c>
      <c r="C43" s="38" t="s">
        <v>88</v>
      </c>
      <c r="D43" s="21" t="n">
        <v>6728</v>
      </c>
      <c r="E43" s="21" t="n">
        <v>7019</v>
      </c>
      <c r="F43" s="51" t="n">
        <f aca="false">IF(E43="","",D43-E43)</f>
        <v>-291</v>
      </c>
      <c r="G43" s="21" t="n">
        <v>5796</v>
      </c>
      <c r="H43" s="21" t="n">
        <v>6110</v>
      </c>
      <c r="I43" s="51" t="n">
        <f aca="false">IF(H43="","",G43-H43)</f>
        <v>-314</v>
      </c>
      <c r="J43" s="39" t="n">
        <f aca="false">IF(OR(D43="",D43+G43=0),"",D43/(D43+G43))</f>
        <v>0.537208559565634</v>
      </c>
      <c r="K43" s="39" t="n">
        <f aca="false">IF(E43="","",E43/(E43+H43))</f>
        <v>0.534618021174499</v>
      </c>
      <c r="L43" s="52" t="n">
        <f aca="false">IF(OR(K43="",J43=""),"",(J43-K43)*100)</f>
        <v>0.259053839113477</v>
      </c>
      <c r="M43" s="38"/>
    </row>
    <row r="44" customFormat="false" ht="15" hidden="false" customHeight="false" outlineLevel="0" collapsed="false">
      <c r="A44" s="38" t="s">
        <v>115</v>
      </c>
      <c r="B44" s="38" t="s">
        <v>135</v>
      </c>
      <c r="C44" s="38" t="s">
        <v>88</v>
      </c>
      <c r="D44" s="21" t="n">
        <v>7743</v>
      </c>
      <c r="E44" s="21" t="n">
        <v>8020</v>
      </c>
      <c r="F44" s="51" t="n">
        <f aca="false">IF(E44="","",D44-E44)</f>
        <v>-277</v>
      </c>
      <c r="G44" s="21" t="n">
        <v>6763</v>
      </c>
      <c r="H44" s="21" t="n">
        <v>7607</v>
      </c>
      <c r="I44" s="51" t="n">
        <f aca="false">IF(H44="","",G44-H44)</f>
        <v>-844</v>
      </c>
      <c r="J44" s="39" t="n">
        <f aca="false">IF(OR(D44="",D44+G44=0),"",D44/(D44+G44))</f>
        <v>0.533779125878947</v>
      </c>
      <c r="K44" s="39" t="n">
        <f aca="false">IF(E44="","",E44/(E44+H44))</f>
        <v>0.513214308568503</v>
      </c>
      <c r="L44" s="52" t="n">
        <f aca="false">IF(OR(K44="",J44=""),"",(J44-K44)*100)</f>
        <v>2.05648173104434</v>
      </c>
      <c r="M44" s="38"/>
    </row>
    <row r="45" customFormat="false" ht="15" hidden="false" customHeight="false" outlineLevel="0" collapsed="false">
      <c r="A45" s="38" t="s">
        <v>115</v>
      </c>
      <c r="B45" s="38" t="s">
        <v>136</v>
      </c>
      <c r="C45" s="38" t="s">
        <v>88</v>
      </c>
      <c r="D45" s="21" t="n">
        <v>2392</v>
      </c>
      <c r="E45" s="21" t="n">
        <v>2380</v>
      </c>
      <c r="F45" s="51" t="n">
        <f aca="false">IF(E45="","",D45-E45)</f>
        <v>12</v>
      </c>
      <c r="G45" s="21" t="n">
        <v>2785</v>
      </c>
      <c r="H45" s="21" t="n">
        <v>3135</v>
      </c>
      <c r="I45" s="51" t="n">
        <f aca="false">IF(H45="","",G45-H45)</f>
        <v>-350</v>
      </c>
      <c r="J45" s="39" t="n">
        <f aca="false">IF(OR(D45="",D45+G45=0),"",D45/(D45+G45))</f>
        <v>0.462043654626231</v>
      </c>
      <c r="K45" s="39" t="n">
        <f aca="false">IF(E45="","",E45/(E45+H45))</f>
        <v>0.43155031731641</v>
      </c>
      <c r="L45" s="52" t="n">
        <f aca="false">IF(OR(K45="",J45=""),"",(J45-K45)*100)</f>
        <v>3.04933373098216</v>
      </c>
      <c r="M45" s="38"/>
    </row>
    <row r="46" customFormat="false" ht="15" hidden="false" customHeight="false" outlineLevel="0" collapsed="false">
      <c r="A46" s="38" t="s">
        <v>115</v>
      </c>
      <c r="B46" s="38" t="s">
        <v>137</v>
      </c>
      <c r="C46" s="38" t="s">
        <v>88</v>
      </c>
      <c r="D46" s="21" t="n">
        <v>5205</v>
      </c>
      <c r="E46" s="21" t="n">
        <v>5462</v>
      </c>
      <c r="F46" s="51" t="n">
        <f aca="false">IF(E46="","",D46-E46)</f>
        <v>-257</v>
      </c>
      <c r="G46" s="21" t="n">
        <v>5113</v>
      </c>
      <c r="H46" s="21" t="n">
        <v>5740</v>
      </c>
      <c r="I46" s="51" t="n">
        <f aca="false">IF(H46="","",G46-H46)</f>
        <v>-627</v>
      </c>
      <c r="J46" s="39" t="n">
        <f aca="false">IF(OR(D46="",D46+G46=0),"",D46/(D46+G46))</f>
        <v>0.504458228338825</v>
      </c>
      <c r="K46" s="39" t="n">
        <f aca="false">IF(E46="","",E46/(E46+H46))</f>
        <v>0.487591501517586</v>
      </c>
      <c r="L46" s="52" t="n">
        <f aca="false">IF(OR(K46="",J46=""),"",(J46-K46)*100)</f>
        <v>1.68667268212392</v>
      </c>
      <c r="M46" s="38"/>
    </row>
    <row r="47" customFormat="false" ht="15" hidden="false" customHeight="false" outlineLevel="0" collapsed="false">
      <c r="A47" s="38" t="s">
        <v>115</v>
      </c>
      <c r="B47" s="38" t="s">
        <v>138</v>
      </c>
      <c r="C47" s="38" t="s">
        <v>88</v>
      </c>
      <c r="D47" s="21" t="n">
        <v>1353</v>
      </c>
      <c r="E47" s="21" t="n">
        <v>1266</v>
      </c>
      <c r="F47" s="51" t="n">
        <f aca="false">IF(E47="","",D47-E47)</f>
        <v>87</v>
      </c>
      <c r="G47" s="21" t="n">
        <v>2456</v>
      </c>
      <c r="H47" s="21" t="n">
        <v>2669</v>
      </c>
      <c r="I47" s="51" t="n">
        <f aca="false">IF(H47="","",G47-H47)</f>
        <v>-213</v>
      </c>
      <c r="J47" s="39" t="n">
        <f aca="false">IF(OR(D47="",D47+G47=0),"",D47/(D47+G47))</f>
        <v>0.355211341559464</v>
      </c>
      <c r="K47" s="39" t="n">
        <f aca="false">IF(E47="","",E47/(E47+H47))</f>
        <v>0.321728081321474</v>
      </c>
      <c r="L47" s="52" t="n">
        <f aca="false">IF(OR(K47="",J47=""),"",(J47-K47)*100)</f>
        <v>3.34832602379905</v>
      </c>
      <c r="M47" s="38"/>
    </row>
    <row r="48" customFormat="false" ht="15" hidden="false" customHeight="false" outlineLevel="0" collapsed="false">
      <c r="A48" s="38" t="s">
        <v>115</v>
      </c>
      <c r="B48" s="38" t="s">
        <v>139</v>
      </c>
      <c r="C48" s="38" t="s">
        <v>88</v>
      </c>
      <c r="D48" s="21" t="n">
        <v>1192</v>
      </c>
      <c r="E48" s="21" t="n">
        <v>1172</v>
      </c>
      <c r="F48" s="51" t="n">
        <f aca="false">IF(E48="","",D48-E48)</f>
        <v>20</v>
      </c>
      <c r="G48" s="21" t="n">
        <v>2037</v>
      </c>
      <c r="H48" s="21" t="n">
        <v>2201</v>
      </c>
      <c r="I48" s="51" t="n">
        <f aca="false">IF(H48="","",G48-H48)</f>
        <v>-164</v>
      </c>
      <c r="J48" s="39" t="n">
        <f aca="false">IF(OR(D48="",D48+G48=0),"",D48/(D48+G48))</f>
        <v>0.369154537008362</v>
      </c>
      <c r="K48" s="39" t="n">
        <f aca="false">IF(E48="","",E48/(E48+H48))</f>
        <v>0.347465164541951</v>
      </c>
      <c r="L48" s="52" t="n">
        <f aca="false">IF(OR(K48="",J48=""),"",(J48-K48)*100)</f>
        <v>2.16893724664109</v>
      </c>
      <c r="M48" s="38"/>
    </row>
    <row r="49" customFormat="false" ht="15" hidden="false" customHeight="false" outlineLevel="0" collapsed="false">
      <c r="A49" s="38" t="s">
        <v>115</v>
      </c>
      <c r="B49" s="38" t="s">
        <v>140</v>
      </c>
      <c r="C49" s="38" t="s">
        <v>88</v>
      </c>
      <c r="D49" s="21" t="n">
        <v>7505</v>
      </c>
      <c r="E49" s="21" t="n">
        <v>7383</v>
      </c>
      <c r="F49" s="51" t="n">
        <f aca="false">IF(E49="","",D49-E49)</f>
        <v>122</v>
      </c>
      <c r="G49" s="21" t="n">
        <v>6684</v>
      </c>
      <c r="H49" s="21" t="n">
        <v>7036</v>
      </c>
      <c r="I49" s="51" t="n">
        <f aca="false">IF(H49="","",G49-H49)</f>
        <v>-352</v>
      </c>
      <c r="J49" s="39" t="n">
        <f aca="false">IF(OR(D49="",D49+G49=0),"",D49/(D49+G49))</f>
        <v>0.528930861935302</v>
      </c>
      <c r="K49" s="39" t="n">
        <f aca="false">IF(E49="","",E49/(E49+H49))</f>
        <v>0.51203273458631</v>
      </c>
      <c r="L49" s="52" t="n">
        <f aca="false">IF(OR(K49="",J49=""),"",(J49-K49)*100)</f>
        <v>1.68981273489923</v>
      </c>
      <c r="M49" s="38"/>
    </row>
    <row r="50" customFormat="false" ht="15" hidden="false" customHeight="false" outlineLevel="0" collapsed="false">
      <c r="A50" s="38" t="s">
        <v>141</v>
      </c>
      <c r="B50" s="38" t="s">
        <v>142</v>
      </c>
      <c r="C50" s="38" t="s">
        <v>88</v>
      </c>
      <c r="D50" s="21" t="n">
        <v>487</v>
      </c>
      <c r="E50" s="21" t="n">
        <v>471</v>
      </c>
      <c r="F50" s="51" t="n">
        <f aca="false">IF(E50="","",D50-E50)</f>
        <v>16</v>
      </c>
      <c r="G50" s="21" t="n">
        <v>982</v>
      </c>
      <c r="H50" s="21" t="n">
        <v>1124</v>
      </c>
      <c r="I50" s="51" t="n">
        <f aca="false">IF(H50="","",G50-H50)</f>
        <v>-142</v>
      </c>
      <c r="J50" s="39" t="n">
        <f aca="false">IF(OR(D50="",D50+G50=0),"",D50/(D50+G50))</f>
        <v>0.331518039482641</v>
      </c>
      <c r="K50" s="39" t="n">
        <f aca="false">IF(E50="","",E50/(E50+H50))</f>
        <v>0.295297805642633</v>
      </c>
      <c r="L50" s="52" t="n">
        <f aca="false">IF(OR(K50="",J50=""),"",(J50-K50)*100)</f>
        <v>3.6220233840008</v>
      </c>
      <c r="M50" s="38"/>
    </row>
    <row r="51" customFormat="false" ht="15" hidden="false" customHeight="false" outlineLevel="0" collapsed="false">
      <c r="A51" s="38" t="s">
        <v>141</v>
      </c>
      <c r="B51" s="38" t="s">
        <v>143</v>
      </c>
      <c r="C51" s="38" t="s">
        <v>88</v>
      </c>
      <c r="D51" s="21" t="n">
        <v>1359</v>
      </c>
      <c r="E51" s="21" t="n">
        <v>1414</v>
      </c>
      <c r="F51" s="51" t="n">
        <f aca="false">IF(E51="","",D51-E51)</f>
        <v>-55</v>
      </c>
      <c r="G51" s="21" t="n">
        <v>2557</v>
      </c>
      <c r="H51" s="21" t="n">
        <v>2894</v>
      </c>
      <c r="I51" s="51" t="n">
        <f aca="false">IF(H51="","",G51-H51)</f>
        <v>-337</v>
      </c>
      <c r="J51" s="39" t="n">
        <f aca="false">IF(OR(D51="",D51+G51=0),"",D51/(D51+G51))</f>
        <v>0.347037793667007</v>
      </c>
      <c r="K51" s="39" t="n">
        <f aca="false">IF(E51="","",E51/(E51+H51))</f>
        <v>0.328226555246054</v>
      </c>
      <c r="L51" s="52" t="n">
        <f aca="false">IF(OR(K51="",J51=""),"",(J51-K51)*100)</f>
        <v>1.88112384209533</v>
      </c>
      <c r="M51" s="38"/>
    </row>
    <row r="52" customFormat="false" ht="15" hidden="false" customHeight="false" outlineLevel="0" collapsed="false">
      <c r="A52" s="38" t="s">
        <v>141</v>
      </c>
      <c r="B52" s="38" t="s">
        <v>144</v>
      </c>
      <c r="C52" s="38" t="s">
        <v>88</v>
      </c>
      <c r="D52" s="21" t="n">
        <v>1044</v>
      </c>
      <c r="E52" s="21" t="n">
        <v>521</v>
      </c>
      <c r="F52" s="51" t="n">
        <f aca="false">IF(E52="","",D52-E52)</f>
        <v>523</v>
      </c>
      <c r="G52" s="21" t="n">
        <v>1787</v>
      </c>
      <c r="H52" s="21" t="n">
        <v>997</v>
      </c>
      <c r="I52" s="51" t="n">
        <f aca="false">IF(H52="","",G52-H52)</f>
        <v>790</v>
      </c>
      <c r="J52" s="39" t="n">
        <f aca="false">IF(OR(D52="",D52+G52=0),"",D52/(D52+G52))</f>
        <v>0.368774284705051</v>
      </c>
      <c r="K52" s="39" t="n">
        <f aca="false">IF(E52="","",E52/(E52+H52))</f>
        <v>0.343214756258235</v>
      </c>
      <c r="L52" s="52" t="n">
        <f aca="false">IF(OR(K52="",J52=""),"",(J52-K52)*100)</f>
        <v>2.55595284468167</v>
      </c>
      <c r="M52" s="38"/>
    </row>
    <row r="53" customFormat="false" ht="15" hidden="false" customHeight="false" outlineLevel="0" collapsed="false">
      <c r="A53" s="38" t="s">
        <v>145</v>
      </c>
      <c r="B53" s="38" t="s">
        <v>146</v>
      </c>
      <c r="C53" s="38" t="s">
        <v>88</v>
      </c>
      <c r="D53" s="21" t="n">
        <v>1531</v>
      </c>
      <c r="E53" s="21" t="n">
        <v>1511</v>
      </c>
      <c r="F53" s="51" t="n">
        <f aca="false">IF(E53="","",D53-E53)</f>
        <v>20</v>
      </c>
      <c r="G53" s="21" t="n">
        <v>1783</v>
      </c>
      <c r="H53" s="21" t="n">
        <v>2018</v>
      </c>
      <c r="I53" s="51" t="n">
        <f aca="false">IF(H53="","",G53-H53)</f>
        <v>-235</v>
      </c>
      <c r="J53" s="39" t="n">
        <f aca="false">IF(OR(D53="",D53+G53=0),"",D53/(D53+G53))</f>
        <v>0.461979480989741</v>
      </c>
      <c r="K53" s="39" t="n">
        <f aca="false">IF(E53="","",E53/(E53+H53))</f>
        <v>0.428166619438935</v>
      </c>
      <c r="L53" s="52" t="n">
        <f aca="false">IF(OR(K53="",J53=""),"",(J53-K53)*100)</f>
        <v>3.3812861550806</v>
      </c>
      <c r="M53" s="38"/>
    </row>
    <row r="54" customFormat="false" ht="15" hidden="false" customHeight="false" outlineLevel="0" collapsed="false">
      <c r="A54" s="38" t="s">
        <v>145</v>
      </c>
      <c r="B54" s="38" t="s">
        <v>147</v>
      </c>
      <c r="C54" s="38" t="s">
        <v>88</v>
      </c>
      <c r="D54" s="21" t="n">
        <v>1027</v>
      </c>
      <c r="E54" s="21" t="n">
        <v>959</v>
      </c>
      <c r="F54" s="51" t="n">
        <f aca="false">IF(E54="","",D54-E54)</f>
        <v>68</v>
      </c>
      <c r="G54" s="21" t="n">
        <v>1280</v>
      </c>
      <c r="H54" s="21" t="n">
        <v>1364</v>
      </c>
      <c r="I54" s="51" t="n">
        <f aca="false">IF(H54="","",G54-H54)</f>
        <v>-84</v>
      </c>
      <c r="J54" s="39" t="n">
        <f aca="false">IF(OR(D54="",D54+G54=0),"",D54/(D54+G54))</f>
        <v>0.445166883398353</v>
      </c>
      <c r="K54" s="39" t="n">
        <f aca="false">IF(E54="","",E54/(E54+H54))</f>
        <v>0.412828239345674</v>
      </c>
      <c r="L54" s="52" t="n">
        <f aca="false">IF(OR(K54="",J54=""),"",(J54-K54)*100)</f>
        <v>3.23386440526792</v>
      </c>
      <c r="M54" s="38"/>
    </row>
    <row r="55" customFormat="false" ht="15" hidden="false" customHeight="false" outlineLevel="0" collapsed="false">
      <c r="A55" s="38" t="s">
        <v>145</v>
      </c>
      <c r="B55" s="38" t="s">
        <v>148</v>
      </c>
      <c r="C55" s="38" t="s">
        <v>88</v>
      </c>
      <c r="D55" s="21" t="n">
        <v>612</v>
      </c>
      <c r="E55" s="21" t="n">
        <v>623</v>
      </c>
      <c r="F55" s="51" t="n">
        <f aca="false">IF(E55="","",D55-E55)</f>
        <v>-11</v>
      </c>
      <c r="G55" s="21" t="n">
        <v>662</v>
      </c>
      <c r="H55" s="21" t="n">
        <v>726</v>
      </c>
      <c r="I55" s="51" t="n">
        <f aca="false">IF(H55="","",G55-H55)</f>
        <v>-64</v>
      </c>
      <c r="J55" s="39" t="n">
        <f aca="false">IF(OR(D55="",D55+G55=0),"",D55/(D55+G55))</f>
        <v>0.480376766091052</v>
      </c>
      <c r="K55" s="39" t="n">
        <f aca="false">IF(E55="","",E55/(E55+H55))</f>
        <v>0.46182357301705</v>
      </c>
      <c r="L55" s="52" t="n">
        <f aca="false">IF(OR(K55="",J55=""),"",(J55-K55)*100)</f>
        <v>1.85531930740021</v>
      </c>
      <c r="M55" s="38"/>
    </row>
    <row r="56" customFormat="false" ht="15" hidden="false" customHeight="false" outlineLevel="0" collapsed="false">
      <c r="A56" s="38" t="s">
        <v>145</v>
      </c>
      <c r="B56" s="38" t="s">
        <v>118</v>
      </c>
      <c r="C56" s="38" t="s">
        <v>88</v>
      </c>
      <c r="D56" s="21" t="n">
        <v>16848</v>
      </c>
      <c r="E56" s="21" t="n">
        <v>17416</v>
      </c>
      <c r="F56" s="51" t="n">
        <f aca="false">IF(E56="","",D56-E56)</f>
        <v>-568</v>
      </c>
      <c r="G56" s="21" t="n">
        <v>8020</v>
      </c>
      <c r="H56" s="21" t="n">
        <v>8640</v>
      </c>
      <c r="I56" s="51" t="n">
        <f aca="false">IF(H56="","",G56-H56)</f>
        <v>-620</v>
      </c>
      <c r="J56" s="39" t="n">
        <f aca="false">IF(OR(D56="",D56+G56=0),"",D56/(D56+G56))</f>
        <v>0.677497185137526</v>
      </c>
      <c r="K56" s="39" t="n">
        <f aca="false">IF(E56="","",E56/(E56+H56))</f>
        <v>0.668406509057415</v>
      </c>
      <c r="L56" s="52" t="n">
        <f aca="false">IF(OR(K56="",J56=""),"",(J56-K56)*100)</f>
        <v>0.909067608011127</v>
      </c>
      <c r="M56" s="38"/>
    </row>
    <row r="57" customFormat="false" ht="15" hidden="false" customHeight="false" outlineLevel="0" collapsed="false">
      <c r="A57" s="38" t="s">
        <v>145</v>
      </c>
      <c r="B57" s="38" t="s">
        <v>149</v>
      </c>
      <c r="C57" s="38" t="s">
        <v>88</v>
      </c>
      <c r="D57" s="21" t="n">
        <v>8247</v>
      </c>
      <c r="E57" s="21" t="n">
        <v>8595</v>
      </c>
      <c r="F57" s="51" t="n">
        <f aca="false">IF(E57="","",D57-E57)</f>
        <v>-348</v>
      </c>
      <c r="G57" s="21" t="n">
        <v>7194</v>
      </c>
      <c r="H57" s="21" t="n">
        <v>7440</v>
      </c>
      <c r="I57" s="51" t="n">
        <f aca="false">IF(H57="","",G57-H57)</f>
        <v>-246</v>
      </c>
      <c r="J57" s="39" t="n">
        <f aca="false">IF(OR(D57="",D57+G57=0),"",D57/(D57+G57))</f>
        <v>0.534097532543229</v>
      </c>
      <c r="K57" s="39" t="n">
        <f aca="false">IF(E57="","",E57/(E57+H57))</f>
        <v>0.536014967259121</v>
      </c>
      <c r="L57" s="52" t="n">
        <f aca="false">IF(OR(K57="",J57=""),"",(J57-K57)*100)</f>
        <v>-0.191743471589156</v>
      </c>
      <c r="M57" s="38"/>
    </row>
    <row r="58" customFormat="false" ht="15" hidden="false" customHeight="false" outlineLevel="0" collapsed="false">
      <c r="A58" s="38" t="s">
        <v>145</v>
      </c>
      <c r="B58" s="38" t="s">
        <v>150</v>
      </c>
      <c r="C58" s="38" t="s">
        <v>88</v>
      </c>
      <c r="D58" s="21" t="n">
        <v>2091</v>
      </c>
      <c r="E58" s="21" t="n">
        <v>2169</v>
      </c>
      <c r="F58" s="51" t="n">
        <f aca="false">IF(E58="","",D58-E58)</f>
        <v>-78</v>
      </c>
      <c r="G58" s="21" t="n">
        <v>3282</v>
      </c>
      <c r="H58" s="21" t="n">
        <v>3459</v>
      </c>
      <c r="I58" s="51" t="n">
        <f aca="false">IF(H58="","",G58-H58)</f>
        <v>-177</v>
      </c>
      <c r="J58" s="39" t="n">
        <f aca="false">IF(OR(D58="",D58+G58=0),"",D58/(D58+G58))</f>
        <v>0.389168062534897</v>
      </c>
      <c r="K58" s="39" t="n">
        <f aca="false">IF(E58="","",E58/(E58+H58))</f>
        <v>0.385394456289979</v>
      </c>
      <c r="L58" s="52" t="n">
        <f aca="false">IF(OR(K58="",J58=""),"",(J58-K58)*100)</f>
        <v>0.377360624491802</v>
      </c>
      <c r="M58" s="38"/>
    </row>
    <row r="59" customFormat="false" ht="15" hidden="false" customHeight="false" outlineLevel="0" collapsed="false">
      <c r="A59" s="38" t="s">
        <v>145</v>
      </c>
      <c r="B59" s="38" t="s">
        <v>151</v>
      </c>
      <c r="C59" s="38" t="s">
        <v>88</v>
      </c>
      <c r="D59" s="21" t="n">
        <v>44</v>
      </c>
      <c r="E59" s="21" t="n">
        <v>40</v>
      </c>
      <c r="F59" s="51" t="n">
        <f aca="false">IF(E59="","",D59-E59)</f>
        <v>4</v>
      </c>
      <c r="G59" s="21" t="n">
        <v>74</v>
      </c>
      <c r="H59" s="21" t="n">
        <v>83</v>
      </c>
      <c r="I59" s="51" t="n">
        <f aca="false">IF(H59="","",G59-H59)</f>
        <v>-9</v>
      </c>
      <c r="J59" s="39" t="n">
        <f aca="false">IF(OR(D59="",D59+G59=0),"",D59/(D59+G59))</f>
        <v>0.372881355932203</v>
      </c>
      <c r="K59" s="39" t="n">
        <f aca="false">IF(E59="","",E59/(E59+H59))</f>
        <v>0.32520325203252</v>
      </c>
      <c r="L59" s="52" t="n">
        <f aca="false">IF(OR(K59="",J59=""),"",(J59-K59)*100)</f>
        <v>4.76781038996831</v>
      </c>
      <c r="M59" s="38"/>
    </row>
    <row r="60" customFormat="false" ht="15" hidden="false" customHeight="false" outlineLevel="0" collapsed="false">
      <c r="A60" s="38" t="s">
        <v>145</v>
      </c>
      <c r="B60" s="38" t="s">
        <v>152</v>
      </c>
      <c r="C60" s="38" t="s">
        <v>88</v>
      </c>
      <c r="D60" s="21" t="n">
        <v>1348</v>
      </c>
      <c r="E60" s="21" t="n">
        <v>1484</v>
      </c>
      <c r="F60" s="51" t="n">
        <f aca="false">IF(E60="","",D60-E60)</f>
        <v>-136</v>
      </c>
      <c r="G60" s="21" t="n">
        <v>1651</v>
      </c>
      <c r="H60" s="21" t="n">
        <v>1959</v>
      </c>
      <c r="I60" s="51" t="n">
        <f aca="false">IF(H60="","",G60-H60)</f>
        <v>-308</v>
      </c>
      <c r="J60" s="39" t="n">
        <f aca="false">IF(OR(D60="",D60+G60=0),"",D60/(D60+G60))</f>
        <v>0.449483161053685</v>
      </c>
      <c r="K60" s="39" t="n">
        <f aca="false">IF(E60="","",E60/(E60+H60))</f>
        <v>0.431019459773453</v>
      </c>
      <c r="L60" s="52" t="n">
        <f aca="false">IF(OR(K60="",J60=""),"",(J60-K60)*100)</f>
        <v>1.84637012802312</v>
      </c>
      <c r="M60" s="38"/>
    </row>
    <row r="61" customFormat="false" ht="15" hidden="false" customHeight="false" outlineLevel="0" collapsed="false">
      <c r="A61" s="38" t="s">
        <v>145</v>
      </c>
      <c r="B61" s="38" t="s">
        <v>153</v>
      </c>
      <c r="C61" s="38" t="s">
        <v>88</v>
      </c>
      <c r="D61" s="21" t="n">
        <v>194</v>
      </c>
      <c r="E61" s="21" t="n">
        <v>217</v>
      </c>
      <c r="F61" s="51" t="n">
        <f aca="false">IF(E61="","",D61-E61)</f>
        <v>-23</v>
      </c>
      <c r="G61" s="21" t="n">
        <v>304</v>
      </c>
      <c r="H61" s="21" t="n">
        <v>309</v>
      </c>
      <c r="I61" s="51" t="n">
        <f aca="false">IF(H61="","",G61-H61)</f>
        <v>-5</v>
      </c>
      <c r="J61" s="39" t="n">
        <f aca="false">IF(OR(D61="",D61+G61=0),"",D61/(D61+G61))</f>
        <v>0.389558232931727</v>
      </c>
      <c r="K61" s="39" t="n">
        <f aca="false">IF(E61="","",E61/(E61+H61))</f>
        <v>0.41254752851711</v>
      </c>
      <c r="L61" s="52" t="n">
        <f aca="false">IF(OR(K61="",J61=""),"",(J61-K61)*100)</f>
        <v>-2.29892955853833</v>
      </c>
      <c r="M61" s="38"/>
    </row>
    <row r="62" customFormat="false" ht="15" hidden="false" customHeight="false" outlineLevel="0" collapsed="false">
      <c r="A62" s="38" t="s">
        <v>145</v>
      </c>
      <c r="B62" s="38" t="s">
        <v>154</v>
      </c>
      <c r="C62" s="38" t="s">
        <v>88</v>
      </c>
      <c r="D62" s="21" t="n">
        <v>6993</v>
      </c>
      <c r="E62" s="21" t="n">
        <v>7604</v>
      </c>
      <c r="F62" s="51" t="n">
        <f aca="false">IF(E62="","",D62-E62)</f>
        <v>-611</v>
      </c>
      <c r="G62" s="21" t="n">
        <v>3055</v>
      </c>
      <c r="H62" s="21" t="n">
        <v>3303</v>
      </c>
      <c r="I62" s="51" t="n">
        <f aca="false">IF(H62="","",G62-H62)</f>
        <v>-248</v>
      </c>
      <c r="J62" s="39" t="n">
        <f aca="false">IF(OR(D62="",D62+G62=0),"",D62/(D62+G62))</f>
        <v>0.695959394904459</v>
      </c>
      <c r="K62" s="39" t="n">
        <f aca="false">IF(E62="","",E62/(E62+H62))</f>
        <v>0.697166957000092</v>
      </c>
      <c r="L62" s="52" t="n">
        <f aca="false">IF(OR(K62="",J62=""),"",(J62-K62)*100)</f>
        <v>-0.120756209563311</v>
      </c>
      <c r="M62" s="38"/>
    </row>
    <row r="63" customFormat="false" ht="15" hidden="false" customHeight="false" outlineLevel="0" collapsed="false">
      <c r="A63" s="38" t="s">
        <v>145</v>
      </c>
      <c r="B63" s="38" t="s">
        <v>155</v>
      </c>
      <c r="C63" s="38" t="s">
        <v>88</v>
      </c>
      <c r="D63" s="21" t="n">
        <v>5257</v>
      </c>
      <c r="E63" s="21" t="n">
        <v>5358</v>
      </c>
      <c r="F63" s="51" t="n">
        <f aca="false">IF(E63="","",D63-E63)</f>
        <v>-101</v>
      </c>
      <c r="G63" s="21" t="n">
        <v>4596</v>
      </c>
      <c r="H63" s="21" t="n">
        <v>5027</v>
      </c>
      <c r="I63" s="51" t="n">
        <f aca="false">IF(H63="","",G63-H63)</f>
        <v>-431</v>
      </c>
      <c r="J63" s="39" t="n">
        <f aca="false">IF(OR(D63="",D63+G63=0),"",D63/(D63+G63))</f>
        <v>0.533543083324876</v>
      </c>
      <c r="K63" s="39" t="n">
        <f aca="false">IF(E63="","",E63/(E63+H63))</f>
        <v>0.515936446798267</v>
      </c>
      <c r="L63" s="52" t="n">
        <f aca="false">IF(OR(K63="",J63=""),"",(J63-K63)*100)</f>
        <v>1.76066365266089</v>
      </c>
      <c r="M63" s="38"/>
    </row>
    <row r="64" customFormat="false" ht="15" hidden="false" customHeight="false" outlineLevel="0" collapsed="false">
      <c r="A64" s="38" t="s">
        <v>145</v>
      </c>
      <c r="B64" s="38" t="s">
        <v>156</v>
      </c>
      <c r="C64" s="38" t="s">
        <v>88</v>
      </c>
      <c r="D64" s="21" t="n">
        <v>735</v>
      </c>
      <c r="E64" s="21" t="n">
        <v>714</v>
      </c>
      <c r="F64" s="51" t="n">
        <f aca="false">IF(E64="","",D64-E64)</f>
        <v>21</v>
      </c>
      <c r="G64" s="21" t="n">
        <v>493</v>
      </c>
      <c r="H64" s="21" t="n">
        <v>484</v>
      </c>
      <c r="I64" s="51" t="n">
        <f aca="false">IF(H64="","",G64-H64)</f>
        <v>9</v>
      </c>
      <c r="J64" s="39" t="n">
        <f aca="false">IF(OR(D64="",D64+G64=0),"",D64/(D64+G64))</f>
        <v>0.598534201954397</v>
      </c>
      <c r="K64" s="39" t="n">
        <f aca="false">IF(E64="","",E64/(E64+H64))</f>
        <v>0.595993322203673</v>
      </c>
      <c r="L64" s="52" t="n">
        <f aca="false">IF(OR(K64="",J64=""),"",(J64-K64)*100)</f>
        <v>0.25408797507247</v>
      </c>
      <c r="M64" s="38"/>
    </row>
    <row r="65" customFormat="false" ht="15" hidden="false" customHeight="false" outlineLevel="0" collapsed="false">
      <c r="A65" s="38" t="s">
        <v>145</v>
      </c>
      <c r="B65" s="38" t="s">
        <v>157</v>
      </c>
      <c r="C65" s="38" t="s">
        <v>88</v>
      </c>
      <c r="D65" s="21" t="n">
        <v>105</v>
      </c>
      <c r="E65" s="21" t="n">
        <v>109</v>
      </c>
      <c r="F65" s="51" t="n">
        <f aca="false">IF(E65="","",D65-E65)</f>
        <v>-4</v>
      </c>
      <c r="G65" s="21" t="n">
        <v>96</v>
      </c>
      <c r="H65" s="21" t="n">
        <v>97</v>
      </c>
      <c r="I65" s="51" t="n">
        <f aca="false">IF(H65="","",G65-H65)</f>
        <v>-1</v>
      </c>
      <c r="J65" s="39" t="n">
        <f aca="false">IF(OR(D65="",D65+G65=0),"",D65/(D65+G65))</f>
        <v>0.522388059701493</v>
      </c>
      <c r="K65" s="39" t="n">
        <f aca="false">IF(E65="","",E65/(E65+H65))</f>
        <v>0.529126213592233</v>
      </c>
      <c r="L65" s="52" t="n">
        <f aca="false">IF(OR(K65="",J65=""),"",(J65-K65)*100)</f>
        <v>-0.673815389074051</v>
      </c>
      <c r="M65" s="38"/>
    </row>
    <row r="66" customFormat="false" ht="15" hidden="false" customHeight="false" outlineLevel="0" collapsed="false">
      <c r="A66" s="38" t="s">
        <v>145</v>
      </c>
      <c r="B66" s="38" t="s">
        <v>124</v>
      </c>
      <c r="C66" s="38" t="s">
        <v>88</v>
      </c>
      <c r="D66" s="21" t="n">
        <v>4295</v>
      </c>
      <c r="E66" s="21" t="n">
        <v>4341</v>
      </c>
      <c r="F66" s="51" t="n">
        <f aca="false">IF(E66="","",D66-E66)</f>
        <v>-46</v>
      </c>
      <c r="G66" s="21" t="n">
        <v>3638</v>
      </c>
      <c r="H66" s="21" t="n">
        <v>3620</v>
      </c>
      <c r="I66" s="51" t="n">
        <f aca="false">IF(H66="","",G66-H66)</f>
        <v>18</v>
      </c>
      <c r="J66" s="39" t="n">
        <f aca="false">IF(OR(D66="",D66+G66=0),"",D66/(D66+G66))</f>
        <v>0.541409302911887</v>
      </c>
      <c r="K66" s="39" t="n">
        <f aca="false">IF(E66="","",E66/(E66+H66))</f>
        <v>0.545283255872378</v>
      </c>
      <c r="L66" s="52" t="n">
        <f aca="false">IF(OR(K66="",J66=""),"",(J66-K66)*100)</f>
        <v>-0.387395296049076</v>
      </c>
      <c r="M66" s="38"/>
    </row>
    <row r="67" customFormat="false" ht="15" hidden="false" customHeight="false" outlineLevel="0" collapsed="false">
      <c r="A67" s="38" t="s">
        <v>145</v>
      </c>
      <c r="B67" s="38" t="s">
        <v>158</v>
      </c>
      <c r="C67" s="38" t="s">
        <v>88</v>
      </c>
      <c r="D67" s="21" t="n">
        <v>1725</v>
      </c>
      <c r="E67" s="21" t="n">
        <v>1726</v>
      </c>
      <c r="F67" s="51" t="n">
        <f aca="false">IF(E67="","",D67-E67)</f>
        <v>-1</v>
      </c>
      <c r="G67" s="21" t="n">
        <v>1529</v>
      </c>
      <c r="H67" s="21" t="n">
        <v>1685</v>
      </c>
      <c r="I67" s="51" t="n">
        <f aca="false">IF(H67="","",G67-H67)</f>
        <v>-156</v>
      </c>
      <c r="J67" s="39" t="n">
        <f aca="false">IF(OR(D67="",D67+G67=0),"",D67/(D67+G67))</f>
        <v>0.530116779348494</v>
      </c>
      <c r="K67" s="39" t="n">
        <f aca="false">IF(E67="","",E67/(E67+H67))</f>
        <v>0.506009967751393</v>
      </c>
      <c r="L67" s="52" t="n">
        <f aca="false">IF(OR(K67="",J67=""),"",(J67-K67)*100)</f>
        <v>2.41068115971017</v>
      </c>
      <c r="M67" s="38"/>
    </row>
    <row r="68" customFormat="false" ht="15" hidden="false" customHeight="false" outlineLevel="0" collapsed="false">
      <c r="A68" s="38" t="s">
        <v>145</v>
      </c>
      <c r="B68" s="38" t="s">
        <v>159</v>
      </c>
      <c r="C68" s="38" t="s">
        <v>88</v>
      </c>
      <c r="D68" s="21" t="n">
        <v>2286</v>
      </c>
      <c r="E68" s="21" t="n">
        <v>2244</v>
      </c>
      <c r="F68" s="51" t="n">
        <f aca="false">IF(E68="","",D68-E68)</f>
        <v>42</v>
      </c>
      <c r="G68" s="21" t="n">
        <v>4109</v>
      </c>
      <c r="H68" s="21" t="n">
        <v>4439</v>
      </c>
      <c r="I68" s="51" t="n">
        <f aca="false">IF(H68="","",G68-H68)</f>
        <v>-330</v>
      </c>
      <c r="J68" s="39" t="n">
        <f aca="false">IF(OR(D68="",D68+G68=0),"",D68/(D68+G68))</f>
        <v>0.357466770914777</v>
      </c>
      <c r="K68" s="39" t="n">
        <f aca="false">IF(E68="","",E68/(E68+H68))</f>
        <v>0.335777345503516</v>
      </c>
      <c r="L68" s="52" t="n">
        <f aca="false">IF(OR(K68="",J68=""),"",(J68-K68)*100)</f>
        <v>2.16894254112608</v>
      </c>
      <c r="M68" s="38"/>
    </row>
    <row r="69" customFormat="false" ht="15" hidden="false" customHeight="false" outlineLevel="0" collapsed="false">
      <c r="A69" s="38" t="s">
        <v>145</v>
      </c>
      <c r="B69" s="38" t="s">
        <v>160</v>
      </c>
      <c r="C69" s="38" t="s">
        <v>88</v>
      </c>
      <c r="D69" s="21" t="n">
        <v>634</v>
      </c>
      <c r="E69" s="21" t="n">
        <v>625</v>
      </c>
      <c r="F69" s="51" t="n">
        <f aca="false">IF(E69="","",D69-E69)</f>
        <v>9</v>
      </c>
      <c r="G69" s="21" t="n">
        <v>1105</v>
      </c>
      <c r="H69" s="21" t="n">
        <v>1214</v>
      </c>
      <c r="I69" s="51" t="n">
        <f aca="false">IF(H69="","",G69-H69)</f>
        <v>-109</v>
      </c>
      <c r="J69" s="39" t="n">
        <f aca="false">IF(OR(D69="",D69+G69=0),"",D69/(D69+G69))</f>
        <v>0.364577343300748</v>
      </c>
      <c r="K69" s="39" t="n">
        <f aca="false">IF(E69="","",E69/(E69+H69))</f>
        <v>0.339858618814573</v>
      </c>
      <c r="L69" s="52" t="n">
        <f aca="false">IF(OR(K69="",J69=""),"",(J69-K69)*100)</f>
        <v>2.47187244861744</v>
      </c>
      <c r="M69" s="38"/>
    </row>
    <row r="70" customFormat="false" ht="15" hidden="false" customHeight="false" outlineLevel="0" collapsed="false">
      <c r="A70" s="38" t="s">
        <v>145</v>
      </c>
      <c r="B70" s="38" t="s">
        <v>161</v>
      </c>
      <c r="C70" s="38" t="s">
        <v>88</v>
      </c>
      <c r="D70" s="21" t="n">
        <v>1994</v>
      </c>
      <c r="E70" s="21" t="n">
        <v>2047</v>
      </c>
      <c r="F70" s="51" t="n">
        <f aca="false">IF(E70="","",D70-E70)</f>
        <v>-53</v>
      </c>
      <c r="G70" s="21" t="n">
        <v>2450</v>
      </c>
      <c r="H70" s="21" t="n">
        <v>2499</v>
      </c>
      <c r="I70" s="51" t="n">
        <f aca="false">IF(H70="","",G70-H70)</f>
        <v>-49</v>
      </c>
      <c r="J70" s="39" t="n">
        <f aca="false">IF(OR(D70="",D70+G70=0),"",D70/(D70+G70))</f>
        <v>0.448694869486949</v>
      </c>
      <c r="K70" s="39" t="n">
        <f aca="false">IF(E70="","",E70/(E70+H70))</f>
        <v>0.450285965684118</v>
      </c>
      <c r="L70" s="52" t="n">
        <f aca="false">IF(OR(K70="",J70=""),"",(J70-K70)*100)</f>
        <v>-0.159109619716918</v>
      </c>
      <c r="M70" s="38"/>
    </row>
    <row r="71" customFormat="false" ht="15" hidden="false" customHeight="false" outlineLevel="0" collapsed="false">
      <c r="A71" s="38" t="s">
        <v>145</v>
      </c>
      <c r="B71" s="38" t="s">
        <v>162</v>
      </c>
      <c r="C71" s="38" t="s">
        <v>88</v>
      </c>
      <c r="D71" s="21" t="n">
        <v>3627</v>
      </c>
      <c r="E71" s="21" t="n">
        <v>3457</v>
      </c>
      <c r="F71" s="51" t="n">
        <f aca="false">IF(E71="","",D71-E71)</f>
        <v>170</v>
      </c>
      <c r="G71" s="21" t="n">
        <v>3574</v>
      </c>
      <c r="H71" s="21" t="n">
        <v>3805</v>
      </c>
      <c r="I71" s="51" t="n">
        <f aca="false">IF(H71="","",G71-H71)</f>
        <v>-231</v>
      </c>
      <c r="J71" s="39" t="n">
        <f aca="false">IF(OR(D71="",D71+G71=0),"",D71/(D71+G71))</f>
        <v>0.503680044438272</v>
      </c>
      <c r="K71" s="39" t="n">
        <f aca="false">IF(E71="","",E71/(E71+H71))</f>
        <v>0.476039658496282</v>
      </c>
      <c r="L71" s="52" t="n">
        <f aca="false">IF(OR(K71="",J71=""),"",(J71-K71)*100)</f>
        <v>2.76403859419904</v>
      </c>
      <c r="M71" s="38"/>
    </row>
    <row r="72" customFormat="false" ht="15" hidden="false" customHeight="false" outlineLevel="0" collapsed="false">
      <c r="A72" s="38" t="s">
        <v>145</v>
      </c>
      <c r="B72" s="38" t="s">
        <v>163</v>
      </c>
      <c r="C72" s="38" t="s">
        <v>88</v>
      </c>
      <c r="D72" s="21" t="n">
        <v>2042</v>
      </c>
      <c r="E72" s="21" t="n">
        <v>2006</v>
      </c>
      <c r="F72" s="51" t="n">
        <f aca="false">IF(E72="","",D72-E72)</f>
        <v>36</v>
      </c>
      <c r="G72" s="21" t="n">
        <v>3743</v>
      </c>
      <c r="H72" s="21" t="n">
        <v>4057</v>
      </c>
      <c r="I72" s="51" t="n">
        <f aca="false">IF(H72="","",G72-H72)</f>
        <v>-314</v>
      </c>
      <c r="J72" s="39" t="n">
        <f aca="false">IF(OR(D72="",D72+G72=0),"",D72/(D72+G72))</f>
        <v>0.352981849611063</v>
      </c>
      <c r="K72" s="39" t="n">
        <f aca="false">IF(E72="","",E72/(E72+H72))</f>
        <v>0.330859310572324</v>
      </c>
      <c r="L72" s="52" t="n">
        <f aca="false">IF(OR(K72="",J72=""),"",(J72-K72)*100)</f>
        <v>2.21225390387392</v>
      </c>
      <c r="M72" s="38"/>
    </row>
    <row r="73" customFormat="false" ht="15" hidden="false" customHeight="false" outlineLevel="0" collapsed="false">
      <c r="A73" s="38" t="s">
        <v>145</v>
      </c>
      <c r="B73" s="38" t="s">
        <v>164</v>
      </c>
      <c r="C73" s="38" t="s">
        <v>88</v>
      </c>
      <c r="D73" s="21" t="n">
        <v>1587</v>
      </c>
      <c r="E73" s="21" t="n">
        <v>1596</v>
      </c>
      <c r="F73" s="51" t="n">
        <f aca="false">IF(E73="","",D73-E73)</f>
        <v>-9</v>
      </c>
      <c r="G73" s="21" t="n">
        <v>1530</v>
      </c>
      <c r="H73" s="21" t="n">
        <v>1664</v>
      </c>
      <c r="I73" s="51" t="n">
        <f aca="false">IF(H73="","",G73-H73)</f>
        <v>-134</v>
      </c>
      <c r="J73" s="39" t="n">
        <f aca="false">IF(OR(D73="",D73+G73=0),"",D73/(D73+G73))</f>
        <v>0.509143407122233</v>
      </c>
      <c r="K73" s="39" t="n">
        <f aca="false">IF(E73="","",E73/(E73+H73))</f>
        <v>0.489570552147239</v>
      </c>
      <c r="L73" s="52" t="n">
        <f aca="false">IF(OR(K73="",J73=""),"",(J73-K73)*100)</f>
        <v>1.95728549749937</v>
      </c>
      <c r="M73" s="38"/>
    </row>
    <row r="74" customFormat="false" ht="15" hidden="false" customHeight="false" outlineLevel="0" collapsed="false">
      <c r="A74" s="38" t="s">
        <v>145</v>
      </c>
      <c r="B74" s="38" t="s">
        <v>165</v>
      </c>
      <c r="C74" s="38" t="s">
        <v>88</v>
      </c>
      <c r="D74" s="21" t="n">
        <v>796</v>
      </c>
      <c r="E74" s="21" t="n">
        <v>847</v>
      </c>
      <c r="F74" s="51" t="n">
        <f aca="false">IF(E74="","",D74-E74)</f>
        <v>-51</v>
      </c>
      <c r="G74" s="21" t="n">
        <v>778</v>
      </c>
      <c r="H74" s="21" t="n">
        <v>889</v>
      </c>
      <c r="I74" s="51" t="n">
        <f aca="false">IF(H74="","",G74-H74)</f>
        <v>-111</v>
      </c>
      <c r="J74" s="39" t="n">
        <f aca="false">IF(OR(D74="",D74+G74=0),"",D74/(D74+G74))</f>
        <v>0.50571791613723</v>
      </c>
      <c r="K74" s="39" t="n">
        <f aca="false">IF(E74="","",E74/(E74+H74))</f>
        <v>0.487903225806452</v>
      </c>
      <c r="L74" s="52" t="n">
        <f aca="false">IF(OR(K74="",J74=""),"",(J74-K74)*100)</f>
        <v>1.78146903307783</v>
      </c>
      <c r="M74" s="38"/>
    </row>
    <row r="75" customFormat="false" ht="15" hidden="false" customHeight="false" outlineLevel="0" collapsed="false">
      <c r="A75" s="38" t="s">
        <v>145</v>
      </c>
      <c r="B75" s="38" t="s">
        <v>166</v>
      </c>
      <c r="C75" s="38" t="s">
        <v>88</v>
      </c>
      <c r="D75" s="21" t="n">
        <v>2633</v>
      </c>
      <c r="E75" s="21" t="n">
        <v>2573</v>
      </c>
      <c r="F75" s="51" t="n">
        <f aca="false">IF(E75="","",D75-E75)</f>
        <v>60</v>
      </c>
      <c r="G75" s="21" t="n">
        <v>2656</v>
      </c>
      <c r="H75" s="21" t="n">
        <v>3023</v>
      </c>
      <c r="I75" s="51" t="n">
        <f aca="false">IF(H75="","",G75-H75)</f>
        <v>-367</v>
      </c>
      <c r="J75" s="39" t="n">
        <f aca="false">IF(OR(D75="",D75+G75=0),"",D75/(D75+G75))</f>
        <v>0.497825675931178</v>
      </c>
      <c r="K75" s="39" t="n">
        <f aca="false">IF(E75="","",E75/(E75+H75))</f>
        <v>0.459792709077913</v>
      </c>
      <c r="L75" s="52" t="n">
        <f aca="false">IF(OR(K75="",J75=""),"",(J75-K75)*100)</f>
        <v>3.80329668532651</v>
      </c>
      <c r="M75" s="38"/>
    </row>
    <row r="76" customFormat="false" ht="15" hidden="false" customHeight="false" outlineLevel="0" collapsed="false">
      <c r="A76" s="38" t="s">
        <v>145</v>
      </c>
      <c r="B76" s="38" t="s">
        <v>167</v>
      </c>
      <c r="C76" s="38" t="s">
        <v>88</v>
      </c>
      <c r="D76" s="21" t="n">
        <v>7047</v>
      </c>
      <c r="E76" s="21" t="n">
        <v>6974</v>
      </c>
      <c r="F76" s="51" t="n">
        <f aca="false">IF(E76="","",D76-E76)</f>
        <v>73</v>
      </c>
      <c r="G76" s="21" t="n">
        <v>6281</v>
      </c>
      <c r="H76" s="21" t="n">
        <v>6736</v>
      </c>
      <c r="I76" s="51" t="n">
        <f aca="false">IF(H76="","",G76-H76)</f>
        <v>-455</v>
      </c>
      <c r="J76" s="39" t="n">
        <f aca="false">IF(OR(D76="",D76+G76=0),"",D76/(D76+G76))</f>
        <v>0.528736494597839</v>
      </c>
      <c r="K76" s="39" t="n">
        <f aca="false">IF(E76="","",E76/(E76+H76))</f>
        <v>0.508679795769511</v>
      </c>
      <c r="L76" s="52" t="n">
        <f aca="false">IF(OR(K76="",J76=""),"",(J76-K76)*100)</f>
        <v>2.00566988283278</v>
      </c>
      <c r="M76" s="38"/>
    </row>
    <row r="77" customFormat="false" ht="15" hidden="false" customHeight="false" outlineLevel="0" collapsed="false">
      <c r="A77" s="38" t="s">
        <v>145</v>
      </c>
      <c r="B77" s="38" t="s">
        <v>168</v>
      </c>
      <c r="C77" s="38" t="s">
        <v>88</v>
      </c>
      <c r="D77" s="21" t="n">
        <v>704</v>
      </c>
      <c r="E77" s="21" t="n">
        <v>703</v>
      </c>
      <c r="F77" s="51" t="n">
        <f aca="false">IF(E77="","",D77-E77)</f>
        <v>1</v>
      </c>
      <c r="G77" s="21" t="n">
        <v>1063</v>
      </c>
      <c r="H77" s="21" t="n">
        <v>1180</v>
      </c>
      <c r="I77" s="51" t="n">
        <f aca="false">IF(H77="","",G77-H77)</f>
        <v>-117</v>
      </c>
      <c r="J77" s="39" t="n">
        <f aca="false">IF(OR(D77="",D77+G77=0),"",D77/(D77+G77))</f>
        <v>0.398415393322015</v>
      </c>
      <c r="K77" s="39" t="n">
        <f aca="false">IF(E77="","",E77/(E77+H77))</f>
        <v>0.373340414232608</v>
      </c>
      <c r="L77" s="52" t="n">
        <f aca="false">IF(OR(K77="",J77=""),"",(J77-K77)*100)</f>
        <v>2.50749790894071</v>
      </c>
      <c r="M77" s="38"/>
    </row>
    <row r="78" customFormat="false" ht="15" hidden="false" customHeight="false" outlineLevel="0" collapsed="false">
      <c r="A78" s="38" t="s">
        <v>145</v>
      </c>
      <c r="B78" s="38" t="s">
        <v>169</v>
      </c>
      <c r="C78" s="38" t="s">
        <v>88</v>
      </c>
      <c r="D78" s="21" t="n">
        <v>1382</v>
      </c>
      <c r="E78" s="21" t="n">
        <v>1361</v>
      </c>
      <c r="F78" s="51" t="n">
        <f aca="false">IF(E78="","",D78-E78)</f>
        <v>21</v>
      </c>
      <c r="G78" s="21" t="n">
        <v>2506</v>
      </c>
      <c r="H78" s="21" t="n">
        <v>2561</v>
      </c>
      <c r="I78" s="51" t="n">
        <f aca="false">IF(H78="","",G78-H78)</f>
        <v>-55</v>
      </c>
      <c r="J78" s="39" t="n">
        <f aca="false">IF(OR(D78="",D78+G78=0),"",D78/(D78+G78))</f>
        <v>0.355452674897119</v>
      </c>
      <c r="K78" s="39" t="n">
        <f aca="false">IF(E78="","",E78/(E78+H78))</f>
        <v>0.347016828148904</v>
      </c>
      <c r="L78" s="52" t="n">
        <f aca="false">IF(OR(K78="",J78=""),"",(J78-K78)*100)</f>
        <v>0.843584674821574</v>
      </c>
      <c r="M78" s="38"/>
    </row>
    <row r="79" customFormat="false" ht="15" hidden="false" customHeight="false" outlineLevel="0" collapsed="false">
      <c r="A79" s="38" t="s">
        <v>145</v>
      </c>
      <c r="B79" s="38" t="s">
        <v>170</v>
      </c>
      <c r="C79" s="38" t="s">
        <v>88</v>
      </c>
      <c r="D79" s="21" t="n">
        <v>86</v>
      </c>
      <c r="E79" s="21" t="n">
        <v>92</v>
      </c>
      <c r="F79" s="51" t="n">
        <f aca="false">IF(E79="","",D79-E79)</f>
        <v>-6</v>
      </c>
      <c r="G79" s="21" t="n">
        <v>167</v>
      </c>
      <c r="H79" s="21" t="n">
        <v>167</v>
      </c>
      <c r="I79" s="51" t="n">
        <f aca="false">IF(H79="","",G79-H79)</f>
        <v>0</v>
      </c>
      <c r="J79" s="39" t="n">
        <f aca="false">IF(OR(D79="",D79+G79=0),"",D79/(D79+G79))</f>
        <v>0.339920948616601</v>
      </c>
      <c r="K79" s="39" t="n">
        <f aca="false">IF(E79="","",E79/(E79+H79))</f>
        <v>0.355212355212355</v>
      </c>
      <c r="L79" s="52" t="n">
        <f aca="false">IF(OR(K79="",J79=""),"",(J79-K79)*100)</f>
        <v>-1.52914065957545</v>
      </c>
      <c r="M79" s="38"/>
    </row>
    <row r="80" customFormat="false" ht="15" hidden="false" customHeight="false" outlineLevel="0" collapsed="false">
      <c r="A80" s="38" t="s">
        <v>145</v>
      </c>
      <c r="B80" s="38" t="s">
        <v>171</v>
      </c>
      <c r="C80" s="38" t="s">
        <v>88</v>
      </c>
      <c r="D80" s="21" t="n">
        <v>362</v>
      </c>
      <c r="E80" s="21" t="n">
        <v>335</v>
      </c>
      <c r="F80" s="51" t="n">
        <f aca="false">IF(E80="","",D80-E80)</f>
        <v>27</v>
      </c>
      <c r="G80" s="21" t="n">
        <v>540</v>
      </c>
      <c r="H80" s="21" t="n">
        <v>581</v>
      </c>
      <c r="I80" s="51" t="n">
        <f aca="false">IF(H80="","",G80-H80)</f>
        <v>-41</v>
      </c>
      <c r="J80" s="39" t="n">
        <f aca="false">IF(OR(D80="",D80+G80=0),"",D80/(D80+G80))</f>
        <v>0.401330376940133</v>
      </c>
      <c r="K80" s="39" t="n">
        <f aca="false">IF(E80="","",E80/(E80+H80))</f>
        <v>0.365720524017467</v>
      </c>
      <c r="L80" s="52" t="n">
        <f aca="false">IF(OR(K80="",J80=""),"",(J80-K80)*100)</f>
        <v>3.56098529226658</v>
      </c>
      <c r="M80" s="38"/>
    </row>
    <row r="81" customFormat="false" ht="15" hidden="false" customHeight="false" outlineLevel="0" collapsed="false">
      <c r="A81" s="38" t="s">
        <v>145</v>
      </c>
      <c r="B81" s="38" t="s">
        <v>172</v>
      </c>
      <c r="C81" s="38" t="s">
        <v>88</v>
      </c>
      <c r="D81" s="21" t="n">
        <v>221</v>
      </c>
      <c r="E81" s="21" t="n">
        <v>210</v>
      </c>
      <c r="F81" s="51" t="n">
        <f aca="false">IF(E81="","",D81-E81)</f>
        <v>11</v>
      </c>
      <c r="G81" s="21" t="n">
        <v>299</v>
      </c>
      <c r="H81" s="21" t="n">
        <v>309</v>
      </c>
      <c r="I81" s="51" t="n">
        <f aca="false">IF(H81="","",G81-H81)</f>
        <v>-10</v>
      </c>
      <c r="J81" s="39" t="n">
        <f aca="false">IF(OR(D81="",D81+G81=0),"",D81/(D81+G81))</f>
        <v>0.425</v>
      </c>
      <c r="K81" s="39" t="n">
        <f aca="false">IF(E81="","",E81/(E81+H81))</f>
        <v>0.404624277456647</v>
      </c>
      <c r="L81" s="52" t="n">
        <f aca="false">IF(OR(K81="",J81=""),"",(J81-K81)*100)</f>
        <v>2.03757225433526</v>
      </c>
      <c r="M81" s="38"/>
    </row>
    <row r="82" customFormat="false" ht="15" hidden="false" customHeight="false" outlineLevel="0" collapsed="false">
      <c r="A82" s="38" t="s">
        <v>145</v>
      </c>
      <c r="B82" s="38" t="s">
        <v>173</v>
      </c>
      <c r="C82" s="38" t="s">
        <v>88</v>
      </c>
      <c r="D82" s="21" t="n">
        <v>296</v>
      </c>
      <c r="E82" s="21" t="n">
        <v>331</v>
      </c>
      <c r="F82" s="51" t="n">
        <f aca="false">IF(E82="","",D82-E82)</f>
        <v>-35</v>
      </c>
      <c r="G82" s="21" t="n">
        <v>376</v>
      </c>
      <c r="H82" s="21" t="n">
        <v>458</v>
      </c>
      <c r="I82" s="51" t="n">
        <f aca="false">IF(H82="","",G82-H82)</f>
        <v>-82</v>
      </c>
      <c r="J82" s="39" t="n">
        <f aca="false">IF(OR(D82="",D82+G82=0),"",D82/(D82+G82))</f>
        <v>0.44047619047619</v>
      </c>
      <c r="K82" s="39" t="n">
        <f aca="false">IF(E82="","",E82/(E82+H82))</f>
        <v>0.419518377693283</v>
      </c>
      <c r="L82" s="52" t="n">
        <f aca="false">IF(OR(K82="",J82=""),"",(J82-K82)*100)</f>
        <v>2.09578127829078</v>
      </c>
      <c r="M82" s="38"/>
    </row>
    <row r="83" customFormat="false" ht="15" hidden="false" customHeight="false" outlineLevel="0" collapsed="false">
      <c r="A83" s="38" t="s">
        <v>145</v>
      </c>
      <c r="B83" s="38" t="s">
        <v>174</v>
      </c>
      <c r="C83" s="38" t="s">
        <v>88</v>
      </c>
      <c r="D83" s="21" t="n">
        <v>1297</v>
      </c>
      <c r="E83" s="21" t="n">
        <v>1242</v>
      </c>
      <c r="F83" s="51" t="n">
        <f aca="false">IF(E83="","",D83-E83)</f>
        <v>55</v>
      </c>
      <c r="G83" s="21" t="n">
        <v>2511</v>
      </c>
      <c r="H83" s="21" t="n">
        <v>2716</v>
      </c>
      <c r="I83" s="51" t="n">
        <f aca="false">IF(H83="","",G83-H83)</f>
        <v>-205</v>
      </c>
      <c r="J83" s="39" t="n">
        <f aca="false">IF(OR(D83="",D83+G83=0),"",D83/(D83+G83))</f>
        <v>0.340598739495798</v>
      </c>
      <c r="K83" s="39" t="n">
        <f aca="false">IF(E83="","",E83/(E83+H83))</f>
        <v>0.313794845881759</v>
      </c>
      <c r="L83" s="52" t="n">
        <f aca="false">IF(OR(K83="",J83=""),"",(J83-K83)*100)</f>
        <v>2.68038936140398</v>
      </c>
      <c r="M83" s="38"/>
    </row>
    <row r="84" customFormat="false" ht="15" hidden="false" customHeight="false" outlineLevel="0" collapsed="false">
      <c r="A84" s="38" t="s">
        <v>145</v>
      </c>
      <c r="B84" s="38" t="s">
        <v>175</v>
      </c>
      <c r="C84" s="38" t="s">
        <v>88</v>
      </c>
      <c r="D84" s="21" t="n">
        <v>1955</v>
      </c>
      <c r="E84" s="21" t="n">
        <v>1964</v>
      </c>
      <c r="F84" s="51" t="n">
        <f aca="false">IF(E84="","",D84-E84)</f>
        <v>-9</v>
      </c>
      <c r="G84" s="21" t="n">
        <v>1995</v>
      </c>
      <c r="H84" s="21" t="n">
        <v>2147</v>
      </c>
      <c r="I84" s="51" t="n">
        <f aca="false">IF(H84="","",G84-H84)</f>
        <v>-152</v>
      </c>
      <c r="J84" s="39" t="n">
        <f aca="false">IF(OR(D84="",D84+G84=0),"",D84/(D84+G84))</f>
        <v>0.494936708860759</v>
      </c>
      <c r="K84" s="39" t="n">
        <f aca="false">IF(E84="","",E84/(E84+H84))</f>
        <v>0.477742641693019</v>
      </c>
      <c r="L84" s="52" t="n">
        <f aca="false">IF(OR(K84="",J84=""),"",(J84-K84)*100)</f>
        <v>1.71940671677407</v>
      </c>
      <c r="M84" s="38"/>
    </row>
    <row r="85" customFormat="false" ht="15" hidden="false" customHeight="false" outlineLevel="0" collapsed="false">
      <c r="A85" s="38" t="s">
        <v>145</v>
      </c>
      <c r="B85" s="38" t="s">
        <v>176</v>
      </c>
      <c r="C85" s="38" t="s">
        <v>88</v>
      </c>
      <c r="D85" s="21" t="n">
        <v>424</v>
      </c>
      <c r="E85" s="21" t="n">
        <v>416</v>
      </c>
      <c r="F85" s="51" t="n">
        <f aca="false">IF(E85="","",D85-E85)</f>
        <v>8</v>
      </c>
      <c r="G85" s="21" t="n">
        <v>560</v>
      </c>
      <c r="H85" s="21" t="n">
        <v>658</v>
      </c>
      <c r="I85" s="51" t="n">
        <f aca="false">IF(H85="","",G85-H85)</f>
        <v>-98</v>
      </c>
      <c r="J85" s="39" t="n">
        <f aca="false">IF(OR(D85="",D85+G85=0),"",D85/(D85+G85))</f>
        <v>0.430894308943089</v>
      </c>
      <c r="K85" s="39" t="n">
        <f aca="false">IF(E85="","",E85/(E85+H85))</f>
        <v>0.387337057728119</v>
      </c>
      <c r="L85" s="52" t="n">
        <f aca="false">IF(OR(K85="",J85=""),"",(J85-K85)*100)</f>
        <v>4.35572512149703</v>
      </c>
      <c r="M85" s="38"/>
    </row>
    <row r="86" customFormat="false" ht="15" hidden="false" customHeight="false" outlineLevel="0" collapsed="false">
      <c r="A86" s="38" t="s">
        <v>145</v>
      </c>
      <c r="B86" s="38" t="s">
        <v>138</v>
      </c>
      <c r="C86" s="38" t="s">
        <v>88</v>
      </c>
      <c r="D86" s="21" t="n">
        <v>1091</v>
      </c>
      <c r="E86" s="21" t="n">
        <v>1041</v>
      </c>
      <c r="F86" s="51" t="n">
        <f aca="false">IF(E86="","",D86-E86)</f>
        <v>50</v>
      </c>
      <c r="G86" s="21" t="n">
        <v>1912</v>
      </c>
      <c r="H86" s="21" t="n">
        <v>2088</v>
      </c>
      <c r="I86" s="51" t="n">
        <f aca="false">IF(H86="","",G86-H86)</f>
        <v>-176</v>
      </c>
      <c r="J86" s="39" t="n">
        <f aca="false">IF(OR(D86="",D86+G86=0),"",D86/(D86+G86))</f>
        <v>0.363303363303363</v>
      </c>
      <c r="K86" s="39" t="n">
        <f aca="false">IF(E86="","",E86/(E86+H86))</f>
        <v>0.332694151486098</v>
      </c>
      <c r="L86" s="52" t="n">
        <f aca="false">IF(OR(K86="",J86=""),"",(J86-K86)*100)</f>
        <v>3.06092118172655</v>
      </c>
      <c r="M86" s="38"/>
    </row>
    <row r="87" customFormat="false" ht="15" hidden="false" customHeight="false" outlineLevel="0" collapsed="false">
      <c r="A87" s="38" t="s">
        <v>145</v>
      </c>
      <c r="B87" s="38" t="s">
        <v>177</v>
      </c>
      <c r="C87" s="38" t="s">
        <v>88</v>
      </c>
      <c r="D87" s="21" t="n">
        <v>271</v>
      </c>
      <c r="E87" s="21" t="n">
        <v>281</v>
      </c>
      <c r="F87" s="51" t="n">
        <f aca="false">IF(E87="","",D87-E87)</f>
        <v>-10</v>
      </c>
      <c r="G87" s="21" t="n">
        <v>304</v>
      </c>
      <c r="H87" s="21" t="n">
        <v>310</v>
      </c>
      <c r="I87" s="51" t="n">
        <f aca="false">IF(H87="","",G87-H87)</f>
        <v>-6</v>
      </c>
      <c r="J87" s="39" t="n">
        <f aca="false">IF(OR(D87="",D87+G87=0),"",D87/(D87+G87))</f>
        <v>0.471304347826087</v>
      </c>
      <c r="K87" s="39" t="n">
        <f aca="false">IF(E87="","",E87/(E87+H87))</f>
        <v>0.475465313028765</v>
      </c>
      <c r="L87" s="52" t="n">
        <f aca="false">IF(OR(K87="",J87=""),"",(J87-K87)*100)</f>
        <v>-0.416096520267789</v>
      </c>
      <c r="M87" s="38"/>
    </row>
    <row r="88" customFormat="false" ht="15" hidden="false" customHeight="false" outlineLevel="0" collapsed="false">
      <c r="A88" s="38" t="s">
        <v>145</v>
      </c>
      <c r="B88" s="38" t="s">
        <v>178</v>
      </c>
      <c r="C88" s="38" t="s">
        <v>88</v>
      </c>
      <c r="D88" s="21" t="n">
        <v>1885</v>
      </c>
      <c r="E88" s="21" t="n">
        <v>1847</v>
      </c>
      <c r="F88" s="51" t="n">
        <f aca="false">IF(E88="","",D88-E88)</f>
        <v>38</v>
      </c>
      <c r="G88" s="21" t="n">
        <v>2261</v>
      </c>
      <c r="H88" s="21" t="n">
        <v>2401</v>
      </c>
      <c r="I88" s="51" t="n">
        <f aca="false">IF(H88="","",G88-H88)</f>
        <v>-140</v>
      </c>
      <c r="J88" s="39" t="n">
        <f aca="false">IF(OR(D88="",D88+G88=0),"",D88/(D88+G88))</f>
        <v>0.454655089242644</v>
      </c>
      <c r="K88" s="39" t="n">
        <f aca="false">IF(E88="","",E88/(E88+H88))</f>
        <v>0.434792843691149</v>
      </c>
      <c r="L88" s="52" t="n">
        <f aca="false">IF(OR(K88="",J88=""),"",(J88-K88)*100)</f>
        <v>1.98622455514947</v>
      </c>
      <c r="M88" s="38"/>
    </row>
    <row r="89" customFormat="false" ht="15" hidden="false" customHeight="false" outlineLevel="0" collapsed="false">
      <c r="A89" s="38" t="s">
        <v>145</v>
      </c>
      <c r="B89" s="38" t="s">
        <v>179</v>
      </c>
      <c r="C89" s="38" t="s">
        <v>88</v>
      </c>
      <c r="D89" s="21" t="n">
        <v>1919</v>
      </c>
      <c r="E89" s="21" t="n">
        <v>1897</v>
      </c>
      <c r="F89" s="51" t="n">
        <f aca="false">IF(E89="","",D89-E89)</f>
        <v>22</v>
      </c>
      <c r="G89" s="21" t="n">
        <v>1507</v>
      </c>
      <c r="H89" s="21" t="n">
        <v>1538</v>
      </c>
      <c r="I89" s="51" t="n">
        <f aca="false">IF(H89="","",G89-H89)</f>
        <v>-31</v>
      </c>
      <c r="J89" s="39" t="n">
        <f aca="false">IF(OR(D89="",D89+G89=0),"",D89/(D89+G89))</f>
        <v>0.560128429655575</v>
      </c>
      <c r="K89" s="39" t="n">
        <f aca="false">IF(E89="","",E89/(E89+H89))</f>
        <v>0.552256186317322</v>
      </c>
      <c r="L89" s="52" t="n">
        <f aca="false">IF(OR(K89="",J89=""),"",(J89-K89)*100)</f>
        <v>0.787224333825332</v>
      </c>
      <c r="M89" s="38"/>
    </row>
    <row r="90" customFormat="false" ht="15" hidden="false" customHeight="false" outlineLevel="0" collapsed="false">
      <c r="A90" s="38" t="s">
        <v>145</v>
      </c>
      <c r="B90" s="38" t="s">
        <v>180</v>
      </c>
      <c r="C90" s="38" t="s">
        <v>88</v>
      </c>
      <c r="D90" s="21" t="n">
        <v>583</v>
      </c>
      <c r="E90" s="21" t="n">
        <v>634</v>
      </c>
      <c r="F90" s="51" t="n">
        <f aca="false">IF(E90="","",D90-E90)</f>
        <v>-51</v>
      </c>
      <c r="G90" s="21" t="n">
        <v>716</v>
      </c>
      <c r="H90" s="21" t="n">
        <v>856</v>
      </c>
      <c r="I90" s="51" t="n">
        <f aca="false">IF(H90="","",G90-H90)</f>
        <v>-140</v>
      </c>
      <c r="J90" s="39" t="n">
        <f aca="false">IF(OR(D90="",D90+G90=0),"",D90/(D90+G90))</f>
        <v>0.448806774441878</v>
      </c>
      <c r="K90" s="39" t="n">
        <f aca="false">IF(E90="","",E90/(E90+H90))</f>
        <v>0.425503355704698</v>
      </c>
      <c r="L90" s="52" t="n">
        <f aca="false">IF(OR(K90="",J90=""),"",(J90-K90)*100)</f>
        <v>2.33034187371804</v>
      </c>
      <c r="M90" s="38"/>
    </row>
    <row r="92" customFormat="false" ht="15" hidden="false" customHeight="false" outlineLevel="0" collapsed="false">
      <c r="A92" s="11" t="s">
        <v>297</v>
      </c>
      <c r="B92" s="53"/>
      <c r="C92" s="53"/>
      <c r="D92" s="54" t="n">
        <f aca="false">SUMIF(E2:E90,"&lt;&gt;",D2:D90)</f>
        <v>200626</v>
      </c>
      <c r="E92" s="54" t="n">
        <f aca="false">SUM(E2:E90)</f>
        <v>199626</v>
      </c>
      <c r="F92" s="55" t="n">
        <f aca="false">D92-E92</f>
        <v>1000</v>
      </c>
      <c r="G92" s="54" t="n">
        <f aca="false">SUMIF(H2:H90,"&lt;&gt;",G2:G90)</f>
        <v>189413</v>
      </c>
      <c r="H92" s="54" t="n">
        <f aca="false">SUM(H2:H90)</f>
        <v>203688</v>
      </c>
      <c r="I92" s="55" t="n">
        <f aca="false">G92-H92</f>
        <v>-14275</v>
      </c>
      <c r="J92" s="56" t="n">
        <f aca="false">D92/(D92+G92)</f>
        <v>0.514374203605281</v>
      </c>
      <c r="K92" s="56" t="n">
        <f aca="false">E92/(E92+H92)</f>
        <v>0.49496422142549</v>
      </c>
      <c r="L92" s="57" t="n">
        <f aca="false">(J92-K92)*100</f>
        <v>1.94099821797907</v>
      </c>
    </row>
    <row r="93" customFormat="false" ht="15" hidden="false" customHeight="false" outlineLevel="0" collapsed="false">
      <c r="A93" s="11" t="s">
        <v>298</v>
      </c>
      <c r="B93" s="53"/>
      <c r="C93" s="53"/>
      <c r="D93" s="54" t="n">
        <f aca="false">SUM(D2:D90)</f>
        <v>200626</v>
      </c>
      <c r="E93" s="54"/>
      <c r="F93" s="55"/>
      <c r="G93" s="54" t="n">
        <f aca="false">SUM(G2:G90)</f>
        <v>189413</v>
      </c>
      <c r="H93" s="54"/>
      <c r="I93" s="55"/>
      <c r="J93" s="56" t="n">
        <f aca="false">D93/(D93+G93)</f>
        <v>0.514374203605281</v>
      </c>
      <c r="K93" s="56"/>
      <c r="L93" s="57"/>
    </row>
    <row r="95" customFormat="false" ht="15" hidden="false" customHeight="false" outlineLevel="0" collapsed="false">
      <c r="A95" s="2" t="s">
        <v>299</v>
      </c>
      <c r="F95" s="58" t="n">
        <f aca="false">(SUMIF(F2:F90,"&gt;0")-SUMIF(F2:F90,"&lt;0"))/COUNT(F2:F90)</f>
        <v>84.9213483146068</v>
      </c>
    </row>
    <row r="96" customFormat="false" ht="15" hidden="false" customHeight="false" outlineLevel="0" collapsed="false">
      <c r="A96" s="2" t="s">
        <v>300</v>
      </c>
      <c r="F96" s="58" t="n">
        <f aca="false">(SUMIF(I2:I90,"&gt;0")-SUMIF(I2:I90,"&lt;0"))/COUNT(I2:I90)</f>
        <v>179.85393258427</v>
      </c>
    </row>
    <row r="97" customFormat="false" ht="15" hidden="false" customHeight="false" outlineLevel="0" collapsed="false">
      <c r="A97" s="2" t="s">
        <v>301</v>
      </c>
      <c r="F97" s="59" t="n">
        <f aca="false">(SUMIF(L2:L90,"&gt;0")-SUMIF(L2:L90,"&lt;0"))/COUNT(L2:L90)</f>
        <v>2.44931557703106</v>
      </c>
    </row>
    <row r="98" customFormat="false" ht="15" hidden="false" customHeight="false" outlineLevel="0" collapsed="false">
      <c r="A98" s="5" t="s">
        <v>302</v>
      </c>
      <c r="F98" s="60" t="n">
        <f aca="false">SQRT(SUMSQ(L2:L90)/COUNT(L2:L90))</f>
        <v>2.9050972382141</v>
      </c>
    </row>
    <row r="99" customFormat="false" ht="15" hidden="false" customHeight="false" outlineLevel="0" collapsed="false">
      <c r="A99" s="5" t="s">
        <v>303</v>
      </c>
      <c r="F99" s="61" t="n">
        <f aca="false">L92</f>
        <v>1.94099821797907</v>
      </c>
    </row>
    <row r="100" customFormat="false" ht="15" hidden="false" customHeight="false" outlineLevel="0" collapsed="false">
      <c r="A100" s="5" t="s">
        <v>304</v>
      </c>
      <c r="F100" s="60" t="n">
        <f aca="false">SQRT((SUMSQ(L2:L90)-2*L92*SUM(L2:L90)+COUNT(L2:L90)*L92^2)/COUNT(L2:L90))</f>
        <v>1.80989801231705</v>
      </c>
    </row>
    <row r="101" customFormat="false" ht="15" hidden="false" customHeight="false" outlineLevel="0" collapsed="false">
      <c r="A101" s="2" t="s">
        <v>305</v>
      </c>
      <c r="F101" s="62" t="n">
        <f aca="false">(D92+G92)/(E92+H92)-1</f>
        <v>-0.0329148008747526</v>
      </c>
    </row>
    <row r="102" customFormat="false" ht="15" hidden="false" customHeight="false" outlineLevel="0" collapsed="false">
      <c r="A102" s="2" t="s">
        <v>306</v>
      </c>
      <c r="F102" s="63" t="n">
        <f aca="false">COUNTIFS(L2:L90,"&gt;=-3",L2:L90,"&lt;=3")/COUNT(L2:L90)</f>
        <v>0.707865168539326</v>
      </c>
    </row>
    <row r="103" customFormat="false" ht="15" hidden="false" customHeight="false" outlineLevel="0" collapsed="false">
      <c r="A103" s="2" t="s">
        <v>307</v>
      </c>
      <c r="F103" s="64" t="n">
        <f aca="false">COUNT(E2:E90)</f>
        <v>89</v>
      </c>
    </row>
    <row r="104" customFormat="false" ht="15" hidden="false" customHeight="false" outlineLevel="0" collapsed="false">
      <c r="A104" s="2" t="s">
        <v>308</v>
      </c>
      <c r="F104" s="64" t="n">
        <f aca="false">COUNTA(A2:A90)</f>
        <v>89</v>
      </c>
    </row>
    <row r="106" customFormat="false" ht="15" hidden="false" customHeight="false" outlineLevel="0" collapsed="false">
      <c r="M106" s="5" t="s">
        <v>70</v>
      </c>
    </row>
    <row r="107" customFormat="false" ht="28.35" hidden="false" customHeight="false" outlineLevel="0" collapsed="false">
      <c r="M107" s="50" t="s">
        <v>309</v>
      </c>
    </row>
    <row r="108" customFormat="false" ht="28.35" hidden="false" customHeight="false" outlineLevel="0" collapsed="false">
      <c r="M108" s="50" t="s">
        <v>310</v>
      </c>
    </row>
    <row r="109" customFormat="false" ht="28.35" hidden="false" customHeight="false" outlineLevel="0" collapsed="false">
      <c r="M109" s="50" t="s">
        <v>311</v>
      </c>
    </row>
    <row r="110" customFormat="false" ht="28.35" hidden="false" customHeight="false" outlineLevel="0" collapsed="false">
      <c r="M110" s="50" t="s">
        <v>312</v>
      </c>
    </row>
    <row r="111" customFormat="false" ht="41.75" hidden="false" customHeight="false" outlineLevel="0" collapsed="false">
      <c r="M111" s="50" t="s">
        <v>313</v>
      </c>
    </row>
    <row r="112" customFormat="false" ht="41.75" hidden="false" customHeight="false" outlineLevel="0" collapsed="false">
      <c r="M112" s="50" t="s">
        <v>314</v>
      </c>
    </row>
    <row r="113" customFormat="false" ht="15" hidden="false" customHeight="false" outlineLevel="0" collapsed="false">
      <c r="M113" s="50" t="s">
        <v>315</v>
      </c>
    </row>
    <row r="114" customFormat="false" ht="28.35" hidden="false" customHeight="false" outlineLevel="0" collapsed="false">
      <c r="M114" s="50" t="s">
        <v>316</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287</v>
      </c>
      <c r="E1" s="7" t="s">
        <v>288</v>
      </c>
      <c r="F1" s="7" t="s">
        <v>289</v>
      </c>
      <c r="G1" s="7" t="s">
        <v>290</v>
      </c>
      <c r="H1" s="7" t="s">
        <v>291</v>
      </c>
      <c r="I1" s="7" t="s">
        <v>292</v>
      </c>
      <c r="J1" s="7" t="s">
        <v>293</v>
      </c>
      <c r="K1" s="7" t="s">
        <v>294</v>
      </c>
      <c r="L1" s="7" t="s">
        <v>295</v>
      </c>
      <c r="M1" s="7" t="s">
        <v>296</v>
      </c>
    </row>
    <row r="2" customFormat="false" ht="15" hidden="false" customHeight="false" outlineLevel="0" collapsed="false">
      <c r="A2" s="38" t="s">
        <v>86</v>
      </c>
      <c r="B2" s="38" t="s">
        <v>87</v>
      </c>
      <c r="C2" s="38" t="s">
        <v>88</v>
      </c>
      <c r="D2" s="21" t="n">
        <v>196</v>
      </c>
      <c r="E2" s="21" t="n">
        <v>181</v>
      </c>
      <c r="F2" s="51" t="n">
        <f aca="false">IF(E2="","",D2-E2)</f>
        <v>15</v>
      </c>
      <c r="G2" s="21" t="n">
        <v>307</v>
      </c>
      <c r="H2" s="21" t="n">
        <v>285</v>
      </c>
      <c r="I2" s="51" t="n">
        <f aca="false">IF(H2="","",G2-H2)</f>
        <v>22</v>
      </c>
      <c r="J2" s="39" t="n">
        <f aca="false">IF(OR(D2="",D2+G2=0),"",D2/(D2+G2))</f>
        <v>0.389662027833002</v>
      </c>
      <c r="K2" s="39" t="n">
        <f aca="false">IF(E2="","",E2/(E2+H2))</f>
        <v>0.388412017167382</v>
      </c>
      <c r="L2" s="52" t="n">
        <f aca="false">IF(OR(K2="",J2=""),"",(J2-K2)*100)</f>
        <v>0.125001066561997</v>
      </c>
      <c r="M2" s="38"/>
    </row>
    <row r="3" customFormat="false" ht="15" hidden="false" customHeight="false" outlineLevel="0" collapsed="false">
      <c r="A3" s="38" t="s">
        <v>86</v>
      </c>
      <c r="B3" s="38" t="s">
        <v>91</v>
      </c>
      <c r="C3" s="38" t="s">
        <v>88</v>
      </c>
      <c r="D3" s="21" t="n">
        <v>120</v>
      </c>
      <c r="E3" s="21" t="n">
        <v>118</v>
      </c>
      <c r="F3" s="51" t="n">
        <f aca="false">IF(E3="","",D3-E3)</f>
        <v>2</v>
      </c>
      <c r="G3" s="21" t="n">
        <v>283</v>
      </c>
      <c r="H3" s="21" t="n">
        <v>300</v>
      </c>
      <c r="I3" s="51" t="n">
        <f aca="false">IF(H3="","",G3-H3)</f>
        <v>-17</v>
      </c>
      <c r="J3" s="39" t="n">
        <f aca="false">IF(OR(D3="",D3+G3=0),"",D3/(D3+G3))</f>
        <v>0.297766749379653</v>
      </c>
      <c r="K3" s="39" t="n">
        <f aca="false">IF(E3="","",E3/(E3+H3))</f>
        <v>0.282296650717703</v>
      </c>
      <c r="L3" s="52" t="n">
        <f aca="false">IF(OR(K3="",J3=""),"",(J3-K3)*100)</f>
        <v>1.54700986619493</v>
      </c>
      <c r="M3" s="38"/>
    </row>
    <row r="4" customFormat="false" ht="15" hidden="false" customHeight="false" outlineLevel="0" collapsed="false">
      <c r="A4" s="38" t="s">
        <v>86</v>
      </c>
      <c r="B4" s="38" t="s">
        <v>92</v>
      </c>
      <c r="C4" s="38" t="s">
        <v>88</v>
      </c>
      <c r="D4" s="21" t="n">
        <v>156</v>
      </c>
      <c r="E4" s="21" t="n">
        <v>144</v>
      </c>
      <c r="F4" s="51" t="n">
        <f aca="false">IF(E4="","",D4-E4)</f>
        <v>12</v>
      </c>
      <c r="G4" s="21" t="n">
        <v>272</v>
      </c>
      <c r="H4" s="21" t="n">
        <v>310</v>
      </c>
      <c r="I4" s="51" t="n">
        <f aca="false">IF(H4="","",G4-H4)</f>
        <v>-38</v>
      </c>
      <c r="J4" s="39" t="n">
        <f aca="false">IF(OR(D4="",D4+G4=0),"",D4/(D4+G4))</f>
        <v>0.364485981308411</v>
      </c>
      <c r="K4" s="39" t="n">
        <f aca="false">IF(E4="","",E4/(E4+H4))</f>
        <v>0.317180616740088</v>
      </c>
      <c r="L4" s="52" t="n">
        <f aca="false">IF(OR(K4="",J4=""),"",(J4-K4)*100)</f>
        <v>4.73053645683231</v>
      </c>
      <c r="M4" s="38"/>
    </row>
    <row r="5" customFormat="false" ht="15" hidden="false" customHeight="false" outlineLevel="0" collapsed="false">
      <c r="A5" s="38" t="s">
        <v>86</v>
      </c>
      <c r="B5" s="38" t="s">
        <v>93</v>
      </c>
      <c r="C5" s="38" t="s">
        <v>88</v>
      </c>
      <c r="D5" s="21" t="n">
        <v>475</v>
      </c>
      <c r="E5" s="21" t="n">
        <v>438</v>
      </c>
      <c r="F5" s="51" t="n">
        <f aca="false">IF(E5="","",D5-E5)</f>
        <v>37</v>
      </c>
      <c r="G5" s="21" t="n">
        <v>1095</v>
      </c>
      <c r="H5" s="21" t="n">
        <v>1253</v>
      </c>
      <c r="I5" s="51" t="n">
        <f aca="false">IF(H5="","",G5-H5)</f>
        <v>-158</v>
      </c>
      <c r="J5" s="39" t="n">
        <f aca="false">IF(OR(D5="",D5+G5=0),"",D5/(D5+G5))</f>
        <v>0.302547770700637</v>
      </c>
      <c r="K5" s="39" t="n">
        <f aca="false">IF(E5="","",E5/(E5+H5))</f>
        <v>0.259018332347723</v>
      </c>
      <c r="L5" s="52" t="n">
        <f aca="false">IF(OR(K5="",J5=""),"",(J5-K5)*100)</f>
        <v>4.35294383529137</v>
      </c>
      <c r="M5" s="38"/>
    </row>
    <row r="6" customFormat="false" ht="15" hidden="false" customHeight="false" outlineLevel="0" collapsed="false">
      <c r="A6" s="38" t="s">
        <v>86</v>
      </c>
      <c r="B6" s="38" t="s">
        <v>94</v>
      </c>
      <c r="C6" s="38" t="s">
        <v>88</v>
      </c>
      <c r="D6" s="21" t="n">
        <v>47</v>
      </c>
      <c r="E6" s="21" t="n">
        <v>38</v>
      </c>
      <c r="F6" s="51" t="n">
        <f aca="false">IF(E6="","",D6-E6)</f>
        <v>9</v>
      </c>
      <c r="G6" s="21" t="n">
        <v>74</v>
      </c>
      <c r="H6" s="21" t="n">
        <v>78</v>
      </c>
      <c r="I6" s="51" t="n">
        <f aca="false">IF(H6="","",G6-H6)</f>
        <v>-4</v>
      </c>
      <c r="J6" s="39" t="n">
        <f aca="false">IF(OR(D6="",D6+G6=0),"",D6/(D6+G6))</f>
        <v>0.388429752066116</v>
      </c>
      <c r="K6" s="39" t="n">
        <f aca="false">IF(E6="","",E6/(E6+H6))</f>
        <v>0.327586206896552</v>
      </c>
      <c r="L6" s="52" t="n">
        <f aca="false">IF(OR(K6="",J6=""),"",(J6-K6)*100)</f>
        <v>6.0843545169564</v>
      </c>
      <c r="M6" s="38"/>
    </row>
    <row r="7" customFormat="false" ht="15" hidden="false" customHeight="false" outlineLevel="0" collapsed="false">
      <c r="A7" s="38" t="s">
        <v>86</v>
      </c>
      <c r="B7" s="38" t="s">
        <v>95</v>
      </c>
      <c r="C7" s="38" t="s">
        <v>88</v>
      </c>
      <c r="D7" s="21" t="n">
        <v>738</v>
      </c>
      <c r="E7" s="21" t="n">
        <v>708</v>
      </c>
      <c r="F7" s="51" t="n">
        <f aca="false">IF(E7="","",D7-E7)</f>
        <v>30</v>
      </c>
      <c r="G7" s="21" t="n">
        <v>1721</v>
      </c>
      <c r="H7" s="21" t="n">
        <v>1846</v>
      </c>
      <c r="I7" s="51" t="n">
        <f aca="false">IF(H7="","",G7-H7)</f>
        <v>-125</v>
      </c>
      <c r="J7" s="39" t="n">
        <f aca="false">IF(OR(D7="",D7+G7=0),"",D7/(D7+G7))</f>
        <v>0.300122000813339</v>
      </c>
      <c r="K7" s="39" t="n">
        <f aca="false">IF(E7="","",E7/(E7+H7))</f>
        <v>0.277212216131558</v>
      </c>
      <c r="L7" s="52" t="n">
        <f aca="false">IF(OR(K7="",J7=""),"",(J7-K7)*100)</f>
        <v>2.29097846817804</v>
      </c>
      <c r="M7" s="38"/>
    </row>
    <row r="8" customFormat="false" ht="15" hidden="false" customHeight="false" outlineLevel="0" collapsed="false">
      <c r="A8" s="38" t="s">
        <v>86</v>
      </c>
      <c r="B8" s="38" t="s">
        <v>97</v>
      </c>
      <c r="C8" s="38" t="s">
        <v>88</v>
      </c>
      <c r="D8" s="21" t="n">
        <v>1231</v>
      </c>
      <c r="E8" s="21" t="n">
        <v>1104</v>
      </c>
      <c r="F8" s="51" t="n">
        <f aca="false">IF(E8="","",D8-E8)</f>
        <v>127</v>
      </c>
      <c r="G8" s="21" t="n">
        <v>1346</v>
      </c>
      <c r="H8" s="21" t="n">
        <v>1481</v>
      </c>
      <c r="I8" s="51" t="n">
        <f aca="false">IF(H8="","",G8-H8)</f>
        <v>-135</v>
      </c>
      <c r="J8" s="39" t="n">
        <f aca="false">IF(OR(D8="",D8+G8=0),"",D8/(D8+G8))</f>
        <v>0.477687233216919</v>
      </c>
      <c r="K8" s="39" t="n">
        <f aca="false">IF(E8="","",E8/(E8+H8))</f>
        <v>0.427079303675048</v>
      </c>
      <c r="L8" s="52" t="n">
        <f aca="false">IF(OR(K8="",J8=""),"",(J8-K8)*100)</f>
        <v>5.06079295418705</v>
      </c>
      <c r="M8" s="38"/>
    </row>
    <row r="9" customFormat="false" ht="15" hidden="false" customHeight="false" outlineLevel="0" collapsed="false">
      <c r="A9" s="38" t="s">
        <v>86</v>
      </c>
      <c r="B9" s="38" t="s">
        <v>98</v>
      </c>
      <c r="C9" s="38" t="s">
        <v>88</v>
      </c>
      <c r="D9" s="21" t="n">
        <v>389</v>
      </c>
      <c r="E9" s="21" t="n">
        <v>351</v>
      </c>
      <c r="F9" s="51" t="n">
        <f aca="false">IF(E9="","",D9-E9)</f>
        <v>38</v>
      </c>
      <c r="G9" s="21" t="n">
        <v>712</v>
      </c>
      <c r="H9" s="21" t="n">
        <v>697</v>
      </c>
      <c r="I9" s="51" t="n">
        <f aca="false">IF(H9="","",G9-H9)</f>
        <v>15</v>
      </c>
      <c r="J9" s="39" t="n">
        <f aca="false">IF(OR(D9="",D9+G9=0),"",D9/(D9+G9))</f>
        <v>0.353315168029065</v>
      </c>
      <c r="K9" s="39" t="n">
        <f aca="false">IF(E9="","",E9/(E9+H9))</f>
        <v>0.334923664122137</v>
      </c>
      <c r="L9" s="52" t="n">
        <f aca="false">IF(OR(K9="",J9=""),"",(J9-K9)*100)</f>
        <v>1.83915039069271</v>
      </c>
      <c r="M9" s="38"/>
    </row>
    <row r="10" customFormat="false" ht="15" hidden="false" customHeight="false" outlineLevel="0" collapsed="false">
      <c r="A10" s="38" t="s">
        <v>86</v>
      </c>
      <c r="B10" s="38" t="s">
        <v>99</v>
      </c>
      <c r="C10" s="38" t="s">
        <v>88</v>
      </c>
      <c r="D10" s="21" t="n">
        <v>650</v>
      </c>
      <c r="E10" s="21" t="n">
        <v>575</v>
      </c>
      <c r="F10" s="51" t="n">
        <f aca="false">IF(E10="","",D10-E10)</f>
        <v>75</v>
      </c>
      <c r="G10" s="21" t="n">
        <v>810</v>
      </c>
      <c r="H10" s="21" t="n">
        <v>880</v>
      </c>
      <c r="I10" s="51" t="n">
        <f aca="false">IF(H10="","",G10-H10)</f>
        <v>-70</v>
      </c>
      <c r="J10" s="39" t="n">
        <f aca="false">IF(OR(D10="",D10+G10=0),"",D10/(D10+G10))</f>
        <v>0.445205479452055</v>
      </c>
      <c r="K10" s="39" t="n">
        <f aca="false">IF(E10="","",E10/(E10+H10))</f>
        <v>0.395189003436426</v>
      </c>
      <c r="L10" s="52" t="n">
        <f aca="false">IF(OR(K10="",J10=""),"",(J10-K10)*100)</f>
        <v>5.00164760156287</v>
      </c>
      <c r="M10" s="38"/>
    </row>
    <row r="11" customFormat="false" ht="15" hidden="false" customHeight="false" outlineLevel="0" collapsed="false">
      <c r="A11" s="38" t="s">
        <v>86</v>
      </c>
      <c r="B11" s="38" t="s">
        <v>100</v>
      </c>
      <c r="C11" s="38" t="s">
        <v>88</v>
      </c>
      <c r="D11" s="21" t="n">
        <v>47</v>
      </c>
      <c r="E11" s="21" t="n">
        <v>38</v>
      </c>
      <c r="F11" s="51" t="n">
        <f aca="false">IF(E11="","",D11-E11)</f>
        <v>9</v>
      </c>
      <c r="G11" s="21" t="n">
        <v>94</v>
      </c>
      <c r="H11" s="21" t="n">
        <v>107</v>
      </c>
      <c r="I11" s="51" t="n">
        <f aca="false">IF(H11="","",G11-H11)</f>
        <v>-13</v>
      </c>
      <c r="J11" s="39" t="n">
        <f aca="false">IF(OR(D11="",D11+G11=0),"",D11/(D11+G11))</f>
        <v>0.333333333333333</v>
      </c>
      <c r="K11" s="39" t="n">
        <f aca="false">IF(E11="","",E11/(E11+H11))</f>
        <v>0.262068965517241</v>
      </c>
      <c r="L11" s="52" t="n">
        <f aca="false">IF(OR(K11="",J11=""),"",(J11-K11)*100)</f>
        <v>7.12643678160919</v>
      </c>
      <c r="M11" s="38"/>
    </row>
    <row r="12" customFormat="false" ht="15" hidden="false" customHeight="false" outlineLevel="0" collapsed="false">
      <c r="A12" s="38" t="s">
        <v>86</v>
      </c>
      <c r="B12" s="38" t="s">
        <v>101</v>
      </c>
      <c r="C12" s="38" t="s">
        <v>88</v>
      </c>
      <c r="D12" s="21" t="n">
        <v>62</v>
      </c>
      <c r="E12" s="21" t="n">
        <v>58</v>
      </c>
      <c r="F12" s="51" t="n">
        <f aca="false">IF(E12="","",D12-E12)</f>
        <v>4</v>
      </c>
      <c r="G12" s="21" t="n">
        <v>212</v>
      </c>
      <c r="H12" s="21" t="n">
        <v>216</v>
      </c>
      <c r="I12" s="51" t="n">
        <f aca="false">IF(H12="","",G12-H12)</f>
        <v>-4</v>
      </c>
      <c r="J12" s="39" t="n">
        <f aca="false">IF(OR(D12="",D12+G12=0),"",D12/(D12+G12))</f>
        <v>0.226277372262774</v>
      </c>
      <c r="K12" s="39" t="n">
        <f aca="false">IF(E12="","",E12/(E12+H12))</f>
        <v>0.211678832116788</v>
      </c>
      <c r="L12" s="52" t="n">
        <f aca="false">IF(OR(K12="",J12=""),"",(J12-K12)*100)</f>
        <v>1.45985401459854</v>
      </c>
      <c r="M12" s="38"/>
    </row>
    <row r="13" customFormat="false" ht="15" hidden="false" customHeight="false" outlineLevel="0" collapsed="false">
      <c r="A13" s="38" t="s">
        <v>86</v>
      </c>
      <c r="B13" s="38" t="s">
        <v>102</v>
      </c>
      <c r="C13" s="38" t="s">
        <v>88</v>
      </c>
      <c r="D13" s="21" t="n">
        <v>984</v>
      </c>
      <c r="E13" s="21" t="n">
        <v>944</v>
      </c>
      <c r="F13" s="51" t="n">
        <f aca="false">IF(E13="","",D13-E13)</f>
        <v>40</v>
      </c>
      <c r="G13" s="21" t="n">
        <v>1267</v>
      </c>
      <c r="H13" s="21" t="n">
        <v>1486</v>
      </c>
      <c r="I13" s="51" t="n">
        <f aca="false">IF(H13="","",G13-H13)</f>
        <v>-219</v>
      </c>
      <c r="J13" s="39" t="n">
        <f aca="false">IF(OR(D13="",D13+G13=0),"",D13/(D13+G13))</f>
        <v>0.437139049311417</v>
      </c>
      <c r="K13" s="39" t="n">
        <f aca="false">IF(E13="","",E13/(E13+H13))</f>
        <v>0.388477366255144</v>
      </c>
      <c r="L13" s="52" t="n">
        <f aca="false">IF(OR(K13="",J13=""),"",(J13-K13)*100)</f>
        <v>4.86616830562732</v>
      </c>
      <c r="M13" s="38"/>
    </row>
    <row r="14" customFormat="false" ht="15" hidden="false" customHeight="false" outlineLevel="0" collapsed="false">
      <c r="A14" s="38" t="s">
        <v>86</v>
      </c>
      <c r="B14" s="38" t="s">
        <v>103</v>
      </c>
      <c r="C14" s="38" t="s">
        <v>88</v>
      </c>
      <c r="D14" s="21" t="n">
        <v>556</v>
      </c>
      <c r="E14" s="21" t="n">
        <v>515</v>
      </c>
      <c r="F14" s="51" t="n">
        <f aca="false">IF(E14="","",D14-E14)</f>
        <v>41</v>
      </c>
      <c r="G14" s="21" t="n">
        <v>1097</v>
      </c>
      <c r="H14" s="21" t="n">
        <v>1293</v>
      </c>
      <c r="I14" s="51" t="n">
        <f aca="false">IF(H14="","",G14-H14)</f>
        <v>-196</v>
      </c>
      <c r="J14" s="39" t="n">
        <f aca="false">IF(OR(D14="",D14+G14=0),"",D14/(D14+G14))</f>
        <v>0.336358136721113</v>
      </c>
      <c r="K14" s="39" t="n">
        <f aca="false">IF(E14="","",E14/(E14+H14))</f>
        <v>0.284845132743363</v>
      </c>
      <c r="L14" s="52" t="n">
        <f aca="false">IF(OR(K14="",J14=""),"",(J14-K14)*100)</f>
        <v>5.15130039777503</v>
      </c>
      <c r="M14" s="38"/>
    </row>
    <row r="15" customFormat="false" ht="15" hidden="false" customHeight="false" outlineLevel="0" collapsed="false">
      <c r="A15" s="38" t="s">
        <v>86</v>
      </c>
      <c r="B15" s="38" t="s">
        <v>104</v>
      </c>
      <c r="C15" s="38" t="s">
        <v>88</v>
      </c>
      <c r="D15" s="21" t="n">
        <v>664</v>
      </c>
      <c r="E15" s="21" t="n">
        <v>694</v>
      </c>
      <c r="F15" s="51" t="n">
        <f aca="false">IF(E15="","",D15-E15)</f>
        <v>-30</v>
      </c>
      <c r="G15" s="21" t="n">
        <v>1458</v>
      </c>
      <c r="H15" s="21" t="n">
        <v>1695</v>
      </c>
      <c r="I15" s="51" t="n">
        <f aca="false">IF(H15="","",G15-H15)</f>
        <v>-237</v>
      </c>
      <c r="J15" s="39" t="n">
        <f aca="false">IF(OR(D15="",D15+G15=0),"",D15/(D15+G15))</f>
        <v>0.312912346842601</v>
      </c>
      <c r="K15" s="39" t="n">
        <f aca="false">IF(E15="","",E15/(E15+H15))</f>
        <v>0.290498116366681</v>
      </c>
      <c r="L15" s="52" t="n">
        <f aca="false">IF(OR(K15="",J15=""),"",(J15-K15)*100)</f>
        <v>2.24142304759207</v>
      </c>
      <c r="M15" s="38"/>
    </row>
    <row r="16" customFormat="false" ht="15" hidden="false" customHeight="false" outlineLevel="0" collapsed="false">
      <c r="A16" s="38" t="s">
        <v>86</v>
      </c>
      <c r="B16" s="38" t="s">
        <v>105</v>
      </c>
      <c r="C16" s="38" t="s">
        <v>88</v>
      </c>
      <c r="D16" s="21" t="n">
        <v>641</v>
      </c>
      <c r="E16" s="21" t="n">
        <v>601</v>
      </c>
      <c r="F16" s="51" t="n">
        <f aca="false">IF(E16="","",D16-E16)</f>
        <v>40</v>
      </c>
      <c r="G16" s="21" t="n">
        <v>896</v>
      </c>
      <c r="H16" s="21" t="n">
        <v>955</v>
      </c>
      <c r="I16" s="51" t="n">
        <f aca="false">IF(H16="","",G16-H16)</f>
        <v>-59</v>
      </c>
      <c r="J16" s="39" t="n">
        <f aca="false">IF(OR(D16="",D16+G16=0),"",D16/(D16+G16))</f>
        <v>0.41704619388419</v>
      </c>
      <c r="K16" s="39" t="n">
        <f aca="false">IF(E16="","",E16/(E16+H16))</f>
        <v>0.386246786632391</v>
      </c>
      <c r="L16" s="52" t="n">
        <f aca="false">IF(OR(K16="",J16=""),"",(J16-K16)*100)</f>
        <v>3.07994072517992</v>
      </c>
      <c r="M16" s="38"/>
    </row>
    <row r="17" customFormat="false" ht="15" hidden="false" customHeight="false" outlineLevel="0" collapsed="false">
      <c r="A17" s="38" t="s">
        <v>86</v>
      </c>
      <c r="B17" s="38" t="s">
        <v>106</v>
      </c>
      <c r="C17" s="38" t="s">
        <v>88</v>
      </c>
      <c r="D17" s="21" t="n">
        <v>132</v>
      </c>
      <c r="E17" s="21" t="n">
        <v>134</v>
      </c>
      <c r="F17" s="51" t="n">
        <f aca="false">IF(E17="","",D17-E17)</f>
        <v>-2</v>
      </c>
      <c r="G17" s="21" t="n">
        <v>508</v>
      </c>
      <c r="H17" s="21" t="n">
        <v>505</v>
      </c>
      <c r="I17" s="51" t="n">
        <f aca="false">IF(H17="","",G17-H17)</f>
        <v>3</v>
      </c>
      <c r="J17" s="39" t="n">
        <f aca="false">IF(OR(D17="",D17+G17=0),"",D17/(D17+G17))</f>
        <v>0.20625</v>
      </c>
      <c r="K17" s="39" t="n">
        <f aca="false">IF(E17="","",E17/(E17+H17))</f>
        <v>0.209702660406886</v>
      </c>
      <c r="L17" s="52" t="n">
        <f aca="false">IF(OR(K17="",J17=""),"",(J17-K17)*100)</f>
        <v>-0.345266040688577</v>
      </c>
      <c r="M17" s="38"/>
    </row>
    <row r="18" customFormat="false" ht="15" hidden="false" customHeight="false" outlineLevel="0" collapsed="false">
      <c r="A18" s="38" t="s">
        <v>86</v>
      </c>
      <c r="B18" s="38" t="s">
        <v>107</v>
      </c>
      <c r="C18" s="38" t="s">
        <v>88</v>
      </c>
      <c r="D18" s="21" t="n">
        <v>1041</v>
      </c>
      <c r="E18" s="21" t="n">
        <v>981</v>
      </c>
      <c r="F18" s="51" t="n">
        <f aca="false">IF(E18="","",D18-E18)</f>
        <v>60</v>
      </c>
      <c r="G18" s="21" t="n">
        <v>1498</v>
      </c>
      <c r="H18" s="21" t="n">
        <v>1740</v>
      </c>
      <c r="I18" s="51" t="n">
        <f aca="false">IF(H18="","",G18-H18)</f>
        <v>-242</v>
      </c>
      <c r="J18" s="39" t="n">
        <f aca="false">IF(OR(D18="",D18+G18=0),"",D18/(D18+G18))</f>
        <v>0.410003938558488</v>
      </c>
      <c r="K18" s="39" t="n">
        <f aca="false">IF(E18="","",E18/(E18+H18))</f>
        <v>0.360529217199559</v>
      </c>
      <c r="L18" s="52" t="n">
        <f aca="false">IF(OR(K18="",J18=""),"",(J18-K18)*100)</f>
        <v>4.94747213589286</v>
      </c>
      <c r="M18" s="38"/>
    </row>
    <row r="19" customFormat="false" ht="15" hidden="false" customHeight="false" outlineLevel="0" collapsed="false">
      <c r="A19" s="38" t="s">
        <v>86</v>
      </c>
      <c r="B19" s="38" t="s">
        <v>108</v>
      </c>
      <c r="C19" s="38" t="s">
        <v>88</v>
      </c>
      <c r="D19" s="21" t="n">
        <v>65</v>
      </c>
      <c r="E19" s="21" t="n">
        <v>74</v>
      </c>
      <c r="F19" s="51" t="n">
        <f aca="false">IF(E19="","",D19-E19)</f>
        <v>-9</v>
      </c>
      <c r="G19" s="21" t="n">
        <v>154</v>
      </c>
      <c r="H19" s="21" t="n">
        <v>162</v>
      </c>
      <c r="I19" s="51" t="n">
        <f aca="false">IF(H19="","",G19-H19)</f>
        <v>-8</v>
      </c>
      <c r="J19" s="39" t="n">
        <f aca="false">IF(OR(D19="",D19+G19=0),"",D19/(D19+G19))</f>
        <v>0.296803652968037</v>
      </c>
      <c r="K19" s="39" t="n">
        <f aca="false">IF(E19="","",E19/(E19+H19))</f>
        <v>0.313559322033898</v>
      </c>
      <c r="L19" s="52" t="n">
        <f aca="false">IF(OR(K19="",J19=""),"",(J19-K19)*100)</f>
        <v>-1.67556690658618</v>
      </c>
      <c r="M19" s="38"/>
    </row>
    <row r="20" customFormat="false" ht="15" hidden="false" customHeight="false" outlineLevel="0" collapsed="false">
      <c r="A20" s="38" t="s">
        <v>86</v>
      </c>
      <c r="B20" s="38" t="s">
        <v>109</v>
      </c>
      <c r="C20" s="38" t="s">
        <v>88</v>
      </c>
      <c r="D20" s="21" t="n">
        <v>1996</v>
      </c>
      <c r="E20" s="21" t="n">
        <v>2047</v>
      </c>
      <c r="F20" s="51" t="n">
        <f aca="false">IF(E20="","",D20-E20)</f>
        <v>-51</v>
      </c>
      <c r="G20" s="21" t="n">
        <v>3475</v>
      </c>
      <c r="H20" s="21" t="n">
        <v>3702</v>
      </c>
      <c r="I20" s="51" t="n">
        <f aca="false">IF(H20="","",G20-H20)</f>
        <v>-227</v>
      </c>
      <c r="J20" s="39" t="n">
        <f aca="false">IF(OR(D20="",D20+G20=0),"",D20/(D20+G20))</f>
        <v>0.364832754523853</v>
      </c>
      <c r="K20" s="39" t="n">
        <f aca="false">IF(E20="","",E20/(E20+H20))</f>
        <v>0.356061923812837</v>
      </c>
      <c r="L20" s="52" t="n">
        <f aca="false">IF(OR(K20="",J20=""),"",(J20-K20)*100)</f>
        <v>0.877083071101603</v>
      </c>
      <c r="M20" s="38"/>
    </row>
    <row r="21" customFormat="false" ht="15" hidden="false" customHeight="false" outlineLevel="0" collapsed="false">
      <c r="A21" s="38" t="s">
        <v>86</v>
      </c>
      <c r="B21" s="38" t="s">
        <v>111</v>
      </c>
      <c r="C21" s="38" t="s">
        <v>88</v>
      </c>
      <c r="D21" s="21" t="n">
        <v>731</v>
      </c>
      <c r="E21" s="21" t="n">
        <v>660</v>
      </c>
      <c r="F21" s="51" t="n">
        <f aca="false">IF(E21="","",D21-E21)</f>
        <v>71</v>
      </c>
      <c r="G21" s="21" t="n">
        <v>806</v>
      </c>
      <c r="H21" s="21" t="n">
        <v>913</v>
      </c>
      <c r="I21" s="51" t="n">
        <f aca="false">IF(H21="","",G21-H21)</f>
        <v>-107</v>
      </c>
      <c r="J21" s="39" t="n">
        <f aca="false">IF(OR(D21="",D21+G21=0),"",D21/(D21+G21))</f>
        <v>0.475601821730644</v>
      </c>
      <c r="K21" s="39" t="n">
        <f aca="false">IF(E21="","",E21/(E21+H21))</f>
        <v>0.41958041958042</v>
      </c>
      <c r="L21" s="52" t="n">
        <f aca="false">IF(OR(K21="",J21=""),"",(J21-K21)*100)</f>
        <v>5.60214021502246</v>
      </c>
      <c r="M21" s="38"/>
    </row>
    <row r="22" customFormat="false" ht="15" hidden="false" customHeight="false" outlineLevel="0" collapsed="false">
      <c r="A22" s="38" t="s">
        <v>86</v>
      </c>
      <c r="B22" s="38" t="s">
        <v>112</v>
      </c>
      <c r="C22" s="38" t="s">
        <v>88</v>
      </c>
      <c r="D22" s="21" t="n">
        <v>791</v>
      </c>
      <c r="E22" s="21" t="n">
        <v>802</v>
      </c>
      <c r="F22" s="51" t="n">
        <f aca="false">IF(E22="","",D22-E22)</f>
        <v>-11</v>
      </c>
      <c r="G22" s="21" t="n">
        <v>1824</v>
      </c>
      <c r="H22" s="21" t="n">
        <v>1955</v>
      </c>
      <c r="I22" s="51" t="n">
        <f aca="false">IF(H22="","",G22-H22)</f>
        <v>-131</v>
      </c>
      <c r="J22" s="39" t="n">
        <f aca="false">IF(OR(D22="",D22+G22=0),"",D22/(D22+G22))</f>
        <v>0.302485659655832</v>
      </c>
      <c r="K22" s="39" t="n">
        <f aca="false">IF(E22="","",E22/(E22+H22))</f>
        <v>0.290895901342038</v>
      </c>
      <c r="L22" s="52" t="n">
        <f aca="false">IF(OR(K22="",J22=""),"",(J22-K22)*100)</f>
        <v>1.15897583137933</v>
      </c>
      <c r="M22" s="38"/>
    </row>
    <row r="23" customFormat="false" ht="15" hidden="false" customHeight="false" outlineLevel="0" collapsed="false">
      <c r="A23" s="38" t="s">
        <v>86</v>
      </c>
      <c r="B23" s="38" t="s">
        <v>113</v>
      </c>
      <c r="C23" s="38" t="s">
        <v>88</v>
      </c>
      <c r="D23" s="21" t="n">
        <v>374</v>
      </c>
      <c r="E23" s="21" t="n">
        <v>351</v>
      </c>
      <c r="F23" s="51" t="n">
        <f aca="false">IF(E23="","",D23-E23)</f>
        <v>23</v>
      </c>
      <c r="G23" s="21" t="n">
        <v>847</v>
      </c>
      <c r="H23" s="21" t="n">
        <v>849</v>
      </c>
      <c r="I23" s="51" t="n">
        <f aca="false">IF(H23="","",G23-H23)</f>
        <v>-2</v>
      </c>
      <c r="J23" s="39" t="n">
        <f aca="false">IF(OR(D23="",D23+G23=0),"",D23/(D23+G23))</f>
        <v>0.306306306306306</v>
      </c>
      <c r="K23" s="39" t="n">
        <f aca="false">IF(E23="","",E23/(E23+H23))</f>
        <v>0.2925</v>
      </c>
      <c r="L23" s="52" t="n">
        <f aca="false">IF(OR(K23="",J23=""),"",(J23-K23)*100)</f>
        <v>1.38063063063063</v>
      </c>
      <c r="M23" s="38"/>
    </row>
    <row r="24" customFormat="false" ht="15" hidden="false" customHeight="false" outlineLevel="0" collapsed="false">
      <c r="A24" s="38" t="s">
        <v>86</v>
      </c>
      <c r="B24" s="38" t="s">
        <v>114</v>
      </c>
      <c r="C24" s="38" t="s">
        <v>88</v>
      </c>
      <c r="D24" s="21" t="n">
        <v>68</v>
      </c>
      <c r="E24" s="21" t="n">
        <v>58</v>
      </c>
      <c r="F24" s="51" t="n">
        <f aca="false">IF(E24="","",D24-E24)</f>
        <v>10</v>
      </c>
      <c r="G24" s="21" t="n">
        <v>85</v>
      </c>
      <c r="H24" s="21" t="n">
        <v>105</v>
      </c>
      <c r="I24" s="51" t="n">
        <f aca="false">IF(H24="","",G24-H24)</f>
        <v>-20</v>
      </c>
      <c r="J24" s="39" t="n">
        <f aca="false">IF(OR(D24="",D24+G24=0),"",D24/(D24+G24))</f>
        <v>0.444444444444444</v>
      </c>
      <c r="K24" s="39" t="n">
        <f aca="false">IF(E24="","",E24/(E24+H24))</f>
        <v>0.355828220858896</v>
      </c>
      <c r="L24" s="52" t="n">
        <f aca="false">IF(OR(K24="",J24=""),"",(J24-K24)*100)</f>
        <v>8.86162235855487</v>
      </c>
      <c r="M24" s="38"/>
    </row>
    <row r="25" customFormat="false" ht="15" hidden="false" customHeight="false" outlineLevel="0" collapsed="false">
      <c r="A25" s="38" t="s">
        <v>115</v>
      </c>
      <c r="B25" s="38" t="s">
        <v>116</v>
      </c>
      <c r="C25" s="38" t="s">
        <v>88</v>
      </c>
      <c r="D25" s="21" t="n">
        <v>686</v>
      </c>
      <c r="E25" s="21" t="n">
        <v>601</v>
      </c>
      <c r="F25" s="51" t="n">
        <f aca="false">IF(E25="","",D25-E25)</f>
        <v>85</v>
      </c>
      <c r="G25" s="21" t="n">
        <v>693</v>
      </c>
      <c r="H25" s="21" t="n">
        <v>766</v>
      </c>
      <c r="I25" s="51" t="n">
        <f aca="false">IF(H25="","",G25-H25)</f>
        <v>-73</v>
      </c>
      <c r="J25" s="39" t="n">
        <f aca="false">IF(OR(D25="",D25+G25=0),"",D25/(D25+G25))</f>
        <v>0.49746192893401</v>
      </c>
      <c r="K25" s="39" t="n">
        <f aca="false">IF(E25="","",E25/(E25+H25))</f>
        <v>0.439648866130212</v>
      </c>
      <c r="L25" s="52" t="n">
        <f aca="false">IF(OR(K25="",J25=""),"",(J25-K25)*100)</f>
        <v>5.7813062803798</v>
      </c>
      <c r="M25" s="38"/>
    </row>
    <row r="26" customFormat="false" ht="15" hidden="false" customHeight="false" outlineLevel="0" collapsed="false">
      <c r="A26" s="38" t="s">
        <v>115</v>
      </c>
      <c r="B26" s="38" t="s">
        <v>117</v>
      </c>
      <c r="C26" s="38" t="s">
        <v>88</v>
      </c>
      <c r="D26" s="21" t="n">
        <v>27258</v>
      </c>
      <c r="E26" s="21" t="n">
        <v>26568</v>
      </c>
      <c r="F26" s="51" t="n">
        <f aca="false">IF(E26="","",D26-E26)</f>
        <v>690</v>
      </c>
      <c r="G26" s="21" t="n">
        <v>13632</v>
      </c>
      <c r="H26" s="21" t="n">
        <v>14583</v>
      </c>
      <c r="I26" s="51" t="n">
        <f aca="false">IF(H26="","",G26-H26)</f>
        <v>-951</v>
      </c>
      <c r="J26" s="39" t="n">
        <f aca="false">IF(OR(D26="",D26+G26=0),"",D26/(D26+G26))</f>
        <v>0.666617754952311</v>
      </c>
      <c r="K26" s="39" t="n">
        <f aca="false">IF(E26="","",E26/(E26+H26))</f>
        <v>0.645622220602172</v>
      </c>
      <c r="L26" s="52" t="n">
        <f aca="false">IF(OR(K26="",J26=""),"",(J26-K26)*100)</f>
        <v>2.09955343501387</v>
      </c>
      <c r="M26" s="38"/>
    </row>
    <row r="27" customFormat="false" ht="15" hidden="false" customHeight="false" outlineLevel="0" collapsed="false">
      <c r="A27" s="38" t="s">
        <v>115</v>
      </c>
      <c r="B27" s="38" t="s">
        <v>118</v>
      </c>
      <c r="C27" s="38" t="s">
        <v>88</v>
      </c>
      <c r="D27" s="21" t="n">
        <v>6616</v>
      </c>
      <c r="E27" s="21" t="n">
        <v>6612</v>
      </c>
      <c r="F27" s="51" t="n">
        <f aca="false">IF(E27="","",D27-E27)</f>
        <v>4</v>
      </c>
      <c r="G27" s="21" t="n">
        <v>3643</v>
      </c>
      <c r="H27" s="21" t="n">
        <v>3834</v>
      </c>
      <c r="I27" s="51" t="n">
        <f aca="false">IF(H27="","",G27-H27)</f>
        <v>-191</v>
      </c>
      <c r="J27" s="39" t="n">
        <f aca="false">IF(OR(D27="",D27+G27=0),"",D27/(D27+G27))</f>
        <v>0.644897163466225</v>
      </c>
      <c r="K27" s="39" t="n">
        <f aca="false">IF(E27="","",E27/(E27+H27))</f>
        <v>0.632969557725445</v>
      </c>
      <c r="L27" s="52" t="n">
        <f aca="false">IF(OR(K27="",J27=""),"",(J27-K27)*100)</f>
        <v>1.19276057407797</v>
      </c>
      <c r="M27" s="38"/>
    </row>
    <row r="28" customFormat="false" ht="15" hidden="false" customHeight="false" outlineLevel="0" collapsed="false">
      <c r="A28" s="38" t="s">
        <v>115</v>
      </c>
      <c r="B28" s="38" t="s">
        <v>119</v>
      </c>
      <c r="C28" s="38" t="s">
        <v>88</v>
      </c>
      <c r="D28" s="21" t="n">
        <v>1676</v>
      </c>
      <c r="E28" s="21" t="n">
        <v>1560</v>
      </c>
      <c r="F28" s="51" t="n">
        <f aca="false">IF(E28="","",D28-E28)</f>
        <v>116</v>
      </c>
      <c r="G28" s="21" t="n">
        <v>1402</v>
      </c>
      <c r="H28" s="21" t="n">
        <v>1491</v>
      </c>
      <c r="I28" s="51" t="n">
        <f aca="false">IF(H28="","",G28-H28)</f>
        <v>-89</v>
      </c>
      <c r="J28" s="39" t="n">
        <f aca="false">IF(OR(D28="",D28+G28=0),"",D28/(D28+G28))</f>
        <v>0.544509421702404</v>
      </c>
      <c r="K28" s="39" t="n">
        <f aca="false">IF(E28="","",E28/(E28+H28))</f>
        <v>0.511307767944936</v>
      </c>
      <c r="L28" s="52" t="n">
        <f aca="false">IF(OR(K28="",J28=""),"",(J28-K28)*100)</f>
        <v>3.32016537574681</v>
      </c>
      <c r="M28" s="38"/>
    </row>
    <row r="29" customFormat="false" ht="15" hidden="false" customHeight="false" outlineLevel="0" collapsed="false">
      <c r="A29" s="38" t="s">
        <v>115</v>
      </c>
      <c r="B29" s="38" t="s">
        <v>120</v>
      </c>
      <c r="C29" s="38" t="s">
        <v>88</v>
      </c>
      <c r="D29" s="21" t="n">
        <v>757</v>
      </c>
      <c r="E29" s="21" t="n">
        <v>735</v>
      </c>
      <c r="F29" s="51" t="n">
        <f aca="false">IF(E29="","",D29-E29)</f>
        <v>22</v>
      </c>
      <c r="G29" s="21" t="n">
        <v>738</v>
      </c>
      <c r="H29" s="21" t="n">
        <v>804</v>
      </c>
      <c r="I29" s="51" t="n">
        <f aca="false">IF(H29="","",G29-H29)</f>
        <v>-66</v>
      </c>
      <c r="J29" s="39" t="n">
        <f aca="false">IF(OR(D29="",D29+G29=0),"",D29/(D29+G29))</f>
        <v>0.506354515050167</v>
      </c>
      <c r="K29" s="39" t="n">
        <f aca="false">IF(E29="","",E29/(E29+H29))</f>
        <v>0.477582846003899</v>
      </c>
      <c r="L29" s="52" t="n">
        <f aca="false">IF(OR(K29="",J29=""),"",(J29-K29)*100)</f>
        <v>2.87716690462687</v>
      </c>
      <c r="M29" s="38"/>
    </row>
    <row r="30" customFormat="false" ht="15" hidden="false" customHeight="false" outlineLevel="0" collapsed="false">
      <c r="A30" s="38" t="s">
        <v>115</v>
      </c>
      <c r="B30" s="38" t="s">
        <v>121</v>
      </c>
      <c r="C30" s="38" t="s">
        <v>88</v>
      </c>
      <c r="D30" s="21" t="n">
        <v>933</v>
      </c>
      <c r="E30" s="21" t="n">
        <v>899</v>
      </c>
      <c r="F30" s="51" t="n">
        <f aca="false">IF(E30="","",D30-E30)</f>
        <v>34</v>
      </c>
      <c r="G30" s="21" t="n">
        <v>815</v>
      </c>
      <c r="H30" s="21" t="n">
        <v>898</v>
      </c>
      <c r="I30" s="51" t="n">
        <f aca="false">IF(H30="","",G30-H30)</f>
        <v>-83</v>
      </c>
      <c r="J30" s="39" t="n">
        <f aca="false">IF(OR(D30="",D30+G30=0),"",D30/(D30+G30))</f>
        <v>0.533752860411899</v>
      </c>
      <c r="K30" s="39" t="n">
        <f aca="false">IF(E30="","",E30/(E30+H30))</f>
        <v>0.500278241513634</v>
      </c>
      <c r="L30" s="52" t="n">
        <f aca="false">IF(OR(K30="",J30=""),"",(J30-K30)*100)</f>
        <v>3.34746188982654</v>
      </c>
      <c r="M30" s="38"/>
    </row>
    <row r="31" customFormat="false" ht="15" hidden="false" customHeight="false" outlineLevel="0" collapsed="false">
      <c r="A31" s="38" t="s">
        <v>115</v>
      </c>
      <c r="B31" s="38" t="s">
        <v>122</v>
      </c>
      <c r="C31" s="38" t="s">
        <v>88</v>
      </c>
      <c r="D31" s="21" t="n">
        <v>3544</v>
      </c>
      <c r="E31" s="21" t="n">
        <v>3663</v>
      </c>
      <c r="F31" s="51" t="n">
        <f aca="false">IF(E31="","",D31-E31)</f>
        <v>-119</v>
      </c>
      <c r="G31" s="21" t="n">
        <v>2927</v>
      </c>
      <c r="H31" s="21" t="n">
        <v>3236</v>
      </c>
      <c r="I31" s="51" t="n">
        <f aca="false">IF(H31="","",G31-H31)</f>
        <v>-309</v>
      </c>
      <c r="J31" s="39" t="n">
        <f aca="false">IF(OR(D31="",D31+G31=0),"",D31/(D31+G31))</f>
        <v>0.547674238912069</v>
      </c>
      <c r="K31" s="39" t="n">
        <f aca="false">IF(E31="","",E31/(E31+H31))</f>
        <v>0.530946513987535</v>
      </c>
      <c r="L31" s="52" t="n">
        <f aca="false">IF(OR(K31="",J31=""),"",(J31-K31)*100)</f>
        <v>1.67277249245348</v>
      </c>
      <c r="M31" s="38"/>
    </row>
    <row r="32" customFormat="false" ht="15" hidden="false" customHeight="false" outlineLevel="0" collapsed="false">
      <c r="A32" s="38" t="s">
        <v>115</v>
      </c>
      <c r="B32" s="38" t="s">
        <v>123</v>
      </c>
      <c r="C32" s="38" t="s">
        <v>88</v>
      </c>
      <c r="D32" s="21" t="n">
        <v>1492</v>
      </c>
      <c r="E32" s="21" t="n">
        <v>1433</v>
      </c>
      <c r="F32" s="51" t="n">
        <f aca="false">IF(E32="","",D32-E32)</f>
        <v>59</v>
      </c>
      <c r="G32" s="21" t="n">
        <v>726</v>
      </c>
      <c r="H32" s="21" t="n">
        <v>793</v>
      </c>
      <c r="I32" s="51" t="n">
        <f aca="false">IF(H32="","",G32-H32)</f>
        <v>-67</v>
      </c>
      <c r="J32" s="39" t="n">
        <f aca="false">IF(OR(D32="",D32+G32=0),"",D32/(D32+G32))</f>
        <v>0.672678088367899</v>
      </c>
      <c r="K32" s="39" t="n">
        <f aca="false">IF(E32="","",E32/(E32+H32))</f>
        <v>0.643755615453729</v>
      </c>
      <c r="L32" s="52" t="n">
        <f aca="false">IF(OR(K32="",J32=""),"",(J32-K32)*100)</f>
        <v>2.89224729141704</v>
      </c>
      <c r="M32" s="38"/>
    </row>
    <row r="33" customFormat="false" ht="15" hidden="false" customHeight="false" outlineLevel="0" collapsed="false">
      <c r="A33" s="38" t="s">
        <v>115</v>
      </c>
      <c r="B33" s="38" t="s">
        <v>124</v>
      </c>
      <c r="C33" s="38" t="s">
        <v>88</v>
      </c>
      <c r="D33" s="21" t="n">
        <v>389</v>
      </c>
      <c r="E33" s="21" t="n">
        <v>379</v>
      </c>
      <c r="F33" s="51" t="n">
        <f aca="false">IF(E33="","",D33-E33)</f>
        <v>10</v>
      </c>
      <c r="G33" s="21" t="n">
        <v>320</v>
      </c>
      <c r="H33" s="21" t="n">
        <v>330</v>
      </c>
      <c r="I33" s="51" t="n">
        <f aca="false">IF(H33="","",G33-H33)</f>
        <v>-10</v>
      </c>
      <c r="J33" s="39" t="n">
        <f aca="false">IF(OR(D33="",D33+G33=0),"",D33/(D33+G33))</f>
        <v>0.548660084626234</v>
      </c>
      <c r="K33" s="39" t="n">
        <f aca="false">IF(E33="","",E33/(E33+H33))</f>
        <v>0.534555712270804</v>
      </c>
      <c r="L33" s="52" t="n">
        <f aca="false">IF(OR(K33="",J33=""),"",(J33-K33)*100)</f>
        <v>1.41043723554303</v>
      </c>
      <c r="M33" s="38"/>
    </row>
    <row r="34" customFormat="false" ht="15" hidden="false" customHeight="false" outlineLevel="0" collapsed="false">
      <c r="A34" s="38" t="s">
        <v>115</v>
      </c>
      <c r="B34" s="38" t="s">
        <v>125</v>
      </c>
      <c r="C34" s="38" t="s">
        <v>88</v>
      </c>
      <c r="D34" s="21" t="n">
        <v>650</v>
      </c>
      <c r="E34" s="21" t="n">
        <v>654</v>
      </c>
      <c r="F34" s="51" t="n">
        <f aca="false">IF(E34="","",D34-E34)</f>
        <v>-4</v>
      </c>
      <c r="G34" s="21" t="n">
        <v>1291</v>
      </c>
      <c r="H34" s="21" t="n">
        <v>1439</v>
      </c>
      <c r="I34" s="51" t="n">
        <f aca="false">IF(H34="","",G34-H34)</f>
        <v>-148</v>
      </c>
      <c r="J34" s="39" t="n">
        <f aca="false">IF(OR(D34="",D34+G34=0),"",D34/(D34+G34))</f>
        <v>0.334878928387429</v>
      </c>
      <c r="K34" s="39" t="n">
        <f aca="false">IF(E34="","",E34/(E34+H34))</f>
        <v>0.312470138557095</v>
      </c>
      <c r="L34" s="52" t="n">
        <f aca="false">IF(OR(K34="",J34=""),"",(J34-K34)*100)</f>
        <v>2.24087898303341</v>
      </c>
      <c r="M34" s="38"/>
    </row>
    <row r="35" customFormat="false" ht="15" hidden="false" customHeight="false" outlineLevel="0" collapsed="false">
      <c r="A35" s="38" t="s">
        <v>115</v>
      </c>
      <c r="B35" s="38" t="s">
        <v>126</v>
      </c>
      <c r="C35" s="38" t="s">
        <v>88</v>
      </c>
      <c r="D35" s="21" t="n">
        <v>10254</v>
      </c>
      <c r="E35" s="21" t="n">
        <v>10021</v>
      </c>
      <c r="F35" s="51" t="n">
        <f aca="false">IF(E35="","",D35-E35)</f>
        <v>233</v>
      </c>
      <c r="G35" s="21" t="n">
        <v>9542</v>
      </c>
      <c r="H35" s="21" t="n">
        <v>10199</v>
      </c>
      <c r="I35" s="51" t="n">
        <f aca="false">IF(H35="","",G35-H35)</f>
        <v>-657</v>
      </c>
      <c r="J35" s="39" t="n">
        <f aca="false">IF(OR(D35="",D35+G35=0),"",D35/(D35+G35))</f>
        <v>0.517983430996161</v>
      </c>
      <c r="K35" s="39" t="n">
        <f aca="false">IF(E35="","",E35/(E35+H35))</f>
        <v>0.495598417408506</v>
      </c>
      <c r="L35" s="52" t="n">
        <f aca="false">IF(OR(K35="",J35=""),"",(J35-K35)*100)</f>
        <v>2.23850135876544</v>
      </c>
      <c r="M35" s="38"/>
    </row>
    <row r="36" customFormat="false" ht="15" hidden="false" customHeight="false" outlineLevel="0" collapsed="false">
      <c r="A36" s="38" t="s">
        <v>115</v>
      </c>
      <c r="B36" s="38" t="s">
        <v>127</v>
      </c>
      <c r="C36" s="38" t="s">
        <v>88</v>
      </c>
      <c r="D36" s="21" t="n">
        <v>958</v>
      </c>
      <c r="E36" s="21" t="n">
        <v>985</v>
      </c>
      <c r="F36" s="51" t="n">
        <f aca="false">IF(E36="","",D36-E36)</f>
        <v>-27</v>
      </c>
      <c r="G36" s="21" t="n">
        <v>1558</v>
      </c>
      <c r="H36" s="21" t="n">
        <v>1586</v>
      </c>
      <c r="I36" s="51" t="n">
        <f aca="false">IF(H36="","",G36-H36)</f>
        <v>-28</v>
      </c>
      <c r="J36" s="39" t="n">
        <f aca="false">IF(OR(D36="",D36+G36=0),"",D36/(D36+G36))</f>
        <v>0.380763116057234</v>
      </c>
      <c r="K36" s="39" t="n">
        <f aca="false">IF(E36="","",E36/(E36+H36))</f>
        <v>0.383119408790354</v>
      </c>
      <c r="L36" s="52" t="n">
        <f aca="false">IF(OR(K36="",J36=""),"",(J36-K36)*100)</f>
        <v>-0.235629273312021</v>
      </c>
      <c r="M36" s="38"/>
    </row>
    <row r="37" customFormat="false" ht="15" hidden="false" customHeight="false" outlineLevel="0" collapsed="false">
      <c r="A37" s="38" t="s">
        <v>115</v>
      </c>
      <c r="B37" s="38" t="s">
        <v>128</v>
      </c>
      <c r="C37" s="38" t="s">
        <v>88</v>
      </c>
      <c r="D37" s="21" t="n">
        <v>551</v>
      </c>
      <c r="E37" s="21" t="n">
        <v>543</v>
      </c>
      <c r="F37" s="51" t="n">
        <f aca="false">IF(E37="","",D37-E37)</f>
        <v>8</v>
      </c>
      <c r="G37" s="21" t="n">
        <v>937</v>
      </c>
      <c r="H37" s="21" t="n">
        <v>990</v>
      </c>
      <c r="I37" s="51" t="n">
        <f aca="false">IF(H37="","",G37-H37)</f>
        <v>-53</v>
      </c>
      <c r="J37" s="39" t="n">
        <f aca="false">IF(OR(D37="",D37+G37=0),"",D37/(D37+G37))</f>
        <v>0.370295698924731</v>
      </c>
      <c r="K37" s="39" t="n">
        <f aca="false">IF(E37="","",E37/(E37+H37))</f>
        <v>0.354207436399217</v>
      </c>
      <c r="L37" s="52" t="n">
        <f aca="false">IF(OR(K37="",J37=""),"",(J37-K37)*100)</f>
        <v>1.6088262525514</v>
      </c>
      <c r="M37" s="38"/>
    </row>
    <row r="38" customFormat="false" ht="15" hidden="false" customHeight="false" outlineLevel="0" collapsed="false">
      <c r="A38" s="38" t="s">
        <v>115</v>
      </c>
      <c r="B38" s="38" t="s">
        <v>129</v>
      </c>
      <c r="C38" s="38" t="s">
        <v>88</v>
      </c>
      <c r="D38" s="21" t="n">
        <v>889</v>
      </c>
      <c r="E38" s="21" t="n">
        <v>850</v>
      </c>
      <c r="F38" s="51" t="n">
        <f aca="false">IF(E38="","",D38-E38)</f>
        <v>39</v>
      </c>
      <c r="G38" s="21" t="n">
        <v>1740</v>
      </c>
      <c r="H38" s="21" t="n">
        <v>1856</v>
      </c>
      <c r="I38" s="51" t="n">
        <f aca="false">IF(H38="","",G38-H38)</f>
        <v>-116</v>
      </c>
      <c r="J38" s="39" t="n">
        <f aca="false">IF(OR(D38="",D38+G38=0),"",D38/(D38+G38))</f>
        <v>0.338151388360593</v>
      </c>
      <c r="K38" s="39" t="n">
        <f aca="false">IF(E38="","",E38/(E38+H38))</f>
        <v>0.314116777531412</v>
      </c>
      <c r="L38" s="52" t="n">
        <f aca="false">IF(OR(K38="",J38=""),"",(J38-K38)*100)</f>
        <v>2.40346108291817</v>
      </c>
      <c r="M38" s="38"/>
    </row>
    <row r="39" customFormat="false" ht="15" hidden="false" customHeight="false" outlineLevel="0" collapsed="false">
      <c r="A39" s="38" t="s">
        <v>115</v>
      </c>
      <c r="B39" s="38" t="s">
        <v>130</v>
      </c>
      <c r="C39" s="38" t="s">
        <v>88</v>
      </c>
      <c r="D39" s="21" t="n">
        <v>1002</v>
      </c>
      <c r="E39" s="21" t="n">
        <v>980</v>
      </c>
      <c r="F39" s="51" t="n">
        <f aca="false">IF(E39="","",D39-E39)</f>
        <v>22</v>
      </c>
      <c r="G39" s="21" t="n">
        <v>855</v>
      </c>
      <c r="H39" s="21" t="n">
        <v>872</v>
      </c>
      <c r="I39" s="51" t="n">
        <f aca="false">IF(H39="","",G39-H39)</f>
        <v>-17</v>
      </c>
      <c r="J39" s="39" t="n">
        <f aca="false">IF(OR(D39="",D39+G39=0),"",D39/(D39+G39))</f>
        <v>0.539579967689822</v>
      </c>
      <c r="K39" s="39" t="n">
        <f aca="false">IF(E39="","",E39/(E39+H39))</f>
        <v>0.529157667386609</v>
      </c>
      <c r="L39" s="52" t="n">
        <f aca="false">IF(OR(K39="",J39=""),"",(J39-K39)*100)</f>
        <v>1.04223003032132</v>
      </c>
      <c r="M39" s="38"/>
    </row>
    <row r="40" customFormat="false" ht="15" hidden="false" customHeight="false" outlineLevel="0" collapsed="false">
      <c r="A40" s="38" t="s">
        <v>115</v>
      </c>
      <c r="B40" s="38" t="s">
        <v>131</v>
      </c>
      <c r="C40" s="38" t="s">
        <v>88</v>
      </c>
      <c r="D40" s="21" t="n">
        <v>4126</v>
      </c>
      <c r="E40" s="21" t="n">
        <v>4022</v>
      </c>
      <c r="F40" s="51" t="n">
        <f aca="false">IF(E40="","",D40-E40)</f>
        <v>104</v>
      </c>
      <c r="G40" s="21" t="n">
        <v>5633</v>
      </c>
      <c r="H40" s="21" t="n">
        <v>5915</v>
      </c>
      <c r="I40" s="51" t="n">
        <f aca="false">IF(H40="","",G40-H40)</f>
        <v>-282</v>
      </c>
      <c r="J40" s="39" t="n">
        <f aca="false">IF(OR(D40="",D40+G40=0),"",D40/(D40+G40))</f>
        <v>0.422789220206988</v>
      </c>
      <c r="K40" s="39" t="n">
        <f aca="false">IF(E40="","",E40/(E40+H40))</f>
        <v>0.404749924524504</v>
      </c>
      <c r="L40" s="52" t="n">
        <f aca="false">IF(OR(K40="",J40=""),"",(J40-K40)*100)</f>
        <v>1.80392956824841</v>
      </c>
      <c r="M40" s="38"/>
    </row>
    <row r="41" customFormat="false" ht="15" hidden="false" customHeight="false" outlineLevel="0" collapsed="false">
      <c r="A41" s="38" t="s">
        <v>115</v>
      </c>
      <c r="B41" s="38" t="s">
        <v>132</v>
      </c>
      <c r="C41" s="38" t="s">
        <v>88</v>
      </c>
      <c r="D41" s="21" t="n">
        <v>4206</v>
      </c>
      <c r="E41" s="21" t="n">
        <v>4010</v>
      </c>
      <c r="F41" s="51" t="n">
        <f aca="false">IF(E41="","",D41-E41)</f>
        <v>196</v>
      </c>
      <c r="G41" s="21" t="n">
        <v>3966</v>
      </c>
      <c r="H41" s="21" t="n">
        <v>4104</v>
      </c>
      <c r="I41" s="51" t="n">
        <f aca="false">IF(H41="","",G41-H41)</f>
        <v>-138</v>
      </c>
      <c r="J41" s="39" t="n">
        <f aca="false">IF(OR(D41="",D41+G41=0),"",D41/(D41+G41))</f>
        <v>0.514684287812041</v>
      </c>
      <c r="K41" s="39" t="n">
        <f aca="false">IF(E41="","",E41/(E41+H41))</f>
        <v>0.494207542519103</v>
      </c>
      <c r="L41" s="52" t="n">
        <f aca="false">IF(OR(K41="",J41=""),"",(J41-K41)*100)</f>
        <v>2.04767452929384</v>
      </c>
      <c r="M41" s="38"/>
    </row>
    <row r="42" customFormat="false" ht="15" hidden="false" customHeight="false" outlineLevel="0" collapsed="false">
      <c r="A42" s="38" t="s">
        <v>115</v>
      </c>
      <c r="B42" s="38" t="s">
        <v>133</v>
      </c>
      <c r="C42" s="38" t="s">
        <v>88</v>
      </c>
      <c r="D42" s="21" t="n">
        <v>879</v>
      </c>
      <c r="E42" s="21" t="n">
        <v>800</v>
      </c>
      <c r="F42" s="51" t="n">
        <f aca="false">IF(E42="","",D42-E42)</f>
        <v>79</v>
      </c>
      <c r="G42" s="21" t="n">
        <v>1018</v>
      </c>
      <c r="H42" s="21" t="n">
        <v>1156</v>
      </c>
      <c r="I42" s="51" t="n">
        <f aca="false">IF(H42="","",G42-H42)</f>
        <v>-138</v>
      </c>
      <c r="J42" s="39" t="n">
        <f aca="false">IF(OR(D42="",D42+G42=0),"",D42/(D42+G42))</f>
        <v>0.463363205060622</v>
      </c>
      <c r="K42" s="39" t="n">
        <f aca="false">IF(E42="","",E42/(E42+H42))</f>
        <v>0.408997955010225</v>
      </c>
      <c r="L42" s="52" t="n">
        <f aca="false">IF(OR(K42="",J42=""),"",(J42-K42)*100)</f>
        <v>5.43652500503971</v>
      </c>
      <c r="M42" s="38"/>
    </row>
    <row r="43" customFormat="false" ht="15" hidden="false" customHeight="false" outlineLevel="0" collapsed="false">
      <c r="A43" s="38" t="s">
        <v>115</v>
      </c>
      <c r="B43" s="38" t="s">
        <v>134</v>
      </c>
      <c r="C43" s="38" t="s">
        <v>88</v>
      </c>
      <c r="D43" s="21" t="n">
        <v>6838</v>
      </c>
      <c r="E43" s="21" t="n">
        <v>7019</v>
      </c>
      <c r="F43" s="51" t="n">
        <f aca="false">IF(E43="","",D43-E43)</f>
        <v>-181</v>
      </c>
      <c r="G43" s="21" t="n">
        <v>5686</v>
      </c>
      <c r="H43" s="21" t="n">
        <v>6110</v>
      </c>
      <c r="I43" s="51" t="n">
        <f aca="false">IF(H43="","",G43-H43)</f>
        <v>-424</v>
      </c>
      <c r="J43" s="39" t="n">
        <f aca="false">IF(OR(D43="",D43+G43=0),"",D43/(D43+G43))</f>
        <v>0.545991695943788</v>
      </c>
      <c r="K43" s="39" t="n">
        <f aca="false">IF(E43="","",E43/(E43+H43))</f>
        <v>0.534618021174499</v>
      </c>
      <c r="L43" s="52" t="n">
        <f aca="false">IF(OR(K43="",J43=""),"",(J43-K43)*100)</f>
        <v>1.13736747692887</v>
      </c>
      <c r="M43" s="38"/>
    </row>
    <row r="44" customFormat="false" ht="15" hidden="false" customHeight="false" outlineLevel="0" collapsed="false">
      <c r="A44" s="38" t="s">
        <v>115</v>
      </c>
      <c r="B44" s="38" t="s">
        <v>135</v>
      </c>
      <c r="C44" s="38" t="s">
        <v>88</v>
      </c>
      <c r="D44" s="21" t="n">
        <v>7804</v>
      </c>
      <c r="E44" s="21" t="n">
        <v>8020</v>
      </c>
      <c r="F44" s="51" t="n">
        <f aca="false">IF(E44="","",D44-E44)</f>
        <v>-216</v>
      </c>
      <c r="G44" s="21" t="n">
        <v>6702</v>
      </c>
      <c r="H44" s="21" t="n">
        <v>7607</v>
      </c>
      <c r="I44" s="51" t="n">
        <f aca="false">IF(H44="","",G44-H44)</f>
        <v>-905</v>
      </c>
      <c r="J44" s="39" t="n">
        <f aca="false">IF(OR(D44="",D44+G44=0),"",D44/(D44+G44))</f>
        <v>0.537984282365918</v>
      </c>
      <c r="K44" s="39" t="n">
        <f aca="false">IF(E44="","",E44/(E44+H44))</f>
        <v>0.513214308568503</v>
      </c>
      <c r="L44" s="52" t="n">
        <f aca="false">IF(OR(K44="",J44=""),"",(J44-K44)*100)</f>
        <v>2.47699737974143</v>
      </c>
      <c r="M44" s="38"/>
    </row>
    <row r="45" customFormat="false" ht="15" hidden="false" customHeight="false" outlineLevel="0" collapsed="false">
      <c r="A45" s="38" t="s">
        <v>115</v>
      </c>
      <c r="B45" s="38" t="s">
        <v>136</v>
      </c>
      <c r="C45" s="38" t="s">
        <v>88</v>
      </c>
      <c r="D45" s="21" t="n">
        <v>2360</v>
      </c>
      <c r="E45" s="21" t="n">
        <v>2380</v>
      </c>
      <c r="F45" s="51" t="n">
        <f aca="false">IF(E45="","",D45-E45)</f>
        <v>-20</v>
      </c>
      <c r="G45" s="21" t="n">
        <v>2817</v>
      </c>
      <c r="H45" s="21" t="n">
        <v>3135</v>
      </c>
      <c r="I45" s="51" t="n">
        <f aca="false">IF(H45="","",G45-H45)</f>
        <v>-318</v>
      </c>
      <c r="J45" s="39" t="n">
        <f aca="false">IF(OR(D45="",D45+G45=0),"",D45/(D45+G45))</f>
        <v>0.455862468611165</v>
      </c>
      <c r="K45" s="39" t="n">
        <f aca="false">IF(E45="","",E45/(E45+H45))</f>
        <v>0.43155031731641</v>
      </c>
      <c r="L45" s="52" t="n">
        <f aca="false">IF(OR(K45="",J45=""),"",(J45-K45)*100)</f>
        <v>2.43121512947549</v>
      </c>
      <c r="M45" s="38"/>
    </row>
    <row r="46" customFormat="false" ht="15" hidden="false" customHeight="false" outlineLevel="0" collapsed="false">
      <c r="A46" s="38" t="s">
        <v>115</v>
      </c>
      <c r="B46" s="38" t="s">
        <v>137</v>
      </c>
      <c r="C46" s="38" t="s">
        <v>88</v>
      </c>
      <c r="D46" s="21" t="n">
        <v>5187</v>
      </c>
      <c r="E46" s="21" t="n">
        <v>5462</v>
      </c>
      <c r="F46" s="51" t="n">
        <f aca="false">IF(E46="","",D46-E46)</f>
        <v>-275</v>
      </c>
      <c r="G46" s="21" t="n">
        <v>5131</v>
      </c>
      <c r="H46" s="21" t="n">
        <v>5740</v>
      </c>
      <c r="I46" s="51" t="n">
        <f aca="false">IF(H46="","",G46-H46)</f>
        <v>-609</v>
      </c>
      <c r="J46" s="39" t="n">
        <f aca="false">IF(OR(D46="",D46+G46=0),"",D46/(D46+G46))</f>
        <v>0.502713704206242</v>
      </c>
      <c r="K46" s="39" t="n">
        <f aca="false">IF(E46="","",E46/(E46+H46))</f>
        <v>0.487591501517586</v>
      </c>
      <c r="L46" s="52" t="n">
        <f aca="false">IF(OR(K46="",J46=""),"",(J46-K46)*100)</f>
        <v>1.51222026886554</v>
      </c>
      <c r="M46" s="38"/>
    </row>
    <row r="47" customFormat="false" ht="15" hidden="false" customHeight="false" outlineLevel="0" collapsed="false">
      <c r="A47" s="38" t="s">
        <v>115</v>
      </c>
      <c r="B47" s="38" t="s">
        <v>138</v>
      </c>
      <c r="C47" s="38" t="s">
        <v>88</v>
      </c>
      <c r="D47" s="21" t="n">
        <v>1345</v>
      </c>
      <c r="E47" s="21" t="n">
        <v>1266</v>
      </c>
      <c r="F47" s="51" t="n">
        <f aca="false">IF(E47="","",D47-E47)</f>
        <v>79</v>
      </c>
      <c r="G47" s="21" t="n">
        <v>2464</v>
      </c>
      <c r="H47" s="21" t="n">
        <v>2669</v>
      </c>
      <c r="I47" s="51" t="n">
        <f aca="false">IF(H47="","",G47-H47)</f>
        <v>-205</v>
      </c>
      <c r="J47" s="39" t="n">
        <f aca="false">IF(OR(D47="",D47+G47=0),"",D47/(D47+G47))</f>
        <v>0.353111052769756</v>
      </c>
      <c r="K47" s="39" t="n">
        <f aca="false">IF(E47="","",E47/(E47+H47))</f>
        <v>0.321728081321474</v>
      </c>
      <c r="L47" s="52" t="n">
        <f aca="false">IF(OR(K47="",J47=""),"",(J47-K47)*100)</f>
        <v>3.13829714482819</v>
      </c>
      <c r="M47" s="38"/>
    </row>
    <row r="48" customFormat="false" ht="15" hidden="false" customHeight="false" outlineLevel="0" collapsed="false">
      <c r="A48" s="38" t="s">
        <v>115</v>
      </c>
      <c r="B48" s="38" t="s">
        <v>139</v>
      </c>
      <c r="C48" s="38" t="s">
        <v>88</v>
      </c>
      <c r="D48" s="21" t="n">
        <v>1171</v>
      </c>
      <c r="E48" s="21" t="n">
        <v>1172</v>
      </c>
      <c r="F48" s="51" t="n">
        <f aca="false">IF(E48="","",D48-E48)</f>
        <v>-1</v>
      </c>
      <c r="G48" s="21" t="n">
        <v>2058</v>
      </c>
      <c r="H48" s="21" t="n">
        <v>2201</v>
      </c>
      <c r="I48" s="51" t="n">
        <f aca="false">IF(H48="","",G48-H48)</f>
        <v>-143</v>
      </c>
      <c r="J48" s="39" t="n">
        <f aca="false">IF(OR(D48="",D48+G48=0),"",D48/(D48+G48))</f>
        <v>0.362650975534221</v>
      </c>
      <c r="K48" s="39" t="n">
        <f aca="false">IF(E48="","",E48/(E48+H48))</f>
        <v>0.347465164541951</v>
      </c>
      <c r="L48" s="52" t="n">
        <f aca="false">IF(OR(K48="",J48=""),"",(J48-K48)*100)</f>
        <v>1.51858109922703</v>
      </c>
      <c r="M48" s="38"/>
    </row>
    <row r="49" customFormat="false" ht="15" hidden="false" customHeight="false" outlineLevel="0" collapsed="false">
      <c r="A49" s="38" t="s">
        <v>115</v>
      </c>
      <c r="B49" s="38" t="s">
        <v>140</v>
      </c>
      <c r="C49" s="38" t="s">
        <v>88</v>
      </c>
      <c r="D49" s="21" t="n">
        <v>7682</v>
      </c>
      <c r="E49" s="21" t="n">
        <v>7383</v>
      </c>
      <c r="F49" s="51" t="n">
        <f aca="false">IF(E49="","",D49-E49)</f>
        <v>299</v>
      </c>
      <c r="G49" s="21" t="n">
        <v>6507</v>
      </c>
      <c r="H49" s="21" t="n">
        <v>7036</v>
      </c>
      <c r="I49" s="51" t="n">
        <f aca="false">IF(H49="","",G49-H49)</f>
        <v>-529</v>
      </c>
      <c r="J49" s="39" t="n">
        <f aca="false">IF(OR(D49="",D49+G49=0),"",D49/(D49+G49))</f>
        <v>0.541405313975615</v>
      </c>
      <c r="K49" s="39" t="n">
        <f aca="false">IF(E49="","",E49/(E49+H49))</f>
        <v>0.51203273458631</v>
      </c>
      <c r="L49" s="52" t="n">
        <f aca="false">IF(OR(K49="",J49=""),"",(J49-K49)*100)</f>
        <v>2.93725793893052</v>
      </c>
      <c r="M49" s="38"/>
    </row>
    <row r="50" customFormat="false" ht="15" hidden="false" customHeight="false" outlineLevel="0" collapsed="false">
      <c r="A50" s="38" t="s">
        <v>141</v>
      </c>
      <c r="B50" s="38" t="s">
        <v>142</v>
      </c>
      <c r="C50" s="38" t="s">
        <v>88</v>
      </c>
      <c r="D50" s="21" t="n">
        <v>480</v>
      </c>
      <c r="E50" s="21" t="n">
        <v>471</v>
      </c>
      <c r="F50" s="51" t="n">
        <f aca="false">IF(E50="","",D50-E50)</f>
        <v>9</v>
      </c>
      <c r="G50" s="21" t="n">
        <v>989</v>
      </c>
      <c r="H50" s="21" t="n">
        <v>1124</v>
      </c>
      <c r="I50" s="51" t="n">
        <f aca="false">IF(H50="","",G50-H50)</f>
        <v>-135</v>
      </c>
      <c r="J50" s="39" t="n">
        <f aca="false">IF(OR(D50="",D50+G50=0),"",D50/(D50+G50))</f>
        <v>0.326752893124575</v>
      </c>
      <c r="K50" s="39" t="n">
        <f aca="false">IF(E50="","",E50/(E50+H50))</f>
        <v>0.295297805642633</v>
      </c>
      <c r="L50" s="52" t="n">
        <f aca="false">IF(OR(K50="",J50=""),"",(J50-K50)*100)</f>
        <v>3.14550874819413</v>
      </c>
      <c r="M50" s="38"/>
    </row>
    <row r="51" customFormat="false" ht="15" hidden="false" customHeight="false" outlineLevel="0" collapsed="false">
      <c r="A51" s="38" t="s">
        <v>141</v>
      </c>
      <c r="B51" s="38" t="s">
        <v>143</v>
      </c>
      <c r="C51" s="38" t="s">
        <v>88</v>
      </c>
      <c r="D51" s="21" t="n">
        <v>1356</v>
      </c>
      <c r="E51" s="21" t="n">
        <v>1414</v>
      </c>
      <c r="F51" s="51" t="n">
        <f aca="false">IF(E51="","",D51-E51)</f>
        <v>-58</v>
      </c>
      <c r="G51" s="21" t="n">
        <v>2560</v>
      </c>
      <c r="H51" s="21" t="n">
        <v>2894</v>
      </c>
      <c r="I51" s="51" t="n">
        <f aca="false">IF(H51="","",G51-H51)</f>
        <v>-334</v>
      </c>
      <c r="J51" s="39" t="n">
        <f aca="false">IF(OR(D51="",D51+G51=0),"",D51/(D51+G51))</f>
        <v>0.346271705822268</v>
      </c>
      <c r="K51" s="39" t="n">
        <f aca="false">IF(E51="","",E51/(E51+H51))</f>
        <v>0.328226555246054</v>
      </c>
      <c r="L51" s="52" t="n">
        <f aca="false">IF(OR(K51="",J51=""),"",(J51-K51)*100)</f>
        <v>1.80451505762138</v>
      </c>
      <c r="M51" s="38"/>
    </row>
    <row r="52" customFormat="false" ht="15" hidden="false" customHeight="false" outlineLevel="0" collapsed="false">
      <c r="A52" s="38" t="s">
        <v>141</v>
      </c>
      <c r="B52" s="38" t="s">
        <v>144</v>
      </c>
      <c r="C52" s="38" t="s">
        <v>88</v>
      </c>
      <c r="D52" s="21" t="n">
        <v>1026</v>
      </c>
      <c r="E52" s="21" t="n">
        <v>521</v>
      </c>
      <c r="F52" s="51" t="n">
        <f aca="false">IF(E52="","",D52-E52)</f>
        <v>505</v>
      </c>
      <c r="G52" s="21" t="n">
        <v>1805</v>
      </c>
      <c r="H52" s="21" t="n">
        <v>997</v>
      </c>
      <c r="I52" s="51" t="n">
        <f aca="false">IF(H52="","",G52-H52)</f>
        <v>808</v>
      </c>
      <c r="J52" s="39" t="n">
        <f aca="false">IF(OR(D52="",D52+G52=0),"",D52/(D52+G52))</f>
        <v>0.36241610738255</v>
      </c>
      <c r="K52" s="39" t="n">
        <f aca="false">IF(E52="","",E52/(E52+H52))</f>
        <v>0.343214756258235</v>
      </c>
      <c r="L52" s="52" t="n">
        <f aca="false">IF(OR(K52="",J52=""),"",(J52-K52)*100)</f>
        <v>1.92013511243158</v>
      </c>
      <c r="M52" s="38"/>
    </row>
    <row r="53" customFormat="false" ht="15" hidden="false" customHeight="false" outlineLevel="0" collapsed="false">
      <c r="A53" s="38" t="s">
        <v>145</v>
      </c>
      <c r="B53" s="38" t="s">
        <v>146</v>
      </c>
      <c r="C53" s="38" t="s">
        <v>88</v>
      </c>
      <c r="D53" s="21" t="n">
        <v>1529</v>
      </c>
      <c r="E53" s="21" t="n">
        <v>1511</v>
      </c>
      <c r="F53" s="51" t="n">
        <f aca="false">IF(E53="","",D53-E53)</f>
        <v>18</v>
      </c>
      <c r="G53" s="21" t="n">
        <v>1785</v>
      </c>
      <c r="H53" s="21" t="n">
        <v>2018</v>
      </c>
      <c r="I53" s="51" t="n">
        <f aca="false">IF(H53="","",G53-H53)</f>
        <v>-233</v>
      </c>
      <c r="J53" s="39" t="n">
        <f aca="false">IF(OR(D53="",D53+G53=0),"",D53/(D53+G53))</f>
        <v>0.46137598068799</v>
      </c>
      <c r="K53" s="39" t="n">
        <f aca="false">IF(E53="","",E53/(E53+H53))</f>
        <v>0.428166619438935</v>
      </c>
      <c r="L53" s="52" t="n">
        <f aca="false">IF(OR(K53="",J53=""),"",(J53-K53)*100)</f>
        <v>3.32093612490558</v>
      </c>
      <c r="M53" s="38"/>
    </row>
    <row r="54" customFormat="false" ht="15" hidden="false" customHeight="false" outlineLevel="0" collapsed="false">
      <c r="A54" s="38" t="s">
        <v>145</v>
      </c>
      <c r="B54" s="38" t="s">
        <v>147</v>
      </c>
      <c r="C54" s="38" t="s">
        <v>88</v>
      </c>
      <c r="D54" s="21" t="n">
        <v>1026</v>
      </c>
      <c r="E54" s="21" t="n">
        <v>959</v>
      </c>
      <c r="F54" s="51" t="n">
        <f aca="false">IF(E54="","",D54-E54)</f>
        <v>67</v>
      </c>
      <c r="G54" s="21" t="n">
        <v>1281</v>
      </c>
      <c r="H54" s="21" t="n">
        <v>1364</v>
      </c>
      <c r="I54" s="51" t="n">
        <f aca="false">IF(H54="","",G54-H54)</f>
        <v>-83</v>
      </c>
      <c r="J54" s="39" t="n">
        <f aca="false">IF(OR(D54="",D54+G54=0),"",D54/(D54+G54))</f>
        <v>0.444733420026008</v>
      </c>
      <c r="K54" s="39" t="n">
        <f aca="false">IF(E54="","",E54/(E54+H54))</f>
        <v>0.412828239345674</v>
      </c>
      <c r="L54" s="52" t="n">
        <f aca="false">IF(OR(K54="",J54=""),"",(J54-K54)*100)</f>
        <v>3.19051806803341</v>
      </c>
      <c r="M54" s="38"/>
    </row>
    <row r="55" customFormat="false" ht="15" hidden="false" customHeight="false" outlineLevel="0" collapsed="false">
      <c r="A55" s="38" t="s">
        <v>145</v>
      </c>
      <c r="B55" s="38" t="s">
        <v>148</v>
      </c>
      <c r="C55" s="38" t="s">
        <v>88</v>
      </c>
      <c r="D55" s="21" t="n">
        <v>622</v>
      </c>
      <c r="E55" s="21" t="n">
        <v>623</v>
      </c>
      <c r="F55" s="51" t="n">
        <f aca="false">IF(E55="","",D55-E55)</f>
        <v>-1</v>
      </c>
      <c r="G55" s="21" t="n">
        <v>652</v>
      </c>
      <c r="H55" s="21" t="n">
        <v>726</v>
      </c>
      <c r="I55" s="51" t="n">
        <f aca="false">IF(H55="","",G55-H55)</f>
        <v>-74</v>
      </c>
      <c r="J55" s="39" t="n">
        <f aca="false">IF(OR(D55="",D55+G55=0),"",D55/(D55+G55))</f>
        <v>0.488226059654631</v>
      </c>
      <c r="K55" s="39" t="n">
        <f aca="false">IF(E55="","",E55/(E55+H55))</f>
        <v>0.46182357301705</v>
      </c>
      <c r="L55" s="52" t="n">
        <f aca="false">IF(OR(K55="",J55=""),"",(J55-K55)*100)</f>
        <v>2.64024866375814</v>
      </c>
      <c r="M55" s="38"/>
    </row>
    <row r="56" customFormat="false" ht="15" hidden="false" customHeight="false" outlineLevel="0" collapsed="false">
      <c r="A56" s="38" t="s">
        <v>145</v>
      </c>
      <c r="B56" s="38" t="s">
        <v>118</v>
      </c>
      <c r="C56" s="38" t="s">
        <v>88</v>
      </c>
      <c r="D56" s="21" t="n">
        <v>16602</v>
      </c>
      <c r="E56" s="21" t="n">
        <v>17416</v>
      </c>
      <c r="F56" s="51" t="n">
        <f aca="false">IF(E56="","",D56-E56)</f>
        <v>-814</v>
      </c>
      <c r="G56" s="21" t="n">
        <v>8266</v>
      </c>
      <c r="H56" s="21" t="n">
        <v>8640</v>
      </c>
      <c r="I56" s="51" t="n">
        <f aca="false">IF(H56="","",G56-H56)</f>
        <v>-374</v>
      </c>
      <c r="J56" s="39" t="n">
        <f aca="false">IF(OR(D56="",D56+G56=0),"",D56/(D56+G56))</f>
        <v>0.667604954157954</v>
      </c>
      <c r="K56" s="39" t="n">
        <f aca="false">IF(E56="","",E56/(E56+H56))</f>
        <v>0.668406509057415</v>
      </c>
      <c r="L56" s="52" t="n">
        <f aca="false">IF(OR(K56="",J56=""),"",(J56-K56)*100)</f>
        <v>-0.0801554899460877</v>
      </c>
      <c r="M56" s="38"/>
    </row>
    <row r="57" customFormat="false" ht="15" hidden="false" customHeight="false" outlineLevel="0" collapsed="false">
      <c r="A57" s="38" t="s">
        <v>145</v>
      </c>
      <c r="B57" s="38" t="s">
        <v>149</v>
      </c>
      <c r="C57" s="38" t="s">
        <v>88</v>
      </c>
      <c r="D57" s="21" t="n">
        <v>8412</v>
      </c>
      <c r="E57" s="21" t="n">
        <v>8595</v>
      </c>
      <c r="F57" s="51" t="n">
        <f aca="false">IF(E57="","",D57-E57)</f>
        <v>-183</v>
      </c>
      <c r="G57" s="21" t="n">
        <v>7029</v>
      </c>
      <c r="H57" s="21" t="n">
        <v>7440</v>
      </c>
      <c r="I57" s="51" t="n">
        <f aca="false">IF(H57="","",G57-H57)</f>
        <v>-411</v>
      </c>
      <c r="J57" s="39" t="n">
        <f aca="false">IF(OR(D57="",D57+G57=0),"",D57/(D57+G57))</f>
        <v>0.544783368952788</v>
      </c>
      <c r="K57" s="39" t="n">
        <f aca="false">IF(E57="","",E57/(E57+H57))</f>
        <v>0.536014967259121</v>
      </c>
      <c r="L57" s="52" t="n">
        <f aca="false">IF(OR(K57="",J57=""),"",(J57-K57)*100)</f>
        <v>0.876840169366733</v>
      </c>
      <c r="M57" s="38"/>
    </row>
    <row r="58" customFormat="false" ht="15" hidden="false" customHeight="false" outlineLevel="0" collapsed="false">
      <c r="A58" s="38" t="s">
        <v>145</v>
      </c>
      <c r="B58" s="38" t="s">
        <v>150</v>
      </c>
      <c r="C58" s="38" t="s">
        <v>88</v>
      </c>
      <c r="D58" s="21" t="n">
        <v>2016</v>
      </c>
      <c r="E58" s="21" t="n">
        <v>2169</v>
      </c>
      <c r="F58" s="51" t="n">
        <f aca="false">IF(E58="","",D58-E58)</f>
        <v>-153</v>
      </c>
      <c r="G58" s="21" t="n">
        <v>3357</v>
      </c>
      <c r="H58" s="21" t="n">
        <v>3459</v>
      </c>
      <c r="I58" s="51" t="n">
        <f aca="false">IF(H58="","",G58-H58)</f>
        <v>-102</v>
      </c>
      <c r="J58" s="39" t="n">
        <f aca="false">IF(OR(D58="",D58+G58=0),"",D58/(D58+G58))</f>
        <v>0.375209380234506</v>
      </c>
      <c r="K58" s="39" t="n">
        <f aca="false">IF(E58="","",E58/(E58+H58))</f>
        <v>0.385394456289979</v>
      </c>
      <c r="L58" s="52" t="n">
        <f aca="false">IF(OR(K58="",J58=""),"",(J58-K58)*100)</f>
        <v>-1.01850760554729</v>
      </c>
      <c r="M58" s="38"/>
    </row>
    <row r="59" customFormat="false" ht="15" hidden="false" customHeight="false" outlineLevel="0" collapsed="false">
      <c r="A59" s="38" t="s">
        <v>145</v>
      </c>
      <c r="B59" s="38" t="s">
        <v>151</v>
      </c>
      <c r="C59" s="38" t="s">
        <v>88</v>
      </c>
      <c r="D59" s="21" t="n">
        <v>44</v>
      </c>
      <c r="E59" s="21" t="n">
        <v>40</v>
      </c>
      <c r="F59" s="51" t="n">
        <f aca="false">IF(E59="","",D59-E59)</f>
        <v>4</v>
      </c>
      <c r="G59" s="21" t="n">
        <v>74</v>
      </c>
      <c r="H59" s="21" t="n">
        <v>83</v>
      </c>
      <c r="I59" s="51" t="n">
        <f aca="false">IF(H59="","",G59-H59)</f>
        <v>-9</v>
      </c>
      <c r="J59" s="39" t="n">
        <f aca="false">IF(OR(D59="",D59+G59=0),"",D59/(D59+G59))</f>
        <v>0.372881355932203</v>
      </c>
      <c r="K59" s="39" t="n">
        <f aca="false">IF(E59="","",E59/(E59+H59))</f>
        <v>0.32520325203252</v>
      </c>
      <c r="L59" s="52" t="n">
        <f aca="false">IF(OR(K59="",J59=""),"",(J59-K59)*100)</f>
        <v>4.76781038996831</v>
      </c>
      <c r="M59" s="38"/>
    </row>
    <row r="60" customFormat="false" ht="15" hidden="false" customHeight="false" outlineLevel="0" collapsed="false">
      <c r="A60" s="38" t="s">
        <v>145</v>
      </c>
      <c r="B60" s="38" t="s">
        <v>152</v>
      </c>
      <c r="C60" s="38" t="s">
        <v>88</v>
      </c>
      <c r="D60" s="21" t="n">
        <v>1323</v>
      </c>
      <c r="E60" s="21" t="n">
        <v>1484</v>
      </c>
      <c r="F60" s="51" t="n">
        <f aca="false">IF(E60="","",D60-E60)</f>
        <v>-161</v>
      </c>
      <c r="G60" s="21" t="n">
        <v>1676</v>
      </c>
      <c r="H60" s="21" t="n">
        <v>1959</v>
      </c>
      <c r="I60" s="51" t="n">
        <f aca="false">IF(H60="","",G60-H60)</f>
        <v>-283</v>
      </c>
      <c r="J60" s="39" t="n">
        <f aca="false">IF(OR(D60="",D60+G60=0),"",D60/(D60+G60))</f>
        <v>0.441147049016339</v>
      </c>
      <c r="K60" s="39" t="n">
        <f aca="false">IF(E60="","",E60/(E60+H60))</f>
        <v>0.431019459773453</v>
      </c>
      <c r="L60" s="52" t="n">
        <f aca="false">IF(OR(K60="",J60=""),"",(J60-K60)*100)</f>
        <v>1.01275892428854</v>
      </c>
      <c r="M60" s="38"/>
    </row>
    <row r="61" customFormat="false" ht="15" hidden="false" customHeight="false" outlineLevel="0" collapsed="false">
      <c r="A61" s="38" t="s">
        <v>145</v>
      </c>
      <c r="B61" s="38" t="s">
        <v>153</v>
      </c>
      <c r="C61" s="38" t="s">
        <v>88</v>
      </c>
      <c r="D61" s="21" t="n">
        <v>198</v>
      </c>
      <c r="E61" s="21" t="n">
        <v>217</v>
      </c>
      <c r="F61" s="51" t="n">
        <f aca="false">IF(E61="","",D61-E61)</f>
        <v>-19</v>
      </c>
      <c r="G61" s="21" t="n">
        <v>300</v>
      </c>
      <c r="H61" s="21" t="n">
        <v>309</v>
      </c>
      <c r="I61" s="51" t="n">
        <f aca="false">IF(H61="","",G61-H61)</f>
        <v>-9</v>
      </c>
      <c r="J61" s="39" t="n">
        <f aca="false">IF(OR(D61="",D61+G61=0),"",D61/(D61+G61))</f>
        <v>0.397590361445783</v>
      </c>
      <c r="K61" s="39" t="n">
        <f aca="false">IF(E61="","",E61/(E61+H61))</f>
        <v>0.41254752851711</v>
      </c>
      <c r="L61" s="52" t="n">
        <f aca="false">IF(OR(K61="",J61=""),"",(J61-K61)*100)</f>
        <v>-1.49571670713271</v>
      </c>
      <c r="M61" s="38"/>
    </row>
    <row r="62" customFormat="false" ht="15" hidden="false" customHeight="false" outlineLevel="0" collapsed="false">
      <c r="A62" s="38" t="s">
        <v>145</v>
      </c>
      <c r="B62" s="38" t="s">
        <v>154</v>
      </c>
      <c r="C62" s="38" t="s">
        <v>88</v>
      </c>
      <c r="D62" s="21" t="n">
        <v>7085</v>
      </c>
      <c r="E62" s="21" t="n">
        <v>7604</v>
      </c>
      <c r="F62" s="51" t="n">
        <f aca="false">IF(E62="","",D62-E62)</f>
        <v>-519</v>
      </c>
      <c r="G62" s="21" t="n">
        <v>2963</v>
      </c>
      <c r="H62" s="21" t="n">
        <v>3303</v>
      </c>
      <c r="I62" s="51" t="n">
        <f aca="false">IF(H62="","",G62-H62)</f>
        <v>-340</v>
      </c>
      <c r="J62" s="39" t="n">
        <f aca="false">IF(OR(D62="",D62+G62=0),"",D62/(D62+G62))</f>
        <v>0.705115445859873</v>
      </c>
      <c r="K62" s="39" t="n">
        <f aca="false">IF(E62="","",E62/(E62+H62))</f>
        <v>0.697166957000092</v>
      </c>
      <c r="L62" s="52" t="n">
        <f aca="false">IF(OR(K62="",J62=""),"",(J62-K62)*100)</f>
        <v>0.794848885978094</v>
      </c>
      <c r="M62" s="38"/>
    </row>
    <row r="63" customFormat="false" ht="15" hidden="false" customHeight="false" outlineLevel="0" collapsed="false">
      <c r="A63" s="38" t="s">
        <v>145</v>
      </c>
      <c r="B63" s="38" t="s">
        <v>155</v>
      </c>
      <c r="C63" s="38" t="s">
        <v>88</v>
      </c>
      <c r="D63" s="21" t="n">
        <v>5333</v>
      </c>
      <c r="E63" s="21" t="n">
        <v>5358</v>
      </c>
      <c r="F63" s="51" t="n">
        <f aca="false">IF(E63="","",D63-E63)</f>
        <v>-25</v>
      </c>
      <c r="G63" s="21" t="n">
        <v>4520</v>
      </c>
      <c r="H63" s="21" t="n">
        <v>5027</v>
      </c>
      <c r="I63" s="51" t="n">
        <f aca="false">IF(H63="","",G63-H63)</f>
        <v>-507</v>
      </c>
      <c r="J63" s="39" t="n">
        <f aca="false">IF(OR(D63="",D63+G63=0),"",D63/(D63+G63))</f>
        <v>0.541256470110626</v>
      </c>
      <c r="K63" s="39" t="n">
        <f aca="false">IF(E63="","",E63/(E63+H63))</f>
        <v>0.515936446798267</v>
      </c>
      <c r="L63" s="52" t="n">
        <f aca="false">IF(OR(K63="",J63=""),"",(J63-K63)*100)</f>
        <v>2.53200233123594</v>
      </c>
      <c r="M63" s="38"/>
    </row>
    <row r="64" customFormat="false" ht="15" hidden="false" customHeight="false" outlineLevel="0" collapsed="false">
      <c r="A64" s="38" t="s">
        <v>145</v>
      </c>
      <c r="B64" s="38" t="s">
        <v>156</v>
      </c>
      <c r="C64" s="38" t="s">
        <v>88</v>
      </c>
      <c r="D64" s="21" t="n">
        <v>723</v>
      </c>
      <c r="E64" s="21" t="n">
        <v>714</v>
      </c>
      <c r="F64" s="51" t="n">
        <f aca="false">IF(E64="","",D64-E64)</f>
        <v>9</v>
      </c>
      <c r="G64" s="21" t="n">
        <v>505</v>
      </c>
      <c r="H64" s="21" t="n">
        <v>484</v>
      </c>
      <c r="I64" s="51" t="n">
        <f aca="false">IF(H64="","",G64-H64)</f>
        <v>21</v>
      </c>
      <c r="J64" s="39" t="n">
        <f aca="false">IF(OR(D64="",D64+G64=0),"",D64/(D64+G64))</f>
        <v>0.588762214983713</v>
      </c>
      <c r="K64" s="39" t="n">
        <f aca="false">IF(E64="","",E64/(E64+H64))</f>
        <v>0.595993322203673</v>
      </c>
      <c r="L64" s="52" t="n">
        <f aca="false">IF(OR(K64="",J64=""),"",(J64-K64)*100)</f>
        <v>-0.723110721995934</v>
      </c>
      <c r="M64" s="38"/>
    </row>
    <row r="65" customFormat="false" ht="15" hidden="false" customHeight="false" outlineLevel="0" collapsed="false">
      <c r="A65" s="38" t="s">
        <v>145</v>
      </c>
      <c r="B65" s="38" t="s">
        <v>157</v>
      </c>
      <c r="C65" s="38" t="s">
        <v>88</v>
      </c>
      <c r="D65" s="21" t="n">
        <v>106</v>
      </c>
      <c r="E65" s="21" t="n">
        <v>109</v>
      </c>
      <c r="F65" s="51" t="n">
        <f aca="false">IF(E65="","",D65-E65)</f>
        <v>-3</v>
      </c>
      <c r="G65" s="21" t="n">
        <v>95</v>
      </c>
      <c r="H65" s="21" t="n">
        <v>97</v>
      </c>
      <c r="I65" s="51" t="n">
        <f aca="false">IF(H65="","",G65-H65)</f>
        <v>-2</v>
      </c>
      <c r="J65" s="39" t="n">
        <f aca="false">IF(OR(D65="",D65+G65=0),"",D65/(D65+G65))</f>
        <v>0.527363184079602</v>
      </c>
      <c r="K65" s="39" t="n">
        <f aca="false">IF(E65="","",E65/(E65+H65))</f>
        <v>0.529126213592233</v>
      </c>
      <c r="L65" s="52" t="n">
        <f aca="false">IF(OR(K65="",J65=""),"",(J65-K65)*100)</f>
        <v>-0.176302951263096</v>
      </c>
      <c r="M65" s="38"/>
    </row>
    <row r="66" customFormat="false" ht="15" hidden="false" customHeight="false" outlineLevel="0" collapsed="false">
      <c r="A66" s="38" t="s">
        <v>145</v>
      </c>
      <c r="B66" s="38" t="s">
        <v>124</v>
      </c>
      <c r="C66" s="38" t="s">
        <v>88</v>
      </c>
      <c r="D66" s="21" t="n">
        <v>4334</v>
      </c>
      <c r="E66" s="21" t="n">
        <v>4341</v>
      </c>
      <c r="F66" s="51" t="n">
        <f aca="false">IF(E66="","",D66-E66)</f>
        <v>-7</v>
      </c>
      <c r="G66" s="21" t="n">
        <v>3599</v>
      </c>
      <c r="H66" s="21" t="n">
        <v>3620</v>
      </c>
      <c r="I66" s="51" t="n">
        <f aca="false">IF(H66="","",G66-H66)</f>
        <v>-21</v>
      </c>
      <c r="J66" s="39" t="n">
        <f aca="false">IF(OR(D66="",D66+G66=0),"",D66/(D66+G66))</f>
        <v>0.54632547586033</v>
      </c>
      <c r="K66" s="39" t="n">
        <f aca="false">IF(E66="","",E66/(E66+H66))</f>
        <v>0.545283255872378</v>
      </c>
      <c r="L66" s="52" t="n">
        <f aca="false">IF(OR(K66="",J66=""),"",(J66-K66)*100)</f>
        <v>0.104221998795251</v>
      </c>
      <c r="M66" s="38"/>
    </row>
    <row r="67" customFormat="false" ht="15" hidden="false" customHeight="false" outlineLevel="0" collapsed="false">
      <c r="A67" s="38" t="s">
        <v>145</v>
      </c>
      <c r="B67" s="38" t="s">
        <v>158</v>
      </c>
      <c r="C67" s="38" t="s">
        <v>88</v>
      </c>
      <c r="D67" s="21" t="n">
        <v>1753</v>
      </c>
      <c r="E67" s="21" t="n">
        <v>1726</v>
      </c>
      <c r="F67" s="51" t="n">
        <f aca="false">IF(E67="","",D67-E67)</f>
        <v>27</v>
      </c>
      <c r="G67" s="21" t="n">
        <v>1501</v>
      </c>
      <c r="H67" s="21" t="n">
        <v>1685</v>
      </c>
      <c r="I67" s="51" t="n">
        <f aca="false">IF(H67="","",G67-H67)</f>
        <v>-184</v>
      </c>
      <c r="J67" s="39" t="n">
        <f aca="false">IF(OR(D67="",D67+G67=0),"",D67/(D67+G67))</f>
        <v>0.538721573448064</v>
      </c>
      <c r="K67" s="39" t="n">
        <f aca="false">IF(E67="","",E67/(E67+H67))</f>
        <v>0.506009967751393</v>
      </c>
      <c r="L67" s="52" t="n">
        <f aca="false">IF(OR(K67="",J67=""),"",(J67-K67)*100)</f>
        <v>3.27116056966714</v>
      </c>
      <c r="M67" s="38"/>
    </row>
    <row r="68" customFormat="false" ht="15" hidden="false" customHeight="false" outlineLevel="0" collapsed="false">
      <c r="A68" s="38" t="s">
        <v>145</v>
      </c>
      <c r="B68" s="38" t="s">
        <v>159</v>
      </c>
      <c r="C68" s="38" t="s">
        <v>88</v>
      </c>
      <c r="D68" s="21" t="n">
        <v>2252</v>
      </c>
      <c r="E68" s="21" t="n">
        <v>2244</v>
      </c>
      <c r="F68" s="51" t="n">
        <f aca="false">IF(E68="","",D68-E68)</f>
        <v>8</v>
      </c>
      <c r="G68" s="21" t="n">
        <v>4143</v>
      </c>
      <c r="H68" s="21" t="n">
        <v>4439</v>
      </c>
      <c r="I68" s="51" t="n">
        <f aca="false">IF(H68="","",G68-H68)</f>
        <v>-296</v>
      </c>
      <c r="J68" s="39" t="n">
        <f aca="false">IF(OR(D68="",D68+G68=0),"",D68/(D68+G68))</f>
        <v>0.352150117279124</v>
      </c>
      <c r="K68" s="39" t="n">
        <f aca="false">IF(E68="","",E68/(E68+H68))</f>
        <v>0.335777345503516</v>
      </c>
      <c r="L68" s="52" t="n">
        <f aca="false">IF(OR(K68="",J68=""),"",(J68-K68)*100)</f>
        <v>1.63727717756079</v>
      </c>
      <c r="M68" s="38"/>
    </row>
    <row r="69" customFormat="false" ht="15" hidden="false" customHeight="false" outlineLevel="0" collapsed="false">
      <c r="A69" s="38" t="s">
        <v>145</v>
      </c>
      <c r="B69" s="38" t="s">
        <v>160</v>
      </c>
      <c r="C69" s="38" t="s">
        <v>88</v>
      </c>
      <c r="D69" s="21" t="n">
        <v>634</v>
      </c>
      <c r="E69" s="21" t="n">
        <v>625</v>
      </c>
      <c r="F69" s="51" t="n">
        <f aca="false">IF(E69="","",D69-E69)</f>
        <v>9</v>
      </c>
      <c r="G69" s="21" t="n">
        <v>1105</v>
      </c>
      <c r="H69" s="21" t="n">
        <v>1214</v>
      </c>
      <c r="I69" s="51" t="n">
        <f aca="false">IF(H69="","",G69-H69)</f>
        <v>-109</v>
      </c>
      <c r="J69" s="39" t="n">
        <f aca="false">IF(OR(D69="",D69+G69=0),"",D69/(D69+G69))</f>
        <v>0.364577343300748</v>
      </c>
      <c r="K69" s="39" t="n">
        <f aca="false">IF(E69="","",E69/(E69+H69))</f>
        <v>0.339858618814573</v>
      </c>
      <c r="L69" s="52" t="n">
        <f aca="false">IF(OR(K69="",J69=""),"",(J69-K69)*100)</f>
        <v>2.47187244861744</v>
      </c>
      <c r="M69" s="38"/>
    </row>
    <row r="70" customFormat="false" ht="15" hidden="false" customHeight="false" outlineLevel="0" collapsed="false">
      <c r="A70" s="38" t="s">
        <v>145</v>
      </c>
      <c r="B70" s="38" t="s">
        <v>161</v>
      </c>
      <c r="C70" s="38" t="s">
        <v>88</v>
      </c>
      <c r="D70" s="21" t="n">
        <v>1941</v>
      </c>
      <c r="E70" s="21" t="n">
        <v>2047</v>
      </c>
      <c r="F70" s="51" t="n">
        <f aca="false">IF(E70="","",D70-E70)</f>
        <v>-106</v>
      </c>
      <c r="G70" s="21" t="n">
        <v>2503</v>
      </c>
      <c r="H70" s="21" t="n">
        <v>2499</v>
      </c>
      <c r="I70" s="51" t="n">
        <f aca="false">IF(H70="","",G70-H70)</f>
        <v>4</v>
      </c>
      <c r="J70" s="39" t="n">
        <f aca="false">IF(OR(D70="",D70+G70=0),"",D70/(D70+G70))</f>
        <v>0.436768676867687</v>
      </c>
      <c r="K70" s="39" t="n">
        <f aca="false">IF(E70="","",E70/(E70+H70))</f>
        <v>0.450285965684118</v>
      </c>
      <c r="L70" s="52" t="n">
        <f aca="false">IF(OR(K70="",J70=""),"",(J70-K70)*100)</f>
        <v>-1.35172888164311</v>
      </c>
      <c r="M70" s="38"/>
    </row>
    <row r="71" customFormat="false" ht="15" hidden="false" customHeight="false" outlineLevel="0" collapsed="false">
      <c r="A71" s="38" t="s">
        <v>145</v>
      </c>
      <c r="B71" s="38" t="s">
        <v>162</v>
      </c>
      <c r="C71" s="38" t="s">
        <v>88</v>
      </c>
      <c r="D71" s="21" t="n">
        <v>3627</v>
      </c>
      <c r="E71" s="21" t="n">
        <v>3457</v>
      </c>
      <c r="F71" s="51" t="n">
        <f aca="false">IF(E71="","",D71-E71)</f>
        <v>170</v>
      </c>
      <c r="G71" s="21" t="n">
        <v>3574</v>
      </c>
      <c r="H71" s="21" t="n">
        <v>3805</v>
      </c>
      <c r="I71" s="51" t="n">
        <f aca="false">IF(H71="","",G71-H71)</f>
        <v>-231</v>
      </c>
      <c r="J71" s="39" t="n">
        <f aca="false">IF(OR(D71="",D71+G71=0),"",D71/(D71+G71))</f>
        <v>0.503680044438272</v>
      </c>
      <c r="K71" s="39" t="n">
        <f aca="false">IF(E71="","",E71/(E71+H71))</f>
        <v>0.476039658496282</v>
      </c>
      <c r="L71" s="52" t="n">
        <f aca="false">IF(OR(K71="",J71=""),"",(J71-K71)*100)</f>
        <v>2.76403859419904</v>
      </c>
      <c r="M71" s="38"/>
    </row>
    <row r="72" customFormat="false" ht="15" hidden="false" customHeight="false" outlineLevel="0" collapsed="false">
      <c r="A72" s="38" t="s">
        <v>145</v>
      </c>
      <c r="B72" s="38" t="s">
        <v>163</v>
      </c>
      <c r="C72" s="38" t="s">
        <v>88</v>
      </c>
      <c r="D72" s="21" t="n">
        <v>2045</v>
      </c>
      <c r="E72" s="21" t="n">
        <v>2006</v>
      </c>
      <c r="F72" s="51" t="n">
        <f aca="false">IF(E72="","",D72-E72)</f>
        <v>39</v>
      </c>
      <c r="G72" s="21" t="n">
        <v>3740</v>
      </c>
      <c r="H72" s="21" t="n">
        <v>4057</v>
      </c>
      <c r="I72" s="51" t="n">
        <f aca="false">IF(H72="","",G72-H72)</f>
        <v>-317</v>
      </c>
      <c r="J72" s="39" t="n">
        <f aca="false">IF(OR(D72="",D72+G72=0),"",D72/(D72+G72))</f>
        <v>0.353500432152118</v>
      </c>
      <c r="K72" s="39" t="n">
        <f aca="false">IF(E72="","",E72/(E72+H72))</f>
        <v>0.330859310572324</v>
      </c>
      <c r="L72" s="52" t="n">
        <f aca="false">IF(OR(K72="",J72=""),"",(J72-K72)*100)</f>
        <v>2.26411215797936</v>
      </c>
      <c r="M72" s="38"/>
    </row>
    <row r="73" customFormat="false" ht="15" hidden="false" customHeight="false" outlineLevel="0" collapsed="false">
      <c r="A73" s="38" t="s">
        <v>145</v>
      </c>
      <c r="B73" s="38" t="s">
        <v>164</v>
      </c>
      <c r="C73" s="38" t="s">
        <v>88</v>
      </c>
      <c r="D73" s="21" t="n">
        <v>1608</v>
      </c>
      <c r="E73" s="21" t="n">
        <v>1596</v>
      </c>
      <c r="F73" s="51" t="n">
        <f aca="false">IF(E73="","",D73-E73)</f>
        <v>12</v>
      </c>
      <c r="G73" s="21" t="n">
        <v>1509</v>
      </c>
      <c r="H73" s="21" t="n">
        <v>1664</v>
      </c>
      <c r="I73" s="51" t="n">
        <f aca="false">IF(H73="","",G73-H73)</f>
        <v>-155</v>
      </c>
      <c r="J73" s="39" t="n">
        <f aca="false">IF(OR(D73="",D73+G73=0),"",D73/(D73+G73))</f>
        <v>0.515880654475457</v>
      </c>
      <c r="K73" s="39" t="n">
        <f aca="false">IF(E73="","",E73/(E73+H73))</f>
        <v>0.489570552147239</v>
      </c>
      <c r="L73" s="52" t="n">
        <f aca="false">IF(OR(K73="",J73=""),"",(J73-K73)*100)</f>
        <v>2.63101023282179</v>
      </c>
      <c r="M73" s="38"/>
    </row>
    <row r="74" customFormat="false" ht="15" hidden="false" customHeight="false" outlineLevel="0" collapsed="false">
      <c r="A74" s="38" t="s">
        <v>145</v>
      </c>
      <c r="B74" s="38" t="s">
        <v>165</v>
      </c>
      <c r="C74" s="38" t="s">
        <v>88</v>
      </c>
      <c r="D74" s="21" t="n">
        <v>808</v>
      </c>
      <c r="E74" s="21" t="n">
        <v>847</v>
      </c>
      <c r="F74" s="51" t="n">
        <f aca="false">IF(E74="","",D74-E74)</f>
        <v>-39</v>
      </c>
      <c r="G74" s="21" t="n">
        <v>766</v>
      </c>
      <c r="H74" s="21" t="n">
        <v>889</v>
      </c>
      <c r="I74" s="51" t="n">
        <f aca="false">IF(H74="","",G74-H74)</f>
        <v>-123</v>
      </c>
      <c r="J74" s="39" t="n">
        <f aca="false">IF(OR(D74="",D74+G74=0),"",D74/(D74+G74))</f>
        <v>0.513341804320203</v>
      </c>
      <c r="K74" s="39" t="n">
        <f aca="false">IF(E74="","",E74/(E74+H74))</f>
        <v>0.487903225806452</v>
      </c>
      <c r="L74" s="52" t="n">
        <f aca="false">IF(OR(K74="",J74=""),"",(J74-K74)*100)</f>
        <v>2.54385785137516</v>
      </c>
      <c r="M74" s="38"/>
    </row>
    <row r="75" customFormat="false" ht="15" hidden="false" customHeight="false" outlineLevel="0" collapsed="false">
      <c r="A75" s="38" t="s">
        <v>145</v>
      </c>
      <c r="B75" s="38" t="s">
        <v>166</v>
      </c>
      <c r="C75" s="38" t="s">
        <v>88</v>
      </c>
      <c r="D75" s="21" t="n">
        <v>2640</v>
      </c>
      <c r="E75" s="21" t="n">
        <v>2573</v>
      </c>
      <c r="F75" s="51" t="n">
        <f aca="false">IF(E75="","",D75-E75)</f>
        <v>67</v>
      </c>
      <c r="G75" s="21" t="n">
        <v>2649</v>
      </c>
      <c r="H75" s="21" t="n">
        <v>3023</v>
      </c>
      <c r="I75" s="51" t="n">
        <f aca="false">IF(H75="","",G75-H75)</f>
        <v>-374</v>
      </c>
      <c r="J75" s="39" t="n">
        <f aca="false">IF(OR(D75="",D75+G75=0),"",D75/(D75+G75))</f>
        <v>0.499149177538287</v>
      </c>
      <c r="K75" s="39" t="n">
        <f aca="false">IF(E75="","",E75/(E75+H75))</f>
        <v>0.459792709077913</v>
      </c>
      <c r="L75" s="52" t="n">
        <f aca="false">IF(OR(K75="",J75=""),"",(J75-K75)*100)</f>
        <v>3.93564684603742</v>
      </c>
      <c r="M75" s="38"/>
    </row>
    <row r="76" customFormat="false" ht="15" hidden="false" customHeight="false" outlineLevel="0" collapsed="false">
      <c r="A76" s="38" t="s">
        <v>145</v>
      </c>
      <c r="B76" s="38" t="s">
        <v>167</v>
      </c>
      <c r="C76" s="38" t="s">
        <v>88</v>
      </c>
      <c r="D76" s="21" t="n">
        <v>7205</v>
      </c>
      <c r="E76" s="21" t="n">
        <v>6974</v>
      </c>
      <c r="F76" s="51" t="n">
        <f aca="false">IF(E76="","",D76-E76)</f>
        <v>231</v>
      </c>
      <c r="G76" s="21" t="n">
        <v>6123</v>
      </c>
      <c r="H76" s="21" t="n">
        <v>6736</v>
      </c>
      <c r="I76" s="51" t="n">
        <f aca="false">IF(H76="","",G76-H76)</f>
        <v>-613</v>
      </c>
      <c r="J76" s="39" t="n">
        <f aca="false">IF(OR(D76="",D76+G76=0),"",D76/(D76+G76))</f>
        <v>0.540591236494598</v>
      </c>
      <c r="K76" s="39" t="n">
        <f aca="false">IF(E76="","",E76/(E76+H76))</f>
        <v>0.508679795769511</v>
      </c>
      <c r="L76" s="52" t="n">
        <f aca="false">IF(OR(K76="",J76=""),"",(J76-K76)*100)</f>
        <v>3.19114407250866</v>
      </c>
      <c r="M76" s="38"/>
    </row>
    <row r="77" customFormat="false" ht="15" hidden="false" customHeight="false" outlineLevel="0" collapsed="false">
      <c r="A77" s="38" t="s">
        <v>145</v>
      </c>
      <c r="B77" s="38" t="s">
        <v>168</v>
      </c>
      <c r="C77" s="38" t="s">
        <v>88</v>
      </c>
      <c r="D77" s="21" t="n">
        <v>705</v>
      </c>
      <c r="E77" s="21" t="n">
        <v>703</v>
      </c>
      <c r="F77" s="51" t="n">
        <f aca="false">IF(E77="","",D77-E77)</f>
        <v>2</v>
      </c>
      <c r="G77" s="21" t="n">
        <v>1062</v>
      </c>
      <c r="H77" s="21" t="n">
        <v>1180</v>
      </c>
      <c r="I77" s="51" t="n">
        <f aca="false">IF(H77="","",G77-H77)</f>
        <v>-118</v>
      </c>
      <c r="J77" s="39" t="n">
        <f aca="false">IF(OR(D77="",D77+G77=0),"",D77/(D77+G77))</f>
        <v>0.398981324278438</v>
      </c>
      <c r="K77" s="39" t="n">
        <f aca="false">IF(E77="","",E77/(E77+H77))</f>
        <v>0.373340414232608</v>
      </c>
      <c r="L77" s="52" t="n">
        <f aca="false">IF(OR(K77="",J77=""),"",(J77-K77)*100)</f>
        <v>2.56409100458305</v>
      </c>
      <c r="M77" s="38"/>
    </row>
    <row r="78" customFormat="false" ht="15" hidden="false" customHeight="false" outlineLevel="0" collapsed="false">
      <c r="A78" s="38" t="s">
        <v>145</v>
      </c>
      <c r="B78" s="38" t="s">
        <v>169</v>
      </c>
      <c r="C78" s="38" t="s">
        <v>88</v>
      </c>
      <c r="D78" s="21" t="n">
        <v>1391</v>
      </c>
      <c r="E78" s="21" t="n">
        <v>1361</v>
      </c>
      <c r="F78" s="51" t="n">
        <f aca="false">IF(E78="","",D78-E78)</f>
        <v>30</v>
      </c>
      <c r="G78" s="21" t="n">
        <v>2497</v>
      </c>
      <c r="H78" s="21" t="n">
        <v>2561</v>
      </c>
      <c r="I78" s="51" t="n">
        <f aca="false">IF(H78="","",G78-H78)</f>
        <v>-64</v>
      </c>
      <c r="J78" s="39" t="n">
        <f aca="false">IF(OR(D78="",D78+G78=0),"",D78/(D78+G78))</f>
        <v>0.357767489711934</v>
      </c>
      <c r="K78" s="39" t="n">
        <f aca="false">IF(E78="","",E78/(E78+H78))</f>
        <v>0.347016828148904</v>
      </c>
      <c r="L78" s="52" t="n">
        <f aca="false">IF(OR(K78="",J78=""),"",(J78-K78)*100)</f>
        <v>1.07506615630306</v>
      </c>
      <c r="M78" s="38"/>
    </row>
    <row r="79" customFormat="false" ht="15" hidden="false" customHeight="false" outlineLevel="0" collapsed="false">
      <c r="A79" s="38" t="s">
        <v>145</v>
      </c>
      <c r="B79" s="38" t="s">
        <v>170</v>
      </c>
      <c r="C79" s="38" t="s">
        <v>88</v>
      </c>
      <c r="D79" s="21" t="n">
        <v>87</v>
      </c>
      <c r="E79" s="21" t="n">
        <v>92</v>
      </c>
      <c r="F79" s="51" t="n">
        <f aca="false">IF(E79="","",D79-E79)</f>
        <v>-5</v>
      </c>
      <c r="G79" s="21" t="n">
        <v>166</v>
      </c>
      <c r="H79" s="21" t="n">
        <v>167</v>
      </c>
      <c r="I79" s="51" t="n">
        <f aca="false">IF(H79="","",G79-H79)</f>
        <v>-1</v>
      </c>
      <c r="J79" s="39" t="n">
        <f aca="false">IF(OR(D79="",D79+G79=0),"",D79/(D79+G79))</f>
        <v>0.343873517786561</v>
      </c>
      <c r="K79" s="39" t="n">
        <f aca="false">IF(E79="","",E79/(E79+H79))</f>
        <v>0.355212355212355</v>
      </c>
      <c r="L79" s="52" t="n">
        <f aca="false">IF(OR(K79="",J79=""),"",(J79-K79)*100)</f>
        <v>-1.13388374257939</v>
      </c>
      <c r="M79" s="38"/>
    </row>
    <row r="80" customFormat="false" ht="15" hidden="false" customHeight="false" outlineLevel="0" collapsed="false">
      <c r="A80" s="38" t="s">
        <v>145</v>
      </c>
      <c r="B80" s="38" t="s">
        <v>171</v>
      </c>
      <c r="C80" s="38" t="s">
        <v>88</v>
      </c>
      <c r="D80" s="21" t="n">
        <v>373</v>
      </c>
      <c r="E80" s="21" t="n">
        <v>335</v>
      </c>
      <c r="F80" s="51" t="n">
        <f aca="false">IF(E80="","",D80-E80)</f>
        <v>38</v>
      </c>
      <c r="G80" s="21" t="n">
        <v>529</v>
      </c>
      <c r="H80" s="21" t="n">
        <v>581</v>
      </c>
      <c r="I80" s="51" t="n">
        <f aca="false">IF(H80="","",G80-H80)</f>
        <v>-52</v>
      </c>
      <c r="J80" s="39" t="n">
        <f aca="false">IF(OR(D80="",D80+G80=0),"",D80/(D80+G80))</f>
        <v>0.413525498891353</v>
      </c>
      <c r="K80" s="39" t="n">
        <f aca="false">IF(E80="","",E80/(E80+H80))</f>
        <v>0.365720524017467</v>
      </c>
      <c r="L80" s="52" t="n">
        <f aca="false">IF(OR(K80="",J80=""),"",(J80-K80)*100)</f>
        <v>4.78049748738853</v>
      </c>
      <c r="M80" s="38"/>
    </row>
    <row r="81" customFormat="false" ht="15" hidden="false" customHeight="false" outlineLevel="0" collapsed="false">
      <c r="A81" s="38" t="s">
        <v>145</v>
      </c>
      <c r="B81" s="38" t="s">
        <v>172</v>
      </c>
      <c r="C81" s="38" t="s">
        <v>88</v>
      </c>
      <c r="D81" s="21" t="n">
        <v>223</v>
      </c>
      <c r="E81" s="21" t="n">
        <v>210</v>
      </c>
      <c r="F81" s="51" t="n">
        <f aca="false">IF(E81="","",D81-E81)</f>
        <v>13</v>
      </c>
      <c r="G81" s="21" t="n">
        <v>297</v>
      </c>
      <c r="H81" s="21" t="n">
        <v>309</v>
      </c>
      <c r="I81" s="51" t="n">
        <f aca="false">IF(H81="","",G81-H81)</f>
        <v>-12</v>
      </c>
      <c r="J81" s="39" t="n">
        <f aca="false">IF(OR(D81="",D81+G81=0),"",D81/(D81+G81))</f>
        <v>0.428846153846154</v>
      </c>
      <c r="K81" s="39" t="n">
        <f aca="false">IF(E81="","",E81/(E81+H81))</f>
        <v>0.404624277456647</v>
      </c>
      <c r="L81" s="52" t="n">
        <f aca="false">IF(OR(K81="",J81=""),"",(J81-K81)*100)</f>
        <v>2.42218763895064</v>
      </c>
      <c r="M81" s="38"/>
    </row>
    <row r="82" customFormat="false" ht="15" hidden="false" customHeight="false" outlineLevel="0" collapsed="false">
      <c r="A82" s="38" t="s">
        <v>145</v>
      </c>
      <c r="B82" s="38" t="s">
        <v>173</v>
      </c>
      <c r="C82" s="38" t="s">
        <v>88</v>
      </c>
      <c r="D82" s="21" t="n">
        <v>292</v>
      </c>
      <c r="E82" s="21" t="n">
        <v>331</v>
      </c>
      <c r="F82" s="51" t="n">
        <f aca="false">IF(E82="","",D82-E82)</f>
        <v>-39</v>
      </c>
      <c r="G82" s="21" t="n">
        <v>380</v>
      </c>
      <c r="H82" s="21" t="n">
        <v>458</v>
      </c>
      <c r="I82" s="51" t="n">
        <f aca="false">IF(H82="","",G82-H82)</f>
        <v>-78</v>
      </c>
      <c r="J82" s="39" t="n">
        <f aca="false">IF(OR(D82="",D82+G82=0),"",D82/(D82+G82))</f>
        <v>0.43452380952381</v>
      </c>
      <c r="K82" s="39" t="n">
        <f aca="false">IF(E82="","",E82/(E82+H82))</f>
        <v>0.419518377693283</v>
      </c>
      <c r="L82" s="52" t="n">
        <f aca="false">IF(OR(K82="",J82=""),"",(J82-K82)*100)</f>
        <v>1.50054318305269</v>
      </c>
      <c r="M82" s="38"/>
    </row>
    <row r="83" customFormat="false" ht="15" hidden="false" customHeight="false" outlineLevel="0" collapsed="false">
      <c r="A83" s="38" t="s">
        <v>145</v>
      </c>
      <c r="B83" s="38" t="s">
        <v>174</v>
      </c>
      <c r="C83" s="38" t="s">
        <v>88</v>
      </c>
      <c r="D83" s="21" t="n">
        <v>1300</v>
      </c>
      <c r="E83" s="21" t="n">
        <v>1242</v>
      </c>
      <c r="F83" s="51" t="n">
        <f aca="false">IF(E83="","",D83-E83)</f>
        <v>58</v>
      </c>
      <c r="G83" s="21" t="n">
        <v>2508</v>
      </c>
      <c r="H83" s="21" t="n">
        <v>2716</v>
      </c>
      <c r="I83" s="51" t="n">
        <f aca="false">IF(H83="","",G83-H83)</f>
        <v>-208</v>
      </c>
      <c r="J83" s="39" t="n">
        <f aca="false">IF(OR(D83="",D83+G83=0),"",D83/(D83+G83))</f>
        <v>0.341386554621849</v>
      </c>
      <c r="K83" s="39" t="n">
        <f aca="false">IF(E83="","",E83/(E83+H83))</f>
        <v>0.313794845881759</v>
      </c>
      <c r="L83" s="52" t="n">
        <f aca="false">IF(OR(K83="",J83=""),"",(J83-K83)*100)</f>
        <v>2.75917087400903</v>
      </c>
      <c r="M83" s="38"/>
    </row>
    <row r="84" customFormat="false" ht="15" hidden="false" customHeight="false" outlineLevel="0" collapsed="false">
      <c r="A84" s="38" t="s">
        <v>145</v>
      </c>
      <c r="B84" s="38" t="s">
        <v>175</v>
      </c>
      <c r="C84" s="38" t="s">
        <v>88</v>
      </c>
      <c r="D84" s="21" t="n">
        <v>1975</v>
      </c>
      <c r="E84" s="21" t="n">
        <v>1964</v>
      </c>
      <c r="F84" s="51" t="n">
        <f aca="false">IF(E84="","",D84-E84)</f>
        <v>11</v>
      </c>
      <c r="G84" s="21" t="n">
        <v>1975</v>
      </c>
      <c r="H84" s="21" t="n">
        <v>2147</v>
      </c>
      <c r="I84" s="51" t="n">
        <f aca="false">IF(H84="","",G84-H84)</f>
        <v>-172</v>
      </c>
      <c r="J84" s="39" t="n">
        <f aca="false">IF(OR(D84="",D84+G84=0),"",D84/(D84+G84))</f>
        <v>0.5</v>
      </c>
      <c r="K84" s="39" t="n">
        <f aca="false">IF(E84="","",E84/(E84+H84))</f>
        <v>0.477742641693019</v>
      </c>
      <c r="L84" s="52" t="n">
        <f aca="false">IF(OR(K84="",J84=""),"",(J84-K84)*100)</f>
        <v>2.22573583069813</v>
      </c>
      <c r="M84" s="38"/>
    </row>
    <row r="85" customFormat="false" ht="15" hidden="false" customHeight="false" outlineLevel="0" collapsed="false">
      <c r="A85" s="38" t="s">
        <v>145</v>
      </c>
      <c r="B85" s="38" t="s">
        <v>176</v>
      </c>
      <c r="C85" s="38" t="s">
        <v>88</v>
      </c>
      <c r="D85" s="21" t="n">
        <v>431</v>
      </c>
      <c r="E85" s="21" t="n">
        <v>416</v>
      </c>
      <c r="F85" s="51" t="n">
        <f aca="false">IF(E85="","",D85-E85)</f>
        <v>15</v>
      </c>
      <c r="G85" s="21" t="n">
        <v>553</v>
      </c>
      <c r="H85" s="21" t="n">
        <v>658</v>
      </c>
      <c r="I85" s="51" t="n">
        <f aca="false">IF(H85="","",G85-H85)</f>
        <v>-105</v>
      </c>
      <c r="J85" s="39" t="n">
        <f aca="false">IF(OR(D85="",D85+G85=0),"",D85/(D85+G85))</f>
        <v>0.438008130081301</v>
      </c>
      <c r="K85" s="39" t="n">
        <f aca="false">IF(E85="","",E85/(E85+H85))</f>
        <v>0.387337057728119</v>
      </c>
      <c r="L85" s="52" t="n">
        <f aca="false">IF(OR(K85="",J85=""),"",(J85-K85)*100)</f>
        <v>5.06710723531816</v>
      </c>
      <c r="M85" s="38"/>
    </row>
    <row r="86" customFormat="false" ht="15" hidden="false" customHeight="false" outlineLevel="0" collapsed="false">
      <c r="A86" s="38" t="s">
        <v>145</v>
      </c>
      <c r="B86" s="38" t="s">
        <v>138</v>
      </c>
      <c r="C86" s="38" t="s">
        <v>88</v>
      </c>
      <c r="D86" s="21" t="n">
        <v>1097</v>
      </c>
      <c r="E86" s="21" t="n">
        <v>1041</v>
      </c>
      <c r="F86" s="51" t="n">
        <f aca="false">IF(E86="","",D86-E86)</f>
        <v>56</v>
      </c>
      <c r="G86" s="21" t="n">
        <v>1906</v>
      </c>
      <c r="H86" s="21" t="n">
        <v>2088</v>
      </c>
      <c r="I86" s="51" t="n">
        <f aca="false">IF(H86="","",G86-H86)</f>
        <v>-182</v>
      </c>
      <c r="J86" s="39" t="n">
        <f aca="false">IF(OR(D86="",D86+G86=0),"",D86/(D86+G86))</f>
        <v>0.365301365301365</v>
      </c>
      <c r="K86" s="39" t="n">
        <f aca="false">IF(E86="","",E86/(E86+H86))</f>
        <v>0.332694151486098</v>
      </c>
      <c r="L86" s="52" t="n">
        <f aca="false">IF(OR(K86="",J86=""),"",(J86-K86)*100)</f>
        <v>3.26072138152675</v>
      </c>
      <c r="M86" s="38"/>
    </row>
    <row r="87" customFormat="false" ht="15" hidden="false" customHeight="false" outlineLevel="0" collapsed="false">
      <c r="A87" s="38" t="s">
        <v>145</v>
      </c>
      <c r="B87" s="38" t="s">
        <v>177</v>
      </c>
      <c r="C87" s="38" t="s">
        <v>88</v>
      </c>
      <c r="D87" s="21" t="n">
        <v>274</v>
      </c>
      <c r="E87" s="21" t="n">
        <v>281</v>
      </c>
      <c r="F87" s="51" t="n">
        <f aca="false">IF(E87="","",D87-E87)</f>
        <v>-7</v>
      </c>
      <c r="G87" s="21" t="n">
        <v>301</v>
      </c>
      <c r="H87" s="21" t="n">
        <v>310</v>
      </c>
      <c r="I87" s="51" t="n">
        <f aca="false">IF(H87="","",G87-H87)</f>
        <v>-9</v>
      </c>
      <c r="J87" s="39" t="n">
        <f aca="false">IF(OR(D87="",D87+G87=0),"",D87/(D87+G87))</f>
        <v>0.476521739130435</v>
      </c>
      <c r="K87" s="39" t="n">
        <f aca="false">IF(E87="","",E87/(E87+H87))</f>
        <v>0.475465313028765</v>
      </c>
      <c r="L87" s="52" t="n">
        <f aca="false">IF(OR(K87="",J87=""),"",(J87-K87)*100)</f>
        <v>0.105642610166995</v>
      </c>
      <c r="M87" s="38"/>
    </row>
    <row r="88" customFormat="false" ht="15" hidden="false" customHeight="false" outlineLevel="0" collapsed="false">
      <c r="A88" s="38" t="s">
        <v>145</v>
      </c>
      <c r="B88" s="38" t="s">
        <v>178</v>
      </c>
      <c r="C88" s="38" t="s">
        <v>88</v>
      </c>
      <c r="D88" s="21" t="n">
        <v>1837</v>
      </c>
      <c r="E88" s="21" t="n">
        <v>1847</v>
      </c>
      <c r="F88" s="51" t="n">
        <f aca="false">IF(E88="","",D88-E88)</f>
        <v>-10</v>
      </c>
      <c r="G88" s="21" t="n">
        <v>2309</v>
      </c>
      <c r="H88" s="21" t="n">
        <v>2401</v>
      </c>
      <c r="I88" s="51" t="n">
        <f aca="false">IF(H88="","",G88-H88)</f>
        <v>-92</v>
      </c>
      <c r="J88" s="39" t="n">
        <f aca="false">IF(OR(D88="",D88+G88=0),"",D88/(D88+G88))</f>
        <v>0.443077665219489</v>
      </c>
      <c r="K88" s="39" t="n">
        <f aca="false">IF(E88="","",E88/(E88+H88))</f>
        <v>0.434792843691149</v>
      </c>
      <c r="L88" s="52" t="n">
        <f aca="false">IF(OR(K88="",J88=""),"",(J88-K88)*100)</f>
        <v>0.828482152833987</v>
      </c>
      <c r="M88" s="38"/>
    </row>
    <row r="89" customFormat="false" ht="15" hidden="false" customHeight="false" outlineLevel="0" collapsed="false">
      <c r="A89" s="38" t="s">
        <v>145</v>
      </c>
      <c r="B89" s="38" t="s">
        <v>179</v>
      </c>
      <c r="C89" s="38" t="s">
        <v>88</v>
      </c>
      <c r="D89" s="21" t="n">
        <v>1910</v>
      </c>
      <c r="E89" s="21" t="n">
        <v>1897</v>
      </c>
      <c r="F89" s="51" t="n">
        <f aca="false">IF(E89="","",D89-E89)</f>
        <v>13</v>
      </c>
      <c r="G89" s="21" t="n">
        <v>1516</v>
      </c>
      <c r="H89" s="21" t="n">
        <v>1538</v>
      </c>
      <c r="I89" s="51" t="n">
        <f aca="false">IF(H89="","",G89-H89)</f>
        <v>-22</v>
      </c>
      <c r="J89" s="39" t="n">
        <f aca="false">IF(OR(D89="",D89+G89=0),"",D89/(D89+G89))</f>
        <v>0.557501459427904</v>
      </c>
      <c r="K89" s="39" t="n">
        <f aca="false">IF(E89="","",E89/(E89+H89))</f>
        <v>0.552256186317322</v>
      </c>
      <c r="L89" s="52" t="n">
        <f aca="false">IF(OR(K89="",J89=""),"",(J89-K89)*100)</f>
        <v>0.524527311058265</v>
      </c>
      <c r="M89" s="38"/>
    </row>
    <row r="90" customFormat="false" ht="15" hidden="false" customHeight="false" outlineLevel="0" collapsed="false">
      <c r="A90" s="38" t="s">
        <v>145</v>
      </c>
      <c r="B90" s="38" t="s">
        <v>180</v>
      </c>
      <c r="C90" s="38" t="s">
        <v>88</v>
      </c>
      <c r="D90" s="21" t="n">
        <v>593</v>
      </c>
      <c r="E90" s="21" t="n">
        <v>634</v>
      </c>
      <c r="F90" s="51" t="n">
        <f aca="false">IF(E90="","",D90-E90)</f>
        <v>-41</v>
      </c>
      <c r="G90" s="21" t="n">
        <v>706</v>
      </c>
      <c r="H90" s="21" t="n">
        <v>856</v>
      </c>
      <c r="I90" s="51" t="n">
        <f aca="false">IF(H90="","",G90-H90)</f>
        <v>-150</v>
      </c>
      <c r="J90" s="39" t="n">
        <f aca="false">IF(OR(D90="",D90+G90=0),"",D90/(D90+G90))</f>
        <v>0.456505003849115</v>
      </c>
      <c r="K90" s="39" t="n">
        <f aca="false">IF(E90="","",E90/(E90+H90))</f>
        <v>0.425503355704698</v>
      </c>
      <c r="L90" s="52" t="n">
        <f aca="false">IF(OR(K90="",J90=""),"",(J90-K90)*100)</f>
        <v>3.10016481444167</v>
      </c>
      <c r="M90" s="38"/>
    </row>
    <row r="92" customFormat="false" ht="15" hidden="false" customHeight="false" outlineLevel="0" collapsed="false">
      <c r="A92" s="11" t="s">
        <v>297</v>
      </c>
      <c r="B92" s="53"/>
      <c r="C92" s="53"/>
      <c r="D92" s="54" t="n">
        <f aca="false">SUMIF(E2:E90,"&lt;&gt;",D2:D90)</f>
        <v>200623</v>
      </c>
      <c r="E92" s="54" t="n">
        <f aca="false">SUM(E2:E90)</f>
        <v>199626</v>
      </c>
      <c r="F92" s="55" t="n">
        <f aca="false">D92-E92</f>
        <v>997</v>
      </c>
      <c r="G92" s="54" t="n">
        <f aca="false">SUMIF(H2:H90,"&lt;&gt;",G2:G90)</f>
        <v>189416</v>
      </c>
      <c r="H92" s="54" t="n">
        <f aca="false">SUM(H2:H90)</f>
        <v>203688</v>
      </c>
      <c r="I92" s="55" t="n">
        <f aca="false">G92-H92</f>
        <v>-14272</v>
      </c>
      <c r="J92" s="56" t="n">
        <f aca="false">D92/(D92+G92)</f>
        <v>0.514366512066742</v>
      </c>
      <c r="K92" s="56" t="n">
        <f aca="false">E92/(E92+H92)</f>
        <v>0.49496422142549</v>
      </c>
      <c r="L92" s="57" t="n">
        <f aca="false">(J92-K92)*100</f>
        <v>1.94022906412522</v>
      </c>
    </row>
    <row r="93" customFormat="false" ht="15" hidden="false" customHeight="false" outlineLevel="0" collapsed="false">
      <c r="A93" s="11" t="s">
        <v>298</v>
      </c>
      <c r="B93" s="53"/>
      <c r="C93" s="53"/>
      <c r="D93" s="54" t="n">
        <f aca="false">SUM(D2:D90)</f>
        <v>200623</v>
      </c>
      <c r="E93" s="54"/>
      <c r="F93" s="55"/>
      <c r="G93" s="54" t="n">
        <f aca="false">SUM(G2:G90)</f>
        <v>189416</v>
      </c>
      <c r="H93" s="54"/>
      <c r="I93" s="55"/>
      <c r="J93" s="56" t="n">
        <f aca="false">D93/(D93+G93)</f>
        <v>0.514366512066742</v>
      </c>
      <c r="K93" s="56"/>
      <c r="L93" s="57"/>
    </row>
    <row r="95" customFormat="false" ht="15" hidden="false" customHeight="false" outlineLevel="0" collapsed="false">
      <c r="A95" s="2" t="s">
        <v>299</v>
      </c>
      <c r="F95" s="58" t="n">
        <f aca="false">(SUMIF(F2:F90,"&gt;0")-SUMIF(F2:F90,"&lt;0"))/COUNT(F2:F90)</f>
        <v>81.6741573033708</v>
      </c>
    </row>
    <row r="96" customFormat="false" ht="15" hidden="false" customHeight="false" outlineLevel="0" collapsed="false">
      <c r="A96" s="2" t="s">
        <v>300</v>
      </c>
      <c r="F96" s="58" t="n">
        <f aca="false">(SUMIF(I2:I90,"&gt;0")-SUMIF(I2:I90,"&lt;0"))/COUNT(I2:I90)</f>
        <v>179.977528089888</v>
      </c>
    </row>
    <row r="97" customFormat="false" ht="15" hidden="false" customHeight="false" outlineLevel="0" collapsed="false">
      <c r="A97" s="2" t="s">
        <v>301</v>
      </c>
      <c r="F97" s="59" t="n">
        <f aca="false">(SUMIF(L2:L90,"&gt;0")-SUMIF(L2:L90,"&lt;0"))/COUNT(L2:L90)</f>
        <v>2.53509626769713</v>
      </c>
    </row>
    <row r="98" customFormat="false" ht="15" hidden="false" customHeight="false" outlineLevel="0" collapsed="false">
      <c r="A98" s="5" t="s">
        <v>302</v>
      </c>
      <c r="F98" s="60" t="n">
        <f aca="false">SQRT(SUMSQ(L2:L90)/COUNT(L2:L90))</f>
        <v>3.04993145051404</v>
      </c>
    </row>
    <row r="99" customFormat="false" ht="15" hidden="false" customHeight="false" outlineLevel="0" collapsed="false">
      <c r="A99" s="5" t="s">
        <v>303</v>
      </c>
      <c r="F99" s="61" t="n">
        <f aca="false">L92</f>
        <v>1.94022906412522</v>
      </c>
    </row>
    <row r="100" customFormat="false" ht="15" hidden="false" customHeight="false" outlineLevel="0" collapsed="false">
      <c r="A100" s="5" t="s">
        <v>304</v>
      </c>
      <c r="F100" s="60" t="n">
        <f aca="false">SQRT((SUMSQ(L2:L90)-2*L92*SUM(L2:L90)+COUNT(L2:L90)*L92^2)/COUNT(L2:L90))</f>
        <v>1.98681006437933</v>
      </c>
    </row>
    <row r="101" customFormat="false" ht="15" hidden="false" customHeight="false" outlineLevel="0" collapsed="false">
      <c r="A101" s="2" t="s">
        <v>305</v>
      </c>
      <c r="F101" s="62" t="n">
        <f aca="false">(D92+G92)/(E92+H92)-1</f>
        <v>-0.0329148008747526</v>
      </c>
    </row>
    <row r="102" customFormat="false" ht="15" hidden="false" customHeight="false" outlineLevel="0" collapsed="false">
      <c r="A102" s="2" t="s">
        <v>306</v>
      </c>
      <c r="F102" s="63" t="n">
        <f aca="false">COUNTIFS(L2:L90,"&gt;=-3",L2:L90,"&lt;=3")/COUNT(L2:L90)</f>
        <v>0.685393258426966</v>
      </c>
    </row>
    <row r="103" customFormat="false" ht="15" hidden="false" customHeight="false" outlineLevel="0" collapsed="false">
      <c r="A103" s="2" t="s">
        <v>307</v>
      </c>
      <c r="F103" s="64" t="n">
        <f aca="false">COUNT(E2:E90)</f>
        <v>89</v>
      </c>
    </row>
    <row r="104" customFormat="false" ht="15" hidden="false" customHeight="false" outlineLevel="0" collapsed="false">
      <c r="A104" s="2" t="s">
        <v>308</v>
      </c>
      <c r="F104" s="64" t="n">
        <f aca="false">COUNTA(A2:A90)</f>
        <v>89</v>
      </c>
    </row>
    <row r="106" customFormat="false" ht="15" hidden="false" customHeight="false" outlineLevel="0" collapsed="false">
      <c r="M106" s="5" t="s">
        <v>70</v>
      </c>
    </row>
    <row r="107" customFormat="false" ht="28.35" hidden="false" customHeight="false" outlineLevel="0" collapsed="false">
      <c r="M107" s="50" t="s">
        <v>309</v>
      </c>
    </row>
    <row r="108" customFormat="false" ht="28.35" hidden="false" customHeight="false" outlineLevel="0" collapsed="false">
      <c r="M108" s="50" t="s">
        <v>310</v>
      </c>
    </row>
    <row r="109" customFormat="false" ht="15" hidden="false" customHeight="false" outlineLevel="0" collapsed="false">
      <c r="M109" s="50" t="s">
        <v>317</v>
      </c>
    </row>
    <row r="110" customFormat="false" ht="28.35" hidden="false" customHeight="false" outlineLevel="0" collapsed="false">
      <c r="M110" s="50" t="s">
        <v>312</v>
      </c>
    </row>
    <row r="111" customFormat="false" ht="41.75" hidden="false" customHeight="false" outlineLevel="0" collapsed="false">
      <c r="M111" s="50" t="s">
        <v>313</v>
      </c>
    </row>
    <row r="112" customFormat="false" ht="41.75" hidden="false" customHeight="false" outlineLevel="0" collapsed="false">
      <c r="M112" s="50" t="s">
        <v>314</v>
      </c>
    </row>
    <row r="113" customFormat="false" ht="15" hidden="false" customHeight="false" outlineLevel="0" collapsed="false">
      <c r="M113" s="50" t="s">
        <v>315</v>
      </c>
    </row>
    <row r="114" customFormat="false" ht="28.35" hidden="false" customHeight="false" outlineLevel="0" collapsed="false">
      <c r="M114" s="50" t="s">
        <v>316</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287</v>
      </c>
      <c r="E1" s="7" t="s">
        <v>288</v>
      </c>
      <c r="F1" s="7" t="s">
        <v>289</v>
      </c>
      <c r="G1" s="7" t="s">
        <v>290</v>
      </c>
      <c r="H1" s="7" t="s">
        <v>291</v>
      </c>
      <c r="I1" s="7" t="s">
        <v>292</v>
      </c>
      <c r="J1" s="7" t="s">
        <v>293</v>
      </c>
      <c r="K1" s="7" t="s">
        <v>294</v>
      </c>
      <c r="L1" s="7" t="s">
        <v>295</v>
      </c>
      <c r="M1" s="7" t="s">
        <v>296</v>
      </c>
    </row>
    <row r="2" customFormat="false" ht="15" hidden="false" customHeight="false" outlineLevel="0" collapsed="false">
      <c r="A2" s="38" t="s">
        <v>86</v>
      </c>
      <c r="B2" s="38" t="s">
        <v>87</v>
      </c>
      <c r="C2" s="38" t="s">
        <v>88</v>
      </c>
      <c r="D2" s="21" t="n">
        <v>197</v>
      </c>
      <c r="E2" s="21" t="n">
        <v>181</v>
      </c>
      <c r="F2" s="51" t="n">
        <f aca="false">IF(E2="","",D2-E2)</f>
        <v>16</v>
      </c>
      <c r="G2" s="21" t="n">
        <v>306</v>
      </c>
      <c r="H2" s="21" t="n">
        <v>285</v>
      </c>
      <c r="I2" s="51" t="n">
        <f aca="false">IF(H2="","",G2-H2)</f>
        <v>21</v>
      </c>
      <c r="J2" s="39" t="n">
        <f aca="false">IF(OR(D2="",D2+G2=0),"",D2/(D2+G2))</f>
        <v>0.391650099403579</v>
      </c>
      <c r="K2" s="39" t="n">
        <f aca="false">IF(E2="","",E2/(E2+H2))</f>
        <v>0.388412017167382</v>
      </c>
      <c r="L2" s="52" t="n">
        <f aca="false">IF(OR(K2="",J2=""),"",(J2-K2)*100)</f>
        <v>0.323808223619654</v>
      </c>
      <c r="M2" s="38"/>
    </row>
    <row r="3" customFormat="false" ht="15" hidden="false" customHeight="false" outlineLevel="0" collapsed="false">
      <c r="A3" s="38" t="s">
        <v>86</v>
      </c>
      <c r="B3" s="38" t="s">
        <v>91</v>
      </c>
      <c r="C3" s="38" t="s">
        <v>88</v>
      </c>
      <c r="D3" s="21" t="n">
        <v>118</v>
      </c>
      <c r="E3" s="21" t="n">
        <v>118</v>
      </c>
      <c r="F3" s="51" t="n">
        <f aca="false">IF(E3="","",D3-E3)</f>
        <v>0</v>
      </c>
      <c r="G3" s="21" t="n">
        <v>285</v>
      </c>
      <c r="H3" s="21" t="n">
        <v>300</v>
      </c>
      <c r="I3" s="51" t="n">
        <f aca="false">IF(H3="","",G3-H3)</f>
        <v>-15</v>
      </c>
      <c r="J3" s="39" t="n">
        <f aca="false">IF(OR(D3="",D3+G3=0),"",D3/(D3+G3))</f>
        <v>0.292803970223325</v>
      </c>
      <c r="K3" s="39" t="n">
        <f aca="false">IF(E3="","",E3/(E3+H3))</f>
        <v>0.282296650717703</v>
      </c>
      <c r="L3" s="52" t="n">
        <f aca="false">IF(OR(K3="",J3=""),"",(J3-K3)*100)</f>
        <v>1.05073195056217</v>
      </c>
      <c r="M3" s="38"/>
    </row>
    <row r="4" customFormat="false" ht="15" hidden="false" customHeight="false" outlineLevel="0" collapsed="false">
      <c r="A4" s="38" t="s">
        <v>86</v>
      </c>
      <c r="B4" s="38" t="s">
        <v>92</v>
      </c>
      <c r="C4" s="38" t="s">
        <v>88</v>
      </c>
      <c r="D4" s="21" t="n">
        <v>146</v>
      </c>
      <c r="E4" s="21" t="n">
        <v>144</v>
      </c>
      <c r="F4" s="51" t="n">
        <f aca="false">IF(E4="","",D4-E4)</f>
        <v>2</v>
      </c>
      <c r="G4" s="21" t="n">
        <v>282</v>
      </c>
      <c r="H4" s="21" t="n">
        <v>310</v>
      </c>
      <c r="I4" s="51" t="n">
        <f aca="false">IF(H4="","",G4-H4)</f>
        <v>-28</v>
      </c>
      <c r="J4" s="39" t="n">
        <f aca="false">IF(OR(D4="",D4+G4=0),"",D4/(D4+G4))</f>
        <v>0.341121495327103</v>
      </c>
      <c r="K4" s="39" t="n">
        <f aca="false">IF(E4="","",E4/(E4+H4))</f>
        <v>0.317180616740088</v>
      </c>
      <c r="L4" s="52" t="n">
        <f aca="false">IF(OR(K4="",J4=""),"",(J4-K4)*100)</f>
        <v>2.39408785870147</v>
      </c>
      <c r="M4" s="38"/>
    </row>
    <row r="5" customFormat="false" ht="15" hidden="false" customHeight="false" outlineLevel="0" collapsed="false">
      <c r="A5" s="38" t="s">
        <v>86</v>
      </c>
      <c r="B5" s="38" t="s">
        <v>93</v>
      </c>
      <c r="C5" s="38" t="s">
        <v>88</v>
      </c>
      <c r="D5" s="21" t="n">
        <v>457</v>
      </c>
      <c r="E5" s="21" t="n">
        <v>438</v>
      </c>
      <c r="F5" s="51" t="n">
        <f aca="false">IF(E5="","",D5-E5)</f>
        <v>19</v>
      </c>
      <c r="G5" s="21" t="n">
        <v>1113</v>
      </c>
      <c r="H5" s="21" t="n">
        <v>1253</v>
      </c>
      <c r="I5" s="51" t="n">
        <f aca="false">IF(H5="","",G5-H5)</f>
        <v>-140</v>
      </c>
      <c r="J5" s="39" t="n">
        <f aca="false">IF(OR(D5="",D5+G5=0),"",D5/(D5+G5))</f>
        <v>0.291082802547771</v>
      </c>
      <c r="K5" s="39" t="n">
        <f aca="false">IF(E5="","",E5/(E5+H5))</f>
        <v>0.259018332347723</v>
      </c>
      <c r="L5" s="52" t="n">
        <f aca="false">IF(OR(K5="",J5=""),"",(J5-K5)*100)</f>
        <v>3.20644702000474</v>
      </c>
      <c r="M5" s="38"/>
    </row>
    <row r="6" customFormat="false" ht="15" hidden="false" customHeight="false" outlineLevel="0" collapsed="false">
      <c r="A6" s="38" t="s">
        <v>86</v>
      </c>
      <c r="B6" s="38" t="s">
        <v>94</v>
      </c>
      <c r="C6" s="38" t="s">
        <v>88</v>
      </c>
      <c r="D6" s="21" t="n">
        <v>44</v>
      </c>
      <c r="E6" s="21" t="n">
        <v>38</v>
      </c>
      <c r="F6" s="51" t="n">
        <f aca="false">IF(E6="","",D6-E6)</f>
        <v>6</v>
      </c>
      <c r="G6" s="21" t="n">
        <v>77</v>
      </c>
      <c r="H6" s="21" t="n">
        <v>78</v>
      </c>
      <c r="I6" s="51" t="n">
        <f aca="false">IF(H6="","",G6-H6)</f>
        <v>-1</v>
      </c>
      <c r="J6" s="39" t="n">
        <f aca="false">IF(OR(D6="",D6+G6=0),"",D6/(D6+G6))</f>
        <v>0.363636363636364</v>
      </c>
      <c r="K6" s="39" t="n">
        <f aca="false">IF(E6="","",E6/(E6+H6))</f>
        <v>0.327586206896552</v>
      </c>
      <c r="L6" s="52" t="n">
        <f aca="false">IF(OR(K6="",J6=""),"",(J6-K6)*100)</f>
        <v>3.60501567398119</v>
      </c>
      <c r="M6" s="38"/>
    </row>
    <row r="7" customFormat="false" ht="15" hidden="false" customHeight="false" outlineLevel="0" collapsed="false">
      <c r="A7" s="38" t="s">
        <v>86</v>
      </c>
      <c r="B7" s="38" t="s">
        <v>95</v>
      </c>
      <c r="C7" s="38" t="s">
        <v>88</v>
      </c>
      <c r="D7" s="21" t="n">
        <v>723</v>
      </c>
      <c r="E7" s="21" t="n">
        <v>708</v>
      </c>
      <c r="F7" s="51" t="n">
        <f aca="false">IF(E7="","",D7-E7)</f>
        <v>15</v>
      </c>
      <c r="G7" s="21" t="n">
        <v>1736</v>
      </c>
      <c r="H7" s="21" t="n">
        <v>1846</v>
      </c>
      <c r="I7" s="51" t="n">
        <f aca="false">IF(H7="","",G7-H7)</f>
        <v>-110</v>
      </c>
      <c r="J7" s="39" t="n">
        <f aca="false">IF(OR(D7="",D7+G7=0),"",D7/(D7+G7))</f>
        <v>0.294021960146401</v>
      </c>
      <c r="K7" s="39" t="n">
        <f aca="false">IF(E7="","",E7/(E7+H7))</f>
        <v>0.277212216131558</v>
      </c>
      <c r="L7" s="52" t="n">
        <f aca="false">IF(OR(K7="",J7=""),"",(J7-K7)*100)</f>
        <v>1.68097440148426</v>
      </c>
      <c r="M7" s="38"/>
    </row>
    <row r="8" customFormat="false" ht="15" hidden="false" customHeight="false" outlineLevel="0" collapsed="false">
      <c r="A8" s="38" t="s">
        <v>86</v>
      </c>
      <c r="B8" s="38" t="s">
        <v>97</v>
      </c>
      <c r="C8" s="38" t="s">
        <v>88</v>
      </c>
      <c r="D8" s="21" t="n">
        <v>1184</v>
      </c>
      <c r="E8" s="21" t="n">
        <v>1104</v>
      </c>
      <c r="F8" s="51" t="n">
        <f aca="false">IF(E8="","",D8-E8)</f>
        <v>80</v>
      </c>
      <c r="G8" s="21" t="n">
        <v>1393</v>
      </c>
      <c r="H8" s="21" t="n">
        <v>1481</v>
      </c>
      <c r="I8" s="51" t="n">
        <f aca="false">IF(H8="","",G8-H8)</f>
        <v>-88</v>
      </c>
      <c r="J8" s="39" t="n">
        <f aca="false">IF(OR(D8="",D8+G8=0),"",D8/(D8+G8))</f>
        <v>0.459448971672487</v>
      </c>
      <c r="K8" s="39" t="n">
        <f aca="false">IF(E8="","",E8/(E8+H8))</f>
        <v>0.427079303675048</v>
      </c>
      <c r="L8" s="52" t="n">
        <f aca="false">IF(OR(K8="",J8=""),"",(J8-K8)*100)</f>
        <v>3.2369667997439</v>
      </c>
      <c r="M8" s="38"/>
    </row>
    <row r="9" customFormat="false" ht="15" hidden="false" customHeight="false" outlineLevel="0" collapsed="false">
      <c r="A9" s="38" t="s">
        <v>86</v>
      </c>
      <c r="B9" s="38" t="s">
        <v>98</v>
      </c>
      <c r="C9" s="38" t="s">
        <v>88</v>
      </c>
      <c r="D9" s="21" t="n">
        <v>359</v>
      </c>
      <c r="E9" s="21" t="n">
        <v>351</v>
      </c>
      <c r="F9" s="51" t="n">
        <f aca="false">IF(E9="","",D9-E9)</f>
        <v>8</v>
      </c>
      <c r="G9" s="21" t="n">
        <v>742</v>
      </c>
      <c r="H9" s="21" t="n">
        <v>697</v>
      </c>
      <c r="I9" s="51" t="n">
        <f aca="false">IF(H9="","",G9-H9)</f>
        <v>45</v>
      </c>
      <c r="J9" s="39" t="n">
        <f aca="false">IF(OR(D9="",D9+G9=0),"",D9/(D9+G9))</f>
        <v>0.326067211625795</v>
      </c>
      <c r="K9" s="39" t="n">
        <f aca="false">IF(E9="","",E9/(E9+H9))</f>
        <v>0.334923664122137</v>
      </c>
      <c r="L9" s="52" t="n">
        <f aca="false">IF(OR(K9="",J9=""),"",(J9-K9)*100)</f>
        <v>-0.88564524963427</v>
      </c>
      <c r="M9" s="38"/>
    </row>
    <row r="10" customFormat="false" ht="15" hidden="false" customHeight="false" outlineLevel="0" collapsed="false">
      <c r="A10" s="38" t="s">
        <v>86</v>
      </c>
      <c r="B10" s="38" t="s">
        <v>99</v>
      </c>
      <c r="C10" s="38" t="s">
        <v>88</v>
      </c>
      <c r="D10" s="21" t="n">
        <v>635</v>
      </c>
      <c r="E10" s="21" t="n">
        <v>575</v>
      </c>
      <c r="F10" s="51" t="n">
        <f aca="false">IF(E10="","",D10-E10)</f>
        <v>60</v>
      </c>
      <c r="G10" s="21" t="n">
        <v>825</v>
      </c>
      <c r="H10" s="21" t="n">
        <v>880</v>
      </c>
      <c r="I10" s="51" t="n">
        <f aca="false">IF(H10="","",G10-H10)</f>
        <v>-55</v>
      </c>
      <c r="J10" s="39" t="n">
        <f aca="false">IF(OR(D10="",D10+G10=0),"",D10/(D10+G10))</f>
        <v>0.434931506849315</v>
      </c>
      <c r="K10" s="39" t="n">
        <f aca="false">IF(E10="","",E10/(E10+H10))</f>
        <v>0.395189003436426</v>
      </c>
      <c r="L10" s="52" t="n">
        <f aca="false">IF(OR(K10="",J10=""),"",(J10-K10)*100)</f>
        <v>3.9742503412889</v>
      </c>
      <c r="M10" s="38"/>
    </row>
    <row r="11" customFormat="false" ht="15" hidden="false" customHeight="false" outlineLevel="0" collapsed="false">
      <c r="A11" s="38" t="s">
        <v>86</v>
      </c>
      <c r="B11" s="38" t="s">
        <v>100</v>
      </c>
      <c r="C11" s="38" t="s">
        <v>88</v>
      </c>
      <c r="D11" s="21" t="n">
        <v>44</v>
      </c>
      <c r="E11" s="21" t="n">
        <v>38</v>
      </c>
      <c r="F11" s="51" t="n">
        <f aca="false">IF(E11="","",D11-E11)</f>
        <v>6</v>
      </c>
      <c r="G11" s="21" t="n">
        <v>97</v>
      </c>
      <c r="H11" s="21" t="n">
        <v>107</v>
      </c>
      <c r="I11" s="51" t="n">
        <f aca="false">IF(H11="","",G11-H11)</f>
        <v>-10</v>
      </c>
      <c r="J11" s="39" t="n">
        <f aca="false">IF(OR(D11="",D11+G11=0),"",D11/(D11+G11))</f>
        <v>0.312056737588653</v>
      </c>
      <c r="K11" s="39" t="n">
        <f aca="false">IF(E11="","",E11/(E11+H11))</f>
        <v>0.262068965517241</v>
      </c>
      <c r="L11" s="52" t="n">
        <f aca="false">IF(OR(K11="",J11=""),"",(J11-K11)*100)</f>
        <v>4.99877720714111</v>
      </c>
      <c r="M11" s="38"/>
    </row>
    <row r="12" customFormat="false" ht="15" hidden="false" customHeight="false" outlineLevel="0" collapsed="false">
      <c r="A12" s="38" t="s">
        <v>86</v>
      </c>
      <c r="B12" s="38" t="s">
        <v>101</v>
      </c>
      <c r="C12" s="38" t="s">
        <v>88</v>
      </c>
      <c r="D12" s="21" t="n">
        <v>61</v>
      </c>
      <c r="E12" s="21" t="n">
        <v>58</v>
      </c>
      <c r="F12" s="51" t="n">
        <f aca="false">IF(E12="","",D12-E12)</f>
        <v>3</v>
      </c>
      <c r="G12" s="21" t="n">
        <v>213</v>
      </c>
      <c r="H12" s="21" t="n">
        <v>216</v>
      </c>
      <c r="I12" s="51" t="n">
        <f aca="false">IF(H12="","",G12-H12)</f>
        <v>-3</v>
      </c>
      <c r="J12" s="39" t="n">
        <f aca="false">IF(OR(D12="",D12+G12=0),"",D12/(D12+G12))</f>
        <v>0.222627737226277</v>
      </c>
      <c r="K12" s="39" t="n">
        <f aca="false">IF(E12="","",E12/(E12+H12))</f>
        <v>0.211678832116788</v>
      </c>
      <c r="L12" s="52" t="n">
        <f aca="false">IF(OR(K12="",J12=""),"",(J12-K12)*100)</f>
        <v>1.09489051094891</v>
      </c>
      <c r="M12" s="38"/>
    </row>
    <row r="13" customFormat="false" ht="15" hidden="false" customHeight="false" outlineLevel="0" collapsed="false">
      <c r="A13" s="38" t="s">
        <v>86</v>
      </c>
      <c r="B13" s="38" t="s">
        <v>102</v>
      </c>
      <c r="C13" s="38" t="s">
        <v>88</v>
      </c>
      <c r="D13" s="21" t="n">
        <v>927</v>
      </c>
      <c r="E13" s="21" t="n">
        <v>944</v>
      </c>
      <c r="F13" s="51" t="n">
        <f aca="false">IF(E13="","",D13-E13)</f>
        <v>-17</v>
      </c>
      <c r="G13" s="21" t="n">
        <v>1324</v>
      </c>
      <c r="H13" s="21" t="n">
        <v>1486</v>
      </c>
      <c r="I13" s="51" t="n">
        <f aca="false">IF(H13="","",G13-H13)</f>
        <v>-162</v>
      </c>
      <c r="J13" s="39" t="n">
        <f aca="false">IF(OR(D13="",D13+G13=0),"",D13/(D13+G13))</f>
        <v>0.411816970235451</v>
      </c>
      <c r="K13" s="39" t="n">
        <f aca="false">IF(E13="","",E13/(E13+H13))</f>
        <v>0.388477366255144</v>
      </c>
      <c r="L13" s="52" t="n">
        <f aca="false">IF(OR(K13="",J13=""),"",(J13-K13)*100)</f>
        <v>2.33396039803069</v>
      </c>
      <c r="M13" s="38"/>
    </row>
    <row r="14" customFormat="false" ht="15" hidden="false" customHeight="false" outlineLevel="0" collapsed="false">
      <c r="A14" s="38" t="s">
        <v>86</v>
      </c>
      <c r="B14" s="38" t="s">
        <v>103</v>
      </c>
      <c r="C14" s="38" t="s">
        <v>88</v>
      </c>
      <c r="D14" s="21" t="n">
        <v>524</v>
      </c>
      <c r="E14" s="21" t="n">
        <v>515</v>
      </c>
      <c r="F14" s="51" t="n">
        <f aca="false">IF(E14="","",D14-E14)</f>
        <v>9</v>
      </c>
      <c r="G14" s="21" t="n">
        <v>1129</v>
      </c>
      <c r="H14" s="21" t="n">
        <v>1293</v>
      </c>
      <c r="I14" s="51" t="n">
        <f aca="false">IF(H14="","",G14-H14)</f>
        <v>-164</v>
      </c>
      <c r="J14" s="39" t="n">
        <f aca="false">IF(OR(D14="",D14+G14=0),"",D14/(D14+G14))</f>
        <v>0.316999395039322</v>
      </c>
      <c r="K14" s="39" t="n">
        <f aca="false">IF(E14="","",E14/(E14+H14))</f>
        <v>0.284845132743363</v>
      </c>
      <c r="L14" s="52" t="n">
        <f aca="false">IF(OR(K14="",J14=""),"",(J14-K14)*100)</f>
        <v>3.21542622959596</v>
      </c>
      <c r="M14" s="38"/>
    </row>
    <row r="15" customFormat="false" ht="15" hidden="false" customHeight="false" outlineLevel="0" collapsed="false">
      <c r="A15" s="38" t="s">
        <v>86</v>
      </c>
      <c r="B15" s="38" t="s">
        <v>104</v>
      </c>
      <c r="C15" s="38" t="s">
        <v>88</v>
      </c>
      <c r="D15" s="21" t="n">
        <v>637</v>
      </c>
      <c r="E15" s="21" t="n">
        <v>694</v>
      </c>
      <c r="F15" s="51" t="n">
        <f aca="false">IF(E15="","",D15-E15)</f>
        <v>-57</v>
      </c>
      <c r="G15" s="21" t="n">
        <v>1485</v>
      </c>
      <c r="H15" s="21" t="n">
        <v>1695</v>
      </c>
      <c r="I15" s="51" t="n">
        <f aca="false">IF(H15="","",G15-H15)</f>
        <v>-210</v>
      </c>
      <c r="J15" s="39" t="n">
        <f aca="false">IF(OR(D15="",D15+G15=0),"",D15/(D15+G15))</f>
        <v>0.300188501413761</v>
      </c>
      <c r="K15" s="39" t="n">
        <f aca="false">IF(E15="","",E15/(E15+H15))</f>
        <v>0.290498116366681</v>
      </c>
      <c r="L15" s="52" t="n">
        <f aca="false">IF(OR(K15="",J15=""),"",(J15-K15)*100)</f>
        <v>0.969038504707998</v>
      </c>
      <c r="M15" s="38"/>
    </row>
    <row r="16" customFormat="false" ht="15" hidden="false" customHeight="false" outlineLevel="0" collapsed="false">
      <c r="A16" s="38" t="s">
        <v>86</v>
      </c>
      <c r="B16" s="38" t="s">
        <v>105</v>
      </c>
      <c r="C16" s="38" t="s">
        <v>88</v>
      </c>
      <c r="D16" s="21" t="n">
        <v>626</v>
      </c>
      <c r="E16" s="21" t="n">
        <v>601</v>
      </c>
      <c r="F16" s="51" t="n">
        <f aca="false">IF(E16="","",D16-E16)</f>
        <v>25</v>
      </c>
      <c r="G16" s="21" t="n">
        <v>911</v>
      </c>
      <c r="H16" s="21" t="n">
        <v>955</v>
      </c>
      <c r="I16" s="51" t="n">
        <f aca="false">IF(H16="","",G16-H16)</f>
        <v>-44</v>
      </c>
      <c r="J16" s="39" t="n">
        <f aca="false">IF(OR(D16="",D16+G16=0),"",D16/(D16+G16))</f>
        <v>0.407286922576448</v>
      </c>
      <c r="K16" s="39" t="n">
        <f aca="false">IF(E16="","",E16/(E16+H16))</f>
        <v>0.386246786632391</v>
      </c>
      <c r="L16" s="52" t="n">
        <f aca="false">IF(OR(K16="",J16=""),"",(J16-K16)*100)</f>
        <v>2.10401359440569</v>
      </c>
      <c r="M16" s="38"/>
    </row>
    <row r="17" customFormat="false" ht="15" hidden="false" customHeight="false" outlineLevel="0" collapsed="false">
      <c r="A17" s="38" t="s">
        <v>86</v>
      </c>
      <c r="B17" s="38" t="s">
        <v>106</v>
      </c>
      <c r="C17" s="38" t="s">
        <v>88</v>
      </c>
      <c r="D17" s="21" t="n">
        <v>134</v>
      </c>
      <c r="E17" s="21" t="n">
        <v>134</v>
      </c>
      <c r="F17" s="51" t="n">
        <f aca="false">IF(E17="","",D17-E17)</f>
        <v>0</v>
      </c>
      <c r="G17" s="21" t="n">
        <v>506</v>
      </c>
      <c r="H17" s="21" t="n">
        <v>505</v>
      </c>
      <c r="I17" s="51" t="n">
        <f aca="false">IF(H17="","",G17-H17)</f>
        <v>1</v>
      </c>
      <c r="J17" s="39" t="n">
        <f aca="false">IF(OR(D17="",D17+G17=0),"",D17/(D17+G17))</f>
        <v>0.209375</v>
      </c>
      <c r="K17" s="39" t="n">
        <f aca="false">IF(E17="","",E17/(E17+H17))</f>
        <v>0.209702660406886</v>
      </c>
      <c r="L17" s="52" t="n">
        <f aca="false">IF(OR(K17="",J17=""),"",(J17-K17)*100)</f>
        <v>-0.0327660406885755</v>
      </c>
      <c r="M17" s="38"/>
    </row>
    <row r="18" customFormat="false" ht="15" hidden="false" customHeight="false" outlineLevel="0" collapsed="false">
      <c r="A18" s="38" t="s">
        <v>86</v>
      </c>
      <c r="B18" s="38" t="s">
        <v>107</v>
      </c>
      <c r="C18" s="38" t="s">
        <v>88</v>
      </c>
      <c r="D18" s="21" t="n">
        <v>997</v>
      </c>
      <c r="E18" s="21" t="n">
        <v>981</v>
      </c>
      <c r="F18" s="51" t="n">
        <f aca="false">IF(E18="","",D18-E18)</f>
        <v>16</v>
      </c>
      <c r="G18" s="21" t="n">
        <v>1542</v>
      </c>
      <c r="H18" s="21" t="n">
        <v>1740</v>
      </c>
      <c r="I18" s="51" t="n">
        <f aca="false">IF(H18="","",G18-H18)</f>
        <v>-198</v>
      </c>
      <c r="J18" s="39" t="n">
        <f aca="false">IF(OR(D18="",D18+G18=0),"",D18/(D18+G18))</f>
        <v>0.392674281213076</v>
      </c>
      <c r="K18" s="39" t="n">
        <f aca="false">IF(E18="","",E18/(E18+H18))</f>
        <v>0.360529217199559</v>
      </c>
      <c r="L18" s="52" t="n">
        <f aca="false">IF(OR(K18="",J18=""),"",(J18-K18)*100)</f>
        <v>3.2145064013517</v>
      </c>
      <c r="M18" s="38"/>
    </row>
    <row r="19" customFormat="false" ht="15" hidden="false" customHeight="false" outlineLevel="0" collapsed="false">
      <c r="A19" s="38" t="s">
        <v>86</v>
      </c>
      <c r="B19" s="38" t="s">
        <v>108</v>
      </c>
      <c r="C19" s="38" t="s">
        <v>88</v>
      </c>
      <c r="D19" s="21" t="n">
        <v>64</v>
      </c>
      <c r="E19" s="21" t="n">
        <v>74</v>
      </c>
      <c r="F19" s="51" t="n">
        <f aca="false">IF(E19="","",D19-E19)</f>
        <v>-10</v>
      </c>
      <c r="G19" s="21" t="n">
        <v>155</v>
      </c>
      <c r="H19" s="21" t="n">
        <v>162</v>
      </c>
      <c r="I19" s="51" t="n">
        <f aca="false">IF(H19="","",G19-H19)</f>
        <v>-7</v>
      </c>
      <c r="J19" s="39" t="n">
        <f aca="false">IF(OR(D19="",D19+G19=0),"",D19/(D19+G19))</f>
        <v>0.292237442922374</v>
      </c>
      <c r="K19" s="39" t="n">
        <f aca="false">IF(E19="","",E19/(E19+H19))</f>
        <v>0.313559322033898</v>
      </c>
      <c r="L19" s="52" t="n">
        <f aca="false">IF(OR(K19="",J19=""),"",(J19-K19)*100)</f>
        <v>-2.13218791115239</v>
      </c>
      <c r="M19" s="38"/>
    </row>
    <row r="20" customFormat="false" ht="15" hidden="false" customHeight="false" outlineLevel="0" collapsed="false">
      <c r="A20" s="38" t="s">
        <v>86</v>
      </c>
      <c r="B20" s="38" t="s">
        <v>109</v>
      </c>
      <c r="C20" s="38" t="s">
        <v>88</v>
      </c>
      <c r="D20" s="21" t="n">
        <v>1952</v>
      </c>
      <c r="E20" s="21" t="n">
        <v>2047</v>
      </c>
      <c r="F20" s="51" t="n">
        <f aca="false">IF(E20="","",D20-E20)</f>
        <v>-95</v>
      </c>
      <c r="G20" s="21" t="n">
        <v>3519</v>
      </c>
      <c r="H20" s="21" t="n">
        <v>3702</v>
      </c>
      <c r="I20" s="51" t="n">
        <f aca="false">IF(H20="","",G20-H20)</f>
        <v>-183</v>
      </c>
      <c r="J20" s="39" t="n">
        <f aca="false">IF(OR(D20="",D20+G20=0),"",D20/(D20+G20))</f>
        <v>0.356790349113508</v>
      </c>
      <c r="K20" s="39" t="n">
        <f aca="false">IF(E20="","",E20/(E20+H20))</f>
        <v>0.356061923812837</v>
      </c>
      <c r="L20" s="52" t="n">
        <f aca="false">IF(OR(K20="",J20=""),"",(J20-K20)*100)</f>
        <v>0.0728425300670577</v>
      </c>
      <c r="M20" s="38"/>
    </row>
    <row r="21" customFormat="false" ht="15" hidden="false" customHeight="false" outlineLevel="0" collapsed="false">
      <c r="A21" s="38" t="s">
        <v>86</v>
      </c>
      <c r="B21" s="38" t="s">
        <v>111</v>
      </c>
      <c r="C21" s="38" t="s">
        <v>88</v>
      </c>
      <c r="D21" s="21" t="n">
        <v>702</v>
      </c>
      <c r="E21" s="21" t="n">
        <v>660</v>
      </c>
      <c r="F21" s="51" t="n">
        <f aca="false">IF(E21="","",D21-E21)</f>
        <v>42</v>
      </c>
      <c r="G21" s="21" t="n">
        <v>835</v>
      </c>
      <c r="H21" s="21" t="n">
        <v>913</v>
      </c>
      <c r="I21" s="51" t="n">
        <f aca="false">IF(H21="","",G21-H21)</f>
        <v>-78</v>
      </c>
      <c r="J21" s="39" t="n">
        <f aca="false">IF(OR(D21="",D21+G21=0),"",D21/(D21+G21))</f>
        <v>0.456733897202342</v>
      </c>
      <c r="K21" s="39" t="n">
        <f aca="false">IF(E21="","",E21/(E21+H21))</f>
        <v>0.41958041958042</v>
      </c>
      <c r="L21" s="52" t="n">
        <f aca="false">IF(OR(K21="",J21=""),"",(J21-K21)*100)</f>
        <v>3.71534776219226</v>
      </c>
      <c r="M21" s="38"/>
    </row>
    <row r="22" customFormat="false" ht="15" hidden="false" customHeight="false" outlineLevel="0" collapsed="false">
      <c r="A22" s="38" t="s">
        <v>86</v>
      </c>
      <c r="B22" s="38" t="s">
        <v>112</v>
      </c>
      <c r="C22" s="38" t="s">
        <v>88</v>
      </c>
      <c r="D22" s="21" t="n">
        <v>768</v>
      </c>
      <c r="E22" s="21" t="n">
        <v>802</v>
      </c>
      <c r="F22" s="51" t="n">
        <f aca="false">IF(E22="","",D22-E22)</f>
        <v>-34</v>
      </c>
      <c r="G22" s="21" t="n">
        <v>1847</v>
      </c>
      <c r="H22" s="21" t="n">
        <v>1955</v>
      </c>
      <c r="I22" s="51" t="n">
        <f aca="false">IF(H22="","",G22-H22)</f>
        <v>-108</v>
      </c>
      <c r="J22" s="39" t="n">
        <f aca="false">IF(OR(D22="",D22+G22=0),"",D22/(D22+G22))</f>
        <v>0.293690248565966</v>
      </c>
      <c r="K22" s="39" t="n">
        <f aca="false">IF(E22="","",E22/(E22+H22))</f>
        <v>0.290895901342038</v>
      </c>
      <c r="L22" s="52" t="n">
        <f aca="false">IF(OR(K22="",J22=""),"",(J22-K22)*100)</f>
        <v>0.279434722392713</v>
      </c>
      <c r="M22" s="38"/>
    </row>
    <row r="23" customFormat="false" ht="15" hidden="false" customHeight="false" outlineLevel="0" collapsed="false">
      <c r="A23" s="38" t="s">
        <v>86</v>
      </c>
      <c r="B23" s="38" t="s">
        <v>113</v>
      </c>
      <c r="C23" s="38" t="s">
        <v>88</v>
      </c>
      <c r="D23" s="21" t="n">
        <v>370</v>
      </c>
      <c r="E23" s="21" t="n">
        <v>351</v>
      </c>
      <c r="F23" s="51" t="n">
        <f aca="false">IF(E23="","",D23-E23)</f>
        <v>19</v>
      </c>
      <c r="G23" s="21" t="n">
        <v>851</v>
      </c>
      <c r="H23" s="21" t="n">
        <v>849</v>
      </c>
      <c r="I23" s="51" t="n">
        <f aca="false">IF(H23="","",G23-H23)</f>
        <v>2</v>
      </c>
      <c r="J23" s="39" t="n">
        <f aca="false">IF(OR(D23="",D23+G23=0),"",D23/(D23+G23))</f>
        <v>0.303030303030303</v>
      </c>
      <c r="K23" s="39" t="n">
        <f aca="false">IF(E23="","",E23/(E23+H23))</f>
        <v>0.2925</v>
      </c>
      <c r="L23" s="52" t="n">
        <f aca="false">IF(OR(K23="",J23=""),"",(J23-K23)*100)</f>
        <v>1.05303030303031</v>
      </c>
      <c r="M23" s="38"/>
    </row>
    <row r="24" customFormat="false" ht="15" hidden="false" customHeight="false" outlineLevel="0" collapsed="false">
      <c r="A24" s="38" t="s">
        <v>86</v>
      </c>
      <c r="B24" s="38" t="s">
        <v>114</v>
      </c>
      <c r="C24" s="38" t="s">
        <v>88</v>
      </c>
      <c r="D24" s="21" t="n">
        <v>65</v>
      </c>
      <c r="E24" s="21" t="n">
        <v>58</v>
      </c>
      <c r="F24" s="51" t="n">
        <f aca="false">IF(E24="","",D24-E24)</f>
        <v>7</v>
      </c>
      <c r="G24" s="21" t="n">
        <v>88</v>
      </c>
      <c r="H24" s="21" t="n">
        <v>105</v>
      </c>
      <c r="I24" s="51" t="n">
        <f aca="false">IF(H24="","",G24-H24)</f>
        <v>-17</v>
      </c>
      <c r="J24" s="39" t="n">
        <f aca="false">IF(OR(D24="",D24+G24=0),"",D24/(D24+G24))</f>
        <v>0.42483660130719</v>
      </c>
      <c r="K24" s="39" t="n">
        <f aca="false">IF(E24="","",E24/(E24+H24))</f>
        <v>0.355828220858896</v>
      </c>
      <c r="L24" s="52" t="n">
        <f aca="false">IF(OR(K24="",J24=""),"",(J24-K24)*100)</f>
        <v>6.90083804482938</v>
      </c>
      <c r="M24" s="38"/>
    </row>
    <row r="25" customFormat="false" ht="15" hidden="false" customHeight="false" outlineLevel="0" collapsed="false">
      <c r="A25" s="38" t="s">
        <v>115</v>
      </c>
      <c r="B25" s="38" t="s">
        <v>116</v>
      </c>
      <c r="C25" s="38" t="s">
        <v>88</v>
      </c>
      <c r="D25" s="21" t="n">
        <v>662</v>
      </c>
      <c r="E25" s="21" t="n">
        <v>601</v>
      </c>
      <c r="F25" s="51" t="n">
        <f aca="false">IF(E25="","",D25-E25)</f>
        <v>61</v>
      </c>
      <c r="G25" s="21" t="n">
        <v>717</v>
      </c>
      <c r="H25" s="21" t="n">
        <v>766</v>
      </c>
      <c r="I25" s="51" t="n">
        <f aca="false">IF(H25="","",G25-H25)</f>
        <v>-49</v>
      </c>
      <c r="J25" s="39" t="n">
        <f aca="false">IF(OR(D25="",D25+G25=0),"",D25/(D25+G25))</f>
        <v>0.480058013052937</v>
      </c>
      <c r="K25" s="39" t="n">
        <f aca="false">IF(E25="","",E25/(E25+H25))</f>
        <v>0.439648866130212</v>
      </c>
      <c r="L25" s="52" t="n">
        <f aca="false">IF(OR(K25="",J25=""),"",(J25-K25)*100)</f>
        <v>4.04091469227248</v>
      </c>
      <c r="M25" s="38"/>
    </row>
    <row r="26" customFormat="false" ht="15" hidden="false" customHeight="false" outlineLevel="0" collapsed="false">
      <c r="A26" s="38" t="s">
        <v>115</v>
      </c>
      <c r="B26" s="38" t="s">
        <v>117</v>
      </c>
      <c r="C26" s="38" t="s">
        <v>88</v>
      </c>
      <c r="D26" s="21" t="n">
        <v>28943</v>
      </c>
      <c r="E26" s="21" t="n">
        <v>26568</v>
      </c>
      <c r="F26" s="51" t="n">
        <f aca="false">IF(E26="","",D26-E26)</f>
        <v>2375</v>
      </c>
      <c r="G26" s="21" t="n">
        <v>11947</v>
      </c>
      <c r="H26" s="21" t="n">
        <v>14583</v>
      </c>
      <c r="I26" s="51" t="n">
        <f aca="false">IF(H26="","",G26-H26)</f>
        <v>-2636</v>
      </c>
      <c r="J26" s="39" t="n">
        <f aca="false">IF(OR(D26="",D26+G26=0),"",D26/(D26+G26))</f>
        <v>0.707825874296894</v>
      </c>
      <c r="K26" s="39" t="n">
        <f aca="false">IF(E26="","",E26/(E26+H26))</f>
        <v>0.645622220602172</v>
      </c>
      <c r="L26" s="52" t="n">
        <f aca="false">IF(OR(K26="",J26=""),"",(J26-K26)*100)</f>
        <v>6.22036536947217</v>
      </c>
      <c r="M26" s="38"/>
    </row>
    <row r="27" customFormat="false" ht="15" hidden="false" customHeight="false" outlineLevel="0" collapsed="false">
      <c r="A27" s="38" t="s">
        <v>115</v>
      </c>
      <c r="B27" s="38" t="s">
        <v>118</v>
      </c>
      <c r="C27" s="38" t="s">
        <v>88</v>
      </c>
      <c r="D27" s="21" t="n">
        <v>6951</v>
      </c>
      <c r="E27" s="21" t="n">
        <v>6612</v>
      </c>
      <c r="F27" s="51" t="n">
        <f aca="false">IF(E27="","",D27-E27)</f>
        <v>339</v>
      </c>
      <c r="G27" s="21" t="n">
        <v>3308</v>
      </c>
      <c r="H27" s="21" t="n">
        <v>3834</v>
      </c>
      <c r="I27" s="51" t="n">
        <f aca="false">IF(H27="","",G27-H27)</f>
        <v>-526</v>
      </c>
      <c r="J27" s="39" t="n">
        <f aca="false">IF(OR(D27="",D27+G27=0),"",D27/(D27+G27))</f>
        <v>0.677551418266888</v>
      </c>
      <c r="K27" s="39" t="n">
        <f aca="false">IF(E27="","",E27/(E27+H27))</f>
        <v>0.632969557725445</v>
      </c>
      <c r="L27" s="52" t="n">
        <f aca="false">IF(OR(K27="",J27=""),"",(J27-K27)*100)</f>
        <v>4.45818605414424</v>
      </c>
      <c r="M27" s="38"/>
    </row>
    <row r="28" customFormat="false" ht="15" hidden="false" customHeight="false" outlineLevel="0" collapsed="false">
      <c r="A28" s="38" t="s">
        <v>115</v>
      </c>
      <c r="B28" s="38" t="s">
        <v>119</v>
      </c>
      <c r="C28" s="38" t="s">
        <v>88</v>
      </c>
      <c r="D28" s="21" t="n">
        <v>1646</v>
      </c>
      <c r="E28" s="21" t="n">
        <v>1560</v>
      </c>
      <c r="F28" s="51" t="n">
        <f aca="false">IF(E28="","",D28-E28)</f>
        <v>86</v>
      </c>
      <c r="G28" s="21" t="n">
        <v>1432</v>
      </c>
      <c r="H28" s="21" t="n">
        <v>1491</v>
      </c>
      <c r="I28" s="51" t="n">
        <f aca="false">IF(H28="","",G28-H28)</f>
        <v>-59</v>
      </c>
      <c r="J28" s="39" t="n">
        <f aca="false">IF(OR(D28="",D28+G28=0),"",D28/(D28+G28))</f>
        <v>0.534762833008447</v>
      </c>
      <c r="K28" s="39" t="n">
        <f aca="false">IF(E28="","",E28/(E28+H28))</f>
        <v>0.511307767944936</v>
      </c>
      <c r="L28" s="52" t="n">
        <f aca="false">IF(OR(K28="",J28=""),"",(J28-K28)*100)</f>
        <v>2.3455065063511</v>
      </c>
      <c r="M28" s="38"/>
    </row>
    <row r="29" customFormat="false" ht="15" hidden="false" customHeight="false" outlineLevel="0" collapsed="false">
      <c r="A29" s="38" t="s">
        <v>115</v>
      </c>
      <c r="B29" s="38" t="s">
        <v>120</v>
      </c>
      <c r="C29" s="38" t="s">
        <v>88</v>
      </c>
      <c r="D29" s="21" t="n">
        <v>724</v>
      </c>
      <c r="E29" s="21" t="n">
        <v>735</v>
      </c>
      <c r="F29" s="51" t="n">
        <f aca="false">IF(E29="","",D29-E29)</f>
        <v>-11</v>
      </c>
      <c r="G29" s="21" t="n">
        <v>771</v>
      </c>
      <c r="H29" s="21" t="n">
        <v>804</v>
      </c>
      <c r="I29" s="51" t="n">
        <f aca="false">IF(H29="","",G29-H29)</f>
        <v>-33</v>
      </c>
      <c r="J29" s="39" t="n">
        <f aca="false">IF(OR(D29="",D29+G29=0),"",D29/(D29+G29))</f>
        <v>0.48428093645485</v>
      </c>
      <c r="K29" s="39" t="n">
        <f aca="false">IF(E29="","",E29/(E29+H29))</f>
        <v>0.477582846003899</v>
      </c>
      <c r="L29" s="52" t="n">
        <f aca="false">IF(OR(K29="",J29=""),"",(J29-K29)*100)</f>
        <v>0.669809045095088</v>
      </c>
      <c r="M29" s="38"/>
    </row>
    <row r="30" customFormat="false" ht="15" hidden="false" customHeight="false" outlineLevel="0" collapsed="false">
      <c r="A30" s="38" t="s">
        <v>115</v>
      </c>
      <c r="B30" s="38" t="s">
        <v>121</v>
      </c>
      <c r="C30" s="38" t="s">
        <v>88</v>
      </c>
      <c r="D30" s="21" t="n">
        <v>921</v>
      </c>
      <c r="E30" s="21" t="n">
        <v>899</v>
      </c>
      <c r="F30" s="51" t="n">
        <f aca="false">IF(E30="","",D30-E30)</f>
        <v>22</v>
      </c>
      <c r="G30" s="21" t="n">
        <v>827</v>
      </c>
      <c r="H30" s="21" t="n">
        <v>898</v>
      </c>
      <c r="I30" s="51" t="n">
        <f aca="false">IF(H30="","",G30-H30)</f>
        <v>-71</v>
      </c>
      <c r="J30" s="39" t="n">
        <f aca="false">IF(OR(D30="",D30+G30=0),"",D30/(D30+G30))</f>
        <v>0.526887871853547</v>
      </c>
      <c r="K30" s="39" t="n">
        <f aca="false">IF(E30="","",E30/(E30+H30))</f>
        <v>0.500278241513634</v>
      </c>
      <c r="L30" s="52" t="n">
        <f aca="false">IF(OR(K30="",J30=""),"",(J30-K30)*100)</f>
        <v>2.6609630339913</v>
      </c>
      <c r="M30" s="38"/>
    </row>
    <row r="31" customFormat="false" ht="15" hidden="false" customHeight="false" outlineLevel="0" collapsed="false">
      <c r="A31" s="38" t="s">
        <v>115</v>
      </c>
      <c r="B31" s="38" t="s">
        <v>122</v>
      </c>
      <c r="C31" s="38" t="s">
        <v>88</v>
      </c>
      <c r="D31" s="21" t="n">
        <v>3475</v>
      </c>
      <c r="E31" s="21" t="n">
        <v>3663</v>
      </c>
      <c r="F31" s="51" t="n">
        <f aca="false">IF(E31="","",D31-E31)</f>
        <v>-188</v>
      </c>
      <c r="G31" s="21" t="n">
        <v>2996</v>
      </c>
      <c r="H31" s="21" t="n">
        <v>3236</v>
      </c>
      <c r="I31" s="51" t="n">
        <f aca="false">IF(H31="","",G31-H31)</f>
        <v>-240</v>
      </c>
      <c r="J31" s="39" t="n">
        <f aca="false">IF(OR(D31="",D31+G31=0),"",D31/(D31+G31))</f>
        <v>0.537011281100294</v>
      </c>
      <c r="K31" s="39" t="n">
        <f aca="false">IF(E31="","",E31/(E31+H31))</f>
        <v>0.530946513987535</v>
      </c>
      <c r="L31" s="52" t="n">
        <f aca="false">IF(OR(K31="",J31=""),"",(J31-K31)*100)</f>
        <v>0.606476711275916</v>
      </c>
      <c r="M31" s="38"/>
    </row>
    <row r="32" customFormat="false" ht="15" hidden="false" customHeight="false" outlineLevel="0" collapsed="false">
      <c r="A32" s="38" t="s">
        <v>115</v>
      </c>
      <c r="B32" s="38" t="s">
        <v>123</v>
      </c>
      <c r="C32" s="38" t="s">
        <v>88</v>
      </c>
      <c r="D32" s="21" t="n">
        <v>1552</v>
      </c>
      <c r="E32" s="21" t="n">
        <v>1433</v>
      </c>
      <c r="F32" s="51" t="n">
        <f aca="false">IF(E32="","",D32-E32)</f>
        <v>119</v>
      </c>
      <c r="G32" s="21" t="n">
        <v>666</v>
      </c>
      <c r="H32" s="21" t="n">
        <v>793</v>
      </c>
      <c r="I32" s="51" t="n">
        <f aca="false">IF(H32="","",G32-H32)</f>
        <v>-127</v>
      </c>
      <c r="J32" s="39" t="n">
        <f aca="false">IF(OR(D32="",D32+G32=0),"",D32/(D32+G32))</f>
        <v>0.699729486023445</v>
      </c>
      <c r="K32" s="39" t="n">
        <f aca="false">IF(E32="","",E32/(E32+H32))</f>
        <v>0.643755615453729</v>
      </c>
      <c r="L32" s="52" t="n">
        <f aca="false">IF(OR(K32="",J32=""),"",(J32-K32)*100)</f>
        <v>5.59738705697159</v>
      </c>
      <c r="M32" s="38"/>
    </row>
    <row r="33" customFormat="false" ht="15" hidden="false" customHeight="false" outlineLevel="0" collapsed="false">
      <c r="A33" s="38" t="s">
        <v>115</v>
      </c>
      <c r="B33" s="38" t="s">
        <v>124</v>
      </c>
      <c r="C33" s="38" t="s">
        <v>88</v>
      </c>
      <c r="D33" s="21" t="n">
        <v>385</v>
      </c>
      <c r="E33" s="21" t="n">
        <v>379</v>
      </c>
      <c r="F33" s="51" t="n">
        <f aca="false">IF(E33="","",D33-E33)</f>
        <v>6</v>
      </c>
      <c r="G33" s="21" t="n">
        <v>324</v>
      </c>
      <c r="H33" s="21" t="n">
        <v>330</v>
      </c>
      <c r="I33" s="51" t="n">
        <f aca="false">IF(H33="","",G33-H33)</f>
        <v>-6</v>
      </c>
      <c r="J33" s="39" t="n">
        <f aca="false">IF(OR(D33="",D33+G33=0),"",D33/(D33+G33))</f>
        <v>0.543018335684062</v>
      </c>
      <c r="K33" s="39" t="n">
        <f aca="false">IF(E33="","",E33/(E33+H33))</f>
        <v>0.534555712270804</v>
      </c>
      <c r="L33" s="52" t="n">
        <f aca="false">IF(OR(K33="",J33=""),"",(J33-K33)*100)</f>
        <v>0.846262341325821</v>
      </c>
      <c r="M33" s="38"/>
    </row>
    <row r="34" customFormat="false" ht="15" hidden="false" customHeight="false" outlineLevel="0" collapsed="false">
      <c r="A34" s="38" t="s">
        <v>115</v>
      </c>
      <c r="B34" s="38" t="s">
        <v>125</v>
      </c>
      <c r="C34" s="38" t="s">
        <v>88</v>
      </c>
      <c r="D34" s="21" t="n">
        <v>626</v>
      </c>
      <c r="E34" s="21" t="n">
        <v>654</v>
      </c>
      <c r="F34" s="51" t="n">
        <f aca="false">IF(E34="","",D34-E34)</f>
        <v>-28</v>
      </c>
      <c r="G34" s="21" t="n">
        <v>1315</v>
      </c>
      <c r="H34" s="21" t="n">
        <v>1439</v>
      </c>
      <c r="I34" s="51" t="n">
        <f aca="false">IF(H34="","",G34-H34)</f>
        <v>-124</v>
      </c>
      <c r="J34" s="39" t="n">
        <f aca="false">IF(OR(D34="",D34+G34=0),"",D34/(D34+G34))</f>
        <v>0.322514167954663</v>
      </c>
      <c r="K34" s="39" t="n">
        <f aca="false">IF(E34="","",E34/(E34+H34))</f>
        <v>0.312470138557095</v>
      </c>
      <c r="L34" s="52" t="n">
        <f aca="false">IF(OR(K34="",J34=""),"",(J34-K34)*100)</f>
        <v>1.00440293975674</v>
      </c>
      <c r="M34" s="38"/>
    </row>
    <row r="35" customFormat="false" ht="15" hidden="false" customHeight="false" outlineLevel="0" collapsed="false">
      <c r="A35" s="38" t="s">
        <v>115</v>
      </c>
      <c r="B35" s="38" t="s">
        <v>126</v>
      </c>
      <c r="C35" s="38" t="s">
        <v>88</v>
      </c>
      <c r="D35" s="21" t="n">
        <v>10041</v>
      </c>
      <c r="E35" s="21" t="n">
        <v>10021</v>
      </c>
      <c r="F35" s="51" t="n">
        <f aca="false">IF(E35="","",D35-E35)</f>
        <v>20</v>
      </c>
      <c r="G35" s="21" t="n">
        <v>9755</v>
      </c>
      <c r="H35" s="21" t="n">
        <v>10199</v>
      </c>
      <c r="I35" s="51" t="n">
        <f aca="false">IF(H35="","",G35-H35)</f>
        <v>-444</v>
      </c>
      <c r="J35" s="39" t="n">
        <f aca="false">IF(OR(D35="",D35+G35=0),"",D35/(D35+G35))</f>
        <v>0.507223681551829</v>
      </c>
      <c r="K35" s="39" t="n">
        <f aca="false">IF(E35="","",E35/(E35+H35))</f>
        <v>0.495598417408506</v>
      </c>
      <c r="L35" s="52" t="n">
        <f aca="false">IF(OR(K35="",J35=""),"",(J35-K35)*100)</f>
        <v>1.16252641433222</v>
      </c>
      <c r="M35" s="38"/>
    </row>
    <row r="36" customFormat="false" ht="15" hidden="false" customHeight="false" outlineLevel="0" collapsed="false">
      <c r="A36" s="38" t="s">
        <v>115</v>
      </c>
      <c r="B36" s="38" t="s">
        <v>127</v>
      </c>
      <c r="C36" s="38" t="s">
        <v>88</v>
      </c>
      <c r="D36" s="21" t="n">
        <v>932</v>
      </c>
      <c r="E36" s="21" t="n">
        <v>985</v>
      </c>
      <c r="F36" s="51" t="n">
        <f aca="false">IF(E36="","",D36-E36)</f>
        <v>-53</v>
      </c>
      <c r="G36" s="21" t="n">
        <v>1584</v>
      </c>
      <c r="H36" s="21" t="n">
        <v>1586</v>
      </c>
      <c r="I36" s="51" t="n">
        <f aca="false">IF(H36="","",G36-H36)</f>
        <v>-2</v>
      </c>
      <c r="J36" s="39" t="n">
        <f aca="false">IF(OR(D36="",D36+G36=0),"",D36/(D36+G36))</f>
        <v>0.370429252782194</v>
      </c>
      <c r="K36" s="39" t="n">
        <f aca="false">IF(E36="","",E36/(E36+H36))</f>
        <v>0.383119408790354</v>
      </c>
      <c r="L36" s="52" t="n">
        <f aca="false">IF(OR(K36="",J36=""),"",(J36-K36)*100)</f>
        <v>-1.269015600816</v>
      </c>
      <c r="M36" s="38"/>
    </row>
    <row r="37" customFormat="false" ht="15" hidden="false" customHeight="false" outlineLevel="0" collapsed="false">
      <c r="A37" s="38" t="s">
        <v>115</v>
      </c>
      <c r="B37" s="38" t="s">
        <v>128</v>
      </c>
      <c r="C37" s="38" t="s">
        <v>88</v>
      </c>
      <c r="D37" s="21" t="n">
        <v>529</v>
      </c>
      <c r="E37" s="21" t="n">
        <v>543</v>
      </c>
      <c r="F37" s="51" t="n">
        <f aca="false">IF(E37="","",D37-E37)</f>
        <v>-14</v>
      </c>
      <c r="G37" s="21" t="n">
        <v>959</v>
      </c>
      <c r="H37" s="21" t="n">
        <v>990</v>
      </c>
      <c r="I37" s="51" t="n">
        <f aca="false">IF(H37="","",G37-H37)</f>
        <v>-31</v>
      </c>
      <c r="J37" s="39" t="n">
        <f aca="false">IF(OR(D37="",D37+G37=0),"",D37/(D37+G37))</f>
        <v>0.355510752688172</v>
      </c>
      <c r="K37" s="39" t="n">
        <f aca="false">IF(E37="","",E37/(E37+H37))</f>
        <v>0.354207436399217</v>
      </c>
      <c r="L37" s="52" t="n">
        <f aca="false">IF(OR(K37="",J37=""),"",(J37-K37)*100)</f>
        <v>0.130331628895486</v>
      </c>
      <c r="M37" s="38"/>
    </row>
    <row r="38" customFormat="false" ht="15" hidden="false" customHeight="false" outlineLevel="0" collapsed="false">
      <c r="A38" s="38" t="s">
        <v>115</v>
      </c>
      <c r="B38" s="38" t="s">
        <v>129</v>
      </c>
      <c r="C38" s="38" t="s">
        <v>88</v>
      </c>
      <c r="D38" s="21" t="n">
        <v>862</v>
      </c>
      <c r="E38" s="21" t="n">
        <v>850</v>
      </c>
      <c r="F38" s="51" t="n">
        <f aca="false">IF(E38="","",D38-E38)</f>
        <v>12</v>
      </c>
      <c r="G38" s="21" t="n">
        <v>1767</v>
      </c>
      <c r="H38" s="21" t="n">
        <v>1856</v>
      </c>
      <c r="I38" s="51" t="n">
        <f aca="false">IF(H38="","",G38-H38)</f>
        <v>-89</v>
      </c>
      <c r="J38" s="39" t="n">
        <f aca="false">IF(OR(D38="",D38+G38=0),"",D38/(D38+G38))</f>
        <v>0.327881323697223</v>
      </c>
      <c r="K38" s="39" t="n">
        <f aca="false">IF(E38="","",E38/(E38+H38))</f>
        <v>0.314116777531412</v>
      </c>
      <c r="L38" s="52" t="n">
        <f aca="false">IF(OR(K38="",J38=""),"",(J38-K38)*100)</f>
        <v>1.37645461658116</v>
      </c>
      <c r="M38" s="38"/>
    </row>
    <row r="39" customFormat="false" ht="15" hidden="false" customHeight="false" outlineLevel="0" collapsed="false">
      <c r="A39" s="38" t="s">
        <v>115</v>
      </c>
      <c r="B39" s="38" t="s">
        <v>130</v>
      </c>
      <c r="C39" s="38" t="s">
        <v>88</v>
      </c>
      <c r="D39" s="21" t="n">
        <v>991</v>
      </c>
      <c r="E39" s="21" t="n">
        <v>980</v>
      </c>
      <c r="F39" s="51" t="n">
        <f aca="false">IF(E39="","",D39-E39)</f>
        <v>11</v>
      </c>
      <c r="G39" s="21" t="n">
        <v>866</v>
      </c>
      <c r="H39" s="21" t="n">
        <v>872</v>
      </c>
      <c r="I39" s="51" t="n">
        <f aca="false">IF(H39="","",G39-H39)</f>
        <v>-6</v>
      </c>
      <c r="J39" s="39" t="n">
        <f aca="false">IF(OR(D39="",D39+G39=0),"",D39/(D39+G39))</f>
        <v>0.533656435110393</v>
      </c>
      <c r="K39" s="39" t="n">
        <f aca="false">IF(E39="","",E39/(E39+H39))</f>
        <v>0.529157667386609</v>
      </c>
      <c r="L39" s="52" t="n">
        <f aca="false">IF(OR(K39="",J39=""),"",(J39-K39)*100)</f>
        <v>0.449876772378399</v>
      </c>
      <c r="M39" s="38"/>
    </row>
    <row r="40" customFormat="false" ht="15" hidden="false" customHeight="false" outlineLevel="0" collapsed="false">
      <c r="A40" s="38" t="s">
        <v>115</v>
      </c>
      <c r="B40" s="38" t="s">
        <v>131</v>
      </c>
      <c r="C40" s="38" t="s">
        <v>88</v>
      </c>
      <c r="D40" s="21" t="n">
        <v>4101</v>
      </c>
      <c r="E40" s="21" t="n">
        <v>4022</v>
      </c>
      <c r="F40" s="51" t="n">
        <f aca="false">IF(E40="","",D40-E40)</f>
        <v>79</v>
      </c>
      <c r="G40" s="21" t="n">
        <v>5658</v>
      </c>
      <c r="H40" s="21" t="n">
        <v>5915</v>
      </c>
      <c r="I40" s="51" t="n">
        <f aca="false">IF(H40="","",G40-H40)</f>
        <v>-257</v>
      </c>
      <c r="J40" s="39" t="n">
        <f aca="false">IF(OR(D40="",D40+G40=0),"",D40/(D40+G40))</f>
        <v>0.420227482324009</v>
      </c>
      <c r="K40" s="39" t="n">
        <f aca="false">IF(E40="","",E40/(E40+H40))</f>
        <v>0.404749924524504</v>
      </c>
      <c r="L40" s="52" t="n">
        <f aca="false">IF(OR(K40="",J40=""),"",(J40-K40)*100)</f>
        <v>1.54775577995042</v>
      </c>
      <c r="M40" s="38"/>
    </row>
    <row r="41" customFormat="false" ht="15" hidden="false" customHeight="false" outlineLevel="0" collapsed="false">
      <c r="A41" s="38" t="s">
        <v>115</v>
      </c>
      <c r="B41" s="38" t="s">
        <v>132</v>
      </c>
      <c r="C41" s="38" t="s">
        <v>88</v>
      </c>
      <c r="D41" s="21" t="n">
        <v>4099</v>
      </c>
      <c r="E41" s="21" t="n">
        <v>4010</v>
      </c>
      <c r="F41" s="51" t="n">
        <f aca="false">IF(E41="","",D41-E41)</f>
        <v>89</v>
      </c>
      <c r="G41" s="21" t="n">
        <v>4073</v>
      </c>
      <c r="H41" s="21" t="n">
        <v>4104</v>
      </c>
      <c r="I41" s="51" t="n">
        <f aca="false">IF(H41="","",G41-H41)</f>
        <v>-31</v>
      </c>
      <c r="J41" s="39" t="n">
        <f aca="false">IF(OR(D41="",D41+G41=0),"",D41/(D41+G41))</f>
        <v>0.501590797846304</v>
      </c>
      <c r="K41" s="39" t="n">
        <f aca="false">IF(E41="","",E41/(E41+H41))</f>
        <v>0.494207542519103</v>
      </c>
      <c r="L41" s="52" t="n">
        <f aca="false">IF(OR(K41="",J41=""),"",(J41-K41)*100)</f>
        <v>0.738325532720169</v>
      </c>
      <c r="M41" s="38"/>
    </row>
    <row r="42" customFormat="false" ht="15" hidden="false" customHeight="false" outlineLevel="0" collapsed="false">
      <c r="A42" s="38" t="s">
        <v>115</v>
      </c>
      <c r="B42" s="38" t="s">
        <v>133</v>
      </c>
      <c r="C42" s="38" t="s">
        <v>88</v>
      </c>
      <c r="D42" s="21" t="n">
        <v>831</v>
      </c>
      <c r="E42" s="21" t="n">
        <v>800</v>
      </c>
      <c r="F42" s="51" t="n">
        <f aca="false">IF(E42="","",D42-E42)</f>
        <v>31</v>
      </c>
      <c r="G42" s="21" t="n">
        <v>1066</v>
      </c>
      <c r="H42" s="21" t="n">
        <v>1156</v>
      </c>
      <c r="I42" s="51" t="n">
        <f aca="false">IF(H42="","",G42-H42)</f>
        <v>-90</v>
      </c>
      <c r="J42" s="39" t="n">
        <f aca="false">IF(OR(D42="",D42+G42=0),"",D42/(D42+G42))</f>
        <v>0.438060094886663</v>
      </c>
      <c r="K42" s="39" t="n">
        <f aca="false">IF(E42="","",E42/(E42+H42))</f>
        <v>0.408997955010225</v>
      </c>
      <c r="L42" s="52" t="n">
        <f aca="false">IF(OR(K42="",J42=""),"",(J42-K42)*100)</f>
        <v>2.90621398764382</v>
      </c>
      <c r="M42" s="38"/>
    </row>
    <row r="43" customFormat="false" ht="15" hidden="false" customHeight="false" outlineLevel="0" collapsed="false">
      <c r="A43" s="38" t="s">
        <v>115</v>
      </c>
      <c r="B43" s="38" t="s">
        <v>134</v>
      </c>
      <c r="C43" s="38" t="s">
        <v>88</v>
      </c>
      <c r="D43" s="21" t="n">
        <v>6694</v>
      </c>
      <c r="E43" s="21" t="n">
        <v>7019</v>
      </c>
      <c r="F43" s="51" t="n">
        <f aca="false">IF(E43="","",D43-E43)</f>
        <v>-325</v>
      </c>
      <c r="G43" s="21" t="n">
        <v>5830</v>
      </c>
      <c r="H43" s="21" t="n">
        <v>6110</v>
      </c>
      <c r="I43" s="51" t="n">
        <f aca="false">IF(H43="","",G43-H43)</f>
        <v>-280</v>
      </c>
      <c r="J43" s="39" t="n">
        <f aca="false">IF(OR(D43="",D43+G43=0),"",D43/(D43+G43))</f>
        <v>0.534493771957841</v>
      </c>
      <c r="K43" s="39" t="n">
        <f aca="false">IF(E43="","",E43/(E43+H43))</f>
        <v>0.534618021174499</v>
      </c>
      <c r="L43" s="52" t="n">
        <f aca="false">IF(OR(K43="",J43=""),"",(J43-K43)*100)</f>
        <v>-0.0124249216658212</v>
      </c>
      <c r="M43" s="38"/>
    </row>
    <row r="44" customFormat="false" ht="15" hidden="false" customHeight="false" outlineLevel="0" collapsed="false">
      <c r="A44" s="38" t="s">
        <v>115</v>
      </c>
      <c r="B44" s="38" t="s">
        <v>135</v>
      </c>
      <c r="C44" s="38" t="s">
        <v>88</v>
      </c>
      <c r="D44" s="21" t="n">
        <v>7738</v>
      </c>
      <c r="E44" s="21" t="n">
        <v>8020</v>
      </c>
      <c r="F44" s="51" t="n">
        <f aca="false">IF(E44="","",D44-E44)</f>
        <v>-282</v>
      </c>
      <c r="G44" s="21" t="n">
        <v>6768</v>
      </c>
      <c r="H44" s="21" t="n">
        <v>7607</v>
      </c>
      <c r="I44" s="51" t="n">
        <f aca="false">IF(H44="","",G44-H44)</f>
        <v>-839</v>
      </c>
      <c r="J44" s="39" t="n">
        <f aca="false">IF(OR(D44="",D44+G44=0),"",D44/(D44+G44))</f>
        <v>0.533434440920998</v>
      </c>
      <c r="K44" s="39" t="n">
        <f aca="false">IF(E44="","",E44/(E44+H44))</f>
        <v>0.513214308568503</v>
      </c>
      <c r="L44" s="52" t="n">
        <f aca="false">IF(OR(K44="",J44=""),"",(J44-K44)*100)</f>
        <v>2.0220132352495</v>
      </c>
      <c r="M44" s="38"/>
    </row>
    <row r="45" customFormat="false" ht="15" hidden="false" customHeight="false" outlineLevel="0" collapsed="false">
      <c r="A45" s="38" t="s">
        <v>115</v>
      </c>
      <c r="B45" s="38" t="s">
        <v>136</v>
      </c>
      <c r="C45" s="38" t="s">
        <v>88</v>
      </c>
      <c r="D45" s="21" t="n">
        <v>2289</v>
      </c>
      <c r="E45" s="21" t="n">
        <v>2380</v>
      </c>
      <c r="F45" s="51" t="n">
        <f aca="false">IF(E45="","",D45-E45)</f>
        <v>-91</v>
      </c>
      <c r="G45" s="21" t="n">
        <v>2888</v>
      </c>
      <c r="H45" s="21" t="n">
        <v>3135</v>
      </c>
      <c r="I45" s="51" t="n">
        <f aca="false">IF(H45="","",G45-H45)</f>
        <v>-247</v>
      </c>
      <c r="J45" s="39" t="n">
        <f aca="false">IF(OR(D45="",D45+G45=0),"",D45/(D45+G45))</f>
        <v>0.442147962140236</v>
      </c>
      <c r="K45" s="39" t="n">
        <f aca="false">IF(E45="","",E45/(E45+H45))</f>
        <v>0.43155031731641</v>
      </c>
      <c r="L45" s="52" t="n">
        <f aca="false">IF(OR(K45="",J45=""),"",(J45-K45)*100)</f>
        <v>1.05976448238259</v>
      </c>
      <c r="M45" s="38"/>
    </row>
    <row r="46" customFormat="false" ht="15" hidden="false" customHeight="false" outlineLevel="0" collapsed="false">
      <c r="A46" s="38" t="s">
        <v>115</v>
      </c>
      <c r="B46" s="38" t="s">
        <v>137</v>
      </c>
      <c r="C46" s="38" t="s">
        <v>88</v>
      </c>
      <c r="D46" s="21" t="n">
        <v>5107</v>
      </c>
      <c r="E46" s="21" t="n">
        <v>5462</v>
      </c>
      <c r="F46" s="51" t="n">
        <f aca="false">IF(E46="","",D46-E46)</f>
        <v>-355</v>
      </c>
      <c r="G46" s="21" t="n">
        <v>5211</v>
      </c>
      <c r="H46" s="21" t="n">
        <v>5740</v>
      </c>
      <c r="I46" s="51" t="n">
        <f aca="false">IF(H46="","",G46-H46)</f>
        <v>-529</v>
      </c>
      <c r="J46" s="39" t="n">
        <f aca="false">IF(OR(D46="",D46+G46=0),"",D46/(D46+G46))</f>
        <v>0.49496026361698</v>
      </c>
      <c r="K46" s="39" t="n">
        <f aca="false">IF(E46="","",E46/(E46+H46))</f>
        <v>0.487591501517586</v>
      </c>
      <c r="L46" s="52" t="n">
        <f aca="false">IF(OR(K46="",J46=""),"",(J46-K46)*100)</f>
        <v>0.736876209939391</v>
      </c>
      <c r="M46" s="38"/>
    </row>
    <row r="47" customFormat="false" ht="15" hidden="false" customHeight="false" outlineLevel="0" collapsed="false">
      <c r="A47" s="38" t="s">
        <v>115</v>
      </c>
      <c r="B47" s="38" t="s">
        <v>138</v>
      </c>
      <c r="C47" s="38" t="s">
        <v>88</v>
      </c>
      <c r="D47" s="21" t="n">
        <v>1292</v>
      </c>
      <c r="E47" s="21" t="n">
        <v>1266</v>
      </c>
      <c r="F47" s="51" t="n">
        <f aca="false">IF(E47="","",D47-E47)</f>
        <v>26</v>
      </c>
      <c r="G47" s="21" t="n">
        <v>2517</v>
      </c>
      <c r="H47" s="21" t="n">
        <v>2669</v>
      </c>
      <c r="I47" s="51" t="n">
        <f aca="false">IF(H47="","",G47-H47)</f>
        <v>-152</v>
      </c>
      <c r="J47" s="39" t="n">
        <f aca="false">IF(OR(D47="",D47+G47=0),"",D47/(D47+G47))</f>
        <v>0.339196639537936</v>
      </c>
      <c r="K47" s="39" t="n">
        <f aca="false">IF(E47="","",E47/(E47+H47))</f>
        <v>0.321728081321474</v>
      </c>
      <c r="L47" s="52" t="n">
        <f aca="false">IF(OR(K47="",J47=""),"",(J47-K47)*100)</f>
        <v>1.74685582164625</v>
      </c>
      <c r="M47" s="38"/>
    </row>
    <row r="48" customFormat="false" ht="15" hidden="false" customHeight="false" outlineLevel="0" collapsed="false">
      <c r="A48" s="38" t="s">
        <v>115</v>
      </c>
      <c r="B48" s="38" t="s">
        <v>139</v>
      </c>
      <c r="C48" s="38" t="s">
        <v>88</v>
      </c>
      <c r="D48" s="21" t="n">
        <v>1140</v>
      </c>
      <c r="E48" s="21" t="n">
        <v>1172</v>
      </c>
      <c r="F48" s="51" t="n">
        <f aca="false">IF(E48="","",D48-E48)</f>
        <v>-32</v>
      </c>
      <c r="G48" s="21" t="n">
        <v>2089</v>
      </c>
      <c r="H48" s="21" t="n">
        <v>2201</v>
      </c>
      <c r="I48" s="51" t="n">
        <f aca="false">IF(H48="","",G48-H48)</f>
        <v>-112</v>
      </c>
      <c r="J48" s="39" t="n">
        <f aca="false">IF(OR(D48="",D48+G48=0),"",D48/(D48+G48))</f>
        <v>0.353050480024775</v>
      </c>
      <c r="K48" s="39" t="n">
        <f aca="false">IF(E48="","",E48/(E48+H48))</f>
        <v>0.347465164541951</v>
      </c>
      <c r="L48" s="52" t="n">
        <f aca="false">IF(OR(K48="",J48=""),"",(J48-K48)*100)</f>
        <v>0.558531548282465</v>
      </c>
      <c r="M48" s="38"/>
    </row>
    <row r="49" customFormat="false" ht="15" hidden="false" customHeight="false" outlineLevel="0" collapsed="false">
      <c r="A49" s="38" t="s">
        <v>115</v>
      </c>
      <c r="B49" s="38" t="s">
        <v>140</v>
      </c>
      <c r="C49" s="38" t="s">
        <v>88</v>
      </c>
      <c r="D49" s="21" t="n">
        <v>7482</v>
      </c>
      <c r="E49" s="21" t="n">
        <v>7383</v>
      </c>
      <c r="F49" s="51" t="n">
        <f aca="false">IF(E49="","",D49-E49)</f>
        <v>99</v>
      </c>
      <c r="G49" s="21" t="n">
        <v>6707</v>
      </c>
      <c r="H49" s="21" t="n">
        <v>7036</v>
      </c>
      <c r="I49" s="51" t="n">
        <f aca="false">IF(H49="","",G49-H49)</f>
        <v>-329</v>
      </c>
      <c r="J49" s="39" t="n">
        <f aca="false">IF(OR(D49="",D49+G49=0),"",D49/(D49+G49))</f>
        <v>0.527309887941363</v>
      </c>
      <c r="K49" s="39" t="n">
        <f aca="false">IF(E49="","",E49/(E49+H49))</f>
        <v>0.51203273458631</v>
      </c>
      <c r="L49" s="52" t="n">
        <f aca="false">IF(OR(K49="",J49=""),"",(J49-K49)*100)</f>
        <v>1.52771533550533</v>
      </c>
      <c r="M49" s="38"/>
    </row>
    <row r="50" customFormat="false" ht="15" hidden="false" customHeight="false" outlineLevel="0" collapsed="false">
      <c r="A50" s="38" t="s">
        <v>141</v>
      </c>
      <c r="B50" s="38" t="s">
        <v>142</v>
      </c>
      <c r="C50" s="38" t="s">
        <v>88</v>
      </c>
      <c r="D50" s="21" t="n">
        <v>465</v>
      </c>
      <c r="E50" s="21" t="n">
        <v>471</v>
      </c>
      <c r="F50" s="51" t="n">
        <f aca="false">IF(E50="","",D50-E50)</f>
        <v>-6</v>
      </c>
      <c r="G50" s="21" t="n">
        <v>1004</v>
      </c>
      <c r="H50" s="21" t="n">
        <v>1124</v>
      </c>
      <c r="I50" s="51" t="n">
        <f aca="false">IF(H50="","",G50-H50)</f>
        <v>-120</v>
      </c>
      <c r="J50" s="39" t="n">
        <f aca="false">IF(OR(D50="",D50+G50=0),"",D50/(D50+G50))</f>
        <v>0.316541865214432</v>
      </c>
      <c r="K50" s="39" t="n">
        <f aca="false">IF(E50="","",E50/(E50+H50))</f>
        <v>0.295297805642633</v>
      </c>
      <c r="L50" s="52" t="n">
        <f aca="false">IF(OR(K50="",J50=""),"",(J50-K50)*100)</f>
        <v>2.12440595717983</v>
      </c>
      <c r="M50" s="38"/>
    </row>
    <row r="51" customFormat="false" ht="15" hidden="false" customHeight="false" outlineLevel="0" collapsed="false">
      <c r="A51" s="38" t="s">
        <v>141</v>
      </c>
      <c r="B51" s="38" t="s">
        <v>143</v>
      </c>
      <c r="C51" s="38" t="s">
        <v>88</v>
      </c>
      <c r="D51" s="21" t="n">
        <v>1307</v>
      </c>
      <c r="E51" s="21" t="n">
        <v>1414</v>
      </c>
      <c r="F51" s="51" t="n">
        <f aca="false">IF(E51="","",D51-E51)</f>
        <v>-107</v>
      </c>
      <c r="G51" s="21" t="n">
        <v>2609</v>
      </c>
      <c r="H51" s="21" t="n">
        <v>2894</v>
      </c>
      <c r="I51" s="51" t="n">
        <f aca="false">IF(H51="","",G51-H51)</f>
        <v>-285</v>
      </c>
      <c r="J51" s="39" t="n">
        <f aca="false">IF(OR(D51="",D51+G51=0),"",D51/(D51+G51))</f>
        <v>0.333758937691522</v>
      </c>
      <c r="K51" s="39" t="n">
        <f aca="false">IF(E51="","",E51/(E51+H51))</f>
        <v>0.328226555246054</v>
      </c>
      <c r="L51" s="52" t="n">
        <f aca="false">IF(OR(K51="",J51=""),"",(J51-K51)*100)</f>
        <v>0.553238244546811</v>
      </c>
      <c r="M51" s="38"/>
    </row>
    <row r="52" customFormat="false" ht="15" hidden="false" customHeight="false" outlineLevel="0" collapsed="false">
      <c r="A52" s="38" t="s">
        <v>141</v>
      </c>
      <c r="B52" s="38" t="s">
        <v>144</v>
      </c>
      <c r="C52" s="38" t="s">
        <v>88</v>
      </c>
      <c r="D52" s="21" t="n">
        <v>993</v>
      </c>
      <c r="E52" s="21" t="n">
        <v>521</v>
      </c>
      <c r="F52" s="51" t="n">
        <f aca="false">IF(E52="","",D52-E52)</f>
        <v>472</v>
      </c>
      <c r="G52" s="21" t="n">
        <v>1838</v>
      </c>
      <c r="H52" s="21" t="n">
        <v>997</v>
      </c>
      <c r="I52" s="51" t="n">
        <f aca="false">IF(H52="","",G52-H52)</f>
        <v>841</v>
      </c>
      <c r="J52" s="39" t="n">
        <f aca="false">IF(OR(D52="",D52+G52=0),"",D52/(D52+G52))</f>
        <v>0.350759448957965</v>
      </c>
      <c r="K52" s="39" t="n">
        <f aca="false">IF(E52="","",E52/(E52+H52))</f>
        <v>0.343214756258235</v>
      </c>
      <c r="L52" s="52" t="n">
        <f aca="false">IF(OR(K52="",J52=""),"",(J52-K52)*100)</f>
        <v>0.75446926997309</v>
      </c>
      <c r="M52" s="38"/>
    </row>
    <row r="53" customFormat="false" ht="15" hidden="false" customHeight="false" outlineLevel="0" collapsed="false">
      <c r="A53" s="38" t="s">
        <v>145</v>
      </c>
      <c r="B53" s="38" t="s">
        <v>146</v>
      </c>
      <c r="C53" s="38" t="s">
        <v>88</v>
      </c>
      <c r="D53" s="21" t="n">
        <v>1490</v>
      </c>
      <c r="E53" s="21" t="n">
        <v>1511</v>
      </c>
      <c r="F53" s="51" t="n">
        <f aca="false">IF(E53="","",D53-E53)</f>
        <v>-21</v>
      </c>
      <c r="G53" s="21" t="n">
        <v>1824</v>
      </c>
      <c r="H53" s="21" t="n">
        <v>2018</v>
      </c>
      <c r="I53" s="51" t="n">
        <f aca="false">IF(H53="","",G53-H53)</f>
        <v>-194</v>
      </c>
      <c r="J53" s="39" t="n">
        <f aca="false">IF(OR(D53="",D53+G53=0),"",D53/(D53+G53))</f>
        <v>0.449607724803862</v>
      </c>
      <c r="K53" s="39" t="n">
        <f aca="false">IF(E53="","",E53/(E53+H53))</f>
        <v>0.428166619438935</v>
      </c>
      <c r="L53" s="52" t="n">
        <f aca="false">IF(OR(K53="",J53=""),"",(J53-K53)*100)</f>
        <v>2.14411053649279</v>
      </c>
      <c r="M53" s="38"/>
    </row>
    <row r="54" customFormat="false" ht="15" hidden="false" customHeight="false" outlineLevel="0" collapsed="false">
      <c r="A54" s="38" t="s">
        <v>145</v>
      </c>
      <c r="B54" s="38" t="s">
        <v>147</v>
      </c>
      <c r="C54" s="38" t="s">
        <v>88</v>
      </c>
      <c r="D54" s="21" t="n">
        <v>1000</v>
      </c>
      <c r="E54" s="21" t="n">
        <v>959</v>
      </c>
      <c r="F54" s="51" t="n">
        <f aca="false">IF(E54="","",D54-E54)</f>
        <v>41</v>
      </c>
      <c r="G54" s="21" t="n">
        <v>1307</v>
      </c>
      <c r="H54" s="21" t="n">
        <v>1364</v>
      </c>
      <c r="I54" s="51" t="n">
        <f aca="false">IF(H54="","",G54-H54)</f>
        <v>-57</v>
      </c>
      <c r="J54" s="39" t="n">
        <f aca="false">IF(OR(D54="",D54+G54=0),"",D54/(D54+G54))</f>
        <v>0.433463372345037</v>
      </c>
      <c r="K54" s="39" t="n">
        <f aca="false">IF(E54="","",E54/(E54+H54))</f>
        <v>0.412828239345674</v>
      </c>
      <c r="L54" s="52" t="n">
        <f aca="false">IF(OR(K54="",J54=""),"",(J54-K54)*100)</f>
        <v>2.06351329993632</v>
      </c>
      <c r="M54" s="38"/>
    </row>
    <row r="55" customFormat="false" ht="15" hidden="false" customHeight="false" outlineLevel="0" collapsed="false">
      <c r="A55" s="38" t="s">
        <v>145</v>
      </c>
      <c r="B55" s="38" t="s">
        <v>148</v>
      </c>
      <c r="C55" s="38" t="s">
        <v>88</v>
      </c>
      <c r="D55" s="21" t="n">
        <v>607</v>
      </c>
      <c r="E55" s="21" t="n">
        <v>623</v>
      </c>
      <c r="F55" s="51" t="n">
        <f aca="false">IF(E55="","",D55-E55)</f>
        <v>-16</v>
      </c>
      <c r="G55" s="21" t="n">
        <v>667</v>
      </c>
      <c r="H55" s="21" t="n">
        <v>726</v>
      </c>
      <c r="I55" s="51" t="n">
        <f aca="false">IF(H55="","",G55-H55)</f>
        <v>-59</v>
      </c>
      <c r="J55" s="39" t="n">
        <f aca="false">IF(OR(D55="",D55+G55=0),"",D55/(D55+G55))</f>
        <v>0.476452119309262</v>
      </c>
      <c r="K55" s="39" t="n">
        <f aca="false">IF(E55="","",E55/(E55+H55))</f>
        <v>0.46182357301705</v>
      </c>
      <c r="L55" s="52" t="n">
        <f aca="false">IF(OR(K55="",J55=""),"",(J55-K55)*100)</f>
        <v>1.46285462922125</v>
      </c>
      <c r="M55" s="38"/>
    </row>
    <row r="56" customFormat="false" ht="15" hidden="false" customHeight="false" outlineLevel="0" collapsed="false">
      <c r="A56" s="38" t="s">
        <v>145</v>
      </c>
      <c r="B56" s="38" t="s">
        <v>118</v>
      </c>
      <c r="C56" s="38" t="s">
        <v>88</v>
      </c>
      <c r="D56" s="21" t="n">
        <v>17614</v>
      </c>
      <c r="E56" s="21" t="n">
        <v>17416</v>
      </c>
      <c r="F56" s="51" t="n">
        <f aca="false">IF(E56="","",D56-E56)</f>
        <v>198</v>
      </c>
      <c r="G56" s="21" t="n">
        <v>7254</v>
      </c>
      <c r="H56" s="21" t="n">
        <v>8640</v>
      </c>
      <c r="I56" s="51" t="n">
        <f aca="false">IF(H56="","",G56-H56)</f>
        <v>-1386</v>
      </c>
      <c r="J56" s="39" t="n">
        <f aca="false">IF(OR(D56="",D56+G56=0),"",D56/(D56+G56))</f>
        <v>0.708299823065787</v>
      </c>
      <c r="K56" s="39" t="n">
        <f aca="false">IF(E56="","",E56/(E56+H56))</f>
        <v>0.668406509057415</v>
      </c>
      <c r="L56" s="52" t="n">
        <f aca="false">IF(OR(K56="",J56=""),"",(J56-K56)*100)</f>
        <v>3.98933140083725</v>
      </c>
      <c r="M56" s="38"/>
    </row>
    <row r="57" customFormat="false" ht="15" hidden="false" customHeight="false" outlineLevel="0" collapsed="false">
      <c r="A57" s="38" t="s">
        <v>145</v>
      </c>
      <c r="B57" s="38" t="s">
        <v>149</v>
      </c>
      <c r="C57" s="38" t="s">
        <v>88</v>
      </c>
      <c r="D57" s="21" t="n">
        <v>8189</v>
      </c>
      <c r="E57" s="21" t="n">
        <v>8595</v>
      </c>
      <c r="F57" s="51" t="n">
        <f aca="false">IF(E57="","",D57-E57)</f>
        <v>-406</v>
      </c>
      <c r="G57" s="21" t="n">
        <v>7252</v>
      </c>
      <c r="H57" s="21" t="n">
        <v>7440</v>
      </c>
      <c r="I57" s="51" t="n">
        <f aca="false">IF(H57="","",G57-H57)</f>
        <v>-188</v>
      </c>
      <c r="J57" s="39" t="n">
        <f aca="false">IF(OR(D57="",D57+G57=0),"",D57/(D57+G57))</f>
        <v>0.530341299138657</v>
      </c>
      <c r="K57" s="39" t="n">
        <f aca="false">IF(E57="","",E57/(E57+H57))</f>
        <v>0.536014967259121</v>
      </c>
      <c r="L57" s="52" t="n">
        <f aca="false">IF(OR(K57="",J57=""),"",(J57-K57)*100)</f>
        <v>-0.567366812046388</v>
      </c>
      <c r="M57" s="38"/>
    </row>
    <row r="58" customFormat="false" ht="15" hidden="false" customHeight="false" outlineLevel="0" collapsed="false">
      <c r="A58" s="38" t="s">
        <v>145</v>
      </c>
      <c r="B58" s="38" t="s">
        <v>150</v>
      </c>
      <c r="C58" s="38" t="s">
        <v>88</v>
      </c>
      <c r="D58" s="21" t="n">
        <v>1997</v>
      </c>
      <c r="E58" s="21" t="n">
        <v>2169</v>
      </c>
      <c r="F58" s="51" t="n">
        <f aca="false">IF(E58="","",D58-E58)</f>
        <v>-172</v>
      </c>
      <c r="G58" s="21" t="n">
        <v>3376</v>
      </c>
      <c r="H58" s="21" t="n">
        <v>3459</v>
      </c>
      <c r="I58" s="51" t="n">
        <f aca="false">IF(H58="","",G58-H58)</f>
        <v>-83</v>
      </c>
      <c r="J58" s="39" t="n">
        <f aca="false">IF(OR(D58="",D58+G58=0),"",D58/(D58+G58))</f>
        <v>0.371673180718407</v>
      </c>
      <c r="K58" s="39" t="n">
        <f aca="false">IF(E58="","",E58/(E58+H58))</f>
        <v>0.385394456289979</v>
      </c>
      <c r="L58" s="52" t="n">
        <f aca="false">IF(OR(K58="",J58=""),"",(J58-K58)*100)</f>
        <v>-1.37212755715719</v>
      </c>
      <c r="M58" s="38"/>
    </row>
    <row r="59" customFormat="false" ht="15" hidden="false" customHeight="false" outlineLevel="0" collapsed="false">
      <c r="A59" s="38" t="s">
        <v>145</v>
      </c>
      <c r="B59" s="38" t="s">
        <v>151</v>
      </c>
      <c r="C59" s="38" t="s">
        <v>88</v>
      </c>
      <c r="D59" s="21" t="n">
        <v>43</v>
      </c>
      <c r="E59" s="21" t="n">
        <v>40</v>
      </c>
      <c r="F59" s="51" t="n">
        <f aca="false">IF(E59="","",D59-E59)</f>
        <v>3</v>
      </c>
      <c r="G59" s="21" t="n">
        <v>75</v>
      </c>
      <c r="H59" s="21" t="n">
        <v>83</v>
      </c>
      <c r="I59" s="51" t="n">
        <f aca="false">IF(H59="","",G59-H59)</f>
        <v>-8</v>
      </c>
      <c r="J59" s="39" t="n">
        <f aca="false">IF(OR(D59="",D59+G59=0),"",D59/(D59+G59))</f>
        <v>0.364406779661017</v>
      </c>
      <c r="K59" s="39" t="n">
        <f aca="false">IF(E59="","",E59/(E59+H59))</f>
        <v>0.32520325203252</v>
      </c>
      <c r="L59" s="52" t="n">
        <f aca="false">IF(OR(K59="",J59=""),"",(J59-K59)*100)</f>
        <v>3.92035276284966</v>
      </c>
      <c r="M59" s="38"/>
    </row>
    <row r="60" customFormat="false" ht="15" hidden="false" customHeight="false" outlineLevel="0" collapsed="false">
      <c r="A60" s="38" t="s">
        <v>145</v>
      </c>
      <c r="B60" s="38" t="s">
        <v>152</v>
      </c>
      <c r="C60" s="38" t="s">
        <v>88</v>
      </c>
      <c r="D60" s="21" t="n">
        <v>1298</v>
      </c>
      <c r="E60" s="21" t="n">
        <v>1484</v>
      </c>
      <c r="F60" s="51" t="n">
        <f aca="false">IF(E60="","",D60-E60)</f>
        <v>-186</v>
      </c>
      <c r="G60" s="21" t="n">
        <v>1701</v>
      </c>
      <c r="H60" s="21" t="n">
        <v>1959</v>
      </c>
      <c r="I60" s="51" t="n">
        <f aca="false">IF(H60="","",G60-H60)</f>
        <v>-258</v>
      </c>
      <c r="J60" s="39" t="n">
        <f aca="false">IF(OR(D60="",D60+G60=0),"",D60/(D60+G60))</f>
        <v>0.432810936978993</v>
      </c>
      <c r="K60" s="39" t="n">
        <f aca="false">IF(E60="","",E60/(E60+H60))</f>
        <v>0.431019459773453</v>
      </c>
      <c r="L60" s="52" t="n">
        <f aca="false">IF(OR(K60="",J60=""),"",(J60-K60)*100)</f>
        <v>0.179147720553957</v>
      </c>
      <c r="M60" s="38"/>
    </row>
    <row r="61" customFormat="false" ht="15" hidden="false" customHeight="false" outlineLevel="0" collapsed="false">
      <c r="A61" s="38" t="s">
        <v>145</v>
      </c>
      <c r="B61" s="38" t="s">
        <v>153</v>
      </c>
      <c r="C61" s="38" t="s">
        <v>88</v>
      </c>
      <c r="D61" s="21" t="n">
        <v>186</v>
      </c>
      <c r="E61" s="21" t="n">
        <v>217</v>
      </c>
      <c r="F61" s="51" t="n">
        <f aca="false">IF(E61="","",D61-E61)</f>
        <v>-31</v>
      </c>
      <c r="G61" s="21" t="n">
        <v>312</v>
      </c>
      <c r="H61" s="21" t="n">
        <v>309</v>
      </c>
      <c r="I61" s="51" t="n">
        <f aca="false">IF(H61="","",G61-H61)</f>
        <v>3</v>
      </c>
      <c r="J61" s="39" t="n">
        <f aca="false">IF(OR(D61="",D61+G61=0),"",D61/(D61+G61))</f>
        <v>0.373493975903614</v>
      </c>
      <c r="K61" s="39" t="n">
        <f aca="false">IF(E61="","",E61/(E61+H61))</f>
        <v>0.41254752851711</v>
      </c>
      <c r="L61" s="52" t="n">
        <f aca="false">IF(OR(K61="",J61=""),"",(J61-K61)*100)</f>
        <v>-3.90535526134958</v>
      </c>
      <c r="M61" s="38"/>
    </row>
    <row r="62" customFormat="false" ht="15" hidden="false" customHeight="false" outlineLevel="0" collapsed="false">
      <c r="A62" s="38" t="s">
        <v>145</v>
      </c>
      <c r="B62" s="38" t="s">
        <v>154</v>
      </c>
      <c r="C62" s="38" t="s">
        <v>88</v>
      </c>
      <c r="D62" s="21" t="n">
        <v>7326</v>
      </c>
      <c r="E62" s="21" t="n">
        <v>7604</v>
      </c>
      <c r="F62" s="51" t="n">
        <f aca="false">IF(E62="","",D62-E62)</f>
        <v>-278</v>
      </c>
      <c r="G62" s="21" t="n">
        <v>2722</v>
      </c>
      <c r="H62" s="21" t="n">
        <v>3303</v>
      </c>
      <c r="I62" s="51" t="n">
        <f aca="false">IF(H62="","",G62-H62)</f>
        <v>-581</v>
      </c>
      <c r="J62" s="39" t="n">
        <f aca="false">IF(OR(D62="",D62+G62=0),"",D62/(D62+G62))</f>
        <v>0.729100318471338</v>
      </c>
      <c r="K62" s="39" t="n">
        <f aca="false">IF(E62="","",E62/(E62+H62))</f>
        <v>0.697166957000092</v>
      </c>
      <c r="L62" s="52" t="n">
        <f aca="false">IF(OR(K62="",J62=""),"",(J62-K62)*100)</f>
        <v>3.19333614712459</v>
      </c>
      <c r="M62" s="38"/>
    </row>
    <row r="63" customFormat="false" ht="15" hidden="false" customHeight="false" outlineLevel="0" collapsed="false">
      <c r="A63" s="38" t="s">
        <v>145</v>
      </c>
      <c r="B63" s="38" t="s">
        <v>155</v>
      </c>
      <c r="C63" s="38" t="s">
        <v>88</v>
      </c>
      <c r="D63" s="21" t="n">
        <v>5232</v>
      </c>
      <c r="E63" s="21" t="n">
        <v>5358</v>
      </c>
      <c r="F63" s="51" t="n">
        <f aca="false">IF(E63="","",D63-E63)</f>
        <v>-126</v>
      </c>
      <c r="G63" s="21" t="n">
        <v>4621</v>
      </c>
      <c r="H63" s="21" t="n">
        <v>5027</v>
      </c>
      <c r="I63" s="51" t="n">
        <f aca="false">IF(H63="","",G63-H63)</f>
        <v>-406</v>
      </c>
      <c r="J63" s="39" t="n">
        <f aca="false">IF(OR(D63="",D63+G63=0),"",D63/(D63+G63))</f>
        <v>0.531005785040089</v>
      </c>
      <c r="K63" s="39" t="n">
        <f aca="false">IF(E63="","",E63/(E63+H63))</f>
        <v>0.515936446798267</v>
      </c>
      <c r="L63" s="52" t="n">
        <f aca="false">IF(OR(K63="",J63=""),"",(J63-K63)*100)</f>
        <v>1.50693382418226</v>
      </c>
      <c r="M63" s="38"/>
    </row>
    <row r="64" customFormat="false" ht="15" hidden="false" customHeight="false" outlineLevel="0" collapsed="false">
      <c r="A64" s="38" t="s">
        <v>145</v>
      </c>
      <c r="B64" s="38" t="s">
        <v>156</v>
      </c>
      <c r="C64" s="38" t="s">
        <v>88</v>
      </c>
      <c r="D64" s="21" t="n">
        <v>752</v>
      </c>
      <c r="E64" s="21" t="n">
        <v>714</v>
      </c>
      <c r="F64" s="51" t="n">
        <f aca="false">IF(E64="","",D64-E64)</f>
        <v>38</v>
      </c>
      <c r="G64" s="21" t="n">
        <v>476</v>
      </c>
      <c r="H64" s="21" t="n">
        <v>484</v>
      </c>
      <c r="I64" s="51" t="n">
        <f aca="false">IF(H64="","",G64-H64)</f>
        <v>-8</v>
      </c>
      <c r="J64" s="39" t="n">
        <f aca="false">IF(OR(D64="",D64+G64=0),"",D64/(D64+G64))</f>
        <v>0.612377850162867</v>
      </c>
      <c r="K64" s="39" t="n">
        <f aca="false">IF(E64="","",E64/(E64+H64))</f>
        <v>0.595993322203673</v>
      </c>
      <c r="L64" s="52" t="n">
        <f aca="false">IF(OR(K64="",J64=""),"",(J64-K64)*100)</f>
        <v>1.63845279591938</v>
      </c>
      <c r="M64" s="38"/>
    </row>
    <row r="65" customFormat="false" ht="15" hidden="false" customHeight="false" outlineLevel="0" collapsed="false">
      <c r="A65" s="38" t="s">
        <v>145</v>
      </c>
      <c r="B65" s="38" t="s">
        <v>157</v>
      </c>
      <c r="C65" s="38" t="s">
        <v>88</v>
      </c>
      <c r="D65" s="21" t="n">
        <v>105</v>
      </c>
      <c r="E65" s="21" t="n">
        <v>109</v>
      </c>
      <c r="F65" s="51" t="n">
        <f aca="false">IF(E65="","",D65-E65)</f>
        <v>-4</v>
      </c>
      <c r="G65" s="21" t="n">
        <v>96</v>
      </c>
      <c r="H65" s="21" t="n">
        <v>97</v>
      </c>
      <c r="I65" s="51" t="n">
        <f aca="false">IF(H65="","",G65-H65)</f>
        <v>-1</v>
      </c>
      <c r="J65" s="39" t="n">
        <f aca="false">IF(OR(D65="",D65+G65=0),"",D65/(D65+G65))</f>
        <v>0.522388059701493</v>
      </c>
      <c r="K65" s="39" t="n">
        <f aca="false">IF(E65="","",E65/(E65+H65))</f>
        <v>0.529126213592233</v>
      </c>
      <c r="L65" s="52" t="n">
        <f aca="false">IF(OR(K65="",J65=""),"",(J65-K65)*100)</f>
        <v>-0.673815389074051</v>
      </c>
      <c r="M65" s="38"/>
    </row>
    <row r="66" customFormat="false" ht="15" hidden="false" customHeight="false" outlineLevel="0" collapsed="false">
      <c r="A66" s="38" t="s">
        <v>145</v>
      </c>
      <c r="B66" s="38" t="s">
        <v>124</v>
      </c>
      <c r="C66" s="38" t="s">
        <v>88</v>
      </c>
      <c r="D66" s="21" t="n">
        <v>4271</v>
      </c>
      <c r="E66" s="21" t="n">
        <v>4341</v>
      </c>
      <c r="F66" s="51" t="n">
        <f aca="false">IF(E66="","",D66-E66)</f>
        <v>-70</v>
      </c>
      <c r="G66" s="21" t="n">
        <v>3662</v>
      </c>
      <c r="H66" s="21" t="n">
        <v>3620</v>
      </c>
      <c r="I66" s="51" t="n">
        <f aca="false">IF(H66="","",G66-H66)</f>
        <v>42</v>
      </c>
      <c r="J66" s="39" t="n">
        <f aca="false">IF(OR(D66="",D66+G66=0),"",D66/(D66+G66))</f>
        <v>0.538383965712845</v>
      </c>
      <c r="K66" s="39" t="n">
        <f aca="false">IF(E66="","",E66/(E66+H66))</f>
        <v>0.545283255872378</v>
      </c>
      <c r="L66" s="52" t="n">
        <f aca="false">IF(OR(K66="",J66=""),"",(J66-K66)*100)</f>
        <v>-0.689929015953272</v>
      </c>
      <c r="M66" s="38"/>
    </row>
    <row r="67" customFormat="false" ht="15" hidden="false" customHeight="false" outlineLevel="0" collapsed="false">
      <c r="A67" s="38" t="s">
        <v>145</v>
      </c>
      <c r="B67" s="38" t="s">
        <v>158</v>
      </c>
      <c r="C67" s="38" t="s">
        <v>88</v>
      </c>
      <c r="D67" s="21" t="n">
        <v>1713</v>
      </c>
      <c r="E67" s="21" t="n">
        <v>1726</v>
      </c>
      <c r="F67" s="51" t="n">
        <f aca="false">IF(E67="","",D67-E67)</f>
        <v>-13</v>
      </c>
      <c r="G67" s="21" t="n">
        <v>1541</v>
      </c>
      <c r="H67" s="21" t="n">
        <v>1685</v>
      </c>
      <c r="I67" s="51" t="n">
        <f aca="false">IF(H67="","",G67-H67)</f>
        <v>-144</v>
      </c>
      <c r="J67" s="39" t="n">
        <f aca="false">IF(OR(D67="",D67+G67=0),"",D67/(D67+G67))</f>
        <v>0.526429010448679</v>
      </c>
      <c r="K67" s="39" t="n">
        <f aca="false">IF(E67="","",E67/(E67+H67))</f>
        <v>0.506009967751393</v>
      </c>
      <c r="L67" s="52" t="n">
        <f aca="false">IF(OR(K67="",J67=""),"",(J67-K67)*100)</f>
        <v>2.0419042697286</v>
      </c>
      <c r="M67" s="38"/>
    </row>
    <row r="68" customFormat="false" ht="15" hidden="false" customHeight="false" outlineLevel="0" collapsed="false">
      <c r="A68" s="38" t="s">
        <v>145</v>
      </c>
      <c r="B68" s="38" t="s">
        <v>159</v>
      </c>
      <c r="C68" s="38" t="s">
        <v>88</v>
      </c>
      <c r="D68" s="21" t="n">
        <v>2186</v>
      </c>
      <c r="E68" s="21" t="n">
        <v>2244</v>
      </c>
      <c r="F68" s="51" t="n">
        <f aca="false">IF(E68="","",D68-E68)</f>
        <v>-58</v>
      </c>
      <c r="G68" s="21" t="n">
        <v>4209</v>
      </c>
      <c r="H68" s="21" t="n">
        <v>4439</v>
      </c>
      <c r="I68" s="51" t="n">
        <f aca="false">IF(H68="","",G68-H68)</f>
        <v>-230</v>
      </c>
      <c r="J68" s="39" t="n">
        <f aca="false">IF(OR(D68="",D68+G68=0),"",D68/(D68+G68))</f>
        <v>0.341829554339328</v>
      </c>
      <c r="K68" s="39" t="n">
        <f aca="false">IF(E68="","",E68/(E68+H68))</f>
        <v>0.335777345503516</v>
      </c>
      <c r="L68" s="52" t="n">
        <f aca="false">IF(OR(K68="",J68=""),"",(J68-K68)*100)</f>
        <v>0.60522088358112</v>
      </c>
      <c r="M68" s="38"/>
    </row>
    <row r="69" customFormat="false" ht="15" hidden="false" customHeight="false" outlineLevel="0" collapsed="false">
      <c r="A69" s="38" t="s">
        <v>145</v>
      </c>
      <c r="B69" s="38" t="s">
        <v>160</v>
      </c>
      <c r="C69" s="38" t="s">
        <v>88</v>
      </c>
      <c r="D69" s="21" t="n">
        <v>602</v>
      </c>
      <c r="E69" s="21" t="n">
        <v>625</v>
      </c>
      <c r="F69" s="51" t="n">
        <f aca="false">IF(E69="","",D69-E69)</f>
        <v>-23</v>
      </c>
      <c r="G69" s="21" t="n">
        <v>1137</v>
      </c>
      <c r="H69" s="21" t="n">
        <v>1214</v>
      </c>
      <c r="I69" s="51" t="n">
        <f aca="false">IF(H69="","",G69-H69)</f>
        <v>-77</v>
      </c>
      <c r="J69" s="39" t="n">
        <f aca="false">IF(OR(D69="",D69+G69=0),"",D69/(D69+G69))</f>
        <v>0.34617596319724</v>
      </c>
      <c r="K69" s="39" t="n">
        <f aca="false">IF(E69="","",E69/(E69+H69))</f>
        <v>0.339858618814573</v>
      </c>
      <c r="L69" s="52" t="n">
        <f aca="false">IF(OR(K69="",J69=""),"",(J69-K69)*100)</f>
        <v>0.631734438266668</v>
      </c>
      <c r="M69" s="38"/>
    </row>
    <row r="70" customFormat="false" ht="15" hidden="false" customHeight="false" outlineLevel="0" collapsed="false">
      <c r="A70" s="38" t="s">
        <v>145</v>
      </c>
      <c r="B70" s="38" t="s">
        <v>161</v>
      </c>
      <c r="C70" s="38" t="s">
        <v>88</v>
      </c>
      <c r="D70" s="21" t="n">
        <v>1932</v>
      </c>
      <c r="E70" s="21" t="n">
        <v>2047</v>
      </c>
      <c r="F70" s="51" t="n">
        <f aca="false">IF(E70="","",D70-E70)</f>
        <v>-115</v>
      </c>
      <c r="G70" s="21" t="n">
        <v>2512</v>
      </c>
      <c r="H70" s="21" t="n">
        <v>2499</v>
      </c>
      <c r="I70" s="51" t="n">
        <f aca="false">IF(H70="","",G70-H70)</f>
        <v>13</v>
      </c>
      <c r="J70" s="39" t="n">
        <f aca="false">IF(OR(D70="",D70+G70=0),"",D70/(D70+G70))</f>
        <v>0.434743474347435</v>
      </c>
      <c r="K70" s="39" t="n">
        <f aca="false">IF(E70="","",E70/(E70+H70))</f>
        <v>0.450285965684118</v>
      </c>
      <c r="L70" s="52" t="n">
        <f aca="false">IF(OR(K70="",J70=""),"",(J70-K70)*100)</f>
        <v>-1.55424913366831</v>
      </c>
      <c r="M70" s="38"/>
    </row>
    <row r="71" customFormat="false" ht="15" hidden="false" customHeight="false" outlineLevel="0" collapsed="false">
      <c r="A71" s="38" t="s">
        <v>145</v>
      </c>
      <c r="B71" s="38" t="s">
        <v>162</v>
      </c>
      <c r="C71" s="38" t="s">
        <v>88</v>
      </c>
      <c r="D71" s="21" t="n">
        <v>3544</v>
      </c>
      <c r="E71" s="21" t="n">
        <v>3457</v>
      </c>
      <c r="F71" s="51" t="n">
        <f aca="false">IF(E71="","",D71-E71)</f>
        <v>87</v>
      </c>
      <c r="G71" s="21" t="n">
        <v>3657</v>
      </c>
      <c r="H71" s="21" t="n">
        <v>3805</v>
      </c>
      <c r="I71" s="51" t="n">
        <f aca="false">IF(H71="","",G71-H71)</f>
        <v>-148</v>
      </c>
      <c r="J71" s="39" t="n">
        <f aca="false">IF(OR(D71="",D71+G71=0),"",D71/(D71+G71))</f>
        <v>0.4921538675184</v>
      </c>
      <c r="K71" s="39" t="n">
        <f aca="false">IF(E71="","",E71/(E71+H71))</f>
        <v>0.476039658496282</v>
      </c>
      <c r="L71" s="52" t="n">
        <f aca="false">IF(OR(K71="",J71=""),"",(J71-K71)*100)</f>
        <v>1.61142090221182</v>
      </c>
      <c r="M71" s="38"/>
    </row>
    <row r="72" customFormat="false" ht="15" hidden="false" customHeight="false" outlineLevel="0" collapsed="false">
      <c r="A72" s="38" t="s">
        <v>145</v>
      </c>
      <c r="B72" s="38" t="s">
        <v>163</v>
      </c>
      <c r="C72" s="38" t="s">
        <v>88</v>
      </c>
      <c r="D72" s="21" t="n">
        <v>1950</v>
      </c>
      <c r="E72" s="21" t="n">
        <v>2006</v>
      </c>
      <c r="F72" s="51" t="n">
        <f aca="false">IF(E72="","",D72-E72)</f>
        <v>-56</v>
      </c>
      <c r="G72" s="21" t="n">
        <v>3835</v>
      </c>
      <c r="H72" s="21" t="n">
        <v>4057</v>
      </c>
      <c r="I72" s="51" t="n">
        <f aca="false">IF(H72="","",G72-H72)</f>
        <v>-222</v>
      </c>
      <c r="J72" s="39" t="n">
        <f aca="false">IF(OR(D72="",D72+G72=0),"",D72/(D72+G72))</f>
        <v>0.337078651685393</v>
      </c>
      <c r="K72" s="39" t="n">
        <f aca="false">IF(E72="","",E72/(E72+H72))</f>
        <v>0.330859310572324</v>
      </c>
      <c r="L72" s="52" t="n">
        <f aca="false">IF(OR(K72="",J72=""),"",(J72-K72)*100)</f>
        <v>0.621934111306932</v>
      </c>
      <c r="M72" s="38"/>
    </row>
    <row r="73" customFormat="false" ht="15" hidden="false" customHeight="false" outlineLevel="0" collapsed="false">
      <c r="A73" s="38" t="s">
        <v>145</v>
      </c>
      <c r="B73" s="38" t="s">
        <v>164</v>
      </c>
      <c r="C73" s="38" t="s">
        <v>88</v>
      </c>
      <c r="D73" s="21" t="n">
        <v>1559</v>
      </c>
      <c r="E73" s="21" t="n">
        <v>1596</v>
      </c>
      <c r="F73" s="51" t="n">
        <f aca="false">IF(E73="","",D73-E73)</f>
        <v>-37</v>
      </c>
      <c r="G73" s="21" t="n">
        <v>1558</v>
      </c>
      <c r="H73" s="21" t="n">
        <v>1664</v>
      </c>
      <c r="I73" s="51" t="n">
        <f aca="false">IF(H73="","",G73-H73)</f>
        <v>-106</v>
      </c>
      <c r="J73" s="39" t="n">
        <f aca="false">IF(OR(D73="",D73+G73=0),"",D73/(D73+G73))</f>
        <v>0.500160410651267</v>
      </c>
      <c r="K73" s="39" t="n">
        <f aca="false">IF(E73="","",E73/(E73+H73))</f>
        <v>0.489570552147239</v>
      </c>
      <c r="L73" s="52" t="n">
        <f aca="false">IF(OR(K73="",J73=""),"",(J73-K73)*100)</f>
        <v>1.0589858504028</v>
      </c>
      <c r="M73" s="38"/>
    </row>
    <row r="74" customFormat="false" ht="15" hidden="false" customHeight="false" outlineLevel="0" collapsed="false">
      <c r="A74" s="38" t="s">
        <v>145</v>
      </c>
      <c r="B74" s="38" t="s">
        <v>165</v>
      </c>
      <c r="C74" s="38" t="s">
        <v>88</v>
      </c>
      <c r="D74" s="21" t="n">
        <v>786</v>
      </c>
      <c r="E74" s="21" t="n">
        <v>847</v>
      </c>
      <c r="F74" s="51" t="n">
        <f aca="false">IF(E74="","",D74-E74)</f>
        <v>-61</v>
      </c>
      <c r="G74" s="21" t="n">
        <v>788</v>
      </c>
      <c r="H74" s="21" t="n">
        <v>889</v>
      </c>
      <c r="I74" s="51" t="n">
        <f aca="false">IF(H74="","",G74-H74)</f>
        <v>-101</v>
      </c>
      <c r="J74" s="39" t="n">
        <f aca="false">IF(OR(D74="",D74+G74=0),"",D74/(D74+G74))</f>
        <v>0.499364675984752</v>
      </c>
      <c r="K74" s="39" t="n">
        <f aca="false">IF(E74="","",E74/(E74+H74))</f>
        <v>0.487903225806452</v>
      </c>
      <c r="L74" s="52" t="n">
        <f aca="false">IF(OR(K74="",J74=""),"",(J74-K74)*100)</f>
        <v>1.14614501783006</v>
      </c>
      <c r="M74" s="38"/>
    </row>
    <row r="75" customFormat="false" ht="15" hidden="false" customHeight="false" outlineLevel="0" collapsed="false">
      <c r="A75" s="38" t="s">
        <v>145</v>
      </c>
      <c r="B75" s="38" t="s">
        <v>166</v>
      </c>
      <c r="C75" s="38" t="s">
        <v>88</v>
      </c>
      <c r="D75" s="21" t="n">
        <v>2598</v>
      </c>
      <c r="E75" s="21" t="n">
        <v>2573</v>
      </c>
      <c r="F75" s="51" t="n">
        <f aca="false">IF(E75="","",D75-E75)</f>
        <v>25</v>
      </c>
      <c r="G75" s="21" t="n">
        <v>2691</v>
      </c>
      <c r="H75" s="21" t="n">
        <v>3023</v>
      </c>
      <c r="I75" s="51" t="n">
        <f aca="false">IF(H75="","",G75-H75)</f>
        <v>-332</v>
      </c>
      <c r="J75" s="39" t="n">
        <f aca="false">IF(OR(D75="",D75+G75=0),"",D75/(D75+G75))</f>
        <v>0.491208167895632</v>
      </c>
      <c r="K75" s="39" t="n">
        <f aca="false">IF(E75="","",E75/(E75+H75))</f>
        <v>0.459792709077913</v>
      </c>
      <c r="L75" s="52" t="n">
        <f aca="false">IF(OR(K75="",J75=""),"",(J75-K75)*100)</f>
        <v>3.14154588177196</v>
      </c>
      <c r="M75" s="38"/>
    </row>
    <row r="76" customFormat="false" ht="15" hidden="false" customHeight="false" outlineLevel="0" collapsed="false">
      <c r="A76" s="38" t="s">
        <v>145</v>
      </c>
      <c r="B76" s="38" t="s">
        <v>167</v>
      </c>
      <c r="C76" s="38" t="s">
        <v>88</v>
      </c>
      <c r="D76" s="21" t="n">
        <v>6995</v>
      </c>
      <c r="E76" s="21" t="n">
        <v>6974</v>
      </c>
      <c r="F76" s="51" t="n">
        <f aca="false">IF(E76="","",D76-E76)</f>
        <v>21</v>
      </c>
      <c r="G76" s="21" t="n">
        <v>6333</v>
      </c>
      <c r="H76" s="21" t="n">
        <v>6736</v>
      </c>
      <c r="I76" s="51" t="n">
        <f aca="false">IF(H76="","",G76-H76)</f>
        <v>-403</v>
      </c>
      <c r="J76" s="39" t="n">
        <f aca="false">IF(OR(D76="",D76+G76=0),"",D76/(D76+G76))</f>
        <v>0.52483493397359</v>
      </c>
      <c r="K76" s="39" t="n">
        <f aca="false">IF(E76="","",E76/(E76+H76))</f>
        <v>0.508679795769511</v>
      </c>
      <c r="L76" s="52" t="n">
        <f aca="false">IF(OR(K76="",J76=""),"",(J76-K76)*100)</f>
        <v>1.61551382040782</v>
      </c>
      <c r="M76" s="38"/>
    </row>
    <row r="77" customFormat="false" ht="15" hidden="false" customHeight="false" outlineLevel="0" collapsed="false">
      <c r="A77" s="38" t="s">
        <v>145</v>
      </c>
      <c r="B77" s="38" t="s">
        <v>168</v>
      </c>
      <c r="C77" s="38" t="s">
        <v>88</v>
      </c>
      <c r="D77" s="21" t="n">
        <v>687</v>
      </c>
      <c r="E77" s="21" t="n">
        <v>703</v>
      </c>
      <c r="F77" s="51" t="n">
        <f aca="false">IF(E77="","",D77-E77)</f>
        <v>-16</v>
      </c>
      <c r="G77" s="21" t="n">
        <v>1080</v>
      </c>
      <c r="H77" s="21" t="n">
        <v>1180</v>
      </c>
      <c r="I77" s="51" t="n">
        <f aca="false">IF(H77="","",G77-H77)</f>
        <v>-100</v>
      </c>
      <c r="J77" s="39" t="n">
        <f aca="false">IF(OR(D77="",D77+G77=0),"",D77/(D77+G77))</f>
        <v>0.388794567062818</v>
      </c>
      <c r="K77" s="39" t="n">
        <f aca="false">IF(E77="","",E77/(E77+H77))</f>
        <v>0.373340414232608</v>
      </c>
      <c r="L77" s="52" t="n">
        <f aca="false">IF(OR(K77="",J77=""),"",(J77-K77)*100)</f>
        <v>1.54541528302108</v>
      </c>
      <c r="M77" s="38"/>
    </row>
    <row r="78" customFormat="false" ht="15" hidden="false" customHeight="false" outlineLevel="0" collapsed="false">
      <c r="A78" s="38" t="s">
        <v>145</v>
      </c>
      <c r="B78" s="38" t="s">
        <v>169</v>
      </c>
      <c r="C78" s="38" t="s">
        <v>88</v>
      </c>
      <c r="D78" s="21" t="n">
        <v>1326</v>
      </c>
      <c r="E78" s="21" t="n">
        <v>1361</v>
      </c>
      <c r="F78" s="51" t="n">
        <f aca="false">IF(E78="","",D78-E78)</f>
        <v>-35</v>
      </c>
      <c r="G78" s="21" t="n">
        <v>2562</v>
      </c>
      <c r="H78" s="21" t="n">
        <v>2561</v>
      </c>
      <c r="I78" s="51" t="n">
        <f aca="false">IF(H78="","",G78-H78)</f>
        <v>1</v>
      </c>
      <c r="J78" s="39" t="n">
        <f aca="false">IF(OR(D78="",D78+G78=0),"",D78/(D78+G78))</f>
        <v>0.341049382716049</v>
      </c>
      <c r="K78" s="39" t="n">
        <f aca="false">IF(E78="","",E78/(E78+H78))</f>
        <v>0.347016828148904</v>
      </c>
      <c r="L78" s="52" t="n">
        <f aca="false">IF(OR(K78="",J78=""),"",(J78-K78)*100)</f>
        <v>-0.596744543285421</v>
      </c>
      <c r="M78" s="38"/>
    </row>
    <row r="79" customFormat="false" ht="15" hidden="false" customHeight="false" outlineLevel="0" collapsed="false">
      <c r="A79" s="38" t="s">
        <v>145</v>
      </c>
      <c r="B79" s="38" t="s">
        <v>170</v>
      </c>
      <c r="C79" s="38" t="s">
        <v>88</v>
      </c>
      <c r="D79" s="21" t="n">
        <v>83</v>
      </c>
      <c r="E79" s="21" t="n">
        <v>92</v>
      </c>
      <c r="F79" s="51" t="n">
        <f aca="false">IF(E79="","",D79-E79)</f>
        <v>-9</v>
      </c>
      <c r="G79" s="21" t="n">
        <v>170</v>
      </c>
      <c r="H79" s="21" t="n">
        <v>167</v>
      </c>
      <c r="I79" s="51" t="n">
        <f aca="false">IF(H79="","",G79-H79)</f>
        <v>3</v>
      </c>
      <c r="J79" s="39" t="n">
        <f aca="false">IF(OR(D79="",D79+G79=0),"",D79/(D79+G79))</f>
        <v>0.328063241106719</v>
      </c>
      <c r="K79" s="39" t="n">
        <f aca="false">IF(E79="","",E79/(E79+H79))</f>
        <v>0.355212355212355</v>
      </c>
      <c r="L79" s="52" t="n">
        <f aca="false">IF(OR(K79="",J79=""),"",(J79-K79)*100)</f>
        <v>-2.71491141056359</v>
      </c>
      <c r="M79" s="38"/>
    </row>
    <row r="80" customFormat="false" ht="15" hidden="false" customHeight="false" outlineLevel="0" collapsed="false">
      <c r="A80" s="38" t="s">
        <v>145</v>
      </c>
      <c r="B80" s="38" t="s">
        <v>171</v>
      </c>
      <c r="C80" s="38" t="s">
        <v>88</v>
      </c>
      <c r="D80" s="21" t="n">
        <v>354</v>
      </c>
      <c r="E80" s="21" t="n">
        <v>335</v>
      </c>
      <c r="F80" s="51" t="n">
        <f aca="false">IF(E80="","",D80-E80)</f>
        <v>19</v>
      </c>
      <c r="G80" s="21" t="n">
        <v>548</v>
      </c>
      <c r="H80" s="21" t="n">
        <v>581</v>
      </c>
      <c r="I80" s="51" t="n">
        <f aca="false">IF(H80="","",G80-H80)</f>
        <v>-33</v>
      </c>
      <c r="J80" s="39" t="n">
        <f aca="false">IF(OR(D80="",D80+G80=0),"",D80/(D80+G80))</f>
        <v>0.392461197339246</v>
      </c>
      <c r="K80" s="39" t="n">
        <f aca="false">IF(E80="","",E80/(E80+H80))</f>
        <v>0.365720524017467</v>
      </c>
      <c r="L80" s="52" t="n">
        <f aca="false">IF(OR(K80="",J80=""),"",(J80-K80)*100)</f>
        <v>2.67406733217789</v>
      </c>
      <c r="M80" s="38"/>
    </row>
    <row r="81" customFormat="false" ht="15" hidden="false" customHeight="false" outlineLevel="0" collapsed="false">
      <c r="A81" s="38" t="s">
        <v>145</v>
      </c>
      <c r="B81" s="38" t="s">
        <v>172</v>
      </c>
      <c r="C81" s="38" t="s">
        <v>88</v>
      </c>
      <c r="D81" s="21" t="n">
        <v>214</v>
      </c>
      <c r="E81" s="21" t="n">
        <v>210</v>
      </c>
      <c r="F81" s="51" t="n">
        <f aca="false">IF(E81="","",D81-E81)</f>
        <v>4</v>
      </c>
      <c r="G81" s="21" t="n">
        <v>306</v>
      </c>
      <c r="H81" s="21" t="n">
        <v>309</v>
      </c>
      <c r="I81" s="51" t="n">
        <f aca="false">IF(H81="","",G81-H81)</f>
        <v>-3</v>
      </c>
      <c r="J81" s="39" t="n">
        <f aca="false">IF(OR(D81="",D81+G81=0),"",D81/(D81+G81))</f>
        <v>0.411538461538462</v>
      </c>
      <c r="K81" s="39" t="n">
        <f aca="false">IF(E81="","",E81/(E81+H81))</f>
        <v>0.404624277456647</v>
      </c>
      <c r="L81" s="52" t="n">
        <f aca="false">IF(OR(K81="",J81=""),"",(J81-K81)*100)</f>
        <v>0.69141840818141</v>
      </c>
      <c r="M81" s="38"/>
    </row>
    <row r="82" customFormat="false" ht="15" hidden="false" customHeight="false" outlineLevel="0" collapsed="false">
      <c r="A82" s="38" t="s">
        <v>145</v>
      </c>
      <c r="B82" s="38" t="s">
        <v>173</v>
      </c>
      <c r="C82" s="38" t="s">
        <v>88</v>
      </c>
      <c r="D82" s="21" t="n">
        <v>289</v>
      </c>
      <c r="E82" s="21" t="n">
        <v>331</v>
      </c>
      <c r="F82" s="51" t="n">
        <f aca="false">IF(E82="","",D82-E82)</f>
        <v>-42</v>
      </c>
      <c r="G82" s="21" t="n">
        <v>383</v>
      </c>
      <c r="H82" s="21" t="n">
        <v>458</v>
      </c>
      <c r="I82" s="51" t="n">
        <f aca="false">IF(H82="","",G82-H82)</f>
        <v>-75</v>
      </c>
      <c r="J82" s="39" t="n">
        <f aca="false">IF(OR(D82="",D82+G82=0),"",D82/(D82+G82))</f>
        <v>0.430059523809524</v>
      </c>
      <c r="K82" s="39" t="n">
        <f aca="false">IF(E82="","",E82/(E82+H82))</f>
        <v>0.419518377693283</v>
      </c>
      <c r="L82" s="52" t="n">
        <f aca="false">IF(OR(K82="",J82=""),"",(J82-K82)*100)</f>
        <v>1.05411461162412</v>
      </c>
      <c r="M82" s="38"/>
    </row>
    <row r="83" customFormat="false" ht="15" hidden="false" customHeight="false" outlineLevel="0" collapsed="false">
      <c r="A83" s="38" t="s">
        <v>145</v>
      </c>
      <c r="B83" s="38" t="s">
        <v>174</v>
      </c>
      <c r="C83" s="38" t="s">
        <v>88</v>
      </c>
      <c r="D83" s="21" t="n">
        <v>1240</v>
      </c>
      <c r="E83" s="21" t="n">
        <v>1242</v>
      </c>
      <c r="F83" s="51" t="n">
        <f aca="false">IF(E83="","",D83-E83)</f>
        <v>-2</v>
      </c>
      <c r="G83" s="21" t="n">
        <v>2568</v>
      </c>
      <c r="H83" s="21" t="n">
        <v>2716</v>
      </c>
      <c r="I83" s="51" t="n">
        <f aca="false">IF(H83="","",G83-H83)</f>
        <v>-148</v>
      </c>
      <c r="J83" s="39" t="n">
        <f aca="false">IF(OR(D83="",D83+G83=0),"",D83/(D83+G83))</f>
        <v>0.32563025210084</v>
      </c>
      <c r="K83" s="39" t="n">
        <f aca="false">IF(E83="","",E83/(E83+H83))</f>
        <v>0.313794845881759</v>
      </c>
      <c r="L83" s="52" t="n">
        <f aca="false">IF(OR(K83="",J83=""),"",(J83-K83)*100)</f>
        <v>1.18354062190819</v>
      </c>
      <c r="M83" s="38"/>
    </row>
    <row r="84" customFormat="false" ht="15" hidden="false" customHeight="false" outlineLevel="0" collapsed="false">
      <c r="A84" s="38" t="s">
        <v>145</v>
      </c>
      <c r="B84" s="38" t="s">
        <v>175</v>
      </c>
      <c r="C84" s="38" t="s">
        <v>88</v>
      </c>
      <c r="D84" s="21" t="n">
        <v>1887</v>
      </c>
      <c r="E84" s="21" t="n">
        <v>1964</v>
      </c>
      <c r="F84" s="51" t="n">
        <f aca="false">IF(E84="","",D84-E84)</f>
        <v>-77</v>
      </c>
      <c r="G84" s="21" t="n">
        <v>2063</v>
      </c>
      <c r="H84" s="21" t="n">
        <v>2147</v>
      </c>
      <c r="I84" s="51" t="n">
        <f aca="false">IF(H84="","",G84-H84)</f>
        <v>-84</v>
      </c>
      <c r="J84" s="39" t="n">
        <f aca="false">IF(OR(D84="",D84+G84=0),"",D84/(D84+G84))</f>
        <v>0.477721518987342</v>
      </c>
      <c r="K84" s="39" t="n">
        <f aca="false">IF(E84="","",E84/(E84+H84))</f>
        <v>0.477742641693019</v>
      </c>
      <c r="L84" s="52" t="n">
        <f aca="false">IF(OR(K84="",J84=""),"",(J84-K84)*100)</f>
        <v>-0.00211227056769459</v>
      </c>
      <c r="M84" s="38"/>
    </row>
    <row r="85" customFormat="false" ht="15" hidden="false" customHeight="false" outlineLevel="0" collapsed="false">
      <c r="A85" s="38" t="s">
        <v>145</v>
      </c>
      <c r="B85" s="38" t="s">
        <v>176</v>
      </c>
      <c r="C85" s="38" t="s">
        <v>88</v>
      </c>
      <c r="D85" s="21" t="n">
        <v>407</v>
      </c>
      <c r="E85" s="21" t="n">
        <v>416</v>
      </c>
      <c r="F85" s="51" t="n">
        <f aca="false">IF(E85="","",D85-E85)</f>
        <v>-9</v>
      </c>
      <c r="G85" s="21" t="n">
        <v>577</v>
      </c>
      <c r="H85" s="21" t="n">
        <v>658</v>
      </c>
      <c r="I85" s="51" t="n">
        <f aca="false">IF(H85="","",G85-H85)</f>
        <v>-81</v>
      </c>
      <c r="J85" s="39" t="n">
        <f aca="false">IF(OR(D85="",D85+G85=0),"",D85/(D85+G85))</f>
        <v>0.413617886178862</v>
      </c>
      <c r="K85" s="39" t="n">
        <f aca="false">IF(E85="","",E85/(E85+H85))</f>
        <v>0.387337057728119</v>
      </c>
      <c r="L85" s="52" t="n">
        <f aca="false">IF(OR(K85="",J85=""),"",(J85-K85)*100)</f>
        <v>2.62808284507426</v>
      </c>
      <c r="M85" s="38"/>
    </row>
    <row r="86" customFormat="false" ht="15" hidden="false" customHeight="false" outlineLevel="0" collapsed="false">
      <c r="A86" s="38" t="s">
        <v>145</v>
      </c>
      <c r="B86" s="38" t="s">
        <v>138</v>
      </c>
      <c r="C86" s="38" t="s">
        <v>88</v>
      </c>
      <c r="D86" s="21" t="n">
        <v>1045</v>
      </c>
      <c r="E86" s="21" t="n">
        <v>1041</v>
      </c>
      <c r="F86" s="51" t="n">
        <f aca="false">IF(E86="","",D86-E86)</f>
        <v>4</v>
      </c>
      <c r="G86" s="21" t="n">
        <v>1958</v>
      </c>
      <c r="H86" s="21" t="n">
        <v>2088</v>
      </c>
      <c r="I86" s="51" t="n">
        <f aca="false">IF(H86="","",G86-H86)</f>
        <v>-130</v>
      </c>
      <c r="J86" s="39" t="n">
        <f aca="false">IF(OR(D86="",D86+G86=0),"",D86/(D86+G86))</f>
        <v>0.347985347985348</v>
      </c>
      <c r="K86" s="39" t="n">
        <f aca="false">IF(E86="","",E86/(E86+H86))</f>
        <v>0.332694151486098</v>
      </c>
      <c r="L86" s="52" t="n">
        <f aca="false">IF(OR(K86="",J86=""),"",(J86-K86)*100)</f>
        <v>1.52911964992501</v>
      </c>
      <c r="M86" s="38"/>
    </row>
    <row r="87" customFormat="false" ht="15" hidden="false" customHeight="false" outlineLevel="0" collapsed="false">
      <c r="A87" s="38" t="s">
        <v>145</v>
      </c>
      <c r="B87" s="38" t="s">
        <v>177</v>
      </c>
      <c r="C87" s="38" t="s">
        <v>88</v>
      </c>
      <c r="D87" s="21" t="n">
        <v>266</v>
      </c>
      <c r="E87" s="21" t="n">
        <v>281</v>
      </c>
      <c r="F87" s="51" t="n">
        <f aca="false">IF(E87="","",D87-E87)</f>
        <v>-15</v>
      </c>
      <c r="G87" s="21" t="n">
        <v>309</v>
      </c>
      <c r="H87" s="21" t="n">
        <v>310</v>
      </c>
      <c r="I87" s="51" t="n">
        <f aca="false">IF(H87="","",G87-H87)</f>
        <v>-1</v>
      </c>
      <c r="J87" s="39" t="n">
        <f aca="false">IF(OR(D87="",D87+G87=0),"",D87/(D87+G87))</f>
        <v>0.462608695652174</v>
      </c>
      <c r="K87" s="39" t="n">
        <f aca="false">IF(E87="","",E87/(E87+H87))</f>
        <v>0.475465313028765</v>
      </c>
      <c r="L87" s="52" t="n">
        <f aca="false">IF(OR(K87="",J87=""),"",(J87-K87)*100)</f>
        <v>-1.28566173765909</v>
      </c>
      <c r="M87" s="38"/>
    </row>
    <row r="88" customFormat="false" ht="15" hidden="false" customHeight="false" outlineLevel="0" collapsed="false">
      <c r="A88" s="38" t="s">
        <v>145</v>
      </c>
      <c r="B88" s="38" t="s">
        <v>178</v>
      </c>
      <c r="C88" s="38" t="s">
        <v>88</v>
      </c>
      <c r="D88" s="21" t="n">
        <v>1828</v>
      </c>
      <c r="E88" s="21" t="n">
        <v>1847</v>
      </c>
      <c r="F88" s="51" t="n">
        <f aca="false">IF(E88="","",D88-E88)</f>
        <v>-19</v>
      </c>
      <c r="G88" s="21" t="n">
        <v>2318</v>
      </c>
      <c r="H88" s="21" t="n">
        <v>2401</v>
      </c>
      <c r="I88" s="51" t="n">
        <f aca="false">IF(H88="","",G88-H88)</f>
        <v>-83</v>
      </c>
      <c r="J88" s="39" t="n">
        <f aca="false">IF(OR(D88="",D88+G88=0),"",D88/(D88+G88))</f>
        <v>0.440906898215147</v>
      </c>
      <c r="K88" s="39" t="n">
        <f aca="false">IF(E88="","",E88/(E88+H88))</f>
        <v>0.434792843691149</v>
      </c>
      <c r="L88" s="52" t="n">
        <f aca="false">IF(OR(K88="",J88=""),"",(J88-K88)*100)</f>
        <v>0.611405452399833</v>
      </c>
      <c r="M88" s="38"/>
    </row>
    <row r="89" customFormat="false" ht="15" hidden="false" customHeight="false" outlineLevel="0" collapsed="false">
      <c r="A89" s="38" t="s">
        <v>145</v>
      </c>
      <c r="B89" s="38" t="s">
        <v>179</v>
      </c>
      <c r="C89" s="38" t="s">
        <v>88</v>
      </c>
      <c r="D89" s="21" t="n">
        <v>1957</v>
      </c>
      <c r="E89" s="21" t="n">
        <v>1897</v>
      </c>
      <c r="F89" s="51" t="n">
        <f aca="false">IF(E89="","",D89-E89)</f>
        <v>60</v>
      </c>
      <c r="G89" s="21" t="n">
        <v>1469</v>
      </c>
      <c r="H89" s="21" t="n">
        <v>1538</v>
      </c>
      <c r="I89" s="51" t="n">
        <f aca="false">IF(H89="","",G89-H89)</f>
        <v>-69</v>
      </c>
      <c r="J89" s="39" t="n">
        <f aca="false">IF(OR(D89="",D89+G89=0),"",D89/(D89+G89))</f>
        <v>0.571220081727963</v>
      </c>
      <c r="K89" s="39" t="n">
        <f aca="false">IF(E89="","",E89/(E89+H89))</f>
        <v>0.552256186317322</v>
      </c>
      <c r="L89" s="52" t="n">
        <f aca="false">IF(OR(K89="",J89=""),"",(J89-K89)*100)</f>
        <v>1.8963895410641</v>
      </c>
      <c r="M89" s="38"/>
    </row>
    <row r="90" customFormat="false" ht="15" hidden="false" customHeight="false" outlineLevel="0" collapsed="false">
      <c r="A90" s="38" t="s">
        <v>145</v>
      </c>
      <c r="B90" s="38" t="s">
        <v>180</v>
      </c>
      <c r="C90" s="38" t="s">
        <v>88</v>
      </c>
      <c r="D90" s="21" t="n">
        <v>557</v>
      </c>
      <c r="E90" s="21" t="n">
        <v>634</v>
      </c>
      <c r="F90" s="51" t="n">
        <f aca="false">IF(E90="","",D90-E90)</f>
        <v>-77</v>
      </c>
      <c r="G90" s="21" t="n">
        <v>742</v>
      </c>
      <c r="H90" s="21" t="n">
        <v>856</v>
      </c>
      <c r="I90" s="51" t="n">
        <f aca="false">IF(H90="","",G90-H90)</f>
        <v>-114</v>
      </c>
      <c r="J90" s="39" t="n">
        <f aca="false">IF(OR(D90="",D90+G90=0),"",D90/(D90+G90))</f>
        <v>0.428791377983064</v>
      </c>
      <c r="K90" s="39" t="n">
        <f aca="false">IF(E90="","",E90/(E90+H90))</f>
        <v>0.425503355704698</v>
      </c>
      <c r="L90" s="52" t="n">
        <f aca="false">IF(OR(K90="",J90=""),"",(J90-K90)*100)</f>
        <v>0.328802227836589</v>
      </c>
      <c r="M90" s="38"/>
    </row>
    <row r="92" customFormat="false" ht="15" hidden="false" customHeight="false" outlineLevel="0" collapsed="false">
      <c r="A92" s="11" t="s">
        <v>297</v>
      </c>
      <c r="B92" s="53"/>
      <c r="C92" s="53"/>
      <c r="D92" s="54" t="n">
        <f aca="false">SUMIF(E2:E90,"&lt;&gt;",D2:D90)</f>
        <v>200627</v>
      </c>
      <c r="E92" s="54" t="n">
        <f aca="false">SUM(E2:E90)</f>
        <v>199626</v>
      </c>
      <c r="F92" s="55" t="n">
        <f aca="false">D92-E92</f>
        <v>1001</v>
      </c>
      <c r="G92" s="54" t="n">
        <f aca="false">SUMIF(H2:H90,"&lt;&gt;",G2:G90)</f>
        <v>189412</v>
      </c>
      <c r="H92" s="54" t="n">
        <f aca="false">SUM(H2:H90)</f>
        <v>203688</v>
      </c>
      <c r="I92" s="55" t="n">
        <f aca="false">G92-H92</f>
        <v>-14276</v>
      </c>
      <c r="J92" s="56" t="n">
        <f aca="false">D92/(D92+G92)</f>
        <v>0.51437676745146</v>
      </c>
      <c r="K92" s="56" t="n">
        <f aca="false">E92/(E92+H92)</f>
        <v>0.49496422142549</v>
      </c>
      <c r="L92" s="57" t="n">
        <f aca="false">(J92-K92)*100</f>
        <v>1.94125460259702</v>
      </c>
    </row>
    <row r="93" customFormat="false" ht="15" hidden="false" customHeight="false" outlineLevel="0" collapsed="false">
      <c r="A93" s="11" t="s">
        <v>298</v>
      </c>
      <c r="B93" s="53"/>
      <c r="C93" s="53"/>
      <c r="D93" s="54" t="n">
        <f aca="false">SUM(D2:D90)</f>
        <v>200627</v>
      </c>
      <c r="E93" s="54"/>
      <c r="F93" s="55"/>
      <c r="G93" s="54" t="n">
        <f aca="false">SUM(G2:G90)</f>
        <v>189412</v>
      </c>
      <c r="H93" s="54"/>
      <c r="I93" s="55"/>
      <c r="J93" s="56" t="n">
        <f aca="false">D93/(D93+G93)</f>
        <v>0.51437676745146</v>
      </c>
      <c r="K93" s="56"/>
      <c r="L93" s="57"/>
    </row>
    <row r="95" customFormat="false" ht="15" hidden="false" customHeight="false" outlineLevel="0" collapsed="false">
      <c r="A95" s="2" t="s">
        <v>299</v>
      </c>
      <c r="F95" s="58" t="n">
        <f aca="false">(SUMIF(F2:F90,"&gt;0")-SUMIF(F2:F90,"&lt;0"))/COUNT(F2:F90)</f>
        <v>93.9213483146068</v>
      </c>
    </row>
    <row r="96" customFormat="false" ht="15" hidden="false" customHeight="false" outlineLevel="0" collapsed="false">
      <c r="A96" s="2" t="s">
        <v>300</v>
      </c>
      <c r="F96" s="58" t="n">
        <f aca="false">(SUMIF(I2:I90,"&gt;0")-SUMIF(I2:I90,"&lt;0"))/COUNT(I2:I90)</f>
        <v>182.247191011236</v>
      </c>
    </row>
    <row r="97" customFormat="false" ht="15" hidden="false" customHeight="false" outlineLevel="0" collapsed="false">
      <c r="A97" s="2" t="s">
        <v>301</v>
      </c>
      <c r="F97" s="59" t="n">
        <f aca="false">(SUMIF(L2:L90,"&gt;0")-SUMIF(L2:L90,"&lt;0"))/COUNT(L2:L90)</f>
        <v>1.81661937288835</v>
      </c>
    </row>
    <row r="98" customFormat="false" ht="15" hidden="false" customHeight="false" outlineLevel="0" collapsed="false">
      <c r="A98" s="5" t="s">
        <v>302</v>
      </c>
      <c r="F98" s="60" t="n">
        <f aca="false">SQRT(SUMSQ(L2:L90)/COUNT(L2:L90))</f>
        <v>2.31245520615898</v>
      </c>
    </row>
    <row r="99" customFormat="false" ht="15" hidden="false" customHeight="false" outlineLevel="0" collapsed="false">
      <c r="A99" s="5" t="s">
        <v>303</v>
      </c>
      <c r="F99" s="61" t="n">
        <f aca="false">L92</f>
        <v>1.94125460259702</v>
      </c>
    </row>
    <row r="100" customFormat="false" ht="15" hidden="false" customHeight="false" outlineLevel="0" collapsed="false">
      <c r="A100" s="5" t="s">
        <v>304</v>
      </c>
      <c r="F100" s="60" t="n">
        <f aca="false">SQRT((SUMSQ(L2:L90)-2*L92*SUM(L2:L90)+COUNT(L2:L90)*L92^2)/COUNT(L2:L90))</f>
        <v>1.89912080414483</v>
      </c>
    </row>
    <row r="101" customFormat="false" ht="15" hidden="false" customHeight="false" outlineLevel="0" collapsed="false">
      <c r="A101" s="2" t="s">
        <v>305</v>
      </c>
      <c r="F101" s="62" t="n">
        <f aca="false">(D92+G92)/(E92+H92)-1</f>
        <v>-0.0329148008747526</v>
      </c>
    </row>
    <row r="102" customFormat="false" ht="15" hidden="false" customHeight="false" outlineLevel="0" collapsed="false">
      <c r="A102" s="2" t="s">
        <v>306</v>
      </c>
      <c r="F102" s="63" t="n">
        <f aca="false">COUNTIFS(L2:L90,"&gt;=-3",L2:L90,"&lt;=3")/COUNT(L2:L90)</f>
        <v>0.797752808988764</v>
      </c>
    </row>
    <row r="103" customFormat="false" ht="15" hidden="false" customHeight="false" outlineLevel="0" collapsed="false">
      <c r="A103" s="2" t="s">
        <v>307</v>
      </c>
      <c r="F103" s="64" t="n">
        <f aca="false">COUNT(E2:E90)</f>
        <v>89</v>
      </c>
    </row>
    <row r="104" customFormat="false" ht="15" hidden="false" customHeight="false" outlineLevel="0" collapsed="false">
      <c r="A104" s="2" t="s">
        <v>308</v>
      </c>
      <c r="F104" s="64" t="n">
        <f aca="false">COUNTA(A2:A90)</f>
        <v>89</v>
      </c>
    </row>
    <row r="106" customFormat="false" ht="15" hidden="false" customHeight="false" outlineLevel="0" collapsed="false">
      <c r="M106" s="5" t="s">
        <v>70</v>
      </c>
    </row>
    <row r="107" customFormat="false" ht="28.35" hidden="false" customHeight="false" outlineLevel="0" collapsed="false">
      <c r="M107" s="50" t="s">
        <v>309</v>
      </c>
    </row>
    <row r="108" customFormat="false" ht="28.35" hidden="false" customHeight="false" outlineLevel="0" collapsed="false">
      <c r="M108" s="50" t="s">
        <v>310</v>
      </c>
    </row>
    <row r="109" customFormat="false" ht="55.2" hidden="false" customHeight="false" outlineLevel="0" collapsed="false">
      <c r="M109" s="50" t="s">
        <v>318</v>
      </c>
    </row>
    <row r="110" customFormat="false" ht="28.35" hidden="false" customHeight="false" outlineLevel="0" collapsed="false">
      <c r="M110" s="50" t="s">
        <v>312</v>
      </c>
    </row>
    <row r="111" customFormat="false" ht="41.75" hidden="false" customHeight="false" outlineLevel="0" collapsed="false">
      <c r="M111" s="50" t="s">
        <v>313</v>
      </c>
    </row>
    <row r="112" customFormat="false" ht="41.75" hidden="false" customHeight="false" outlineLevel="0" collapsed="false">
      <c r="M112" s="50" t="s">
        <v>314</v>
      </c>
    </row>
    <row r="113" customFormat="false" ht="15" hidden="false" customHeight="false" outlineLevel="0" collapsed="false">
      <c r="M113" s="50" t="s">
        <v>315</v>
      </c>
    </row>
    <row r="114" customFormat="false" ht="28.35" hidden="false" customHeight="false" outlineLevel="0" collapsed="false">
      <c r="M114" s="50" t="s">
        <v>316</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65" t="s">
        <v>319</v>
      </c>
    </row>
    <row r="2" customFormat="false" ht="28.35" hidden="false" customHeight="false" outlineLevel="0" collapsed="false">
      <c r="A2" s="50" t="s">
        <v>320</v>
      </c>
    </row>
    <row r="3" customFormat="false" ht="15" hidden="false" customHeight="false" outlineLevel="0" collapsed="false">
      <c r="A3" s="50"/>
    </row>
    <row r="4" customFormat="false" ht="15" hidden="false" customHeight="false" outlineLevel="0" collapsed="false">
      <c r="A4" s="65" t="s">
        <v>321</v>
      </c>
    </row>
    <row r="5" customFormat="false" ht="28.35" hidden="false" customHeight="false" outlineLevel="0" collapsed="false">
      <c r="A5" s="50" t="s">
        <v>322</v>
      </c>
    </row>
    <row r="6" customFormat="false" ht="15" hidden="false" customHeight="false" outlineLevel="0" collapsed="false">
      <c r="A6" s="50"/>
    </row>
    <row r="7" customFormat="false" ht="15" hidden="false" customHeight="false" outlineLevel="0" collapsed="false">
      <c r="A7" s="65" t="s">
        <v>323</v>
      </c>
    </row>
    <row r="8" customFormat="false" ht="28.35" hidden="false" customHeight="false" outlineLevel="0" collapsed="false">
      <c r="A8" s="50" t="s">
        <v>324</v>
      </c>
    </row>
    <row r="9" customFormat="false" ht="28.35" hidden="false" customHeight="false" outlineLevel="0" collapsed="false">
      <c r="A9" s="50" t="s">
        <v>325</v>
      </c>
    </row>
    <row r="10" customFormat="false" ht="15" hidden="false" customHeight="false" outlineLevel="0" collapsed="false">
      <c r="A10" s="50"/>
    </row>
    <row r="11" customFormat="false" ht="15" hidden="false" customHeight="false" outlineLevel="0" collapsed="false">
      <c r="A11" s="65" t="s">
        <v>326</v>
      </c>
    </row>
    <row r="12" customFormat="false" ht="41.75" hidden="false" customHeight="false" outlineLevel="0" collapsed="false">
      <c r="A12" s="50" t="s">
        <v>327</v>
      </c>
    </row>
    <row r="13" customFormat="false" ht="15" hidden="false" customHeight="false" outlineLevel="0" collapsed="false">
      <c r="A13" s="50"/>
    </row>
    <row r="14" customFormat="false" ht="15" hidden="false" customHeight="false" outlineLevel="0" collapsed="false">
      <c r="A14" s="65" t="s">
        <v>328</v>
      </c>
    </row>
    <row r="15" customFormat="false" ht="28.35" hidden="false" customHeight="false" outlineLevel="0" collapsed="false">
      <c r="A15" s="50" t="s">
        <v>329</v>
      </c>
    </row>
    <row r="16" customFormat="false" ht="28.35" hidden="false" customHeight="false" outlineLevel="0" collapsed="false">
      <c r="A16" s="50" t="s">
        <v>330</v>
      </c>
    </row>
    <row r="17" customFormat="false" ht="15" hidden="false" customHeight="false" outlineLevel="0" collapsed="false">
      <c r="A17" s="50"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2026-10-05T20:59:45Z</dcterms:created>
  <dc:creator>openpyxl</dc:creator>
  <dc:description/>
  <dc:language>en-US</dc:language>
  <cp:lastModifiedBy/>
  <dcterms:modified xsi:type="dcterms:W3CDTF">2026-10-05T20:59:46Z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