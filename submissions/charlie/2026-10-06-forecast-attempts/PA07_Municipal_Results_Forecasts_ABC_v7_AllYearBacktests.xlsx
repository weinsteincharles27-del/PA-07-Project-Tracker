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drawing1.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enario &amp; Comparison" sheetId="1" state="visible" r:id="rId3"/>
    <sheet name="2026 Forecast A" sheetId="2" state="visible" r:id="rId4"/>
    <sheet name="2026 Forecast B" sheetId="3" state="visible" r:id="rId5"/>
    <sheet name="2026 Forecast C" sheetId="4" state="visible" r:id="rId6"/>
    <sheet name="How Forecasts Are Weighted" sheetId="5" state="visible" r:id="rId7"/>
    <sheet name="Feature Ranking A" sheetId="6" state="visible" r:id="rId8"/>
    <sheet name="Feature Ranking B" sheetId="7" state="visible" r:id="rId9"/>
    <sheet name="Feature Ranking C" sheetId="8" state="visible" r:id="rId10"/>
    <sheet name="Backtest 2024 A" sheetId="9" state="visible" r:id="rId11"/>
    <sheet name="Backtest 2024 B" sheetId="10" state="visible" r:id="rId12"/>
    <sheet name="Backtest 2024 C" sheetId="11" state="visible" r:id="rId13"/>
    <sheet name="Backtest 2022 A" sheetId="12" state="visible" r:id="rId14"/>
    <sheet name="Backtest 2022 B" sheetId="13" state="visible" r:id="rId15"/>
    <sheet name="Backtest 2022 C" sheetId="14" state="visible" r:id="rId16"/>
    <sheet name="Backtest 2020 A" sheetId="15" state="visible" r:id="rId17"/>
    <sheet name="Backtest 2020 B" sheetId="16" state="visible" r:id="rId18"/>
    <sheet name="Backtest 2020 C" sheetId="17" state="visible" r:id="rId19"/>
    <sheet name="Backtest 2018 A" sheetId="18" state="visible" r:id="rId20"/>
    <sheet name="Backtest 2018 B" sheetId="19" state="visible" r:id="rId21"/>
    <sheet name="Backtest 2018 C" sheetId="20" state="visible" r:id="rId22"/>
    <sheet name="Method &amp; Caveats" sheetId="21" state="visible" r:id="rId23"/>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K8" authorId="0">
      <text>
        <r>
          <rPr>
            <sz val="10"/>
            <rFont val="Arial"/>
            <family val="2"/>
          </rPr>
          <t xml:space="preserve">District-wide error = root-mean-square of the district-wide Democratic-share miss in the 2018, 2020, 2022 and 2024 backtests. Place pattern errors cancel out at district level, so the district row uses only this term.</t>
        </r>
      </text>
    </comment>
    <comment ref="O8" authorId="0">
      <text>
        <r>
          <rPr>
            <sz val="10"/>
            <rFont val="Arial"/>
            <family val="2"/>
          </rPr>
          <t xml:space="preserve">Votes-cast error = root-mean-square of the district votes-cast miss of the turnout rule in the 2018, 2020, 2022 and 2024 backtests.</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K8" authorId="0">
      <text>
        <r>
          <rPr>
            <sz val="10"/>
            <rFont val="Arial"/>
            <family val="2"/>
          </rPr>
          <t xml:space="preserve">District-wide error = root-mean-square of the district-wide Democratic-share miss in the 2018, 2020, 2022 and 2024 backtests. Place pattern errors cancel out at district level, so the district row uses only this term.</t>
        </r>
      </text>
    </comment>
    <comment ref="O8" authorId="0">
      <text>
        <r>
          <rPr>
            <sz val="10"/>
            <rFont val="Arial"/>
            <family val="2"/>
          </rPr>
          <t xml:space="preserve">Votes-cast error = root-mean-square of the district votes-cast miss of the turnout rule in the 2018, 2020, 2022 and 2024 backtests.</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K8" authorId="0">
      <text>
        <r>
          <rPr>
            <sz val="10"/>
            <rFont val="Arial"/>
            <family val="2"/>
          </rPr>
          <t xml:space="preserve">District-wide error = root-mean-square of the district-wide Democratic-share miss in the 2018, 2020, 2022 and 2024 backtests. Place pattern errors cancel out at district level, so the district row uses only this term.</t>
        </r>
      </text>
    </comment>
    <comment ref="O8" authorId="0">
      <text>
        <r>
          <rPr>
            <sz val="10"/>
            <rFont val="Arial"/>
            <family val="2"/>
          </rPr>
          <t xml:space="preserve">Votes-cast error = root-mean-square of the district votes-cast miss of the turnout rule in the 2018, 2020, 2022 and 2024 backtests.</t>
        </r>
      </text>
    </comment>
  </commentList>
</comments>
</file>

<file path=xl/sharedStrings.xml><?xml version="1.0" encoding="utf-8"?>
<sst xmlns="http://schemas.openxmlformats.org/spreadsheetml/2006/main" count="6314" uniqueCount="438">
  <si>
    <t xml:space="preserve">PA-07 2026 House Forecast — Municipal Level: three results-only random-forest forecasts (fixed baseline)</t>
  </si>
  <si>
    <t xml:space="preserve">Candidates: Brooks | Mackenzie   |   The two yellow cells set the district-wide Brooks share and votes cast; all three forecasts update.</t>
  </si>
  <si>
    <t xml:space="preserve">A, B and C weight the same random-forest inputs differently using SHAP (see How Forecasts Are Weighted). Each is backtested on 2024 with its own weights; those errors are the error terms.</t>
  </si>
  <si>
    <t xml:space="preserve">SCENARIO INPUTS (defaults are built from the tables below; type over them to run another scenario)</t>
  </si>
  <si>
    <t xml:space="preserve">District-wide Brooks share of the two-party vote (input)</t>
  </si>
  <si>
    <t xml:space="preserve">← default: registration-adjusted baseline (row 21)</t>
  </si>
  <si>
    <t xml:space="preserve">Turnout multiplier (input; 1.00 = each place keeps its 2022 turnout rate)</t>
  </si>
  <si>
    <t xml:space="preserve">← votes cast = 2022 turnout rate × 2026 registered voters × this multiplier (row 27)</t>
  </si>
  <si>
    <t xml:space="preserve">HOW THE DEFAULTS ARE BUILT (today’s map applied to every year — all municipalities and precincts, as if the district had always included them)</t>
  </si>
  <si>
    <t xml:space="preserve">Election</t>
  </si>
  <si>
    <t xml:space="preserve">Democratic share</t>
  </si>
  <si>
    <t xml:space="preserve">Democratic votes</t>
  </si>
  <si>
    <t xml:space="preserve">Republican votes</t>
  </si>
  <si>
    <t xml:space="preserve">Registered (state rolls)</t>
  </si>
  <si>
    <t xml:space="preserve">Dem share of two-party registration</t>
  </si>
  <si>
    <t xml:space="preserve">2018 General</t>
  </si>
  <si>
    <t xml:space="preserve">2020 General</t>
  </si>
  <si>
    <t xml:space="preserve">2022 General</t>
  </si>
  <si>
    <t xml:space="preserve">2024 General</t>
  </si>
  <si>
    <t xml:space="preserve">2026 Primary rolls</t>
  </si>
  <si>
    <t xml:space="preserve">Source: certified precinct House returns and Department of State registration (PA07_Precinct_Data.xlsx). 2018/2020 count Carbon (then PA-09) and Polk (then PA-08) as district results and include an estimate for Ross One, so every year covers the same territory as 2026.</t>
  </si>
  <si>
    <t xml:space="preserve">Average Democratic share, 2022 and 2024</t>
  </si>
  <si>
    <t xml:space="preserve">Change in Dem share of two-party registration since then (pts)</t>
  </si>
  <si>
    <t xml:space="preserve">Registration-to-vote link (k), measured on precinct changes 2018→2022 and 2020→2024</t>
  </si>
  <si>
    <t xml:space="preserve">Within-district slope: precincts whose registration moved 1 pt toward a party moved about this many pts in vote share (national swing removed).</t>
  </si>
  <si>
    <t xml:space="preserve">Registration-adjusted baseline for 2026 = row 18 + k × row 19</t>
  </si>
  <si>
    <t xml:space="preserve">2022 turnout in today’s district (House votes ÷ registered voters)</t>
  </si>
  <si>
    <t xml:space="preserve">2026 registered voters (state rolls, summed over municipalities)</t>
  </si>
  <si>
    <t xml:space="preserve">District check: 2022 turnout × 2026 registered</t>
  </si>
  <si>
    <t xml:space="preserve">Rule applied municipality by municipality (each place’s own 2022 turnout × its 2026 registered) and summed</t>
  </si>
  <si>
    <t xml:space="preserve">Each place uses its own 2022 turnout rate, so the summed total differs slightly from the district-level check. Registration: Department of State rolls (2026 primary).</t>
  </si>
  <si>
    <t xml:space="preserve">Votes cast used in the forecasts (row 26 × turnout multiplier)</t>
  </si>
  <si>
    <t xml:space="preserve">DISTRICT TOTALS BY FORECAST, WITH ERROR TERMS (live from each forecast tab)</t>
  </si>
  <si>
    <t xml:space="preserve">Forecast</t>
  </si>
  <si>
    <t xml:space="preserve">Weighting</t>
  </si>
  <si>
    <t xml:space="preserve">Brooks votes</t>
  </si>
  <si>
    <t xml:space="preserve">Mackenzie votes</t>
  </si>
  <si>
    <t xml:space="preserve">Total votes</t>
  </si>
  <si>
    <t xml:space="preserve">Brooks share</t>
  </si>
  <si>
    <t xml:space="preserve">Error term, share (± pts)</t>
  </si>
  <si>
    <t xml:space="preserve">Brooks share, 95% range</t>
  </si>
  <si>
    <t xml:space="preserve">Error term, votes cast (±)</t>
  </si>
  <si>
    <t xml:space="preserve">Error term, Brooks votes (±)</t>
  </si>
  <si>
    <t xml:space="preserve">Forecast A</t>
  </si>
  <si>
    <t xml:space="preserve">Full random forest</t>
  </si>
  <si>
    <t xml:space="preserve">Forecast B</t>
  </si>
  <si>
    <t xml:space="preserve">SHAP-selected forest</t>
  </si>
  <si>
    <t xml:space="preserve">Forecast C</t>
  </si>
  <si>
    <t xml:space="preserve">SHAP family-reweighted forest</t>
  </si>
  <si>
    <t xml:space="preserve">District error terms = root-mean-square of the district-wide misses in all four backtests (2018, 2020, 2022, 2024). Place pattern error terms come from the 2022 and 2024 forward backtests, which use the same inputs as the 2026 forecast.</t>
  </si>
  <si>
    <t xml:space="preserve">BACKTESTS FOR EVERY YEAR, WITH ERROR TERMS (same weights as the forecasts; live from each backtest tab)</t>
  </si>
  <si>
    <t xml:space="preserve">Backtest</t>
  </si>
  <si>
    <t xml:space="preserve">District Dem share miss (pts)</t>
  </si>
  <si>
    <t xml:space="preserve">Dem votes miss</t>
  </si>
  <si>
    <t xml:space="preserve">Rep votes miss</t>
  </si>
  <si>
    <t xml:space="preserve">Votes cast miss</t>
  </si>
  <si>
    <t xml:space="preserve">Pattern RMS miss per row (pts)</t>
  </si>
  <si>
    <t xml:space="preserve">RMS miss per row (pts)</t>
  </si>
  <si>
    <t xml:space="preserve">Avg error term set beforehand (± pts)</t>
  </si>
  <si>
    <t xml:space="preserve">Actual inside ±1 error term</t>
  </si>
  <si>
    <t xml:space="preserve">Actual inside 95% range</t>
  </si>
  <si>
    <t xml:space="preserve">Rows within 3 pts</t>
  </si>
  <si>
    <t xml:space="preserve">2024 — forward backtest</t>
  </si>
  <si>
    <t xml:space="preserve">2022 — forward backtest</t>
  </si>
  <si>
    <t xml:space="preserve">2020 — hold-out test</t>
  </si>
  <si>
    <t xml:space="preserve">2018 — hold-out test</t>
  </si>
  <si>
    <t xml:space="preserve">Green = forward backtests (only earlier elections used; possible for 2022 and 2024). 2020 and 2018 are hold-out tests (trained on the other elections with only the inputs that existed then), because the data start in 2018. Every year’s error terms come from the other three years. The 2020 test shows the biggest district-wide miss: one earlier election (the 2018 wave) is a poor guide to a presidential year.</t>
  </si>
  <si>
    <t xml:space="preserve">WHY THE WEIGHTS DIFFER BUT THE FORECASTS LOOK THE SAME</t>
  </si>
  <si>
    <t xml:space="preserve">1. District totals are identical by design.</t>
  </si>
  <si>
    <t xml:space="preserve">The district Brooks share is set by the baseline input (row 6) and votes cast by the turnout rule (row 7). Each forecast’s place-level leans are shifted so they add up to exactly that share, and every forecast uses the same votes cast. So A, B and C cannot differ in the district totals — only in how the vote is spread across municipalities.</t>
  </si>
  <si>
    <t xml:space="preserve">2. The place-level forecasts do differ, but only a little.</t>
  </si>
  <si>
    <t xml:space="preserve">Average gap between forecasts: A vs B 0.28 pts (largest 1.0), A vs C 0.50 (largest 2.1), B vs C 0.58 (largest 2.4) — against a 10.3-point spread of leans across municipalities. Correlation between forecasts ≥ 0.999.</t>
  </si>
  <si>
    <t xml:space="preserve">3. The inputs whose weights change all say the same thing.</t>
  </si>
  <si>
    <t xml:space="preserve">Past House, presidential and Senate results, party registration and last election’s Republican share of ballots are all measures of the same underlying partisanship, and are correlated at 0.9+ with each other. Moving weight from one to another (B drops weak inputs; C shifts weight between the results family and the registration family) changes the explanation — the SHAP shares — far more than the answer. Where they disagree is in places whose registration and voting history have drifted apart; those are the rows that move most between A, B and C.</t>
  </si>
  <si>
    <t xml:space="preserve">4. Where it matters.</t>
  </si>
  <si>
    <t xml:space="preserve">The forecasts differ most in close, fast-changing places, which is why the comparison table flags rows where A, B and C disagree on the winner. Those rows plus any row whose 95% range spans 50% are the real toss-ups.</t>
  </si>
  <si>
    <t xml:space="preserve">MUNICIPALITY COMPARISON (Brooks share by forecast, live)</t>
  </si>
  <si>
    <t xml:space="preserve">County</t>
  </si>
  <si>
    <t xml:space="preserve">Municipality</t>
  </si>
  <si>
    <t xml:space="preserve">Area</t>
  </si>
  <si>
    <t xml:space="preserve">Spread (max − min, pts)</t>
  </si>
  <si>
    <t xml:space="preserve">Total error term A (± pts)</t>
  </si>
  <si>
    <t xml:space="preserve">Total error term B (± pts)</t>
  </si>
  <si>
    <t xml:space="preserve">Total error term C (± pts)</t>
  </si>
  <si>
    <t xml:space="preserve">Votes cast</t>
  </si>
  <si>
    <t xml:space="preserve">Calls agree?</t>
  </si>
  <si>
    <t xml:space="preserve">PA-07 2026 House Forecast — Municipal-Level Predictions (Forecast A: full random forest)</t>
  </si>
  <si>
    <t xml:space="preserve">Candidates: Brooks | Mackenzie   |   District totals (yellow) are formulas over the municipality rows.</t>
  </si>
  <si>
    <t xml:space="preserve">Only the results are modelled (one random forest). Votes cast in each row = its 2022 turnout rate (House votes ÷ registered voters) × its 2026 registered voters. Brooks votes = votes cast × forecast Brooks share. Error terms combine the place’s own pattern error (2022 and 2024 backtests), the district-wide error and turnout error (all four backtest years).</t>
  </si>
  <si>
    <t xml:space="preserve">Model / scenario</t>
  </si>
  <si>
    <t xml:space="preserve">Random forest on results — Forecast A (Full random forest), municipality model; turnout = 2022 turnout rate × 2026 registered voters</t>
  </si>
  <si>
    <t xml:space="preserve">As-of date</t>
  </si>
  <si>
    <t xml:space="preserve">Prepared by</t>
  </si>
  <si>
    <t xml:space="preserve">Max</t>
  </si>
  <si>
    <t xml:space="preserve">Version</t>
  </si>
  <si>
    <t xml:space="preserve">v7.0 (current map; backtests every year; results only)</t>
  </si>
  <si>
    <t xml:space="preserve">District Brooks share (scenario)</t>
  </si>
  <si>
    <t xml:space="preserve">Uniform shift applied</t>
  </si>
  <si>
    <t xml:space="preserve">Turnout multiplier (1.00 = 2022 turnout)</t>
  </si>
  <si>
    <t xml:space="preserve">DISTRICT TOTALS (auto-sum — do not type over)</t>
  </si>
  <si>
    <t xml:space="preserve">Geography</t>
  </si>
  <si>
    <t xml:space="preserve">(muni)</t>
  </si>
  <si>
    <t xml:space="preserve">(area)</t>
  </si>
  <si>
    <t xml:space="preserve">Mackenzie share</t>
  </si>
  <si>
    <t xml:space="preserve">Notes</t>
  </si>
  <si>
    <t xml:space="preserve">Error term: place pattern (± pts)</t>
  </si>
  <si>
    <t xml:space="preserve">Error term: district-wide (± pts)</t>
  </si>
  <si>
    <t xml:space="preserve">Error term: total (± pts)</t>
  </si>
  <si>
    <t xml:space="preserve">Brooks share, 95% low</t>
  </si>
  <si>
    <t xml:space="preserve">Brooks share, 95% high</t>
  </si>
  <si>
    <t xml:space="preserve">Error term: votes cast (± votes)</t>
  </si>
  <si>
    <t xml:space="preserve">Error term: Brooks votes (± votes)</t>
  </si>
  <si>
    <t xml:space="preserve">PA-07 District</t>
  </si>
  <si>
    <t xml:space="preserve">(all municipalities)</t>
  </si>
  <si>
    <t xml:space="preserve">Headline forecast for the briefing</t>
  </si>
  <si>
    <t xml:space="preserve">Error terms are ±1 standard error: place pattern error by place size (2022 and 2024 forward backtests) plus district-wide and turnout error (all four backtest years, 2018–2024). 95% low/high = Brooks share ± 1.96 × total error term.</t>
  </si>
  <si>
    <t xml:space="preserve">MUNICIPALITY DETAIL</t>
  </si>
  <si>
    <t xml:space="preserve">MODEL INPUTS (from the random forest — do not edit)</t>
  </si>
  <si>
    <t xml:space="preserve">Notes / source method</t>
  </si>
  <si>
    <t xml:space="preserve">Model lean vs district (pts)</t>
  </si>
  <si>
    <t xml:space="preserve">Votes cast = 2022 turnout × 2026 registered</t>
  </si>
  <si>
    <t xml:space="preserve">Forecast Brooks share (unrounded)</t>
  </si>
  <si>
    <t xml:space="preserve">2022 turnout (House votes ÷ registered)</t>
  </si>
  <si>
    <t xml:space="preserve">2026 registered voters</t>
  </si>
  <si>
    <t xml:space="preserve">Votes-cast error (% of votes)</t>
  </si>
  <si>
    <t xml:space="preserve">Size group (backtest error band)</t>
  </si>
  <si>
    <t xml:space="preserve">Registration source</t>
  </si>
  <si>
    <t xml:space="preserve">Carbon</t>
  </si>
  <si>
    <t xml:space="preserve">BANKS TOWNSHIP</t>
  </si>
  <si>
    <t xml:space="preserve">(whole municipality)</t>
  </si>
  <si>
    <t xml:space="preserve">random forest (results only)</t>
  </si>
  <si>
    <t xml:space="preserve">Small</t>
  </si>
  <si>
    <t xml:space="preserve">state rolls, whole municipality</t>
  </si>
  <si>
    <t xml:space="preserve">BEAVER MEADOWS BOROUGH</t>
  </si>
  <si>
    <t xml:space="preserve">BOWMANSTOWN BOROUGH</t>
  </si>
  <si>
    <t xml:space="preserve">EAST PENN TOWNSHIP</t>
  </si>
  <si>
    <t xml:space="preserve">Medium</t>
  </si>
  <si>
    <t xml:space="preserve">EAST SIDE BOROUGH</t>
  </si>
  <si>
    <t xml:space="preserve">FRANKLIN TOWNSHIP</t>
  </si>
  <si>
    <t xml:space="preserve">JIM THORPE BOROUGH</t>
  </si>
  <si>
    <t xml:space="preserve">KIDDER TOWNSHIP</t>
  </si>
  <si>
    <t xml:space="preserve">LANSFORD BOROUGH</t>
  </si>
  <si>
    <t xml:space="preserve">LAUSANNE TOWNSHIP</t>
  </si>
  <si>
    <t xml:space="preserve">LEHIGH TOWNSHIP</t>
  </si>
  <si>
    <t xml:space="preserve">LEHIGHTON BOROUGH</t>
  </si>
  <si>
    <t xml:space="preserve">LOWER TOWAMENSING TOWNSHIP</t>
  </si>
  <si>
    <t xml:space="preserve">MAHONING TOWNSHIP</t>
  </si>
  <si>
    <t xml:space="preserve">NESQUEHONING BOROUGH</t>
  </si>
  <si>
    <t xml:space="preserve">PACKER TOWNSHIP</t>
  </si>
  <si>
    <t xml:space="preserve">PALMERTON BOROUGH</t>
  </si>
  <si>
    <t xml:space="preserve">PARRYVILLE BOROUGH</t>
  </si>
  <si>
    <t xml:space="preserve">PENN FOREST TOWNSHIP</t>
  </si>
  <si>
    <t xml:space="preserve">Large</t>
  </si>
  <si>
    <t xml:space="preserve">SUMMIT HILL BOROUGH</t>
  </si>
  <si>
    <t xml:space="preserve">TOWAMENSING TOWNSHIP</t>
  </si>
  <si>
    <t xml:space="preserve">WEATHERLY BOROUGH</t>
  </si>
  <si>
    <t xml:space="preserve">WEISSPORT BOROUGH</t>
  </si>
  <si>
    <t xml:space="preserve">Lehigh</t>
  </si>
  <si>
    <t xml:space="preserve">ALBURTIS</t>
  </si>
  <si>
    <t xml:space="preserve">ALLENTOWN</t>
  </si>
  <si>
    <t xml:space="preserve">BETHLEHEM</t>
  </si>
  <si>
    <t xml:space="preserve">CATASAUQUA</t>
  </si>
  <si>
    <t xml:space="preserve">COOPERSBURG</t>
  </si>
  <si>
    <t xml:space="preserve">COPLAY</t>
  </si>
  <si>
    <t xml:space="preserve">EMMAUS</t>
  </si>
  <si>
    <t xml:space="preserve">FOUNTAIN HILL</t>
  </si>
  <si>
    <t xml:space="preserve">HANOVER</t>
  </si>
  <si>
    <t xml:space="preserve">HEIDELBERG</t>
  </si>
  <si>
    <t xml:space="preserve">LOWER MACUNGIE</t>
  </si>
  <si>
    <t xml:space="preserve">LOWER MILFORD</t>
  </si>
  <si>
    <t xml:space="preserve">LOWHILL</t>
  </si>
  <si>
    <t xml:space="preserve">LYNN</t>
  </si>
  <si>
    <t xml:space="preserve">MACUNGIE</t>
  </si>
  <si>
    <t xml:space="preserve">NORTH WHITEHALL</t>
  </si>
  <si>
    <t xml:space="preserve">SALISBURY</t>
  </si>
  <si>
    <t xml:space="preserve">SLATINGTON</t>
  </si>
  <si>
    <t xml:space="preserve">SOUTH WHITEHALL</t>
  </si>
  <si>
    <t xml:space="preserve">UPPER MACUNGIE</t>
  </si>
  <si>
    <t xml:space="preserve">UPPER MILFORD</t>
  </si>
  <si>
    <t xml:space="preserve">UPPER SAUCON</t>
  </si>
  <si>
    <t xml:space="preserve">WASHINGTON</t>
  </si>
  <si>
    <t xml:space="preserve">WEISENBERG</t>
  </si>
  <si>
    <t xml:space="preserve">WHITEHALL</t>
  </si>
  <si>
    <t xml:space="preserve">Monroe</t>
  </si>
  <si>
    <t xml:space="preserve">ELDRED TOWNSHIP</t>
  </si>
  <si>
    <t xml:space="preserve">state rolls, district precincts</t>
  </si>
  <si>
    <t xml:space="preserve">POLK TOWNSHIP</t>
  </si>
  <si>
    <t xml:space="preserve">ROSS TOWNSHIP</t>
  </si>
  <si>
    <t xml:space="preserve">Northampton</t>
  </si>
  <si>
    <t xml:space="preserve">ALLEN</t>
  </si>
  <si>
    <t xml:space="preserve">BANGOR</t>
  </si>
  <si>
    <t xml:space="preserve">BATH</t>
  </si>
  <si>
    <t xml:space="preserve">BETHLEHEM TOWNSHIP</t>
  </si>
  <si>
    <t xml:space="preserve">BUSHKILL</t>
  </si>
  <si>
    <t xml:space="preserve">CHAPMAN</t>
  </si>
  <si>
    <t xml:space="preserve">EAST ALLEN</t>
  </si>
  <si>
    <t xml:space="preserve">EAST BANGOR</t>
  </si>
  <si>
    <t xml:space="preserve">EASTON</t>
  </si>
  <si>
    <t xml:space="preserve">FORKS</t>
  </si>
  <si>
    <t xml:space="preserve">FREEMANSBURG</t>
  </si>
  <si>
    <t xml:space="preserve">GLENDON</t>
  </si>
  <si>
    <t xml:space="preserve">HELLERTOWN</t>
  </si>
  <si>
    <t xml:space="preserve">LEHIGH</t>
  </si>
  <si>
    <t xml:space="preserve">LOWER MOUNT BETHEL</t>
  </si>
  <si>
    <t xml:space="preserve">LOWER NAZARETH</t>
  </si>
  <si>
    <t xml:space="preserve">LOWER SAUCON</t>
  </si>
  <si>
    <t xml:space="preserve">MOORE</t>
  </si>
  <si>
    <t xml:space="preserve">NAZARETH</t>
  </si>
  <si>
    <t xml:space="preserve">NORTH CATASAUQUA</t>
  </si>
  <si>
    <t xml:space="preserve">NORTHAMPTON</t>
  </si>
  <si>
    <t xml:space="preserve">PALMER</t>
  </si>
  <si>
    <t xml:space="preserve">PEN ARGYL</t>
  </si>
  <si>
    <t xml:space="preserve">PLAINFIELD</t>
  </si>
  <si>
    <t xml:space="preserve">PORTLAND</t>
  </si>
  <si>
    <t xml:space="preserve">ROSETO</t>
  </si>
  <si>
    <t xml:space="preserve">STOCKERTOWN</t>
  </si>
  <si>
    <t xml:space="preserve">TATAMY</t>
  </si>
  <si>
    <t xml:space="preserve">UPPER MOUNT BETHEL</t>
  </si>
  <si>
    <t xml:space="preserve">UPPER NAZARETH</t>
  </si>
  <si>
    <t xml:space="preserve">WALNUTPORT</t>
  </si>
  <si>
    <t xml:space="preserve">WEST EASTON</t>
  </si>
  <si>
    <t xml:space="preserve">WILLIAMS TOWNSHIP</t>
  </si>
  <si>
    <t xml:space="preserve">WILSON</t>
  </si>
  <si>
    <t xml:space="preserve">WIND GAP</t>
  </si>
  <si>
    <t xml:space="preserve">PA-07 2026 House Forecast — Municipal-Level Predictions (Forecast B: shap-selected forest)</t>
  </si>
  <si>
    <t xml:space="preserve">Random forest on results — Forecast B (SHAP-selected forest), municipality model; turnout = 2022 turnout rate × 2026 registered voters</t>
  </si>
  <si>
    <t xml:space="preserve">PA-07 2026 House Forecast — Municipal-Level Predictions (Forecast C: shap family-reweighted forest)</t>
  </si>
  <si>
    <t xml:space="preserve">Random forest on results — Forecast C (SHAP family-reweighted forest), municipality model; turnout = 2022 turnout rate × 2026 registered voters</t>
  </si>
  <si>
    <t xml:space="preserve">How the three municipality-level forecasts weigh their inputs (SHAP) — results-only random forests</t>
  </si>
  <si>
    <t xml:space="preserve">Forecast A — Full random forest.</t>
  </si>
  <si>
    <t xml:space="preserve">All 21 candidate inputs go into one random forest that forecasts the Democratic share. Nothing is weighted by hand; SHAP measures what the forest learned. This is the reference.</t>
  </si>
  <si>
    <t xml:space="preserve">Forecast B — SHAP-selected forest.</t>
  </si>
  <si>
    <t xml:space="preserve">Keeps only inputs whose average |SHAP| beat all 10 random columns in at least 18 of 20 refits and that held at least 2% of Forecast A’s SHAP total (7 of 21 kept), then refits the forest on them. Weight that was spread thinly over weak inputs is concentrated on the strong ones.</t>
  </si>
  <si>
    <t xml:space="preserve">Forecast C — SHAP family-reweighted forest.</t>
  </si>
  <si>
    <t xml:space="preserve">Keeps Forecast A’s forest but multiplies each input family’s SHAP values by a weight fitted to how well that family predicted elections the forest had not seen (leave-one-election-out, fitted within each election). Families under 3% of SHAP stay at ×1; others are limited to ×0.5–×2 because there are only three training elections.</t>
  </si>
  <si>
    <t xml:space="preserve">Backtests.</t>
  </si>
  <si>
    <t xml:space="preserve">Each 2024 backtest uses its own forecast’s weighting: A’s full input set, B’s selected inputs, and C’s exact family weights — refit only on 2020 and 2022.</t>
  </si>
  <si>
    <t xml:space="preserve">Turnout.</t>
  </si>
  <si>
    <t xml:space="preserve">Not modelled in any forecast: votes cast = each place’s 2022 turnout rate × its 2026 registered voters (2020 turnout × 2024 registered in the backtest). All differences between A, B and C come from the results model.</t>
  </si>
  <si>
    <t xml:space="preserve">Family share of SHAP value in votes, 2026 forecast rows</t>
  </si>
  <si>
    <t xml:space="preserve">Input family</t>
  </si>
  <si>
    <t xml:space="preserve">Forecast C weight (×)</t>
  </si>
  <si>
    <t xml:space="preserve">Election type</t>
  </si>
  <si>
    <t xml:space="preserve">Historical voter data</t>
  </si>
  <si>
    <t xml:space="preserve">Voter registration data</t>
  </si>
  <si>
    <t xml:space="preserve">Out-of-fold pattern error before → after Forecast C’s re-weighting: 2.37 → 2.29 points.</t>
  </si>
  <si>
    <t xml:space="preserve">Top inputs in each forecast (share of SHAP value in votes)</t>
  </si>
  <si>
    <t xml:space="preserve">#</t>
  </si>
  <si>
    <t xml:space="preserve">Share</t>
  </si>
  <si>
    <t xml:space="preserve">Senate lean, most recent Senate race</t>
  </si>
  <si>
    <t xml:space="preserve">House lean, last election (t−2)</t>
  </si>
  <si>
    <t xml:space="preserve">Top-of-ticket lean, last election (t−2)</t>
  </si>
  <si>
    <t xml:space="preserve">Registration: R % (voter file)</t>
  </si>
  <si>
    <t xml:space="preserve">Electorate last election: R % of ballots</t>
  </si>
  <si>
    <t xml:space="preserve">Registration: D % (voter file)</t>
  </si>
  <si>
    <t xml:space="preserve">House lean, last same-type election (t−4)</t>
  </si>
  <si>
    <t xml:space="preserve">Registered voters (log)</t>
  </si>
  <si>
    <t xml:space="preserve">Registrants: female % (known sex)</t>
  </si>
  <si>
    <t xml:space="preserve">Registration: unaffiliated/other %</t>
  </si>
  <si>
    <t xml:space="preserve">Forecast B — random-column test and selection</t>
  </si>
  <si>
    <t xml:space="preserve">Input</t>
  </si>
  <si>
    <t xml:space="preserve">Beat random columns (of 20)</t>
  </si>
  <si>
    <t xml:space="preserve">Share of SHAP in A</t>
  </si>
  <si>
    <t xml:space="preserve">Kept in B?</t>
  </si>
  <si>
    <t xml:space="preserve">Yes</t>
  </si>
  <si>
    <t xml:space="preserve">No</t>
  </si>
  <si>
    <t xml:space="preserve">Registration: change in D−R margin since t−2</t>
  </si>
  <si>
    <t xml:space="preserve">Turnout last election: unaffiliated</t>
  </si>
  <si>
    <t xml:space="preserve">Turnout, last election (certified)</t>
  </si>
  <si>
    <t xml:space="preserve">Ticket-splitting, last election (House − top of ticket)</t>
  </si>
  <si>
    <t xml:space="preserve">Registrants: Millennial + Gen Z %</t>
  </si>
  <si>
    <t xml:space="preserve">Registrants: Boomer + Silent %</t>
  </si>
  <si>
    <t xml:space="preserve">Turnout last election: R registrants</t>
  </si>
  <si>
    <t xml:space="preserve">Mail use last election: D voters</t>
  </si>
  <si>
    <t xml:space="preserve">Lean trend (t−2 minus t−4)</t>
  </si>
  <si>
    <t xml:space="preserve">Turnout last election: D registrants</t>
  </si>
  <si>
    <t xml:space="preserve">Midterm year (1/0)</t>
  </si>
  <si>
    <t xml:space="preserve">Rank</t>
  </si>
  <si>
    <t xml:space="preserve">Feature</t>
  </si>
  <si>
    <t xml:space="preserve">Share of model</t>
  </si>
  <si>
    <t xml:space="preserve">Share within its family</t>
  </si>
  <si>
    <t xml:space="preserve">SHAP value in votes</t>
  </si>
  <si>
    <t xml:space="preserve">Used to forecast</t>
  </si>
  <si>
    <t xml:space="preserve">Significance test result</t>
  </si>
  <si>
    <t xml:space="preserve">Variable (short name)</t>
  </si>
  <si>
    <t xml:space="preserve">Status in Forecast B</t>
  </si>
  <si>
    <t xml:space="preserve">Democratic percent of the two-party U.S. Senate vote, 2024 (most recent Senate race), above or below the district average</t>
  </si>
  <si>
    <t xml:space="preserve">Democratic percent of the two-party vote</t>
  </si>
  <si>
    <t xml:space="preserve">Beat all 10 random comparison columns in 20 of 20 refits.</t>
  </si>
  <si>
    <t xml:space="preserve">Kept in B</t>
  </si>
  <si>
    <t xml:space="preserve">Democratic percent of the two-party vote for President, 2024 (the top race on the ballot), above or below the district average</t>
  </si>
  <si>
    <t xml:space="preserve">Democratic percent of the two-party House vote, 2024 (certified municipal results), above or below the district average for that election</t>
  </si>
  <si>
    <t xml:space="preserve">Registered Republicans as a percent of all registered voters, 2026 (voter file)</t>
  </si>
  <si>
    <t xml:space="preserve">Registered Republicans as a percent of everyone who voted, 2024 (voter file)</t>
  </si>
  <si>
    <t xml:space="preserve">Registered Democrats as a percent of all registered voters, 2026 (voter file)</t>
  </si>
  <si>
    <t xml:space="preserve">Democratic percent of the two-party House vote, 2022 — the last midterm (certified municipal results), above or below the district average</t>
  </si>
  <si>
    <t xml:space="preserve">Number of registered voters, 2026, on a log scale (voter file)</t>
  </si>
  <si>
    <t xml:space="preserve">Beat all 10 random comparison columns in 19 of 20 refits.</t>
  </si>
  <si>
    <t xml:space="preserve">Dropped from B</t>
  </si>
  <si>
    <t xml:space="preserve">Women as a percent of registered voters whose sex is recorded, 2026 (voter file)</t>
  </si>
  <si>
    <t xml:space="preserve">Beat all 10 random comparison columns in 17 of 20 refits.</t>
  </si>
  <si>
    <t xml:space="preserve">Registered voters in neither major party, as a percent of all registered voters, 2026 (voter file)</t>
  </si>
  <si>
    <t xml:space="preserve">Change in registered Democrats minus registered Republicans (percent of registered) from 2024 to 2026 (voter file)</t>
  </si>
  <si>
    <t xml:space="preserve">Beat all 10 random comparison columns in 16 of 20 refits.</t>
  </si>
  <si>
    <t xml:space="preserve">Percent of registered voters in neither major party who voted, 2024 (voter file)</t>
  </si>
  <si>
    <t xml:space="preserve">Beat all 10 random comparison columns in 14 of 20 refits.</t>
  </si>
  <si>
    <t xml:space="preserve">Ballots cast as a percent of registered voters, 2024 (certified municipal results)</t>
  </si>
  <si>
    <t xml:space="preserve">Beat all 10 random comparison columns in 3 of 20 refits.</t>
  </si>
  <si>
    <t xml:space="preserve">Registered voters born 1981 or later, as a percent of all registered voters, 2026 (voter file)</t>
  </si>
  <si>
    <t xml:space="preserve">Beat all 10 random comparison columns in 5 of 20 refits.</t>
  </si>
  <si>
    <t xml:space="preserve">Registered voters born 1964 or earlier, as a percent of all registered voters, 2026 (voter file)</t>
  </si>
  <si>
    <t xml:space="preserve">Beat all 10 random comparison columns in 0 of 20 refits.</t>
  </si>
  <si>
    <t xml:space="preserve">House Democratic percent minus presidential Democratic percent, 2024, in points (how much the place split its ticket)</t>
  </si>
  <si>
    <t xml:space="preserve">Beat all 10 random comparison columns in 4 of 20 refits.</t>
  </si>
  <si>
    <t xml:space="preserve">Percent of Democratic voters who voted by mail, 2024 (voter file)</t>
  </si>
  <si>
    <t xml:space="preserve">Change in the place’s House lean from 2022 to 2024, in points</t>
  </si>
  <si>
    <t xml:space="preserve">Percent of registered Republicans who voted, 2024 (voter file)</t>
  </si>
  <si>
    <t xml:space="preserve">Percent of registered Democrats who voted, 2024 (voter file)</t>
  </si>
  <si>
    <t xml:space="preserve">Election type: 1 for a midterm year (2026), 0 for a presidential year</t>
  </si>
  <si>
    <t xml:space="preserve">Historical voter data, total</t>
  </si>
  <si>
    <t xml:space="preserve">Voter registration data, total</t>
  </si>
  <si>
    <t xml:space="preserve">Election type, total</t>
  </si>
  <si>
    <t xml:space="preserve">All features, total</t>
  </si>
  <si>
    <t xml:space="preserve">How to read this table. Each row is one input that this forecast uses, ranked by SHAP value in votes on the 2026 forecast rows.</t>
  </si>
  <si>
    <t xml:space="preserve">SHAP value: for one place, the number of votes that one input added to or took away from that place’s forecast, measured from the model’s starting value (the average over the places and years it was trained on). Exact TreeSHAP over every tree.</t>
  </si>
  <si>
    <t xml:space="preserve">SHAP value in votes is the average over the 89 municipalities of the votes the input moved, ignoring direction. Brooks votes and Mackenzie votes are counted together (moving 10 votes from Mackenzie to Brooks counts as 20). Votes cast = each place’s 2022 turnout rate × its 2026 registered voters.</t>
  </si>
  <si>
    <t xml:space="preserve">Share of model = the input’s SHAP value in votes ÷ the total for all inputs. Share within its family divides by its family’s total instead.</t>
  </si>
  <si>
    <t xml:space="preserve">What the model forecasts. One random forest forecasts each place’s Democratic percent of the two-party House vote, above or below the district average for that election. Turnout is not forecast: each place’s votes cast = its 2022 turnout rate × its 2026 registered voters. Brooks share = forecast pattern + one uniform shift so the district total equals the scenario (default: registration-adjusted baseline).</t>
  </si>
  <si>
    <t xml:space="preserve">Forecast A weighting: none imposed. Each input’s weight is exactly what the full forest learned; SHAP shows it after the fact.</t>
  </si>
  <si>
    <t xml:space="preserve">Significance test. The full forest was refit 20 times with 10 extra columns of random numbers (5 that change row to row, 5 that keep one value per place). The column counts the refits in which the input’s average |SHAP| on the 2026 rows beat every random column.</t>
  </si>
  <si>
    <t xml:space="preserve">Settings: max_features=0.33, min_samples_leaf=3, 500 trees, trained on 267 municipality-elections (2020, 2022, 2024).</t>
  </si>
  <si>
    <t xml:space="preserve">Forecast B weighting: SHAP-selected. Only inputs that beat all 10 random columns in at least 18 of 20 refits AND held at least 2% of Forecast A’s SHAP total were kept; the forest was refit on those inputs alone, so weight that was spread over weak inputs is concentrated on the strong ones.</t>
  </si>
  <si>
    <t xml:space="preserve">Settings: max_features=0.33, min_samples_leaf=1, 500 trees, trained on 267 municipality-elections (2020, 2022, 2024).</t>
  </si>
  <si>
    <t xml:space="preserve">Forecast C weighting: SHAP family re-weighting. Forecast A’s forest is kept, but each input family’s SHAP contribution is multiplied by a weight fitted to out-of-sample accuracy: Election type ×1.00; Historical voter data ×1.02; Voter registration data ×1.23. The forecast is the forest’s starting value plus the re-weighted SHAP values, so the SHAP values here are already re-weighted.</t>
  </si>
  <si>
    <t xml:space="preserve">Predicted Democratic (Wild) votes</t>
  </si>
  <si>
    <t xml:space="preserve">Actual Democratic votes</t>
  </si>
  <si>
    <t xml:space="preserve">Error, Democratic votes (predicted minus actual)</t>
  </si>
  <si>
    <t xml:space="preserve">Predicted Republican (Mackenzie) votes</t>
  </si>
  <si>
    <t xml:space="preserve">Actual Republican votes</t>
  </si>
  <si>
    <t xml:space="preserve">Error, Republican votes (predicted minus actual)</t>
  </si>
  <si>
    <t xml:space="preserve">Predicted Democratic share of the two-party vote</t>
  </si>
  <si>
    <t xml:space="preserve">Actual Democratic share of the two-party vote</t>
  </si>
  <si>
    <t xml:space="preserve">Error in Democratic share, percentage points (predicted minus actual)</t>
  </si>
  <si>
    <t xml:space="preserve">Error term: place pattern (± pts, from 2018, 2020, 2022)</t>
  </si>
  <si>
    <t xml:space="preserve">Error term: district-wide (± pts, from 2018, 2020, 2022)</t>
  </si>
  <si>
    <t xml:space="preserve">Predicted share, 95% low</t>
  </si>
  <si>
    <t xml:space="preserve">Predicted share, 95% high</t>
  </si>
  <si>
    <t xml:space="preserve">Actual inside ±1 error term?</t>
  </si>
  <si>
    <t xml:space="preserve">Actual inside 95% range?</t>
  </si>
  <si>
    <t xml:space="preserve">Error term: Democratic votes (± votes)</t>
  </si>
  <si>
    <t xml:space="preserve">Note</t>
  </si>
  <si>
    <t xml:space="preserve">PA-07 District (municipalities compared)</t>
  </si>
  <si>
    <t xml:space="preserve">All rows (predicted only)</t>
  </si>
  <si>
    <t xml:space="preserve">Average miss per row, Democratic votes (sign removed)</t>
  </si>
  <si>
    <t xml:space="preserve">Average miss per row, Republican votes (sign removed)</t>
  </si>
  <si>
    <t xml:space="preserve">Average miss per row, Democratic share (points, sign removed)</t>
  </si>
  <si>
    <t xml:space="preserve">Root-mean-square miss per row, Democratic share (points)</t>
  </si>
  <si>
    <t xml:space="preserve">District-wide miss, Democratic share (points)</t>
  </si>
  <si>
    <t xml:space="preserve">Pattern RMS miss per row (points) — district-wide miss removed</t>
  </si>
  <si>
    <t xml:space="preserve">Democratic votes miss, district (percent)</t>
  </si>
  <si>
    <t xml:space="preserve">Republican votes miss, district (percent)</t>
  </si>
  <si>
    <t xml:space="preserve">Total votes cast miss, district (percent) — turnout rule</t>
  </si>
  <si>
    <t xml:space="preserve">Average error term per row (± pts, set from the other years)</t>
  </si>
  <si>
    <t xml:space="preserve">Rows where the actual result fell inside ±1 error term (≈68% expected)</t>
  </si>
  <si>
    <t xml:space="preserve">Rows where the actual result fell inside the 95% range (≈95% expected)</t>
  </si>
  <si>
    <t xml:space="preserve">Rows within 3 points on Democratic share</t>
  </si>
  <si>
    <t xml:space="preserve">Rows with a comparable 2024 result</t>
  </si>
  <si>
    <t xml:space="preserve">Rows in the table</t>
  </si>
  <si>
    <t xml:space="preserve">What this tab is: forward backtest for 2024 — the forecast method run without 2024’s results and compared with the actual 2024 House results (trained on 2020 and 2022 only).</t>
  </si>
  <si>
    <t xml:space="preserve">A forward backtest uses only elections before the one being forecast, like a real forecast.</t>
  </si>
  <si>
    <t xml:space="preserve">Weights: Forecast A — pure random forest on the 21 inputs that existed for 2024.</t>
  </si>
  <si>
    <t xml:space="preserve">Turnout: each row’s votes cast = 2020 turnout rate × 2024 registered voters.</t>
  </si>
  <si>
    <t xml:space="preserve">District share: average of 2020 and 2022 (49.6%, 50.9%) + 0.48 × change in Democratic share of two-party registration = 49.1%. Actual 2024: 49.4%.</t>
  </si>
  <si>
    <t xml:space="preserve">Error terms on this tab come only from the OTHER backtest years (2018, 2020, 2022) — never from 2024 itself — so columns R and S are an honest check of whether the error terms hold up.</t>
  </si>
  <si>
    <t xml:space="preserve">Current map, all years: Carbon (PA-09 in 2018/2020) and Polk (PA-08 in 2018/2020) results are treated as district results; Ross One’s 2018/2020 result is estimated from the whole township.</t>
  </si>
  <si>
    <t xml:space="preserve">Actual votes are the 2024 House results as given. Error = predicted minus actual. Shares are of the two-party vote. Wild was the 2024 PA-07 Democratic candidate and Mackenzie the Republican; Carbon and Polk rows in 2018/2020 had other candidates.</t>
  </si>
  <si>
    <t xml:space="preserve">Rows marked 'No comparable 2024 result' are left out of the district total and the error figures.</t>
  </si>
  <si>
    <t xml:space="preserve">Weights: Forecast B — the SHAP-selected inputs that existed for 2024 (7: House lean, last election (t−2); House lean, last same-type election (t−4); Top-of-ticket lean, last election (t−2); Senate lean, most recent Senate race; Registration: R % (voter file); Registration: D % (voter file); Electorate last election: R % of ballots).</t>
  </si>
  <si>
    <t xml:space="preserve">Weights: Forecast C — the SAME family weights as the 2026 Forecast C (Election type ×1.00; Historical voter data ×1.02; Voter registration data ×1.23), applied to the SHAP values of this year’s Forecast A forest. Those weights were fitted using all training elections, so this test is slightly optimistic for C.</t>
  </si>
  <si>
    <t xml:space="preserve">Predicted Republican (Scheller) votes</t>
  </si>
  <si>
    <t xml:space="preserve">Error term: place pattern (± pts, from 2018, 2020, 2024)</t>
  </si>
  <si>
    <t xml:space="preserve">Error term: district-wide (± pts, from 2018, 2020, 2024)</t>
  </si>
  <si>
    <t xml:space="preserve">Rows with a comparable 2022 result</t>
  </si>
  <si>
    <t xml:space="preserve">What this tab is: forward backtest for 2022 — the forecast method run without 2022’s results and compared with the actual 2022 House results (trained on 2020 only).</t>
  </si>
  <si>
    <t xml:space="preserve">Weights: Forecast A — pure random forest on the 21 inputs that existed for 2022.</t>
  </si>
  <si>
    <t xml:space="preserve">Turnout: each row’s votes cast = 2018 turnout rate × 2022 registered voters.</t>
  </si>
  <si>
    <t xml:space="preserve">District share: average of 2018 and 2020 (53.3%, 49.6%) + 0.73 × change in registration = 50.4%. Actual 2022: 50.9%.</t>
  </si>
  <si>
    <t xml:space="preserve">Error terms on this tab come only from the OTHER backtest years (2018, 2020, 2024) — never from 2022 itself — so columns R and S are an honest check of whether the error terms hold up.</t>
  </si>
  <si>
    <t xml:space="preserve">Actual votes are the 2022 House results as given. Error = predicted minus actual. Shares are of the two-party vote. Wild was the 2022 PA-07 Democratic candidate and Scheller the Republican; Carbon and Polk rows in 2018/2020 had other candidates.</t>
  </si>
  <si>
    <t xml:space="preserve">Rows marked 'No comparable 2022 result' are left out of the district total and the error figures.</t>
  </si>
  <si>
    <t xml:space="preserve">Weights: Forecast B — the SHAP-selected inputs that existed for 2022 (7: House lean, last election (t−2); House lean, last same-type election (t−4); Top-of-ticket lean, last election (t−2); Senate lean, most recent Senate race; Registration: R % (voter file); Registration: D % (voter file); Electorate last election: R % of ballots).</t>
  </si>
  <si>
    <t xml:space="preserve">Error term: place pattern (± pts, from 2018, 2022, 2024)</t>
  </si>
  <si>
    <t xml:space="preserve">Error term: district-wide (± pts, from 2018, 2022, 2024)</t>
  </si>
  <si>
    <t xml:space="preserve">Actual = PA-09 House race (treated as district result)</t>
  </si>
  <si>
    <t xml:space="preserve">Actual = PA-08 House race (treated as district result)</t>
  </si>
  <si>
    <t xml:space="preserve">Actual = Ross One estimate from whole-township result</t>
  </si>
  <si>
    <t xml:space="preserve">Rows with a comparable 2020 result</t>
  </si>
  <si>
    <t xml:space="preserve">What this tab is: hold-out test for 2020 — the forecast method run without 2020’s results and compared with the actual 2020 House results (trained on 2022 and 2024 (later elections) — no earlier same-type election exists).</t>
  </si>
  <si>
    <t xml:space="preserve">A hold-out test is the closest check possible for 2020: the data begin in 2018, so the forest is trained on the other elections, using only the inputs that existed for 2020. It is not a true forecast (it learns from later elections) and its inputs are thinner than a real 2026 forecast’s.</t>
  </si>
  <si>
    <t xml:space="preserve">Weights: Forecast A — pure random forest on the 18 inputs that existed for 2020.</t>
  </si>
  <si>
    <t xml:space="preserve">Turnout: each row’s votes cast = 2024 turnout rate × 2020 registered voters (no 2016 data — the next presidential year is used instead).</t>
  </si>
  <si>
    <t xml:space="preserve">District share: only one earlier election exists: 2018 (53.3%) + 0.44 × change in registration 2018→2020 = 52.8%. Actual 2020: 49.6%.</t>
  </si>
  <si>
    <t xml:space="preserve">Error terms on this tab come only from the OTHER backtest years (2018, 2022, 2024) — never from 2020 itself — so columns R and S are an honest check of whether the error terms hold up.</t>
  </si>
  <si>
    <t xml:space="preserve">Actual votes are the 2020 House results as given. Error = predicted minus actual. Shares are of the two-party vote. Wild was the 2020 PA-07 Democratic candidate and Scheller the Republican; Carbon and Polk rows in 2018/2020 had other candidates.</t>
  </si>
  <si>
    <t xml:space="preserve">Rows marked 'No comparable 2020 result' are left out of the district total and the error figures.</t>
  </si>
  <si>
    <t xml:space="preserve">Weights: Forecast B — the SHAP-selected inputs that existed for 2020 (6: House lean, last election (t−2); Top-of-ticket lean, last election (t−2); Senate lean, most recent Senate race; Registration: R % (voter file); Registration: D % (voter file); Electorate last election: R % of ballots).</t>
  </si>
  <si>
    <t xml:space="preserve">Predicted Republican (Nothstein) votes</t>
  </si>
  <si>
    <t xml:space="preserve">Error term: place pattern (± pts, from 2020, 2022, 2024)</t>
  </si>
  <si>
    <t xml:space="preserve">Error term: district-wide (± pts, from 2020, 2022, 2024)</t>
  </si>
  <si>
    <t xml:space="preserve">Rows with a comparable 2018 result</t>
  </si>
  <si>
    <t xml:space="preserve">What this tab is: hold-out test for 2018 — the forecast method run without 2018’s results and compared with the actual 2018 House results (trained on 2020, 2022 and 2024 (later elections) — no earlier election exists).</t>
  </si>
  <si>
    <t xml:space="preserve">A hold-out test is the closest check possible for 2018: the data begin in 2018, so the forest is trained on the other elections, using only the inputs that existed for 2018. It is not a true forecast (it learns from later elections) and its inputs are thinner than a real 2026 forecast’s.</t>
  </si>
  <si>
    <t xml:space="preserve">Weights: Forecast A — pure random forest on the 8 inputs that existed for 2018.</t>
  </si>
  <si>
    <t xml:space="preserve">Turnout: each row’s votes cast = 2022 turnout rate × 2018 registered voters (no 2014 data — the next midterm is used instead).</t>
  </si>
  <si>
    <t xml:space="preserve">District share: no earlier election exists, so the rule is run backwards from the next midterm: 2022 (50.9%) + 0.34 × change in registration 2022→2018 = 51.6%. Actual 2018: 53.3%.</t>
  </si>
  <si>
    <t xml:space="preserve">Error terms on this tab come only from the OTHER backtest years (2020, 2022, 2024) — never from 2018 itself — so columns R and S are an honest check of whether the error terms hold up.</t>
  </si>
  <si>
    <t xml:space="preserve">Actual votes are the 2018 House results as given. Error = predicted minus actual. Shares are of the two-party vote. Wild was the 2018 PA-07 Democratic candidate and Nothstein the Republican; Carbon and Polk rows in 2018/2020 had other candidates.</t>
  </si>
  <si>
    <t xml:space="preserve">Rows marked 'No comparable 2018 result' are left out of the district total and the error figures.</t>
  </si>
  <si>
    <t xml:space="preserve">Weights: Forecast B — the SHAP-selected inputs that existed for 2018 (2: Registration: R % (voter file); Registration: D % (voter file)).</t>
  </si>
  <si>
    <t xml:space="preserve">Current map, all years (v6.0)</t>
  </si>
  <si>
    <t xml:space="preserve">Every year 2018–2026 uses today’s PA-07 map, as if the district had always included all 89 municipalities and 370 precincts. Carbon County (PA-09 in 2018/2020) and Polk Township (PA-08 in 2018/2020) are treated as district results in those years: they count in the district averages, as history, in the turnout rates AND as training targets for the random forests. Ross One (the only part of Ross Township in today’s district) gets 2018/2020 estimates from the whole-township result: the same vote share, with votes scaled to the Ross One residents who voted that year (voter file). Precincts whose result under today’s code is missing or does not line up with today’s residents (re-drawn or re-paired, 25–30 a year) take their municipality’s House share as history, so every precinct has a full history; they are not used as training targets because their own result is not known. Each place’s lean is measured against the average of ALL current units for that year.</t>
  </si>
  <si>
    <t xml:space="preserve">Backtests for every year: 2024 and 2022 are forward backtests (forest trained only on earlier elections: 2020–2022 for 2024, 2020 for 2022). 2020 and 2018 are hold-out tests — the data begin in 2018, so no earlier same-type election exists; their forests are trained on the other elections using only the inputs that existed that year (2020: 18–20 inputs; 2018: registration and registrant make-up only), and their district-share and turnout rules use the nearest available election. Each forecast style (A, B, C) is backtested with its own weights. Each year’s error terms come from the other three years only.</t>
  </si>
  <si>
    <t xml:space="preserve">How the forecasts are built</t>
  </si>
  <si>
    <t xml:space="preserve">Re-run from scratch; no earlier forecast results are used. There are two separate sets of random forests — one for municipalities, one for precincts — and only one random forest per forecast, on the results (Democratic share of the two-party House vote). Turnout is not modelled.</t>
  </si>
  <si>
    <t xml:space="preserve">Turnout: votes cast in each municipality = its 2022 turnout rate (two-party House votes ÷ registered voters, Department of State rolls) × its 2026 registered voters (2026 primary rolls). District total ≈ 306,131. A turnout multiplier on the first tab (default 1.00) scales every row if you want to test higher or lower turnout.</t>
  </si>
  <si>
    <t xml:space="preserve">Backtests use the same rule one cycle earlier: 2024 votes = 2020 turnout × 2024 registered (-0.5% vs actual 2024 votes); 2022 votes = 2018 turnout × 2022 registered (-6.0% vs actual 2022).</t>
  </si>
  <si>
    <t xml:space="preserve">Three weightings of the results forest: A — pure random forest (all inputs, nothing weighted by hand); B — SHAP-selected forest (only inputs that beat random columns in ≥18 of 20 refits and carry ≥2% of SHAP, then refit); C — SHAP family-reweighted forest (A’s SHAP values multiplied by family weights fitted to out-of-sample accuracy, bounded ×0.5–×2).</t>
  </si>
  <si>
    <t xml:space="preserve">District baseline (default share): average of the last two elections in today’s district (all precincts, Carbon and Polk included) + k × change in two-party registration since then; k = 0.419 from precinct-level changes. 2026 default: 49.52%.</t>
  </si>
  <si>
    <t xml:space="preserve">Error terms: row total = √(place pattern error² + district-wide error²), with pattern errors by place size from the 2022 and 2024 backtests; 95% range = ±1.96 × total; Brooks-vote error terms also include turnout error. The 2024 backtest’s error terms come only from the earlier 2022 backtest, and each backtest row shows whether the actual result fell inside its range.</t>
  </si>
  <si>
    <t xml:space="preserve">Data</t>
  </si>
  <si>
    <t xml:space="preserve">Source: PA07_Municipal_Data_without_Demographics.xlsx (Master Data, Muni Consolidated); registration and district baseline from PA07_Precinct_Data.xlsx (Precinct Summary). Forest training rows: 2020, 2022, 2024 for every municipality/precinct with an observed result (2018 provides history only), including Carbon and Polk in 2020 and the Ross One estimate.</t>
  </si>
  <si>
    <t xml:space="preserve">Registration: whole-municipality state rolls; Bethlehem city and Bethlehem Township (one name on the Northampton rolls) and the three Monroe areas use the state rolls of their district precincts.</t>
  </si>
  <si>
    <t xml:space="preserve">Model and error terms</t>
  </si>
  <si>
    <t xml:space="preserve">Random forest (500 trees) forecasting each place’s Democratic share above/below the district average; Brooks share = forecast + a uniform shift to the district input. SHAP: exact TreeSHAP over every tree (implemented in C; matches brute-force Shapley values).</t>
  </si>
  <si>
    <t xml:space="preserve">Caveats</t>
  </si>
  <si>
    <t xml:space="preserve">• The baseline contains no national-environment signal. Midterms under a sitting president often swing against the president’s party; the registration trend in PA-07 points the other way. The default is a starting point — override it for the environment you expect.</t>
  </si>
  <si>
    <t xml:space="preserve">• k and the turnout rule were checked on two elections (2022, 2024). The baseline rule was chosen because it is complete (same territory every year) and uses only pre-election information; the 2022 check (51.47% avg → registration-adjusted ≈ 50.7% vs actual 50.9%) was also close.</t>
  </si>
  <si>
    <t xml:space="preserve">• Forecast C’s backtest uses the same family weights as its 2026 forecast, which were fitted with 2024 among the held-out elections, so C’s backtest is slightly optimistic.</t>
  </si>
</sst>
</file>

<file path=xl/styles.xml><?xml version="1.0" encoding="utf-8"?>
<styleSheet xmlns="http://schemas.openxmlformats.org/spreadsheetml/2006/main">
  <numFmts count="16">
    <numFmt numFmtId="164" formatCode="General"/>
    <numFmt numFmtId="165" formatCode="0.0%"/>
    <numFmt numFmtId="166" formatCode="0.00"/>
    <numFmt numFmtId="167" formatCode="#,##0"/>
    <numFmt numFmtId="168" formatCode="0.00%"/>
    <numFmt numFmtId="169" formatCode="\+0.00;\-0.00"/>
    <numFmt numFmtId="170" formatCode="0.000"/>
    <numFmt numFmtId="171" formatCode="\+0.0%;\-0.0%"/>
    <numFmt numFmtId="172" formatCode="0%"/>
    <numFmt numFmtId="173" formatCode="0.0"/>
    <numFmt numFmtId="174" formatCode="yyyy\-mm\-dd"/>
    <numFmt numFmtId="175" formatCode="\+0.0;\-0.0"/>
    <numFmt numFmtId="176" formatCode="\+#,##0;\-#,##0;0"/>
    <numFmt numFmtId="177" formatCode="\+#,##0;\-#,##0"/>
    <numFmt numFmtId="178" formatCode="#,##0.0"/>
    <numFmt numFmtId="179" formatCode="0"/>
  </numFmts>
  <fonts count="13">
    <font>
      <sz val="11"/>
      <color theme="1"/>
      <name val="Calibri"/>
      <family val="2"/>
      <charset val="1"/>
    </font>
    <font>
      <sz val="10"/>
      <name val="Arial"/>
      <family val="0"/>
    </font>
    <font>
      <sz val="10"/>
      <name val="Arial"/>
      <family val="0"/>
    </font>
    <font>
      <sz val="10"/>
      <name val="Arial"/>
      <family val="0"/>
    </font>
    <font>
      <b val="true"/>
      <sz val="14"/>
      <color rgb="FF1F4E79"/>
      <name val="Calibri"/>
      <family val="0"/>
      <charset val="1"/>
    </font>
    <font>
      <sz val="11"/>
      <name val="Calibri"/>
      <family val="0"/>
      <charset val="1"/>
    </font>
    <font>
      <i val="true"/>
      <sz val="10"/>
      <color rgb="FF666666"/>
      <name val="Calibri"/>
      <family val="0"/>
      <charset val="1"/>
    </font>
    <font>
      <b val="true"/>
      <sz val="11"/>
      <name val="Calibri"/>
      <family val="0"/>
      <charset val="1"/>
    </font>
    <font>
      <b val="true"/>
      <sz val="11"/>
      <color rgb="FF0000FF"/>
      <name val="Calibri"/>
      <family val="0"/>
      <charset val="1"/>
    </font>
    <font>
      <b val="true"/>
      <sz val="11"/>
      <color rgb="FFFFFFFF"/>
      <name val="Calibri"/>
      <family val="0"/>
      <charset val="1"/>
    </font>
    <font>
      <sz val="11"/>
      <color rgb="FF008000"/>
      <name val="Calibri"/>
      <family val="0"/>
      <charset val="1"/>
    </font>
    <font>
      <sz val="10"/>
      <name val="Arial"/>
      <family val="2"/>
    </font>
    <font>
      <b val="true"/>
      <sz val="11"/>
      <color rgb="FF1F4E79"/>
      <name val="Calibri"/>
      <family val="0"/>
      <charset val="1"/>
    </font>
  </fonts>
  <fills count="9">
    <fill>
      <patternFill patternType="none"/>
    </fill>
    <fill>
      <patternFill patternType="gray125"/>
    </fill>
    <fill>
      <patternFill patternType="solid">
        <fgColor rgb="FFD6E3F0"/>
        <bgColor rgb="FFE2EFDA"/>
      </patternFill>
    </fill>
    <fill>
      <patternFill patternType="solid">
        <fgColor rgb="FFFFFF00"/>
        <bgColor rgb="FFFFFF00"/>
      </patternFill>
    </fill>
    <fill>
      <patternFill patternType="solid">
        <fgColor rgb="FF1F4E79"/>
        <bgColor rgb="FF003366"/>
      </patternFill>
    </fill>
    <fill>
      <patternFill patternType="solid">
        <fgColor rgb="FFFFF2CC"/>
        <bgColor rgb="FFF2F2F2"/>
      </patternFill>
    </fill>
    <fill>
      <patternFill patternType="solid">
        <fgColor rgb="FFE2EFDA"/>
        <bgColor rgb="FFF2F2F2"/>
      </patternFill>
    </fill>
    <fill>
      <patternFill patternType="solid">
        <fgColor rgb="FFF2F2F2"/>
        <bgColor rgb="FFE2EFDA"/>
      </patternFill>
    </fill>
    <fill>
      <patternFill patternType="solid">
        <fgColor rgb="FF7F7F7F"/>
        <bgColor rgb="FF96969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7" fontId="5" fillId="5" borderId="1" xfId="0" applyFont="true" applyBorder="true" applyAlignment="false" applyProtection="false">
      <alignment horizontal="general" vertical="bottom" textRotation="0" wrapText="false" indent="0" shrinkToFit="false"/>
      <protection locked="true" hidden="false"/>
    </xf>
    <xf numFmtId="165" fontId="5" fillId="5" borderId="1" xfId="0" applyFont="true" applyBorder="true" applyAlignment="false" applyProtection="false">
      <alignment horizontal="general" vertical="bottom" textRotation="0" wrapText="false" indent="0" shrinkToFit="false"/>
      <protection locked="true" hidden="false"/>
    </xf>
    <xf numFmtId="166" fontId="5" fillId="5" borderId="1" xfId="0" applyFont="tru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9" fontId="7" fillId="6" borderId="1" xfId="0" applyFont="true" applyBorder="true" applyAlignment="false" applyProtection="false">
      <alignment horizontal="general" vertical="bottom" textRotation="0" wrapText="false" indent="0" shrinkToFit="false"/>
      <protection locked="true" hidden="false"/>
    </xf>
    <xf numFmtId="171" fontId="5" fillId="6" borderId="1" xfId="0" applyFont="true" applyBorder="true" applyAlignment="false" applyProtection="false">
      <alignment horizontal="general" vertical="bottom" textRotation="0" wrapText="false" indent="0" shrinkToFit="false"/>
      <protection locked="true" hidden="false"/>
    </xf>
    <xf numFmtId="171" fontId="7" fillId="6" borderId="1" xfId="0" applyFont="true" applyBorder="true" applyAlignment="false" applyProtection="false">
      <alignment horizontal="general" vertical="bottom" textRotation="0" wrapText="false" indent="0" shrinkToFit="false"/>
      <protection locked="true" hidden="false"/>
    </xf>
    <xf numFmtId="166" fontId="5" fillId="6" borderId="1" xfId="0" applyFont="true" applyBorder="true" applyAlignment="false" applyProtection="false">
      <alignment horizontal="general" vertical="bottom" textRotation="0" wrapText="false" indent="0" shrinkToFit="false"/>
      <protection locked="true" hidden="false"/>
    </xf>
    <xf numFmtId="172" fontId="7" fillId="6" borderId="1" xfId="0" applyFont="true" applyBorder="true" applyAlignment="false" applyProtection="false">
      <alignment horizontal="general" vertical="bottom" textRotation="0" wrapText="false" indent="0" shrinkToFit="false"/>
      <protection locked="true" hidden="false"/>
    </xf>
    <xf numFmtId="172" fontId="5" fillId="6"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71" fontId="5"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2" fontId="5"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73"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7" fillId="5" borderId="1" xfId="0" applyFont="true" applyBorder="true" applyAlignment="false" applyProtection="false">
      <alignment horizontal="general" vertical="bottom" textRotation="0" wrapText="false" indent="0" shrinkToFit="false"/>
      <protection locked="true" hidden="false"/>
    </xf>
    <xf numFmtId="165" fontId="7" fillId="5" borderId="1" xfId="0" applyFont="true" applyBorder="true" applyAlignment="false" applyProtection="false">
      <alignment horizontal="general" vertical="bottom" textRotation="0" wrapText="false" indent="0" shrinkToFit="false"/>
      <protection locked="true" hidden="false"/>
    </xf>
    <xf numFmtId="166" fontId="7" fillId="5" borderId="1" xfId="0" applyFont="true" applyBorder="true" applyAlignment="false" applyProtection="false">
      <alignment horizontal="general" vertical="bottom" textRotation="0" wrapText="false" indent="0" shrinkToFit="false"/>
      <protection locked="true" hidden="false"/>
    </xf>
    <xf numFmtId="164" fontId="7" fillId="7" borderId="0" xfId="0" applyFont="tru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75" fontId="5" fillId="7" borderId="0" xfId="0" applyFont="true" applyBorder="false" applyAlignment="false" applyProtection="false">
      <alignment horizontal="general" vertical="bottom" textRotation="0" wrapText="false" indent="0" shrinkToFit="false"/>
      <protection locked="true" hidden="false"/>
    </xf>
    <xf numFmtId="167" fontId="5" fillId="7" borderId="0" xfId="0" applyFont="true" applyBorder="false" applyAlignment="false" applyProtection="false">
      <alignment horizontal="general" vertical="bottom" textRotation="0" wrapText="false" indent="0" shrinkToFit="false"/>
      <protection locked="true" hidden="false"/>
    </xf>
    <xf numFmtId="165" fontId="5" fillId="7" borderId="0" xfId="0" applyFont="true" applyBorder="false" applyAlignment="false" applyProtection="false">
      <alignment horizontal="general"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76" fontId="5" fillId="0" borderId="1" xfId="0" applyFont="true" applyBorder="true" applyAlignment="false" applyProtection="false">
      <alignment horizontal="general" vertical="bottom" textRotation="0" wrapText="false" indent="0" shrinkToFit="false"/>
      <protection locked="true" hidden="false"/>
    </xf>
    <xf numFmtId="175" fontId="5" fillId="0"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7" fontId="0" fillId="5" borderId="1" xfId="0" applyFont="false" applyBorder="true" applyAlignment="false" applyProtection="false">
      <alignment horizontal="general" vertical="bottom" textRotation="0" wrapText="false" indent="0" shrinkToFit="false"/>
      <protection locked="true" hidden="false"/>
    </xf>
    <xf numFmtId="177" fontId="0" fillId="5" borderId="1" xfId="0" applyFont="false" applyBorder="true" applyAlignment="false" applyProtection="false">
      <alignment horizontal="general" vertical="bottom" textRotation="0" wrapText="false" indent="0" shrinkToFit="false"/>
      <protection locked="true" hidden="false"/>
    </xf>
    <xf numFmtId="165" fontId="0" fillId="5" borderId="1" xfId="0" applyFont="false" applyBorder="true" applyAlignment="false" applyProtection="false">
      <alignment horizontal="general" vertical="bottom" textRotation="0" wrapText="false" indent="0" shrinkToFit="false"/>
      <protection locked="true" hidden="false"/>
    </xf>
    <xf numFmtId="175" fontId="0" fillId="5" borderId="1" xfId="0" applyFont="false" applyBorder="true" applyAlignment="false" applyProtection="false">
      <alignment horizontal="general" vertical="bottom" textRotation="0" wrapText="false" indent="0" shrinkToFit="false"/>
      <protection locked="true" hidden="false"/>
    </xf>
    <xf numFmtId="166" fontId="0" fillId="5" borderId="1" xfId="0" applyFont="false" applyBorder="true" applyAlignment="false" applyProtection="false">
      <alignment horizontal="general" vertical="bottom" textRotation="0" wrapText="false" indent="0" shrinkToFit="false"/>
      <protection locked="true" hidden="false"/>
    </xf>
    <xf numFmtId="178"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79" fontId="5"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FEB9C"/>
        </patternFill>
      </fill>
    </dxf>
    <dxf>
      <fill>
        <patternFill>
          <bgColor rgb="FFC6EFCE"/>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E2EFDA"/>
      <rgbColor rgb="FF660066"/>
      <rgbColor rgb="FFFF8080"/>
      <rgbColor rgb="FF0066CC"/>
      <rgbColor rgb="FFD6E3F0"/>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F99CC"/>
      <rgbColor rgb="FFCC99FF"/>
      <rgbColor rgb="FFF8CBAD"/>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1</xdr:row>
      <xdr:rowOff>160560</xdr:rowOff>
    </xdr:from>
    <xdr:to>
      <xdr:col>18</xdr:col>
      <xdr:colOff>532800</xdr:colOff>
      <xdr:row>10</xdr:row>
      <xdr:rowOff>68760</xdr:rowOff>
    </xdr:to>
    <xdr:pic>
      <xdr:nvPicPr>
        <xdr:cNvPr id="0" name="Image 1" descr="Picture"/>
        <xdr:cNvPicPr/>
      </xdr:nvPicPr>
      <xdr:blipFill>
        <a:blip r:embed="rId1"/>
        <a:stretch/>
      </xdr:blipFill>
      <xdr:spPr>
        <a:xfrm>
          <a:off x="14333400" y="380880"/>
          <a:ext cx="6036120" cy="25750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3" min="3" style="0" width="20"/>
    <col collapsed="false" customWidth="true" hidden="false" outlineLevel="0" max="6" min="4" style="0" width="15"/>
    <col collapsed="false" customWidth="true" hidden="false" outlineLevel="0" max="7" min="7" style="0" width="16"/>
    <col collapsed="false" customWidth="true" hidden="false" outlineLevel="0" max="11" min="8" style="0" width="13"/>
    <col collapsed="false" customWidth="true" hidden="false" outlineLevel="0" max="12" min="12" style="0" width="14"/>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15" hidden="false" customHeight="false" outlineLevel="0" collapsed="false">
      <c r="A5" s="4" t="s">
        <v>3</v>
      </c>
      <c r="B5" s="4"/>
      <c r="C5" s="4"/>
      <c r="D5" s="4"/>
      <c r="E5" s="4"/>
      <c r="F5" s="4"/>
      <c r="G5" s="4"/>
      <c r="H5" s="4"/>
      <c r="I5" s="4"/>
    </row>
    <row r="6" customFormat="false" ht="15" hidden="false" customHeight="false" outlineLevel="0" collapsed="false">
      <c r="A6" s="5" t="s">
        <v>4</v>
      </c>
      <c r="C6" s="6" t="n">
        <f aca="false">C21</f>
        <v>0.495158447761038</v>
      </c>
      <c r="D6" s="3" t="s">
        <v>5</v>
      </c>
    </row>
    <row r="7" customFormat="false" ht="15" hidden="false" customHeight="false" outlineLevel="0" collapsed="false">
      <c r="A7" s="5" t="s">
        <v>6</v>
      </c>
      <c r="C7" s="7" t="n">
        <v>1</v>
      </c>
      <c r="D7" s="3" t="s">
        <v>7</v>
      </c>
    </row>
    <row r="9" customFormat="false" ht="15" hidden="false" customHeight="false" outlineLevel="0" collapsed="false">
      <c r="A9" s="4" t="s">
        <v>8</v>
      </c>
      <c r="B9" s="4"/>
      <c r="C9" s="4"/>
      <c r="D9" s="4"/>
      <c r="E9" s="4"/>
      <c r="F9" s="4"/>
      <c r="G9" s="4"/>
      <c r="H9" s="4"/>
      <c r="I9" s="4"/>
    </row>
    <row r="10" customFormat="false" ht="31.5" hidden="false" customHeight="true" outlineLevel="0" collapsed="false">
      <c r="A10" s="8" t="s">
        <v>9</v>
      </c>
      <c r="B10" s="8"/>
      <c r="C10" s="8" t="s">
        <v>10</v>
      </c>
      <c r="D10" s="8" t="s">
        <v>11</v>
      </c>
      <c r="E10" s="8" t="s">
        <v>12</v>
      </c>
      <c r="F10" s="8" t="s">
        <v>13</v>
      </c>
      <c r="G10" s="8" t="s">
        <v>14</v>
      </c>
    </row>
    <row r="11" customFormat="false" ht="15" hidden="false" customHeight="false" outlineLevel="0" collapsed="false">
      <c r="A11" s="9" t="s">
        <v>15</v>
      </c>
      <c r="B11" s="9"/>
      <c r="C11" s="10" t="n">
        <f aca="false">D11/(D11+E11)</f>
        <v>0.532590037754968</v>
      </c>
      <c r="D11" s="11" t="n">
        <v>136790.3634785</v>
      </c>
      <c r="E11" s="11" t="n">
        <v>120049.520450072</v>
      </c>
      <c r="F11" s="11" t="n">
        <v>483877</v>
      </c>
      <c r="G11" s="12" t="n">
        <v>0.567987991914153</v>
      </c>
    </row>
    <row r="12" customFormat="false" ht="15" hidden="false" customHeight="false" outlineLevel="0" collapsed="false">
      <c r="A12" s="9" t="s">
        <v>16</v>
      </c>
      <c r="B12" s="9"/>
      <c r="C12" s="10" t="n">
        <f aca="false">D12/(D12+E12)</f>
        <v>0.496087903679419</v>
      </c>
      <c r="D12" s="11" t="n">
        <v>188855.708602983</v>
      </c>
      <c r="E12" s="11" t="n">
        <v>191834.300571329</v>
      </c>
      <c r="F12" s="11" t="n">
        <v>518873</v>
      </c>
      <c r="G12" s="12" t="n">
        <v>0.55685757853579</v>
      </c>
    </row>
    <row r="13" customFormat="false" ht="15" hidden="false" customHeight="false" outlineLevel="0" collapsed="false">
      <c r="A13" s="9" t="s">
        <v>17</v>
      </c>
      <c r="B13" s="9"/>
      <c r="C13" s="10" t="n">
        <f aca="false">D13/(D13+E13)</f>
        <v>0.508965719508369</v>
      </c>
      <c r="D13" s="11" t="n">
        <v>149243</v>
      </c>
      <c r="E13" s="11" t="n">
        <v>143985</v>
      </c>
      <c r="F13" s="11" t="n">
        <v>510119</v>
      </c>
      <c r="G13" s="12" t="n">
        <v>0.547664742647325</v>
      </c>
    </row>
    <row r="14" customFormat="false" ht="15" hidden="false" customHeight="false" outlineLevel="0" collapsed="false">
      <c r="A14" s="9" t="s">
        <v>18</v>
      </c>
      <c r="B14" s="9"/>
      <c r="C14" s="10" t="n">
        <f aca="false">D14/(D14+E14)</f>
        <v>0.494248133629371</v>
      </c>
      <c r="D14" s="11" t="n">
        <v>196561</v>
      </c>
      <c r="E14" s="11" t="n">
        <v>201136</v>
      </c>
      <c r="F14" s="11" t="n">
        <v>535177</v>
      </c>
      <c r="G14" s="12" t="n">
        <v>0.527582575305696</v>
      </c>
    </row>
    <row r="15" customFormat="false" ht="15" hidden="false" customHeight="false" outlineLevel="0" collapsed="false">
      <c r="A15" s="9" t="s">
        <v>19</v>
      </c>
      <c r="B15" s="9"/>
      <c r="C15" s="9"/>
      <c r="D15" s="9"/>
      <c r="E15" s="9"/>
      <c r="F15" s="11" t="n">
        <v>517956</v>
      </c>
      <c r="G15" s="12" t="n">
        <v>0.522234252255227</v>
      </c>
    </row>
    <row r="16" customFormat="false" ht="15" hidden="false" customHeight="false" outlineLevel="0" collapsed="false">
      <c r="A16" s="13" t="s">
        <v>20</v>
      </c>
      <c r="B16" s="13"/>
      <c r="C16" s="13"/>
      <c r="D16" s="13"/>
      <c r="E16" s="13"/>
      <c r="F16" s="13"/>
      <c r="G16" s="13"/>
      <c r="H16" s="13"/>
      <c r="I16" s="13"/>
    </row>
    <row r="18" customFormat="false" ht="15" hidden="false" customHeight="false" outlineLevel="0" collapsed="false">
      <c r="A18" s="2" t="s">
        <v>21</v>
      </c>
      <c r="C18" s="14" t="n">
        <f aca="false">AVERAGE(C13,C14)</f>
        <v>0.50160692656887</v>
      </c>
    </row>
    <row r="19" customFormat="false" ht="15" hidden="false" customHeight="false" outlineLevel="0" collapsed="false">
      <c r="A19" s="2" t="s">
        <v>22</v>
      </c>
      <c r="C19" s="15" t="n">
        <f aca="false">(G15-AVERAGE(G13,G14))*100</f>
        <v>-1.53894067212842</v>
      </c>
    </row>
    <row r="20" customFormat="false" ht="15" hidden="false" customHeight="false" outlineLevel="0" collapsed="false">
      <c r="A20" s="2" t="s">
        <v>23</v>
      </c>
      <c r="C20" s="16" t="n">
        <v>0.419020624031851</v>
      </c>
      <c r="D20" s="3" t="s">
        <v>24</v>
      </c>
    </row>
    <row r="21" customFormat="false" ht="15" hidden="false" customHeight="false" outlineLevel="0" collapsed="false">
      <c r="A21" s="5" t="s">
        <v>25</v>
      </c>
      <c r="C21" s="17" t="n">
        <f aca="false">C18+C20*C19/100</f>
        <v>0.495158447761038</v>
      </c>
    </row>
    <row r="23" customFormat="false" ht="15" hidden="false" customHeight="false" outlineLevel="0" collapsed="false">
      <c r="A23" s="2" t="s">
        <v>26</v>
      </c>
      <c r="C23" s="12" t="n">
        <v>0.567469570934891</v>
      </c>
    </row>
    <row r="24" customFormat="false" ht="15" hidden="false" customHeight="false" outlineLevel="0" collapsed="false">
      <c r="A24" s="2" t="s">
        <v>27</v>
      </c>
      <c r="C24" s="11" t="n">
        <v>539345</v>
      </c>
    </row>
    <row r="25" customFormat="false" ht="15" hidden="false" customHeight="false" outlineLevel="0" collapsed="false">
      <c r="A25" s="2" t="s">
        <v>28</v>
      </c>
      <c r="C25" s="18" t="n">
        <f aca="false">C23*C24</f>
        <v>306061.875735879</v>
      </c>
    </row>
    <row r="26" customFormat="false" ht="15" hidden="false" customHeight="false" outlineLevel="0" collapsed="false">
      <c r="A26" s="2" t="s">
        <v>29</v>
      </c>
      <c r="C26" s="11" t="n">
        <v>306130.810989982</v>
      </c>
      <c r="D26" s="3" t="s">
        <v>30</v>
      </c>
    </row>
    <row r="27" customFormat="false" ht="15" hidden="false" customHeight="false" outlineLevel="0" collapsed="false">
      <c r="A27" s="5" t="s">
        <v>31</v>
      </c>
      <c r="C27" s="19" t="n">
        <f aca="false">C26*C7</f>
        <v>306130.810989982</v>
      </c>
    </row>
    <row r="29" customFormat="false" ht="15" hidden="false" customHeight="false" outlineLevel="0" collapsed="false">
      <c r="A29" s="4" t="s">
        <v>32</v>
      </c>
      <c r="B29" s="4"/>
      <c r="C29" s="4"/>
      <c r="D29" s="4"/>
      <c r="E29" s="4"/>
      <c r="F29" s="4"/>
      <c r="G29" s="4"/>
      <c r="H29" s="4"/>
      <c r="I29" s="4"/>
      <c r="J29" s="4"/>
    </row>
    <row r="30" customFormat="false" ht="45" hidden="false" customHeight="true" outlineLevel="0" collapsed="false">
      <c r="A30" s="8" t="s">
        <v>33</v>
      </c>
      <c r="B30" s="8" t="s">
        <v>34</v>
      </c>
      <c r="C30" s="8" t="s">
        <v>35</v>
      </c>
      <c r="D30" s="8" t="s">
        <v>36</v>
      </c>
      <c r="E30" s="8" t="s">
        <v>37</v>
      </c>
      <c r="F30" s="8" t="s">
        <v>38</v>
      </c>
      <c r="G30" s="8" t="s">
        <v>39</v>
      </c>
      <c r="H30" s="8" t="s">
        <v>40</v>
      </c>
      <c r="I30" s="8" t="s">
        <v>41</v>
      </c>
      <c r="J30" s="8" t="s">
        <v>42</v>
      </c>
    </row>
    <row r="31" customFormat="false" ht="15" hidden="false" customHeight="false" outlineLevel="0" collapsed="false">
      <c r="A31" s="20" t="s">
        <v>43</v>
      </c>
      <c r="B31" s="21" t="s">
        <v>44</v>
      </c>
      <c r="C31" s="22" t="n">
        <f aca="false">'2026 Forecast A'!D8</f>
        <v>151590</v>
      </c>
      <c r="D31" s="22" t="n">
        <f aca="false">'2026 Forecast A'!E8</f>
        <v>154539</v>
      </c>
      <c r="E31" s="22" t="n">
        <f aca="false">'2026 Forecast A'!F8</f>
        <v>306129</v>
      </c>
      <c r="F31" s="23" t="n">
        <f aca="false">'2026 Forecast A'!G8</f>
        <v>0.495183403075174</v>
      </c>
      <c r="G31" s="24" t="n">
        <f aca="false">'2026 Forecast A'!L8</f>
        <v>1.8117300629046</v>
      </c>
      <c r="H31" s="21" t="str">
        <f aca="false">TEXT('2026 Forecast A'!M8,"0.0%")&amp;" – "&amp;TEXT('2026 Forecast A'!N8,"0.0%")</f>
        <v>46.0% – 53.1%</v>
      </c>
      <c r="I31" s="22" t="n">
        <f aca="false">'2026 Forecast A'!O8</f>
        <v>13356</v>
      </c>
      <c r="J31" s="22" t="n">
        <f aca="false">'2026 Forecast A'!P8</f>
        <v>8631</v>
      </c>
    </row>
    <row r="32" customFormat="false" ht="15" hidden="false" customHeight="false" outlineLevel="0" collapsed="false">
      <c r="A32" s="20" t="s">
        <v>45</v>
      </c>
      <c r="B32" s="21" t="s">
        <v>46</v>
      </c>
      <c r="C32" s="22" t="n">
        <f aca="false">'2026 Forecast B'!D8</f>
        <v>151583</v>
      </c>
      <c r="D32" s="22" t="n">
        <f aca="false">'2026 Forecast B'!E8</f>
        <v>154546</v>
      </c>
      <c r="E32" s="22" t="n">
        <f aca="false">'2026 Forecast B'!F8</f>
        <v>306129</v>
      </c>
      <c r="F32" s="23" t="n">
        <f aca="false">'2026 Forecast B'!G8</f>
        <v>0.495160536897844</v>
      </c>
      <c r="G32" s="24" t="n">
        <f aca="false">'2026 Forecast B'!L8</f>
        <v>1.81119845967768</v>
      </c>
      <c r="H32" s="21" t="str">
        <f aca="false">TEXT('2026 Forecast B'!M8,"0.0%")&amp;" – "&amp;TEXT('2026 Forecast B'!N8,"0.0%")</f>
        <v>46.0% – 53.1%</v>
      </c>
      <c r="I32" s="22" t="n">
        <f aca="false">'2026 Forecast B'!O8</f>
        <v>13356</v>
      </c>
      <c r="J32" s="22" t="n">
        <f aca="false">'2026 Forecast B'!P8</f>
        <v>8630</v>
      </c>
    </row>
    <row r="33" customFormat="false" ht="15" hidden="false" customHeight="false" outlineLevel="0" collapsed="false">
      <c r="A33" s="20" t="s">
        <v>47</v>
      </c>
      <c r="B33" s="21" t="s">
        <v>48</v>
      </c>
      <c r="C33" s="22" t="n">
        <f aca="false">'2026 Forecast C'!D8</f>
        <v>151580</v>
      </c>
      <c r="D33" s="22" t="n">
        <f aca="false">'2026 Forecast C'!E8</f>
        <v>154549</v>
      </c>
      <c r="E33" s="22" t="n">
        <f aca="false">'2026 Forecast C'!F8</f>
        <v>306129</v>
      </c>
      <c r="F33" s="23" t="n">
        <f aca="false">'2026 Forecast C'!G8</f>
        <v>0.495150737107559</v>
      </c>
      <c r="G33" s="24" t="n">
        <f aca="false">'2026 Forecast C'!L8</f>
        <v>1.81112011827341</v>
      </c>
      <c r="H33" s="21" t="str">
        <f aca="false">TEXT('2026 Forecast C'!M8,"0.0%")&amp;" – "&amp;TEXT('2026 Forecast C'!N8,"0.0%")</f>
        <v>46.0% – 53.1%</v>
      </c>
      <c r="I33" s="22" t="n">
        <f aca="false">'2026 Forecast C'!O8</f>
        <v>13356</v>
      </c>
      <c r="J33" s="22" t="n">
        <f aca="false">'2026 Forecast C'!P8</f>
        <v>8630</v>
      </c>
    </row>
    <row r="34" customFormat="false" ht="15" hidden="false" customHeight="false" outlineLevel="0" collapsed="false">
      <c r="A34" s="13" t="s">
        <v>49</v>
      </c>
      <c r="B34" s="13"/>
      <c r="C34" s="13"/>
      <c r="D34" s="13"/>
      <c r="E34" s="13"/>
      <c r="F34" s="13"/>
      <c r="G34" s="13"/>
      <c r="H34" s="13"/>
      <c r="I34" s="13"/>
      <c r="J34" s="13"/>
    </row>
    <row r="36" customFormat="false" ht="15" hidden="false" customHeight="false" outlineLevel="0" collapsed="false">
      <c r="A36" s="4" t="s">
        <v>50</v>
      </c>
      <c r="B36" s="4"/>
      <c r="C36" s="4"/>
      <c r="D36" s="4"/>
      <c r="E36" s="4"/>
      <c r="F36" s="4"/>
      <c r="G36" s="4"/>
      <c r="H36" s="4"/>
      <c r="I36" s="4"/>
      <c r="J36" s="4"/>
      <c r="K36" s="4"/>
      <c r="L36" s="4"/>
    </row>
    <row r="37" customFormat="false" ht="60" hidden="false" customHeight="true" outlineLevel="0" collapsed="false">
      <c r="A37" s="8" t="s">
        <v>33</v>
      </c>
      <c r="B37" s="8" t="s">
        <v>51</v>
      </c>
      <c r="C37" s="8" t="s">
        <v>52</v>
      </c>
      <c r="D37" s="8" t="s">
        <v>53</v>
      </c>
      <c r="E37" s="8" t="s">
        <v>54</v>
      </c>
      <c r="F37" s="8" t="s">
        <v>55</v>
      </c>
      <c r="G37" s="8" t="s">
        <v>56</v>
      </c>
      <c r="H37" s="8" t="s">
        <v>57</v>
      </c>
      <c r="I37" s="8" t="s">
        <v>58</v>
      </c>
      <c r="J37" s="8" t="s">
        <v>59</v>
      </c>
      <c r="K37" s="8" t="s">
        <v>60</v>
      </c>
      <c r="L37" s="8" t="s">
        <v>61</v>
      </c>
    </row>
    <row r="38" customFormat="false" ht="15" hidden="false" customHeight="false" outlineLevel="0" collapsed="false">
      <c r="A38" s="25" t="s">
        <v>43</v>
      </c>
      <c r="B38" s="25" t="s">
        <v>62</v>
      </c>
      <c r="C38" s="26" t="n">
        <f aca="false">'Backtest 2024 A'!F99</f>
        <v>-0.431920730263968</v>
      </c>
      <c r="D38" s="27" t="n">
        <f aca="false">'Backtest 2024 A'!F101</f>
        <v>-0.0141113882961137</v>
      </c>
      <c r="E38" s="28" t="n">
        <f aca="false">'Backtest 2024 A'!F102</f>
        <v>0.00307332783472769</v>
      </c>
      <c r="F38" s="27" t="n">
        <f aca="false">'Backtest 2024 A'!F103</f>
        <v>-0.00543249180539229</v>
      </c>
      <c r="G38" s="29" t="n">
        <f aca="false">'Backtest 2024 A'!F100</f>
        <v>1.8079196545058</v>
      </c>
      <c r="H38" s="29" t="n">
        <f aca="false">'Backtest 2024 A'!F98</f>
        <v>1.94089663493959</v>
      </c>
      <c r="I38" s="29" t="n">
        <f aca="false">'Backtest 2024 A'!F104</f>
        <v>3.45196577295276</v>
      </c>
      <c r="J38" s="30" t="n">
        <f aca="false">'Backtest 2024 A'!F105</f>
        <v>0.955056179775281</v>
      </c>
      <c r="K38" s="30" t="n">
        <f aca="false">'Backtest 2024 A'!F106</f>
        <v>1</v>
      </c>
      <c r="L38" s="31" t="n">
        <f aca="false">'Backtest 2024 A'!F107</f>
        <v>0.887640449438202</v>
      </c>
    </row>
    <row r="39" customFormat="false" ht="15" hidden="false" customHeight="false" outlineLevel="0" collapsed="false">
      <c r="A39" s="25" t="s">
        <v>45</v>
      </c>
      <c r="B39" s="25" t="s">
        <v>62</v>
      </c>
      <c r="C39" s="26" t="n">
        <f aca="false">'Backtest 2024 B'!F99</f>
        <v>-0.432170030353968</v>
      </c>
      <c r="D39" s="27" t="n">
        <f aca="false">'Backtest 2024 B'!F101</f>
        <v>-0.014116397663631</v>
      </c>
      <c r="E39" s="28" t="n">
        <f aca="false">'Backtest 2024 B'!F102</f>
        <v>0.00307823730411227</v>
      </c>
      <c r="F39" s="27" t="n">
        <f aca="false">'Backtest 2024 B'!F103</f>
        <v>-0.00543249180539229</v>
      </c>
      <c r="G39" s="29" t="n">
        <f aca="false">'Backtest 2024 B'!F100</f>
        <v>1.89280412335361</v>
      </c>
      <c r="H39" s="29" t="n">
        <f aca="false">'Backtest 2024 B'!F98</f>
        <v>2.00806028824963</v>
      </c>
      <c r="I39" s="29" t="n">
        <f aca="false">'Backtest 2024 B'!F104</f>
        <v>3.38439343931594</v>
      </c>
      <c r="J39" s="30" t="n">
        <f aca="false">'Backtest 2024 B'!F105</f>
        <v>0.932584269662921</v>
      </c>
      <c r="K39" s="30" t="n">
        <f aca="false">'Backtest 2024 B'!F106</f>
        <v>1</v>
      </c>
      <c r="L39" s="31" t="n">
        <f aca="false">'Backtest 2024 B'!F107</f>
        <v>0.853932584269663</v>
      </c>
    </row>
    <row r="40" customFormat="false" ht="15" hidden="false" customHeight="false" outlineLevel="0" collapsed="false">
      <c r="A40" s="25" t="s">
        <v>47</v>
      </c>
      <c r="B40" s="25" t="s">
        <v>62</v>
      </c>
      <c r="C40" s="26" t="n">
        <f aca="false">'Backtest 2024 C'!F99</f>
        <v>-0.432170030353968</v>
      </c>
      <c r="D40" s="27" t="n">
        <f aca="false">'Backtest 2024 C'!F101</f>
        <v>-0.014116397663631</v>
      </c>
      <c r="E40" s="28" t="n">
        <f aca="false">'Backtest 2024 C'!F102</f>
        <v>0.00307823730411227</v>
      </c>
      <c r="F40" s="27" t="n">
        <f aca="false">'Backtest 2024 C'!F103</f>
        <v>-0.00543249180539229</v>
      </c>
      <c r="G40" s="29" t="n">
        <f aca="false">'Backtest 2024 C'!F100</f>
        <v>2.17740436983742</v>
      </c>
      <c r="H40" s="29" t="n">
        <f aca="false">'Backtest 2024 C'!F98</f>
        <v>2.38900635777241</v>
      </c>
      <c r="I40" s="29" t="n">
        <f aca="false">'Backtest 2024 C'!F104</f>
        <v>3.44434455769451</v>
      </c>
      <c r="J40" s="30" t="n">
        <f aca="false">'Backtest 2024 C'!F105</f>
        <v>0.876404494382023</v>
      </c>
      <c r="K40" s="30" t="n">
        <f aca="false">'Backtest 2024 C'!F106</f>
        <v>1</v>
      </c>
      <c r="L40" s="31" t="n">
        <f aca="false">'Backtest 2024 C'!F107</f>
        <v>0.820224719101124</v>
      </c>
    </row>
    <row r="41" customFormat="false" ht="15" hidden="false" customHeight="false" outlineLevel="0" collapsed="false">
      <c r="A41" s="25" t="s">
        <v>43</v>
      </c>
      <c r="B41" s="25" t="s">
        <v>63</v>
      </c>
      <c r="C41" s="26" t="n">
        <f aca="false">'Backtest 2022 A'!F99</f>
        <v>-0.621970415548923</v>
      </c>
      <c r="D41" s="27" t="n">
        <f aca="false">'Backtest 2022 A'!F101</f>
        <v>-0.0715691974313575</v>
      </c>
      <c r="E41" s="28" t="n">
        <f aca="false">'Backtest 2022 A'!F102</f>
        <v>-0.0481766270176668</v>
      </c>
      <c r="F41" s="27" t="n">
        <f aca="false">'Backtest 2022 A'!F103</f>
        <v>-0.0601028660350095</v>
      </c>
      <c r="G41" s="29" t="n">
        <f aca="false">'Backtest 2022 A'!F100</f>
        <v>2.3025093018574</v>
      </c>
      <c r="H41" s="29" t="n">
        <f aca="false">'Backtest 2022 A'!F98</f>
        <v>2.42116504352421</v>
      </c>
      <c r="I41" s="29" t="n">
        <f aca="false">'Backtest 2022 A'!F104</f>
        <v>3.34068224935397</v>
      </c>
      <c r="J41" s="30" t="n">
        <f aca="false">'Backtest 2022 A'!F105</f>
        <v>0.865168539325843</v>
      </c>
      <c r="K41" s="30" t="n">
        <f aca="false">'Backtest 2022 A'!F106</f>
        <v>0.98876404494382</v>
      </c>
      <c r="L41" s="31" t="n">
        <f aca="false">'Backtest 2022 A'!F107</f>
        <v>0.820224719101124</v>
      </c>
    </row>
    <row r="42" customFormat="false" ht="15" hidden="false" customHeight="false" outlineLevel="0" collapsed="false">
      <c r="A42" s="25" t="s">
        <v>45</v>
      </c>
      <c r="B42" s="25" t="s">
        <v>63</v>
      </c>
      <c r="C42" s="26" t="n">
        <f aca="false">'Backtest 2022 B'!F99</f>
        <v>-0.620178602700194</v>
      </c>
      <c r="D42" s="27" t="n">
        <f aca="false">'Backtest 2022 B'!F101</f>
        <v>-0.071536164477683</v>
      </c>
      <c r="E42" s="28" t="n">
        <f aca="false">'Backtest 2022 B'!F102</f>
        <v>-0.0482109849031451</v>
      </c>
      <c r="F42" s="27" t="n">
        <f aca="false">'Backtest 2022 B'!F103</f>
        <v>-0.0601028660350095</v>
      </c>
      <c r="G42" s="29" t="n">
        <f aca="false">'Backtest 2022 B'!F100</f>
        <v>2.0522650843161</v>
      </c>
      <c r="H42" s="29" t="n">
        <f aca="false">'Backtest 2022 B'!F98</f>
        <v>2.29194103435516</v>
      </c>
      <c r="I42" s="29" t="n">
        <f aca="false">'Backtest 2022 B'!F104</f>
        <v>3.33833604864394</v>
      </c>
      <c r="J42" s="30" t="n">
        <f aca="false">'Backtest 2022 B'!F105</f>
        <v>0.808988764044944</v>
      </c>
      <c r="K42" s="30" t="n">
        <f aca="false">'Backtest 2022 B'!F106</f>
        <v>1</v>
      </c>
      <c r="L42" s="31" t="n">
        <f aca="false">'Backtest 2022 B'!F107</f>
        <v>0.820224719101124</v>
      </c>
    </row>
    <row r="43" customFormat="false" ht="15" hidden="false" customHeight="false" outlineLevel="0" collapsed="false">
      <c r="A43" s="25" t="s">
        <v>47</v>
      </c>
      <c r="B43" s="25" t="s">
        <v>63</v>
      </c>
      <c r="C43" s="26" t="n">
        <f aca="false">'Backtest 2022 C'!F99</f>
        <v>-0.623045503258168</v>
      </c>
      <c r="D43" s="27" t="n">
        <f aca="false">'Backtest 2022 C'!F101</f>
        <v>-0.0715890172035623</v>
      </c>
      <c r="E43" s="28" t="n">
        <f aca="false">'Backtest 2022 C'!F102</f>
        <v>-0.0481560122863799</v>
      </c>
      <c r="F43" s="27" t="n">
        <f aca="false">'Backtest 2022 C'!F103</f>
        <v>-0.0601028660350095</v>
      </c>
      <c r="G43" s="29" t="n">
        <f aca="false">'Backtest 2022 C'!F100</f>
        <v>2.41681884156145</v>
      </c>
      <c r="H43" s="29" t="n">
        <f aca="false">'Backtest 2022 C'!F98</f>
        <v>2.6577183003727</v>
      </c>
      <c r="I43" s="29" t="n">
        <f aca="false">'Backtest 2022 C'!F104</f>
        <v>3.37452611384304</v>
      </c>
      <c r="J43" s="30" t="n">
        <f aca="false">'Backtest 2022 C'!F105</f>
        <v>0.797752808988764</v>
      </c>
      <c r="K43" s="30" t="n">
        <f aca="false">'Backtest 2022 C'!F106</f>
        <v>0.98876404494382</v>
      </c>
      <c r="L43" s="31" t="n">
        <f aca="false">'Backtest 2022 C'!F107</f>
        <v>0.707865168539326</v>
      </c>
    </row>
    <row r="44" customFormat="false" ht="15" hidden="false" customHeight="false" outlineLevel="0" collapsed="false">
      <c r="A44" s="32" t="s">
        <v>43</v>
      </c>
      <c r="B44" s="32" t="s">
        <v>64</v>
      </c>
      <c r="C44" s="33" t="n">
        <f aca="false">'Backtest 2020 A'!F99</f>
        <v>3.06138880852218</v>
      </c>
      <c r="D44" s="34" t="n">
        <f aca="false">'Backtest 2020 A'!F101</f>
        <v>0.0677333333333334</v>
      </c>
      <c r="E44" s="35" t="n">
        <f aca="false">'Backtest 2020 A'!F102</f>
        <v>-0.055435561469956</v>
      </c>
      <c r="F44" s="34" t="n">
        <f aca="false">'Backtest 2020 A'!F103</f>
        <v>0.00579143125571102</v>
      </c>
      <c r="G44" s="36" t="n">
        <f aca="false">'Backtest 2020 A'!F100</f>
        <v>2.7047530220514</v>
      </c>
      <c r="H44" s="36" t="n">
        <f aca="false">'Backtest 2020 A'!F98</f>
        <v>4.98073089433193</v>
      </c>
      <c r="I44" s="36" t="n">
        <f aca="false">'Backtest 2020 A'!F104</f>
        <v>2.73170440030512</v>
      </c>
      <c r="J44" s="37" t="n">
        <f aca="false">'Backtest 2020 A'!F105</f>
        <v>0.224719101123596</v>
      </c>
      <c r="K44" s="37" t="n">
        <f aca="false">'Backtest 2020 A'!F106</f>
        <v>0.696629213483146</v>
      </c>
      <c r="L44" s="38" t="n">
        <f aca="false">'Backtest 2020 A'!F107</f>
        <v>0.325842696629214</v>
      </c>
    </row>
    <row r="45" customFormat="false" ht="15" hidden="false" customHeight="false" outlineLevel="0" collapsed="false">
      <c r="A45" s="32" t="s">
        <v>45</v>
      </c>
      <c r="B45" s="32" t="s">
        <v>64</v>
      </c>
      <c r="C45" s="33" t="n">
        <f aca="false">'Backtest 2020 B'!F99</f>
        <v>3.06087697885909</v>
      </c>
      <c r="D45" s="34" t="n">
        <f aca="false">'Backtest 2020 B'!F101</f>
        <v>0.0677229773462784</v>
      </c>
      <c r="E45" s="35" t="n">
        <f aca="false">'Backtest 2020 B'!F102</f>
        <v>-0.0554253250076774</v>
      </c>
      <c r="F45" s="34" t="n">
        <f aca="false">'Backtest 2020 B'!F103</f>
        <v>0.00579143125571102</v>
      </c>
      <c r="G45" s="36" t="n">
        <f aca="false">'Backtest 2020 B'!F100</f>
        <v>2.79205009935942</v>
      </c>
      <c r="H45" s="36" t="n">
        <f aca="false">'Backtest 2020 B'!F98</f>
        <v>5.03291069004907</v>
      </c>
      <c r="I45" s="36" t="n">
        <f aca="false">'Backtest 2020 B'!F104</f>
        <v>2.6383519256883</v>
      </c>
      <c r="J45" s="37" t="n">
        <f aca="false">'Backtest 2020 B'!F105</f>
        <v>0.235955056179775</v>
      </c>
      <c r="K45" s="37" t="n">
        <f aca="false">'Backtest 2020 B'!F106</f>
        <v>0.651685393258427</v>
      </c>
      <c r="L45" s="38" t="n">
        <f aca="false">'Backtest 2020 B'!F107</f>
        <v>0.337078651685393</v>
      </c>
    </row>
    <row r="46" customFormat="false" ht="15" hidden="false" customHeight="false" outlineLevel="0" collapsed="false">
      <c r="A46" s="32" t="s">
        <v>47</v>
      </c>
      <c r="B46" s="32" t="s">
        <v>64</v>
      </c>
      <c r="C46" s="33" t="n">
        <f aca="false">'Backtest 2020 C'!F99</f>
        <v>3.06010923436446</v>
      </c>
      <c r="D46" s="34" t="n">
        <f aca="false">'Backtest 2020 C'!F101</f>
        <v>0.0677074433656959</v>
      </c>
      <c r="E46" s="35" t="n">
        <f aca="false">'Backtest 2020 C'!F102</f>
        <v>-0.0554099703142594</v>
      </c>
      <c r="F46" s="34" t="n">
        <f aca="false">'Backtest 2020 C'!F103</f>
        <v>0.00579143125571102</v>
      </c>
      <c r="G46" s="36" t="n">
        <f aca="false">'Backtest 2020 C'!F100</f>
        <v>2.37761170712286</v>
      </c>
      <c r="H46" s="36" t="n">
        <f aca="false">'Backtest 2020 C'!F98</f>
        <v>4.47668335720803</v>
      </c>
      <c r="I46" s="36" t="n">
        <f aca="false">'Backtest 2020 C'!F104</f>
        <v>2.90342550958101</v>
      </c>
      <c r="J46" s="37" t="n">
        <f aca="false">'Backtest 2020 C'!F105</f>
        <v>0.292134831460674</v>
      </c>
      <c r="K46" s="37" t="n">
        <f aca="false">'Backtest 2020 C'!F106</f>
        <v>0.831460674157303</v>
      </c>
      <c r="L46" s="38" t="n">
        <f aca="false">'Backtest 2020 C'!F107</f>
        <v>0.359550561797753</v>
      </c>
    </row>
    <row r="47" customFormat="false" ht="15" hidden="false" customHeight="false" outlineLevel="0" collapsed="false">
      <c r="A47" s="32" t="s">
        <v>43</v>
      </c>
      <c r="B47" s="32" t="s">
        <v>65</v>
      </c>
      <c r="C47" s="33" t="n">
        <f aca="false">'Backtest 2018 A'!F99</f>
        <v>-1.78436128837164</v>
      </c>
      <c r="D47" s="34" t="n">
        <f aca="false">'Backtest 2018 A'!F101</f>
        <v>0.0272515572318419</v>
      </c>
      <c r="E47" s="35" t="n">
        <f aca="false">'Backtest 2018 A'!F102</f>
        <v>0.103453915091254</v>
      </c>
      <c r="F47" s="34" t="n">
        <f aca="false">'Backtest 2018 A'!F103</f>
        <v>0.0627821326175806</v>
      </c>
      <c r="G47" s="36" t="n">
        <f aca="false">'Backtest 2018 A'!F100</f>
        <v>3.42322091594876</v>
      </c>
      <c r="H47" s="36" t="n">
        <f aca="false">'Backtest 2018 A'!F98</f>
        <v>3.51336107742943</v>
      </c>
      <c r="I47" s="36" t="n">
        <f aca="false">'Backtest 2018 A'!F104</f>
        <v>2.87010185526716</v>
      </c>
      <c r="J47" s="37" t="n">
        <f aca="false">'Backtest 2018 A'!F105</f>
        <v>0.674157303370787</v>
      </c>
      <c r="K47" s="37" t="n">
        <f aca="false">'Backtest 2018 A'!F106</f>
        <v>0.921348314606742</v>
      </c>
      <c r="L47" s="38" t="n">
        <f aca="false">'Backtest 2018 A'!F107</f>
        <v>0.696629213483146</v>
      </c>
    </row>
    <row r="48" customFormat="false" ht="15" hidden="false" customHeight="false" outlineLevel="0" collapsed="false">
      <c r="A48" s="32" t="s">
        <v>45</v>
      </c>
      <c r="B48" s="32" t="s">
        <v>65</v>
      </c>
      <c r="C48" s="33" t="n">
        <f aca="false">'Backtest 2018 B'!F99</f>
        <v>-1.78364381245193</v>
      </c>
      <c r="D48" s="34" t="n">
        <f aca="false">'Backtest 2018 B'!F101</f>
        <v>0.0272658437625006</v>
      </c>
      <c r="E48" s="35" t="n">
        <f aca="false">'Backtest 2018 B'!F102</f>
        <v>0.103437561326617</v>
      </c>
      <c r="F48" s="34" t="n">
        <f aca="false">'Backtest 2018 B'!F103</f>
        <v>0.0627821326175806</v>
      </c>
      <c r="G48" s="36" t="n">
        <f aca="false">'Backtest 2018 B'!F100</f>
        <v>3.25108114380113</v>
      </c>
      <c r="H48" s="36" t="n">
        <f aca="false">'Backtest 2018 B'!F98</f>
        <v>3.46627065926759</v>
      </c>
      <c r="I48" s="36" t="n">
        <f aca="false">'Backtest 2018 B'!F104</f>
        <v>2.86542206699219</v>
      </c>
      <c r="J48" s="37" t="n">
        <f aca="false">'Backtest 2018 B'!F105</f>
        <v>0.674157303370787</v>
      </c>
      <c r="K48" s="37" t="n">
        <f aca="false">'Backtest 2018 B'!F106</f>
        <v>0.898876404494382</v>
      </c>
      <c r="L48" s="38" t="n">
        <f aca="false">'Backtest 2018 B'!F107</f>
        <v>0.685393258426966</v>
      </c>
    </row>
    <row r="49" customFormat="false" ht="15" hidden="false" customHeight="false" outlineLevel="0" collapsed="false">
      <c r="A49" s="32" t="s">
        <v>47</v>
      </c>
      <c r="B49" s="32" t="s">
        <v>65</v>
      </c>
      <c r="C49" s="33" t="n">
        <f aca="false">'Backtest 2018 C'!F99</f>
        <v>-1.78364381245193</v>
      </c>
      <c r="D49" s="34" t="n">
        <f aca="false">'Backtest 2018 C'!F101</f>
        <v>0.0272658437625006</v>
      </c>
      <c r="E49" s="35" t="n">
        <f aca="false">'Backtest 2018 C'!F102</f>
        <v>0.103437561326617</v>
      </c>
      <c r="F49" s="34" t="n">
        <f aca="false">'Backtest 2018 C'!F103</f>
        <v>0.0627821326175806</v>
      </c>
      <c r="G49" s="36" t="n">
        <f aca="false">'Backtest 2018 C'!F100</f>
        <v>3.4892275154877</v>
      </c>
      <c r="H49" s="36" t="n">
        <f aca="false">'Backtest 2018 C'!F98</f>
        <v>4.27083815948522</v>
      </c>
      <c r="I49" s="36" t="n">
        <f aca="false">'Backtest 2018 C'!F104</f>
        <v>2.90248937478985</v>
      </c>
      <c r="J49" s="37" t="n">
        <f aca="false">'Backtest 2018 C'!F105</f>
        <v>0.528089887640449</v>
      </c>
      <c r="K49" s="37" t="n">
        <f aca="false">'Backtest 2018 C'!F106</f>
        <v>0.775280898876405</v>
      </c>
      <c r="L49" s="38" t="n">
        <f aca="false">'Backtest 2018 C'!F107</f>
        <v>0.550561797752809</v>
      </c>
    </row>
    <row r="50" customFormat="false" ht="15" hidden="false" customHeight="false" outlineLevel="0" collapsed="false">
      <c r="A50" s="13" t="s">
        <v>66</v>
      </c>
      <c r="B50" s="13"/>
      <c r="C50" s="13"/>
      <c r="D50" s="13"/>
      <c r="E50" s="13"/>
      <c r="F50" s="13"/>
      <c r="G50" s="13"/>
      <c r="H50" s="13"/>
      <c r="I50" s="13"/>
      <c r="J50" s="13"/>
      <c r="K50" s="13"/>
      <c r="L50" s="13"/>
    </row>
    <row r="52" customFormat="false" ht="15" hidden="false" customHeight="false" outlineLevel="0" collapsed="false">
      <c r="A52" s="4" t="s">
        <v>67</v>
      </c>
      <c r="B52" s="4"/>
      <c r="C52" s="4"/>
      <c r="D52" s="4"/>
      <c r="E52" s="4"/>
      <c r="F52" s="4"/>
      <c r="G52" s="4"/>
      <c r="H52" s="4"/>
      <c r="I52" s="4"/>
      <c r="J52" s="4"/>
      <c r="K52" s="4"/>
      <c r="L52" s="4"/>
    </row>
    <row r="53" customFormat="false" ht="15" hidden="false" customHeight="false" outlineLevel="0" collapsed="false">
      <c r="A53" s="5" t="s">
        <v>68</v>
      </c>
    </row>
    <row r="54" customFormat="false" ht="48" hidden="false" customHeight="true" outlineLevel="0" collapsed="false">
      <c r="A54" s="39" t="s">
        <v>69</v>
      </c>
      <c r="B54" s="39"/>
      <c r="C54" s="39"/>
      <c r="D54" s="39"/>
      <c r="E54" s="39"/>
      <c r="F54" s="39"/>
      <c r="G54" s="39"/>
      <c r="H54" s="39"/>
      <c r="I54" s="39"/>
      <c r="J54" s="39"/>
      <c r="K54" s="39"/>
      <c r="L54" s="39"/>
    </row>
    <row r="55" customFormat="false" ht="15" hidden="false" customHeight="false" outlineLevel="0" collapsed="false">
      <c r="A55" s="5" t="s">
        <v>70</v>
      </c>
    </row>
    <row r="56" customFormat="false" ht="48" hidden="false" customHeight="true" outlineLevel="0" collapsed="false">
      <c r="A56" s="39" t="s">
        <v>71</v>
      </c>
      <c r="B56" s="39"/>
      <c r="C56" s="39"/>
      <c r="D56" s="39"/>
      <c r="E56" s="39"/>
      <c r="F56" s="39"/>
      <c r="G56" s="39"/>
      <c r="H56" s="39"/>
      <c r="I56" s="39"/>
      <c r="J56" s="39"/>
      <c r="K56" s="39"/>
      <c r="L56" s="39"/>
    </row>
    <row r="57" customFormat="false" ht="15" hidden="false" customHeight="false" outlineLevel="0" collapsed="false">
      <c r="A57" s="5" t="s">
        <v>72</v>
      </c>
    </row>
    <row r="58" customFormat="false" ht="48" hidden="false" customHeight="true" outlineLevel="0" collapsed="false">
      <c r="A58" s="39" t="s">
        <v>73</v>
      </c>
      <c r="B58" s="39"/>
      <c r="C58" s="39"/>
      <c r="D58" s="39"/>
      <c r="E58" s="39"/>
      <c r="F58" s="39"/>
      <c r="G58" s="39"/>
      <c r="H58" s="39"/>
      <c r="I58" s="39"/>
      <c r="J58" s="39"/>
      <c r="K58" s="39"/>
      <c r="L58" s="39"/>
    </row>
    <row r="59" customFormat="false" ht="15" hidden="false" customHeight="false" outlineLevel="0" collapsed="false">
      <c r="A59" s="5" t="s">
        <v>74</v>
      </c>
    </row>
    <row r="60" customFormat="false" ht="48" hidden="false" customHeight="true" outlineLevel="0" collapsed="false">
      <c r="A60" s="39" t="s">
        <v>75</v>
      </c>
      <c r="B60" s="39"/>
      <c r="C60" s="39"/>
      <c r="D60" s="39"/>
      <c r="E60" s="39"/>
      <c r="F60" s="39"/>
      <c r="G60" s="39"/>
      <c r="H60" s="39"/>
      <c r="I60" s="39"/>
      <c r="J60" s="39"/>
      <c r="K60" s="39"/>
      <c r="L60" s="39"/>
    </row>
    <row r="62" customFormat="false" ht="15" hidden="false" customHeight="false" outlineLevel="0" collapsed="false">
      <c r="A62" s="4" t="s">
        <v>76</v>
      </c>
      <c r="B62" s="4"/>
      <c r="C62" s="4"/>
      <c r="D62" s="4"/>
      <c r="E62" s="4"/>
      <c r="F62" s="4"/>
      <c r="G62" s="4"/>
      <c r="H62" s="4"/>
      <c r="I62" s="4"/>
      <c r="J62" s="4"/>
      <c r="K62" s="4"/>
      <c r="L62" s="4"/>
    </row>
    <row r="63" customFormat="false" ht="31.5" hidden="false" customHeight="true" outlineLevel="0" collapsed="false">
      <c r="A63" s="8" t="s">
        <v>77</v>
      </c>
      <c r="B63" s="8" t="s">
        <v>78</v>
      </c>
      <c r="C63" s="8" t="s">
        <v>79</v>
      </c>
      <c r="D63" s="8" t="s">
        <v>43</v>
      </c>
      <c r="E63" s="8" t="s">
        <v>45</v>
      </c>
      <c r="F63" s="8" t="s">
        <v>47</v>
      </c>
      <c r="G63" s="8" t="s">
        <v>80</v>
      </c>
      <c r="H63" s="8" t="s">
        <v>81</v>
      </c>
      <c r="I63" s="8" t="s">
        <v>82</v>
      </c>
      <c r="J63" s="8" t="s">
        <v>83</v>
      </c>
      <c r="K63" s="8" t="s">
        <v>84</v>
      </c>
      <c r="L63" s="8" t="s">
        <v>85</v>
      </c>
    </row>
    <row r="64" customFormat="false" ht="15" hidden="false" customHeight="false" outlineLevel="0" collapsed="false">
      <c r="A64" s="9" t="str">
        <f aca="false">'2026 Forecast A'!A12</f>
        <v>Carbon</v>
      </c>
      <c r="B64" s="9" t="str">
        <f aca="false">'2026 Forecast A'!B12</f>
        <v>BANKS TOWNSHIP</v>
      </c>
      <c r="C64" s="9" t="str">
        <f aca="false">'2026 Forecast A'!C12</f>
        <v>(whole municipality)</v>
      </c>
      <c r="D64" s="10" t="n">
        <f aca="false">'2026 Forecast A'!G12</f>
        <v>0.379120879120879</v>
      </c>
      <c r="E64" s="10" t="n">
        <f aca="false">'2026 Forecast B'!G12</f>
        <v>0.384615384615385</v>
      </c>
      <c r="F64" s="10" t="n">
        <f aca="false">'2026 Forecast C'!G12</f>
        <v>0.376373626373626</v>
      </c>
      <c r="G64" s="40" t="n">
        <f aca="false">(MAX(D64:F64)-MIN(D64:F64))*100</f>
        <v>0.824175824175827</v>
      </c>
      <c r="H64" s="41" t="n">
        <f aca="false">'2026 Forecast A'!L12</f>
        <v>3.35825924802223</v>
      </c>
      <c r="I64" s="41" t="n">
        <f aca="false">'2026 Forecast B'!L12</f>
        <v>3.28161064668305</v>
      </c>
      <c r="J64" s="41" t="n">
        <f aca="false">'2026 Forecast C'!L12</f>
        <v>3.51519956975275</v>
      </c>
      <c r="K64" s="18" t="n">
        <f aca="false">'2026 Forecast A'!F12</f>
        <v>364</v>
      </c>
      <c r="L64" s="42" t="str">
        <f aca="false">IF(OR(AND(D64&gt;0.5,E64&gt;0.5,F64&gt;0.5),AND(D64&lt;0.5,E64&lt;0.5,F64&lt;0.5)),"Yes","No — toss-up")</f>
        <v>Yes</v>
      </c>
    </row>
    <row r="65" customFormat="false" ht="15" hidden="false" customHeight="false" outlineLevel="0" collapsed="false">
      <c r="A65" s="9" t="str">
        <f aca="false">'2026 Forecast A'!A13</f>
        <v>Carbon</v>
      </c>
      <c r="B65" s="9" t="str">
        <f aca="false">'2026 Forecast A'!B13</f>
        <v>BEAVER MEADOWS BOROUGH</v>
      </c>
      <c r="C65" s="9" t="str">
        <f aca="false">'2026 Forecast A'!C13</f>
        <v>(whole municipality)</v>
      </c>
      <c r="D65" s="10" t="n">
        <f aca="false">'2026 Forecast A'!G13</f>
        <v>0.293939393939394</v>
      </c>
      <c r="E65" s="10" t="n">
        <f aca="false">'2026 Forecast B'!G13</f>
        <v>0.290909090909091</v>
      </c>
      <c r="F65" s="10" t="n">
        <f aca="false">'2026 Forecast C'!G13</f>
        <v>0.281818181818182</v>
      </c>
      <c r="G65" s="40" t="n">
        <f aca="false">(MAX(D65:F65)-MIN(D65:F65))*100</f>
        <v>1.21212121212121</v>
      </c>
      <c r="H65" s="41" t="n">
        <f aca="false">'2026 Forecast A'!L13</f>
        <v>3.35825924802223</v>
      </c>
      <c r="I65" s="41" t="n">
        <f aca="false">'2026 Forecast B'!L13</f>
        <v>3.28161064668305</v>
      </c>
      <c r="J65" s="41" t="n">
        <f aca="false">'2026 Forecast C'!L13</f>
        <v>3.51519956975275</v>
      </c>
      <c r="K65" s="18" t="n">
        <f aca="false">'2026 Forecast A'!F13</f>
        <v>330</v>
      </c>
      <c r="L65" s="42" t="str">
        <f aca="false">IF(OR(AND(D65&gt;0.5,E65&gt;0.5,F65&gt;0.5),AND(D65&lt;0.5,E65&lt;0.5,F65&lt;0.5)),"Yes","No — toss-up")</f>
        <v>Yes</v>
      </c>
    </row>
    <row r="66" customFormat="false" ht="15" hidden="false" customHeight="false" outlineLevel="0" collapsed="false">
      <c r="A66" s="9" t="str">
        <f aca="false">'2026 Forecast A'!A14</f>
        <v>Carbon</v>
      </c>
      <c r="B66" s="9" t="str">
        <f aca="false">'2026 Forecast A'!B14</f>
        <v>BOWMANSTOWN BOROUGH</v>
      </c>
      <c r="C66" s="9" t="str">
        <f aca="false">'2026 Forecast A'!C14</f>
        <v>(whole municipality)</v>
      </c>
      <c r="D66" s="10" t="n">
        <f aca="false">'2026 Forecast A'!G14</f>
        <v>0.334269662921348</v>
      </c>
      <c r="E66" s="10" t="n">
        <f aca="false">'2026 Forecast B'!G14</f>
        <v>0.337078651685393</v>
      </c>
      <c r="F66" s="10" t="n">
        <f aca="false">'2026 Forecast C'!G14</f>
        <v>0.323033707865169</v>
      </c>
      <c r="G66" s="40" t="n">
        <f aca="false">(MAX(D66:F66)-MIN(D66:F66))*100</f>
        <v>1.40449438202247</v>
      </c>
      <c r="H66" s="41" t="n">
        <f aca="false">'2026 Forecast A'!L14</f>
        <v>3.35825924802223</v>
      </c>
      <c r="I66" s="41" t="n">
        <f aca="false">'2026 Forecast B'!L14</f>
        <v>3.28161064668305</v>
      </c>
      <c r="J66" s="41" t="n">
        <f aca="false">'2026 Forecast C'!L14</f>
        <v>3.51519956975275</v>
      </c>
      <c r="K66" s="18" t="n">
        <f aca="false">'2026 Forecast A'!F14</f>
        <v>356</v>
      </c>
      <c r="L66" s="42" t="str">
        <f aca="false">IF(OR(AND(D66&gt;0.5,E66&gt;0.5,F66&gt;0.5),AND(D66&lt;0.5,E66&lt;0.5,F66&lt;0.5)),"Yes","No — toss-up")</f>
        <v>Yes</v>
      </c>
    </row>
    <row r="67" customFormat="false" ht="15" hidden="false" customHeight="false" outlineLevel="0" collapsed="false">
      <c r="A67" s="9" t="str">
        <f aca="false">'2026 Forecast A'!A15</f>
        <v>Carbon</v>
      </c>
      <c r="B67" s="9" t="str">
        <f aca="false">'2026 Forecast A'!B15</f>
        <v>EAST PENN TOWNSHIP</v>
      </c>
      <c r="C67" s="9" t="str">
        <f aca="false">'2026 Forecast A'!C15</f>
        <v>(whole municipality)</v>
      </c>
      <c r="D67" s="10" t="n">
        <f aca="false">'2026 Forecast A'!G15</f>
        <v>0.277902621722846</v>
      </c>
      <c r="E67" s="10" t="n">
        <f aca="false">'2026 Forecast B'!G15</f>
        <v>0.27565543071161</v>
      </c>
      <c r="F67" s="10" t="n">
        <f aca="false">'2026 Forecast C'!G15</f>
        <v>0.265917602996255</v>
      </c>
      <c r="G67" s="40" t="n">
        <f aca="false">(MAX(D67:F67)-MIN(D67:F67))*100</f>
        <v>1.19850187265918</v>
      </c>
      <c r="H67" s="41" t="n">
        <f aca="false">'2026 Forecast A'!L15</f>
        <v>2.33474301775677</v>
      </c>
      <c r="I67" s="41" t="n">
        <f aca="false">'2026 Forecast B'!L15</f>
        <v>2.3905596931527</v>
      </c>
      <c r="J67" s="41" t="n">
        <f aca="false">'2026 Forecast C'!L15</f>
        <v>2.67714402909289</v>
      </c>
      <c r="K67" s="18" t="n">
        <f aca="false">'2026 Forecast A'!F15</f>
        <v>1335</v>
      </c>
      <c r="L67" s="42" t="str">
        <f aca="false">IF(OR(AND(D67&gt;0.5,E67&gt;0.5,F67&gt;0.5),AND(D67&lt;0.5,E67&lt;0.5,F67&lt;0.5)),"Yes","No — toss-up")</f>
        <v>Yes</v>
      </c>
    </row>
    <row r="68" customFormat="false" ht="15" hidden="false" customHeight="false" outlineLevel="0" collapsed="false">
      <c r="A68" s="9" t="str">
        <f aca="false">'2026 Forecast A'!A16</f>
        <v>Carbon</v>
      </c>
      <c r="B68" s="9" t="str">
        <f aca="false">'2026 Forecast A'!B16</f>
        <v>EAST SIDE BOROUGH</v>
      </c>
      <c r="C68" s="9" t="str">
        <f aca="false">'2026 Forecast A'!C16</f>
        <v>(whole municipality)</v>
      </c>
      <c r="D68" s="10" t="n">
        <f aca="false">'2026 Forecast A'!G16</f>
        <v>0.354838709677419</v>
      </c>
      <c r="E68" s="10" t="n">
        <f aca="false">'2026 Forecast B'!G16</f>
        <v>0.354838709677419</v>
      </c>
      <c r="F68" s="10" t="n">
        <f aca="false">'2026 Forecast C'!G16</f>
        <v>0.344086021505376</v>
      </c>
      <c r="G68" s="40" t="n">
        <f aca="false">(MAX(D68:F68)-MIN(D68:F68))*100</f>
        <v>1.0752688172043</v>
      </c>
      <c r="H68" s="41" t="n">
        <f aca="false">'2026 Forecast A'!L16</f>
        <v>3.35825924802223</v>
      </c>
      <c r="I68" s="41" t="n">
        <f aca="false">'2026 Forecast B'!L16</f>
        <v>3.28161064668305</v>
      </c>
      <c r="J68" s="41" t="n">
        <f aca="false">'2026 Forecast C'!L16</f>
        <v>3.51519956975275</v>
      </c>
      <c r="K68" s="18" t="n">
        <f aca="false">'2026 Forecast A'!F16</f>
        <v>93</v>
      </c>
      <c r="L68" s="42" t="str">
        <f aca="false">IF(OR(AND(D68&gt;0.5,E68&gt;0.5,F68&gt;0.5),AND(D68&lt;0.5,E68&lt;0.5,F68&lt;0.5)),"Yes","No — toss-up")</f>
        <v>Yes</v>
      </c>
    </row>
    <row r="69" customFormat="false" ht="15" hidden="false" customHeight="false" outlineLevel="0" collapsed="false">
      <c r="A69" s="9" t="str">
        <f aca="false">'2026 Forecast A'!A17</f>
        <v>Carbon</v>
      </c>
      <c r="B69" s="9" t="str">
        <f aca="false">'2026 Forecast A'!B17</f>
        <v>FRANKLIN TOWNSHIP</v>
      </c>
      <c r="C69" s="9" t="str">
        <f aca="false">'2026 Forecast A'!C17</f>
        <v>(whole municipality)</v>
      </c>
      <c r="D69" s="10" t="n">
        <f aca="false">'2026 Forecast A'!G17</f>
        <v>0.288092835519677</v>
      </c>
      <c r="E69" s="10" t="n">
        <f aca="false">'2026 Forecast B'!G17</f>
        <v>0.287083753784057</v>
      </c>
      <c r="F69" s="10" t="n">
        <f aca="false">'2026 Forecast C'!G17</f>
        <v>0.27648839556004</v>
      </c>
      <c r="G69" s="40" t="n">
        <f aca="false">(MAX(D69:F69)-MIN(D69:F69))*100</f>
        <v>1.16044399596367</v>
      </c>
      <c r="H69" s="41" t="n">
        <f aca="false">'2026 Forecast A'!L17</f>
        <v>2.33474301775677</v>
      </c>
      <c r="I69" s="41" t="n">
        <f aca="false">'2026 Forecast B'!L17</f>
        <v>2.3905596931527</v>
      </c>
      <c r="J69" s="41" t="n">
        <f aca="false">'2026 Forecast C'!L17</f>
        <v>2.67714402909289</v>
      </c>
      <c r="K69" s="18" t="n">
        <f aca="false">'2026 Forecast A'!F17</f>
        <v>1982</v>
      </c>
      <c r="L69" s="42" t="str">
        <f aca="false">IF(OR(AND(D69&gt;0.5,E69&gt;0.5,F69&gt;0.5),AND(D69&lt;0.5,E69&lt;0.5,F69&lt;0.5)),"Yes","No — toss-up")</f>
        <v>Yes</v>
      </c>
    </row>
    <row r="70" customFormat="false" ht="15" hidden="false" customHeight="false" outlineLevel="0" collapsed="false">
      <c r="A70" s="9" t="str">
        <f aca="false">'2026 Forecast A'!A18</f>
        <v>Carbon</v>
      </c>
      <c r="B70" s="9" t="str">
        <f aca="false">'2026 Forecast A'!B18</f>
        <v>JIM THORPE BOROUGH</v>
      </c>
      <c r="C70" s="9" t="str">
        <f aca="false">'2026 Forecast A'!C18</f>
        <v>(whole municipality)</v>
      </c>
      <c r="D70" s="10" t="n">
        <f aca="false">'2026 Forecast A'!G18</f>
        <v>0.435009487666034</v>
      </c>
      <c r="E70" s="10" t="n">
        <f aca="false">'2026 Forecast B'!G18</f>
        <v>0.433586337760911</v>
      </c>
      <c r="F70" s="10" t="n">
        <f aca="false">'2026 Forecast C'!G18</f>
        <v>0.432637571157495</v>
      </c>
      <c r="G70" s="40" t="n">
        <f aca="false">(MAX(D70:F70)-MIN(D70:F70))*100</f>
        <v>0.237191650853891</v>
      </c>
      <c r="H70" s="41" t="n">
        <f aca="false">'2026 Forecast A'!L18</f>
        <v>2.33474301775677</v>
      </c>
      <c r="I70" s="41" t="n">
        <f aca="false">'2026 Forecast B'!L18</f>
        <v>2.3905596931527</v>
      </c>
      <c r="J70" s="41" t="n">
        <f aca="false">'2026 Forecast C'!L18</f>
        <v>2.67714402909289</v>
      </c>
      <c r="K70" s="18" t="n">
        <f aca="false">'2026 Forecast A'!F18</f>
        <v>2108</v>
      </c>
      <c r="L70" s="42" t="str">
        <f aca="false">IF(OR(AND(D70&gt;0.5,E70&gt;0.5,F70&gt;0.5),AND(D70&lt;0.5,E70&lt;0.5,F70&lt;0.5)),"Yes","No — toss-up")</f>
        <v>Yes</v>
      </c>
    </row>
    <row r="71" customFormat="false" ht="15" hidden="false" customHeight="false" outlineLevel="0" collapsed="false">
      <c r="A71" s="9" t="str">
        <f aca="false">'2026 Forecast A'!A19</f>
        <v>Carbon</v>
      </c>
      <c r="B71" s="9" t="str">
        <f aca="false">'2026 Forecast A'!B19</f>
        <v>KIDDER TOWNSHIP</v>
      </c>
      <c r="C71" s="9" t="str">
        <f aca="false">'2026 Forecast A'!C19</f>
        <v>(whole municipality)</v>
      </c>
      <c r="D71" s="10" t="n">
        <f aca="false">'2026 Forecast A'!G19</f>
        <v>0.341614906832298</v>
      </c>
      <c r="E71" s="10" t="n">
        <f aca="false">'2026 Forecast B'!G19</f>
        <v>0.346583850931677</v>
      </c>
      <c r="F71" s="10" t="n">
        <f aca="false">'2026 Forecast C'!G19</f>
        <v>0.33167701863354</v>
      </c>
      <c r="G71" s="40" t="n">
        <f aca="false">(MAX(D71:F71)-MIN(D71:F71))*100</f>
        <v>1.49068322981367</v>
      </c>
      <c r="H71" s="41" t="n">
        <f aca="false">'2026 Forecast A'!L19</f>
        <v>3.35825924802223</v>
      </c>
      <c r="I71" s="41" t="n">
        <f aca="false">'2026 Forecast B'!L19</f>
        <v>3.28161064668305</v>
      </c>
      <c r="J71" s="41" t="n">
        <f aca="false">'2026 Forecast C'!L19</f>
        <v>3.51519956975275</v>
      </c>
      <c r="K71" s="18" t="n">
        <f aca="false">'2026 Forecast A'!F19</f>
        <v>805</v>
      </c>
      <c r="L71" s="42" t="str">
        <f aca="false">IF(OR(AND(D71&gt;0.5,E71&gt;0.5,F71&gt;0.5),AND(D71&lt;0.5,E71&lt;0.5,F71&lt;0.5)),"Yes","No — toss-up")</f>
        <v>Yes</v>
      </c>
    </row>
    <row r="72" customFormat="false" ht="15" hidden="false" customHeight="false" outlineLevel="0" collapsed="false">
      <c r="A72" s="9" t="str">
        <f aca="false">'2026 Forecast A'!A20</f>
        <v>Carbon</v>
      </c>
      <c r="B72" s="9" t="str">
        <f aca="false">'2026 Forecast A'!B20</f>
        <v>LANSFORD BOROUGH</v>
      </c>
      <c r="C72" s="9" t="str">
        <f aca="false">'2026 Forecast A'!C20</f>
        <v>(whole municipality)</v>
      </c>
      <c r="D72" s="10" t="n">
        <f aca="false">'2026 Forecast A'!G20</f>
        <v>0.413665743305633</v>
      </c>
      <c r="E72" s="10" t="n">
        <f aca="false">'2026 Forecast B'!G20</f>
        <v>0.412742382271468</v>
      </c>
      <c r="F72" s="10" t="n">
        <f aca="false">'2026 Forecast C'!G20</f>
        <v>0.411819021237304</v>
      </c>
      <c r="G72" s="40" t="n">
        <f aca="false">(MAX(D72:F72)-MIN(D72:F72))*100</f>
        <v>0.18467220683287</v>
      </c>
      <c r="H72" s="41" t="n">
        <f aca="false">'2026 Forecast A'!L20</f>
        <v>3.35825924802223</v>
      </c>
      <c r="I72" s="41" t="n">
        <f aca="false">'2026 Forecast B'!L20</f>
        <v>3.28161064668305</v>
      </c>
      <c r="J72" s="41" t="n">
        <f aca="false">'2026 Forecast C'!L20</f>
        <v>3.51519956975275</v>
      </c>
      <c r="K72" s="18" t="n">
        <f aca="false">'2026 Forecast A'!F20</f>
        <v>1083</v>
      </c>
      <c r="L72" s="42" t="str">
        <f aca="false">IF(OR(AND(D72&gt;0.5,E72&gt;0.5,F72&gt;0.5),AND(D72&lt;0.5,E72&lt;0.5,F72&lt;0.5)),"Yes","No — toss-up")</f>
        <v>Yes</v>
      </c>
    </row>
    <row r="73" customFormat="false" ht="15" hidden="false" customHeight="false" outlineLevel="0" collapsed="false">
      <c r="A73" s="9" t="str">
        <f aca="false">'2026 Forecast A'!A21</f>
        <v>Carbon</v>
      </c>
      <c r="B73" s="9" t="str">
        <f aca="false">'2026 Forecast A'!B21</f>
        <v>LAUSANNE TOWNSHIP</v>
      </c>
      <c r="C73" s="9" t="str">
        <f aca="false">'2026 Forecast A'!C21</f>
        <v>(whole municipality)</v>
      </c>
      <c r="D73" s="10" t="n">
        <f aca="false">'2026 Forecast A'!G21</f>
        <v>0.279661016949153</v>
      </c>
      <c r="E73" s="10" t="n">
        <f aca="false">'2026 Forecast B'!G21</f>
        <v>0.279661016949153</v>
      </c>
      <c r="F73" s="10" t="n">
        <f aca="false">'2026 Forecast C'!G21</f>
        <v>0.26271186440678</v>
      </c>
      <c r="G73" s="40" t="n">
        <f aca="false">(MAX(D73:F73)-MIN(D73:F73))*100</f>
        <v>1.69491525423728</v>
      </c>
      <c r="H73" s="41" t="n">
        <f aca="false">'2026 Forecast A'!L21</f>
        <v>3.35825924802223</v>
      </c>
      <c r="I73" s="41" t="n">
        <f aca="false">'2026 Forecast B'!L21</f>
        <v>3.28161064668305</v>
      </c>
      <c r="J73" s="41" t="n">
        <f aca="false">'2026 Forecast C'!L21</f>
        <v>3.51519956975275</v>
      </c>
      <c r="K73" s="18" t="n">
        <f aca="false">'2026 Forecast A'!F21</f>
        <v>118</v>
      </c>
      <c r="L73" s="42" t="str">
        <f aca="false">IF(OR(AND(D73&gt;0.5,E73&gt;0.5,F73&gt;0.5),AND(D73&lt;0.5,E73&lt;0.5,F73&lt;0.5)),"Yes","No — toss-up")</f>
        <v>Yes</v>
      </c>
    </row>
    <row r="74" customFormat="false" ht="15" hidden="false" customHeight="false" outlineLevel="0" collapsed="false">
      <c r="A74" s="9" t="str">
        <f aca="false">'2026 Forecast A'!A22</f>
        <v>Carbon</v>
      </c>
      <c r="B74" s="9" t="str">
        <f aca="false">'2026 Forecast A'!B22</f>
        <v>LEHIGH TOWNSHIP</v>
      </c>
      <c r="C74" s="9" t="str">
        <f aca="false">'2026 Forecast A'!C22</f>
        <v>(whole municipality)</v>
      </c>
      <c r="D74" s="10" t="n">
        <f aca="false">'2026 Forecast A'!G22</f>
        <v>0.206751054852321</v>
      </c>
      <c r="E74" s="10" t="n">
        <f aca="false">'2026 Forecast B'!G22</f>
        <v>0.215189873417722</v>
      </c>
      <c r="F74" s="10" t="n">
        <f aca="false">'2026 Forecast C'!G22</f>
        <v>0.189873417721519</v>
      </c>
      <c r="G74" s="40" t="n">
        <f aca="false">(MAX(D74:F74)-MIN(D74:F74))*100</f>
        <v>2.53164556962025</v>
      </c>
      <c r="H74" s="41" t="n">
        <f aca="false">'2026 Forecast A'!L22</f>
        <v>3.35825924802223</v>
      </c>
      <c r="I74" s="41" t="n">
        <f aca="false">'2026 Forecast B'!L22</f>
        <v>3.28161064668305</v>
      </c>
      <c r="J74" s="41" t="n">
        <f aca="false">'2026 Forecast C'!L22</f>
        <v>3.51519956975275</v>
      </c>
      <c r="K74" s="18" t="n">
        <f aca="false">'2026 Forecast A'!F22</f>
        <v>237</v>
      </c>
      <c r="L74" s="42" t="str">
        <f aca="false">IF(OR(AND(D74&gt;0.5,E74&gt;0.5,F74&gt;0.5),AND(D74&lt;0.5,E74&lt;0.5,F74&lt;0.5)),"Yes","No — toss-up")</f>
        <v>Yes</v>
      </c>
    </row>
    <row r="75" customFormat="false" ht="15" hidden="false" customHeight="false" outlineLevel="0" collapsed="false">
      <c r="A75" s="9" t="str">
        <f aca="false">'2026 Forecast A'!A23</f>
        <v>Carbon</v>
      </c>
      <c r="B75" s="9" t="str">
        <f aca="false">'2026 Forecast A'!B23</f>
        <v>LEHIGHTON BOROUGH</v>
      </c>
      <c r="C75" s="9" t="str">
        <f aca="false">'2026 Forecast A'!C23</f>
        <v>(whole municipality)</v>
      </c>
      <c r="D75" s="10" t="n">
        <f aca="false">'2026 Forecast A'!G23</f>
        <v>0.402508551881414</v>
      </c>
      <c r="E75" s="10" t="n">
        <f aca="false">'2026 Forecast B'!G23</f>
        <v>0.40193842645382</v>
      </c>
      <c r="F75" s="10" t="n">
        <f aca="false">'2026 Forecast C'!G23</f>
        <v>0.396807297605473</v>
      </c>
      <c r="G75" s="40" t="n">
        <f aca="false">(MAX(D75:F75)-MIN(D75:F75))*100</f>
        <v>0.57012542759407</v>
      </c>
      <c r="H75" s="41" t="n">
        <f aca="false">'2026 Forecast A'!L23</f>
        <v>2.33474301775677</v>
      </c>
      <c r="I75" s="41" t="n">
        <f aca="false">'2026 Forecast B'!L23</f>
        <v>2.3905596931527</v>
      </c>
      <c r="J75" s="41" t="n">
        <f aca="false">'2026 Forecast C'!L23</f>
        <v>2.67714402909289</v>
      </c>
      <c r="K75" s="18" t="n">
        <f aca="false">'2026 Forecast A'!F23</f>
        <v>1754</v>
      </c>
      <c r="L75" s="42" t="str">
        <f aca="false">IF(OR(AND(D75&gt;0.5,E75&gt;0.5,F75&gt;0.5),AND(D75&lt;0.5,E75&lt;0.5,F75&lt;0.5)),"Yes","No — toss-up")</f>
        <v>Yes</v>
      </c>
    </row>
    <row r="76" customFormat="false" ht="15" hidden="false" customHeight="false" outlineLevel="0" collapsed="false">
      <c r="A76" s="9" t="str">
        <f aca="false">'2026 Forecast A'!A24</f>
        <v>Carbon</v>
      </c>
      <c r="B76" s="9" t="str">
        <f aca="false">'2026 Forecast A'!B24</f>
        <v>LOWER TOWAMENSING TOWNSHIP</v>
      </c>
      <c r="C76" s="9" t="str">
        <f aca="false">'2026 Forecast A'!C24</f>
        <v>(whole municipality)</v>
      </c>
      <c r="D76" s="10" t="n">
        <f aca="false">'2026 Forecast A'!G24</f>
        <v>0.289079229122056</v>
      </c>
      <c r="E76" s="10" t="n">
        <f aca="false">'2026 Forecast B'!G24</f>
        <v>0.291220556745182</v>
      </c>
      <c r="F76" s="10" t="n">
        <f aca="false">'2026 Forecast C'!G24</f>
        <v>0.277658815132049</v>
      </c>
      <c r="G76" s="40" t="n">
        <f aca="false">(MAX(D76:F76)-MIN(D76:F76))*100</f>
        <v>1.35617416131335</v>
      </c>
      <c r="H76" s="41" t="n">
        <f aca="false">'2026 Forecast A'!L24</f>
        <v>2.33474301775677</v>
      </c>
      <c r="I76" s="41" t="n">
        <f aca="false">'2026 Forecast B'!L24</f>
        <v>2.3905596931527</v>
      </c>
      <c r="J76" s="41" t="n">
        <f aca="false">'2026 Forecast C'!L24</f>
        <v>2.67714402909289</v>
      </c>
      <c r="K76" s="18" t="n">
        <f aca="false">'2026 Forecast A'!F24</f>
        <v>1401</v>
      </c>
      <c r="L76" s="42" t="str">
        <f aca="false">IF(OR(AND(D76&gt;0.5,E76&gt;0.5,F76&gt;0.5),AND(D76&lt;0.5,E76&lt;0.5,F76&lt;0.5)),"Yes","No — toss-up")</f>
        <v>Yes</v>
      </c>
    </row>
    <row r="77" customFormat="false" ht="15" hidden="false" customHeight="false" outlineLevel="0" collapsed="false">
      <c r="A77" s="9" t="str">
        <f aca="false">'2026 Forecast A'!A25</f>
        <v>Carbon</v>
      </c>
      <c r="B77" s="9" t="str">
        <f aca="false">'2026 Forecast A'!B25</f>
        <v>MAHONING TOWNSHIP</v>
      </c>
      <c r="C77" s="9" t="str">
        <f aca="false">'2026 Forecast A'!C25</f>
        <v>(whole municipality)</v>
      </c>
      <c r="D77" s="10" t="n">
        <f aca="false">'2026 Forecast A'!G25</f>
        <v>0.300319488817891</v>
      </c>
      <c r="E77" s="10" t="n">
        <f aca="false">'2026 Forecast B'!G25</f>
        <v>0.29765708200213</v>
      </c>
      <c r="F77" s="10" t="n">
        <f aca="false">'2026 Forecast C'!G25</f>
        <v>0.289137380191693</v>
      </c>
      <c r="G77" s="40" t="n">
        <f aca="false">(MAX(D77:F77)-MIN(D77:F77))*100</f>
        <v>1.11821086261981</v>
      </c>
      <c r="H77" s="41" t="n">
        <f aca="false">'2026 Forecast A'!L25</f>
        <v>2.33474301775677</v>
      </c>
      <c r="I77" s="41" t="n">
        <f aca="false">'2026 Forecast B'!L25</f>
        <v>2.3905596931527</v>
      </c>
      <c r="J77" s="41" t="n">
        <f aca="false">'2026 Forecast C'!L25</f>
        <v>2.67714402909289</v>
      </c>
      <c r="K77" s="18" t="n">
        <f aca="false">'2026 Forecast A'!F25</f>
        <v>1878</v>
      </c>
      <c r="L77" s="42" t="str">
        <f aca="false">IF(OR(AND(D77&gt;0.5,E77&gt;0.5,F77&gt;0.5),AND(D77&lt;0.5,E77&lt;0.5,F77&lt;0.5)),"Yes","No — toss-up")</f>
        <v>Yes</v>
      </c>
    </row>
    <row r="78" customFormat="false" ht="15" hidden="false" customHeight="false" outlineLevel="0" collapsed="false">
      <c r="A78" s="9" t="str">
        <f aca="false">'2026 Forecast A'!A26</f>
        <v>Carbon</v>
      </c>
      <c r="B78" s="9" t="str">
        <f aca="false">'2026 Forecast A'!B26</f>
        <v>NESQUEHONING BOROUGH</v>
      </c>
      <c r="C78" s="9" t="str">
        <f aca="false">'2026 Forecast A'!C26</f>
        <v>(whole municipality)</v>
      </c>
      <c r="D78" s="10" t="n">
        <f aca="false">'2026 Forecast A'!G26</f>
        <v>0.398682042833608</v>
      </c>
      <c r="E78" s="10" t="n">
        <f aca="false">'2026 Forecast B'!G26</f>
        <v>0.400329489291598</v>
      </c>
      <c r="F78" s="10" t="n">
        <f aca="false">'2026 Forecast C'!G26</f>
        <v>0.393739703459638</v>
      </c>
      <c r="G78" s="40" t="n">
        <f aca="false">(MAX(D78:F78)-MIN(D78:F78))*100</f>
        <v>0.658978583196046</v>
      </c>
      <c r="H78" s="41" t="n">
        <f aca="false">'2026 Forecast A'!L26</f>
        <v>3.35825924802223</v>
      </c>
      <c r="I78" s="41" t="n">
        <f aca="false">'2026 Forecast B'!L26</f>
        <v>3.28161064668305</v>
      </c>
      <c r="J78" s="41" t="n">
        <f aca="false">'2026 Forecast C'!L26</f>
        <v>3.51519956975275</v>
      </c>
      <c r="K78" s="18" t="n">
        <f aca="false">'2026 Forecast A'!F26</f>
        <v>1214</v>
      </c>
      <c r="L78" s="42" t="str">
        <f aca="false">IF(OR(AND(D78&gt;0.5,E78&gt;0.5,F78&gt;0.5),AND(D78&lt;0.5,E78&lt;0.5,F78&lt;0.5)),"Yes","No — toss-up")</f>
        <v>Yes</v>
      </c>
    </row>
    <row r="79" customFormat="false" ht="15" hidden="false" customHeight="false" outlineLevel="0" collapsed="false">
      <c r="A79" s="9" t="str">
        <f aca="false">'2026 Forecast A'!A27</f>
        <v>Carbon</v>
      </c>
      <c r="B79" s="9" t="str">
        <f aca="false">'2026 Forecast A'!B27</f>
        <v>PACKER TOWNSHIP</v>
      </c>
      <c r="C79" s="9" t="str">
        <f aca="false">'2026 Forecast A'!C27</f>
        <v>(whole municipality)</v>
      </c>
      <c r="D79" s="10" t="n">
        <f aca="false">'2026 Forecast A'!G27</f>
        <v>0.205660377358491</v>
      </c>
      <c r="E79" s="10" t="n">
        <f aca="false">'2026 Forecast B'!G27</f>
        <v>0.205660377358491</v>
      </c>
      <c r="F79" s="10" t="n">
        <f aca="false">'2026 Forecast C'!G27</f>
        <v>0.184905660377358</v>
      </c>
      <c r="G79" s="40" t="n">
        <f aca="false">(MAX(D79:F79)-MIN(D79:F79))*100</f>
        <v>2.07547169811321</v>
      </c>
      <c r="H79" s="41" t="n">
        <f aca="false">'2026 Forecast A'!L27</f>
        <v>3.35825924802223</v>
      </c>
      <c r="I79" s="41" t="n">
        <f aca="false">'2026 Forecast B'!L27</f>
        <v>3.28161064668305</v>
      </c>
      <c r="J79" s="41" t="n">
        <f aca="false">'2026 Forecast C'!L27</f>
        <v>3.51519956975275</v>
      </c>
      <c r="K79" s="18" t="n">
        <f aca="false">'2026 Forecast A'!F27</f>
        <v>530</v>
      </c>
      <c r="L79" s="42" t="str">
        <f aca="false">IF(OR(AND(D79&gt;0.5,E79&gt;0.5,F79&gt;0.5),AND(D79&lt;0.5,E79&lt;0.5,F79&lt;0.5)),"Yes","No — toss-up")</f>
        <v>Yes</v>
      </c>
    </row>
    <row r="80" customFormat="false" ht="15" hidden="false" customHeight="false" outlineLevel="0" collapsed="false">
      <c r="A80" s="9" t="str">
        <f aca="false">'2026 Forecast A'!A28</f>
        <v>Carbon</v>
      </c>
      <c r="B80" s="9" t="str">
        <f aca="false">'2026 Forecast A'!B28</f>
        <v>PALMERTON BOROUGH</v>
      </c>
      <c r="C80" s="9" t="str">
        <f aca="false">'2026 Forecast A'!C28</f>
        <v>(whole municipality)</v>
      </c>
      <c r="D80" s="10" t="n">
        <f aca="false">'2026 Forecast A'!G28</f>
        <v>0.366147664490206</v>
      </c>
      <c r="E80" s="10" t="n">
        <f aca="false">'2026 Forecast B'!G28</f>
        <v>0.366147664490206</v>
      </c>
      <c r="F80" s="10" t="n">
        <f aca="false">'2026 Forecast C'!G28</f>
        <v>0.359618282270216</v>
      </c>
      <c r="G80" s="40" t="n">
        <f aca="false">(MAX(D80:F80)-MIN(D80:F80))*100</f>
        <v>0.652938221998994</v>
      </c>
      <c r="H80" s="41" t="n">
        <f aca="false">'2026 Forecast A'!L28</f>
        <v>2.33474301775677</v>
      </c>
      <c r="I80" s="41" t="n">
        <f aca="false">'2026 Forecast B'!L28</f>
        <v>2.3905596931527</v>
      </c>
      <c r="J80" s="41" t="n">
        <f aca="false">'2026 Forecast C'!L28</f>
        <v>2.67714402909289</v>
      </c>
      <c r="K80" s="18" t="n">
        <f aca="false">'2026 Forecast A'!F28</f>
        <v>1991</v>
      </c>
      <c r="L80" s="42" t="str">
        <f aca="false">IF(OR(AND(D80&gt;0.5,E80&gt;0.5,F80&gt;0.5),AND(D80&lt;0.5,E80&lt;0.5,F80&lt;0.5)),"Yes","No — toss-up")</f>
        <v>Yes</v>
      </c>
    </row>
    <row r="81" customFormat="false" ht="15" hidden="false" customHeight="false" outlineLevel="0" collapsed="false">
      <c r="A81" s="9" t="str">
        <f aca="false">'2026 Forecast A'!A29</f>
        <v>Carbon</v>
      </c>
      <c r="B81" s="9" t="str">
        <f aca="false">'2026 Forecast A'!B29</f>
        <v>PARRYVILLE BOROUGH</v>
      </c>
      <c r="C81" s="9" t="str">
        <f aca="false">'2026 Forecast A'!C29</f>
        <v>(whole municipality)</v>
      </c>
      <c r="D81" s="10" t="n">
        <f aca="false">'2026 Forecast A'!G29</f>
        <v>0.313513513513514</v>
      </c>
      <c r="E81" s="10" t="n">
        <f aca="false">'2026 Forecast B'!G29</f>
        <v>0.318918918918919</v>
      </c>
      <c r="F81" s="10" t="n">
        <f aca="false">'2026 Forecast C'!G29</f>
        <v>0.302702702702703</v>
      </c>
      <c r="G81" s="40" t="n">
        <f aca="false">(MAX(D81:F81)-MIN(D81:F81))*100</f>
        <v>1.62162162162162</v>
      </c>
      <c r="H81" s="41" t="n">
        <f aca="false">'2026 Forecast A'!L29</f>
        <v>3.35825924802223</v>
      </c>
      <c r="I81" s="41" t="n">
        <f aca="false">'2026 Forecast B'!L29</f>
        <v>3.28161064668305</v>
      </c>
      <c r="J81" s="41" t="n">
        <f aca="false">'2026 Forecast C'!L29</f>
        <v>3.51519956975275</v>
      </c>
      <c r="K81" s="18" t="n">
        <f aca="false">'2026 Forecast A'!F29</f>
        <v>185</v>
      </c>
      <c r="L81" s="42" t="str">
        <f aca="false">IF(OR(AND(D81&gt;0.5,E81&gt;0.5,F81&gt;0.5),AND(D81&lt;0.5,E81&lt;0.5,F81&lt;0.5)),"Yes","No — toss-up")</f>
        <v>Yes</v>
      </c>
    </row>
    <row r="82" customFormat="false" ht="15" hidden="false" customHeight="false" outlineLevel="0" collapsed="false">
      <c r="A82" s="9" t="str">
        <f aca="false">'2026 Forecast A'!A30</f>
        <v>Carbon</v>
      </c>
      <c r="B82" s="9" t="str">
        <f aca="false">'2026 Forecast A'!B30</f>
        <v>PENN FOREST TOWNSHIP</v>
      </c>
      <c r="C82" s="9" t="str">
        <f aca="false">'2026 Forecast A'!C30</f>
        <v>(whole municipality)</v>
      </c>
      <c r="D82" s="10" t="n">
        <f aca="false">'2026 Forecast A'!G30</f>
        <v>0.364266547406082</v>
      </c>
      <c r="E82" s="10" t="n">
        <f aca="false">'2026 Forecast B'!G30</f>
        <v>0.366055456171735</v>
      </c>
      <c r="F82" s="10" t="n">
        <f aca="false">'2026 Forecast C'!G30</f>
        <v>0.355992844364937</v>
      </c>
      <c r="G82" s="40" t="n">
        <f aca="false">(MAX(D82:F82)-MIN(D82:F82))*100</f>
        <v>1.00626118067979</v>
      </c>
      <c r="H82" s="41" t="n">
        <f aca="false">'2026 Forecast A'!L30</f>
        <v>2.40212857654826</v>
      </c>
      <c r="I82" s="41" t="n">
        <f aca="false">'2026 Forecast B'!L30</f>
        <v>2.25993932789826</v>
      </c>
      <c r="J82" s="41" t="n">
        <f aca="false">'2026 Forecast C'!L30</f>
        <v>2.45698128876881</v>
      </c>
      <c r="K82" s="18" t="n">
        <f aca="false">'2026 Forecast A'!F30</f>
        <v>4472</v>
      </c>
      <c r="L82" s="42" t="str">
        <f aca="false">IF(OR(AND(D82&gt;0.5,E82&gt;0.5,F82&gt;0.5),AND(D82&lt;0.5,E82&lt;0.5,F82&lt;0.5)),"Yes","No — toss-up")</f>
        <v>Yes</v>
      </c>
    </row>
    <row r="83" customFormat="false" ht="15" hidden="false" customHeight="false" outlineLevel="0" collapsed="false">
      <c r="A83" s="9" t="str">
        <f aca="false">'2026 Forecast A'!A31</f>
        <v>Carbon</v>
      </c>
      <c r="B83" s="9" t="str">
        <f aca="false">'2026 Forecast A'!B31</f>
        <v>SUMMIT HILL BOROUGH</v>
      </c>
      <c r="C83" s="9" t="str">
        <f aca="false">'2026 Forecast A'!C31</f>
        <v>(whole municipality)</v>
      </c>
      <c r="D83" s="10" t="n">
        <f aca="false">'2026 Forecast A'!G31</f>
        <v>0.4292343387471</v>
      </c>
      <c r="E83" s="10" t="n">
        <f aca="false">'2026 Forecast B'!G31</f>
        <v>0.4276875483372</v>
      </c>
      <c r="F83" s="10" t="n">
        <f aca="false">'2026 Forecast C'!G31</f>
        <v>0.426914153132251</v>
      </c>
      <c r="G83" s="40" t="n">
        <f aca="false">(MAX(D83:F83)-MIN(D83:F83))*100</f>
        <v>0.23201856148492</v>
      </c>
      <c r="H83" s="41" t="n">
        <f aca="false">'2026 Forecast A'!L31</f>
        <v>2.33474301775677</v>
      </c>
      <c r="I83" s="41" t="n">
        <f aca="false">'2026 Forecast B'!L31</f>
        <v>2.3905596931527</v>
      </c>
      <c r="J83" s="41" t="n">
        <f aca="false">'2026 Forecast C'!L31</f>
        <v>2.67714402909289</v>
      </c>
      <c r="K83" s="18" t="n">
        <f aca="false">'2026 Forecast A'!F31</f>
        <v>1293</v>
      </c>
      <c r="L83" s="42" t="str">
        <f aca="false">IF(OR(AND(D83&gt;0.5,E83&gt;0.5,F83&gt;0.5),AND(D83&lt;0.5,E83&lt;0.5,F83&lt;0.5)),"Yes","No — toss-up")</f>
        <v>Yes</v>
      </c>
    </row>
    <row r="84" customFormat="false" ht="15" hidden="false" customHeight="false" outlineLevel="0" collapsed="false">
      <c r="A84" s="9" t="str">
        <f aca="false">'2026 Forecast A'!A32</f>
        <v>Carbon</v>
      </c>
      <c r="B84" s="9" t="str">
        <f aca="false">'2026 Forecast A'!B32</f>
        <v>TOWAMENSING TOWNSHIP</v>
      </c>
      <c r="C84" s="9" t="str">
        <f aca="false">'2026 Forecast A'!C32</f>
        <v>(whole municipality)</v>
      </c>
      <c r="D84" s="10" t="n">
        <f aca="false">'2026 Forecast A'!G32</f>
        <v>0.294508414526129</v>
      </c>
      <c r="E84" s="10" t="n">
        <f aca="false">'2026 Forecast B'!G32</f>
        <v>0.289193976970771</v>
      </c>
      <c r="F84" s="10" t="n">
        <f aca="false">'2026 Forecast C'!G32</f>
        <v>0.283436669619132</v>
      </c>
      <c r="G84" s="40" t="n">
        <f aca="false">(MAX(D84:F84)-MIN(D84:F84))*100</f>
        <v>1.10717449069973</v>
      </c>
      <c r="H84" s="41" t="n">
        <f aca="false">'2026 Forecast A'!L32</f>
        <v>2.33474301775677</v>
      </c>
      <c r="I84" s="41" t="n">
        <f aca="false">'2026 Forecast B'!L32</f>
        <v>2.3905596931527</v>
      </c>
      <c r="J84" s="41" t="n">
        <f aca="false">'2026 Forecast C'!L32</f>
        <v>2.67714402909289</v>
      </c>
      <c r="K84" s="18" t="n">
        <f aca="false">'2026 Forecast A'!F32</f>
        <v>2258</v>
      </c>
      <c r="L84" s="42" t="str">
        <f aca="false">IF(OR(AND(D84&gt;0.5,E84&gt;0.5,F84&gt;0.5),AND(D84&lt;0.5,E84&lt;0.5,F84&lt;0.5)),"Yes","No — toss-up")</f>
        <v>Yes</v>
      </c>
    </row>
    <row r="85" customFormat="false" ht="15" hidden="false" customHeight="false" outlineLevel="0" collapsed="false">
      <c r="A85" s="9" t="str">
        <f aca="false">'2026 Forecast A'!A33</f>
        <v>Carbon</v>
      </c>
      <c r="B85" s="9" t="str">
        <f aca="false">'2026 Forecast A'!B33</f>
        <v>WEATHERLY BOROUGH</v>
      </c>
      <c r="C85" s="9" t="str">
        <f aca="false">'2026 Forecast A'!C33</f>
        <v>(whole municipality)</v>
      </c>
      <c r="D85" s="10" t="n">
        <f aca="false">'2026 Forecast A'!G33</f>
        <v>0.299781181619256</v>
      </c>
      <c r="E85" s="10" t="n">
        <f aca="false">'2026 Forecast B'!G33</f>
        <v>0.297592997811816</v>
      </c>
      <c r="F85" s="10" t="n">
        <f aca="false">'2026 Forecast C'!G33</f>
        <v>0.288840262582057</v>
      </c>
      <c r="G85" s="40" t="n">
        <f aca="false">(MAX(D85:F85)-MIN(D85:F85))*100</f>
        <v>1.09409190371991</v>
      </c>
      <c r="H85" s="41" t="n">
        <f aca="false">'2026 Forecast A'!L33</f>
        <v>3.35825924802223</v>
      </c>
      <c r="I85" s="41" t="n">
        <f aca="false">'2026 Forecast B'!L33</f>
        <v>3.28161064668305</v>
      </c>
      <c r="J85" s="41" t="n">
        <f aca="false">'2026 Forecast C'!L33</f>
        <v>3.51519956975275</v>
      </c>
      <c r="K85" s="18" t="n">
        <f aca="false">'2026 Forecast A'!F33</f>
        <v>914</v>
      </c>
      <c r="L85" s="42" t="str">
        <f aca="false">IF(OR(AND(D85&gt;0.5,E85&gt;0.5,F85&gt;0.5),AND(D85&lt;0.5,E85&lt;0.5,F85&lt;0.5)),"Yes","No — toss-up")</f>
        <v>Yes</v>
      </c>
    </row>
    <row r="86" customFormat="false" ht="15" hidden="false" customHeight="false" outlineLevel="0" collapsed="false">
      <c r="A86" s="9" t="str">
        <f aca="false">'2026 Forecast A'!A34</f>
        <v>Carbon</v>
      </c>
      <c r="B86" s="9" t="str">
        <f aca="false">'2026 Forecast A'!B34</f>
        <v>WEISSPORT BOROUGH</v>
      </c>
      <c r="C86" s="9" t="str">
        <f aca="false">'2026 Forecast A'!C34</f>
        <v>(whole municipality)</v>
      </c>
      <c r="D86" s="10" t="n">
        <f aca="false">'2026 Forecast A'!G34</f>
        <v>0.345794392523364</v>
      </c>
      <c r="E86" s="10" t="n">
        <f aca="false">'2026 Forecast B'!G34</f>
        <v>0.345794392523364</v>
      </c>
      <c r="F86" s="10" t="n">
        <f aca="false">'2026 Forecast C'!G34</f>
        <v>0.336448598130841</v>
      </c>
      <c r="G86" s="40" t="n">
        <f aca="false">(MAX(D86:F86)-MIN(D86:F86))*100</f>
        <v>0.934579439252337</v>
      </c>
      <c r="H86" s="41" t="n">
        <f aca="false">'2026 Forecast A'!L34</f>
        <v>3.35825924802223</v>
      </c>
      <c r="I86" s="41" t="n">
        <f aca="false">'2026 Forecast B'!L34</f>
        <v>3.28161064668305</v>
      </c>
      <c r="J86" s="41" t="n">
        <f aca="false">'2026 Forecast C'!L34</f>
        <v>3.51519956975275</v>
      </c>
      <c r="K86" s="18" t="n">
        <f aca="false">'2026 Forecast A'!F34</f>
        <v>107</v>
      </c>
      <c r="L86" s="42" t="str">
        <f aca="false">IF(OR(AND(D86&gt;0.5,E86&gt;0.5,F86&gt;0.5),AND(D86&lt;0.5,E86&lt;0.5,F86&lt;0.5)),"Yes","No — toss-up")</f>
        <v>Yes</v>
      </c>
    </row>
    <row r="87" customFormat="false" ht="15" hidden="false" customHeight="false" outlineLevel="0" collapsed="false">
      <c r="A87" s="9" t="str">
        <f aca="false">'2026 Forecast A'!A35</f>
        <v>Lehigh</v>
      </c>
      <c r="B87" s="9" t="str">
        <f aca="false">'2026 Forecast A'!B35</f>
        <v>ALBURTIS</v>
      </c>
      <c r="C87" s="9" t="str">
        <f aca="false">'2026 Forecast A'!C35</f>
        <v>(whole municipality)</v>
      </c>
      <c r="D87" s="10" t="n">
        <f aca="false">'2026 Forecast A'!G35</f>
        <v>0.468426013195099</v>
      </c>
      <c r="E87" s="10" t="n">
        <f aca="false">'2026 Forecast B'!G35</f>
        <v>0.46559849198869</v>
      </c>
      <c r="F87" s="10" t="n">
        <f aca="false">'2026 Forecast C'!G35</f>
        <v>0.46559849198869</v>
      </c>
      <c r="G87" s="40" t="n">
        <f aca="false">(MAX(D87:F87)-MIN(D87:F87))*100</f>
        <v>0.282752120640906</v>
      </c>
      <c r="H87" s="41" t="n">
        <f aca="false">'2026 Forecast A'!L35</f>
        <v>3.35825924802223</v>
      </c>
      <c r="I87" s="41" t="n">
        <f aca="false">'2026 Forecast B'!L35</f>
        <v>3.28161064668305</v>
      </c>
      <c r="J87" s="41" t="n">
        <f aca="false">'2026 Forecast C'!L35</f>
        <v>3.51519956975275</v>
      </c>
      <c r="K87" s="18" t="n">
        <f aca="false">'2026 Forecast A'!F35</f>
        <v>1061</v>
      </c>
      <c r="L87" s="42" t="str">
        <f aca="false">IF(OR(AND(D87&gt;0.5,E87&gt;0.5,F87&gt;0.5),AND(D87&lt;0.5,E87&lt;0.5,F87&lt;0.5)),"Yes","No — toss-up")</f>
        <v>Yes</v>
      </c>
    </row>
    <row r="88" customFormat="false" ht="15" hidden="false" customHeight="false" outlineLevel="0" collapsed="false">
      <c r="A88" s="9" t="str">
        <f aca="false">'2026 Forecast A'!A36</f>
        <v>Lehigh</v>
      </c>
      <c r="B88" s="9" t="str">
        <f aca="false">'2026 Forecast A'!B36</f>
        <v>ALLENTOWN</v>
      </c>
      <c r="C88" s="9" t="str">
        <f aca="false">'2026 Forecast A'!C36</f>
        <v>(whole municipality)</v>
      </c>
      <c r="D88" s="10" t="n">
        <f aca="false">'2026 Forecast A'!G36</f>
        <v>0.654948173255035</v>
      </c>
      <c r="E88" s="10" t="n">
        <f aca="false">'2026 Forecast B'!G36</f>
        <v>0.649982264611989</v>
      </c>
      <c r="F88" s="10" t="n">
        <f aca="false">'2026 Forecast C'!G36</f>
        <v>0.668545304063374</v>
      </c>
      <c r="G88" s="40" t="n">
        <f aca="false">(MAX(D88:F88)-MIN(D88:F88))*100</f>
        <v>1.85630394513853</v>
      </c>
      <c r="H88" s="41" t="n">
        <f aca="false">'2026 Forecast A'!L36</f>
        <v>2.40212857654826</v>
      </c>
      <c r="I88" s="41" t="n">
        <f aca="false">'2026 Forecast B'!L36</f>
        <v>2.25993932789826</v>
      </c>
      <c r="J88" s="41" t="n">
        <f aca="false">'2026 Forecast C'!L36</f>
        <v>2.45698128876881</v>
      </c>
      <c r="K88" s="18" t="n">
        <f aca="false">'2026 Forecast A'!F36</f>
        <v>25373</v>
      </c>
      <c r="L88" s="42" t="str">
        <f aca="false">IF(OR(AND(D88&gt;0.5,E88&gt;0.5,F88&gt;0.5),AND(D88&lt;0.5,E88&lt;0.5,F88&lt;0.5)),"Yes","No — toss-up")</f>
        <v>Yes</v>
      </c>
    </row>
    <row r="89" customFormat="false" ht="15" hidden="false" customHeight="false" outlineLevel="0" collapsed="false">
      <c r="A89" s="9" t="str">
        <f aca="false">'2026 Forecast A'!A37</f>
        <v>Lehigh</v>
      </c>
      <c r="B89" s="9" t="str">
        <f aca="false">'2026 Forecast A'!B37</f>
        <v>BETHLEHEM</v>
      </c>
      <c r="C89" s="9" t="str">
        <f aca="false">'2026 Forecast A'!C37</f>
        <v>(whole municipality)</v>
      </c>
      <c r="D89" s="10" t="n">
        <f aca="false">'2026 Forecast A'!G37</f>
        <v>0.635451924282312</v>
      </c>
      <c r="E89" s="10" t="n">
        <f aca="false">'2026 Forecast B'!G37</f>
        <v>0.635828005515858</v>
      </c>
      <c r="F89" s="10" t="n">
        <f aca="false">'2026 Forecast C'!G37</f>
        <v>0.646859721699887</v>
      </c>
      <c r="G89" s="40" t="n">
        <f aca="false">(MAX(D89:F89)-MIN(D89:F89))*100</f>
        <v>1.14077974175755</v>
      </c>
      <c r="H89" s="41" t="n">
        <f aca="false">'2026 Forecast A'!L37</f>
        <v>2.40212857654826</v>
      </c>
      <c r="I89" s="41" t="n">
        <f aca="false">'2026 Forecast B'!L37</f>
        <v>2.25993932789826</v>
      </c>
      <c r="J89" s="41" t="n">
        <f aca="false">'2026 Forecast C'!L37</f>
        <v>2.45698128876881</v>
      </c>
      <c r="K89" s="18" t="n">
        <f aca="false">'2026 Forecast A'!F37</f>
        <v>7977</v>
      </c>
      <c r="L89" s="42" t="str">
        <f aca="false">IF(OR(AND(D89&gt;0.5,E89&gt;0.5,F89&gt;0.5),AND(D89&lt;0.5,E89&lt;0.5,F89&lt;0.5)),"Yes","No — toss-up")</f>
        <v>Yes</v>
      </c>
    </row>
    <row r="90" customFormat="false" ht="15" hidden="false" customHeight="false" outlineLevel="0" collapsed="false">
      <c r="A90" s="9" t="str">
        <f aca="false">'2026 Forecast A'!A38</f>
        <v>Lehigh</v>
      </c>
      <c r="B90" s="9" t="str">
        <f aca="false">'2026 Forecast A'!B38</f>
        <v>CATASAUQUA</v>
      </c>
      <c r="C90" s="9" t="str">
        <f aca="false">'2026 Forecast A'!C38</f>
        <v>(whole municipality)</v>
      </c>
      <c r="D90" s="10" t="n">
        <f aca="false">'2026 Forecast A'!G38</f>
        <v>0.52157943067034</v>
      </c>
      <c r="E90" s="10" t="n">
        <f aca="false">'2026 Forecast B'!G38</f>
        <v>0.517906336088154</v>
      </c>
      <c r="F90" s="10" t="n">
        <f aca="false">'2026 Forecast C'!G38</f>
        <v>0.522038567493113</v>
      </c>
      <c r="G90" s="40" t="n">
        <f aca="false">(MAX(D90:F90)-MIN(D90:F90))*100</f>
        <v>0.413223140495866</v>
      </c>
      <c r="H90" s="41" t="n">
        <f aca="false">'2026 Forecast A'!L38</f>
        <v>2.33474301775677</v>
      </c>
      <c r="I90" s="41" t="n">
        <f aca="false">'2026 Forecast B'!L38</f>
        <v>2.3905596931527</v>
      </c>
      <c r="J90" s="41" t="n">
        <f aca="false">'2026 Forecast C'!L38</f>
        <v>2.67714402909289</v>
      </c>
      <c r="K90" s="18" t="n">
        <f aca="false">'2026 Forecast A'!F38</f>
        <v>2178</v>
      </c>
      <c r="L90" s="42" t="str">
        <f aca="false">IF(OR(AND(D90&gt;0.5,E90&gt;0.5,F90&gt;0.5),AND(D90&lt;0.5,E90&lt;0.5,F90&lt;0.5)),"Yes","No — toss-up")</f>
        <v>Yes</v>
      </c>
    </row>
    <row r="91" customFormat="false" ht="15" hidden="false" customHeight="false" outlineLevel="0" collapsed="false">
      <c r="A91" s="9" t="str">
        <f aca="false">'2026 Forecast A'!A39</f>
        <v>Lehigh</v>
      </c>
      <c r="B91" s="9" t="str">
        <f aca="false">'2026 Forecast A'!B39</f>
        <v>COOPERSBURG</v>
      </c>
      <c r="C91" s="9" t="str">
        <f aca="false">'2026 Forecast A'!C39</f>
        <v>(whole municipality)</v>
      </c>
      <c r="D91" s="10" t="n">
        <f aca="false">'2026 Forecast A'!G39</f>
        <v>0.48503937007874</v>
      </c>
      <c r="E91" s="10" t="n">
        <f aca="false">'2026 Forecast B'!G39</f>
        <v>0.489763779527559</v>
      </c>
      <c r="F91" s="10" t="n">
        <f aca="false">'2026 Forecast C'!G39</f>
        <v>0.481889763779528</v>
      </c>
      <c r="G91" s="40" t="n">
        <f aca="false">(MAX(D91:F91)-MIN(D91:F91))*100</f>
        <v>0.787401574803148</v>
      </c>
      <c r="H91" s="41" t="n">
        <f aca="false">'2026 Forecast A'!L39</f>
        <v>2.33474301775677</v>
      </c>
      <c r="I91" s="41" t="n">
        <f aca="false">'2026 Forecast B'!L39</f>
        <v>2.3905596931527</v>
      </c>
      <c r="J91" s="41" t="n">
        <f aca="false">'2026 Forecast C'!L39</f>
        <v>2.67714402909289</v>
      </c>
      <c r="K91" s="18" t="n">
        <f aca="false">'2026 Forecast A'!F39</f>
        <v>1270</v>
      </c>
      <c r="L91" s="42" t="str">
        <f aca="false">IF(OR(AND(D91&gt;0.5,E91&gt;0.5,F91&gt;0.5),AND(D91&lt;0.5,E91&lt;0.5,F91&lt;0.5)),"Yes","No — toss-up")</f>
        <v>Yes</v>
      </c>
    </row>
    <row r="92" customFormat="false" ht="15" hidden="false" customHeight="false" outlineLevel="0" collapsed="false">
      <c r="A92" s="9" t="str">
        <f aca="false">'2026 Forecast A'!A40</f>
        <v>Lehigh</v>
      </c>
      <c r="B92" s="9" t="str">
        <f aca="false">'2026 Forecast A'!B40</f>
        <v>COPLAY</v>
      </c>
      <c r="C92" s="9" t="str">
        <f aca="false">'2026 Forecast A'!C40</f>
        <v>(whole municipality)</v>
      </c>
      <c r="D92" s="10" t="n">
        <f aca="false">'2026 Forecast A'!G40</f>
        <v>0.516129032258065</v>
      </c>
      <c r="E92" s="10" t="n">
        <f aca="false">'2026 Forecast B'!G40</f>
        <v>0.522727272727273</v>
      </c>
      <c r="F92" s="10" t="n">
        <f aca="false">'2026 Forecast C'!G40</f>
        <v>0.516129032258065</v>
      </c>
      <c r="G92" s="40" t="n">
        <f aca="false">(MAX(D92:F92)-MIN(D92:F92))*100</f>
        <v>0.659824046920821</v>
      </c>
      <c r="H92" s="41" t="n">
        <f aca="false">'2026 Forecast A'!L40</f>
        <v>2.33474301775677</v>
      </c>
      <c r="I92" s="41" t="n">
        <f aca="false">'2026 Forecast B'!L40</f>
        <v>2.3905596931527</v>
      </c>
      <c r="J92" s="41" t="n">
        <f aca="false">'2026 Forecast C'!L40</f>
        <v>2.67714402909289</v>
      </c>
      <c r="K92" s="18" t="n">
        <f aca="false">'2026 Forecast A'!F40</f>
        <v>1364</v>
      </c>
      <c r="L92" s="42" t="str">
        <f aca="false">IF(OR(AND(D92&gt;0.5,E92&gt;0.5,F92&gt;0.5),AND(D92&lt;0.5,E92&lt;0.5,F92&lt;0.5)),"Yes","No — toss-up")</f>
        <v>Yes</v>
      </c>
    </row>
    <row r="93" customFormat="false" ht="15" hidden="false" customHeight="false" outlineLevel="0" collapsed="false">
      <c r="A93" s="9" t="str">
        <f aca="false">'2026 Forecast A'!A41</f>
        <v>Lehigh</v>
      </c>
      <c r="B93" s="9" t="str">
        <f aca="false">'2026 Forecast A'!B41</f>
        <v>EMMAUS</v>
      </c>
      <c r="C93" s="9" t="str">
        <f aca="false">'2026 Forecast A'!C41</f>
        <v>(whole municipality)</v>
      </c>
      <c r="D93" s="10" t="n">
        <f aca="false">'2026 Forecast A'!G41</f>
        <v>0.538418708240535</v>
      </c>
      <c r="E93" s="10" t="n">
        <f aca="false">'2026 Forecast B'!G41</f>
        <v>0.543801039346696</v>
      </c>
      <c r="F93" s="10" t="n">
        <f aca="false">'2026 Forecast C'!G41</f>
        <v>0.539903489235338</v>
      </c>
      <c r="G93" s="40" t="n">
        <f aca="false">(MAX(D93:F93)-MIN(D93:F93))*100</f>
        <v>0.538233110616182</v>
      </c>
      <c r="H93" s="41" t="n">
        <f aca="false">'2026 Forecast A'!L41</f>
        <v>2.40212857654826</v>
      </c>
      <c r="I93" s="41" t="n">
        <f aca="false">'2026 Forecast B'!L41</f>
        <v>2.25993932789826</v>
      </c>
      <c r="J93" s="41" t="n">
        <f aca="false">'2026 Forecast C'!L41</f>
        <v>2.45698128876881</v>
      </c>
      <c r="K93" s="18" t="n">
        <f aca="false">'2026 Forecast A'!F41</f>
        <v>5388</v>
      </c>
      <c r="L93" s="42" t="str">
        <f aca="false">IF(OR(AND(D93&gt;0.5,E93&gt;0.5,F93&gt;0.5),AND(D93&lt;0.5,E93&lt;0.5,F93&lt;0.5)),"Yes","No — toss-up")</f>
        <v>Yes</v>
      </c>
    </row>
    <row r="94" customFormat="false" ht="15" hidden="false" customHeight="false" outlineLevel="0" collapsed="false">
      <c r="A94" s="9" t="str">
        <f aca="false">'2026 Forecast A'!A42</f>
        <v>Lehigh</v>
      </c>
      <c r="B94" s="9" t="str">
        <f aca="false">'2026 Forecast A'!B42</f>
        <v>FOUNTAIN HILL</v>
      </c>
      <c r="C94" s="9" t="str">
        <f aca="false">'2026 Forecast A'!C42</f>
        <v>(whole municipality)</v>
      </c>
      <c r="D94" s="10" t="n">
        <f aca="false">'2026 Forecast A'!G42</f>
        <v>0.657943925233645</v>
      </c>
      <c r="E94" s="10" t="n">
        <f aca="false">'2026 Forecast B'!G42</f>
        <v>0.656697819314642</v>
      </c>
      <c r="F94" s="10" t="n">
        <f aca="false">'2026 Forecast C'!G42</f>
        <v>0.671028037383178</v>
      </c>
      <c r="G94" s="40" t="n">
        <f aca="false">(MAX(D94:F94)-MIN(D94:F94))*100</f>
        <v>1.43302180685359</v>
      </c>
      <c r="H94" s="41" t="n">
        <f aca="false">'2026 Forecast A'!L42</f>
        <v>2.33474301775677</v>
      </c>
      <c r="I94" s="41" t="n">
        <f aca="false">'2026 Forecast B'!L42</f>
        <v>2.3905596931527</v>
      </c>
      <c r="J94" s="41" t="n">
        <f aca="false">'2026 Forecast C'!L42</f>
        <v>2.67714402909289</v>
      </c>
      <c r="K94" s="18" t="n">
        <f aca="false">'2026 Forecast A'!F42</f>
        <v>1605</v>
      </c>
      <c r="L94" s="42" t="str">
        <f aca="false">IF(OR(AND(D94&gt;0.5,E94&gt;0.5,F94&gt;0.5),AND(D94&lt;0.5,E94&lt;0.5,F94&lt;0.5)),"Yes","No — toss-up")</f>
        <v>Yes</v>
      </c>
    </row>
    <row r="95" customFormat="false" ht="15" hidden="false" customHeight="false" outlineLevel="0" collapsed="false">
      <c r="A95" s="9" t="str">
        <f aca="false">'2026 Forecast A'!A43</f>
        <v>Lehigh</v>
      </c>
      <c r="B95" s="9" t="str">
        <f aca="false">'2026 Forecast A'!B43</f>
        <v>HANOVER</v>
      </c>
      <c r="C95" s="9" t="str">
        <f aca="false">'2026 Forecast A'!C43</f>
        <v>(whole municipality)</v>
      </c>
      <c r="D95" s="10" t="n">
        <f aca="false">'2026 Forecast A'!G43</f>
        <v>0.539256198347108</v>
      </c>
      <c r="E95" s="10" t="n">
        <f aca="false">'2026 Forecast B'!G43</f>
        <v>0.541322314049587</v>
      </c>
      <c r="F95" s="10" t="n">
        <f aca="false">'2026 Forecast C'!G43</f>
        <v>0.541322314049587</v>
      </c>
      <c r="G95" s="40" t="n">
        <f aca="false">(MAX(D95:F95)-MIN(D95:F95))*100</f>
        <v>0.206611570247928</v>
      </c>
      <c r="H95" s="41" t="n">
        <f aca="false">'2026 Forecast A'!L43</f>
        <v>3.35825924802223</v>
      </c>
      <c r="I95" s="41" t="n">
        <f aca="false">'2026 Forecast B'!L43</f>
        <v>3.28161064668305</v>
      </c>
      <c r="J95" s="41" t="n">
        <f aca="false">'2026 Forecast C'!L43</f>
        <v>3.51519956975275</v>
      </c>
      <c r="K95" s="18" t="n">
        <f aca="false">'2026 Forecast A'!F43</f>
        <v>484</v>
      </c>
      <c r="L95" s="42" t="str">
        <f aca="false">IF(OR(AND(D95&gt;0.5,E95&gt;0.5,F95&gt;0.5),AND(D95&lt;0.5,E95&lt;0.5,F95&lt;0.5)),"Yes","No — toss-up")</f>
        <v>Yes</v>
      </c>
    </row>
    <row r="96" customFormat="false" ht="15" hidden="false" customHeight="false" outlineLevel="0" collapsed="false">
      <c r="A96" s="9" t="str">
        <f aca="false">'2026 Forecast A'!A44</f>
        <v>Lehigh</v>
      </c>
      <c r="B96" s="9" t="str">
        <f aca="false">'2026 Forecast A'!B44</f>
        <v>HEIDELBERG</v>
      </c>
      <c r="C96" s="9" t="str">
        <f aca="false">'2026 Forecast A'!C44</f>
        <v>(whole municipality)</v>
      </c>
      <c r="D96" s="10" t="n">
        <f aca="false">'2026 Forecast A'!G44</f>
        <v>0.32106216053108</v>
      </c>
      <c r="E96" s="10" t="n">
        <f aca="false">'2026 Forecast B'!G44</f>
        <v>0.322872661436331</v>
      </c>
      <c r="F96" s="10" t="n">
        <f aca="false">'2026 Forecast C'!G44</f>
        <v>0.310802655401328</v>
      </c>
      <c r="G96" s="40" t="n">
        <f aca="false">(MAX(D96:F96)-MIN(D96:F96))*100</f>
        <v>1.2070006035003</v>
      </c>
      <c r="H96" s="41" t="n">
        <f aca="false">'2026 Forecast A'!L44</f>
        <v>2.33474301775677</v>
      </c>
      <c r="I96" s="41" t="n">
        <f aca="false">'2026 Forecast B'!L44</f>
        <v>2.3905596931527</v>
      </c>
      <c r="J96" s="41" t="n">
        <f aca="false">'2026 Forecast C'!L44</f>
        <v>2.67714402909289</v>
      </c>
      <c r="K96" s="18" t="n">
        <f aca="false">'2026 Forecast A'!F44</f>
        <v>1657</v>
      </c>
      <c r="L96" s="42" t="str">
        <f aca="false">IF(OR(AND(D96&gt;0.5,E96&gt;0.5,F96&gt;0.5),AND(D96&lt;0.5,E96&lt;0.5,F96&lt;0.5)),"Yes","No — toss-up")</f>
        <v>Yes</v>
      </c>
    </row>
    <row r="97" customFormat="false" ht="15" hidden="false" customHeight="false" outlineLevel="0" collapsed="false">
      <c r="A97" s="9" t="str">
        <f aca="false">'2026 Forecast A'!A45</f>
        <v>Lehigh</v>
      </c>
      <c r="B97" s="9" t="str">
        <f aca="false">'2026 Forecast A'!B45</f>
        <v>LOWER MACUNGIE</v>
      </c>
      <c r="C97" s="9" t="str">
        <f aca="false">'2026 Forecast A'!C45</f>
        <v>(whole municipality)</v>
      </c>
      <c r="D97" s="10" t="n">
        <f aca="false">'2026 Forecast A'!G45</f>
        <v>0.506764615855525</v>
      </c>
      <c r="E97" s="10" t="n">
        <f aca="false">'2026 Forecast B'!G45</f>
        <v>0.506703397612489</v>
      </c>
      <c r="F97" s="10" t="n">
        <f aca="false">'2026 Forecast C'!G45</f>
        <v>0.504866850321396</v>
      </c>
      <c r="G97" s="40" t="n">
        <f aca="false">(MAX(D97:F97)-MIN(D97:F97))*100</f>
        <v>0.189776553412913</v>
      </c>
      <c r="H97" s="41" t="n">
        <f aca="false">'2026 Forecast A'!L45</f>
        <v>2.40212857654826</v>
      </c>
      <c r="I97" s="41" t="n">
        <f aca="false">'2026 Forecast B'!L45</f>
        <v>2.25993932789826</v>
      </c>
      <c r="J97" s="41" t="n">
        <f aca="false">'2026 Forecast C'!L45</f>
        <v>2.45698128876881</v>
      </c>
      <c r="K97" s="18" t="n">
        <f aca="false">'2026 Forecast A'!F45</f>
        <v>16335</v>
      </c>
      <c r="L97" s="42" t="str">
        <f aca="false">IF(OR(AND(D97&gt;0.5,E97&gt;0.5,F97&gt;0.5),AND(D97&lt;0.5,E97&lt;0.5,F97&lt;0.5)),"Yes","No — toss-up")</f>
        <v>Yes</v>
      </c>
    </row>
    <row r="98" customFormat="false" ht="15" hidden="false" customHeight="false" outlineLevel="0" collapsed="false">
      <c r="A98" s="9" t="str">
        <f aca="false">'2026 Forecast A'!A46</f>
        <v>Lehigh</v>
      </c>
      <c r="B98" s="9" t="str">
        <f aca="false">'2026 Forecast A'!B46</f>
        <v>LOWER MILFORD</v>
      </c>
      <c r="C98" s="9" t="str">
        <f aca="false">'2026 Forecast A'!C46</f>
        <v>(whole municipality)</v>
      </c>
      <c r="D98" s="10" t="n">
        <f aca="false">'2026 Forecast A'!G46</f>
        <v>0.379764065335753</v>
      </c>
      <c r="E98" s="10" t="n">
        <f aca="false">'2026 Forecast B'!G46</f>
        <v>0.380671506352087</v>
      </c>
      <c r="F98" s="10" t="n">
        <f aca="false">'2026 Forecast C'!G46</f>
        <v>0.371143375680581</v>
      </c>
      <c r="G98" s="40" t="n">
        <f aca="false">(MAX(D98:F98)-MIN(D98:F98))*100</f>
        <v>0.952813067150637</v>
      </c>
      <c r="H98" s="41" t="n">
        <f aca="false">'2026 Forecast A'!L46</f>
        <v>2.33474301775677</v>
      </c>
      <c r="I98" s="41" t="n">
        <f aca="false">'2026 Forecast B'!L46</f>
        <v>2.3905596931527</v>
      </c>
      <c r="J98" s="41" t="n">
        <f aca="false">'2026 Forecast C'!L46</f>
        <v>2.67714402909289</v>
      </c>
      <c r="K98" s="18" t="n">
        <f aca="false">'2026 Forecast A'!F46</f>
        <v>2204</v>
      </c>
      <c r="L98" s="42" t="str">
        <f aca="false">IF(OR(AND(D98&gt;0.5,E98&gt;0.5,F98&gt;0.5),AND(D98&lt;0.5,E98&lt;0.5,F98&lt;0.5)),"Yes","No — toss-up")</f>
        <v>Yes</v>
      </c>
    </row>
    <row r="99" customFormat="false" ht="15" hidden="false" customHeight="false" outlineLevel="0" collapsed="false">
      <c r="A99" s="9" t="str">
        <f aca="false">'2026 Forecast A'!A47</f>
        <v>Lehigh</v>
      </c>
      <c r="B99" s="9" t="str">
        <f aca="false">'2026 Forecast A'!B47</f>
        <v>LOWHILL</v>
      </c>
      <c r="C99" s="9" t="str">
        <f aca="false">'2026 Forecast A'!C47</f>
        <v>(whole municipality)</v>
      </c>
      <c r="D99" s="10" t="n">
        <f aca="false">'2026 Forecast A'!G47</f>
        <v>0.361358124494745</v>
      </c>
      <c r="E99" s="10" t="n">
        <f aca="false">'2026 Forecast B'!G47</f>
        <v>0.366208569118836</v>
      </c>
      <c r="F99" s="10" t="n">
        <f aca="false">'2026 Forecast C'!G47</f>
        <v>0.351657235246564</v>
      </c>
      <c r="G99" s="40" t="n">
        <f aca="false">(MAX(D99:F99)-MIN(D99:F99))*100</f>
        <v>1.45513338722716</v>
      </c>
      <c r="H99" s="41" t="n">
        <f aca="false">'2026 Forecast A'!L47</f>
        <v>3.35825924802223</v>
      </c>
      <c r="I99" s="41" t="n">
        <f aca="false">'2026 Forecast B'!L47</f>
        <v>3.28161064668305</v>
      </c>
      <c r="J99" s="41" t="n">
        <f aca="false">'2026 Forecast C'!L47</f>
        <v>3.51519956975275</v>
      </c>
      <c r="K99" s="18" t="n">
        <f aca="false">'2026 Forecast A'!F47</f>
        <v>1237</v>
      </c>
      <c r="L99" s="42" t="str">
        <f aca="false">IF(OR(AND(D99&gt;0.5,E99&gt;0.5,F99&gt;0.5),AND(D99&lt;0.5,E99&lt;0.5,F99&lt;0.5)),"Yes","No — toss-up")</f>
        <v>Yes</v>
      </c>
    </row>
    <row r="100" customFormat="false" ht="15" hidden="false" customHeight="false" outlineLevel="0" collapsed="false">
      <c r="A100" s="9" t="str">
        <f aca="false">'2026 Forecast A'!A48</f>
        <v>Lehigh</v>
      </c>
      <c r="B100" s="9" t="str">
        <f aca="false">'2026 Forecast A'!B48</f>
        <v>LYNN</v>
      </c>
      <c r="C100" s="9" t="str">
        <f aca="false">'2026 Forecast A'!C48</f>
        <v>(whole municipality)</v>
      </c>
      <c r="D100" s="10" t="n">
        <f aca="false">'2026 Forecast A'!G48</f>
        <v>0.317518248175183</v>
      </c>
      <c r="E100" s="10" t="n">
        <f aca="false">'2026 Forecast B'!G48</f>
        <v>0.315693430656934</v>
      </c>
      <c r="F100" s="10" t="n">
        <f aca="false">'2026 Forecast C'!G48</f>
        <v>0.307025547445255</v>
      </c>
      <c r="G100" s="40" t="n">
        <f aca="false">(MAX(D100:F100)-MIN(D100:F100))*100</f>
        <v>1.0492700729927</v>
      </c>
      <c r="H100" s="41" t="n">
        <f aca="false">'2026 Forecast A'!L48</f>
        <v>2.33474301775677</v>
      </c>
      <c r="I100" s="41" t="n">
        <f aca="false">'2026 Forecast B'!L48</f>
        <v>2.3905596931527</v>
      </c>
      <c r="J100" s="41" t="n">
        <f aca="false">'2026 Forecast C'!L48</f>
        <v>2.67714402909289</v>
      </c>
      <c r="K100" s="18" t="n">
        <f aca="false">'2026 Forecast A'!F48</f>
        <v>2192</v>
      </c>
      <c r="L100" s="42" t="str">
        <f aca="false">IF(OR(AND(D100&gt;0.5,E100&gt;0.5,F100&gt;0.5),AND(D100&lt;0.5,E100&lt;0.5,F100&lt;0.5)),"Yes","No — toss-up")</f>
        <v>Yes</v>
      </c>
    </row>
    <row r="101" customFormat="false" ht="15" hidden="false" customHeight="false" outlineLevel="0" collapsed="false">
      <c r="A101" s="9" t="str">
        <f aca="false">'2026 Forecast A'!A49</f>
        <v>Lehigh</v>
      </c>
      <c r="B101" s="9" t="str">
        <f aca="false">'2026 Forecast A'!B49</f>
        <v>MACUNGIE</v>
      </c>
      <c r="C101" s="9" t="str">
        <f aca="false">'2026 Forecast A'!C49</f>
        <v>(whole municipality)</v>
      </c>
      <c r="D101" s="10" t="n">
        <f aca="false">'2026 Forecast A'!G49</f>
        <v>0.534038334434898</v>
      </c>
      <c r="E101" s="10" t="n">
        <f aca="false">'2026 Forecast B'!G49</f>
        <v>0.53536021150033</v>
      </c>
      <c r="F101" s="10" t="n">
        <f aca="false">'2026 Forecast C'!G49</f>
        <v>0.534038334434898</v>
      </c>
      <c r="G101" s="40" t="n">
        <f aca="false">(MAX(D101:F101)-MIN(D101:F101))*100</f>
        <v>0.132187706543285</v>
      </c>
      <c r="H101" s="41" t="n">
        <f aca="false">'2026 Forecast A'!L49</f>
        <v>2.33474301775677</v>
      </c>
      <c r="I101" s="41" t="n">
        <f aca="false">'2026 Forecast B'!L49</f>
        <v>2.3905596931527</v>
      </c>
      <c r="J101" s="41" t="n">
        <f aca="false">'2026 Forecast C'!L49</f>
        <v>2.67714402909289</v>
      </c>
      <c r="K101" s="18" t="n">
        <f aca="false">'2026 Forecast A'!F49</f>
        <v>1513</v>
      </c>
      <c r="L101" s="42" t="str">
        <f aca="false">IF(OR(AND(D101&gt;0.5,E101&gt;0.5,F101&gt;0.5),AND(D101&lt;0.5,E101&lt;0.5,F101&lt;0.5)),"Yes","No — toss-up")</f>
        <v>Yes</v>
      </c>
    </row>
    <row r="102" customFormat="false" ht="15" hidden="false" customHeight="false" outlineLevel="0" collapsed="false">
      <c r="A102" s="9" t="str">
        <f aca="false">'2026 Forecast A'!A50</f>
        <v>Lehigh</v>
      </c>
      <c r="B102" s="9" t="str">
        <f aca="false">'2026 Forecast A'!B50</f>
        <v>NORTH WHITEHALL</v>
      </c>
      <c r="C102" s="9" t="str">
        <f aca="false">'2026 Forecast A'!C50</f>
        <v>(whole municipality)</v>
      </c>
      <c r="D102" s="10" t="n">
        <f aca="false">'2026 Forecast A'!G50</f>
        <v>0.420286184627074</v>
      </c>
      <c r="E102" s="10" t="n">
        <f aca="false">'2026 Forecast B'!G50</f>
        <v>0.411295428643789</v>
      </c>
      <c r="F102" s="10" t="n">
        <f aca="false">'2026 Forecast C'!G50</f>
        <v>0.415220969988603</v>
      </c>
      <c r="G102" s="40" t="n">
        <f aca="false">(MAX(D102:F102)-MIN(D102:F102))*100</f>
        <v>0.89907559832848</v>
      </c>
      <c r="H102" s="41" t="n">
        <f aca="false">'2026 Forecast A'!L50</f>
        <v>2.40212857654826</v>
      </c>
      <c r="I102" s="41" t="n">
        <f aca="false">'2026 Forecast B'!L50</f>
        <v>2.25993932789826</v>
      </c>
      <c r="J102" s="41" t="n">
        <f aca="false">'2026 Forecast C'!L50</f>
        <v>2.45698128876881</v>
      </c>
      <c r="K102" s="18" t="n">
        <f aca="false">'2026 Forecast A'!F50</f>
        <v>7897</v>
      </c>
      <c r="L102" s="42" t="str">
        <f aca="false">IF(OR(AND(D102&gt;0.5,E102&gt;0.5,F102&gt;0.5),AND(D102&lt;0.5,E102&lt;0.5,F102&lt;0.5)),"Yes","No — toss-up")</f>
        <v>Yes</v>
      </c>
    </row>
    <row r="103" customFormat="false" ht="15" hidden="false" customHeight="false" outlineLevel="0" collapsed="false">
      <c r="A103" s="9" t="str">
        <f aca="false">'2026 Forecast A'!A51</f>
        <v>Lehigh</v>
      </c>
      <c r="B103" s="9" t="str">
        <f aca="false">'2026 Forecast A'!B51</f>
        <v>SALISBURY</v>
      </c>
      <c r="C103" s="9" t="str">
        <f aca="false">'2026 Forecast A'!C51</f>
        <v>(whole municipality)</v>
      </c>
      <c r="D103" s="10" t="n">
        <f aca="false">'2026 Forecast A'!G51</f>
        <v>0.502954898911353</v>
      </c>
      <c r="E103" s="10" t="n">
        <f aca="false">'2026 Forecast B'!G51</f>
        <v>0.503421461897356</v>
      </c>
      <c r="F103" s="10" t="n">
        <f aca="false">'2026 Forecast C'!G51</f>
        <v>0.501555209953344</v>
      </c>
      <c r="G103" s="40" t="n">
        <f aca="false">(MAX(D103:F103)-MIN(D103:F103))*100</f>
        <v>0.186625194401246</v>
      </c>
      <c r="H103" s="41" t="n">
        <f aca="false">'2026 Forecast A'!L51</f>
        <v>2.40212857654826</v>
      </c>
      <c r="I103" s="41" t="n">
        <f aca="false">'2026 Forecast B'!L51</f>
        <v>2.25993932789826</v>
      </c>
      <c r="J103" s="41" t="n">
        <f aca="false">'2026 Forecast C'!L51</f>
        <v>2.45698128876881</v>
      </c>
      <c r="K103" s="18" t="n">
        <f aca="false">'2026 Forecast A'!F51</f>
        <v>6430</v>
      </c>
      <c r="L103" s="42" t="str">
        <f aca="false">IF(OR(AND(D103&gt;0.5,E103&gt;0.5,F103&gt;0.5),AND(D103&lt;0.5,E103&lt;0.5,F103&lt;0.5)),"Yes","No — toss-up")</f>
        <v>Yes</v>
      </c>
    </row>
    <row r="104" customFormat="false" ht="15" hidden="false" customHeight="false" outlineLevel="0" collapsed="false">
      <c r="A104" s="9" t="str">
        <f aca="false">'2026 Forecast A'!A52</f>
        <v>Lehigh</v>
      </c>
      <c r="B104" s="9" t="str">
        <f aca="false">'2026 Forecast A'!B52</f>
        <v>SLATINGTON</v>
      </c>
      <c r="C104" s="9" t="str">
        <f aca="false">'2026 Forecast A'!C52</f>
        <v>(whole municipality)</v>
      </c>
      <c r="D104" s="10" t="n">
        <f aca="false">'2026 Forecast A'!G52</f>
        <v>0.425179856115108</v>
      </c>
      <c r="E104" s="10" t="n">
        <f aca="false">'2026 Forecast B'!G52</f>
        <v>0.43021582733813</v>
      </c>
      <c r="F104" s="10" t="n">
        <f aca="false">'2026 Forecast C'!G52</f>
        <v>0.42158273381295</v>
      </c>
      <c r="G104" s="40" t="n">
        <f aca="false">(MAX(D104:F104)-MIN(D104:F104))*100</f>
        <v>0.863309352517988</v>
      </c>
      <c r="H104" s="41" t="n">
        <f aca="false">'2026 Forecast A'!L52</f>
        <v>2.33474301775677</v>
      </c>
      <c r="I104" s="41" t="n">
        <f aca="false">'2026 Forecast B'!L52</f>
        <v>2.3905596931527</v>
      </c>
      <c r="J104" s="41" t="n">
        <f aca="false">'2026 Forecast C'!L52</f>
        <v>2.67714402909289</v>
      </c>
      <c r="K104" s="18" t="n">
        <f aca="false">'2026 Forecast A'!F52</f>
        <v>1390</v>
      </c>
      <c r="L104" s="42" t="str">
        <f aca="false">IF(OR(AND(D104&gt;0.5,E104&gt;0.5,F104&gt;0.5),AND(D104&lt;0.5,E104&lt;0.5,F104&lt;0.5)),"Yes","No — toss-up")</f>
        <v>Yes</v>
      </c>
    </row>
    <row r="105" customFormat="false" ht="15" hidden="false" customHeight="false" outlineLevel="0" collapsed="false">
      <c r="A105" s="9" t="str">
        <f aca="false">'2026 Forecast A'!A53</f>
        <v>Lehigh</v>
      </c>
      <c r="B105" s="9" t="str">
        <f aca="false">'2026 Forecast A'!B53</f>
        <v>SOUTH WHITEHALL</v>
      </c>
      <c r="C105" s="9" t="str">
        <f aca="false">'2026 Forecast A'!C53</f>
        <v>(whole municipality)</v>
      </c>
      <c r="D105" s="10" t="n">
        <f aca="false">'2026 Forecast A'!G53</f>
        <v>0.537192447072287</v>
      </c>
      <c r="E105" s="10" t="n">
        <f aca="false">'2026 Forecast B'!G53</f>
        <v>0.542818996757582</v>
      </c>
      <c r="F105" s="10" t="n">
        <f aca="false">'2026 Forecast C'!G53</f>
        <v>0.538527560556933</v>
      </c>
      <c r="G105" s="40" t="n">
        <f aca="false">(MAX(D105:F105)-MIN(D105:F105))*100</f>
        <v>0.562654968529464</v>
      </c>
      <c r="H105" s="41" t="n">
        <f aca="false">'2026 Forecast A'!L53</f>
        <v>2.40212857654826</v>
      </c>
      <c r="I105" s="41" t="n">
        <f aca="false">'2026 Forecast B'!L53</f>
        <v>2.25993932789826</v>
      </c>
      <c r="J105" s="41" t="n">
        <f aca="false">'2026 Forecast C'!L53</f>
        <v>2.45698128876881</v>
      </c>
      <c r="K105" s="18" t="n">
        <f aca="false">'2026 Forecast A'!F53</f>
        <v>10486</v>
      </c>
      <c r="L105" s="42" t="str">
        <f aca="false">IF(OR(AND(D105&gt;0.5,E105&gt;0.5,F105&gt;0.5),AND(D105&lt;0.5,E105&lt;0.5,F105&lt;0.5)),"Yes","No — toss-up")</f>
        <v>Yes</v>
      </c>
    </row>
    <row r="106" customFormat="false" ht="15" hidden="false" customHeight="false" outlineLevel="0" collapsed="false">
      <c r="A106" s="9" t="str">
        <f aca="false">'2026 Forecast A'!A54</f>
        <v>Lehigh</v>
      </c>
      <c r="B106" s="9" t="str">
        <f aca="false">'2026 Forecast A'!B54</f>
        <v>UPPER MACUNGIE</v>
      </c>
      <c r="C106" s="9" t="str">
        <f aca="false">'2026 Forecast A'!C54</f>
        <v>(whole municipality)</v>
      </c>
      <c r="D106" s="10" t="n">
        <f aca="false">'2026 Forecast A'!G54</f>
        <v>0.520448877805486</v>
      </c>
      <c r="E106" s="10" t="n">
        <f aca="false">'2026 Forecast B'!G54</f>
        <v>0.520365752285952</v>
      </c>
      <c r="F106" s="10" t="n">
        <f aca="false">'2026 Forecast C'!G54</f>
        <v>0.520615128844555</v>
      </c>
      <c r="G106" s="40" t="n">
        <f aca="false">(MAX(D106:F106)-MIN(D106:F106))*100</f>
        <v>0.0249376558603465</v>
      </c>
      <c r="H106" s="41" t="n">
        <f aca="false">'2026 Forecast A'!L54</f>
        <v>2.40212857654826</v>
      </c>
      <c r="I106" s="41" t="n">
        <f aca="false">'2026 Forecast B'!L54</f>
        <v>2.25993932789826</v>
      </c>
      <c r="J106" s="41" t="n">
        <f aca="false">'2026 Forecast C'!L54</f>
        <v>2.45698128876881</v>
      </c>
      <c r="K106" s="18" t="n">
        <f aca="false">'2026 Forecast A'!F54</f>
        <v>12030</v>
      </c>
      <c r="L106" s="42" t="str">
        <f aca="false">IF(OR(AND(D106&gt;0.5,E106&gt;0.5,F106&gt;0.5),AND(D106&lt;0.5,E106&lt;0.5,F106&lt;0.5)),"Yes","No — toss-up")</f>
        <v>Yes</v>
      </c>
    </row>
    <row r="107" customFormat="false" ht="15" hidden="false" customHeight="false" outlineLevel="0" collapsed="false">
      <c r="A107" s="9" t="str">
        <f aca="false">'2026 Forecast A'!A55</f>
        <v>Lehigh</v>
      </c>
      <c r="B107" s="9" t="str">
        <f aca="false">'2026 Forecast A'!B55</f>
        <v>UPPER MILFORD</v>
      </c>
      <c r="C107" s="9" t="str">
        <f aca="false">'2026 Forecast A'!C55</f>
        <v>(whole municipality)</v>
      </c>
      <c r="D107" s="10" t="n">
        <f aca="false">'2026 Forecast A'!G55</f>
        <v>0.439098396185522</v>
      </c>
      <c r="E107" s="10" t="n">
        <f aca="false">'2026 Forecast B'!G55</f>
        <v>0.432162982228002</v>
      </c>
      <c r="F107" s="10" t="n">
        <f aca="false">'2026 Forecast C'!G55</f>
        <v>0.433896835717382</v>
      </c>
      <c r="G107" s="40" t="n">
        <f aca="false">(MAX(D107:F107)-MIN(D107:F107))*100</f>
        <v>0.693541395752056</v>
      </c>
      <c r="H107" s="41" t="n">
        <f aca="false">'2026 Forecast A'!L55</f>
        <v>2.40212857654826</v>
      </c>
      <c r="I107" s="41" t="n">
        <f aca="false">'2026 Forecast B'!L55</f>
        <v>2.25993932789826</v>
      </c>
      <c r="J107" s="41" t="n">
        <f aca="false">'2026 Forecast C'!L55</f>
        <v>2.45698128876881</v>
      </c>
      <c r="K107" s="18" t="n">
        <f aca="false">'2026 Forecast A'!F55</f>
        <v>4614</v>
      </c>
      <c r="L107" s="42" t="str">
        <f aca="false">IF(OR(AND(D107&gt;0.5,E107&gt;0.5,F107&gt;0.5),AND(D107&lt;0.5,E107&lt;0.5,F107&lt;0.5)),"Yes","No — toss-up")</f>
        <v>Yes</v>
      </c>
    </row>
    <row r="108" customFormat="false" ht="15" hidden="false" customHeight="false" outlineLevel="0" collapsed="false">
      <c r="A108" s="9" t="str">
        <f aca="false">'2026 Forecast A'!A56</f>
        <v>Lehigh</v>
      </c>
      <c r="B108" s="9" t="str">
        <f aca="false">'2026 Forecast A'!B56</f>
        <v>UPPER SAUCON</v>
      </c>
      <c r="C108" s="9" t="str">
        <f aca="false">'2026 Forecast A'!C56</f>
        <v>(whole municipality)</v>
      </c>
      <c r="D108" s="10" t="n">
        <f aca="false">'2026 Forecast A'!G56</f>
        <v>0.492615582191781</v>
      </c>
      <c r="E108" s="10" t="n">
        <f aca="false">'2026 Forecast B'!G56</f>
        <v>0.48972602739726</v>
      </c>
      <c r="F108" s="10" t="n">
        <f aca="false">'2026 Forecast C'!G56</f>
        <v>0.490154109589041</v>
      </c>
      <c r="G108" s="40" t="n">
        <f aca="false">(MAX(D108:F108)-MIN(D108:F108))*100</f>
        <v>0.288955479452052</v>
      </c>
      <c r="H108" s="41" t="n">
        <f aca="false">'2026 Forecast A'!L56</f>
        <v>2.40212857654826</v>
      </c>
      <c r="I108" s="41" t="n">
        <f aca="false">'2026 Forecast B'!L56</f>
        <v>2.25993932789826</v>
      </c>
      <c r="J108" s="41" t="n">
        <f aca="false">'2026 Forecast C'!L56</f>
        <v>2.45698128876881</v>
      </c>
      <c r="K108" s="18" t="n">
        <f aca="false">'2026 Forecast A'!F56</f>
        <v>9344</v>
      </c>
      <c r="L108" s="42" t="str">
        <f aca="false">IF(OR(AND(D108&gt;0.5,E108&gt;0.5,F108&gt;0.5),AND(D108&lt;0.5,E108&lt;0.5,F108&lt;0.5)),"Yes","No — toss-up")</f>
        <v>Yes</v>
      </c>
    </row>
    <row r="109" customFormat="false" ht="15" hidden="false" customHeight="false" outlineLevel="0" collapsed="false">
      <c r="A109" s="9" t="str">
        <f aca="false">'2026 Forecast A'!A57</f>
        <v>Lehigh</v>
      </c>
      <c r="B109" s="9" t="str">
        <f aca="false">'2026 Forecast A'!B57</f>
        <v>WASHINGTON</v>
      </c>
      <c r="C109" s="9" t="str">
        <f aca="false">'2026 Forecast A'!C57</f>
        <v>(whole municipality)</v>
      </c>
      <c r="D109" s="10" t="n">
        <f aca="false">'2026 Forecast A'!G57</f>
        <v>0.338382210763777</v>
      </c>
      <c r="E109" s="10" t="n">
        <f aca="false">'2026 Forecast B'!G57</f>
        <v>0.338704479535933</v>
      </c>
      <c r="F109" s="10" t="n">
        <f aca="false">'2026 Forecast C'!G57</f>
        <v>0.328714147599098</v>
      </c>
      <c r="G109" s="40" t="n">
        <f aca="false">(MAX(D109:F109)-MIN(D109:F109))*100</f>
        <v>0.99903319368353</v>
      </c>
      <c r="H109" s="41" t="n">
        <f aca="false">'2026 Forecast A'!L57</f>
        <v>2.40212857654826</v>
      </c>
      <c r="I109" s="41" t="n">
        <f aca="false">'2026 Forecast B'!L57</f>
        <v>2.25993932789826</v>
      </c>
      <c r="J109" s="41" t="n">
        <f aca="false">'2026 Forecast C'!L57</f>
        <v>2.45698128876881</v>
      </c>
      <c r="K109" s="18" t="n">
        <f aca="false">'2026 Forecast A'!F57</f>
        <v>3103</v>
      </c>
      <c r="L109" s="42" t="str">
        <f aca="false">IF(OR(AND(D109&gt;0.5,E109&gt;0.5,F109&gt;0.5),AND(D109&lt;0.5,E109&lt;0.5,F109&lt;0.5)),"Yes","No — toss-up")</f>
        <v>Yes</v>
      </c>
    </row>
    <row r="110" customFormat="false" ht="15" hidden="false" customHeight="false" outlineLevel="0" collapsed="false">
      <c r="A110" s="9" t="str">
        <f aca="false">'2026 Forecast A'!A58</f>
        <v>Lehigh</v>
      </c>
      <c r="B110" s="9" t="str">
        <f aca="false">'2026 Forecast A'!B58</f>
        <v>WEISENBERG</v>
      </c>
      <c r="C110" s="9" t="str">
        <f aca="false">'2026 Forecast A'!C58</f>
        <v>(whole municipality)</v>
      </c>
      <c r="D110" s="10" t="n">
        <f aca="false">'2026 Forecast A'!G58</f>
        <v>0.354379562043796</v>
      </c>
      <c r="E110" s="10" t="n">
        <f aca="false">'2026 Forecast B'!G58</f>
        <v>0.35985401459854</v>
      </c>
      <c r="F110" s="10" t="n">
        <f aca="false">'2026 Forecast C'!G58</f>
        <v>0.344525547445256</v>
      </c>
      <c r="G110" s="40" t="n">
        <f aca="false">(MAX(D110:F110)-MIN(D110:F110))*100</f>
        <v>1.53284671532847</v>
      </c>
      <c r="H110" s="41" t="n">
        <f aca="false">'2026 Forecast A'!L58</f>
        <v>2.33474301775677</v>
      </c>
      <c r="I110" s="41" t="n">
        <f aca="false">'2026 Forecast B'!L58</f>
        <v>2.3905596931527</v>
      </c>
      <c r="J110" s="41" t="n">
        <f aca="false">'2026 Forecast C'!L58</f>
        <v>2.67714402909289</v>
      </c>
      <c r="K110" s="18" t="n">
        <f aca="false">'2026 Forecast A'!F58</f>
        <v>2740</v>
      </c>
      <c r="L110" s="42" t="str">
        <f aca="false">IF(OR(AND(D110&gt;0.5,E110&gt;0.5,F110&gt;0.5),AND(D110&lt;0.5,E110&lt;0.5,F110&lt;0.5)),"Yes","No — toss-up")</f>
        <v>Yes</v>
      </c>
    </row>
    <row r="111" customFormat="false" ht="15" hidden="false" customHeight="false" outlineLevel="0" collapsed="false">
      <c r="A111" s="9" t="str">
        <f aca="false">'2026 Forecast A'!A59</f>
        <v>Lehigh</v>
      </c>
      <c r="B111" s="9" t="str">
        <f aca="false">'2026 Forecast A'!B59</f>
        <v>WHITEHALL</v>
      </c>
      <c r="C111" s="9" t="str">
        <f aca="false">'2026 Forecast A'!C59</f>
        <v>(whole municipality)</v>
      </c>
      <c r="D111" s="10" t="n">
        <f aca="false">'2026 Forecast A'!G59</f>
        <v>0.52037319116527</v>
      </c>
      <c r="E111" s="10" t="n">
        <f aca="false">'2026 Forecast B'!G59</f>
        <v>0.518088347296268</v>
      </c>
      <c r="F111" s="10" t="n">
        <f aca="false">'2026 Forecast C'!G59</f>
        <v>0.521134805788271</v>
      </c>
      <c r="G111" s="40" t="n">
        <f aca="false">(MAX(D111:F111)-MIN(D111:F111))*100</f>
        <v>0.304645849200302</v>
      </c>
      <c r="H111" s="41" t="n">
        <f aca="false">'2026 Forecast A'!L59</f>
        <v>2.40212857654826</v>
      </c>
      <c r="I111" s="41" t="n">
        <f aca="false">'2026 Forecast B'!L59</f>
        <v>2.25993932789826</v>
      </c>
      <c r="J111" s="41" t="n">
        <f aca="false">'2026 Forecast C'!L59</f>
        <v>2.45698128876881</v>
      </c>
      <c r="K111" s="18" t="n">
        <f aca="false">'2026 Forecast A'!F59</f>
        <v>10504</v>
      </c>
      <c r="L111" s="42" t="str">
        <f aca="false">IF(OR(AND(D111&gt;0.5,E111&gt;0.5,F111&gt;0.5),AND(D111&lt;0.5,E111&lt;0.5,F111&lt;0.5)),"Yes","No — toss-up")</f>
        <v>Yes</v>
      </c>
    </row>
    <row r="112" customFormat="false" ht="15" hidden="false" customHeight="false" outlineLevel="0" collapsed="false">
      <c r="A112" s="9" t="str">
        <f aca="false">'2026 Forecast A'!A60</f>
        <v>Monroe</v>
      </c>
      <c r="B112" s="9" t="str">
        <f aca="false">'2026 Forecast A'!B60</f>
        <v>ELDRED TOWNSHIP</v>
      </c>
      <c r="C112" s="9" t="str">
        <f aca="false">'2026 Forecast A'!C60</f>
        <v>(whole municipality)</v>
      </c>
      <c r="D112" s="10" t="n">
        <f aca="false">'2026 Forecast A'!G60</f>
        <v>0.30064829821718</v>
      </c>
      <c r="E112" s="10" t="n">
        <f aca="false">'2026 Forecast B'!G60</f>
        <v>0.30064829821718</v>
      </c>
      <c r="F112" s="10" t="n">
        <f aca="false">'2026 Forecast C'!G60</f>
        <v>0.290113452188007</v>
      </c>
      <c r="G112" s="40" t="n">
        <f aca="false">(MAX(D112:F112)-MIN(D112:F112))*100</f>
        <v>1.05348460291734</v>
      </c>
      <c r="H112" s="41" t="n">
        <f aca="false">'2026 Forecast A'!L60</f>
        <v>3.35825924802223</v>
      </c>
      <c r="I112" s="41" t="n">
        <f aca="false">'2026 Forecast B'!L60</f>
        <v>3.28161064668305</v>
      </c>
      <c r="J112" s="41" t="n">
        <f aca="false">'2026 Forecast C'!L60</f>
        <v>3.51519956975275</v>
      </c>
      <c r="K112" s="18" t="n">
        <f aca="false">'2026 Forecast A'!F60</f>
        <v>1234</v>
      </c>
      <c r="L112" s="42" t="str">
        <f aca="false">IF(OR(AND(D112&gt;0.5,E112&gt;0.5,F112&gt;0.5),AND(D112&lt;0.5,E112&lt;0.5,F112&lt;0.5)),"Yes","No — toss-up")</f>
        <v>Yes</v>
      </c>
    </row>
    <row r="113" customFormat="false" ht="15" hidden="false" customHeight="false" outlineLevel="0" collapsed="false">
      <c r="A113" s="9" t="str">
        <f aca="false">'2026 Forecast A'!A61</f>
        <v>Monroe</v>
      </c>
      <c r="B113" s="9" t="str">
        <f aca="false">'2026 Forecast A'!B61</f>
        <v>POLK TOWNSHIP</v>
      </c>
      <c r="C113" s="9" t="str">
        <f aca="false">'2026 Forecast A'!C61</f>
        <v>(whole municipality)</v>
      </c>
      <c r="D113" s="10" t="n">
        <f aca="false">'2026 Forecast A'!G61</f>
        <v>0.338730158730159</v>
      </c>
      <c r="E113" s="10" t="n">
        <f aca="false">'2026 Forecast B'!G61</f>
        <v>0.340952380952381</v>
      </c>
      <c r="F113" s="10" t="n">
        <f aca="false">'2026 Forecast C'!G61</f>
        <v>0.32952380952381</v>
      </c>
      <c r="G113" s="40" t="n">
        <f aca="false">(MAX(D113:F113)-MIN(D113:F113))*100</f>
        <v>1.14285714285715</v>
      </c>
      <c r="H113" s="41" t="n">
        <f aca="false">'2026 Forecast A'!L61</f>
        <v>2.40212857654826</v>
      </c>
      <c r="I113" s="41" t="n">
        <f aca="false">'2026 Forecast B'!L61</f>
        <v>2.25993932789826</v>
      </c>
      <c r="J113" s="41" t="n">
        <f aca="false">'2026 Forecast C'!L61</f>
        <v>2.45698128876881</v>
      </c>
      <c r="K113" s="18" t="n">
        <f aca="false">'2026 Forecast A'!F61</f>
        <v>3150</v>
      </c>
      <c r="L113" s="42" t="str">
        <f aca="false">IF(OR(AND(D113&gt;0.5,E113&gt;0.5,F113&gt;0.5),AND(D113&lt;0.5,E113&lt;0.5,F113&lt;0.5)),"Yes","No — toss-up")</f>
        <v>Yes</v>
      </c>
    </row>
    <row r="114" customFormat="false" ht="15" hidden="false" customHeight="false" outlineLevel="0" collapsed="false">
      <c r="A114" s="9" t="str">
        <f aca="false">'2026 Forecast A'!A62</f>
        <v>Monroe</v>
      </c>
      <c r="B114" s="9" t="str">
        <f aca="false">'2026 Forecast A'!B62</f>
        <v>ROSS TOWNSHIP</v>
      </c>
      <c r="C114" s="9" t="str">
        <f aca="false">'2026 Forecast A'!C62</f>
        <v>(whole municipality)</v>
      </c>
      <c r="D114" s="10" t="n">
        <f aca="false">'2026 Forecast A'!G62</f>
        <v>0.33731853116994</v>
      </c>
      <c r="E114" s="10" t="n">
        <f aca="false">'2026 Forecast B'!G62</f>
        <v>0.334756618274979</v>
      </c>
      <c r="F114" s="10" t="n">
        <f aca="false">'2026 Forecast C'!G62</f>
        <v>0.327924850555081</v>
      </c>
      <c r="G114" s="40" t="n">
        <f aca="false">(MAX(D114:F114)-MIN(D114:F114))*100</f>
        <v>0.939368061485907</v>
      </c>
      <c r="H114" s="41" t="n">
        <f aca="false">'2026 Forecast A'!L62</f>
        <v>3.35825924802223</v>
      </c>
      <c r="I114" s="41" t="n">
        <f aca="false">'2026 Forecast B'!L62</f>
        <v>3.28161064668305</v>
      </c>
      <c r="J114" s="41" t="n">
        <f aca="false">'2026 Forecast C'!L62</f>
        <v>3.51519956975275</v>
      </c>
      <c r="K114" s="18" t="n">
        <f aca="false">'2026 Forecast A'!F62</f>
        <v>1171</v>
      </c>
      <c r="L114" s="42" t="str">
        <f aca="false">IF(OR(AND(D114&gt;0.5,E114&gt;0.5,F114&gt;0.5),AND(D114&lt;0.5,E114&lt;0.5,F114&lt;0.5)),"Yes","No — toss-up")</f>
        <v>Yes</v>
      </c>
    </row>
    <row r="115" customFormat="false" ht="15" hidden="false" customHeight="false" outlineLevel="0" collapsed="false">
      <c r="A115" s="9" t="str">
        <f aca="false">'2026 Forecast A'!A63</f>
        <v>Northampton</v>
      </c>
      <c r="B115" s="9" t="str">
        <f aca="false">'2026 Forecast A'!B63</f>
        <v>ALLEN</v>
      </c>
      <c r="C115" s="9" t="str">
        <f aca="false">'2026 Forecast A'!C63</f>
        <v>(whole municipality)</v>
      </c>
      <c r="D115" s="10" t="n">
        <f aca="false">'2026 Forecast A'!G63</f>
        <v>0.43516808274843</v>
      </c>
      <c r="E115" s="10" t="n">
        <f aca="false">'2026 Forecast B'!G63</f>
        <v>0.433690432212782</v>
      </c>
      <c r="F115" s="10" t="n">
        <f aca="false">'2026 Forecast C'!G63</f>
        <v>0.432951606944958</v>
      </c>
      <c r="G115" s="40" t="n">
        <f aca="false">(MAX(D115:F115)-MIN(D115:F115))*100</f>
        <v>0.221647580347251</v>
      </c>
      <c r="H115" s="41" t="n">
        <f aca="false">'2026 Forecast A'!L63</f>
        <v>2.33474301775677</v>
      </c>
      <c r="I115" s="41" t="n">
        <f aca="false">'2026 Forecast B'!L63</f>
        <v>2.3905596931527</v>
      </c>
      <c r="J115" s="41" t="n">
        <f aca="false">'2026 Forecast C'!L63</f>
        <v>2.67714402909289</v>
      </c>
      <c r="K115" s="18" t="n">
        <f aca="false">'2026 Forecast A'!F63</f>
        <v>2707</v>
      </c>
      <c r="L115" s="42" t="str">
        <f aca="false">IF(OR(AND(D115&gt;0.5,E115&gt;0.5,F115&gt;0.5),AND(D115&lt;0.5,E115&lt;0.5,F115&lt;0.5)),"Yes","No — toss-up")</f>
        <v>Yes</v>
      </c>
    </row>
    <row r="116" customFormat="false" ht="15" hidden="false" customHeight="false" outlineLevel="0" collapsed="false">
      <c r="A116" s="9" t="str">
        <f aca="false">'2026 Forecast A'!A64</f>
        <v>Northampton</v>
      </c>
      <c r="B116" s="9" t="str">
        <f aca="false">'2026 Forecast A'!B64</f>
        <v>BANGOR</v>
      </c>
      <c r="C116" s="9" t="str">
        <f aca="false">'2026 Forecast A'!C64</f>
        <v>(whole municipality)</v>
      </c>
      <c r="D116" s="10" t="n">
        <f aca="false">'2026 Forecast A'!G64</f>
        <v>0.418838862559242</v>
      </c>
      <c r="E116" s="10" t="n">
        <f aca="false">'2026 Forecast B'!G64</f>
        <v>0.419431279620853</v>
      </c>
      <c r="F116" s="10" t="n">
        <f aca="false">'2026 Forecast C'!G64</f>
        <v>0.414099526066351</v>
      </c>
      <c r="G116" s="40" t="n">
        <f aca="false">(MAX(D116:F116)-MIN(D116:F116))*100</f>
        <v>0.533175355450238</v>
      </c>
      <c r="H116" s="41" t="n">
        <f aca="false">'2026 Forecast A'!L64</f>
        <v>2.33474301775677</v>
      </c>
      <c r="I116" s="41" t="n">
        <f aca="false">'2026 Forecast B'!L64</f>
        <v>2.3905596931527</v>
      </c>
      <c r="J116" s="41" t="n">
        <f aca="false">'2026 Forecast C'!L64</f>
        <v>2.67714402909289</v>
      </c>
      <c r="K116" s="18" t="n">
        <f aca="false">'2026 Forecast A'!F64</f>
        <v>1688</v>
      </c>
      <c r="L116" s="42" t="str">
        <f aca="false">IF(OR(AND(D116&gt;0.5,E116&gt;0.5,F116&gt;0.5),AND(D116&lt;0.5,E116&lt;0.5,F116&lt;0.5)),"Yes","No — toss-up")</f>
        <v>Yes</v>
      </c>
    </row>
    <row r="117" customFormat="false" ht="15" hidden="false" customHeight="false" outlineLevel="0" collapsed="false">
      <c r="A117" s="9" t="str">
        <f aca="false">'2026 Forecast A'!A65</f>
        <v>Northampton</v>
      </c>
      <c r="B117" s="9" t="str">
        <f aca="false">'2026 Forecast A'!B65</f>
        <v>BATH</v>
      </c>
      <c r="C117" s="9" t="str">
        <f aca="false">'2026 Forecast A'!C65</f>
        <v>(whole municipality)</v>
      </c>
      <c r="D117" s="10" t="n">
        <f aca="false">'2026 Forecast A'!G65</f>
        <v>0.470472440944882</v>
      </c>
      <c r="E117" s="10" t="n">
        <f aca="false">'2026 Forecast B'!G65</f>
        <v>0.47244094488189</v>
      </c>
      <c r="F117" s="10" t="n">
        <f aca="false">'2026 Forecast C'!G65</f>
        <v>0.46751968503937</v>
      </c>
      <c r="G117" s="40" t="n">
        <f aca="false">(MAX(D117:F117)-MIN(D117:F117))*100</f>
        <v>0.492125984251968</v>
      </c>
      <c r="H117" s="41" t="n">
        <f aca="false">'2026 Forecast A'!L65</f>
        <v>3.35825924802223</v>
      </c>
      <c r="I117" s="41" t="n">
        <f aca="false">'2026 Forecast B'!L65</f>
        <v>3.28161064668305</v>
      </c>
      <c r="J117" s="41" t="n">
        <f aca="false">'2026 Forecast C'!L65</f>
        <v>3.51519956975275</v>
      </c>
      <c r="K117" s="18" t="n">
        <f aca="false">'2026 Forecast A'!F65</f>
        <v>1016</v>
      </c>
      <c r="L117" s="42" t="str">
        <f aca="false">IF(OR(AND(D117&gt;0.5,E117&gt;0.5,F117&gt;0.5),AND(D117&lt;0.5,E117&lt;0.5,F117&lt;0.5)),"Yes","No — toss-up")</f>
        <v>Yes</v>
      </c>
    </row>
    <row r="118" customFormat="false" ht="15" hidden="false" customHeight="false" outlineLevel="0" collapsed="false">
      <c r="A118" s="9" t="str">
        <f aca="false">'2026 Forecast A'!A66</f>
        <v>Northampton</v>
      </c>
      <c r="B118" s="9" t="str">
        <f aca="false">'2026 Forecast A'!B66</f>
        <v>BETHLEHEM</v>
      </c>
      <c r="C118" s="9" t="str">
        <f aca="false">'2026 Forecast A'!C66</f>
        <v>(whole municipality)</v>
      </c>
      <c r="D118" s="10" t="n">
        <f aca="false">'2026 Forecast A'!G66</f>
        <v>0.667826270293063</v>
      </c>
      <c r="E118" s="10" t="n">
        <f aca="false">'2026 Forecast B'!G66</f>
        <v>0.669512966476913</v>
      </c>
      <c r="F118" s="10" t="n">
        <f aca="false">'2026 Forecast C'!G66</f>
        <v>0.682110478600042</v>
      </c>
      <c r="G118" s="40" t="n">
        <f aca="false">(MAX(D118:F118)-MIN(D118:F118))*100</f>
        <v>1.42842083069787</v>
      </c>
      <c r="H118" s="41" t="n">
        <f aca="false">'2026 Forecast A'!L66</f>
        <v>2.40212857654826</v>
      </c>
      <c r="I118" s="41" t="n">
        <f aca="false">'2026 Forecast B'!L66</f>
        <v>2.25993932789826</v>
      </c>
      <c r="J118" s="41" t="n">
        <f aca="false">'2026 Forecast C'!L66</f>
        <v>2.45698128876881</v>
      </c>
      <c r="K118" s="18" t="n">
        <f aca="false">'2026 Forecast A'!F66</f>
        <v>18972</v>
      </c>
      <c r="L118" s="42" t="str">
        <f aca="false">IF(OR(AND(D118&gt;0.5,E118&gt;0.5,F118&gt;0.5),AND(D118&lt;0.5,E118&lt;0.5,F118&lt;0.5)),"Yes","No — toss-up")</f>
        <v>Yes</v>
      </c>
    </row>
    <row r="119" customFormat="false" ht="15" hidden="false" customHeight="false" outlineLevel="0" collapsed="false">
      <c r="A119" s="9" t="str">
        <f aca="false">'2026 Forecast A'!A67</f>
        <v>Northampton</v>
      </c>
      <c r="B119" s="9" t="str">
        <f aca="false">'2026 Forecast A'!B67</f>
        <v>BETHLEHEM TOWNSHIP</v>
      </c>
      <c r="C119" s="9" t="str">
        <f aca="false">'2026 Forecast A'!C67</f>
        <v>(whole municipality)</v>
      </c>
      <c r="D119" s="10" t="n">
        <f aca="false">'2026 Forecast A'!G67</f>
        <v>0.533218291630716</v>
      </c>
      <c r="E119" s="10" t="n">
        <f aca="false">'2026 Forecast B'!G67</f>
        <v>0.537375480429838</v>
      </c>
      <c r="F119" s="10" t="n">
        <f aca="false">'2026 Forecast C'!G67</f>
        <v>0.534081104400345</v>
      </c>
      <c r="G119" s="40" t="n">
        <f aca="false">(MAX(D119:F119)-MIN(D119:F119))*100</f>
        <v>0.415718879912153</v>
      </c>
      <c r="H119" s="41" t="n">
        <f aca="false">'2026 Forecast A'!L67</f>
        <v>2.40212857654826</v>
      </c>
      <c r="I119" s="41" t="n">
        <f aca="false">'2026 Forecast B'!L67</f>
        <v>2.25993932789826</v>
      </c>
      <c r="J119" s="41" t="n">
        <f aca="false">'2026 Forecast C'!L67</f>
        <v>2.45698128876881</v>
      </c>
      <c r="K119" s="18" t="n">
        <f aca="false">'2026 Forecast A'!F67</f>
        <v>12749</v>
      </c>
      <c r="L119" s="42" t="str">
        <f aca="false">IF(OR(AND(D119&gt;0.5,E119&gt;0.5,F119&gt;0.5),AND(D119&lt;0.5,E119&lt;0.5,F119&lt;0.5)),"Yes","No — toss-up")</f>
        <v>Yes</v>
      </c>
    </row>
    <row r="120" customFormat="false" ht="15" hidden="false" customHeight="false" outlineLevel="0" collapsed="false">
      <c r="A120" s="9" t="str">
        <f aca="false">'2026 Forecast A'!A68</f>
        <v>Northampton</v>
      </c>
      <c r="B120" s="9" t="str">
        <f aca="false">'2026 Forecast A'!B68</f>
        <v>BUSHKILL</v>
      </c>
      <c r="C120" s="9" t="str">
        <f aca="false">'2026 Forecast A'!C68</f>
        <v>(whole municipality)</v>
      </c>
      <c r="D120" s="10" t="n">
        <f aca="false">'2026 Forecast A'!G68</f>
        <v>0.380284874519557</v>
      </c>
      <c r="E120" s="10" t="n">
        <f aca="false">'2026 Forecast B'!G68</f>
        <v>0.383676237847615</v>
      </c>
      <c r="F120" s="10" t="n">
        <f aca="false">'2026 Forecast C'!G68</f>
        <v>0.371693420755144</v>
      </c>
      <c r="G120" s="40" t="n">
        <f aca="false">(MAX(D120:F120)-MIN(D120:F120))*100</f>
        <v>1.19828170924712</v>
      </c>
      <c r="H120" s="41" t="n">
        <f aca="false">'2026 Forecast A'!L68</f>
        <v>2.40212857654826</v>
      </c>
      <c r="I120" s="41" t="n">
        <f aca="false">'2026 Forecast B'!L68</f>
        <v>2.25993932789826</v>
      </c>
      <c r="J120" s="41" t="n">
        <f aca="false">'2026 Forecast C'!L68</f>
        <v>2.45698128876881</v>
      </c>
      <c r="K120" s="18" t="n">
        <f aca="false">'2026 Forecast A'!F68</f>
        <v>4423</v>
      </c>
      <c r="L120" s="42" t="str">
        <f aca="false">IF(OR(AND(D120&gt;0.5,E120&gt;0.5,F120&gt;0.5),AND(D120&lt;0.5,E120&lt;0.5,F120&lt;0.5)),"Yes","No — toss-up")</f>
        <v>Yes</v>
      </c>
    </row>
    <row r="121" customFormat="false" ht="15" hidden="false" customHeight="false" outlineLevel="0" collapsed="false">
      <c r="A121" s="9" t="str">
        <f aca="false">'2026 Forecast A'!A69</f>
        <v>Northampton</v>
      </c>
      <c r="B121" s="9" t="str">
        <f aca="false">'2026 Forecast A'!B69</f>
        <v>CHAPMAN</v>
      </c>
      <c r="C121" s="9" t="str">
        <f aca="false">'2026 Forecast A'!C69</f>
        <v>(whole municipality)</v>
      </c>
      <c r="D121" s="10" t="n">
        <f aca="false">'2026 Forecast A'!G69</f>
        <v>0.360824742268041</v>
      </c>
      <c r="E121" s="10" t="n">
        <f aca="false">'2026 Forecast B'!G69</f>
        <v>0.360824742268041</v>
      </c>
      <c r="F121" s="10" t="n">
        <f aca="false">'2026 Forecast C'!G69</f>
        <v>0.350515463917526</v>
      </c>
      <c r="G121" s="40" t="n">
        <f aca="false">(MAX(D121:F121)-MIN(D121:F121))*100</f>
        <v>1.03092783505155</v>
      </c>
      <c r="H121" s="41" t="n">
        <f aca="false">'2026 Forecast A'!L69</f>
        <v>3.35825924802223</v>
      </c>
      <c r="I121" s="41" t="n">
        <f aca="false">'2026 Forecast B'!L69</f>
        <v>3.28161064668305</v>
      </c>
      <c r="J121" s="41" t="n">
        <f aca="false">'2026 Forecast C'!L69</f>
        <v>3.51519956975275</v>
      </c>
      <c r="K121" s="18" t="n">
        <f aca="false">'2026 Forecast A'!F69</f>
        <v>97</v>
      </c>
      <c r="L121" s="42" t="str">
        <f aca="false">IF(OR(AND(D121&gt;0.5,E121&gt;0.5,F121&gt;0.5),AND(D121&lt;0.5,E121&lt;0.5,F121&lt;0.5)),"Yes","No — toss-up")</f>
        <v>Yes</v>
      </c>
    </row>
    <row r="122" customFormat="false" ht="15" hidden="false" customHeight="false" outlineLevel="0" collapsed="false">
      <c r="A122" s="9" t="str">
        <f aca="false">'2026 Forecast A'!A70</f>
        <v>Northampton</v>
      </c>
      <c r="B122" s="9" t="str">
        <f aca="false">'2026 Forecast A'!B70</f>
        <v>EAST ALLEN</v>
      </c>
      <c r="C122" s="9" t="str">
        <f aca="false">'2026 Forecast A'!C70</f>
        <v>(whole municipality)</v>
      </c>
      <c r="D122" s="10" t="n">
        <f aca="false">'2026 Forecast A'!G70</f>
        <v>0.432033320711852</v>
      </c>
      <c r="E122" s="10" t="n">
        <f aca="false">'2026 Forecast B'!G70</f>
        <v>0.427868231730405</v>
      </c>
      <c r="F122" s="10" t="n">
        <f aca="false">'2026 Forecast C'!G70</f>
        <v>0.427868231730405</v>
      </c>
      <c r="G122" s="40" t="n">
        <f aca="false">(MAX(D122:F122)-MIN(D122:F122))*100</f>
        <v>0.416508898144641</v>
      </c>
      <c r="H122" s="41" t="n">
        <f aca="false">'2026 Forecast A'!L70</f>
        <v>2.33474301775677</v>
      </c>
      <c r="I122" s="41" t="n">
        <f aca="false">'2026 Forecast B'!L70</f>
        <v>2.3905596931527</v>
      </c>
      <c r="J122" s="41" t="n">
        <f aca="false">'2026 Forecast C'!L70</f>
        <v>2.67714402909289</v>
      </c>
      <c r="K122" s="18" t="n">
        <f aca="false">'2026 Forecast A'!F70</f>
        <v>2641</v>
      </c>
      <c r="L122" s="42" t="str">
        <f aca="false">IF(OR(AND(D122&gt;0.5,E122&gt;0.5,F122&gt;0.5),AND(D122&lt;0.5,E122&lt;0.5,F122&lt;0.5)),"Yes","No — toss-up")</f>
        <v>Yes</v>
      </c>
    </row>
    <row r="123" customFormat="false" ht="15" hidden="false" customHeight="false" outlineLevel="0" collapsed="false">
      <c r="A123" s="9" t="str">
        <f aca="false">'2026 Forecast A'!A71</f>
        <v>Northampton</v>
      </c>
      <c r="B123" s="9" t="str">
        <f aca="false">'2026 Forecast A'!B71</f>
        <v>EAST BANGOR</v>
      </c>
      <c r="C123" s="9" t="str">
        <f aca="false">'2026 Forecast A'!C71</f>
        <v>(whole municipality)</v>
      </c>
      <c r="D123" s="10" t="n">
        <f aca="false">'2026 Forecast A'!G71</f>
        <v>0.405555555555556</v>
      </c>
      <c r="E123" s="10" t="n">
        <f aca="false">'2026 Forecast B'!G71</f>
        <v>0.408333333333333</v>
      </c>
      <c r="F123" s="10" t="n">
        <f aca="false">'2026 Forecast C'!G71</f>
        <v>0.4</v>
      </c>
      <c r="G123" s="40" t="n">
        <f aca="false">(MAX(D123:F123)-MIN(D123:F123))*100</f>
        <v>0.83333333333333</v>
      </c>
      <c r="H123" s="41" t="n">
        <f aca="false">'2026 Forecast A'!L71</f>
        <v>3.35825924802223</v>
      </c>
      <c r="I123" s="41" t="n">
        <f aca="false">'2026 Forecast B'!L71</f>
        <v>3.28161064668305</v>
      </c>
      <c r="J123" s="41" t="n">
        <f aca="false">'2026 Forecast C'!L71</f>
        <v>3.51519956975275</v>
      </c>
      <c r="K123" s="18" t="n">
        <f aca="false">'2026 Forecast A'!F71</f>
        <v>360</v>
      </c>
      <c r="L123" s="42" t="str">
        <f aca="false">IF(OR(AND(D123&gt;0.5,E123&gt;0.5,F123&gt;0.5),AND(D123&lt;0.5,E123&lt;0.5,F123&lt;0.5)),"Yes","No — toss-up")</f>
        <v>Yes</v>
      </c>
    </row>
    <row r="124" customFormat="false" ht="15" hidden="false" customHeight="false" outlineLevel="0" collapsed="false">
      <c r="A124" s="9" t="str">
        <f aca="false">'2026 Forecast A'!A72</f>
        <v>Northampton</v>
      </c>
      <c r="B124" s="9" t="str">
        <f aca="false">'2026 Forecast A'!B72</f>
        <v>EASTON</v>
      </c>
      <c r="C124" s="9" t="str">
        <f aca="false">'2026 Forecast A'!C72</f>
        <v>(whole municipality)</v>
      </c>
      <c r="D124" s="10" t="n">
        <f aca="false">'2026 Forecast A'!G72</f>
        <v>0.686172399616281</v>
      </c>
      <c r="E124" s="10" t="n">
        <f aca="false">'2026 Forecast B'!G72</f>
        <v>0.695765383034124</v>
      </c>
      <c r="F124" s="10" t="n">
        <f aca="false">'2026 Forecast C'!G72</f>
        <v>0.702206386186104</v>
      </c>
      <c r="G124" s="40" t="n">
        <f aca="false">(MAX(D124:F124)-MIN(D124:F124))*100</f>
        <v>1.60339865698232</v>
      </c>
      <c r="H124" s="41" t="n">
        <f aca="false">'2026 Forecast A'!L72</f>
        <v>2.40212857654826</v>
      </c>
      <c r="I124" s="41" t="n">
        <f aca="false">'2026 Forecast B'!L72</f>
        <v>2.25993932789826</v>
      </c>
      <c r="J124" s="41" t="n">
        <f aca="false">'2026 Forecast C'!L72</f>
        <v>2.45698128876881</v>
      </c>
      <c r="K124" s="18" t="n">
        <f aca="false">'2026 Forecast A'!F72</f>
        <v>7297</v>
      </c>
      <c r="L124" s="42" t="str">
        <f aca="false">IF(OR(AND(D124&gt;0.5,E124&gt;0.5,F124&gt;0.5),AND(D124&lt;0.5,E124&lt;0.5,F124&lt;0.5)),"Yes","No — toss-up")</f>
        <v>Yes</v>
      </c>
    </row>
    <row r="125" customFormat="false" ht="15" hidden="false" customHeight="false" outlineLevel="0" collapsed="false">
      <c r="A125" s="9" t="str">
        <f aca="false">'2026 Forecast A'!A73</f>
        <v>Northampton</v>
      </c>
      <c r="B125" s="9" t="str">
        <f aca="false">'2026 Forecast A'!B73</f>
        <v>FORKS</v>
      </c>
      <c r="C125" s="9" t="str">
        <f aca="false">'2026 Forecast A'!C73</f>
        <v>(whole municipality)</v>
      </c>
      <c r="D125" s="10" t="n">
        <f aca="false">'2026 Forecast A'!G73</f>
        <v>0.519388379204893</v>
      </c>
      <c r="E125" s="10" t="n">
        <f aca="false">'2026 Forecast B'!G73</f>
        <v>0.519021406727829</v>
      </c>
      <c r="F125" s="10" t="n">
        <f aca="false">'2026 Forecast C'!G73</f>
        <v>0.519510703363914</v>
      </c>
      <c r="G125" s="40" t="n">
        <f aca="false">(MAX(D125:F125)-MIN(D125:F125))*100</f>
        <v>0.0489296636085657</v>
      </c>
      <c r="H125" s="41" t="n">
        <f aca="false">'2026 Forecast A'!L73</f>
        <v>2.40212857654826</v>
      </c>
      <c r="I125" s="41" t="n">
        <f aca="false">'2026 Forecast B'!L73</f>
        <v>2.25993932789826</v>
      </c>
      <c r="J125" s="41" t="n">
        <f aca="false">'2026 Forecast C'!L73</f>
        <v>2.45698128876881</v>
      </c>
      <c r="K125" s="18" t="n">
        <f aca="false">'2026 Forecast A'!F73</f>
        <v>8175</v>
      </c>
      <c r="L125" s="42" t="str">
        <f aca="false">IF(OR(AND(D125&gt;0.5,E125&gt;0.5,F125&gt;0.5),AND(D125&lt;0.5,E125&lt;0.5,F125&lt;0.5)),"Yes","No — toss-up")</f>
        <v>Yes</v>
      </c>
    </row>
    <row r="126" customFormat="false" ht="15" hidden="false" customHeight="false" outlineLevel="0" collapsed="false">
      <c r="A126" s="9" t="str">
        <f aca="false">'2026 Forecast A'!A74</f>
        <v>Northampton</v>
      </c>
      <c r="B126" s="9" t="str">
        <f aca="false">'2026 Forecast A'!B74</f>
        <v>FREEMANSBURG</v>
      </c>
      <c r="C126" s="9" t="str">
        <f aca="false">'2026 Forecast A'!C74</f>
        <v>(whole municipality)</v>
      </c>
      <c r="D126" s="10" t="n">
        <f aca="false">'2026 Forecast A'!G74</f>
        <v>0.599260172626387</v>
      </c>
      <c r="E126" s="10" t="n">
        <f aca="false">'2026 Forecast B'!G74</f>
        <v>0.590628853267571</v>
      </c>
      <c r="F126" s="10" t="n">
        <f aca="false">'2026 Forecast C'!G74</f>
        <v>0.606658446362515</v>
      </c>
      <c r="G126" s="40" t="n">
        <f aca="false">(MAX(D126:F126)-MIN(D126:F126))*100</f>
        <v>1.60295930949446</v>
      </c>
      <c r="H126" s="41" t="n">
        <f aca="false">'2026 Forecast A'!L74</f>
        <v>3.35825924802223</v>
      </c>
      <c r="I126" s="41" t="n">
        <f aca="false">'2026 Forecast B'!L74</f>
        <v>3.28161064668305</v>
      </c>
      <c r="J126" s="41" t="n">
        <f aca="false">'2026 Forecast C'!L74</f>
        <v>3.51519956975275</v>
      </c>
      <c r="K126" s="18" t="n">
        <f aca="false">'2026 Forecast A'!F74</f>
        <v>811</v>
      </c>
      <c r="L126" s="42" t="str">
        <f aca="false">IF(OR(AND(D126&gt;0.5,E126&gt;0.5,F126&gt;0.5),AND(D126&lt;0.5,E126&lt;0.5,F126&lt;0.5)),"Yes","No — toss-up")</f>
        <v>Yes</v>
      </c>
    </row>
    <row r="127" customFormat="false" ht="15" hidden="false" customHeight="false" outlineLevel="0" collapsed="false">
      <c r="A127" s="9" t="str">
        <f aca="false">'2026 Forecast A'!A75</f>
        <v>Northampton</v>
      </c>
      <c r="B127" s="9" t="str">
        <f aca="false">'2026 Forecast A'!B75</f>
        <v>GLENDON</v>
      </c>
      <c r="C127" s="9" t="str">
        <f aca="false">'2026 Forecast A'!C75</f>
        <v>(whole municipality)</v>
      </c>
      <c r="D127" s="10" t="n">
        <f aca="false">'2026 Forecast A'!G75</f>
        <v>0.520833333333333</v>
      </c>
      <c r="E127" s="10" t="n">
        <f aca="false">'2026 Forecast B'!G75</f>
        <v>0.520833333333333</v>
      </c>
      <c r="F127" s="10" t="n">
        <f aca="false">'2026 Forecast C'!G75</f>
        <v>0.513888888888889</v>
      </c>
      <c r="G127" s="40" t="n">
        <f aca="false">(MAX(D127:F127)-MIN(D127:F127))*100</f>
        <v>0.694444444444453</v>
      </c>
      <c r="H127" s="41" t="n">
        <f aca="false">'2026 Forecast A'!L75</f>
        <v>3.35825924802223</v>
      </c>
      <c r="I127" s="41" t="n">
        <f aca="false">'2026 Forecast B'!L75</f>
        <v>3.28161064668305</v>
      </c>
      <c r="J127" s="41" t="n">
        <f aca="false">'2026 Forecast C'!L75</f>
        <v>3.51519956975275</v>
      </c>
      <c r="K127" s="18" t="n">
        <f aca="false">'2026 Forecast A'!F75</f>
        <v>144</v>
      </c>
      <c r="L127" s="42" t="str">
        <f aca="false">IF(OR(AND(D127&gt;0.5,E127&gt;0.5,F127&gt;0.5),AND(D127&lt;0.5,E127&lt;0.5,F127&lt;0.5)),"Yes","No — toss-up")</f>
        <v>Yes</v>
      </c>
    </row>
    <row r="128" customFormat="false" ht="15" hidden="false" customHeight="false" outlineLevel="0" collapsed="false">
      <c r="A128" s="9" t="str">
        <f aca="false">'2026 Forecast A'!A76</f>
        <v>Northampton</v>
      </c>
      <c r="B128" s="9" t="str">
        <f aca="false">'2026 Forecast A'!B76</f>
        <v>HANOVER</v>
      </c>
      <c r="C128" s="9" t="str">
        <f aca="false">'2026 Forecast A'!C76</f>
        <v>(whole municipality)</v>
      </c>
      <c r="D128" s="10" t="n">
        <f aca="false">'2026 Forecast A'!G76</f>
        <v>0.540557371944574</v>
      </c>
      <c r="E128" s="10" t="n">
        <f aca="false">'2026 Forecast B'!G76</f>
        <v>0.539467538533396</v>
      </c>
      <c r="F128" s="10" t="n">
        <f aca="false">'2026 Forecast C'!G76</f>
        <v>0.542114276817686</v>
      </c>
      <c r="G128" s="40" t="n">
        <f aca="false">(MAX(D128:F128)-MIN(D128:F128))*100</f>
        <v>0.264673828429085</v>
      </c>
      <c r="H128" s="41" t="n">
        <f aca="false">'2026 Forecast A'!L76</f>
        <v>2.40212857654826</v>
      </c>
      <c r="I128" s="41" t="n">
        <f aca="false">'2026 Forecast B'!L76</f>
        <v>2.25993932789826</v>
      </c>
      <c r="J128" s="41" t="n">
        <f aca="false">'2026 Forecast C'!L76</f>
        <v>2.45698128876881</v>
      </c>
      <c r="K128" s="18" t="n">
        <f aca="false">'2026 Forecast A'!F76</f>
        <v>6423</v>
      </c>
      <c r="L128" s="42" t="str">
        <f aca="false">IF(OR(AND(D128&gt;0.5,E128&gt;0.5,F128&gt;0.5),AND(D128&lt;0.5,E128&lt;0.5,F128&lt;0.5)),"Yes","No — toss-up")</f>
        <v>Yes</v>
      </c>
    </row>
    <row r="129" customFormat="false" ht="15" hidden="false" customHeight="false" outlineLevel="0" collapsed="false">
      <c r="A129" s="9" t="str">
        <f aca="false">'2026 Forecast A'!A77</f>
        <v>Northampton</v>
      </c>
      <c r="B129" s="9" t="str">
        <f aca="false">'2026 Forecast A'!B77</f>
        <v>HELLERTOWN</v>
      </c>
      <c r="C129" s="9" t="str">
        <f aca="false">'2026 Forecast A'!C77</f>
        <v>(whole municipality)</v>
      </c>
      <c r="D129" s="10" t="n">
        <f aca="false">'2026 Forecast A'!G77</f>
        <v>0.517884322678843</v>
      </c>
      <c r="E129" s="10" t="n">
        <f aca="false">'2026 Forecast B'!G77</f>
        <v>0.515981735159817</v>
      </c>
      <c r="F129" s="10" t="n">
        <f aca="false">'2026 Forecast C'!G77</f>
        <v>0.517503805175038</v>
      </c>
      <c r="G129" s="40" t="n">
        <f aca="false">(MAX(D129:F129)-MIN(D129:F129))*100</f>
        <v>0.190258751902583</v>
      </c>
      <c r="H129" s="41" t="n">
        <f aca="false">'2026 Forecast A'!L77</f>
        <v>2.33474301775677</v>
      </c>
      <c r="I129" s="41" t="n">
        <f aca="false">'2026 Forecast B'!L77</f>
        <v>2.3905596931527</v>
      </c>
      <c r="J129" s="41" t="n">
        <f aca="false">'2026 Forecast C'!L77</f>
        <v>2.67714402909289</v>
      </c>
      <c r="K129" s="18" t="n">
        <f aca="false">'2026 Forecast A'!F77</f>
        <v>2628</v>
      </c>
      <c r="L129" s="42" t="str">
        <f aca="false">IF(OR(AND(D129&gt;0.5,E129&gt;0.5,F129&gt;0.5),AND(D129&lt;0.5,E129&lt;0.5,F129&lt;0.5)),"Yes","No — toss-up")</f>
        <v>Yes</v>
      </c>
    </row>
    <row r="130" customFormat="false" ht="15" hidden="false" customHeight="false" outlineLevel="0" collapsed="false">
      <c r="A130" s="9" t="str">
        <f aca="false">'2026 Forecast A'!A78</f>
        <v>Northampton</v>
      </c>
      <c r="B130" s="9" t="str">
        <f aca="false">'2026 Forecast A'!B78</f>
        <v>LEHIGH</v>
      </c>
      <c r="C130" s="9" t="str">
        <f aca="false">'2026 Forecast A'!C78</f>
        <v>(whole municipality)</v>
      </c>
      <c r="D130" s="10" t="n">
        <f aca="false">'2026 Forecast A'!G78</f>
        <v>0.342011612661547</v>
      </c>
      <c r="E130" s="10" t="n">
        <f aca="false">'2026 Forecast B'!G78</f>
        <v>0.342386214646938</v>
      </c>
      <c r="F130" s="10" t="n">
        <f aca="false">'2026 Forecast C'!G78</f>
        <v>0.332833864019479</v>
      </c>
      <c r="G130" s="40" t="n">
        <f aca="false">(MAX(D130:F130)-MIN(D130:F130))*100</f>
        <v>0.955235062745835</v>
      </c>
      <c r="H130" s="41" t="n">
        <f aca="false">'2026 Forecast A'!L78</f>
        <v>2.40212857654826</v>
      </c>
      <c r="I130" s="41" t="n">
        <f aca="false">'2026 Forecast B'!L78</f>
        <v>2.25993932789826</v>
      </c>
      <c r="J130" s="41" t="n">
        <f aca="false">'2026 Forecast C'!L78</f>
        <v>2.45698128876881</v>
      </c>
      <c r="K130" s="18" t="n">
        <f aca="false">'2026 Forecast A'!F78</f>
        <v>5339</v>
      </c>
      <c r="L130" s="42" t="str">
        <f aca="false">IF(OR(AND(D130&gt;0.5,E130&gt;0.5,F130&gt;0.5),AND(D130&lt;0.5,E130&lt;0.5,F130&lt;0.5)),"Yes","No — toss-up")</f>
        <v>Yes</v>
      </c>
    </row>
    <row r="131" customFormat="false" ht="15" hidden="false" customHeight="false" outlineLevel="0" collapsed="false">
      <c r="A131" s="9" t="str">
        <f aca="false">'2026 Forecast A'!A79</f>
        <v>Northampton</v>
      </c>
      <c r="B131" s="9" t="str">
        <f aca="false">'2026 Forecast A'!B79</f>
        <v>LOWER MOUNT BETHEL</v>
      </c>
      <c r="C131" s="9" t="str">
        <f aca="false">'2026 Forecast A'!C79</f>
        <v>(whole municipality)</v>
      </c>
      <c r="D131" s="10" t="n">
        <f aca="false">'2026 Forecast A'!G79</f>
        <v>0.343532684283727</v>
      </c>
      <c r="E131" s="10" t="n">
        <f aca="false">'2026 Forecast B'!G79</f>
        <v>0.342141863699583</v>
      </c>
      <c r="F131" s="10" t="n">
        <f aca="false">'2026 Forecast C'!G79</f>
        <v>0.333796940194715</v>
      </c>
      <c r="G131" s="40" t="n">
        <f aca="false">(MAX(D131:F131)-MIN(D131:F131))*100</f>
        <v>0.973574408901251</v>
      </c>
      <c r="H131" s="41" t="n">
        <f aca="false">'2026 Forecast A'!L79</f>
        <v>2.33474301775677</v>
      </c>
      <c r="I131" s="41" t="n">
        <f aca="false">'2026 Forecast B'!L79</f>
        <v>2.3905596931527</v>
      </c>
      <c r="J131" s="41" t="n">
        <f aca="false">'2026 Forecast C'!L79</f>
        <v>2.67714402909289</v>
      </c>
      <c r="K131" s="18" t="n">
        <f aca="false">'2026 Forecast A'!F79</f>
        <v>1438</v>
      </c>
      <c r="L131" s="42" t="str">
        <f aca="false">IF(OR(AND(D131&gt;0.5,E131&gt;0.5,F131&gt;0.5),AND(D131&lt;0.5,E131&lt;0.5,F131&lt;0.5)),"Yes","No — toss-up")</f>
        <v>Yes</v>
      </c>
    </row>
    <row r="132" customFormat="false" ht="15" hidden="false" customHeight="false" outlineLevel="0" collapsed="false">
      <c r="A132" s="9" t="str">
        <f aca="false">'2026 Forecast A'!A80</f>
        <v>Northampton</v>
      </c>
      <c r="B132" s="9" t="str">
        <f aca="false">'2026 Forecast A'!B80</f>
        <v>LOWER NAZARETH</v>
      </c>
      <c r="C132" s="9" t="str">
        <f aca="false">'2026 Forecast A'!C80</f>
        <v>(whole municipality)</v>
      </c>
      <c r="D132" s="10" t="n">
        <f aca="false">'2026 Forecast A'!G80</f>
        <v>0.460236432025793</v>
      </c>
      <c r="E132" s="10" t="n">
        <f aca="false">'2026 Forecast B'!G80</f>
        <v>0.454056958624396</v>
      </c>
      <c r="F132" s="10" t="n">
        <f aca="false">'2026 Forecast C'!G80</f>
        <v>0.455131649650725</v>
      </c>
      <c r="G132" s="40" t="n">
        <f aca="false">(MAX(D132:F132)-MIN(D132:F132))*100</f>
        <v>0.617947340139707</v>
      </c>
      <c r="H132" s="41" t="n">
        <f aca="false">'2026 Forecast A'!L80</f>
        <v>2.40212857654826</v>
      </c>
      <c r="I132" s="41" t="n">
        <f aca="false">'2026 Forecast B'!L80</f>
        <v>2.25993932789826</v>
      </c>
      <c r="J132" s="41" t="n">
        <f aca="false">'2026 Forecast C'!L80</f>
        <v>2.45698128876881</v>
      </c>
      <c r="K132" s="18" t="n">
        <f aca="false">'2026 Forecast A'!F80</f>
        <v>3722</v>
      </c>
      <c r="L132" s="42" t="str">
        <f aca="false">IF(OR(AND(D132&gt;0.5,E132&gt;0.5,F132&gt;0.5),AND(D132&lt;0.5,E132&lt;0.5,F132&lt;0.5)),"Yes","No — toss-up")</f>
        <v>Yes</v>
      </c>
    </row>
    <row r="133" customFormat="false" ht="15" hidden="false" customHeight="false" outlineLevel="0" collapsed="false">
      <c r="A133" s="9" t="str">
        <f aca="false">'2026 Forecast A'!A81</f>
        <v>Northampton</v>
      </c>
      <c r="B133" s="9" t="str">
        <f aca="false">'2026 Forecast A'!B81</f>
        <v>LOWER SAUCON</v>
      </c>
      <c r="C133" s="9" t="str">
        <f aca="false">'2026 Forecast A'!C81</f>
        <v>(whole municipality)</v>
      </c>
      <c r="D133" s="10" t="n">
        <f aca="false">'2026 Forecast A'!G81</f>
        <v>0.486495611073599</v>
      </c>
      <c r="E133" s="10" t="n">
        <f aca="false">'2026 Forecast B'!G81</f>
        <v>0.485820391627279</v>
      </c>
      <c r="F133" s="10" t="n">
        <f aca="false">'2026 Forecast C'!G81</f>
        <v>0.483457123565159</v>
      </c>
      <c r="G133" s="40" t="n">
        <f aca="false">(MAX(D133:F133)-MIN(D133:F133))*100</f>
        <v>0.303848750844021</v>
      </c>
      <c r="H133" s="41" t="n">
        <f aca="false">'2026 Forecast A'!L81</f>
        <v>2.40212857654826</v>
      </c>
      <c r="I133" s="41" t="n">
        <f aca="false">'2026 Forecast B'!L81</f>
        <v>2.25993932789826</v>
      </c>
      <c r="J133" s="41" t="n">
        <f aca="false">'2026 Forecast C'!L81</f>
        <v>2.45698128876881</v>
      </c>
      <c r="K133" s="18" t="n">
        <f aca="false">'2026 Forecast A'!F81</f>
        <v>5924</v>
      </c>
      <c r="L133" s="42" t="str">
        <f aca="false">IF(OR(AND(D133&gt;0.5,E133&gt;0.5,F133&gt;0.5),AND(D133&lt;0.5,E133&lt;0.5,F133&lt;0.5)),"Yes","No — toss-up")</f>
        <v>Yes</v>
      </c>
    </row>
    <row r="134" customFormat="false" ht="15" hidden="false" customHeight="false" outlineLevel="0" collapsed="false">
      <c r="A134" s="9" t="str">
        <f aca="false">'2026 Forecast A'!A82</f>
        <v>Northampton</v>
      </c>
      <c r="B134" s="9" t="str">
        <f aca="false">'2026 Forecast A'!B82</f>
        <v>MOORE</v>
      </c>
      <c r="C134" s="9" t="str">
        <f aca="false">'2026 Forecast A'!C82</f>
        <v>(whole municipality)</v>
      </c>
      <c r="D134" s="10" t="n">
        <f aca="false">'2026 Forecast A'!G82</f>
        <v>0.33539603960396</v>
      </c>
      <c r="E134" s="10" t="n">
        <f aca="false">'2026 Forecast B'!G82</f>
        <v>0.336427392739274</v>
      </c>
      <c r="F134" s="10" t="n">
        <f aca="false">'2026 Forecast C'!G82</f>
        <v>0.325495049504951</v>
      </c>
      <c r="G134" s="40" t="n">
        <f aca="false">(MAX(D134:F134)-MIN(D134:F134))*100</f>
        <v>1.09323432343234</v>
      </c>
      <c r="H134" s="41" t="n">
        <f aca="false">'2026 Forecast A'!L82</f>
        <v>2.40212857654826</v>
      </c>
      <c r="I134" s="41" t="n">
        <f aca="false">'2026 Forecast B'!L82</f>
        <v>2.25993932789826</v>
      </c>
      <c r="J134" s="41" t="n">
        <f aca="false">'2026 Forecast C'!L82</f>
        <v>2.45698128876881</v>
      </c>
      <c r="K134" s="18" t="n">
        <f aca="false">'2026 Forecast A'!F82</f>
        <v>4848</v>
      </c>
      <c r="L134" s="42" t="str">
        <f aca="false">IF(OR(AND(D134&gt;0.5,E134&gt;0.5,F134&gt;0.5),AND(D134&lt;0.5,E134&lt;0.5,F134&lt;0.5)),"Yes","No — toss-up")</f>
        <v>Yes</v>
      </c>
    </row>
    <row r="135" customFormat="false" ht="15" hidden="false" customHeight="false" outlineLevel="0" collapsed="false">
      <c r="A135" s="9" t="str">
        <f aca="false">'2026 Forecast A'!A83</f>
        <v>Northampton</v>
      </c>
      <c r="B135" s="9" t="str">
        <f aca="false">'2026 Forecast A'!B83</f>
        <v>NAZARETH</v>
      </c>
      <c r="C135" s="9" t="str">
        <f aca="false">'2026 Forecast A'!C83</f>
        <v>(whole municipality)</v>
      </c>
      <c r="D135" s="10" t="n">
        <f aca="false">'2026 Forecast A'!G83</f>
        <v>0.491848906560636</v>
      </c>
      <c r="E135" s="10" t="n">
        <f aca="false">'2026 Forecast B'!G83</f>
        <v>0.495427435387674</v>
      </c>
      <c r="F135" s="10" t="n">
        <f aca="false">'2026 Forecast C'!G83</f>
        <v>0.489463220675944</v>
      </c>
      <c r="G135" s="40" t="n">
        <f aca="false">(MAX(D135:F135)-MIN(D135:F135))*100</f>
        <v>0.596421471172964</v>
      </c>
      <c r="H135" s="41" t="n">
        <f aca="false">'2026 Forecast A'!L83</f>
        <v>2.33474301775677</v>
      </c>
      <c r="I135" s="41" t="n">
        <f aca="false">'2026 Forecast B'!L83</f>
        <v>2.3905596931527</v>
      </c>
      <c r="J135" s="41" t="n">
        <f aca="false">'2026 Forecast C'!L83</f>
        <v>2.67714402909289</v>
      </c>
      <c r="K135" s="18" t="n">
        <f aca="false">'2026 Forecast A'!F83</f>
        <v>2515</v>
      </c>
      <c r="L135" s="42" t="str">
        <f aca="false">IF(OR(AND(D135&gt;0.5,E135&gt;0.5,F135&gt;0.5),AND(D135&lt;0.5,E135&lt;0.5,F135&lt;0.5)),"Yes","No — toss-up")</f>
        <v>Yes</v>
      </c>
    </row>
    <row r="136" customFormat="false" ht="15" hidden="false" customHeight="false" outlineLevel="0" collapsed="false">
      <c r="A136" s="9" t="str">
        <f aca="false">'2026 Forecast A'!A84</f>
        <v>Northampton</v>
      </c>
      <c r="B136" s="9" t="str">
        <f aca="false">'2026 Forecast A'!B84</f>
        <v>NORTH CATASAUQUA</v>
      </c>
      <c r="C136" s="9" t="str">
        <f aca="false">'2026 Forecast A'!C84</f>
        <v>(whole municipality)</v>
      </c>
      <c r="D136" s="10" t="n">
        <f aca="false">'2026 Forecast A'!G84</f>
        <v>0.495798319327731</v>
      </c>
      <c r="E136" s="10" t="n">
        <f aca="false">'2026 Forecast B'!G84</f>
        <v>0.499299719887955</v>
      </c>
      <c r="F136" s="10" t="n">
        <f aca="false">'2026 Forecast C'!G84</f>
        <v>0.494397759103642</v>
      </c>
      <c r="G136" s="40" t="n">
        <f aca="false">(MAX(D136:F136)-MIN(D136:F136))*100</f>
        <v>0.490196078431371</v>
      </c>
      <c r="H136" s="41" t="n">
        <f aca="false">'2026 Forecast A'!L84</f>
        <v>2.33474301775677</v>
      </c>
      <c r="I136" s="41" t="n">
        <f aca="false">'2026 Forecast B'!L84</f>
        <v>2.3905596931527</v>
      </c>
      <c r="J136" s="41" t="n">
        <f aca="false">'2026 Forecast C'!L84</f>
        <v>2.67714402909289</v>
      </c>
      <c r="K136" s="18" t="n">
        <f aca="false">'2026 Forecast A'!F84</f>
        <v>1428</v>
      </c>
      <c r="L136" s="42" t="str">
        <f aca="false">IF(OR(AND(D136&gt;0.5,E136&gt;0.5,F136&gt;0.5),AND(D136&lt;0.5,E136&lt;0.5,F136&lt;0.5)),"Yes","No — toss-up")</f>
        <v>Yes</v>
      </c>
    </row>
    <row r="137" customFormat="false" ht="15" hidden="false" customHeight="false" outlineLevel="0" collapsed="false">
      <c r="A137" s="9" t="str">
        <f aca="false">'2026 Forecast A'!A85</f>
        <v>Northampton</v>
      </c>
      <c r="B137" s="9" t="str">
        <f aca="false">'2026 Forecast A'!B85</f>
        <v>NORTHAMPTON</v>
      </c>
      <c r="C137" s="9" t="str">
        <f aca="false">'2026 Forecast A'!C85</f>
        <v>(whole municipality)</v>
      </c>
      <c r="D137" s="10" t="n">
        <f aca="false">'2026 Forecast A'!G85</f>
        <v>0.473342939481268</v>
      </c>
      <c r="E137" s="10" t="n">
        <f aca="false">'2026 Forecast B'!G85</f>
        <v>0.469980787704131</v>
      </c>
      <c r="F137" s="10" t="n">
        <f aca="false">'2026 Forecast C'!G85</f>
        <v>0.470461095100865</v>
      </c>
      <c r="G137" s="40" t="n">
        <f aca="false">(MAX(D137:F137)-MIN(D137:F137))*100</f>
        <v>0.336215177713733</v>
      </c>
      <c r="H137" s="41" t="n">
        <f aca="false">'2026 Forecast A'!L85</f>
        <v>2.40212857654826</v>
      </c>
      <c r="I137" s="41" t="n">
        <f aca="false">'2026 Forecast B'!L85</f>
        <v>2.25993932789826</v>
      </c>
      <c r="J137" s="41" t="n">
        <f aca="false">'2026 Forecast C'!L85</f>
        <v>2.45698128876881</v>
      </c>
      <c r="K137" s="18" t="n">
        <f aca="false">'2026 Forecast A'!F85</f>
        <v>4164</v>
      </c>
      <c r="L137" s="42" t="str">
        <f aca="false">IF(OR(AND(D137&gt;0.5,E137&gt;0.5,F137&gt;0.5),AND(D137&lt;0.5,E137&lt;0.5,F137&lt;0.5)),"Yes","No — toss-up")</f>
        <v>Yes</v>
      </c>
    </row>
    <row r="138" customFormat="false" ht="15" hidden="false" customHeight="false" outlineLevel="0" collapsed="false">
      <c r="A138" s="9" t="str">
        <f aca="false">'2026 Forecast A'!A86</f>
        <v>Northampton</v>
      </c>
      <c r="B138" s="9" t="str">
        <f aca="false">'2026 Forecast A'!B86</f>
        <v>PALMER</v>
      </c>
      <c r="C138" s="9" t="str">
        <f aca="false">'2026 Forecast A'!C86</f>
        <v>(whole municipality)</v>
      </c>
      <c r="D138" s="10" t="n">
        <f aca="false">'2026 Forecast A'!G86</f>
        <v>0.512996152763442</v>
      </c>
      <c r="E138" s="10" t="n">
        <f aca="false">'2026 Forecast B'!G86</f>
        <v>0.513559162991461</v>
      </c>
      <c r="F138" s="10" t="n">
        <f aca="false">'2026 Forecast C'!G86</f>
        <v>0.512526977573426</v>
      </c>
      <c r="G138" s="40" t="n">
        <f aca="false">(MAX(D138:F138)-MIN(D138:F138))*100</f>
        <v>0.103218541803507</v>
      </c>
      <c r="H138" s="41" t="n">
        <f aca="false">'2026 Forecast A'!L86</f>
        <v>2.40212857654826</v>
      </c>
      <c r="I138" s="41" t="n">
        <f aca="false">'2026 Forecast B'!L86</f>
        <v>2.25993932789826</v>
      </c>
      <c r="J138" s="41" t="n">
        <f aca="false">'2026 Forecast C'!L86</f>
        <v>2.45698128876881</v>
      </c>
      <c r="K138" s="18" t="n">
        <f aca="false">'2026 Forecast A'!F86</f>
        <v>10657</v>
      </c>
      <c r="L138" s="42" t="str">
        <f aca="false">IF(OR(AND(D138&gt;0.5,E138&gt;0.5,F138&gt;0.5),AND(D138&lt;0.5,E138&lt;0.5,F138&lt;0.5)),"Yes","No — toss-up")</f>
        <v>Yes</v>
      </c>
    </row>
    <row r="139" customFormat="false" ht="15" hidden="false" customHeight="false" outlineLevel="0" collapsed="false">
      <c r="A139" s="9" t="str">
        <f aca="false">'2026 Forecast A'!A87</f>
        <v>Northampton</v>
      </c>
      <c r="B139" s="9" t="str">
        <f aca="false">'2026 Forecast A'!B87</f>
        <v>PEN ARGYL</v>
      </c>
      <c r="C139" s="9" t="str">
        <f aca="false">'2026 Forecast A'!C87</f>
        <v>(whole municipality)</v>
      </c>
      <c r="D139" s="10" t="n">
        <f aca="false">'2026 Forecast A'!G87</f>
        <v>0.37151248164464</v>
      </c>
      <c r="E139" s="10" t="n">
        <f aca="false">'2026 Forecast B'!G87</f>
        <v>0.375183553597651</v>
      </c>
      <c r="F139" s="10" t="n">
        <f aca="false">'2026 Forecast C'!G87</f>
        <v>0.363436123348018</v>
      </c>
      <c r="G139" s="40" t="n">
        <f aca="false">(MAX(D139:F139)-MIN(D139:F139))*100</f>
        <v>1.17474302496329</v>
      </c>
      <c r="H139" s="41" t="n">
        <f aca="false">'2026 Forecast A'!L87</f>
        <v>2.33474301775677</v>
      </c>
      <c r="I139" s="41" t="n">
        <f aca="false">'2026 Forecast B'!L87</f>
        <v>2.3905596931527</v>
      </c>
      <c r="J139" s="41" t="n">
        <f aca="false">'2026 Forecast C'!L87</f>
        <v>2.67714402909289</v>
      </c>
      <c r="K139" s="18" t="n">
        <f aca="false">'2026 Forecast A'!F87</f>
        <v>1362</v>
      </c>
      <c r="L139" s="42" t="str">
        <f aca="false">IF(OR(AND(D139&gt;0.5,E139&gt;0.5,F139&gt;0.5),AND(D139&lt;0.5,E139&lt;0.5,F139&lt;0.5)),"Yes","No — toss-up")</f>
        <v>Yes</v>
      </c>
    </row>
    <row r="140" customFormat="false" ht="15" hidden="false" customHeight="false" outlineLevel="0" collapsed="false">
      <c r="A140" s="9" t="str">
        <f aca="false">'2026 Forecast A'!A88</f>
        <v>Northampton</v>
      </c>
      <c r="B140" s="9" t="str">
        <f aca="false">'2026 Forecast A'!B88</f>
        <v>PLAINFIELD</v>
      </c>
      <c r="C140" s="9" t="str">
        <f aca="false">'2026 Forecast A'!C88</f>
        <v>(whole municipality)</v>
      </c>
      <c r="D140" s="10" t="n">
        <f aca="false">'2026 Forecast A'!G88</f>
        <v>0.340595962832426</v>
      </c>
      <c r="E140" s="10" t="n">
        <f aca="false">'2026 Forecast B'!G88</f>
        <v>0.342838833707145</v>
      </c>
      <c r="F140" s="10" t="n">
        <f aca="false">'2026 Forecast C'!G88</f>
        <v>0.331304069208587</v>
      </c>
      <c r="G140" s="40" t="n">
        <f aca="false">(MAX(D140:F140)-MIN(D140:F140))*100</f>
        <v>1.15347644985581</v>
      </c>
      <c r="H140" s="41" t="n">
        <f aca="false">'2026 Forecast A'!L88</f>
        <v>2.40212857654826</v>
      </c>
      <c r="I140" s="41" t="n">
        <f aca="false">'2026 Forecast B'!L88</f>
        <v>2.25993932789826</v>
      </c>
      <c r="J140" s="41" t="n">
        <f aca="false">'2026 Forecast C'!L88</f>
        <v>2.45698128876881</v>
      </c>
      <c r="K140" s="18" t="n">
        <f aca="false">'2026 Forecast A'!F88</f>
        <v>3121</v>
      </c>
      <c r="L140" s="42" t="str">
        <f aca="false">IF(OR(AND(D140&gt;0.5,E140&gt;0.5,F140&gt;0.5),AND(D140&lt;0.5,E140&lt;0.5,F140&lt;0.5)),"Yes","No — toss-up")</f>
        <v>Yes</v>
      </c>
    </row>
    <row r="141" customFormat="false" ht="15" hidden="false" customHeight="false" outlineLevel="0" collapsed="false">
      <c r="A141" s="9" t="str">
        <f aca="false">'2026 Forecast A'!A89</f>
        <v>Northampton</v>
      </c>
      <c r="B141" s="9" t="str">
        <f aca="false">'2026 Forecast A'!B89</f>
        <v>PORTLAND</v>
      </c>
      <c r="C141" s="9" t="str">
        <f aca="false">'2026 Forecast A'!C89</f>
        <v>(whole municipality)</v>
      </c>
      <c r="D141" s="10" t="n">
        <f aca="false">'2026 Forecast A'!G89</f>
        <v>0.352040816326531</v>
      </c>
      <c r="E141" s="10" t="n">
        <f aca="false">'2026 Forecast B'!G89</f>
        <v>0.362244897959184</v>
      </c>
      <c r="F141" s="10" t="n">
        <f aca="false">'2026 Forecast C'!G89</f>
        <v>0.341836734693878</v>
      </c>
      <c r="G141" s="40" t="n">
        <f aca="false">(MAX(D141:F141)-MIN(D141:F141))*100</f>
        <v>2.04081632653061</v>
      </c>
      <c r="H141" s="41" t="n">
        <f aca="false">'2026 Forecast A'!L89</f>
        <v>3.35825924802223</v>
      </c>
      <c r="I141" s="41" t="n">
        <f aca="false">'2026 Forecast B'!L89</f>
        <v>3.28161064668305</v>
      </c>
      <c r="J141" s="41" t="n">
        <f aca="false">'2026 Forecast C'!L89</f>
        <v>3.51519956975275</v>
      </c>
      <c r="K141" s="18" t="n">
        <f aca="false">'2026 Forecast A'!F89</f>
        <v>196</v>
      </c>
      <c r="L141" s="42" t="str">
        <f aca="false">IF(OR(AND(D141&gt;0.5,E141&gt;0.5,F141&gt;0.5),AND(D141&lt;0.5,E141&lt;0.5,F141&lt;0.5)),"Yes","No — toss-up")</f>
        <v>Yes</v>
      </c>
    </row>
    <row r="142" customFormat="false" ht="15" hidden="false" customHeight="false" outlineLevel="0" collapsed="false">
      <c r="A142" s="9" t="str">
        <f aca="false">'2026 Forecast A'!A90</f>
        <v>Northampton</v>
      </c>
      <c r="B142" s="9" t="str">
        <f aca="false">'2026 Forecast A'!B90</f>
        <v>ROSETO</v>
      </c>
      <c r="C142" s="9" t="str">
        <f aca="false">'2026 Forecast A'!C90</f>
        <v>(whole municipality)</v>
      </c>
      <c r="D142" s="10" t="n">
        <f aca="false">'2026 Forecast A'!G90</f>
        <v>0.37280701754386</v>
      </c>
      <c r="E142" s="10" t="n">
        <f aca="false">'2026 Forecast B'!G90</f>
        <v>0.371345029239766</v>
      </c>
      <c r="F142" s="10" t="n">
        <f aca="false">'2026 Forecast C'!G90</f>
        <v>0.368421052631579</v>
      </c>
      <c r="G142" s="40" t="n">
        <f aca="false">(MAX(D142:F142)-MIN(D142:F142))*100</f>
        <v>0.438596491228072</v>
      </c>
      <c r="H142" s="41" t="n">
        <f aca="false">'2026 Forecast A'!L90</f>
        <v>3.35825924802223</v>
      </c>
      <c r="I142" s="41" t="n">
        <f aca="false">'2026 Forecast B'!L90</f>
        <v>3.28161064668305</v>
      </c>
      <c r="J142" s="41" t="n">
        <f aca="false">'2026 Forecast C'!L90</f>
        <v>3.51519956975275</v>
      </c>
      <c r="K142" s="18" t="n">
        <f aca="false">'2026 Forecast A'!F90</f>
        <v>684</v>
      </c>
      <c r="L142" s="42" t="str">
        <f aca="false">IF(OR(AND(D142&gt;0.5,E142&gt;0.5,F142&gt;0.5),AND(D142&lt;0.5,E142&lt;0.5,F142&lt;0.5)),"Yes","No — toss-up")</f>
        <v>Yes</v>
      </c>
    </row>
    <row r="143" customFormat="false" ht="15" hidden="false" customHeight="false" outlineLevel="0" collapsed="false">
      <c r="A143" s="9" t="str">
        <f aca="false">'2026 Forecast A'!A91</f>
        <v>Northampton</v>
      </c>
      <c r="B143" s="9" t="str">
        <f aca="false">'2026 Forecast A'!B91</f>
        <v>STOCKERTOWN</v>
      </c>
      <c r="C143" s="9" t="str">
        <f aca="false">'2026 Forecast A'!C91</f>
        <v>(whole municipality)</v>
      </c>
      <c r="D143" s="10" t="n">
        <f aca="false">'2026 Forecast A'!G91</f>
        <v>0.413881748071979</v>
      </c>
      <c r="E143" s="10" t="n">
        <f aca="false">'2026 Forecast B'!G91</f>
        <v>0.411311053984576</v>
      </c>
      <c r="F143" s="10" t="n">
        <f aca="false">'2026 Forecast C'!G91</f>
        <v>0.406169665809769</v>
      </c>
      <c r="G143" s="40" t="n">
        <f aca="false">(MAX(D143:F143)-MIN(D143:F143))*100</f>
        <v>0.771208226221076</v>
      </c>
      <c r="H143" s="41" t="n">
        <f aca="false">'2026 Forecast A'!L91</f>
        <v>3.35825924802223</v>
      </c>
      <c r="I143" s="41" t="n">
        <f aca="false">'2026 Forecast B'!L91</f>
        <v>3.28161064668305</v>
      </c>
      <c r="J143" s="41" t="n">
        <f aca="false">'2026 Forecast C'!L91</f>
        <v>3.51519956975275</v>
      </c>
      <c r="K143" s="18" t="n">
        <f aca="false">'2026 Forecast A'!F91</f>
        <v>389</v>
      </c>
      <c r="L143" s="42" t="str">
        <f aca="false">IF(OR(AND(D143&gt;0.5,E143&gt;0.5,F143&gt;0.5),AND(D143&lt;0.5,E143&lt;0.5,F143&lt;0.5)),"Yes","No — toss-up")</f>
        <v>Yes</v>
      </c>
    </row>
    <row r="144" customFormat="false" ht="15" hidden="false" customHeight="false" outlineLevel="0" collapsed="false">
      <c r="A144" s="9" t="str">
        <f aca="false">'2026 Forecast A'!A92</f>
        <v>Northampton</v>
      </c>
      <c r="B144" s="9" t="str">
        <f aca="false">'2026 Forecast A'!B92</f>
        <v>TATAMY</v>
      </c>
      <c r="C144" s="9" t="str">
        <f aca="false">'2026 Forecast A'!C92</f>
        <v>(whole municipality)</v>
      </c>
      <c r="D144" s="10" t="n">
        <f aca="false">'2026 Forecast A'!G92</f>
        <v>0.42358803986711</v>
      </c>
      <c r="E144" s="10" t="n">
        <f aca="false">'2026 Forecast B'!G92</f>
        <v>0.421926910299003</v>
      </c>
      <c r="F144" s="10" t="n">
        <f aca="false">'2026 Forecast C'!G92</f>
        <v>0.420265780730897</v>
      </c>
      <c r="G144" s="40" t="n">
        <f aca="false">(MAX(D144:F144)-MIN(D144:F144))*100</f>
        <v>0.332225913621265</v>
      </c>
      <c r="H144" s="41" t="n">
        <f aca="false">'2026 Forecast A'!L92</f>
        <v>3.35825924802223</v>
      </c>
      <c r="I144" s="41" t="n">
        <f aca="false">'2026 Forecast B'!L92</f>
        <v>3.28161064668305</v>
      </c>
      <c r="J144" s="41" t="n">
        <f aca="false">'2026 Forecast C'!L92</f>
        <v>3.51519956975275</v>
      </c>
      <c r="K144" s="18" t="n">
        <f aca="false">'2026 Forecast A'!F92</f>
        <v>602</v>
      </c>
      <c r="L144" s="42" t="str">
        <f aca="false">IF(OR(AND(D144&gt;0.5,E144&gt;0.5,F144&gt;0.5),AND(D144&lt;0.5,E144&lt;0.5,F144&lt;0.5)),"Yes","No — toss-up")</f>
        <v>Yes</v>
      </c>
    </row>
    <row r="145" customFormat="false" ht="15" hidden="false" customHeight="false" outlineLevel="0" collapsed="false">
      <c r="A145" s="9" t="str">
        <f aca="false">'2026 Forecast A'!A93</f>
        <v>Northampton</v>
      </c>
      <c r="B145" s="9" t="str">
        <f aca="false">'2026 Forecast A'!B93</f>
        <v>UPPER MOUNT BETHEL</v>
      </c>
      <c r="C145" s="9" t="str">
        <f aca="false">'2026 Forecast A'!C93</f>
        <v>(whole municipality)</v>
      </c>
      <c r="D145" s="10" t="n">
        <f aca="false">'2026 Forecast A'!G93</f>
        <v>0.318499682136046</v>
      </c>
      <c r="E145" s="10" t="n">
        <f aca="false">'2026 Forecast B'!G93</f>
        <v>0.320406865861411</v>
      </c>
      <c r="F145" s="10" t="n">
        <f aca="false">'2026 Forecast C'!G93</f>
        <v>0.308328035600763</v>
      </c>
      <c r="G145" s="40" t="n">
        <f aca="false">(MAX(D145:F145)-MIN(D145:F145))*100</f>
        <v>1.20788302606484</v>
      </c>
      <c r="H145" s="41" t="n">
        <f aca="false">'2026 Forecast A'!L93</f>
        <v>2.40212857654826</v>
      </c>
      <c r="I145" s="41" t="n">
        <f aca="false">'2026 Forecast B'!L93</f>
        <v>2.25993932789826</v>
      </c>
      <c r="J145" s="41" t="n">
        <f aca="false">'2026 Forecast C'!L93</f>
        <v>2.45698128876881</v>
      </c>
      <c r="K145" s="18" t="n">
        <f aca="false">'2026 Forecast A'!F93</f>
        <v>3146</v>
      </c>
      <c r="L145" s="42" t="str">
        <f aca="false">IF(OR(AND(D145&gt;0.5,E145&gt;0.5,F145&gt;0.5),AND(D145&lt;0.5,E145&lt;0.5,F145&lt;0.5)),"Yes","No — toss-up")</f>
        <v>Yes</v>
      </c>
    </row>
    <row r="146" customFormat="false" ht="15" hidden="false" customHeight="false" outlineLevel="0" collapsed="false">
      <c r="A146" s="9" t="str">
        <f aca="false">'2026 Forecast A'!A94</f>
        <v>Northampton</v>
      </c>
      <c r="B146" s="9" t="str">
        <f aca="false">'2026 Forecast A'!B94</f>
        <v>UPPER NAZARETH</v>
      </c>
      <c r="C146" s="9" t="str">
        <f aca="false">'2026 Forecast A'!C94</f>
        <v>(whole municipality)</v>
      </c>
      <c r="D146" s="10" t="n">
        <f aca="false">'2026 Forecast A'!G94</f>
        <v>0.483674092157461</v>
      </c>
      <c r="E146" s="10" t="n">
        <f aca="false">'2026 Forecast B'!G94</f>
        <v>0.484894720781202</v>
      </c>
      <c r="F146" s="10" t="n">
        <f aca="false">'2026 Forecast C'!G94</f>
        <v>0.479707049130302</v>
      </c>
      <c r="G146" s="40" t="n">
        <f aca="false">(MAX(D146:F146)-MIN(D146:F146))*100</f>
        <v>0.518767165090023</v>
      </c>
      <c r="H146" s="41" t="n">
        <f aca="false">'2026 Forecast A'!L94</f>
        <v>2.40212857654826</v>
      </c>
      <c r="I146" s="41" t="n">
        <f aca="false">'2026 Forecast B'!L94</f>
        <v>2.25993932789826</v>
      </c>
      <c r="J146" s="41" t="n">
        <f aca="false">'2026 Forecast C'!L94</f>
        <v>2.45698128876881</v>
      </c>
      <c r="K146" s="18" t="n">
        <f aca="false">'2026 Forecast A'!F94</f>
        <v>3277</v>
      </c>
      <c r="L146" s="42" t="str">
        <f aca="false">IF(OR(AND(D146&gt;0.5,E146&gt;0.5,F146&gt;0.5),AND(D146&lt;0.5,E146&lt;0.5,F146&lt;0.5)),"Yes","No — toss-up")</f>
        <v>Yes</v>
      </c>
    </row>
    <row r="147" customFormat="false" ht="15" hidden="false" customHeight="false" outlineLevel="0" collapsed="false">
      <c r="A147" s="9" t="str">
        <f aca="false">'2026 Forecast A'!A95</f>
        <v>Northampton</v>
      </c>
      <c r="B147" s="9" t="str">
        <f aca="false">'2026 Forecast A'!B95</f>
        <v>WALNUTPORT</v>
      </c>
      <c r="C147" s="9" t="str">
        <f aca="false">'2026 Forecast A'!C95</f>
        <v>(whole municipality)</v>
      </c>
      <c r="D147" s="10" t="n">
        <f aca="false">'2026 Forecast A'!G95</f>
        <v>0.391590013140605</v>
      </c>
      <c r="E147" s="10" t="n">
        <f aca="false">'2026 Forecast B'!G95</f>
        <v>0.396846254927727</v>
      </c>
      <c r="F147" s="10" t="n">
        <f aca="false">'2026 Forecast C'!G95</f>
        <v>0.385019710906702</v>
      </c>
      <c r="G147" s="40" t="n">
        <f aca="false">(MAX(D147:F147)-MIN(D147:F147))*100</f>
        <v>1.1826544021025</v>
      </c>
      <c r="H147" s="41" t="n">
        <f aca="false">'2026 Forecast A'!L95</f>
        <v>3.35825924802223</v>
      </c>
      <c r="I147" s="41" t="n">
        <f aca="false">'2026 Forecast B'!L95</f>
        <v>3.28161064668305</v>
      </c>
      <c r="J147" s="41" t="n">
        <f aca="false">'2026 Forecast C'!L95</f>
        <v>3.51519956975275</v>
      </c>
      <c r="K147" s="18" t="n">
        <f aca="false">'2026 Forecast A'!F95</f>
        <v>761</v>
      </c>
      <c r="L147" s="42" t="str">
        <f aca="false">IF(OR(AND(D147&gt;0.5,E147&gt;0.5,F147&gt;0.5),AND(D147&lt;0.5,E147&lt;0.5,F147&lt;0.5)),"Yes","No — toss-up")</f>
        <v>Yes</v>
      </c>
    </row>
    <row r="148" customFormat="false" ht="15" hidden="false" customHeight="false" outlineLevel="0" collapsed="false">
      <c r="A148" s="9" t="str">
        <f aca="false">'2026 Forecast A'!A96</f>
        <v>Northampton</v>
      </c>
      <c r="B148" s="9" t="str">
        <f aca="false">'2026 Forecast A'!B96</f>
        <v>WASHINGTON</v>
      </c>
      <c r="C148" s="9" t="str">
        <f aca="false">'2026 Forecast A'!C96</f>
        <v>(whole municipality)</v>
      </c>
      <c r="D148" s="10" t="n">
        <f aca="false">'2026 Forecast A'!G96</f>
        <v>0.335148722245496</v>
      </c>
      <c r="E148" s="10" t="n">
        <f aca="false">'2026 Forecast B'!G96</f>
        <v>0.340175953079179</v>
      </c>
      <c r="F148" s="10" t="n">
        <f aca="false">'2026 Forecast C'!G96</f>
        <v>0.325932132383745</v>
      </c>
      <c r="G148" s="40" t="n">
        <f aca="false">(MAX(D148:F148)-MIN(D148:F148))*100</f>
        <v>1.42438206954336</v>
      </c>
      <c r="H148" s="41" t="n">
        <f aca="false">'2026 Forecast A'!L96</f>
        <v>2.33474301775677</v>
      </c>
      <c r="I148" s="41" t="n">
        <f aca="false">'2026 Forecast B'!L96</f>
        <v>2.3905596931527</v>
      </c>
      <c r="J148" s="41" t="n">
        <f aca="false">'2026 Forecast C'!L96</f>
        <v>2.67714402909289</v>
      </c>
      <c r="K148" s="18" t="n">
        <f aca="false">'2026 Forecast A'!F96</f>
        <v>2387</v>
      </c>
      <c r="L148" s="42" t="str">
        <f aca="false">IF(OR(AND(D148&gt;0.5,E148&gt;0.5,F148&gt;0.5),AND(D148&lt;0.5,E148&lt;0.5,F148&lt;0.5)),"Yes","No — toss-up")</f>
        <v>Yes</v>
      </c>
    </row>
    <row r="149" customFormat="false" ht="15" hidden="false" customHeight="false" outlineLevel="0" collapsed="false">
      <c r="A149" s="9" t="str">
        <f aca="false">'2026 Forecast A'!A97</f>
        <v>Northampton</v>
      </c>
      <c r="B149" s="9" t="str">
        <f aca="false">'2026 Forecast A'!B97</f>
        <v>WEST EASTON</v>
      </c>
      <c r="C149" s="9" t="str">
        <f aca="false">'2026 Forecast A'!C97</f>
        <v>(whole municipality)</v>
      </c>
      <c r="D149" s="10" t="n">
        <f aca="false">'2026 Forecast A'!G97</f>
        <v>0.486301369863014</v>
      </c>
      <c r="E149" s="10" t="n">
        <f aca="false">'2026 Forecast B'!G97</f>
        <v>0.481735159817352</v>
      </c>
      <c r="F149" s="10" t="n">
        <f aca="false">'2026 Forecast C'!G97</f>
        <v>0.484018264840183</v>
      </c>
      <c r="G149" s="40" t="n">
        <f aca="false">(MAX(D149:F149)-MIN(D149:F149))*100</f>
        <v>0.45662100456621</v>
      </c>
      <c r="H149" s="41" t="n">
        <f aca="false">'2026 Forecast A'!L97</f>
        <v>3.35825924802223</v>
      </c>
      <c r="I149" s="41" t="n">
        <f aca="false">'2026 Forecast B'!L97</f>
        <v>3.28161064668305</v>
      </c>
      <c r="J149" s="41" t="n">
        <f aca="false">'2026 Forecast C'!L97</f>
        <v>3.51519956975275</v>
      </c>
      <c r="K149" s="18" t="n">
        <f aca="false">'2026 Forecast A'!F97</f>
        <v>438</v>
      </c>
      <c r="L149" s="42" t="str">
        <f aca="false">IF(OR(AND(D149&gt;0.5,E149&gt;0.5,F149&gt;0.5),AND(D149&lt;0.5,E149&lt;0.5,F149&lt;0.5)),"Yes","No — toss-up")</f>
        <v>Yes</v>
      </c>
    </row>
    <row r="150" customFormat="false" ht="15" hidden="false" customHeight="false" outlineLevel="0" collapsed="false">
      <c r="A150" s="9" t="str">
        <f aca="false">'2026 Forecast A'!A98</f>
        <v>Northampton</v>
      </c>
      <c r="B150" s="9" t="str">
        <f aca="false">'2026 Forecast A'!B98</f>
        <v>WILLIAMS TOWNSHIP</v>
      </c>
      <c r="C150" s="9" t="str">
        <f aca="false">'2026 Forecast A'!C98</f>
        <v>(whole municipality)</v>
      </c>
      <c r="D150" s="10" t="n">
        <f aca="false">'2026 Forecast A'!G98</f>
        <v>0.433749257278669</v>
      </c>
      <c r="E150" s="10" t="n">
        <f aca="false">'2026 Forecast B'!G98</f>
        <v>0.429590017825312</v>
      </c>
      <c r="F150" s="10" t="n">
        <f aca="false">'2026 Forecast C'!G98</f>
        <v>0.430778371954843</v>
      </c>
      <c r="G150" s="40" t="n">
        <f aca="false">(MAX(D150:F150)-MIN(D150:F150))*100</f>
        <v>0.415923945335711</v>
      </c>
      <c r="H150" s="41" t="n">
        <f aca="false">'2026 Forecast A'!L98</f>
        <v>2.40212857654826</v>
      </c>
      <c r="I150" s="41" t="n">
        <f aca="false">'2026 Forecast B'!L98</f>
        <v>2.25993932789826</v>
      </c>
      <c r="J150" s="41" t="n">
        <f aca="false">'2026 Forecast C'!L98</f>
        <v>2.45698128876881</v>
      </c>
      <c r="K150" s="18" t="n">
        <f aca="false">'2026 Forecast A'!F98</f>
        <v>3366</v>
      </c>
      <c r="L150" s="42" t="str">
        <f aca="false">IF(OR(AND(D150&gt;0.5,E150&gt;0.5,F150&gt;0.5),AND(D150&lt;0.5,E150&lt;0.5,F150&lt;0.5)),"Yes","No — toss-up")</f>
        <v>Yes</v>
      </c>
    </row>
    <row r="151" customFormat="false" ht="15" hidden="false" customHeight="false" outlineLevel="0" collapsed="false">
      <c r="A151" s="9" t="str">
        <f aca="false">'2026 Forecast A'!A99</f>
        <v>Northampton</v>
      </c>
      <c r="B151" s="9" t="str">
        <f aca="false">'2026 Forecast A'!B99</f>
        <v>WILSON</v>
      </c>
      <c r="C151" s="9" t="str">
        <f aca="false">'2026 Forecast A'!C99</f>
        <v>(whole municipality)</v>
      </c>
      <c r="D151" s="10" t="n">
        <f aca="false">'2026 Forecast A'!G99</f>
        <v>0.559148936170213</v>
      </c>
      <c r="E151" s="10" t="n">
        <f aca="false">'2026 Forecast B'!G99</f>
        <v>0.562127659574468</v>
      </c>
      <c r="F151" s="10" t="n">
        <f aca="false">'2026 Forecast C'!G99</f>
        <v>0.562978723404255</v>
      </c>
      <c r="G151" s="40" t="n">
        <f aca="false">(MAX(D151:F151)-MIN(D151:F151))*100</f>
        <v>0.382978723404259</v>
      </c>
      <c r="H151" s="41" t="n">
        <f aca="false">'2026 Forecast A'!L99</f>
        <v>2.33474301775677</v>
      </c>
      <c r="I151" s="41" t="n">
        <f aca="false">'2026 Forecast B'!L99</f>
        <v>2.3905596931527</v>
      </c>
      <c r="J151" s="41" t="n">
        <f aca="false">'2026 Forecast C'!L99</f>
        <v>2.67714402909289</v>
      </c>
      <c r="K151" s="18" t="n">
        <f aca="false">'2026 Forecast A'!F99</f>
        <v>2350</v>
      </c>
      <c r="L151" s="42" t="str">
        <f aca="false">IF(OR(AND(D151&gt;0.5,E151&gt;0.5,F151&gt;0.5),AND(D151&lt;0.5,E151&lt;0.5,F151&lt;0.5)),"Yes","No — toss-up")</f>
        <v>Yes</v>
      </c>
    </row>
    <row r="152" customFormat="false" ht="15" hidden="false" customHeight="false" outlineLevel="0" collapsed="false">
      <c r="A152" s="9" t="str">
        <f aca="false">'2026 Forecast A'!A100</f>
        <v>Northampton</v>
      </c>
      <c r="B152" s="9" t="str">
        <f aca="false">'2026 Forecast A'!B100</f>
        <v>WIND GAP</v>
      </c>
      <c r="C152" s="9" t="str">
        <f aca="false">'2026 Forecast A'!C100</f>
        <v>(whole municipality)</v>
      </c>
      <c r="D152" s="10" t="n">
        <f aca="false">'2026 Forecast A'!G100</f>
        <v>0.431441048034935</v>
      </c>
      <c r="E152" s="10" t="n">
        <f aca="false">'2026 Forecast B'!G100</f>
        <v>0.433187772925764</v>
      </c>
      <c r="F152" s="10" t="n">
        <f aca="false">'2026 Forecast C'!G100</f>
        <v>0.427947598253275</v>
      </c>
      <c r="G152" s="40" t="n">
        <f aca="false">(MAX(D152:F152)-MIN(D152:F152))*100</f>
        <v>0.524017467248911</v>
      </c>
      <c r="H152" s="41" t="n">
        <f aca="false">'2026 Forecast A'!L100</f>
        <v>3.35825924802223</v>
      </c>
      <c r="I152" s="41" t="n">
        <f aca="false">'2026 Forecast B'!L100</f>
        <v>3.28161064668305</v>
      </c>
      <c r="J152" s="41" t="n">
        <f aca="false">'2026 Forecast C'!L100</f>
        <v>3.51519956975275</v>
      </c>
      <c r="K152" s="18" t="n">
        <f aca="false">'2026 Forecast A'!F100</f>
        <v>1145</v>
      </c>
      <c r="L152" s="42" t="str">
        <f aca="false">IF(OR(AND(D152&gt;0.5,E152&gt;0.5,F152&gt;0.5),AND(D152&lt;0.5,E152&lt;0.5,F152&lt;0.5)),"Yes","No — toss-up")</f>
        <v>Yes</v>
      </c>
    </row>
  </sheetData>
  <mergeCells count="13">
    <mergeCell ref="A5:I5"/>
    <mergeCell ref="A9:I9"/>
    <mergeCell ref="A16:I16"/>
    <mergeCell ref="A29:J29"/>
    <mergeCell ref="A34:J34"/>
    <mergeCell ref="A36:L36"/>
    <mergeCell ref="A50:L50"/>
    <mergeCell ref="A52:L52"/>
    <mergeCell ref="A54:L54"/>
    <mergeCell ref="A56:L56"/>
    <mergeCell ref="A58:L58"/>
    <mergeCell ref="A60:L60"/>
    <mergeCell ref="A62:L62"/>
  </mergeCells>
  <conditionalFormatting sqref="D64:F152">
    <cfRule type="colorScale" priority="2">
      <colorScale>
        <cfvo type="num" val="0.25"/>
        <cfvo type="num" val="0.5"/>
        <cfvo type="num" val="0.75"/>
        <color rgb="FFF4B6B6"/>
        <color rgb="FFFFFFFF"/>
        <color rgb="FFB4C7E7"/>
      </colorScale>
    </cfRule>
  </conditionalFormatting>
  <conditionalFormatting sqref="L64:L152">
    <cfRule type="cellIs" priority="3" operator="notEqual" aboveAverage="0" equalAverage="0" bottom="0" percent="0" rank="0" text="" dxfId="0">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4"/>
    <col collapsed="false" customWidth="true" hidden="false" outlineLevel="0" max="7" min="6" style="0" width="12"/>
    <col collapsed="false" customWidth="true" hidden="false" outlineLevel="0" max="8" min="8" style="0" width="13"/>
    <col collapsed="false" customWidth="true" hidden="false" outlineLevel="0" max="9" min="9" style="0" width="44"/>
    <col collapsed="false" customWidth="true" hidden="false" outlineLevel="0" max="11" min="10" style="0" width="13"/>
    <col collapsed="false" customWidth="true" hidden="false" outlineLevel="0" max="14" min="12" style="0" width="12"/>
    <col collapsed="false" customWidth="true" hidden="false" outlineLevel="0" max="16" min="15" style="0" width="13"/>
    <col collapsed="false" customWidth="true" hidden="false" outlineLevel="0" max="17" min="17" style="0" width="3"/>
    <col collapsed="false" customWidth="true" hidden="false" outlineLevel="0" max="18" min="18" style="0" width="13"/>
    <col collapsed="false" customWidth="true" hidden="false" outlineLevel="0" max="19" min="19" style="0" width="15"/>
    <col collapsed="false" customWidth="true" hidden="false" outlineLevel="0" max="21" min="20" style="0" width="14"/>
    <col collapsed="false" customWidth="true" hidden="false" outlineLevel="0" max="23" min="22" style="0" width="13"/>
    <col collapsed="false" customWidth="true" hidden="false" outlineLevel="0" max="24" min="24" style="0" width="12"/>
    <col collapsed="false" customWidth="true" hidden="false" outlineLevel="0" max="25" min="25" style="0" width="30"/>
  </cols>
  <sheetData>
    <row r="1" customFormat="false" ht="17.35" hidden="false" customHeight="false" outlineLevel="0" collapsed="false">
      <c r="A1" s="1" t="s">
        <v>86</v>
      </c>
    </row>
    <row r="2" customFormat="false" ht="15" hidden="false" customHeight="false" outlineLevel="0" collapsed="false">
      <c r="A2" s="2" t="s">
        <v>87</v>
      </c>
    </row>
    <row r="3" customFormat="false" ht="15" hidden="false" customHeight="false" outlineLevel="0" collapsed="false">
      <c r="A3" s="13" t="s">
        <v>88</v>
      </c>
      <c r="B3" s="13"/>
      <c r="C3" s="13"/>
      <c r="D3" s="13"/>
      <c r="E3" s="13"/>
      <c r="F3" s="13"/>
      <c r="G3" s="13"/>
      <c r="H3" s="13"/>
      <c r="I3" s="13"/>
    </row>
    <row r="4" customFormat="false" ht="15" hidden="false" customHeight="false" outlineLevel="0" collapsed="false">
      <c r="A4" s="0" t="s">
        <v>89</v>
      </c>
      <c r="B4" s="0" t="s">
        <v>90</v>
      </c>
      <c r="C4" s="0" t="s">
        <v>91</v>
      </c>
      <c r="D4" s="43" t="n">
        <v>46300</v>
      </c>
      <c r="E4" s="44" t="s">
        <v>92</v>
      </c>
      <c r="F4" s="44" t="s">
        <v>93</v>
      </c>
      <c r="G4" s="44" t="s">
        <v>94</v>
      </c>
      <c r="H4" s="44" t="s">
        <v>95</v>
      </c>
    </row>
    <row r="5" customFormat="false" ht="15" hidden="false" customHeight="false" outlineLevel="0" collapsed="false">
      <c r="A5" s="0" t="s">
        <v>96</v>
      </c>
      <c r="B5" s="45" t="n">
        <f aca="false">'Scenario &amp; Comparison'!$C$6</f>
        <v>0.495158447761038</v>
      </c>
      <c r="C5" s="44" t="s">
        <v>97</v>
      </c>
      <c r="D5" s="46" t="n">
        <f aca="false">B5-SUMPRODUCT(R12:R100,S12:S100)/SUM(S12:S100)/100</f>
        <v>0.422078247208228</v>
      </c>
      <c r="E5" s="44" t="s">
        <v>98</v>
      </c>
      <c r="F5" s="47" t="n">
        <f aca="false">'Scenario &amp; Comparison'!$C$7</f>
        <v>1</v>
      </c>
    </row>
    <row r="6" customFormat="false" ht="15" hidden="false" customHeight="false" outlineLevel="0" collapsed="false">
      <c r="A6" s="4" t="s">
        <v>99</v>
      </c>
      <c r="B6" s="4"/>
      <c r="C6" s="4"/>
      <c r="D6" s="4"/>
      <c r="E6" s="4"/>
      <c r="F6" s="4"/>
      <c r="G6" s="4"/>
      <c r="H6" s="4"/>
      <c r="I6" s="4"/>
      <c r="J6" s="4"/>
      <c r="K6" s="4"/>
      <c r="L6" s="4"/>
      <c r="M6" s="4"/>
      <c r="N6" s="4"/>
      <c r="O6" s="4"/>
      <c r="P6" s="4"/>
    </row>
    <row r="7" customFormat="false" ht="45" hidden="false" customHeight="true" outlineLevel="0" collapsed="false">
      <c r="A7" s="8" t="s">
        <v>100</v>
      </c>
      <c r="B7" s="8" t="s">
        <v>101</v>
      </c>
      <c r="C7" s="8" t="s">
        <v>102</v>
      </c>
      <c r="D7" s="8" t="s">
        <v>35</v>
      </c>
      <c r="E7" s="8" t="s">
        <v>36</v>
      </c>
      <c r="F7" s="8" t="s">
        <v>37</v>
      </c>
      <c r="G7" s="8" t="s">
        <v>38</v>
      </c>
      <c r="H7" s="8" t="s">
        <v>103</v>
      </c>
      <c r="I7" s="8" t="s">
        <v>104</v>
      </c>
      <c r="J7" s="8" t="s">
        <v>105</v>
      </c>
      <c r="K7" s="8" t="s">
        <v>106</v>
      </c>
      <c r="L7" s="8" t="s">
        <v>107</v>
      </c>
      <c r="M7" s="8" t="s">
        <v>108</v>
      </c>
      <c r="N7" s="8" t="s">
        <v>109</v>
      </c>
      <c r="O7" s="8" t="s">
        <v>110</v>
      </c>
      <c r="P7" s="8" t="s">
        <v>111</v>
      </c>
    </row>
    <row r="8" customFormat="false" ht="15" hidden="false" customHeight="false" outlineLevel="0" collapsed="false">
      <c r="A8" s="20" t="s">
        <v>112</v>
      </c>
      <c r="B8" s="20" t="s">
        <v>113</v>
      </c>
      <c r="C8" s="20"/>
      <c r="D8" s="48" t="n">
        <f aca="false">SUM(D12:D100)</f>
        <v>151590</v>
      </c>
      <c r="E8" s="48" t="n">
        <f aca="false">SUM(E12:E100)</f>
        <v>154539</v>
      </c>
      <c r="F8" s="48" t="n">
        <f aca="false">D8+E8</f>
        <v>306129</v>
      </c>
      <c r="G8" s="49" t="n">
        <f aca="false">IF(F8=0,"",D8/F8)</f>
        <v>0.495183403075174</v>
      </c>
      <c r="H8" s="49" t="n">
        <f aca="false">IF(F8=0,"",E8/F8)</f>
        <v>0.504816596924826</v>
      </c>
      <c r="I8" s="20" t="s">
        <v>114</v>
      </c>
      <c r="J8" s="50" t="n">
        <v>0</v>
      </c>
      <c r="K8" s="50" t="n">
        <v>1.8117300629046</v>
      </c>
      <c r="L8" s="50" t="n">
        <f aca="false">SQRT(J8^2+K8^2)</f>
        <v>1.8117300629046</v>
      </c>
      <c r="M8" s="49" t="n">
        <f aca="false">G8-1.96*L8/100</f>
        <v>0.459673493842244</v>
      </c>
      <c r="N8" s="49" t="n">
        <f aca="false">G8+1.96*L8/100</f>
        <v>0.530693312308104</v>
      </c>
      <c r="O8" s="48" t="n">
        <f aca="false">ROUND(F8*0.04363,0)</f>
        <v>13356</v>
      </c>
      <c r="P8" s="48" t="n">
        <f aca="false">ROUND(SQRT((F8*L8/100)^2+(G8*O8)^2),0)</f>
        <v>8631</v>
      </c>
    </row>
    <row r="9" customFormat="false" ht="15" hidden="false" customHeight="false" outlineLevel="0" collapsed="false">
      <c r="A9" s="13" t="s">
        <v>115</v>
      </c>
      <c r="B9" s="13"/>
      <c r="C9" s="13"/>
      <c r="D9" s="13"/>
      <c r="E9" s="13"/>
      <c r="F9" s="13"/>
      <c r="G9" s="13"/>
      <c r="H9" s="13"/>
      <c r="I9" s="13"/>
      <c r="J9" s="13"/>
      <c r="K9" s="13"/>
      <c r="L9" s="13"/>
      <c r="M9" s="13"/>
      <c r="N9" s="13"/>
      <c r="O9" s="13"/>
      <c r="P9" s="13"/>
    </row>
    <row r="10" customFormat="false" ht="15" hidden="false" customHeight="false" outlineLevel="0" collapsed="false">
      <c r="A10" s="4" t="s">
        <v>116</v>
      </c>
      <c r="B10" s="4"/>
      <c r="C10" s="4"/>
      <c r="D10" s="4"/>
      <c r="E10" s="4"/>
      <c r="F10" s="4"/>
      <c r="G10" s="4"/>
      <c r="H10" s="4"/>
      <c r="I10" s="4"/>
      <c r="J10" s="4"/>
      <c r="K10" s="4"/>
      <c r="L10" s="4"/>
      <c r="M10" s="4"/>
      <c r="N10" s="4"/>
      <c r="O10" s="4"/>
      <c r="P10" s="4"/>
      <c r="R10" s="51" t="s">
        <v>117</v>
      </c>
      <c r="S10" s="52"/>
      <c r="T10" s="52"/>
      <c r="U10" s="52"/>
      <c r="V10" s="52"/>
      <c r="W10" s="52"/>
      <c r="X10" s="52"/>
      <c r="Y10" s="52"/>
    </row>
    <row r="11" customFormat="false" ht="31.5" hidden="false" customHeight="true" outlineLevel="0" collapsed="false">
      <c r="A11" s="8" t="s">
        <v>77</v>
      </c>
      <c r="B11" s="8" t="s">
        <v>78</v>
      </c>
      <c r="C11" s="8" t="s">
        <v>79</v>
      </c>
      <c r="D11" s="8" t="s">
        <v>35</v>
      </c>
      <c r="E11" s="8" t="s">
        <v>36</v>
      </c>
      <c r="F11" s="8" t="s">
        <v>37</v>
      </c>
      <c r="G11" s="8" t="s">
        <v>38</v>
      </c>
      <c r="H11" s="8" t="s">
        <v>103</v>
      </c>
      <c r="I11" s="8" t="s">
        <v>118</v>
      </c>
      <c r="J11" s="8" t="s">
        <v>105</v>
      </c>
      <c r="K11" s="8" t="s">
        <v>106</v>
      </c>
      <c r="L11" s="8" t="s">
        <v>107</v>
      </c>
      <c r="M11" s="8" t="s">
        <v>108</v>
      </c>
      <c r="N11" s="8" t="s">
        <v>109</v>
      </c>
      <c r="O11" s="8" t="s">
        <v>110</v>
      </c>
      <c r="P11" s="8" t="s">
        <v>111</v>
      </c>
      <c r="R11" s="53" t="s">
        <v>119</v>
      </c>
      <c r="S11" s="53" t="s">
        <v>120</v>
      </c>
      <c r="T11" s="53" t="s">
        <v>121</v>
      </c>
      <c r="U11" s="53" t="s">
        <v>122</v>
      </c>
      <c r="V11" s="53" t="s">
        <v>123</v>
      </c>
      <c r="W11" s="53" t="s">
        <v>124</v>
      </c>
      <c r="X11" s="53" t="s">
        <v>125</v>
      </c>
      <c r="Y11" s="53" t="s">
        <v>126</v>
      </c>
    </row>
    <row r="12" customFormat="false" ht="15" hidden="false" customHeight="false" outlineLevel="0" collapsed="false">
      <c r="A12" s="32" t="s">
        <v>127</v>
      </c>
      <c r="B12" s="32" t="s">
        <v>128</v>
      </c>
      <c r="C12" s="32" t="s">
        <v>129</v>
      </c>
      <c r="D12" s="54" t="n">
        <f aca="false">ROUND(S12*T12,0)</f>
        <v>138</v>
      </c>
      <c r="E12" s="54" t="n">
        <f aca="false">ROUND(S12,0)-D12</f>
        <v>226</v>
      </c>
      <c r="F12" s="54" t="n">
        <f aca="false">IF(COUNTA(D12:E12)=0,"",SUM(D12:E12))</f>
        <v>364</v>
      </c>
      <c r="G12" s="55" t="n">
        <f aca="false">IF(OR(F12="",F12=0),"",D12/F12)</f>
        <v>0.379120879120879</v>
      </c>
      <c r="H12" s="55" t="n">
        <f aca="false">IF(OR(F12="",F12=0),"",E12/F12)</f>
        <v>0.620879120879121</v>
      </c>
      <c r="I12" s="32" t="s">
        <v>130</v>
      </c>
      <c r="J12" s="36" t="n">
        <v>2.8276384769087</v>
      </c>
      <c r="K12" s="36" t="n">
        <f aca="false">$K$8</f>
        <v>1.8117300629046</v>
      </c>
      <c r="L12" s="36" t="n">
        <f aca="false">SQRT(J12^2+K12^2)</f>
        <v>3.35825924802223</v>
      </c>
      <c r="M12" s="55" t="n">
        <f aca="false">IF(G12="","",MAX(0,G12-1.96*L12/100))</f>
        <v>0.313298997859643</v>
      </c>
      <c r="N12" s="55" t="n">
        <f aca="false">IF(G12="","",MIN(1,G12+1.96*L12/100))</f>
        <v>0.444942760382115</v>
      </c>
      <c r="O12" s="54" t="n">
        <f aca="false">ROUND(S12*W12,0)</f>
        <v>28</v>
      </c>
      <c r="P12" s="54" t="n">
        <f aca="false">IF(F12="","",ROUND(SQRT((F12*L12/100)^2+(G12*O12)^2),0))</f>
        <v>16</v>
      </c>
      <c r="R12" s="56" t="n">
        <v>-4.36445125609278</v>
      </c>
      <c r="S12" s="57" t="n">
        <f aca="false">U12*V12*$F$5</f>
        <v>364.490963855422</v>
      </c>
      <c r="T12" s="58" t="n">
        <f aca="false">MAX(0,MIN(1,R12/100+$D$5))</f>
        <v>0.378433734647301</v>
      </c>
      <c r="U12" s="58" t="n">
        <v>0.581325301204819</v>
      </c>
      <c r="V12" s="57" t="n">
        <v>627</v>
      </c>
      <c r="W12" s="58" t="n">
        <v>0.0777040344688333</v>
      </c>
      <c r="X12" s="59" t="s">
        <v>131</v>
      </c>
      <c r="Y12" s="59" t="s">
        <v>132</v>
      </c>
    </row>
    <row r="13" customFormat="false" ht="15" hidden="false" customHeight="false" outlineLevel="0" collapsed="false">
      <c r="A13" s="32" t="s">
        <v>127</v>
      </c>
      <c r="B13" s="32" t="s">
        <v>133</v>
      </c>
      <c r="C13" s="32" t="s">
        <v>129</v>
      </c>
      <c r="D13" s="54" t="n">
        <f aca="false">ROUND(S13*T13,0)</f>
        <v>97</v>
      </c>
      <c r="E13" s="54" t="n">
        <f aca="false">ROUND(S13,0)-D13</f>
        <v>233</v>
      </c>
      <c r="F13" s="54" t="n">
        <f aca="false">IF(COUNTA(D13:E13)=0,"",SUM(D13:E13))</f>
        <v>330</v>
      </c>
      <c r="G13" s="55" t="n">
        <f aca="false">IF(OR(F13="",F13=0),"",D13/F13)</f>
        <v>0.293939393939394</v>
      </c>
      <c r="H13" s="55" t="n">
        <f aca="false">IF(OR(F13="",F13=0),"",E13/F13)</f>
        <v>0.706060606060606</v>
      </c>
      <c r="I13" s="32" t="s">
        <v>130</v>
      </c>
      <c r="J13" s="36" t="n">
        <v>2.8276384769087</v>
      </c>
      <c r="K13" s="36" t="n">
        <f aca="false">$K$8</f>
        <v>1.8117300629046</v>
      </c>
      <c r="L13" s="36" t="n">
        <f aca="false">SQRT(J13^2+K13^2)</f>
        <v>3.35825924802223</v>
      </c>
      <c r="M13" s="55" t="n">
        <f aca="false">IF(G13="","",MAX(0,G13-1.96*L13/100))</f>
        <v>0.228117512678158</v>
      </c>
      <c r="N13" s="55" t="n">
        <f aca="false">IF(G13="","",MIN(1,G13+1.96*L13/100))</f>
        <v>0.35976127520063</v>
      </c>
      <c r="O13" s="54" t="n">
        <f aca="false">ROUND(S13*W13,0)</f>
        <v>26</v>
      </c>
      <c r="P13" s="54" t="n">
        <f aca="false">IF(F13="","",ROUND(SQRT((F13*L13/100)^2+(G13*O13)^2),0))</f>
        <v>13</v>
      </c>
      <c r="R13" s="56" t="n">
        <v>-12.8161212462476</v>
      </c>
      <c r="S13" s="57" t="n">
        <f aca="false">U13*V13*$F$5</f>
        <v>330.130136986301</v>
      </c>
      <c r="T13" s="58" t="n">
        <f aca="false">MAX(0,MIN(1,R13/100+$D$5))</f>
        <v>0.293917034745752</v>
      </c>
      <c r="U13" s="58" t="n">
        <v>0.537671232876712</v>
      </c>
      <c r="V13" s="57" t="n">
        <v>614</v>
      </c>
      <c r="W13" s="58" t="n">
        <v>0.0777040344688333</v>
      </c>
      <c r="X13" s="59" t="s">
        <v>131</v>
      </c>
      <c r="Y13" s="59" t="s">
        <v>132</v>
      </c>
    </row>
    <row r="14" customFormat="false" ht="15" hidden="false" customHeight="false" outlineLevel="0" collapsed="false">
      <c r="A14" s="32" t="s">
        <v>127</v>
      </c>
      <c r="B14" s="32" t="s">
        <v>134</v>
      </c>
      <c r="C14" s="32" t="s">
        <v>129</v>
      </c>
      <c r="D14" s="54" t="n">
        <f aca="false">ROUND(S14*T14,0)</f>
        <v>119</v>
      </c>
      <c r="E14" s="54" t="n">
        <f aca="false">ROUND(S14,0)-D14</f>
        <v>237</v>
      </c>
      <c r="F14" s="54" t="n">
        <f aca="false">IF(COUNTA(D14:E14)=0,"",SUM(D14:E14))</f>
        <v>356</v>
      </c>
      <c r="G14" s="55" t="n">
        <f aca="false">IF(OR(F14="",F14=0),"",D14/F14)</f>
        <v>0.334269662921348</v>
      </c>
      <c r="H14" s="55" t="n">
        <f aca="false">IF(OR(F14="",F14=0),"",E14/F14)</f>
        <v>0.665730337078652</v>
      </c>
      <c r="I14" s="32" t="s">
        <v>130</v>
      </c>
      <c r="J14" s="36" t="n">
        <v>2.8276384769087</v>
      </c>
      <c r="K14" s="36" t="n">
        <f aca="false">$K$8</f>
        <v>1.8117300629046</v>
      </c>
      <c r="L14" s="36" t="n">
        <f aca="false">SQRT(J14^2+K14^2)</f>
        <v>3.35825924802223</v>
      </c>
      <c r="M14" s="55" t="n">
        <f aca="false">IF(G14="","",MAX(0,G14-1.96*L14/100))</f>
        <v>0.268447781660113</v>
      </c>
      <c r="N14" s="55" t="n">
        <f aca="false">IF(G14="","",MIN(1,G14+1.96*L14/100))</f>
        <v>0.400091544182584</v>
      </c>
      <c r="O14" s="54" t="n">
        <f aca="false">ROUND(S14*W14,0)</f>
        <v>28</v>
      </c>
      <c r="P14" s="54" t="n">
        <f aca="false">IF(F14="","",ROUND(SQRT((F14*L14/100)^2+(G14*O14)^2),0))</f>
        <v>15</v>
      </c>
      <c r="R14" s="56" t="n">
        <v>-8.8130031354795</v>
      </c>
      <c r="S14" s="57" t="n">
        <f aca="false">U14*V14*$F$5</f>
        <v>355.63436928702</v>
      </c>
      <c r="T14" s="58" t="n">
        <f aca="false">MAX(0,MIN(1,R14/100+$D$5))</f>
        <v>0.333948215853433</v>
      </c>
      <c r="U14" s="58" t="n">
        <v>0.636197440585009</v>
      </c>
      <c r="V14" s="57" t="n">
        <v>559</v>
      </c>
      <c r="W14" s="58" t="n">
        <v>0.0777040344688333</v>
      </c>
      <c r="X14" s="59" t="s">
        <v>131</v>
      </c>
      <c r="Y14" s="59" t="s">
        <v>132</v>
      </c>
    </row>
    <row r="15" customFormat="false" ht="15" hidden="false" customHeight="false" outlineLevel="0" collapsed="false">
      <c r="A15" s="32" t="s">
        <v>127</v>
      </c>
      <c r="B15" s="32" t="s">
        <v>135</v>
      </c>
      <c r="C15" s="32" t="s">
        <v>129</v>
      </c>
      <c r="D15" s="54" t="n">
        <f aca="false">ROUND(S15*T15,0)</f>
        <v>371</v>
      </c>
      <c r="E15" s="54" t="n">
        <f aca="false">ROUND(S15,0)-D15</f>
        <v>964</v>
      </c>
      <c r="F15" s="54" t="n">
        <f aca="false">IF(COUNTA(D15:E15)=0,"",SUM(D15:E15))</f>
        <v>1335</v>
      </c>
      <c r="G15" s="55" t="n">
        <f aca="false">IF(OR(F15="",F15=0),"",D15/F15)</f>
        <v>0.277902621722846</v>
      </c>
      <c r="H15" s="55" t="n">
        <f aca="false">IF(OR(F15="",F15=0),"",E15/F15)</f>
        <v>0.722097378277154</v>
      </c>
      <c r="I15" s="32" t="s">
        <v>130</v>
      </c>
      <c r="J15" s="36" t="n">
        <v>1.47263679776505</v>
      </c>
      <c r="K15" s="36" t="n">
        <f aca="false">$K$8</f>
        <v>1.8117300629046</v>
      </c>
      <c r="L15" s="36" t="n">
        <f aca="false">SQRT(J15^2+K15^2)</f>
        <v>2.33474301775677</v>
      </c>
      <c r="M15" s="55" t="n">
        <f aca="false">IF(G15="","",MAX(0,G15-1.96*L15/100))</f>
        <v>0.232141658574814</v>
      </c>
      <c r="N15" s="55" t="n">
        <f aca="false">IF(G15="","",MIN(1,G15+1.96*L15/100))</f>
        <v>0.323663584870879</v>
      </c>
      <c r="O15" s="54" t="n">
        <f aca="false">ROUND(S15*W15,0)</f>
        <v>81</v>
      </c>
      <c r="P15" s="54" t="n">
        <f aca="false">IF(F15="","",ROUND(SQRT((F15*L15/100)^2+(G15*O15)^2),0))</f>
        <v>38</v>
      </c>
      <c r="R15" s="56" t="n">
        <v>-14.4157782566539</v>
      </c>
      <c r="S15" s="57" t="n">
        <f aca="false">U15*V15*$F$5</f>
        <v>1334.82101558572</v>
      </c>
      <c r="T15" s="58" t="n">
        <f aca="false">MAX(0,MIN(1,R15/100+$D$5))</f>
        <v>0.27792046464169</v>
      </c>
      <c r="U15" s="58" t="n">
        <v>0.652086475615887</v>
      </c>
      <c r="V15" s="57" t="n">
        <v>2047</v>
      </c>
      <c r="W15" s="58" t="n">
        <v>0.0606122259008943</v>
      </c>
      <c r="X15" s="59" t="s">
        <v>136</v>
      </c>
      <c r="Y15" s="59" t="s">
        <v>132</v>
      </c>
    </row>
    <row r="16" customFormat="false" ht="15" hidden="false" customHeight="false" outlineLevel="0" collapsed="false">
      <c r="A16" s="32" t="s">
        <v>127</v>
      </c>
      <c r="B16" s="32" t="s">
        <v>137</v>
      </c>
      <c r="C16" s="32" t="s">
        <v>129</v>
      </c>
      <c r="D16" s="54" t="n">
        <f aca="false">ROUND(S16*T16,0)</f>
        <v>33</v>
      </c>
      <c r="E16" s="54" t="n">
        <f aca="false">ROUND(S16,0)-D16</f>
        <v>60</v>
      </c>
      <c r="F16" s="54" t="n">
        <f aca="false">IF(COUNTA(D16:E16)=0,"",SUM(D16:E16))</f>
        <v>93</v>
      </c>
      <c r="G16" s="55" t="n">
        <f aca="false">IF(OR(F16="",F16=0),"",D16/F16)</f>
        <v>0.354838709677419</v>
      </c>
      <c r="H16" s="55" t="n">
        <f aca="false">IF(OR(F16="",F16=0),"",E16/F16)</f>
        <v>0.645161290322581</v>
      </c>
      <c r="I16" s="32" t="s">
        <v>130</v>
      </c>
      <c r="J16" s="36" t="n">
        <v>2.8276384769087</v>
      </c>
      <c r="K16" s="36" t="n">
        <f aca="false">$K$8</f>
        <v>1.8117300629046</v>
      </c>
      <c r="L16" s="36" t="n">
        <f aca="false">SQRT(J16^2+K16^2)</f>
        <v>3.35825924802223</v>
      </c>
      <c r="M16" s="55" t="n">
        <f aca="false">IF(G16="","",MAX(0,G16-1.96*L16/100))</f>
        <v>0.289016828416184</v>
      </c>
      <c r="N16" s="55" t="n">
        <f aca="false">IF(G16="","",MIN(1,G16+1.96*L16/100))</f>
        <v>0.420660590938655</v>
      </c>
      <c r="O16" s="54" t="n">
        <f aca="false">ROUND(S16*W16,0)</f>
        <v>7</v>
      </c>
      <c r="P16" s="54" t="n">
        <f aca="false">IF(F16="","",ROUND(SQRT((F16*L16/100)^2+(G16*O16)^2),0))</f>
        <v>4</v>
      </c>
      <c r="R16" s="56" t="n">
        <v>-7.27427745030853</v>
      </c>
      <c r="S16" s="57" t="n">
        <f aca="false">U16*V16*$F$5</f>
        <v>93.4268292682927</v>
      </c>
      <c r="T16" s="58" t="n">
        <f aca="false">MAX(0,MIN(1,R16/100+$D$5))</f>
        <v>0.349335472705143</v>
      </c>
      <c r="U16" s="58" t="n">
        <v>0.573170731707317</v>
      </c>
      <c r="V16" s="57" t="n">
        <v>163</v>
      </c>
      <c r="W16" s="58" t="n">
        <v>0.0777040344688333</v>
      </c>
      <c r="X16" s="59" t="s">
        <v>131</v>
      </c>
      <c r="Y16" s="59" t="s">
        <v>132</v>
      </c>
    </row>
    <row r="17" customFormat="false" ht="15" hidden="false" customHeight="false" outlineLevel="0" collapsed="false">
      <c r="A17" s="32" t="s">
        <v>127</v>
      </c>
      <c r="B17" s="32" t="s">
        <v>138</v>
      </c>
      <c r="C17" s="32" t="s">
        <v>129</v>
      </c>
      <c r="D17" s="54" t="n">
        <f aca="false">ROUND(S17*T17,0)</f>
        <v>571</v>
      </c>
      <c r="E17" s="54" t="n">
        <f aca="false">ROUND(S17,0)-D17</f>
        <v>1411</v>
      </c>
      <c r="F17" s="54" t="n">
        <f aca="false">IF(COUNTA(D17:E17)=0,"",SUM(D17:E17))</f>
        <v>1982</v>
      </c>
      <c r="G17" s="55" t="n">
        <f aca="false">IF(OR(F17="",F17=0),"",D17/F17)</f>
        <v>0.288092835519677</v>
      </c>
      <c r="H17" s="55" t="n">
        <f aca="false">IF(OR(F17="",F17=0),"",E17/F17)</f>
        <v>0.711907164480323</v>
      </c>
      <c r="I17" s="32" t="s">
        <v>130</v>
      </c>
      <c r="J17" s="36" t="n">
        <v>1.47263679776505</v>
      </c>
      <c r="K17" s="36" t="n">
        <f aca="false">$K$8</f>
        <v>1.8117300629046</v>
      </c>
      <c r="L17" s="36" t="n">
        <f aca="false">SQRT(J17^2+K17^2)</f>
        <v>2.33474301775677</v>
      </c>
      <c r="M17" s="55" t="n">
        <f aca="false">IF(G17="","",MAX(0,G17-1.96*L17/100))</f>
        <v>0.242331872371644</v>
      </c>
      <c r="N17" s="55" t="n">
        <f aca="false">IF(G17="","",MIN(1,G17+1.96*L17/100))</f>
        <v>0.33385379866771</v>
      </c>
      <c r="O17" s="54" t="n">
        <f aca="false">ROUND(S17*W17,0)</f>
        <v>120</v>
      </c>
      <c r="P17" s="54" t="n">
        <f aca="false">IF(F17="","",ROUND(SQRT((F17*L17/100)^2+(G17*O17)^2),0))</f>
        <v>58</v>
      </c>
      <c r="R17" s="56" t="n">
        <v>-13.4093803743718</v>
      </c>
      <c r="S17" s="57" t="n">
        <f aca="false">U17*V17*$F$5</f>
        <v>1982.00903517264</v>
      </c>
      <c r="T17" s="58" t="n">
        <f aca="false">MAX(0,MIN(1,R17/100+$D$5))</f>
        <v>0.287984443464511</v>
      </c>
      <c r="U17" s="58" t="n">
        <v>0.631816715069377</v>
      </c>
      <c r="V17" s="57" t="n">
        <v>3137</v>
      </c>
      <c r="W17" s="58" t="n">
        <v>0.0606122259008943</v>
      </c>
      <c r="X17" s="59" t="s">
        <v>136</v>
      </c>
      <c r="Y17" s="59" t="s">
        <v>132</v>
      </c>
    </row>
    <row r="18" customFormat="false" ht="15" hidden="false" customHeight="false" outlineLevel="0" collapsed="false">
      <c r="A18" s="32" t="s">
        <v>127</v>
      </c>
      <c r="B18" s="32" t="s">
        <v>139</v>
      </c>
      <c r="C18" s="32" t="s">
        <v>129</v>
      </c>
      <c r="D18" s="54" t="n">
        <f aca="false">ROUND(S18*T18,0)</f>
        <v>917</v>
      </c>
      <c r="E18" s="54" t="n">
        <f aca="false">ROUND(S18,0)-D18</f>
        <v>1191</v>
      </c>
      <c r="F18" s="54" t="n">
        <f aca="false">IF(COUNTA(D18:E18)=0,"",SUM(D18:E18))</f>
        <v>2108</v>
      </c>
      <c r="G18" s="55" t="n">
        <f aca="false">IF(OR(F18="",F18=0),"",D18/F18)</f>
        <v>0.435009487666034</v>
      </c>
      <c r="H18" s="55" t="n">
        <f aca="false">IF(OR(F18="",F18=0),"",E18/F18)</f>
        <v>0.564990512333966</v>
      </c>
      <c r="I18" s="32" t="s">
        <v>130</v>
      </c>
      <c r="J18" s="36" t="n">
        <v>1.47263679776505</v>
      </c>
      <c r="K18" s="36" t="n">
        <f aca="false">$K$8</f>
        <v>1.8117300629046</v>
      </c>
      <c r="L18" s="36" t="n">
        <f aca="false">SQRT(J18^2+K18^2)</f>
        <v>2.33474301775677</v>
      </c>
      <c r="M18" s="55" t="n">
        <f aca="false">IF(G18="","",MAX(0,G18-1.96*L18/100))</f>
        <v>0.389248524518001</v>
      </c>
      <c r="N18" s="55" t="n">
        <f aca="false">IF(G18="","",MIN(1,G18+1.96*L18/100))</f>
        <v>0.480770450814067</v>
      </c>
      <c r="O18" s="54" t="n">
        <f aca="false">ROUND(S18*W18,0)</f>
        <v>128</v>
      </c>
      <c r="P18" s="54" t="n">
        <f aca="false">IF(F18="","",ROUND(SQRT((F18*L18/100)^2+(G18*O18)^2),0))</f>
        <v>74</v>
      </c>
      <c r="R18" s="56" t="n">
        <v>1.27902631725225</v>
      </c>
      <c r="S18" s="57" t="n">
        <f aca="false">U18*V18*$F$5</f>
        <v>2107.72563176895</v>
      </c>
      <c r="T18" s="58" t="n">
        <f aca="false">MAX(0,MIN(1,R18/100+$D$5))</f>
        <v>0.434868510380751</v>
      </c>
      <c r="U18" s="58" t="n">
        <v>0.642599277978339</v>
      </c>
      <c r="V18" s="57" t="n">
        <v>3280</v>
      </c>
      <c r="W18" s="58" t="n">
        <v>0.0606122259008943</v>
      </c>
      <c r="X18" s="59" t="s">
        <v>136</v>
      </c>
      <c r="Y18" s="59" t="s">
        <v>132</v>
      </c>
    </row>
    <row r="19" customFormat="false" ht="15" hidden="false" customHeight="false" outlineLevel="0" collapsed="false">
      <c r="A19" s="32" t="s">
        <v>127</v>
      </c>
      <c r="B19" s="32" t="s">
        <v>140</v>
      </c>
      <c r="C19" s="32" t="s">
        <v>129</v>
      </c>
      <c r="D19" s="54" t="n">
        <f aca="false">ROUND(S19*T19,0)</f>
        <v>275</v>
      </c>
      <c r="E19" s="54" t="n">
        <f aca="false">ROUND(S19,0)-D19</f>
        <v>530</v>
      </c>
      <c r="F19" s="54" t="n">
        <f aca="false">IF(COUNTA(D19:E19)=0,"",SUM(D19:E19))</f>
        <v>805</v>
      </c>
      <c r="G19" s="55" t="n">
        <f aca="false">IF(OR(F19="",F19=0),"",D19/F19)</f>
        <v>0.341614906832298</v>
      </c>
      <c r="H19" s="55" t="n">
        <f aca="false">IF(OR(F19="",F19=0),"",E19/F19)</f>
        <v>0.658385093167702</v>
      </c>
      <c r="I19" s="32" t="s">
        <v>130</v>
      </c>
      <c r="J19" s="36" t="n">
        <v>2.8276384769087</v>
      </c>
      <c r="K19" s="36" t="n">
        <f aca="false">$K$8</f>
        <v>1.8117300629046</v>
      </c>
      <c r="L19" s="36" t="n">
        <f aca="false">SQRT(J19^2+K19^2)</f>
        <v>3.35825924802223</v>
      </c>
      <c r="M19" s="55" t="n">
        <f aca="false">IF(G19="","",MAX(0,G19-1.96*L19/100))</f>
        <v>0.275793025571062</v>
      </c>
      <c r="N19" s="55" t="n">
        <f aca="false">IF(G19="","",MIN(1,G19+1.96*L19/100))</f>
        <v>0.407436788093534</v>
      </c>
      <c r="O19" s="54" t="n">
        <f aca="false">ROUND(S19*W19,0)</f>
        <v>63</v>
      </c>
      <c r="P19" s="54" t="n">
        <f aca="false">IF(F19="","",ROUND(SQRT((F19*L19/100)^2+(G19*O19)^2),0))</f>
        <v>35</v>
      </c>
      <c r="R19" s="56" t="n">
        <v>-7.98619494302291</v>
      </c>
      <c r="S19" s="57" t="n">
        <f aca="false">U19*V19*$F$5</f>
        <v>804.850331125828</v>
      </c>
      <c r="T19" s="58" t="n">
        <f aca="false">MAX(0,MIN(1,R19/100+$D$5))</f>
        <v>0.342216297777999</v>
      </c>
      <c r="U19" s="58" t="n">
        <v>0.554304635761589</v>
      </c>
      <c r="V19" s="57" t="n">
        <v>1452</v>
      </c>
      <c r="W19" s="58" t="n">
        <v>0.0777040344688333</v>
      </c>
      <c r="X19" s="59" t="s">
        <v>131</v>
      </c>
      <c r="Y19" s="59" t="s">
        <v>132</v>
      </c>
    </row>
    <row r="20" customFormat="false" ht="15" hidden="false" customHeight="false" outlineLevel="0" collapsed="false">
      <c r="A20" s="32" t="s">
        <v>127</v>
      </c>
      <c r="B20" s="32" t="s">
        <v>141</v>
      </c>
      <c r="C20" s="32" t="s">
        <v>129</v>
      </c>
      <c r="D20" s="54" t="n">
        <f aca="false">ROUND(S20*T20,0)</f>
        <v>448</v>
      </c>
      <c r="E20" s="54" t="n">
        <f aca="false">ROUND(S20,0)-D20</f>
        <v>635</v>
      </c>
      <c r="F20" s="54" t="n">
        <f aca="false">IF(COUNTA(D20:E20)=0,"",SUM(D20:E20))</f>
        <v>1083</v>
      </c>
      <c r="G20" s="55" t="n">
        <f aca="false">IF(OR(F20="",F20=0),"",D20/F20)</f>
        <v>0.413665743305633</v>
      </c>
      <c r="H20" s="55" t="n">
        <f aca="false">IF(OR(F20="",F20=0),"",E20/F20)</f>
        <v>0.586334256694368</v>
      </c>
      <c r="I20" s="32" t="s">
        <v>130</v>
      </c>
      <c r="J20" s="36" t="n">
        <v>2.8276384769087</v>
      </c>
      <c r="K20" s="36" t="n">
        <f aca="false">$K$8</f>
        <v>1.8117300629046</v>
      </c>
      <c r="L20" s="36" t="n">
        <f aca="false">SQRT(J20^2+K20^2)</f>
        <v>3.35825924802223</v>
      </c>
      <c r="M20" s="55" t="n">
        <f aca="false">IF(G20="","",MAX(0,G20-1.96*L20/100))</f>
        <v>0.347843862044397</v>
      </c>
      <c r="N20" s="55" t="n">
        <f aca="false">IF(G20="","",MIN(1,G20+1.96*L20/100))</f>
        <v>0.479487624566868</v>
      </c>
      <c r="O20" s="54" t="n">
        <f aca="false">ROUND(S20*W20,0)</f>
        <v>84</v>
      </c>
      <c r="P20" s="54" t="n">
        <f aca="false">IF(F20="","",ROUND(SQRT((F20*L20/100)^2+(G20*O20)^2),0))</f>
        <v>50</v>
      </c>
      <c r="R20" s="56" t="n">
        <v>-0.857854360785832</v>
      </c>
      <c r="S20" s="57" t="n">
        <f aca="false">U20*V20*$F$5</f>
        <v>1083.4829443447</v>
      </c>
      <c r="T20" s="58" t="n">
        <f aca="false">MAX(0,MIN(1,R20/100+$D$5))</f>
        <v>0.41349970360037</v>
      </c>
      <c r="U20" s="58" t="n">
        <v>0.448833034111311</v>
      </c>
      <c r="V20" s="57" t="n">
        <v>2414</v>
      </c>
      <c r="W20" s="58" t="n">
        <v>0.0777040344688333</v>
      </c>
      <c r="X20" s="59" t="s">
        <v>131</v>
      </c>
      <c r="Y20" s="59" t="s">
        <v>132</v>
      </c>
    </row>
    <row r="21" customFormat="false" ht="15" hidden="false" customHeight="false" outlineLevel="0" collapsed="false">
      <c r="A21" s="32" t="s">
        <v>127</v>
      </c>
      <c r="B21" s="32" t="s">
        <v>142</v>
      </c>
      <c r="C21" s="32" t="s">
        <v>129</v>
      </c>
      <c r="D21" s="54" t="n">
        <f aca="false">ROUND(S21*T21,0)</f>
        <v>33</v>
      </c>
      <c r="E21" s="54" t="n">
        <f aca="false">ROUND(S21,0)-D21</f>
        <v>85</v>
      </c>
      <c r="F21" s="54" t="n">
        <f aca="false">IF(COUNTA(D21:E21)=0,"",SUM(D21:E21))</f>
        <v>118</v>
      </c>
      <c r="G21" s="55" t="n">
        <f aca="false">IF(OR(F21="",F21=0),"",D21/F21)</f>
        <v>0.279661016949153</v>
      </c>
      <c r="H21" s="55" t="n">
        <f aca="false">IF(OR(F21="",F21=0),"",E21/F21)</f>
        <v>0.720338983050847</v>
      </c>
      <c r="I21" s="32" t="s">
        <v>130</v>
      </c>
      <c r="J21" s="36" t="n">
        <v>2.8276384769087</v>
      </c>
      <c r="K21" s="36" t="n">
        <f aca="false">$K$8</f>
        <v>1.8117300629046</v>
      </c>
      <c r="L21" s="36" t="n">
        <f aca="false">SQRT(J21^2+K21^2)</f>
        <v>3.35825924802223</v>
      </c>
      <c r="M21" s="55" t="n">
        <f aca="false">IF(G21="","",MAX(0,G21-1.96*L21/100))</f>
        <v>0.213839135687917</v>
      </c>
      <c r="N21" s="55" t="n">
        <f aca="false">IF(G21="","",MIN(1,G21+1.96*L21/100))</f>
        <v>0.345482898210388</v>
      </c>
      <c r="O21" s="54" t="n">
        <f aca="false">ROUND(S21*W21,0)</f>
        <v>9</v>
      </c>
      <c r="P21" s="54" t="n">
        <f aca="false">IF(F21="","",ROUND(SQRT((F21*L21/100)^2+(G21*O21)^2),0))</f>
        <v>5</v>
      </c>
      <c r="R21" s="56" t="n">
        <v>-14.6047714535222</v>
      </c>
      <c r="S21" s="57" t="n">
        <f aca="false">U21*V21*$F$5</f>
        <v>118.285714285714</v>
      </c>
      <c r="T21" s="58" t="n">
        <f aca="false">MAX(0,MIN(1,R21/100+$D$5))</f>
        <v>0.276030532673006</v>
      </c>
      <c r="U21" s="58" t="n">
        <v>0.657142857142857</v>
      </c>
      <c r="V21" s="57" t="n">
        <v>180</v>
      </c>
      <c r="W21" s="58" t="n">
        <v>0.0777040344688333</v>
      </c>
      <c r="X21" s="59" t="s">
        <v>131</v>
      </c>
      <c r="Y21" s="59" t="s">
        <v>132</v>
      </c>
    </row>
    <row r="22" customFormat="false" ht="15" hidden="false" customHeight="false" outlineLevel="0" collapsed="false">
      <c r="A22" s="32" t="s">
        <v>127</v>
      </c>
      <c r="B22" s="32" t="s">
        <v>143</v>
      </c>
      <c r="C22" s="32" t="s">
        <v>129</v>
      </c>
      <c r="D22" s="54" t="n">
        <f aca="false">ROUND(S22*T22,0)</f>
        <v>49</v>
      </c>
      <c r="E22" s="54" t="n">
        <f aca="false">ROUND(S22,0)-D22</f>
        <v>188</v>
      </c>
      <c r="F22" s="54" t="n">
        <f aca="false">IF(COUNTA(D22:E22)=0,"",SUM(D22:E22))</f>
        <v>237</v>
      </c>
      <c r="G22" s="55" t="n">
        <f aca="false">IF(OR(F22="",F22=0),"",D22/F22)</f>
        <v>0.206751054852321</v>
      </c>
      <c r="H22" s="55" t="n">
        <f aca="false">IF(OR(F22="",F22=0),"",E22/F22)</f>
        <v>0.793248945147679</v>
      </c>
      <c r="I22" s="32" t="s">
        <v>130</v>
      </c>
      <c r="J22" s="36" t="n">
        <v>2.8276384769087</v>
      </c>
      <c r="K22" s="36" t="n">
        <f aca="false">$K$8</f>
        <v>1.8117300629046</v>
      </c>
      <c r="L22" s="36" t="n">
        <f aca="false">SQRT(J22^2+K22^2)</f>
        <v>3.35825924802223</v>
      </c>
      <c r="M22" s="55" t="n">
        <f aca="false">IF(G22="","",MAX(0,G22-1.96*L22/100))</f>
        <v>0.140929173591085</v>
      </c>
      <c r="N22" s="55" t="n">
        <f aca="false">IF(G22="","",MIN(1,G22+1.96*L22/100))</f>
        <v>0.272572936113556</v>
      </c>
      <c r="O22" s="54" t="n">
        <f aca="false">ROUND(S22*W22,0)</f>
        <v>18</v>
      </c>
      <c r="P22" s="54" t="n">
        <f aca="false">IF(F22="","",ROUND(SQRT((F22*L22/100)^2+(G22*O22)^2),0))</f>
        <v>9</v>
      </c>
      <c r="R22" s="56" t="n">
        <v>-21.3208363133048</v>
      </c>
      <c r="S22" s="57" t="n">
        <f aca="false">U22*V22*$F$5</f>
        <v>236.844827586207</v>
      </c>
      <c r="T22" s="58" t="n">
        <f aca="false">MAX(0,MIN(1,R22/100+$D$5))</f>
        <v>0.20886988407518</v>
      </c>
      <c r="U22" s="58" t="n">
        <v>0.692528735632184</v>
      </c>
      <c r="V22" s="57" t="n">
        <v>342</v>
      </c>
      <c r="W22" s="58" t="n">
        <v>0.0777040344688333</v>
      </c>
      <c r="X22" s="59" t="s">
        <v>131</v>
      </c>
      <c r="Y22" s="59" t="s">
        <v>132</v>
      </c>
    </row>
    <row r="23" customFormat="false" ht="15" hidden="false" customHeight="false" outlineLevel="0" collapsed="false">
      <c r="A23" s="32" t="s">
        <v>127</v>
      </c>
      <c r="B23" s="32" t="s">
        <v>144</v>
      </c>
      <c r="C23" s="32" t="s">
        <v>129</v>
      </c>
      <c r="D23" s="54" t="n">
        <f aca="false">ROUND(S23*T23,0)</f>
        <v>706</v>
      </c>
      <c r="E23" s="54" t="n">
        <f aca="false">ROUND(S23,0)-D23</f>
        <v>1048</v>
      </c>
      <c r="F23" s="54" t="n">
        <f aca="false">IF(COUNTA(D23:E23)=0,"",SUM(D23:E23))</f>
        <v>1754</v>
      </c>
      <c r="G23" s="55" t="n">
        <f aca="false">IF(OR(F23="",F23=0),"",D23/F23)</f>
        <v>0.402508551881414</v>
      </c>
      <c r="H23" s="55" t="n">
        <f aca="false">IF(OR(F23="",F23=0),"",E23/F23)</f>
        <v>0.597491448118586</v>
      </c>
      <c r="I23" s="32" t="s">
        <v>130</v>
      </c>
      <c r="J23" s="36" t="n">
        <v>1.47263679776505</v>
      </c>
      <c r="K23" s="36" t="n">
        <f aca="false">$K$8</f>
        <v>1.8117300629046</v>
      </c>
      <c r="L23" s="36" t="n">
        <f aca="false">SQRT(J23^2+K23^2)</f>
        <v>2.33474301775677</v>
      </c>
      <c r="M23" s="55" t="n">
        <f aca="false">IF(G23="","",MAX(0,G23-1.96*L23/100))</f>
        <v>0.356747588733381</v>
      </c>
      <c r="N23" s="55" t="n">
        <f aca="false">IF(G23="","",MIN(1,G23+1.96*L23/100))</f>
        <v>0.448269515029447</v>
      </c>
      <c r="O23" s="54" t="n">
        <f aca="false">ROUND(S23*W23,0)</f>
        <v>106</v>
      </c>
      <c r="P23" s="54" t="n">
        <f aca="false">IF(F23="","",ROUND(SQRT((F23*L23/100)^2+(G23*O23)^2),0))</f>
        <v>59</v>
      </c>
      <c r="R23" s="56" t="n">
        <v>-1.93674941041121</v>
      </c>
      <c r="S23" s="57" t="n">
        <f aca="false">U23*V23*$F$5</f>
        <v>1753.74077578051</v>
      </c>
      <c r="T23" s="58" t="n">
        <f aca="false">MAX(0,MIN(1,R23/100+$D$5))</f>
        <v>0.402710753104116</v>
      </c>
      <c r="U23" s="58" t="n">
        <v>0.525701671397036</v>
      </c>
      <c r="V23" s="57" t="n">
        <v>3336</v>
      </c>
      <c r="W23" s="58" t="n">
        <v>0.0606122259008943</v>
      </c>
      <c r="X23" s="59" t="s">
        <v>136</v>
      </c>
      <c r="Y23" s="59" t="s">
        <v>132</v>
      </c>
    </row>
    <row r="24" customFormat="false" ht="15" hidden="false" customHeight="false" outlineLevel="0" collapsed="false">
      <c r="A24" s="32" t="s">
        <v>127</v>
      </c>
      <c r="B24" s="32" t="s">
        <v>145</v>
      </c>
      <c r="C24" s="32" t="s">
        <v>129</v>
      </c>
      <c r="D24" s="54" t="n">
        <f aca="false">ROUND(S24*T24,0)</f>
        <v>405</v>
      </c>
      <c r="E24" s="54" t="n">
        <f aca="false">ROUND(S24,0)-D24</f>
        <v>996</v>
      </c>
      <c r="F24" s="54" t="n">
        <f aca="false">IF(COUNTA(D24:E24)=0,"",SUM(D24:E24))</f>
        <v>1401</v>
      </c>
      <c r="G24" s="55" t="n">
        <f aca="false">IF(OR(F24="",F24=0),"",D24/F24)</f>
        <v>0.289079229122056</v>
      </c>
      <c r="H24" s="55" t="n">
        <f aca="false">IF(OR(F24="",F24=0),"",E24/F24)</f>
        <v>0.710920770877944</v>
      </c>
      <c r="I24" s="32" t="s">
        <v>130</v>
      </c>
      <c r="J24" s="36" t="n">
        <v>1.47263679776505</v>
      </c>
      <c r="K24" s="36" t="n">
        <f aca="false">$K$8</f>
        <v>1.8117300629046</v>
      </c>
      <c r="L24" s="36" t="n">
        <f aca="false">SQRT(J24^2+K24^2)</f>
        <v>2.33474301775677</v>
      </c>
      <c r="M24" s="55" t="n">
        <f aca="false">IF(G24="","",MAX(0,G24-1.96*L24/100))</f>
        <v>0.243318265974023</v>
      </c>
      <c r="N24" s="55" t="n">
        <f aca="false">IF(G24="","",MIN(1,G24+1.96*L24/100))</f>
        <v>0.334840192270088</v>
      </c>
      <c r="O24" s="54" t="n">
        <f aca="false">ROUND(S24*W24,0)</f>
        <v>85</v>
      </c>
      <c r="P24" s="54" t="n">
        <f aca="false">IF(F24="","",ROUND(SQRT((F24*L24/100)^2+(G24*O24)^2),0))</f>
        <v>41</v>
      </c>
      <c r="R24" s="56" t="n">
        <v>-13.2924973856715</v>
      </c>
      <c r="S24" s="57" t="n">
        <f aca="false">U24*V24*$F$5</f>
        <v>1401.11772917636</v>
      </c>
      <c r="T24" s="58" t="n">
        <f aca="false">MAX(0,MIN(1,R24/100+$D$5))</f>
        <v>0.289153273351514</v>
      </c>
      <c r="U24" s="58" t="n">
        <v>0.626337831549558</v>
      </c>
      <c r="V24" s="57" t="n">
        <v>2237</v>
      </c>
      <c r="W24" s="58" t="n">
        <v>0.0606122259008943</v>
      </c>
      <c r="X24" s="59" t="s">
        <v>136</v>
      </c>
      <c r="Y24" s="59" t="s">
        <v>132</v>
      </c>
    </row>
    <row r="25" customFormat="false" ht="15" hidden="false" customHeight="false" outlineLevel="0" collapsed="false">
      <c r="A25" s="32" t="s">
        <v>127</v>
      </c>
      <c r="B25" s="32" t="s">
        <v>146</v>
      </c>
      <c r="C25" s="32" t="s">
        <v>129</v>
      </c>
      <c r="D25" s="54" t="n">
        <f aca="false">ROUND(S25*T25,0)</f>
        <v>564</v>
      </c>
      <c r="E25" s="54" t="n">
        <f aca="false">ROUND(S25,0)-D25</f>
        <v>1314</v>
      </c>
      <c r="F25" s="54" t="n">
        <f aca="false">IF(COUNTA(D25:E25)=0,"",SUM(D25:E25))</f>
        <v>1878</v>
      </c>
      <c r="G25" s="55" t="n">
        <f aca="false">IF(OR(F25="",F25=0),"",D25/F25)</f>
        <v>0.300319488817891</v>
      </c>
      <c r="H25" s="55" t="n">
        <f aca="false">IF(OR(F25="",F25=0),"",E25/F25)</f>
        <v>0.699680511182109</v>
      </c>
      <c r="I25" s="32" t="s">
        <v>130</v>
      </c>
      <c r="J25" s="36" t="n">
        <v>1.47263679776505</v>
      </c>
      <c r="K25" s="36" t="n">
        <f aca="false">$K$8</f>
        <v>1.8117300629046</v>
      </c>
      <c r="L25" s="36" t="n">
        <f aca="false">SQRT(J25^2+K25^2)</f>
        <v>2.33474301775677</v>
      </c>
      <c r="M25" s="55" t="n">
        <f aca="false">IF(G25="","",MAX(0,G25-1.96*L25/100))</f>
        <v>0.254558525669859</v>
      </c>
      <c r="N25" s="55" t="n">
        <f aca="false">IF(G25="","",MIN(1,G25+1.96*L25/100))</f>
        <v>0.346080451965924</v>
      </c>
      <c r="O25" s="54" t="n">
        <f aca="false">ROUND(S25*W25,0)</f>
        <v>114</v>
      </c>
      <c r="P25" s="54" t="n">
        <f aca="false">IF(F25="","",ROUND(SQRT((F25*L25/100)^2+(G25*O25)^2),0))</f>
        <v>56</v>
      </c>
      <c r="R25" s="56" t="n">
        <v>-12.207281423149</v>
      </c>
      <c r="S25" s="57" t="n">
        <f aca="false">U25*V25*$F$5</f>
        <v>1878.41828929068</v>
      </c>
      <c r="T25" s="58" t="n">
        <f aca="false">MAX(0,MIN(1,R25/100+$D$5))</f>
        <v>0.300005432976738</v>
      </c>
      <c r="U25" s="58" t="n">
        <v>0.616481223922114</v>
      </c>
      <c r="V25" s="57" t="n">
        <v>3047</v>
      </c>
      <c r="W25" s="58" t="n">
        <v>0.0606122259008943</v>
      </c>
      <c r="X25" s="59" t="s">
        <v>136</v>
      </c>
      <c r="Y25" s="59" t="s">
        <v>132</v>
      </c>
    </row>
    <row r="26" customFormat="false" ht="15" hidden="false" customHeight="false" outlineLevel="0" collapsed="false">
      <c r="A26" s="32" t="s">
        <v>127</v>
      </c>
      <c r="B26" s="32" t="s">
        <v>147</v>
      </c>
      <c r="C26" s="32" t="s">
        <v>129</v>
      </c>
      <c r="D26" s="54" t="n">
        <f aca="false">ROUND(S26*T26,0)</f>
        <v>484</v>
      </c>
      <c r="E26" s="54" t="n">
        <f aca="false">ROUND(S26,0)-D26</f>
        <v>730</v>
      </c>
      <c r="F26" s="54" t="n">
        <f aca="false">IF(COUNTA(D26:E26)=0,"",SUM(D26:E26))</f>
        <v>1214</v>
      </c>
      <c r="G26" s="55" t="n">
        <f aca="false">IF(OR(F26="",F26=0),"",D26/F26)</f>
        <v>0.398682042833608</v>
      </c>
      <c r="H26" s="55" t="n">
        <f aca="false">IF(OR(F26="",F26=0),"",E26/F26)</f>
        <v>0.601317957166392</v>
      </c>
      <c r="I26" s="32" t="s">
        <v>130</v>
      </c>
      <c r="J26" s="36" t="n">
        <v>2.8276384769087</v>
      </c>
      <c r="K26" s="36" t="n">
        <f aca="false">$K$8</f>
        <v>1.8117300629046</v>
      </c>
      <c r="L26" s="36" t="n">
        <f aca="false">SQRT(J26^2+K26^2)</f>
        <v>3.35825924802223</v>
      </c>
      <c r="M26" s="55" t="n">
        <f aca="false">IF(G26="","",MAX(0,G26-1.96*L26/100))</f>
        <v>0.332860161572372</v>
      </c>
      <c r="N26" s="55" t="n">
        <f aca="false">IF(G26="","",MIN(1,G26+1.96*L26/100))</f>
        <v>0.464503924094844</v>
      </c>
      <c r="O26" s="54" t="n">
        <f aca="false">ROUND(S26*W26,0)</f>
        <v>94</v>
      </c>
      <c r="P26" s="54" t="n">
        <f aca="false">IF(F26="","",ROUND(SQRT((F26*L26/100)^2+(G26*O26)^2),0))</f>
        <v>55</v>
      </c>
      <c r="R26" s="56" t="n">
        <v>-2.37359506849417</v>
      </c>
      <c r="S26" s="57" t="n">
        <f aca="false">U26*V26*$F$5</f>
        <v>1214.17865765331</v>
      </c>
      <c r="T26" s="58" t="n">
        <f aca="false">MAX(0,MIN(1,R26/100+$D$5))</f>
        <v>0.398342296523287</v>
      </c>
      <c r="U26" s="58" t="n">
        <v>0.576533075808788</v>
      </c>
      <c r="V26" s="57" t="n">
        <v>2106</v>
      </c>
      <c r="W26" s="58" t="n">
        <v>0.0777040344688333</v>
      </c>
      <c r="X26" s="59" t="s">
        <v>131</v>
      </c>
      <c r="Y26" s="59" t="s">
        <v>132</v>
      </c>
    </row>
    <row r="27" customFormat="false" ht="15" hidden="false" customHeight="false" outlineLevel="0" collapsed="false">
      <c r="A27" s="32" t="s">
        <v>127</v>
      </c>
      <c r="B27" s="32" t="s">
        <v>148</v>
      </c>
      <c r="C27" s="32" t="s">
        <v>129</v>
      </c>
      <c r="D27" s="54" t="n">
        <f aca="false">ROUND(S27*T27,0)</f>
        <v>109</v>
      </c>
      <c r="E27" s="54" t="n">
        <f aca="false">ROUND(S27,0)-D27</f>
        <v>421</v>
      </c>
      <c r="F27" s="54" t="n">
        <f aca="false">IF(COUNTA(D27:E27)=0,"",SUM(D27:E27))</f>
        <v>530</v>
      </c>
      <c r="G27" s="55" t="n">
        <f aca="false">IF(OR(F27="",F27=0),"",D27/F27)</f>
        <v>0.205660377358491</v>
      </c>
      <c r="H27" s="55" t="n">
        <f aca="false">IF(OR(F27="",F27=0),"",E27/F27)</f>
        <v>0.79433962264151</v>
      </c>
      <c r="I27" s="32" t="s">
        <v>130</v>
      </c>
      <c r="J27" s="36" t="n">
        <v>2.8276384769087</v>
      </c>
      <c r="K27" s="36" t="n">
        <f aca="false">$K$8</f>
        <v>1.8117300629046</v>
      </c>
      <c r="L27" s="36" t="n">
        <f aca="false">SQRT(J27^2+K27^2)</f>
        <v>3.35825924802223</v>
      </c>
      <c r="M27" s="55" t="n">
        <f aca="false">IF(G27="","",MAX(0,G27-1.96*L27/100))</f>
        <v>0.139838496097255</v>
      </c>
      <c r="N27" s="55" t="n">
        <f aca="false">IF(G27="","",MIN(1,G27+1.96*L27/100))</f>
        <v>0.271482258619726</v>
      </c>
      <c r="O27" s="54" t="n">
        <f aca="false">ROUND(S27*W27,0)</f>
        <v>41</v>
      </c>
      <c r="P27" s="54" t="n">
        <f aca="false">IF(F27="","",ROUND(SQRT((F27*L27/100)^2+(G27*O27)^2),0))</f>
        <v>20</v>
      </c>
      <c r="R27" s="56" t="n">
        <v>-21.7215092643287</v>
      </c>
      <c r="S27" s="57" t="n">
        <f aca="false">U27*V27*$F$5</f>
        <v>530.117647058824</v>
      </c>
      <c r="T27" s="58" t="n">
        <f aca="false">MAX(0,MIN(1,R27/100+$D$5))</f>
        <v>0.204863154564941</v>
      </c>
      <c r="U27" s="58" t="n">
        <v>0.705882352941177</v>
      </c>
      <c r="V27" s="57" t="n">
        <v>751</v>
      </c>
      <c r="W27" s="58" t="n">
        <v>0.0777040344688333</v>
      </c>
      <c r="X27" s="59" t="s">
        <v>131</v>
      </c>
      <c r="Y27" s="59" t="s">
        <v>132</v>
      </c>
    </row>
    <row r="28" customFormat="false" ht="15" hidden="false" customHeight="false" outlineLevel="0" collapsed="false">
      <c r="A28" s="32" t="s">
        <v>127</v>
      </c>
      <c r="B28" s="32" t="s">
        <v>149</v>
      </c>
      <c r="C28" s="32" t="s">
        <v>129</v>
      </c>
      <c r="D28" s="54" t="n">
        <f aca="false">ROUND(S28*T28,0)</f>
        <v>729</v>
      </c>
      <c r="E28" s="54" t="n">
        <f aca="false">ROUND(S28,0)-D28</f>
        <v>1262</v>
      </c>
      <c r="F28" s="54" t="n">
        <f aca="false">IF(COUNTA(D28:E28)=0,"",SUM(D28:E28))</f>
        <v>1991</v>
      </c>
      <c r="G28" s="55" t="n">
        <f aca="false">IF(OR(F28="",F28=0),"",D28/F28)</f>
        <v>0.366147664490206</v>
      </c>
      <c r="H28" s="55" t="n">
        <f aca="false">IF(OR(F28="",F28=0),"",E28/F28)</f>
        <v>0.633852335509794</v>
      </c>
      <c r="I28" s="32" t="s">
        <v>130</v>
      </c>
      <c r="J28" s="36" t="n">
        <v>1.47263679776505</v>
      </c>
      <c r="K28" s="36" t="n">
        <f aca="false">$K$8</f>
        <v>1.8117300629046</v>
      </c>
      <c r="L28" s="36" t="n">
        <f aca="false">SQRT(J28^2+K28^2)</f>
        <v>2.33474301775677</v>
      </c>
      <c r="M28" s="55" t="n">
        <f aca="false">IF(G28="","",MAX(0,G28-1.96*L28/100))</f>
        <v>0.320386701342173</v>
      </c>
      <c r="N28" s="55" t="n">
        <f aca="false">IF(G28="","",MIN(1,G28+1.96*L28/100))</f>
        <v>0.411908627638239</v>
      </c>
      <c r="O28" s="54" t="n">
        <f aca="false">ROUND(S28*W28,0)</f>
        <v>121</v>
      </c>
      <c r="P28" s="54" t="n">
        <f aca="false">IF(F28="","",ROUND(SQRT((F28*L28/100)^2+(G28*O28)^2),0))</f>
        <v>64</v>
      </c>
      <c r="R28" s="56" t="n">
        <v>-5.60038879763469</v>
      </c>
      <c r="S28" s="57" t="n">
        <f aca="false">U28*V28*$F$5</f>
        <v>1991.47057118005</v>
      </c>
      <c r="T28" s="58" t="n">
        <f aca="false">MAX(0,MIN(1,R28/100+$D$5))</f>
        <v>0.366074359231882</v>
      </c>
      <c r="U28" s="58" t="n">
        <v>0.553493766309075</v>
      </c>
      <c r="V28" s="57" t="n">
        <v>3598</v>
      </c>
      <c r="W28" s="58" t="n">
        <v>0.0606122259008943</v>
      </c>
      <c r="X28" s="59" t="s">
        <v>136</v>
      </c>
      <c r="Y28" s="59" t="s">
        <v>132</v>
      </c>
    </row>
    <row r="29" customFormat="false" ht="15" hidden="false" customHeight="false" outlineLevel="0" collapsed="false">
      <c r="A29" s="32" t="s">
        <v>127</v>
      </c>
      <c r="B29" s="32" t="s">
        <v>150</v>
      </c>
      <c r="C29" s="32" t="s">
        <v>129</v>
      </c>
      <c r="D29" s="54" t="n">
        <f aca="false">ROUND(S29*T29,0)</f>
        <v>58</v>
      </c>
      <c r="E29" s="54" t="n">
        <f aca="false">ROUND(S29,0)-D29</f>
        <v>127</v>
      </c>
      <c r="F29" s="54" t="n">
        <f aca="false">IF(COUNTA(D29:E29)=0,"",SUM(D29:E29))</f>
        <v>185</v>
      </c>
      <c r="G29" s="55" t="n">
        <f aca="false">IF(OR(F29="",F29=0),"",D29/F29)</f>
        <v>0.313513513513514</v>
      </c>
      <c r="H29" s="55" t="n">
        <f aca="false">IF(OR(F29="",F29=0),"",E29/F29)</f>
        <v>0.686486486486487</v>
      </c>
      <c r="I29" s="32" t="s">
        <v>130</v>
      </c>
      <c r="J29" s="36" t="n">
        <v>2.8276384769087</v>
      </c>
      <c r="K29" s="36" t="n">
        <f aca="false">$K$8</f>
        <v>1.8117300629046</v>
      </c>
      <c r="L29" s="36" t="n">
        <f aca="false">SQRT(J29^2+K29^2)</f>
        <v>3.35825924802223</v>
      </c>
      <c r="M29" s="55" t="n">
        <f aca="false">IF(G29="","",MAX(0,G29-1.96*L29/100))</f>
        <v>0.247691632252278</v>
      </c>
      <c r="N29" s="55" t="n">
        <f aca="false">IF(G29="","",MIN(1,G29+1.96*L29/100))</f>
        <v>0.379335394774749</v>
      </c>
      <c r="O29" s="54" t="n">
        <f aca="false">ROUND(S29*W29,0)</f>
        <v>14</v>
      </c>
      <c r="P29" s="54" t="n">
        <f aca="false">IF(F29="","",ROUND(SQRT((F29*L29/100)^2+(G29*O29)^2),0))</f>
        <v>8</v>
      </c>
      <c r="R29" s="56" t="n">
        <v>-10.5868356380772</v>
      </c>
      <c r="S29" s="57" t="n">
        <f aca="false">U29*V29*$F$5</f>
        <v>184.547540983607</v>
      </c>
      <c r="T29" s="58" t="n">
        <f aca="false">MAX(0,MIN(1,R29/100+$D$5))</f>
        <v>0.316209890827457</v>
      </c>
      <c r="U29" s="58" t="n">
        <v>0.613114754098361</v>
      </c>
      <c r="V29" s="57" t="n">
        <v>301</v>
      </c>
      <c r="W29" s="58" t="n">
        <v>0.0777040344688333</v>
      </c>
      <c r="X29" s="59" t="s">
        <v>131</v>
      </c>
      <c r="Y29" s="59" t="s">
        <v>132</v>
      </c>
    </row>
    <row r="30" customFormat="false" ht="15" hidden="false" customHeight="false" outlineLevel="0" collapsed="false">
      <c r="A30" s="32" t="s">
        <v>127</v>
      </c>
      <c r="B30" s="32" t="s">
        <v>151</v>
      </c>
      <c r="C30" s="32" t="s">
        <v>129</v>
      </c>
      <c r="D30" s="54" t="n">
        <f aca="false">ROUND(S30*T30,0)</f>
        <v>1629</v>
      </c>
      <c r="E30" s="54" t="n">
        <f aca="false">ROUND(S30,0)-D30</f>
        <v>2843</v>
      </c>
      <c r="F30" s="54" t="n">
        <f aca="false">IF(COUNTA(D30:E30)=0,"",SUM(D30:E30))</f>
        <v>4472</v>
      </c>
      <c r="G30" s="55" t="n">
        <f aca="false">IF(OR(F30="",F30=0),"",D30/F30)</f>
        <v>0.364266547406082</v>
      </c>
      <c r="H30" s="55" t="n">
        <f aca="false">IF(OR(F30="",F30=0),"",E30/F30)</f>
        <v>0.635733452593918</v>
      </c>
      <c r="I30" s="32" t="s">
        <v>130</v>
      </c>
      <c r="J30" s="36" t="n">
        <v>1.57729384625613</v>
      </c>
      <c r="K30" s="36" t="n">
        <f aca="false">$K$8</f>
        <v>1.8117300629046</v>
      </c>
      <c r="L30" s="36" t="n">
        <f aca="false">SQRT(J30^2+K30^2)</f>
        <v>2.40212857654826</v>
      </c>
      <c r="M30" s="55" t="n">
        <f aca="false">IF(G30="","",MAX(0,G30-1.96*L30/100))</f>
        <v>0.317184827305736</v>
      </c>
      <c r="N30" s="55" t="n">
        <f aca="false">IF(G30="","",MIN(1,G30+1.96*L30/100))</f>
        <v>0.411348267506428</v>
      </c>
      <c r="O30" s="54" t="n">
        <f aca="false">ROUND(S30*W30,0)</f>
        <v>247</v>
      </c>
      <c r="P30" s="54" t="n">
        <f aca="false">IF(F30="","",ROUND(SQRT((F30*L30/100)^2+(G30*O30)^2),0))</f>
        <v>140</v>
      </c>
      <c r="R30" s="56" t="n">
        <v>-5.7949757700205</v>
      </c>
      <c r="S30" s="57" t="n">
        <f aca="false">U30*V30*$F$5</f>
        <v>4472.46592381446</v>
      </c>
      <c r="T30" s="58" t="n">
        <f aca="false">MAX(0,MIN(1,R30/100+$D$5))</f>
        <v>0.364128489508023</v>
      </c>
      <c r="U30" s="58" t="n">
        <v>0.560248769111169</v>
      </c>
      <c r="V30" s="57" t="n">
        <v>7983</v>
      </c>
      <c r="W30" s="58" t="n">
        <v>0.0551273752894184</v>
      </c>
      <c r="X30" s="59" t="s">
        <v>152</v>
      </c>
      <c r="Y30" s="59" t="s">
        <v>132</v>
      </c>
    </row>
    <row r="31" customFormat="false" ht="15" hidden="false" customHeight="false" outlineLevel="0" collapsed="false">
      <c r="A31" s="32" t="s">
        <v>127</v>
      </c>
      <c r="B31" s="32" t="s">
        <v>153</v>
      </c>
      <c r="C31" s="32" t="s">
        <v>129</v>
      </c>
      <c r="D31" s="54" t="n">
        <f aca="false">ROUND(S31*T31,0)</f>
        <v>555</v>
      </c>
      <c r="E31" s="54" t="n">
        <f aca="false">ROUND(S31,0)-D31</f>
        <v>738</v>
      </c>
      <c r="F31" s="54" t="n">
        <f aca="false">IF(COUNTA(D31:E31)=0,"",SUM(D31:E31))</f>
        <v>1293</v>
      </c>
      <c r="G31" s="55" t="n">
        <f aca="false">IF(OR(F31="",F31=0),"",D31/F31)</f>
        <v>0.4292343387471</v>
      </c>
      <c r="H31" s="55" t="n">
        <f aca="false">IF(OR(F31="",F31=0),"",E31/F31)</f>
        <v>0.5707656612529</v>
      </c>
      <c r="I31" s="32" t="s">
        <v>130</v>
      </c>
      <c r="J31" s="36" t="n">
        <v>1.47263679776505</v>
      </c>
      <c r="K31" s="36" t="n">
        <f aca="false">$K$8</f>
        <v>1.8117300629046</v>
      </c>
      <c r="L31" s="36" t="n">
        <f aca="false">SQRT(J31^2+K31^2)</f>
        <v>2.33474301775677</v>
      </c>
      <c r="M31" s="55" t="n">
        <f aca="false">IF(G31="","",MAX(0,G31-1.96*L31/100))</f>
        <v>0.383473375599067</v>
      </c>
      <c r="N31" s="55" t="n">
        <f aca="false">IF(G31="","",MIN(1,G31+1.96*L31/100))</f>
        <v>0.474995301895133</v>
      </c>
      <c r="O31" s="54" t="n">
        <f aca="false">ROUND(S31*W31,0)</f>
        <v>78</v>
      </c>
      <c r="P31" s="54" t="n">
        <f aca="false">IF(F31="","",ROUND(SQRT((F31*L31/100)^2+(G31*O31)^2),0))</f>
        <v>45</v>
      </c>
      <c r="R31" s="56" t="n">
        <v>0.700201762469248</v>
      </c>
      <c r="S31" s="57" t="n">
        <f aca="false">U31*V31*$F$5</f>
        <v>1293.28908554572</v>
      </c>
      <c r="T31" s="58" t="n">
        <f aca="false">MAX(0,MIN(1,R31/100+$D$5))</f>
        <v>0.429080264832921</v>
      </c>
      <c r="U31" s="58" t="n">
        <v>0.607177974434612</v>
      </c>
      <c r="V31" s="57" t="n">
        <v>2130</v>
      </c>
      <c r="W31" s="58" t="n">
        <v>0.0606122259008943</v>
      </c>
      <c r="X31" s="59" t="s">
        <v>136</v>
      </c>
      <c r="Y31" s="59" t="s">
        <v>132</v>
      </c>
    </row>
    <row r="32" customFormat="false" ht="15" hidden="false" customHeight="false" outlineLevel="0" collapsed="false">
      <c r="A32" s="32" t="s">
        <v>127</v>
      </c>
      <c r="B32" s="32" t="s">
        <v>154</v>
      </c>
      <c r="C32" s="32" t="s">
        <v>129</v>
      </c>
      <c r="D32" s="54" t="n">
        <f aca="false">ROUND(S32*T32,0)</f>
        <v>665</v>
      </c>
      <c r="E32" s="54" t="n">
        <f aca="false">ROUND(S32,0)-D32</f>
        <v>1593</v>
      </c>
      <c r="F32" s="54" t="n">
        <f aca="false">IF(COUNTA(D32:E32)=0,"",SUM(D32:E32))</f>
        <v>2258</v>
      </c>
      <c r="G32" s="55" t="n">
        <f aca="false">IF(OR(F32="",F32=0),"",D32/F32)</f>
        <v>0.294508414526129</v>
      </c>
      <c r="H32" s="55" t="n">
        <f aca="false">IF(OR(F32="",F32=0),"",E32/F32)</f>
        <v>0.705491585473871</v>
      </c>
      <c r="I32" s="32" t="s">
        <v>130</v>
      </c>
      <c r="J32" s="36" t="n">
        <v>1.47263679776505</v>
      </c>
      <c r="K32" s="36" t="n">
        <f aca="false">$K$8</f>
        <v>1.8117300629046</v>
      </c>
      <c r="L32" s="36" t="n">
        <f aca="false">SQRT(J32^2+K32^2)</f>
        <v>2.33474301775677</v>
      </c>
      <c r="M32" s="55" t="n">
        <f aca="false">IF(G32="","",MAX(0,G32-1.96*L32/100))</f>
        <v>0.248747451378097</v>
      </c>
      <c r="N32" s="55" t="n">
        <f aca="false">IF(G32="","",MIN(1,G32+1.96*L32/100))</f>
        <v>0.340269377674162</v>
      </c>
      <c r="O32" s="54" t="n">
        <f aca="false">ROUND(S32*W32,0)</f>
        <v>137</v>
      </c>
      <c r="P32" s="54" t="n">
        <f aca="false">IF(F32="","",ROUND(SQRT((F32*L32/100)^2+(G32*O32)^2),0))</f>
        <v>66</v>
      </c>
      <c r="R32" s="56" t="n">
        <v>-12.77286978706</v>
      </c>
      <c r="S32" s="57" t="n">
        <f aca="false">U32*V32*$F$5</f>
        <v>2258.11685530743</v>
      </c>
      <c r="T32" s="58" t="n">
        <f aca="false">MAX(0,MIN(1,R32/100+$D$5))</f>
        <v>0.294349549337628</v>
      </c>
      <c r="U32" s="58" t="n">
        <v>0.65188130926889</v>
      </c>
      <c r="V32" s="57" t="n">
        <v>3464</v>
      </c>
      <c r="W32" s="58" t="n">
        <v>0.0606122259008943</v>
      </c>
      <c r="X32" s="59" t="s">
        <v>136</v>
      </c>
      <c r="Y32" s="59" t="s">
        <v>132</v>
      </c>
    </row>
    <row r="33" customFormat="false" ht="15" hidden="false" customHeight="false" outlineLevel="0" collapsed="false">
      <c r="A33" s="32" t="s">
        <v>127</v>
      </c>
      <c r="B33" s="32" t="s">
        <v>155</v>
      </c>
      <c r="C33" s="32" t="s">
        <v>129</v>
      </c>
      <c r="D33" s="54" t="n">
        <f aca="false">ROUND(S33*T33,0)</f>
        <v>274</v>
      </c>
      <c r="E33" s="54" t="n">
        <f aca="false">ROUND(S33,0)-D33</f>
        <v>640</v>
      </c>
      <c r="F33" s="54" t="n">
        <f aca="false">IF(COUNTA(D33:E33)=0,"",SUM(D33:E33))</f>
        <v>914</v>
      </c>
      <c r="G33" s="55" t="n">
        <f aca="false">IF(OR(F33="",F33=0),"",D33/F33)</f>
        <v>0.299781181619256</v>
      </c>
      <c r="H33" s="55" t="n">
        <f aca="false">IF(OR(F33="",F33=0),"",E33/F33)</f>
        <v>0.700218818380744</v>
      </c>
      <c r="I33" s="32" t="s">
        <v>130</v>
      </c>
      <c r="J33" s="36" t="n">
        <v>2.8276384769087</v>
      </c>
      <c r="K33" s="36" t="n">
        <f aca="false">$K$8</f>
        <v>1.8117300629046</v>
      </c>
      <c r="L33" s="36" t="n">
        <f aca="false">SQRT(J33^2+K33^2)</f>
        <v>3.35825924802223</v>
      </c>
      <c r="M33" s="55" t="n">
        <f aca="false">IF(G33="","",MAX(0,G33-1.96*L33/100))</f>
        <v>0.23395930035802</v>
      </c>
      <c r="N33" s="55" t="n">
        <f aca="false">IF(G33="","",MIN(1,G33+1.96*L33/100))</f>
        <v>0.365603062880492</v>
      </c>
      <c r="O33" s="54" t="n">
        <f aca="false">ROUND(S33*W33,0)</f>
        <v>71</v>
      </c>
      <c r="P33" s="54" t="n">
        <f aca="false">IF(F33="","",ROUND(SQRT((F33*L33/100)^2+(G33*O33)^2),0))</f>
        <v>37</v>
      </c>
      <c r="R33" s="56" t="n">
        <v>-12.2500345025058</v>
      </c>
      <c r="S33" s="57" t="n">
        <f aca="false">U33*V33*$F$5</f>
        <v>913.771907216495</v>
      </c>
      <c r="T33" s="58" t="n">
        <f aca="false">MAX(0,MIN(1,R33/100+$D$5))</f>
        <v>0.299577902183171</v>
      </c>
      <c r="U33" s="58" t="n">
        <v>0.580541237113402</v>
      </c>
      <c r="V33" s="57" t="n">
        <v>1574</v>
      </c>
      <c r="W33" s="58" t="n">
        <v>0.0777040344688333</v>
      </c>
      <c r="X33" s="59" t="s">
        <v>131</v>
      </c>
      <c r="Y33" s="59" t="s">
        <v>132</v>
      </c>
    </row>
    <row r="34" customFormat="false" ht="15" hidden="false" customHeight="false" outlineLevel="0" collapsed="false">
      <c r="A34" s="32" t="s">
        <v>127</v>
      </c>
      <c r="B34" s="32" t="s">
        <v>156</v>
      </c>
      <c r="C34" s="32" t="s">
        <v>129</v>
      </c>
      <c r="D34" s="54" t="n">
        <f aca="false">ROUND(S34*T34,0)</f>
        <v>37</v>
      </c>
      <c r="E34" s="54" t="n">
        <f aca="false">ROUND(S34,0)-D34</f>
        <v>70</v>
      </c>
      <c r="F34" s="54" t="n">
        <f aca="false">IF(COUNTA(D34:E34)=0,"",SUM(D34:E34))</f>
        <v>107</v>
      </c>
      <c r="G34" s="55" t="n">
        <f aca="false">IF(OR(F34="",F34=0),"",D34/F34)</f>
        <v>0.345794392523364</v>
      </c>
      <c r="H34" s="55" t="n">
        <f aca="false">IF(OR(F34="",F34=0),"",E34/F34)</f>
        <v>0.654205607476636</v>
      </c>
      <c r="I34" s="32" t="s">
        <v>130</v>
      </c>
      <c r="J34" s="36" t="n">
        <v>2.8276384769087</v>
      </c>
      <c r="K34" s="36" t="n">
        <f aca="false">$K$8</f>
        <v>1.8117300629046</v>
      </c>
      <c r="L34" s="36" t="n">
        <f aca="false">SQRT(J34^2+K34^2)</f>
        <v>3.35825924802223</v>
      </c>
      <c r="M34" s="55" t="n">
        <f aca="false">IF(G34="","",MAX(0,G34-1.96*L34/100))</f>
        <v>0.279972511262129</v>
      </c>
      <c r="N34" s="55" t="n">
        <f aca="false">IF(G34="","",MIN(1,G34+1.96*L34/100))</f>
        <v>0.4116162737846</v>
      </c>
      <c r="O34" s="54" t="n">
        <f aca="false">ROUND(S34*W34,0)</f>
        <v>8</v>
      </c>
      <c r="P34" s="54" t="n">
        <f aca="false">IF(F34="","",ROUND(SQRT((F34*L34/100)^2+(G34*O34)^2),0))</f>
        <v>5</v>
      </c>
      <c r="R34" s="56" t="n">
        <v>-7.39846260696866</v>
      </c>
      <c r="S34" s="57" t="n">
        <f aca="false">U34*V34*$F$5</f>
        <v>106.666666666667</v>
      </c>
      <c r="T34" s="58" t="n">
        <f aca="false">MAX(0,MIN(1,R34/100+$D$5))</f>
        <v>0.348093621138542</v>
      </c>
      <c r="U34" s="58" t="n">
        <v>0.444444444444444</v>
      </c>
      <c r="V34" s="57" t="n">
        <v>240</v>
      </c>
      <c r="W34" s="58" t="n">
        <v>0.0777040344688333</v>
      </c>
      <c r="X34" s="59" t="s">
        <v>131</v>
      </c>
      <c r="Y34" s="59" t="s">
        <v>132</v>
      </c>
    </row>
    <row r="35" customFormat="false" ht="15" hidden="false" customHeight="false" outlineLevel="0" collapsed="false">
      <c r="A35" s="32" t="s">
        <v>157</v>
      </c>
      <c r="B35" s="32" t="s">
        <v>158</v>
      </c>
      <c r="C35" s="32" t="s">
        <v>129</v>
      </c>
      <c r="D35" s="54" t="n">
        <f aca="false">ROUND(S35*T35,0)</f>
        <v>497</v>
      </c>
      <c r="E35" s="54" t="n">
        <f aca="false">ROUND(S35,0)-D35</f>
        <v>564</v>
      </c>
      <c r="F35" s="54" t="n">
        <f aca="false">IF(COUNTA(D35:E35)=0,"",SUM(D35:E35))</f>
        <v>1061</v>
      </c>
      <c r="G35" s="55" t="n">
        <f aca="false">IF(OR(F35="",F35=0),"",D35/F35)</f>
        <v>0.468426013195099</v>
      </c>
      <c r="H35" s="55" t="n">
        <f aca="false">IF(OR(F35="",F35=0),"",E35/F35)</f>
        <v>0.531573986804901</v>
      </c>
      <c r="I35" s="32" t="s">
        <v>130</v>
      </c>
      <c r="J35" s="36" t="n">
        <v>2.8276384769087</v>
      </c>
      <c r="K35" s="36" t="n">
        <f aca="false">$K$8</f>
        <v>1.8117300629046</v>
      </c>
      <c r="L35" s="36" t="n">
        <f aca="false">SQRT(J35^2+K35^2)</f>
        <v>3.35825924802223</v>
      </c>
      <c r="M35" s="55" t="n">
        <f aca="false">IF(G35="","",MAX(0,G35-1.96*L35/100))</f>
        <v>0.402604131933863</v>
      </c>
      <c r="N35" s="55" t="n">
        <f aca="false">IF(G35="","",MIN(1,G35+1.96*L35/100))</f>
        <v>0.534247894456335</v>
      </c>
      <c r="O35" s="54" t="n">
        <f aca="false">ROUND(S35*W35,0)</f>
        <v>82</v>
      </c>
      <c r="P35" s="54" t="n">
        <f aca="false">IF(F35="","",ROUND(SQRT((F35*L35/100)^2+(G35*O35)^2),0))</f>
        <v>52</v>
      </c>
      <c r="R35" s="56" t="n">
        <v>4.6396282543268</v>
      </c>
      <c r="S35" s="57" t="n">
        <f aca="false">U35*V35*$F$5</f>
        <v>1060.80585424134</v>
      </c>
      <c r="T35" s="58" t="n">
        <f aca="false">MAX(0,MIN(1,R35/100+$D$5))</f>
        <v>0.468474529751496</v>
      </c>
      <c r="U35" s="58" t="n">
        <v>0.605137395459976</v>
      </c>
      <c r="V35" s="57" t="n">
        <v>1753</v>
      </c>
      <c r="W35" s="58" t="n">
        <v>0.0777040344688333</v>
      </c>
      <c r="X35" s="59" t="s">
        <v>131</v>
      </c>
      <c r="Y35" s="59" t="s">
        <v>132</v>
      </c>
    </row>
    <row r="36" customFormat="false" ht="15" hidden="false" customHeight="false" outlineLevel="0" collapsed="false">
      <c r="A36" s="32" t="s">
        <v>157</v>
      </c>
      <c r="B36" s="32" t="s">
        <v>159</v>
      </c>
      <c r="C36" s="32" t="s">
        <v>129</v>
      </c>
      <c r="D36" s="54" t="n">
        <f aca="false">ROUND(S36*T36,0)</f>
        <v>16618</v>
      </c>
      <c r="E36" s="54" t="n">
        <f aca="false">ROUND(S36,0)-D36</f>
        <v>8755</v>
      </c>
      <c r="F36" s="54" t="n">
        <f aca="false">IF(COUNTA(D36:E36)=0,"",SUM(D36:E36))</f>
        <v>25373</v>
      </c>
      <c r="G36" s="55" t="n">
        <f aca="false">IF(OR(F36="",F36=0),"",D36/F36)</f>
        <v>0.654948173255035</v>
      </c>
      <c r="H36" s="55" t="n">
        <f aca="false">IF(OR(F36="",F36=0),"",E36/F36)</f>
        <v>0.345051826744965</v>
      </c>
      <c r="I36" s="32" t="s">
        <v>130</v>
      </c>
      <c r="J36" s="36" t="n">
        <v>1.57729384625613</v>
      </c>
      <c r="K36" s="36" t="n">
        <f aca="false">$K$8</f>
        <v>1.8117300629046</v>
      </c>
      <c r="L36" s="36" t="n">
        <f aca="false">SQRT(J36^2+K36^2)</f>
        <v>2.40212857654826</v>
      </c>
      <c r="M36" s="55" t="n">
        <f aca="false">IF(G36="","",MAX(0,G36-1.96*L36/100))</f>
        <v>0.607866453154689</v>
      </c>
      <c r="N36" s="55" t="n">
        <f aca="false">IF(G36="","",MIN(1,G36+1.96*L36/100))</f>
        <v>0.702029893355381</v>
      </c>
      <c r="O36" s="54" t="n">
        <f aca="false">ROUND(S36*W36,0)</f>
        <v>1399</v>
      </c>
      <c r="P36" s="54" t="n">
        <f aca="false">IF(F36="","",ROUND(SQRT((F36*L36/100)^2+(G36*O36)^2),0))</f>
        <v>1100</v>
      </c>
      <c r="R36" s="56" t="n">
        <v>23.2849499687244</v>
      </c>
      <c r="S36" s="57" t="n">
        <f aca="false">U36*V36*$F$5</f>
        <v>25373.374760008</v>
      </c>
      <c r="T36" s="58" t="n">
        <f aca="false">MAX(0,MIN(1,R36/100+$D$5))</f>
        <v>0.654927746895472</v>
      </c>
      <c r="U36" s="58" t="n">
        <v>0.356778519643522</v>
      </c>
      <c r="V36" s="57" t="n">
        <v>71118</v>
      </c>
      <c r="W36" s="58" t="n">
        <v>0.0551273752894184</v>
      </c>
      <c r="X36" s="59" t="s">
        <v>152</v>
      </c>
      <c r="Y36" s="59" t="s">
        <v>132</v>
      </c>
    </row>
    <row r="37" customFormat="false" ht="15" hidden="false" customHeight="false" outlineLevel="0" collapsed="false">
      <c r="A37" s="32" t="s">
        <v>157</v>
      </c>
      <c r="B37" s="32" t="s">
        <v>160</v>
      </c>
      <c r="C37" s="32" t="s">
        <v>129</v>
      </c>
      <c r="D37" s="54" t="n">
        <f aca="false">ROUND(S37*T37,0)</f>
        <v>5069</v>
      </c>
      <c r="E37" s="54" t="n">
        <f aca="false">ROUND(S37,0)-D37</f>
        <v>2908</v>
      </c>
      <c r="F37" s="54" t="n">
        <f aca="false">IF(COUNTA(D37:E37)=0,"",SUM(D37:E37))</f>
        <v>7977</v>
      </c>
      <c r="G37" s="55" t="n">
        <f aca="false">IF(OR(F37="",F37=0),"",D37/F37)</f>
        <v>0.635451924282312</v>
      </c>
      <c r="H37" s="55" t="n">
        <f aca="false">IF(OR(F37="",F37=0),"",E37/F37)</f>
        <v>0.364548075717688</v>
      </c>
      <c r="I37" s="32" t="s">
        <v>130</v>
      </c>
      <c r="J37" s="36" t="n">
        <v>1.57729384625613</v>
      </c>
      <c r="K37" s="36" t="n">
        <f aca="false">$K$8</f>
        <v>1.8117300629046</v>
      </c>
      <c r="L37" s="36" t="n">
        <f aca="false">SQRT(J37^2+K37^2)</f>
        <v>2.40212857654826</v>
      </c>
      <c r="M37" s="55" t="n">
        <f aca="false">IF(G37="","",MAX(0,G37-1.96*L37/100))</f>
        <v>0.588370204181966</v>
      </c>
      <c r="N37" s="55" t="n">
        <f aca="false">IF(G37="","",MIN(1,G37+1.96*L37/100))</f>
        <v>0.682533644382658</v>
      </c>
      <c r="O37" s="54" t="n">
        <f aca="false">ROUND(S37*W37,0)</f>
        <v>440</v>
      </c>
      <c r="P37" s="54" t="n">
        <f aca="false">IF(F37="","",ROUND(SQRT((F37*L37/100)^2+(G37*O37)^2),0))</f>
        <v>339</v>
      </c>
      <c r="R37" s="56" t="n">
        <v>21.3395743362006</v>
      </c>
      <c r="S37" s="57" t="n">
        <f aca="false">U37*V37*$F$5</f>
        <v>7976.55329986175</v>
      </c>
      <c r="T37" s="58" t="n">
        <f aca="false">MAX(0,MIN(1,R37/100+$D$5))</f>
        <v>0.635473990570234</v>
      </c>
      <c r="U37" s="58" t="n">
        <v>0.574183220548643</v>
      </c>
      <c r="V37" s="57" t="n">
        <v>13892</v>
      </c>
      <c r="W37" s="58" t="n">
        <v>0.0551273752894184</v>
      </c>
      <c r="X37" s="59" t="s">
        <v>152</v>
      </c>
      <c r="Y37" s="59" t="s">
        <v>132</v>
      </c>
    </row>
    <row r="38" customFormat="false" ht="15" hidden="false" customHeight="false" outlineLevel="0" collapsed="false">
      <c r="A38" s="32" t="s">
        <v>157</v>
      </c>
      <c r="B38" s="32" t="s">
        <v>161</v>
      </c>
      <c r="C38" s="32" t="s">
        <v>129</v>
      </c>
      <c r="D38" s="54" t="n">
        <f aca="false">ROUND(S38*T38,0)</f>
        <v>1136</v>
      </c>
      <c r="E38" s="54" t="n">
        <f aca="false">ROUND(S38,0)-D38</f>
        <v>1042</v>
      </c>
      <c r="F38" s="54" t="n">
        <f aca="false">IF(COUNTA(D38:E38)=0,"",SUM(D38:E38))</f>
        <v>2178</v>
      </c>
      <c r="G38" s="55" t="n">
        <f aca="false">IF(OR(F38="",F38=0),"",D38/F38)</f>
        <v>0.52157943067034</v>
      </c>
      <c r="H38" s="55" t="n">
        <f aca="false">IF(OR(F38="",F38=0),"",E38/F38)</f>
        <v>0.47842056932966</v>
      </c>
      <c r="I38" s="32" t="s">
        <v>130</v>
      </c>
      <c r="J38" s="36" t="n">
        <v>1.47263679776505</v>
      </c>
      <c r="K38" s="36" t="n">
        <f aca="false">$K$8</f>
        <v>1.8117300629046</v>
      </c>
      <c r="L38" s="36" t="n">
        <f aca="false">SQRT(J38^2+K38^2)</f>
        <v>2.33474301775677</v>
      </c>
      <c r="M38" s="55" t="n">
        <f aca="false">IF(G38="","",MAX(0,G38-1.96*L38/100))</f>
        <v>0.475818467522307</v>
      </c>
      <c r="N38" s="55" t="n">
        <f aca="false">IF(G38="","",MIN(1,G38+1.96*L38/100))</f>
        <v>0.567340393818372</v>
      </c>
      <c r="O38" s="54" t="n">
        <f aca="false">ROUND(S38*W38,0)</f>
        <v>132</v>
      </c>
      <c r="P38" s="54" t="n">
        <f aca="false">IF(F38="","",ROUND(SQRT((F38*L38/100)^2+(G38*O38)^2),0))</f>
        <v>86</v>
      </c>
      <c r="R38" s="56" t="n">
        <v>9.9578873177351</v>
      </c>
      <c r="S38" s="57" t="n">
        <f aca="false">U38*V38*$F$5</f>
        <v>2177.82706204834</v>
      </c>
      <c r="T38" s="58" t="n">
        <f aca="false">MAX(0,MIN(1,R38/100+$D$5))</f>
        <v>0.521657120385579</v>
      </c>
      <c r="U38" s="58" t="n">
        <v>0.525791178669325</v>
      </c>
      <c r="V38" s="57" t="n">
        <v>4142</v>
      </c>
      <c r="W38" s="58" t="n">
        <v>0.0606122259008943</v>
      </c>
      <c r="X38" s="59" t="s">
        <v>136</v>
      </c>
      <c r="Y38" s="59" t="s">
        <v>132</v>
      </c>
    </row>
    <row r="39" customFormat="false" ht="15" hidden="false" customHeight="false" outlineLevel="0" collapsed="false">
      <c r="A39" s="32" t="s">
        <v>157</v>
      </c>
      <c r="B39" s="32" t="s">
        <v>162</v>
      </c>
      <c r="C39" s="32" t="s">
        <v>129</v>
      </c>
      <c r="D39" s="54" t="n">
        <f aca="false">ROUND(S39*T39,0)</f>
        <v>616</v>
      </c>
      <c r="E39" s="54" t="n">
        <f aca="false">ROUND(S39,0)-D39</f>
        <v>654</v>
      </c>
      <c r="F39" s="54" t="n">
        <f aca="false">IF(COUNTA(D39:E39)=0,"",SUM(D39:E39))</f>
        <v>1270</v>
      </c>
      <c r="G39" s="55" t="n">
        <f aca="false">IF(OR(F39="",F39=0),"",D39/F39)</f>
        <v>0.48503937007874</v>
      </c>
      <c r="H39" s="55" t="n">
        <f aca="false">IF(OR(F39="",F39=0),"",E39/F39)</f>
        <v>0.51496062992126</v>
      </c>
      <c r="I39" s="32" t="s">
        <v>130</v>
      </c>
      <c r="J39" s="36" t="n">
        <v>1.47263679776505</v>
      </c>
      <c r="K39" s="36" t="n">
        <f aca="false">$K$8</f>
        <v>1.8117300629046</v>
      </c>
      <c r="L39" s="36" t="n">
        <f aca="false">SQRT(J39^2+K39^2)</f>
        <v>2.33474301775677</v>
      </c>
      <c r="M39" s="55" t="n">
        <f aca="false">IF(G39="","",MAX(0,G39-1.96*L39/100))</f>
        <v>0.439278406930707</v>
      </c>
      <c r="N39" s="55" t="n">
        <f aca="false">IF(G39="","",MIN(1,G39+1.96*L39/100))</f>
        <v>0.530800333226773</v>
      </c>
      <c r="O39" s="54" t="n">
        <f aca="false">ROUND(S39*W39,0)</f>
        <v>77</v>
      </c>
      <c r="P39" s="54" t="n">
        <f aca="false">IF(F39="","",ROUND(SQRT((F39*L39/100)^2+(G39*O39)^2),0))</f>
        <v>48</v>
      </c>
      <c r="R39" s="56" t="n">
        <v>6.26699745539133</v>
      </c>
      <c r="S39" s="57" t="n">
        <f aca="false">U39*V39*$F$5</f>
        <v>1270.44031093837</v>
      </c>
      <c r="T39" s="58" t="n">
        <f aca="false">MAX(0,MIN(1,R39/100+$D$5))</f>
        <v>0.484748221762142</v>
      </c>
      <c r="U39" s="58" t="n">
        <v>0.676846196557468</v>
      </c>
      <c r="V39" s="57" t="n">
        <v>1877</v>
      </c>
      <c r="W39" s="58" t="n">
        <v>0.0606122259008943</v>
      </c>
      <c r="X39" s="59" t="s">
        <v>136</v>
      </c>
      <c r="Y39" s="59" t="s">
        <v>132</v>
      </c>
    </row>
    <row r="40" customFormat="false" ht="15" hidden="false" customHeight="false" outlineLevel="0" collapsed="false">
      <c r="A40" s="32" t="s">
        <v>157</v>
      </c>
      <c r="B40" s="32" t="s">
        <v>163</v>
      </c>
      <c r="C40" s="32" t="s">
        <v>129</v>
      </c>
      <c r="D40" s="54" t="n">
        <f aca="false">ROUND(S40*T40,0)</f>
        <v>704</v>
      </c>
      <c r="E40" s="54" t="n">
        <f aca="false">ROUND(S40,0)-D40</f>
        <v>660</v>
      </c>
      <c r="F40" s="54" t="n">
        <f aca="false">IF(COUNTA(D40:E40)=0,"",SUM(D40:E40))</f>
        <v>1364</v>
      </c>
      <c r="G40" s="55" t="n">
        <f aca="false">IF(OR(F40="",F40=0),"",D40/F40)</f>
        <v>0.516129032258065</v>
      </c>
      <c r="H40" s="55" t="n">
        <f aca="false">IF(OR(F40="",F40=0),"",E40/F40)</f>
        <v>0.483870967741936</v>
      </c>
      <c r="I40" s="32" t="s">
        <v>130</v>
      </c>
      <c r="J40" s="36" t="n">
        <v>1.47263679776505</v>
      </c>
      <c r="K40" s="36" t="n">
        <f aca="false">$K$8</f>
        <v>1.8117300629046</v>
      </c>
      <c r="L40" s="36" t="n">
        <f aca="false">SQRT(J40^2+K40^2)</f>
        <v>2.33474301775677</v>
      </c>
      <c r="M40" s="55" t="n">
        <f aca="false">IF(G40="","",MAX(0,G40-1.96*L40/100))</f>
        <v>0.470368069110032</v>
      </c>
      <c r="N40" s="55" t="n">
        <f aca="false">IF(G40="","",MIN(1,G40+1.96*L40/100))</f>
        <v>0.561889995406097</v>
      </c>
      <c r="O40" s="54" t="n">
        <f aca="false">ROUND(S40*W40,0)</f>
        <v>83</v>
      </c>
      <c r="P40" s="54" t="n">
        <f aca="false">IF(F40="","",ROUND(SQRT((F40*L40/100)^2+(G40*O40)^2),0))</f>
        <v>53</v>
      </c>
      <c r="R40" s="56" t="n">
        <v>9.418338235686</v>
      </c>
      <c r="S40" s="57" t="n">
        <f aca="false">U40*V40*$F$5</f>
        <v>1363.93435943866</v>
      </c>
      <c r="T40" s="58" t="n">
        <f aca="false">MAX(0,MIN(1,R40/100+$D$5))</f>
        <v>0.516261629565088</v>
      </c>
      <c r="U40" s="58" t="n">
        <v>0.587143503847895</v>
      </c>
      <c r="V40" s="57" t="n">
        <v>2323</v>
      </c>
      <c r="W40" s="58" t="n">
        <v>0.0606122259008943</v>
      </c>
      <c r="X40" s="59" t="s">
        <v>136</v>
      </c>
      <c r="Y40" s="59" t="s">
        <v>132</v>
      </c>
    </row>
    <row r="41" customFormat="false" ht="15" hidden="false" customHeight="false" outlineLevel="0" collapsed="false">
      <c r="A41" s="32" t="s">
        <v>157</v>
      </c>
      <c r="B41" s="32" t="s">
        <v>164</v>
      </c>
      <c r="C41" s="32" t="s">
        <v>129</v>
      </c>
      <c r="D41" s="54" t="n">
        <f aca="false">ROUND(S41*T41,0)</f>
        <v>2901</v>
      </c>
      <c r="E41" s="54" t="n">
        <f aca="false">ROUND(S41,0)-D41</f>
        <v>2487</v>
      </c>
      <c r="F41" s="54" t="n">
        <f aca="false">IF(COUNTA(D41:E41)=0,"",SUM(D41:E41))</f>
        <v>5388</v>
      </c>
      <c r="G41" s="55" t="n">
        <f aca="false">IF(OR(F41="",F41=0),"",D41/F41)</f>
        <v>0.538418708240535</v>
      </c>
      <c r="H41" s="55" t="n">
        <f aca="false">IF(OR(F41="",F41=0),"",E41/F41)</f>
        <v>0.461581291759466</v>
      </c>
      <c r="I41" s="32" t="s">
        <v>130</v>
      </c>
      <c r="J41" s="36" t="n">
        <v>1.57729384625613</v>
      </c>
      <c r="K41" s="36" t="n">
        <f aca="false">$K$8</f>
        <v>1.8117300629046</v>
      </c>
      <c r="L41" s="36" t="n">
        <f aca="false">SQRT(J41^2+K41^2)</f>
        <v>2.40212857654826</v>
      </c>
      <c r="M41" s="55" t="n">
        <f aca="false">IF(G41="","",MAX(0,G41-1.96*L41/100))</f>
        <v>0.491336988140189</v>
      </c>
      <c r="N41" s="55" t="n">
        <f aca="false">IF(G41="","",MIN(1,G41+1.96*L41/100))</f>
        <v>0.58550042834088</v>
      </c>
      <c r="O41" s="54" t="n">
        <f aca="false">ROUND(S41*W41,0)</f>
        <v>297</v>
      </c>
      <c r="P41" s="54" t="n">
        <f aca="false">IF(F41="","",ROUND(SQRT((F41*L41/100)^2+(G41*O41)^2),0))</f>
        <v>206</v>
      </c>
      <c r="R41" s="56" t="n">
        <v>11.6259265404951</v>
      </c>
      <c r="S41" s="57" t="n">
        <f aca="false">U41*V41*$F$5</f>
        <v>5388.18679314119</v>
      </c>
      <c r="T41" s="58" t="n">
        <f aca="false">MAX(0,MIN(1,R41/100+$D$5))</f>
        <v>0.53833751261318</v>
      </c>
      <c r="U41" s="58" t="n">
        <v>0.618265839717865</v>
      </c>
      <c r="V41" s="57" t="n">
        <v>8715</v>
      </c>
      <c r="W41" s="58" t="n">
        <v>0.0551273752894184</v>
      </c>
      <c r="X41" s="59" t="s">
        <v>152</v>
      </c>
      <c r="Y41" s="59" t="s">
        <v>132</v>
      </c>
    </row>
    <row r="42" customFormat="false" ht="15" hidden="false" customHeight="false" outlineLevel="0" collapsed="false">
      <c r="A42" s="32" t="s">
        <v>157</v>
      </c>
      <c r="B42" s="32" t="s">
        <v>165</v>
      </c>
      <c r="C42" s="32" t="s">
        <v>129</v>
      </c>
      <c r="D42" s="54" t="n">
        <f aca="false">ROUND(S42*T42,0)</f>
        <v>1056</v>
      </c>
      <c r="E42" s="54" t="n">
        <f aca="false">ROUND(S42,0)-D42</f>
        <v>549</v>
      </c>
      <c r="F42" s="54" t="n">
        <f aca="false">IF(COUNTA(D42:E42)=0,"",SUM(D42:E42))</f>
        <v>1605</v>
      </c>
      <c r="G42" s="55" t="n">
        <f aca="false">IF(OR(F42="",F42=0),"",D42/F42)</f>
        <v>0.657943925233645</v>
      </c>
      <c r="H42" s="55" t="n">
        <f aca="false">IF(OR(F42="",F42=0),"",E42/F42)</f>
        <v>0.342056074766355</v>
      </c>
      <c r="I42" s="32" t="s">
        <v>130</v>
      </c>
      <c r="J42" s="36" t="n">
        <v>1.47263679776505</v>
      </c>
      <c r="K42" s="36" t="n">
        <f aca="false">$K$8</f>
        <v>1.8117300629046</v>
      </c>
      <c r="L42" s="36" t="n">
        <f aca="false">SQRT(J42^2+K42^2)</f>
        <v>2.33474301775677</v>
      </c>
      <c r="M42" s="55" t="n">
        <f aca="false">IF(G42="","",MAX(0,G42-1.96*L42/100))</f>
        <v>0.612182962085612</v>
      </c>
      <c r="N42" s="55" t="n">
        <f aca="false">IF(G42="","",MIN(1,G42+1.96*L42/100))</f>
        <v>0.703704888381678</v>
      </c>
      <c r="O42" s="54" t="n">
        <f aca="false">ROUND(S42*W42,0)</f>
        <v>97</v>
      </c>
      <c r="P42" s="54" t="n">
        <f aca="false">IF(F42="","",ROUND(SQRT((F42*L42/100)^2+(G42*O42)^2),0))</f>
        <v>74</v>
      </c>
      <c r="R42" s="56" t="n">
        <v>23.5756044466956</v>
      </c>
      <c r="S42" s="57" t="n">
        <f aca="false">U42*V42*$F$5</f>
        <v>1605.4392182842</v>
      </c>
      <c r="T42" s="58" t="n">
        <f aca="false">MAX(0,MIN(1,R42/100+$D$5))</f>
        <v>0.657834291675184</v>
      </c>
      <c r="U42" s="58" t="n">
        <v>0.513083802583637</v>
      </c>
      <c r="V42" s="57" t="n">
        <v>3129</v>
      </c>
      <c r="W42" s="58" t="n">
        <v>0.0606122259008943</v>
      </c>
      <c r="X42" s="59" t="s">
        <v>136</v>
      </c>
      <c r="Y42" s="59" t="s">
        <v>132</v>
      </c>
    </row>
    <row r="43" customFormat="false" ht="15" hidden="false" customHeight="false" outlineLevel="0" collapsed="false">
      <c r="A43" s="32" t="s">
        <v>157</v>
      </c>
      <c r="B43" s="32" t="s">
        <v>166</v>
      </c>
      <c r="C43" s="32" t="s">
        <v>129</v>
      </c>
      <c r="D43" s="54" t="n">
        <f aca="false">ROUND(S43*T43,0)</f>
        <v>261</v>
      </c>
      <c r="E43" s="54" t="n">
        <f aca="false">ROUND(S43,0)-D43</f>
        <v>223</v>
      </c>
      <c r="F43" s="54" t="n">
        <f aca="false">IF(COUNTA(D43:E43)=0,"",SUM(D43:E43))</f>
        <v>484</v>
      </c>
      <c r="G43" s="55" t="n">
        <f aca="false">IF(OR(F43="",F43=0),"",D43/F43)</f>
        <v>0.539256198347108</v>
      </c>
      <c r="H43" s="55" t="n">
        <f aca="false">IF(OR(F43="",F43=0),"",E43/F43)</f>
        <v>0.460743801652893</v>
      </c>
      <c r="I43" s="32" t="s">
        <v>130</v>
      </c>
      <c r="J43" s="36" t="n">
        <v>2.8276384769087</v>
      </c>
      <c r="K43" s="36" t="n">
        <f aca="false">$K$8</f>
        <v>1.8117300629046</v>
      </c>
      <c r="L43" s="36" t="n">
        <f aca="false">SQRT(J43^2+K43^2)</f>
        <v>3.35825924802223</v>
      </c>
      <c r="M43" s="55" t="n">
        <f aca="false">IF(G43="","",MAX(0,G43-1.96*L43/100))</f>
        <v>0.473434317085872</v>
      </c>
      <c r="N43" s="55" t="n">
        <f aca="false">IF(G43="","",MIN(1,G43+1.96*L43/100))</f>
        <v>0.605078079608343</v>
      </c>
      <c r="O43" s="54" t="n">
        <f aca="false">ROUND(S43*W43,0)</f>
        <v>38</v>
      </c>
      <c r="P43" s="54" t="n">
        <f aca="false">IF(F43="","",ROUND(SQRT((F43*L43/100)^2+(G43*O43)^2),0))</f>
        <v>26</v>
      </c>
      <c r="R43" s="56" t="n">
        <v>11.7720524204254</v>
      </c>
      <c r="S43" s="57" t="n">
        <f aca="false">U43*V43*$F$5</f>
        <v>483.913480885312</v>
      </c>
      <c r="T43" s="58" t="n">
        <f aca="false">MAX(0,MIN(1,R43/100+$D$5))</f>
        <v>0.539798771412482</v>
      </c>
      <c r="U43" s="58" t="n">
        <v>0.469818913480885</v>
      </c>
      <c r="V43" s="57" t="n">
        <v>1030</v>
      </c>
      <c r="W43" s="58" t="n">
        <v>0.0777040344688333</v>
      </c>
      <c r="X43" s="59" t="s">
        <v>131</v>
      </c>
      <c r="Y43" s="59" t="s">
        <v>132</v>
      </c>
    </row>
    <row r="44" customFormat="false" ht="15" hidden="false" customHeight="false" outlineLevel="0" collapsed="false">
      <c r="A44" s="32" t="s">
        <v>157</v>
      </c>
      <c r="B44" s="32" t="s">
        <v>167</v>
      </c>
      <c r="C44" s="32" t="s">
        <v>129</v>
      </c>
      <c r="D44" s="54" t="n">
        <f aca="false">ROUND(S44*T44,0)</f>
        <v>532</v>
      </c>
      <c r="E44" s="54" t="n">
        <f aca="false">ROUND(S44,0)-D44</f>
        <v>1125</v>
      </c>
      <c r="F44" s="54" t="n">
        <f aca="false">IF(COUNTA(D44:E44)=0,"",SUM(D44:E44))</f>
        <v>1657</v>
      </c>
      <c r="G44" s="55" t="n">
        <f aca="false">IF(OR(F44="",F44=0),"",D44/F44)</f>
        <v>0.32106216053108</v>
      </c>
      <c r="H44" s="55" t="n">
        <f aca="false">IF(OR(F44="",F44=0),"",E44/F44)</f>
        <v>0.67893783946892</v>
      </c>
      <c r="I44" s="32" t="s">
        <v>130</v>
      </c>
      <c r="J44" s="36" t="n">
        <v>1.47263679776505</v>
      </c>
      <c r="K44" s="36" t="n">
        <f aca="false">$K$8</f>
        <v>1.8117300629046</v>
      </c>
      <c r="L44" s="36" t="n">
        <f aca="false">SQRT(J44^2+K44^2)</f>
        <v>2.33474301775677</v>
      </c>
      <c r="M44" s="55" t="n">
        <f aca="false">IF(G44="","",MAX(0,G44-1.96*L44/100))</f>
        <v>0.275301197383048</v>
      </c>
      <c r="N44" s="55" t="n">
        <f aca="false">IF(G44="","",MIN(1,G44+1.96*L44/100))</f>
        <v>0.366823123679113</v>
      </c>
      <c r="O44" s="54" t="n">
        <f aca="false">ROUND(S44*W44,0)</f>
        <v>100</v>
      </c>
      <c r="P44" s="54" t="n">
        <f aca="false">IF(F44="","",ROUND(SQRT((F44*L44/100)^2+(G44*O44)^2),0))</f>
        <v>50</v>
      </c>
      <c r="R44" s="56" t="n">
        <v>-10.0819581734198</v>
      </c>
      <c r="S44" s="57" t="n">
        <f aca="false">U44*V44*$F$5</f>
        <v>1656.73758865248</v>
      </c>
      <c r="T44" s="58" t="n">
        <f aca="false">MAX(0,MIN(1,R44/100+$D$5))</f>
        <v>0.32125866547403</v>
      </c>
      <c r="U44" s="58" t="n">
        <v>0.66750104297038</v>
      </c>
      <c r="V44" s="57" t="n">
        <v>2482</v>
      </c>
      <c r="W44" s="58" t="n">
        <v>0.0606122259008943</v>
      </c>
      <c r="X44" s="59" t="s">
        <v>136</v>
      </c>
      <c r="Y44" s="59" t="s">
        <v>132</v>
      </c>
    </row>
    <row r="45" customFormat="false" ht="15" hidden="false" customHeight="false" outlineLevel="0" collapsed="false">
      <c r="A45" s="32" t="s">
        <v>157</v>
      </c>
      <c r="B45" s="32" t="s">
        <v>168</v>
      </c>
      <c r="C45" s="32" t="s">
        <v>129</v>
      </c>
      <c r="D45" s="54" t="n">
        <f aca="false">ROUND(S45*T45,0)</f>
        <v>8278</v>
      </c>
      <c r="E45" s="54" t="n">
        <f aca="false">ROUND(S45,0)-D45</f>
        <v>8057</v>
      </c>
      <c r="F45" s="54" t="n">
        <f aca="false">IF(COUNTA(D45:E45)=0,"",SUM(D45:E45))</f>
        <v>16335</v>
      </c>
      <c r="G45" s="55" t="n">
        <f aca="false">IF(OR(F45="",F45=0),"",D45/F45)</f>
        <v>0.506764615855525</v>
      </c>
      <c r="H45" s="55" t="n">
        <f aca="false">IF(OR(F45="",F45=0),"",E45/F45)</f>
        <v>0.493235384144475</v>
      </c>
      <c r="I45" s="32" t="s">
        <v>130</v>
      </c>
      <c r="J45" s="36" t="n">
        <v>1.57729384625613</v>
      </c>
      <c r="K45" s="36" t="n">
        <f aca="false">$K$8</f>
        <v>1.8117300629046</v>
      </c>
      <c r="L45" s="36" t="n">
        <f aca="false">SQRT(J45^2+K45^2)</f>
        <v>2.40212857654826</v>
      </c>
      <c r="M45" s="55" t="n">
        <f aca="false">IF(G45="","",MAX(0,G45-1.96*L45/100))</f>
        <v>0.459682895755179</v>
      </c>
      <c r="N45" s="55" t="n">
        <f aca="false">IF(G45="","",MIN(1,G45+1.96*L45/100))</f>
        <v>0.553846335955871</v>
      </c>
      <c r="O45" s="54" t="n">
        <f aca="false">ROUND(S45*W45,0)</f>
        <v>900</v>
      </c>
      <c r="P45" s="54" t="n">
        <f aca="false">IF(F45="","",ROUND(SQRT((F45*L45/100)^2+(G45*O45)^2),0))</f>
        <v>602</v>
      </c>
      <c r="R45" s="56" t="n">
        <v>8.47090736456011</v>
      </c>
      <c r="S45" s="57" t="n">
        <f aca="false">U45*V45*$F$5</f>
        <v>16334.7109624891</v>
      </c>
      <c r="T45" s="58" t="n">
        <f aca="false">MAX(0,MIN(1,R45/100+$D$5))</f>
        <v>0.50678732085383</v>
      </c>
      <c r="U45" s="58" t="n">
        <v>0.662692643210236</v>
      </c>
      <c r="V45" s="57" t="n">
        <v>24649</v>
      </c>
      <c r="W45" s="58" t="n">
        <v>0.0551273752894184</v>
      </c>
      <c r="X45" s="59" t="s">
        <v>152</v>
      </c>
      <c r="Y45" s="59" t="s">
        <v>132</v>
      </c>
    </row>
    <row r="46" customFormat="false" ht="15" hidden="false" customHeight="false" outlineLevel="0" collapsed="false">
      <c r="A46" s="32" t="s">
        <v>157</v>
      </c>
      <c r="B46" s="32" t="s">
        <v>169</v>
      </c>
      <c r="C46" s="32" t="s">
        <v>129</v>
      </c>
      <c r="D46" s="54" t="n">
        <f aca="false">ROUND(S46*T46,0)</f>
        <v>837</v>
      </c>
      <c r="E46" s="54" t="n">
        <f aca="false">ROUND(S46,0)-D46</f>
        <v>1367</v>
      </c>
      <c r="F46" s="54" t="n">
        <f aca="false">IF(COUNTA(D46:E46)=0,"",SUM(D46:E46))</f>
        <v>2204</v>
      </c>
      <c r="G46" s="55" t="n">
        <f aca="false">IF(OR(F46="",F46=0),"",D46/F46)</f>
        <v>0.379764065335753</v>
      </c>
      <c r="H46" s="55" t="n">
        <f aca="false">IF(OR(F46="",F46=0),"",E46/F46)</f>
        <v>0.620235934664247</v>
      </c>
      <c r="I46" s="32" t="s">
        <v>130</v>
      </c>
      <c r="J46" s="36" t="n">
        <v>1.47263679776505</v>
      </c>
      <c r="K46" s="36" t="n">
        <f aca="false">$K$8</f>
        <v>1.8117300629046</v>
      </c>
      <c r="L46" s="36" t="n">
        <f aca="false">SQRT(J46^2+K46^2)</f>
        <v>2.33474301775677</v>
      </c>
      <c r="M46" s="55" t="n">
        <f aca="false">IF(G46="","",MAX(0,G46-1.96*L46/100))</f>
        <v>0.33400310218772</v>
      </c>
      <c r="N46" s="55" t="n">
        <f aca="false">IF(G46="","",MIN(1,G46+1.96*L46/100))</f>
        <v>0.425525028483786</v>
      </c>
      <c r="O46" s="54" t="n">
        <f aca="false">ROUND(S46*W46,0)</f>
        <v>134</v>
      </c>
      <c r="P46" s="54" t="n">
        <f aca="false">IF(F46="","",ROUND(SQRT((F46*L46/100)^2+(G46*O46)^2),0))</f>
        <v>72</v>
      </c>
      <c r="R46" s="56" t="n">
        <v>-4.22233188085432</v>
      </c>
      <c r="S46" s="57" t="n">
        <f aca="false">U46*V46*$F$5</f>
        <v>2204.10505319149</v>
      </c>
      <c r="T46" s="58" t="n">
        <f aca="false">MAX(0,MIN(1,R46/100+$D$5))</f>
        <v>0.379854928399685</v>
      </c>
      <c r="U46" s="58" t="n">
        <v>0.718417553191489</v>
      </c>
      <c r="V46" s="57" t="n">
        <v>3068</v>
      </c>
      <c r="W46" s="58" t="n">
        <v>0.0606122259008943</v>
      </c>
      <c r="X46" s="59" t="s">
        <v>136</v>
      </c>
      <c r="Y46" s="59" t="s">
        <v>132</v>
      </c>
    </row>
    <row r="47" customFormat="false" ht="15" hidden="false" customHeight="false" outlineLevel="0" collapsed="false">
      <c r="A47" s="32" t="s">
        <v>157</v>
      </c>
      <c r="B47" s="32" t="s">
        <v>170</v>
      </c>
      <c r="C47" s="32" t="s">
        <v>129</v>
      </c>
      <c r="D47" s="54" t="n">
        <f aca="false">ROUND(S47*T47,0)</f>
        <v>447</v>
      </c>
      <c r="E47" s="54" t="n">
        <f aca="false">ROUND(S47,0)-D47</f>
        <v>790</v>
      </c>
      <c r="F47" s="54" t="n">
        <f aca="false">IF(COUNTA(D47:E47)=0,"",SUM(D47:E47))</f>
        <v>1237</v>
      </c>
      <c r="G47" s="55" t="n">
        <f aca="false">IF(OR(F47="",F47=0),"",D47/F47)</f>
        <v>0.361358124494745</v>
      </c>
      <c r="H47" s="55" t="n">
        <f aca="false">IF(OR(F47="",F47=0),"",E47/F47)</f>
        <v>0.638641875505255</v>
      </c>
      <c r="I47" s="32" t="s">
        <v>130</v>
      </c>
      <c r="J47" s="36" t="n">
        <v>2.8276384769087</v>
      </c>
      <c r="K47" s="36" t="n">
        <f aca="false">$K$8</f>
        <v>1.8117300629046</v>
      </c>
      <c r="L47" s="36" t="n">
        <f aca="false">SQRT(J47^2+K47^2)</f>
        <v>3.35825924802223</v>
      </c>
      <c r="M47" s="55" t="n">
        <f aca="false">IF(G47="","",MAX(0,G47-1.96*L47/100))</f>
        <v>0.29553624323351</v>
      </c>
      <c r="N47" s="55" t="n">
        <f aca="false">IF(G47="","",MIN(1,G47+1.96*L47/100))</f>
        <v>0.427180005755981</v>
      </c>
      <c r="O47" s="54" t="n">
        <f aca="false">ROUND(S47*W47,0)</f>
        <v>96</v>
      </c>
      <c r="P47" s="54" t="n">
        <f aca="false">IF(F47="","",ROUND(SQRT((F47*L47/100)^2+(G47*O47)^2),0))</f>
        <v>54</v>
      </c>
      <c r="R47" s="56" t="n">
        <v>-6.10296765269628</v>
      </c>
      <c r="S47" s="57" t="n">
        <f aca="false">U47*V47*$F$5</f>
        <v>1236.97340124505</v>
      </c>
      <c r="T47" s="58" t="n">
        <f aca="false">MAX(0,MIN(1,R47/100+$D$5))</f>
        <v>0.361048570681266</v>
      </c>
      <c r="U47" s="58" t="n">
        <v>0.688737973967176</v>
      </c>
      <c r="V47" s="57" t="n">
        <v>1796</v>
      </c>
      <c r="W47" s="58" t="n">
        <v>0.0777040344688333</v>
      </c>
      <c r="X47" s="59" t="s">
        <v>131</v>
      </c>
      <c r="Y47" s="59" t="s">
        <v>132</v>
      </c>
    </row>
    <row r="48" customFormat="false" ht="15" hidden="false" customHeight="false" outlineLevel="0" collapsed="false">
      <c r="A48" s="32" t="s">
        <v>157</v>
      </c>
      <c r="B48" s="32" t="s">
        <v>171</v>
      </c>
      <c r="C48" s="32" t="s">
        <v>129</v>
      </c>
      <c r="D48" s="54" t="n">
        <f aca="false">ROUND(S48*T48,0)</f>
        <v>696</v>
      </c>
      <c r="E48" s="54" t="n">
        <f aca="false">ROUND(S48,0)-D48</f>
        <v>1496</v>
      </c>
      <c r="F48" s="54" t="n">
        <f aca="false">IF(COUNTA(D48:E48)=0,"",SUM(D48:E48))</f>
        <v>2192</v>
      </c>
      <c r="G48" s="55" t="n">
        <f aca="false">IF(OR(F48="",F48=0),"",D48/F48)</f>
        <v>0.317518248175183</v>
      </c>
      <c r="H48" s="55" t="n">
        <f aca="false">IF(OR(F48="",F48=0),"",E48/F48)</f>
        <v>0.682481751824818</v>
      </c>
      <c r="I48" s="32" t="s">
        <v>130</v>
      </c>
      <c r="J48" s="36" t="n">
        <v>1.47263679776505</v>
      </c>
      <c r="K48" s="36" t="n">
        <f aca="false">$K$8</f>
        <v>1.8117300629046</v>
      </c>
      <c r="L48" s="36" t="n">
        <f aca="false">SQRT(J48^2+K48^2)</f>
        <v>2.33474301775677</v>
      </c>
      <c r="M48" s="55" t="n">
        <f aca="false">IF(G48="","",MAX(0,G48-1.96*L48/100))</f>
        <v>0.27175728502715</v>
      </c>
      <c r="N48" s="55" t="n">
        <f aca="false">IF(G48="","",MIN(1,G48+1.96*L48/100))</f>
        <v>0.363279211323215</v>
      </c>
      <c r="O48" s="54" t="n">
        <f aca="false">ROUND(S48*W48,0)</f>
        <v>133</v>
      </c>
      <c r="P48" s="54" t="n">
        <f aca="false">IF(F48="","",ROUND(SQRT((F48*L48/100)^2+(G48*O48)^2),0))</f>
        <v>66</v>
      </c>
      <c r="R48" s="56" t="n">
        <v>-10.4648916683058</v>
      </c>
      <c r="S48" s="57" t="n">
        <f aca="false">U48*V48*$F$5</f>
        <v>2191.88036117382</v>
      </c>
      <c r="T48" s="58" t="n">
        <f aca="false">MAX(0,MIN(1,R48/100+$D$5))</f>
        <v>0.317429330525171</v>
      </c>
      <c r="U48" s="58" t="n">
        <v>0.694292163818123</v>
      </c>
      <c r="V48" s="57" t="n">
        <v>3157</v>
      </c>
      <c r="W48" s="58" t="n">
        <v>0.0606122259008943</v>
      </c>
      <c r="X48" s="59" t="s">
        <v>136</v>
      </c>
      <c r="Y48" s="59" t="s">
        <v>132</v>
      </c>
    </row>
    <row r="49" customFormat="false" ht="15" hidden="false" customHeight="false" outlineLevel="0" collapsed="false">
      <c r="A49" s="32" t="s">
        <v>157</v>
      </c>
      <c r="B49" s="32" t="s">
        <v>172</v>
      </c>
      <c r="C49" s="32" t="s">
        <v>129</v>
      </c>
      <c r="D49" s="54" t="n">
        <f aca="false">ROUND(S49*T49,0)</f>
        <v>808</v>
      </c>
      <c r="E49" s="54" t="n">
        <f aca="false">ROUND(S49,0)-D49</f>
        <v>705</v>
      </c>
      <c r="F49" s="54" t="n">
        <f aca="false">IF(COUNTA(D49:E49)=0,"",SUM(D49:E49))</f>
        <v>1513</v>
      </c>
      <c r="G49" s="55" t="n">
        <f aca="false">IF(OR(F49="",F49=0),"",D49/F49)</f>
        <v>0.534038334434898</v>
      </c>
      <c r="H49" s="55" t="n">
        <f aca="false">IF(OR(F49="",F49=0),"",E49/F49)</f>
        <v>0.465961665565102</v>
      </c>
      <c r="I49" s="32" t="s">
        <v>130</v>
      </c>
      <c r="J49" s="36" t="n">
        <v>1.47263679776505</v>
      </c>
      <c r="K49" s="36" t="n">
        <f aca="false">$K$8</f>
        <v>1.8117300629046</v>
      </c>
      <c r="L49" s="36" t="n">
        <f aca="false">SQRT(J49^2+K49^2)</f>
        <v>2.33474301775677</v>
      </c>
      <c r="M49" s="55" t="n">
        <f aca="false">IF(G49="","",MAX(0,G49-1.96*L49/100))</f>
        <v>0.488277371286865</v>
      </c>
      <c r="N49" s="55" t="n">
        <f aca="false">IF(G49="","",MIN(1,G49+1.96*L49/100))</f>
        <v>0.57979929758293</v>
      </c>
      <c r="O49" s="54" t="n">
        <f aca="false">ROUND(S49*W49,0)</f>
        <v>92</v>
      </c>
      <c r="P49" s="54" t="n">
        <f aca="false">IF(F49="","",ROUND(SQRT((F49*L49/100)^2+(G49*O49)^2),0))</f>
        <v>61</v>
      </c>
      <c r="R49" s="56" t="n">
        <v>11.2149764598869</v>
      </c>
      <c r="S49" s="57" t="n">
        <f aca="false">U49*V49*$F$5</f>
        <v>1512.74151436031</v>
      </c>
      <c r="T49" s="58" t="n">
        <f aca="false">MAX(0,MIN(1,R49/100+$D$5))</f>
        <v>0.534228011807097</v>
      </c>
      <c r="U49" s="58" t="n">
        <v>0.616187989556136</v>
      </c>
      <c r="V49" s="57" t="n">
        <v>2455</v>
      </c>
      <c r="W49" s="58" t="n">
        <v>0.0606122259008943</v>
      </c>
      <c r="X49" s="59" t="s">
        <v>136</v>
      </c>
      <c r="Y49" s="59" t="s">
        <v>132</v>
      </c>
    </row>
    <row r="50" customFormat="false" ht="15" hidden="false" customHeight="false" outlineLevel="0" collapsed="false">
      <c r="A50" s="32" t="s">
        <v>157</v>
      </c>
      <c r="B50" s="32" t="s">
        <v>173</v>
      </c>
      <c r="C50" s="32" t="s">
        <v>129</v>
      </c>
      <c r="D50" s="54" t="n">
        <f aca="false">ROUND(S50*T50,0)</f>
        <v>3319</v>
      </c>
      <c r="E50" s="54" t="n">
        <f aca="false">ROUND(S50,0)-D50</f>
        <v>4578</v>
      </c>
      <c r="F50" s="54" t="n">
        <f aca="false">IF(COUNTA(D50:E50)=0,"",SUM(D50:E50))</f>
        <v>7897</v>
      </c>
      <c r="G50" s="55" t="n">
        <f aca="false">IF(OR(F50="",F50=0),"",D50/F50)</f>
        <v>0.420286184627074</v>
      </c>
      <c r="H50" s="55" t="n">
        <f aca="false">IF(OR(F50="",F50=0),"",E50/F50)</f>
        <v>0.579713815372926</v>
      </c>
      <c r="I50" s="32" t="s">
        <v>130</v>
      </c>
      <c r="J50" s="36" t="n">
        <v>1.57729384625613</v>
      </c>
      <c r="K50" s="36" t="n">
        <f aca="false">$K$8</f>
        <v>1.8117300629046</v>
      </c>
      <c r="L50" s="36" t="n">
        <f aca="false">SQRT(J50^2+K50^2)</f>
        <v>2.40212857654826</v>
      </c>
      <c r="M50" s="55" t="n">
        <f aca="false">IF(G50="","",MAX(0,G50-1.96*L50/100))</f>
        <v>0.373204464526728</v>
      </c>
      <c r="N50" s="55" t="n">
        <f aca="false">IF(G50="","",MIN(1,G50+1.96*L50/100))</f>
        <v>0.467367904727419</v>
      </c>
      <c r="O50" s="54" t="n">
        <f aca="false">ROUND(S50*W50,0)</f>
        <v>435</v>
      </c>
      <c r="P50" s="54" t="n">
        <f aca="false">IF(F50="","",ROUND(SQRT((F50*L50/100)^2+(G50*O50)^2),0))</f>
        <v>263</v>
      </c>
      <c r="R50" s="56" t="n">
        <v>-0.180554733016204</v>
      </c>
      <c r="S50" s="57" t="n">
        <f aca="false">U50*V50*$F$5</f>
        <v>7896.5113304721</v>
      </c>
      <c r="T50" s="58" t="n">
        <f aca="false">MAX(0,MIN(1,R50/100+$D$5))</f>
        <v>0.420272699878066</v>
      </c>
      <c r="U50" s="58" t="n">
        <v>0.662403433476395</v>
      </c>
      <c r="V50" s="57" t="n">
        <v>11921</v>
      </c>
      <c r="W50" s="58" t="n">
        <v>0.0551273752894184</v>
      </c>
      <c r="X50" s="59" t="s">
        <v>152</v>
      </c>
      <c r="Y50" s="59" t="s">
        <v>132</v>
      </c>
    </row>
    <row r="51" customFormat="false" ht="15" hidden="false" customHeight="false" outlineLevel="0" collapsed="false">
      <c r="A51" s="32" t="s">
        <v>157</v>
      </c>
      <c r="B51" s="32" t="s">
        <v>174</v>
      </c>
      <c r="C51" s="32" t="s">
        <v>129</v>
      </c>
      <c r="D51" s="54" t="n">
        <f aca="false">ROUND(S51*T51,0)</f>
        <v>3234</v>
      </c>
      <c r="E51" s="54" t="n">
        <f aca="false">ROUND(S51,0)-D51</f>
        <v>3196</v>
      </c>
      <c r="F51" s="54" t="n">
        <f aca="false">IF(COUNTA(D51:E51)=0,"",SUM(D51:E51))</f>
        <v>6430</v>
      </c>
      <c r="G51" s="55" t="n">
        <f aca="false">IF(OR(F51="",F51=0),"",D51/F51)</f>
        <v>0.502954898911353</v>
      </c>
      <c r="H51" s="55" t="n">
        <f aca="false">IF(OR(F51="",F51=0),"",E51/F51)</f>
        <v>0.497045101088647</v>
      </c>
      <c r="I51" s="32" t="s">
        <v>130</v>
      </c>
      <c r="J51" s="36" t="n">
        <v>1.57729384625613</v>
      </c>
      <c r="K51" s="36" t="n">
        <f aca="false">$K$8</f>
        <v>1.8117300629046</v>
      </c>
      <c r="L51" s="36" t="n">
        <f aca="false">SQRT(J51^2+K51^2)</f>
        <v>2.40212857654826</v>
      </c>
      <c r="M51" s="55" t="n">
        <f aca="false">IF(G51="","",MAX(0,G51-1.96*L51/100))</f>
        <v>0.455873178811007</v>
      </c>
      <c r="N51" s="55" t="n">
        <f aca="false">IF(G51="","",MIN(1,G51+1.96*L51/100))</f>
        <v>0.550036619011699</v>
      </c>
      <c r="O51" s="54" t="n">
        <f aca="false">ROUND(S51*W51,0)</f>
        <v>354</v>
      </c>
      <c r="P51" s="54" t="n">
        <f aca="false">IF(F51="","",ROUND(SQRT((F51*L51/100)^2+(G51*O51)^2),0))</f>
        <v>236</v>
      </c>
      <c r="R51" s="56" t="n">
        <v>8.08543357295569</v>
      </c>
      <c r="S51" s="57" t="n">
        <f aca="false">U51*V51*$F$5</f>
        <v>6429.9709076009</v>
      </c>
      <c r="T51" s="58" t="n">
        <f aca="false">MAX(0,MIN(1,R51/100+$D$5))</f>
        <v>0.502932582937785</v>
      </c>
      <c r="U51" s="58" t="n">
        <v>0.652325343167384</v>
      </c>
      <c r="V51" s="57" t="n">
        <v>9857</v>
      </c>
      <c r="W51" s="58" t="n">
        <v>0.0551273752894184</v>
      </c>
      <c r="X51" s="59" t="s">
        <v>152</v>
      </c>
      <c r="Y51" s="59" t="s">
        <v>132</v>
      </c>
    </row>
    <row r="52" customFormat="false" ht="15" hidden="false" customHeight="false" outlineLevel="0" collapsed="false">
      <c r="A52" s="32" t="s">
        <v>157</v>
      </c>
      <c r="B52" s="32" t="s">
        <v>175</v>
      </c>
      <c r="C52" s="32" t="s">
        <v>129</v>
      </c>
      <c r="D52" s="54" t="n">
        <f aca="false">ROUND(S52*T52,0)</f>
        <v>591</v>
      </c>
      <c r="E52" s="54" t="n">
        <f aca="false">ROUND(S52,0)-D52</f>
        <v>799</v>
      </c>
      <c r="F52" s="54" t="n">
        <f aca="false">IF(COUNTA(D52:E52)=0,"",SUM(D52:E52))</f>
        <v>1390</v>
      </c>
      <c r="G52" s="55" t="n">
        <f aca="false">IF(OR(F52="",F52=0),"",D52/F52)</f>
        <v>0.425179856115108</v>
      </c>
      <c r="H52" s="55" t="n">
        <f aca="false">IF(OR(F52="",F52=0),"",E52/F52)</f>
        <v>0.574820143884892</v>
      </c>
      <c r="I52" s="32" t="s">
        <v>130</v>
      </c>
      <c r="J52" s="36" t="n">
        <v>1.47263679776505</v>
      </c>
      <c r="K52" s="36" t="n">
        <f aca="false">$K$8</f>
        <v>1.8117300629046</v>
      </c>
      <c r="L52" s="36" t="n">
        <f aca="false">SQRT(J52^2+K52^2)</f>
        <v>2.33474301775677</v>
      </c>
      <c r="M52" s="55" t="n">
        <f aca="false">IF(G52="","",MAX(0,G52-1.96*L52/100))</f>
        <v>0.379418892967075</v>
      </c>
      <c r="N52" s="55" t="n">
        <f aca="false">IF(G52="","",MIN(1,G52+1.96*L52/100))</f>
        <v>0.470940819263141</v>
      </c>
      <c r="O52" s="54" t="n">
        <f aca="false">ROUND(S52*W52,0)</f>
        <v>84</v>
      </c>
      <c r="P52" s="54" t="n">
        <f aca="false">IF(F52="","",ROUND(SQRT((F52*L52/100)^2+(G52*O52)^2),0))</f>
        <v>48</v>
      </c>
      <c r="R52" s="56" t="n">
        <v>0.272694186691614</v>
      </c>
      <c r="S52" s="57" t="n">
        <f aca="false">U52*V52*$F$5</f>
        <v>1390.15942028986</v>
      </c>
      <c r="T52" s="58" t="n">
        <f aca="false">MAX(0,MIN(1,R52/100+$D$5))</f>
        <v>0.424805189075145</v>
      </c>
      <c r="U52" s="58" t="n">
        <v>0.529181355268312</v>
      </c>
      <c r="V52" s="57" t="n">
        <v>2627</v>
      </c>
      <c r="W52" s="58" t="n">
        <v>0.0606122259008943</v>
      </c>
      <c r="X52" s="59" t="s">
        <v>136</v>
      </c>
      <c r="Y52" s="59" t="s">
        <v>132</v>
      </c>
    </row>
    <row r="53" customFormat="false" ht="15" hidden="false" customHeight="false" outlineLevel="0" collapsed="false">
      <c r="A53" s="32" t="s">
        <v>157</v>
      </c>
      <c r="B53" s="32" t="s">
        <v>176</v>
      </c>
      <c r="C53" s="32" t="s">
        <v>129</v>
      </c>
      <c r="D53" s="54" t="n">
        <f aca="false">ROUND(S53*T53,0)</f>
        <v>5633</v>
      </c>
      <c r="E53" s="54" t="n">
        <f aca="false">ROUND(S53,0)-D53</f>
        <v>4853</v>
      </c>
      <c r="F53" s="54" t="n">
        <f aca="false">IF(COUNTA(D53:E53)=0,"",SUM(D53:E53))</f>
        <v>10486</v>
      </c>
      <c r="G53" s="55" t="n">
        <f aca="false">IF(OR(F53="",F53=0),"",D53/F53)</f>
        <v>0.537192447072287</v>
      </c>
      <c r="H53" s="55" t="n">
        <f aca="false">IF(OR(F53="",F53=0),"",E53/F53)</f>
        <v>0.462807552927713</v>
      </c>
      <c r="I53" s="32" t="s">
        <v>130</v>
      </c>
      <c r="J53" s="36" t="n">
        <v>1.57729384625613</v>
      </c>
      <c r="K53" s="36" t="n">
        <f aca="false">$K$8</f>
        <v>1.8117300629046</v>
      </c>
      <c r="L53" s="36" t="n">
        <f aca="false">SQRT(J53^2+K53^2)</f>
        <v>2.40212857654826</v>
      </c>
      <c r="M53" s="55" t="n">
        <f aca="false">IF(G53="","",MAX(0,G53-1.96*L53/100))</f>
        <v>0.490110726971941</v>
      </c>
      <c r="N53" s="55" t="n">
        <f aca="false">IF(G53="","",MIN(1,G53+1.96*L53/100))</f>
        <v>0.584274167172633</v>
      </c>
      <c r="O53" s="54" t="n">
        <f aca="false">ROUND(S53*W53,0)</f>
        <v>578</v>
      </c>
      <c r="P53" s="54" t="n">
        <f aca="false">IF(F53="","",ROUND(SQRT((F53*L53/100)^2+(G53*O53)^2),0))</f>
        <v>400</v>
      </c>
      <c r="R53" s="56" t="n">
        <v>11.5130259514704</v>
      </c>
      <c r="S53" s="57" t="n">
        <f aca="false">U53*V53*$F$5</f>
        <v>10486.1559171025</v>
      </c>
      <c r="T53" s="58" t="n">
        <f aca="false">MAX(0,MIN(1,R53/100+$D$5))</f>
        <v>0.537208506722932</v>
      </c>
      <c r="U53" s="58" t="n">
        <v>0.653302343598683</v>
      </c>
      <c r="V53" s="57" t="n">
        <v>16051</v>
      </c>
      <c r="W53" s="58" t="n">
        <v>0.0551273752894184</v>
      </c>
      <c r="X53" s="59" t="s">
        <v>152</v>
      </c>
      <c r="Y53" s="59" t="s">
        <v>132</v>
      </c>
    </row>
    <row r="54" customFormat="false" ht="15" hidden="false" customHeight="false" outlineLevel="0" collapsed="false">
      <c r="A54" s="32" t="s">
        <v>157</v>
      </c>
      <c r="B54" s="32" t="s">
        <v>177</v>
      </c>
      <c r="C54" s="32" t="s">
        <v>129</v>
      </c>
      <c r="D54" s="54" t="n">
        <f aca="false">ROUND(S54*T54,0)</f>
        <v>6261</v>
      </c>
      <c r="E54" s="54" t="n">
        <f aca="false">ROUND(S54,0)-D54</f>
        <v>5769</v>
      </c>
      <c r="F54" s="54" t="n">
        <f aca="false">IF(COUNTA(D54:E54)=0,"",SUM(D54:E54))</f>
        <v>12030</v>
      </c>
      <c r="G54" s="55" t="n">
        <f aca="false">IF(OR(F54="",F54=0),"",D54/F54)</f>
        <v>0.520448877805486</v>
      </c>
      <c r="H54" s="55" t="n">
        <f aca="false">IF(OR(F54="",F54=0),"",E54/F54)</f>
        <v>0.479551122194514</v>
      </c>
      <c r="I54" s="32" t="s">
        <v>130</v>
      </c>
      <c r="J54" s="36" t="n">
        <v>1.57729384625613</v>
      </c>
      <c r="K54" s="36" t="n">
        <f aca="false">$K$8</f>
        <v>1.8117300629046</v>
      </c>
      <c r="L54" s="36" t="n">
        <f aca="false">SQRT(J54^2+K54^2)</f>
        <v>2.40212857654826</v>
      </c>
      <c r="M54" s="55" t="n">
        <f aca="false">IF(G54="","",MAX(0,G54-1.96*L54/100))</f>
        <v>0.47336715770514</v>
      </c>
      <c r="N54" s="55" t="n">
        <f aca="false">IF(G54="","",MIN(1,G54+1.96*L54/100))</f>
        <v>0.567530597905832</v>
      </c>
      <c r="O54" s="54" t="n">
        <f aca="false">ROUND(S54*W54,0)</f>
        <v>663</v>
      </c>
      <c r="P54" s="54" t="n">
        <f aca="false">IF(F54="","",ROUND(SQRT((F54*L54/100)^2+(G54*O54)^2),0))</f>
        <v>450</v>
      </c>
      <c r="R54" s="56" t="n">
        <v>9.83322777547197</v>
      </c>
      <c r="S54" s="57" t="n">
        <f aca="false">U54*V54*$F$5</f>
        <v>12030.3346699902</v>
      </c>
      <c r="T54" s="58" t="n">
        <f aca="false">MAX(0,MIN(1,R54/100+$D$5))</f>
        <v>0.520410524962948</v>
      </c>
      <c r="U54" s="58" t="n">
        <v>0.610490950471443</v>
      </c>
      <c r="V54" s="57" t="n">
        <v>19706</v>
      </c>
      <c r="W54" s="58" t="n">
        <v>0.0551273752894184</v>
      </c>
      <c r="X54" s="59" t="s">
        <v>152</v>
      </c>
      <c r="Y54" s="59" t="s">
        <v>132</v>
      </c>
    </row>
    <row r="55" customFormat="false" ht="15" hidden="false" customHeight="false" outlineLevel="0" collapsed="false">
      <c r="A55" s="32" t="s">
        <v>157</v>
      </c>
      <c r="B55" s="32" t="s">
        <v>178</v>
      </c>
      <c r="C55" s="32" t="s">
        <v>129</v>
      </c>
      <c r="D55" s="54" t="n">
        <f aca="false">ROUND(S55*T55,0)</f>
        <v>2026</v>
      </c>
      <c r="E55" s="54" t="n">
        <f aca="false">ROUND(S55,0)-D55</f>
        <v>2588</v>
      </c>
      <c r="F55" s="54" t="n">
        <f aca="false">IF(COUNTA(D55:E55)=0,"",SUM(D55:E55))</f>
        <v>4614</v>
      </c>
      <c r="G55" s="55" t="n">
        <f aca="false">IF(OR(F55="",F55=0),"",D55/F55)</f>
        <v>0.439098396185522</v>
      </c>
      <c r="H55" s="55" t="n">
        <f aca="false">IF(OR(F55="",F55=0),"",E55/F55)</f>
        <v>0.560901603814478</v>
      </c>
      <c r="I55" s="32" t="s">
        <v>130</v>
      </c>
      <c r="J55" s="36" t="n">
        <v>1.57729384625613</v>
      </c>
      <c r="K55" s="36" t="n">
        <f aca="false">$K$8</f>
        <v>1.8117300629046</v>
      </c>
      <c r="L55" s="36" t="n">
        <f aca="false">SQRT(J55^2+K55^2)</f>
        <v>2.40212857654826</v>
      </c>
      <c r="M55" s="55" t="n">
        <f aca="false">IF(G55="","",MAX(0,G55-1.96*L55/100))</f>
        <v>0.392016676085176</v>
      </c>
      <c r="N55" s="55" t="n">
        <f aca="false">IF(G55="","",MIN(1,G55+1.96*L55/100))</f>
        <v>0.486180116285868</v>
      </c>
      <c r="O55" s="54" t="n">
        <f aca="false">ROUND(S55*W55,0)</f>
        <v>254</v>
      </c>
      <c r="P55" s="54" t="n">
        <f aca="false">IF(F55="","",ROUND(SQRT((F55*L55/100)^2+(G55*O55)^2),0))</f>
        <v>157</v>
      </c>
      <c r="R55" s="56" t="n">
        <v>1.70892032409147</v>
      </c>
      <c r="S55" s="57" t="n">
        <f aca="false">U55*V55*$F$5</f>
        <v>4613.50991276765</v>
      </c>
      <c r="T55" s="58" t="n">
        <f aca="false">MAX(0,MIN(1,R55/100+$D$5))</f>
        <v>0.439167450449143</v>
      </c>
      <c r="U55" s="58" t="n">
        <v>0.71086439333862</v>
      </c>
      <c r="V55" s="57" t="n">
        <v>6490</v>
      </c>
      <c r="W55" s="58" t="n">
        <v>0.0551273752894184</v>
      </c>
      <c r="X55" s="59" t="s">
        <v>152</v>
      </c>
      <c r="Y55" s="59" t="s">
        <v>132</v>
      </c>
    </row>
    <row r="56" customFormat="false" ht="15" hidden="false" customHeight="false" outlineLevel="0" collapsed="false">
      <c r="A56" s="32" t="s">
        <v>157</v>
      </c>
      <c r="B56" s="32" t="s">
        <v>179</v>
      </c>
      <c r="C56" s="32" t="s">
        <v>129</v>
      </c>
      <c r="D56" s="54" t="n">
        <f aca="false">ROUND(S56*T56,0)</f>
        <v>4603</v>
      </c>
      <c r="E56" s="54" t="n">
        <f aca="false">ROUND(S56,0)-D56</f>
        <v>4741</v>
      </c>
      <c r="F56" s="54" t="n">
        <f aca="false">IF(COUNTA(D56:E56)=0,"",SUM(D56:E56))</f>
        <v>9344</v>
      </c>
      <c r="G56" s="55" t="n">
        <f aca="false">IF(OR(F56="",F56=0),"",D56/F56)</f>
        <v>0.492615582191781</v>
      </c>
      <c r="H56" s="55" t="n">
        <f aca="false">IF(OR(F56="",F56=0),"",E56/F56)</f>
        <v>0.507384417808219</v>
      </c>
      <c r="I56" s="32" t="s">
        <v>130</v>
      </c>
      <c r="J56" s="36" t="n">
        <v>1.57729384625613</v>
      </c>
      <c r="K56" s="36" t="n">
        <f aca="false">$K$8</f>
        <v>1.8117300629046</v>
      </c>
      <c r="L56" s="36" t="n">
        <f aca="false">SQRT(J56^2+K56^2)</f>
        <v>2.40212857654826</v>
      </c>
      <c r="M56" s="55" t="n">
        <f aca="false">IF(G56="","",MAX(0,G56-1.96*L56/100))</f>
        <v>0.445533862091435</v>
      </c>
      <c r="N56" s="55" t="n">
        <f aca="false">IF(G56="","",MIN(1,G56+1.96*L56/100))</f>
        <v>0.539697302292127</v>
      </c>
      <c r="O56" s="54" t="n">
        <f aca="false">ROUND(S56*W56,0)</f>
        <v>515</v>
      </c>
      <c r="P56" s="54" t="n">
        <f aca="false">IF(F56="","",ROUND(SQRT((F56*L56/100)^2+(G56*O56)^2),0))</f>
        <v>339</v>
      </c>
      <c r="R56" s="56" t="n">
        <v>7.05898561158625</v>
      </c>
      <c r="S56" s="57" t="n">
        <f aca="false">U56*V56*$F$5</f>
        <v>9343.93860561915</v>
      </c>
      <c r="T56" s="58" t="n">
        <f aca="false">MAX(0,MIN(1,R56/100+$D$5))</f>
        <v>0.492668103324091</v>
      </c>
      <c r="U56" s="58" t="n">
        <v>0.702393340270552</v>
      </c>
      <c r="V56" s="57" t="n">
        <v>13303</v>
      </c>
      <c r="W56" s="58" t="n">
        <v>0.0551273752894184</v>
      </c>
      <c r="X56" s="59" t="s">
        <v>152</v>
      </c>
      <c r="Y56" s="59" t="s">
        <v>132</v>
      </c>
    </row>
    <row r="57" customFormat="false" ht="15" hidden="false" customHeight="false" outlineLevel="0" collapsed="false">
      <c r="A57" s="32" t="s">
        <v>157</v>
      </c>
      <c r="B57" s="32" t="s">
        <v>180</v>
      </c>
      <c r="C57" s="32" t="s">
        <v>129</v>
      </c>
      <c r="D57" s="54" t="n">
        <f aca="false">ROUND(S57*T57,0)</f>
        <v>1050</v>
      </c>
      <c r="E57" s="54" t="n">
        <f aca="false">ROUND(S57,0)-D57</f>
        <v>2053</v>
      </c>
      <c r="F57" s="54" t="n">
        <f aca="false">IF(COUNTA(D57:E57)=0,"",SUM(D57:E57))</f>
        <v>3103</v>
      </c>
      <c r="G57" s="55" t="n">
        <f aca="false">IF(OR(F57="",F57=0),"",D57/F57)</f>
        <v>0.338382210763777</v>
      </c>
      <c r="H57" s="55" t="n">
        <f aca="false">IF(OR(F57="",F57=0),"",E57/F57)</f>
        <v>0.661617789236223</v>
      </c>
      <c r="I57" s="32" t="s">
        <v>130</v>
      </c>
      <c r="J57" s="36" t="n">
        <v>1.57729384625613</v>
      </c>
      <c r="K57" s="36" t="n">
        <f aca="false">$K$8</f>
        <v>1.8117300629046</v>
      </c>
      <c r="L57" s="36" t="n">
        <f aca="false">SQRT(J57^2+K57^2)</f>
        <v>2.40212857654826</v>
      </c>
      <c r="M57" s="55" t="n">
        <f aca="false">IF(G57="","",MAX(0,G57-1.96*L57/100))</f>
        <v>0.291300490663431</v>
      </c>
      <c r="N57" s="55" t="n">
        <f aca="false">IF(G57="","",MIN(1,G57+1.96*L57/100))</f>
        <v>0.385463930864123</v>
      </c>
      <c r="O57" s="54" t="n">
        <f aca="false">ROUND(S57*W57,0)</f>
        <v>171</v>
      </c>
      <c r="P57" s="54" t="n">
        <f aca="false">IF(F57="","",ROUND(SQRT((F57*L57/100)^2+(G57*O57)^2),0))</f>
        <v>94</v>
      </c>
      <c r="R57" s="56" t="n">
        <v>-8.37313587488369</v>
      </c>
      <c r="S57" s="57" t="n">
        <f aca="false">U57*V57*$F$5</f>
        <v>3102.86358754028</v>
      </c>
      <c r="T57" s="58" t="n">
        <f aca="false">MAX(0,MIN(1,R57/100+$D$5))</f>
        <v>0.338346888459392</v>
      </c>
      <c r="U57" s="58" t="n">
        <v>0.645757250268529</v>
      </c>
      <c r="V57" s="57" t="n">
        <v>4805</v>
      </c>
      <c r="W57" s="58" t="n">
        <v>0.0551273752894184</v>
      </c>
      <c r="X57" s="59" t="s">
        <v>152</v>
      </c>
      <c r="Y57" s="59" t="s">
        <v>132</v>
      </c>
    </row>
    <row r="58" customFormat="false" ht="15" hidden="false" customHeight="false" outlineLevel="0" collapsed="false">
      <c r="A58" s="32" t="s">
        <v>157</v>
      </c>
      <c r="B58" s="32" t="s">
        <v>181</v>
      </c>
      <c r="C58" s="32" t="s">
        <v>129</v>
      </c>
      <c r="D58" s="54" t="n">
        <f aca="false">ROUND(S58*T58,0)</f>
        <v>971</v>
      </c>
      <c r="E58" s="54" t="n">
        <f aca="false">ROUND(S58,0)-D58</f>
        <v>1769</v>
      </c>
      <c r="F58" s="54" t="n">
        <f aca="false">IF(COUNTA(D58:E58)=0,"",SUM(D58:E58))</f>
        <v>2740</v>
      </c>
      <c r="G58" s="55" t="n">
        <f aca="false">IF(OR(F58="",F58=0),"",D58/F58)</f>
        <v>0.354379562043796</v>
      </c>
      <c r="H58" s="55" t="n">
        <f aca="false">IF(OR(F58="",F58=0),"",E58/F58)</f>
        <v>0.645620437956204</v>
      </c>
      <c r="I58" s="32" t="s">
        <v>130</v>
      </c>
      <c r="J58" s="36" t="n">
        <v>1.47263679776505</v>
      </c>
      <c r="K58" s="36" t="n">
        <f aca="false">$K$8</f>
        <v>1.8117300629046</v>
      </c>
      <c r="L58" s="36" t="n">
        <f aca="false">SQRT(J58^2+K58^2)</f>
        <v>2.33474301775677</v>
      </c>
      <c r="M58" s="55" t="n">
        <f aca="false">IF(G58="","",MAX(0,G58-1.96*L58/100))</f>
        <v>0.308618598895763</v>
      </c>
      <c r="N58" s="55" t="n">
        <f aca="false">IF(G58="","",MIN(1,G58+1.96*L58/100))</f>
        <v>0.400140525191828</v>
      </c>
      <c r="O58" s="54" t="n">
        <f aca="false">ROUND(S58*W58,0)</f>
        <v>166</v>
      </c>
      <c r="P58" s="54" t="n">
        <f aca="false">IF(F58="","",ROUND(SQRT((F58*L58/100)^2+(G58*O58)^2),0))</f>
        <v>87</v>
      </c>
      <c r="R58" s="56" t="n">
        <v>-6.78161203615547</v>
      </c>
      <c r="S58" s="57" t="n">
        <f aca="false">U58*V58*$F$5</f>
        <v>2739.5017118778</v>
      </c>
      <c r="T58" s="58" t="n">
        <f aca="false">MAX(0,MIN(1,R58/100+$D$5))</f>
        <v>0.354262126846674</v>
      </c>
      <c r="U58" s="58" t="n">
        <v>0.708980774295496</v>
      </c>
      <c r="V58" s="57" t="n">
        <v>3864</v>
      </c>
      <c r="W58" s="58" t="n">
        <v>0.0606122259008943</v>
      </c>
      <c r="X58" s="59" t="s">
        <v>136</v>
      </c>
      <c r="Y58" s="59" t="s">
        <v>132</v>
      </c>
    </row>
    <row r="59" customFormat="false" ht="15" hidden="false" customHeight="false" outlineLevel="0" collapsed="false">
      <c r="A59" s="32" t="s">
        <v>157</v>
      </c>
      <c r="B59" s="32" t="s">
        <v>182</v>
      </c>
      <c r="C59" s="32" t="s">
        <v>129</v>
      </c>
      <c r="D59" s="54" t="n">
        <f aca="false">ROUND(S59*T59,0)</f>
        <v>5466</v>
      </c>
      <c r="E59" s="54" t="n">
        <f aca="false">ROUND(S59,0)-D59</f>
        <v>5038</v>
      </c>
      <c r="F59" s="54" t="n">
        <f aca="false">IF(COUNTA(D59:E59)=0,"",SUM(D59:E59))</f>
        <v>10504</v>
      </c>
      <c r="G59" s="55" t="n">
        <f aca="false">IF(OR(F59="",F59=0),"",D59/F59)</f>
        <v>0.52037319116527</v>
      </c>
      <c r="H59" s="55" t="n">
        <f aca="false">IF(OR(F59="",F59=0),"",E59/F59)</f>
        <v>0.47962680883473</v>
      </c>
      <c r="I59" s="32" t="s">
        <v>130</v>
      </c>
      <c r="J59" s="36" t="n">
        <v>1.57729384625613</v>
      </c>
      <c r="K59" s="36" t="n">
        <f aca="false">$K$8</f>
        <v>1.8117300629046</v>
      </c>
      <c r="L59" s="36" t="n">
        <f aca="false">SQRT(J59^2+K59^2)</f>
        <v>2.40212857654826</v>
      </c>
      <c r="M59" s="55" t="n">
        <f aca="false">IF(G59="","",MAX(0,G59-1.96*L59/100))</f>
        <v>0.473291471064925</v>
      </c>
      <c r="N59" s="55" t="n">
        <f aca="false">IF(G59="","",MIN(1,G59+1.96*L59/100))</f>
        <v>0.567454911265616</v>
      </c>
      <c r="O59" s="54" t="n">
        <f aca="false">ROUND(S59*W59,0)</f>
        <v>579</v>
      </c>
      <c r="P59" s="54" t="n">
        <f aca="false">IF(F59="","",ROUND(SQRT((F59*L59/100)^2+(G59*O59)^2),0))</f>
        <v>393</v>
      </c>
      <c r="R59" s="56" t="n">
        <v>9.82443730644097</v>
      </c>
      <c r="S59" s="57" t="n">
        <f aca="false">U59*V59*$F$5</f>
        <v>10504.2978562557</v>
      </c>
      <c r="T59" s="58" t="n">
        <f aca="false">MAX(0,MIN(1,R59/100+$D$5))</f>
        <v>0.520322620272638</v>
      </c>
      <c r="U59" s="58" t="n">
        <v>0.555753550407689</v>
      </c>
      <c r="V59" s="57" t="n">
        <v>18901</v>
      </c>
      <c r="W59" s="58" t="n">
        <v>0.0551273752894184</v>
      </c>
      <c r="X59" s="59" t="s">
        <v>152</v>
      </c>
      <c r="Y59" s="59" t="s">
        <v>132</v>
      </c>
    </row>
    <row r="60" customFormat="false" ht="15" hidden="false" customHeight="false" outlineLevel="0" collapsed="false">
      <c r="A60" s="32" t="s">
        <v>183</v>
      </c>
      <c r="B60" s="32" t="s">
        <v>184</v>
      </c>
      <c r="C60" s="32" t="s">
        <v>129</v>
      </c>
      <c r="D60" s="54" t="n">
        <f aca="false">ROUND(S60*T60,0)</f>
        <v>371</v>
      </c>
      <c r="E60" s="54" t="n">
        <f aca="false">ROUND(S60,0)-D60</f>
        <v>863</v>
      </c>
      <c r="F60" s="54" t="n">
        <f aca="false">IF(COUNTA(D60:E60)=0,"",SUM(D60:E60))</f>
        <v>1234</v>
      </c>
      <c r="G60" s="55" t="n">
        <f aca="false">IF(OR(F60="",F60=0),"",D60/F60)</f>
        <v>0.30064829821718</v>
      </c>
      <c r="H60" s="55" t="n">
        <f aca="false">IF(OR(F60="",F60=0),"",E60/F60)</f>
        <v>0.69935170178282</v>
      </c>
      <c r="I60" s="32" t="s">
        <v>130</v>
      </c>
      <c r="J60" s="36" t="n">
        <v>2.8276384769087</v>
      </c>
      <c r="K60" s="36" t="n">
        <f aca="false">$K$8</f>
        <v>1.8117300629046</v>
      </c>
      <c r="L60" s="36" t="n">
        <f aca="false">SQRT(J60^2+K60^2)</f>
        <v>3.35825924802223</v>
      </c>
      <c r="M60" s="55" t="n">
        <f aca="false">IF(G60="","",MAX(0,G60-1.96*L60/100))</f>
        <v>0.234826416955944</v>
      </c>
      <c r="N60" s="55" t="n">
        <f aca="false">IF(G60="","",MIN(1,G60+1.96*L60/100))</f>
        <v>0.366470179478416</v>
      </c>
      <c r="O60" s="54" t="n">
        <f aca="false">ROUND(S60*W60,0)</f>
        <v>96</v>
      </c>
      <c r="P60" s="54" t="n">
        <f aca="false">IF(F60="","",ROUND(SQRT((F60*L60/100)^2+(G60*O60)^2),0))</f>
        <v>51</v>
      </c>
      <c r="R60" s="56" t="n">
        <v>-12.1623778771817</v>
      </c>
      <c r="S60" s="57" t="n">
        <f aca="false">U60*V60*$F$5</f>
        <v>1234.45226917058</v>
      </c>
      <c r="T60" s="58" t="n">
        <f aca="false">MAX(0,MIN(1,R60/100+$D$5))</f>
        <v>0.300454468436411</v>
      </c>
      <c r="U60" s="58" t="n">
        <v>0.618153364632238</v>
      </c>
      <c r="V60" s="57" t="n">
        <v>1997</v>
      </c>
      <c r="W60" s="58" t="n">
        <v>0.0777040344688333</v>
      </c>
      <c r="X60" s="59" t="s">
        <v>131</v>
      </c>
      <c r="Y60" s="59" t="s">
        <v>185</v>
      </c>
    </row>
    <row r="61" customFormat="false" ht="15" hidden="false" customHeight="false" outlineLevel="0" collapsed="false">
      <c r="A61" s="32" t="s">
        <v>183</v>
      </c>
      <c r="B61" s="32" t="s">
        <v>186</v>
      </c>
      <c r="C61" s="32" t="s">
        <v>129</v>
      </c>
      <c r="D61" s="54" t="n">
        <f aca="false">ROUND(S61*T61,0)</f>
        <v>1067</v>
      </c>
      <c r="E61" s="54" t="n">
        <f aca="false">ROUND(S61,0)-D61</f>
        <v>2083</v>
      </c>
      <c r="F61" s="54" t="n">
        <f aca="false">IF(COUNTA(D61:E61)=0,"",SUM(D61:E61))</f>
        <v>3150</v>
      </c>
      <c r="G61" s="55" t="n">
        <f aca="false">IF(OR(F61="",F61=0),"",D61/F61)</f>
        <v>0.338730158730159</v>
      </c>
      <c r="H61" s="55" t="n">
        <f aca="false">IF(OR(F61="",F61=0),"",E61/F61)</f>
        <v>0.661269841269841</v>
      </c>
      <c r="I61" s="32" t="s">
        <v>130</v>
      </c>
      <c r="J61" s="36" t="n">
        <v>1.57729384625613</v>
      </c>
      <c r="K61" s="36" t="n">
        <f aca="false">$K$8</f>
        <v>1.8117300629046</v>
      </c>
      <c r="L61" s="36" t="n">
        <f aca="false">SQRT(J61^2+K61^2)</f>
        <v>2.40212857654826</v>
      </c>
      <c r="M61" s="55" t="n">
        <f aca="false">IF(G61="","",MAX(0,G61-1.96*L61/100))</f>
        <v>0.291648438629813</v>
      </c>
      <c r="N61" s="55" t="n">
        <f aca="false">IF(G61="","",MIN(1,G61+1.96*L61/100))</f>
        <v>0.385811878830505</v>
      </c>
      <c r="O61" s="54" t="n">
        <f aca="false">ROUND(S61*W61,0)</f>
        <v>174</v>
      </c>
      <c r="P61" s="54" t="n">
        <f aca="false">IF(F61="","",ROUND(SQRT((F61*L61/100)^2+(G61*O61)^2),0))</f>
        <v>96</v>
      </c>
      <c r="R61" s="56" t="n">
        <v>-8.35157548760539</v>
      </c>
      <c r="S61" s="57" t="n">
        <f aca="false">U61*V61*$F$5</f>
        <v>3150.44851429639</v>
      </c>
      <c r="T61" s="58" t="n">
        <f aca="false">MAX(0,MIN(1,R61/100+$D$5))</f>
        <v>0.338562492332175</v>
      </c>
      <c r="U61" s="58" t="n">
        <v>0.56157727527565</v>
      </c>
      <c r="V61" s="57" t="n">
        <v>5610</v>
      </c>
      <c r="W61" s="58" t="n">
        <v>0.0551273752894184</v>
      </c>
      <c r="X61" s="59" t="s">
        <v>152</v>
      </c>
      <c r="Y61" s="59" t="s">
        <v>185</v>
      </c>
    </row>
    <row r="62" customFormat="false" ht="15" hidden="false" customHeight="false" outlineLevel="0" collapsed="false">
      <c r="A62" s="32" t="s">
        <v>183</v>
      </c>
      <c r="B62" s="32" t="s">
        <v>187</v>
      </c>
      <c r="C62" s="32" t="s">
        <v>129</v>
      </c>
      <c r="D62" s="54" t="n">
        <f aca="false">ROUND(S62*T62,0)</f>
        <v>395</v>
      </c>
      <c r="E62" s="54" t="n">
        <f aca="false">ROUND(S62,0)-D62</f>
        <v>776</v>
      </c>
      <c r="F62" s="54" t="n">
        <f aca="false">IF(COUNTA(D62:E62)=0,"",SUM(D62:E62))</f>
        <v>1171</v>
      </c>
      <c r="G62" s="55" t="n">
        <f aca="false">IF(OR(F62="",F62=0),"",D62/F62)</f>
        <v>0.33731853116994</v>
      </c>
      <c r="H62" s="55" t="n">
        <f aca="false">IF(OR(F62="",F62=0),"",E62/F62)</f>
        <v>0.66268146883006</v>
      </c>
      <c r="I62" s="32" t="s">
        <v>130</v>
      </c>
      <c r="J62" s="36" t="n">
        <v>2.8276384769087</v>
      </c>
      <c r="K62" s="36" t="n">
        <f aca="false">$K$8</f>
        <v>1.8117300629046</v>
      </c>
      <c r="L62" s="36" t="n">
        <f aca="false">SQRT(J62^2+K62^2)</f>
        <v>3.35825924802223</v>
      </c>
      <c r="M62" s="55" t="n">
        <f aca="false">IF(G62="","",MAX(0,G62-1.96*L62/100))</f>
        <v>0.271496649908705</v>
      </c>
      <c r="N62" s="55" t="n">
        <f aca="false">IF(G62="","",MIN(1,G62+1.96*L62/100))</f>
        <v>0.403140412431176</v>
      </c>
      <c r="O62" s="54" t="n">
        <f aca="false">ROUND(S62*W62,0)</f>
        <v>91</v>
      </c>
      <c r="P62" s="54" t="n">
        <f aca="false">IF(F62="","",ROUND(SQRT((F62*L62/100)^2+(G62*O62)^2),0))</f>
        <v>50</v>
      </c>
      <c r="R62" s="56" t="n">
        <v>-8.44865527421784</v>
      </c>
      <c r="S62" s="57" t="n">
        <f aca="false">U62*V62*$F$5</f>
        <v>1170.82273494654</v>
      </c>
      <c r="T62" s="58" t="n">
        <f aca="false">MAX(0,MIN(1,R62/100+$D$5))</f>
        <v>0.33759169446605</v>
      </c>
      <c r="U62" s="58" t="n">
        <v>0.625773776027012</v>
      </c>
      <c r="V62" s="57" t="n">
        <v>1871</v>
      </c>
      <c r="W62" s="58" t="n">
        <v>0.0777040344688333</v>
      </c>
      <c r="X62" s="59" t="s">
        <v>131</v>
      </c>
      <c r="Y62" s="59" t="s">
        <v>185</v>
      </c>
    </row>
    <row r="63" customFormat="false" ht="15" hidden="false" customHeight="false" outlineLevel="0" collapsed="false">
      <c r="A63" s="32" t="s">
        <v>188</v>
      </c>
      <c r="B63" s="32" t="s">
        <v>189</v>
      </c>
      <c r="C63" s="32" t="s">
        <v>129</v>
      </c>
      <c r="D63" s="54" t="n">
        <f aca="false">ROUND(S63*T63,0)</f>
        <v>1178</v>
      </c>
      <c r="E63" s="54" t="n">
        <f aca="false">ROUND(S63,0)-D63</f>
        <v>1529</v>
      </c>
      <c r="F63" s="54" t="n">
        <f aca="false">IF(COUNTA(D63:E63)=0,"",SUM(D63:E63))</f>
        <v>2707</v>
      </c>
      <c r="G63" s="55" t="n">
        <f aca="false">IF(OR(F63="",F63=0),"",D63/F63)</f>
        <v>0.43516808274843</v>
      </c>
      <c r="H63" s="55" t="n">
        <f aca="false">IF(OR(F63="",F63=0),"",E63/F63)</f>
        <v>0.56483191725157</v>
      </c>
      <c r="I63" s="32" t="s">
        <v>130</v>
      </c>
      <c r="J63" s="36" t="n">
        <v>1.47263679776505</v>
      </c>
      <c r="K63" s="36" t="n">
        <f aca="false">$K$8</f>
        <v>1.8117300629046</v>
      </c>
      <c r="L63" s="36" t="n">
        <f aca="false">SQRT(J63^2+K63^2)</f>
        <v>2.33474301775677</v>
      </c>
      <c r="M63" s="55" t="n">
        <f aca="false">IF(G63="","",MAX(0,G63-1.96*L63/100))</f>
        <v>0.389407119600397</v>
      </c>
      <c r="N63" s="55" t="n">
        <f aca="false">IF(G63="","",MIN(1,G63+1.96*L63/100))</f>
        <v>0.480929045896463</v>
      </c>
      <c r="O63" s="54" t="n">
        <f aca="false">ROUND(S63*W63,0)</f>
        <v>164</v>
      </c>
      <c r="P63" s="54" t="n">
        <f aca="false">IF(F63="","",ROUND(SQRT((F63*L63/100)^2+(G63*O63)^2),0))</f>
        <v>95</v>
      </c>
      <c r="R63" s="56" t="n">
        <v>1.28899408568386</v>
      </c>
      <c r="S63" s="57" t="n">
        <f aca="false">U63*V63*$F$5</f>
        <v>2707.41725054361</v>
      </c>
      <c r="T63" s="58" t="n">
        <f aca="false">MAX(0,MIN(1,R63/100+$D$5))</f>
        <v>0.434968188065067</v>
      </c>
      <c r="U63" s="58" t="n">
        <v>0.628171055810582</v>
      </c>
      <c r="V63" s="57" t="n">
        <v>4310</v>
      </c>
      <c r="W63" s="58" t="n">
        <v>0.0606122259008943</v>
      </c>
      <c r="X63" s="59" t="s">
        <v>136</v>
      </c>
      <c r="Y63" s="59" t="s">
        <v>132</v>
      </c>
    </row>
    <row r="64" customFormat="false" ht="15" hidden="false" customHeight="false" outlineLevel="0" collapsed="false">
      <c r="A64" s="32" t="s">
        <v>188</v>
      </c>
      <c r="B64" s="32" t="s">
        <v>190</v>
      </c>
      <c r="C64" s="32" t="s">
        <v>129</v>
      </c>
      <c r="D64" s="54" t="n">
        <f aca="false">ROUND(S64*T64,0)</f>
        <v>707</v>
      </c>
      <c r="E64" s="54" t="n">
        <f aca="false">ROUND(S64,0)-D64</f>
        <v>981</v>
      </c>
      <c r="F64" s="54" t="n">
        <f aca="false">IF(COUNTA(D64:E64)=0,"",SUM(D64:E64))</f>
        <v>1688</v>
      </c>
      <c r="G64" s="55" t="n">
        <f aca="false">IF(OR(F64="",F64=0),"",D64/F64)</f>
        <v>0.418838862559242</v>
      </c>
      <c r="H64" s="55" t="n">
        <f aca="false">IF(OR(F64="",F64=0),"",E64/F64)</f>
        <v>0.581161137440758</v>
      </c>
      <c r="I64" s="32" t="s">
        <v>130</v>
      </c>
      <c r="J64" s="36" t="n">
        <v>1.47263679776505</v>
      </c>
      <c r="K64" s="36" t="n">
        <f aca="false">$K$8</f>
        <v>1.8117300629046</v>
      </c>
      <c r="L64" s="36" t="n">
        <f aca="false">SQRT(J64^2+K64^2)</f>
        <v>2.33474301775677</v>
      </c>
      <c r="M64" s="55" t="n">
        <f aca="false">IF(G64="","",MAX(0,G64-1.96*L64/100))</f>
        <v>0.373077899411209</v>
      </c>
      <c r="N64" s="55" t="n">
        <f aca="false">IF(G64="","",MIN(1,G64+1.96*L64/100))</f>
        <v>0.464599825707274</v>
      </c>
      <c r="O64" s="54" t="n">
        <f aca="false">ROUND(S64*W64,0)</f>
        <v>102</v>
      </c>
      <c r="P64" s="54" t="n">
        <f aca="false">IF(F64="","",ROUND(SQRT((F64*L64/100)^2+(G64*O64)^2),0))</f>
        <v>58</v>
      </c>
      <c r="R64" s="56" t="n">
        <v>-0.343111614441918</v>
      </c>
      <c r="S64" s="57" t="n">
        <f aca="false">U64*V64*$F$5</f>
        <v>1687.9765578635</v>
      </c>
      <c r="T64" s="58" t="n">
        <f aca="false">MAX(0,MIN(1,R64/100+$D$5))</f>
        <v>0.418647131063809</v>
      </c>
      <c r="U64" s="58" t="n">
        <v>0.491691394658754</v>
      </c>
      <c r="V64" s="57" t="n">
        <v>3433</v>
      </c>
      <c r="W64" s="58" t="n">
        <v>0.0606122259008943</v>
      </c>
      <c r="X64" s="59" t="s">
        <v>136</v>
      </c>
      <c r="Y64" s="59" t="s">
        <v>132</v>
      </c>
    </row>
    <row r="65" customFormat="false" ht="15" hidden="false" customHeight="false" outlineLevel="0" collapsed="false">
      <c r="A65" s="32" t="s">
        <v>188</v>
      </c>
      <c r="B65" s="32" t="s">
        <v>191</v>
      </c>
      <c r="C65" s="32" t="s">
        <v>129</v>
      </c>
      <c r="D65" s="54" t="n">
        <f aca="false">ROUND(S65*T65,0)</f>
        <v>478</v>
      </c>
      <c r="E65" s="54" t="n">
        <f aca="false">ROUND(S65,0)-D65</f>
        <v>538</v>
      </c>
      <c r="F65" s="54" t="n">
        <f aca="false">IF(COUNTA(D65:E65)=0,"",SUM(D65:E65))</f>
        <v>1016</v>
      </c>
      <c r="G65" s="55" t="n">
        <f aca="false">IF(OR(F65="",F65=0),"",D65/F65)</f>
        <v>0.470472440944882</v>
      </c>
      <c r="H65" s="55" t="n">
        <f aca="false">IF(OR(F65="",F65=0),"",E65/F65)</f>
        <v>0.529527559055118</v>
      </c>
      <c r="I65" s="32" t="s">
        <v>130</v>
      </c>
      <c r="J65" s="36" t="n">
        <v>2.8276384769087</v>
      </c>
      <c r="K65" s="36" t="n">
        <f aca="false">$K$8</f>
        <v>1.8117300629046</v>
      </c>
      <c r="L65" s="36" t="n">
        <f aca="false">SQRT(J65^2+K65^2)</f>
        <v>3.35825924802223</v>
      </c>
      <c r="M65" s="55" t="n">
        <f aca="false">IF(G65="","",MAX(0,G65-1.96*L65/100))</f>
        <v>0.404650559683646</v>
      </c>
      <c r="N65" s="55" t="n">
        <f aca="false">IF(G65="","",MIN(1,G65+1.96*L65/100))</f>
        <v>0.536294322206118</v>
      </c>
      <c r="O65" s="54" t="n">
        <f aca="false">ROUND(S65*W65,0)</f>
        <v>79</v>
      </c>
      <c r="P65" s="54" t="n">
        <f aca="false">IF(F65="","",ROUND(SQRT((F65*L65/100)^2+(G65*O65)^2),0))</f>
        <v>50</v>
      </c>
      <c r="R65" s="56" t="n">
        <v>4.85223444750988</v>
      </c>
      <c r="S65" s="57" t="n">
        <f aca="false">U65*V65*$F$5</f>
        <v>1015.97556912826</v>
      </c>
      <c r="T65" s="58" t="n">
        <f aca="false">MAX(0,MIN(1,R65/100+$D$5))</f>
        <v>0.470600591683327</v>
      </c>
      <c r="U65" s="58" t="n">
        <v>0.529705719044975</v>
      </c>
      <c r="V65" s="57" t="n">
        <v>1918</v>
      </c>
      <c r="W65" s="58" t="n">
        <v>0.0777040344688333</v>
      </c>
      <c r="X65" s="59" t="s">
        <v>131</v>
      </c>
      <c r="Y65" s="59" t="s">
        <v>132</v>
      </c>
    </row>
    <row r="66" customFormat="false" ht="15" hidden="false" customHeight="false" outlineLevel="0" collapsed="false">
      <c r="A66" s="32" t="s">
        <v>188</v>
      </c>
      <c r="B66" s="32" t="s">
        <v>160</v>
      </c>
      <c r="C66" s="32" t="s">
        <v>129</v>
      </c>
      <c r="D66" s="54" t="n">
        <f aca="false">ROUND(S66*T66,0)</f>
        <v>12670</v>
      </c>
      <c r="E66" s="54" t="n">
        <f aca="false">ROUND(S66,0)-D66</f>
        <v>6302</v>
      </c>
      <c r="F66" s="54" t="n">
        <f aca="false">IF(COUNTA(D66:E66)=0,"",SUM(D66:E66))</f>
        <v>18972</v>
      </c>
      <c r="G66" s="55" t="n">
        <f aca="false">IF(OR(F66="",F66=0),"",D66/F66)</f>
        <v>0.667826270293063</v>
      </c>
      <c r="H66" s="55" t="n">
        <f aca="false">IF(OR(F66="",F66=0),"",E66/F66)</f>
        <v>0.332173729706937</v>
      </c>
      <c r="I66" s="32" t="s">
        <v>130</v>
      </c>
      <c r="J66" s="36" t="n">
        <v>1.57729384625613</v>
      </c>
      <c r="K66" s="36" t="n">
        <f aca="false">$K$8</f>
        <v>1.8117300629046</v>
      </c>
      <c r="L66" s="36" t="n">
        <f aca="false">SQRT(J66^2+K66^2)</f>
        <v>2.40212857654826</v>
      </c>
      <c r="M66" s="55" t="n">
        <f aca="false">IF(G66="","",MAX(0,G66-1.96*L66/100))</f>
        <v>0.620744550192718</v>
      </c>
      <c r="N66" s="55" t="n">
        <f aca="false">IF(G66="","",MIN(1,G66+1.96*L66/100))</f>
        <v>0.714907990393409</v>
      </c>
      <c r="O66" s="54" t="n">
        <f aca="false">ROUND(S66*W66,0)</f>
        <v>1046</v>
      </c>
      <c r="P66" s="54" t="n">
        <f aca="false">IF(F66="","",ROUND(SQRT((F66*L66/100)^2+(G66*O66)^2),0))</f>
        <v>834</v>
      </c>
      <c r="R66" s="56" t="n">
        <v>24.5725113748891</v>
      </c>
      <c r="S66" s="57" t="n">
        <f aca="false">U66*V66*$F$5</f>
        <v>18972.4050126369</v>
      </c>
      <c r="T66" s="58" t="n">
        <f aca="false">MAX(0,MIN(1,R66/100+$D$5))</f>
        <v>0.66780336095712</v>
      </c>
      <c r="U66" s="58" t="n">
        <v>0.476358466722831</v>
      </c>
      <c r="V66" s="57" t="n">
        <v>39828</v>
      </c>
      <c r="W66" s="58" t="n">
        <v>0.0551273752894184</v>
      </c>
      <c r="X66" s="59" t="s">
        <v>152</v>
      </c>
      <c r="Y66" s="59" t="s">
        <v>185</v>
      </c>
    </row>
    <row r="67" customFormat="false" ht="15" hidden="false" customHeight="false" outlineLevel="0" collapsed="false">
      <c r="A67" s="32" t="s">
        <v>188</v>
      </c>
      <c r="B67" s="32" t="s">
        <v>192</v>
      </c>
      <c r="C67" s="32" t="s">
        <v>129</v>
      </c>
      <c r="D67" s="54" t="n">
        <f aca="false">ROUND(S67*T67,0)</f>
        <v>6798</v>
      </c>
      <c r="E67" s="54" t="n">
        <f aca="false">ROUND(S67,0)-D67</f>
        <v>5951</v>
      </c>
      <c r="F67" s="54" t="n">
        <f aca="false">IF(COUNTA(D67:E67)=0,"",SUM(D67:E67))</f>
        <v>12749</v>
      </c>
      <c r="G67" s="55" t="n">
        <f aca="false">IF(OR(F67="",F67=0),"",D67/F67)</f>
        <v>0.533218291630716</v>
      </c>
      <c r="H67" s="55" t="n">
        <f aca="false">IF(OR(F67="",F67=0),"",E67/F67)</f>
        <v>0.466781708369284</v>
      </c>
      <c r="I67" s="32" t="s">
        <v>130</v>
      </c>
      <c r="J67" s="36" t="n">
        <v>1.57729384625613</v>
      </c>
      <c r="K67" s="36" t="n">
        <f aca="false">$K$8</f>
        <v>1.8117300629046</v>
      </c>
      <c r="L67" s="36" t="n">
        <f aca="false">SQRT(J67^2+K67^2)</f>
        <v>2.40212857654826</v>
      </c>
      <c r="M67" s="55" t="n">
        <f aca="false">IF(G67="","",MAX(0,G67-1.96*L67/100))</f>
        <v>0.48613657153037</v>
      </c>
      <c r="N67" s="55" t="n">
        <f aca="false">IF(G67="","",MIN(1,G67+1.96*L67/100))</f>
        <v>0.580300011731062</v>
      </c>
      <c r="O67" s="54" t="n">
        <f aca="false">ROUND(S67*W67,0)</f>
        <v>703</v>
      </c>
      <c r="P67" s="54" t="n">
        <f aca="false">IF(F67="","",ROUND(SQRT((F67*L67/100)^2+(G67*O67)^2),0))</f>
        <v>484</v>
      </c>
      <c r="R67" s="56" t="n">
        <v>11.1159953173501</v>
      </c>
      <c r="S67" s="57" t="n">
        <f aca="false">U67*V67*$F$5</f>
        <v>12748.560475162</v>
      </c>
      <c r="T67" s="58" t="n">
        <f aca="false">MAX(0,MIN(1,R67/100+$D$5))</f>
        <v>0.53323820038173</v>
      </c>
      <c r="U67" s="58" t="n">
        <v>0.629589632829374</v>
      </c>
      <c r="V67" s="57" t="n">
        <v>20249</v>
      </c>
      <c r="W67" s="58" t="n">
        <v>0.0551273752894184</v>
      </c>
      <c r="X67" s="59" t="s">
        <v>152</v>
      </c>
      <c r="Y67" s="59" t="s">
        <v>185</v>
      </c>
    </row>
    <row r="68" customFormat="false" ht="15" hidden="false" customHeight="false" outlineLevel="0" collapsed="false">
      <c r="A68" s="32" t="s">
        <v>188</v>
      </c>
      <c r="B68" s="32" t="s">
        <v>193</v>
      </c>
      <c r="C68" s="32" t="s">
        <v>129</v>
      </c>
      <c r="D68" s="54" t="n">
        <f aca="false">ROUND(S68*T68,0)</f>
        <v>1682</v>
      </c>
      <c r="E68" s="54" t="n">
        <f aca="false">ROUND(S68,0)-D68</f>
        <v>2741</v>
      </c>
      <c r="F68" s="54" t="n">
        <f aca="false">IF(COUNTA(D68:E68)=0,"",SUM(D68:E68))</f>
        <v>4423</v>
      </c>
      <c r="G68" s="55" t="n">
        <f aca="false">IF(OR(F68="",F68=0),"",D68/F68)</f>
        <v>0.380284874519557</v>
      </c>
      <c r="H68" s="55" t="n">
        <f aca="false">IF(OR(F68="",F68=0),"",E68/F68)</f>
        <v>0.619715125480443</v>
      </c>
      <c r="I68" s="32" t="s">
        <v>130</v>
      </c>
      <c r="J68" s="36" t="n">
        <v>1.57729384625613</v>
      </c>
      <c r="K68" s="36" t="n">
        <f aca="false">$K$8</f>
        <v>1.8117300629046</v>
      </c>
      <c r="L68" s="36" t="n">
        <f aca="false">SQRT(J68^2+K68^2)</f>
        <v>2.40212857654826</v>
      </c>
      <c r="M68" s="55" t="n">
        <f aca="false">IF(G68="","",MAX(0,G68-1.96*L68/100))</f>
        <v>0.333203154419211</v>
      </c>
      <c r="N68" s="55" t="n">
        <f aca="false">IF(G68="","",MIN(1,G68+1.96*L68/100))</f>
        <v>0.427366594619903</v>
      </c>
      <c r="O68" s="54" t="n">
        <f aca="false">ROUND(S68*W68,0)</f>
        <v>244</v>
      </c>
      <c r="P68" s="54" t="n">
        <f aca="false">IF(F68="","",ROUND(SQRT((F68*L68/100)^2+(G68*O68)^2),0))</f>
        <v>141</v>
      </c>
      <c r="R68" s="56" t="n">
        <v>-4.17315769005015</v>
      </c>
      <c r="S68" s="57" t="n">
        <f aca="false">U68*V68*$F$5</f>
        <v>4422.68236877524</v>
      </c>
      <c r="T68" s="58" t="n">
        <f aca="false">MAX(0,MIN(1,R68/100+$D$5))</f>
        <v>0.380346670307727</v>
      </c>
      <c r="U68" s="58" t="n">
        <v>0.657843577089876</v>
      </c>
      <c r="V68" s="57" t="n">
        <v>6723</v>
      </c>
      <c r="W68" s="58" t="n">
        <v>0.0551273752894184</v>
      </c>
      <c r="X68" s="59" t="s">
        <v>152</v>
      </c>
      <c r="Y68" s="59" t="s">
        <v>132</v>
      </c>
    </row>
    <row r="69" customFormat="false" ht="15" hidden="false" customHeight="false" outlineLevel="0" collapsed="false">
      <c r="A69" s="32" t="s">
        <v>188</v>
      </c>
      <c r="B69" s="32" t="s">
        <v>194</v>
      </c>
      <c r="C69" s="32" t="s">
        <v>129</v>
      </c>
      <c r="D69" s="54" t="n">
        <f aca="false">ROUND(S69*T69,0)</f>
        <v>35</v>
      </c>
      <c r="E69" s="54" t="n">
        <f aca="false">ROUND(S69,0)-D69</f>
        <v>62</v>
      </c>
      <c r="F69" s="54" t="n">
        <f aca="false">IF(COUNTA(D69:E69)=0,"",SUM(D69:E69))</f>
        <v>97</v>
      </c>
      <c r="G69" s="55" t="n">
        <f aca="false">IF(OR(F69="",F69=0),"",D69/F69)</f>
        <v>0.360824742268041</v>
      </c>
      <c r="H69" s="55" t="n">
        <f aca="false">IF(OR(F69="",F69=0),"",E69/F69)</f>
        <v>0.639175257731959</v>
      </c>
      <c r="I69" s="32" t="s">
        <v>130</v>
      </c>
      <c r="J69" s="36" t="n">
        <v>2.8276384769087</v>
      </c>
      <c r="K69" s="36" t="n">
        <f aca="false">$K$8</f>
        <v>1.8117300629046</v>
      </c>
      <c r="L69" s="36" t="n">
        <f aca="false">SQRT(J69^2+K69^2)</f>
        <v>3.35825924802223</v>
      </c>
      <c r="M69" s="55" t="n">
        <f aca="false">IF(G69="","",MAX(0,G69-1.96*L69/100))</f>
        <v>0.295002861006806</v>
      </c>
      <c r="N69" s="55" t="n">
        <f aca="false">IF(G69="","",MIN(1,G69+1.96*L69/100))</f>
        <v>0.426646623529277</v>
      </c>
      <c r="O69" s="54" t="n">
        <f aca="false">ROUND(S69*W69,0)</f>
        <v>8</v>
      </c>
      <c r="P69" s="54" t="n">
        <f aca="false">IF(F69="","",ROUND(SQRT((F69*L69/100)^2+(G69*O69)^2),0))</f>
        <v>4</v>
      </c>
      <c r="R69" s="56" t="n">
        <v>-6.11205109809097</v>
      </c>
      <c r="S69" s="57" t="n">
        <f aca="false">U69*V69*$F$5</f>
        <v>97.2992700729927</v>
      </c>
      <c r="T69" s="58" t="n">
        <f aca="false">MAX(0,MIN(1,R69/100+$D$5))</f>
        <v>0.360957736227319</v>
      </c>
      <c r="U69" s="58" t="n">
        <v>0.627737226277372</v>
      </c>
      <c r="V69" s="57" t="n">
        <v>155</v>
      </c>
      <c r="W69" s="58" t="n">
        <v>0.0777040344688333</v>
      </c>
      <c r="X69" s="59" t="s">
        <v>131</v>
      </c>
      <c r="Y69" s="59" t="s">
        <v>132</v>
      </c>
    </row>
    <row r="70" customFormat="false" ht="15" hidden="false" customHeight="false" outlineLevel="0" collapsed="false">
      <c r="A70" s="32" t="s">
        <v>188</v>
      </c>
      <c r="B70" s="32" t="s">
        <v>195</v>
      </c>
      <c r="C70" s="32" t="s">
        <v>129</v>
      </c>
      <c r="D70" s="54" t="n">
        <f aca="false">ROUND(S70*T70,0)</f>
        <v>1141</v>
      </c>
      <c r="E70" s="54" t="n">
        <f aca="false">ROUND(S70,0)-D70</f>
        <v>1500</v>
      </c>
      <c r="F70" s="54" t="n">
        <f aca="false">IF(COUNTA(D70:E70)=0,"",SUM(D70:E70))</f>
        <v>2641</v>
      </c>
      <c r="G70" s="55" t="n">
        <f aca="false">IF(OR(F70="",F70=0),"",D70/F70)</f>
        <v>0.432033320711852</v>
      </c>
      <c r="H70" s="55" t="n">
        <f aca="false">IF(OR(F70="",F70=0),"",E70/F70)</f>
        <v>0.567966679288149</v>
      </c>
      <c r="I70" s="32" t="s">
        <v>130</v>
      </c>
      <c r="J70" s="36" t="n">
        <v>1.47263679776505</v>
      </c>
      <c r="K70" s="36" t="n">
        <f aca="false">$K$8</f>
        <v>1.8117300629046</v>
      </c>
      <c r="L70" s="36" t="n">
        <f aca="false">SQRT(J70^2+K70^2)</f>
        <v>2.33474301775677</v>
      </c>
      <c r="M70" s="55" t="n">
        <f aca="false">IF(G70="","",MAX(0,G70-1.96*L70/100))</f>
        <v>0.386272357563819</v>
      </c>
      <c r="N70" s="55" t="n">
        <f aca="false">IF(G70="","",MIN(1,G70+1.96*L70/100))</f>
        <v>0.477794283859884</v>
      </c>
      <c r="O70" s="54" t="n">
        <f aca="false">ROUND(S70*W70,0)</f>
        <v>160</v>
      </c>
      <c r="P70" s="54" t="n">
        <f aca="false">IF(F70="","",ROUND(SQRT((F70*L70/100)^2+(G70*O70)^2),0))</f>
        <v>93</v>
      </c>
      <c r="R70" s="56" t="n">
        <v>0.996056038614616</v>
      </c>
      <c r="S70" s="57" t="n">
        <f aca="false">U70*V70*$F$5</f>
        <v>2640.91189093663</v>
      </c>
      <c r="T70" s="58" t="n">
        <f aca="false">MAX(0,MIN(1,R70/100+$D$5))</f>
        <v>0.432038807594375</v>
      </c>
      <c r="U70" s="58" t="n">
        <v>0.635445594546832</v>
      </c>
      <c r="V70" s="57" t="n">
        <v>4156</v>
      </c>
      <c r="W70" s="58" t="n">
        <v>0.0606122259008943</v>
      </c>
      <c r="X70" s="59" t="s">
        <v>136</v>
      </c>
      <c r="Y70" s="59" t="s">
        <v>132</v>
      </c>
    </row>
    <row r="71" customFormat="false" ht="15" hidden="false" customHeight="false" outlineLevel="0" collapsed="false">
      <c r="A71" s="32" t="s">
        <v>188</v>
      </c>
      <c r="B71" s="32" t="s">
        <v>196</v>
      </c>
      <c r="C71" s="32" t="s">
        <v>129</v>
      </c>
      <c r="D71" s="54" t="n">
        <f aca="false">ROUND(S71*T71,0)</f>
        <v>146</v>
      </c>
      <c r="E71" s="54" t="n">
        <f aca="false">ROUND(S71,0)-D71</f>
        <v>214</v>
      </c>
      <c r="F71" s="54" t="n">
        <f aca="false">IF(COUNTA(D71:E71)=0,"",SUM(D71:E71))</f>
        <v>360</v>
      </c>
      <c r="G71" s="55" t="n">
        <f aca="false">IF(OR(F71="",F71=0),"",D71/F71)</f>
        <v>0.405555555555556</v>
      </c>
      <c r="H71" s="55" t="n">
        <f aca="false">IF(OR(F71="",F71=0),"",E71/F71)</f>
        <v>0.594444444444444</v>
      </c>
      <c r="I71" s="32" t="s">
        <v>130</v>
      </c>
      <c r="J71" s="36" t="n">
        <v>2.8276384769087</v>
      </c>
      <c r="K71" s="36" t="n">
        <f aca="false">$K$8</f>
        <v>1.8117300629046</v>
      </c>
      <c r="L71" s="36" t="n">
        <f aca="false">SQRT(J71^2+K71^2)</f>
        <v>3.35825924802223</v>
      </c>
      <c r="M71" s="55" t="n">
        <f aca="false">IF(G71="","",MAX(0,G71-1.96*L71/100))</f>
        <v>0.33973367429432</v>
      </c>
      <c r="N71" s="55" t="n">
        <f aca="false">IF(G71="","",MIN(1,G71+1.96*L71/100))</f>
        <v>0.471377436816791</v>
      </c>
      <c r="O71" s="54" t="n">
        <f aca="false">ROUND(S71*W71,0)</f>
        <v>28</v>
      </c>
      <c r="P71" s="54" t="n">
        <f aca="false">IF(F71="","",ROUND(SQRT((F71*L71/100)^2+(G71*O71)^2),0))</f>
        <v>17</v>
      </c>
      <c r="R71" s="56" t="n">
        <v>-1.55042457828872</v>
      </c>
      <c r="S71" s="57" t="n">
        <f aca="false">U71*V71*$F$5</f>
        <v>360.236842105263</v>
      </c>
      <c r="T71" s="58" t="n">
        <f aca="false">MAX(0,MIN(1,R71/100+$D$5))</f>
        <v>0.406574001425341</v>
      </c>
      <c r="U71" s="58" t="n">
        <v>0.513157894736842</v>
      </c>
      <c r="V71" s="57" t="n">
        <v>702</v>
      </c>
      <c r="W71" s="58" t="n">
        <v>0.0777040344688333</v>
      </c>
      <c r="X71" s="59" t="s">
        <v>131</v>
      </c>
      <c r="Y71" s="59" t="s">
        <v>132</v>
      </c>
    </row>
    <row r="72" customFormat="false" ht="15" hidden="false" customHeight="false" outlineLevel="0" collapsed="false">
      <c r="A72" s="32" t="s">
        <v>188</v>
      </c>
      <c r="B72" s="32" t="s">
        <v>197</v>
      </c>
      <c r="C72" s="32" t="s">
        <v>129</v>
      </c>
      <c r="D72" s="54" t="n">
        <f aca="false">ROUND(S72*T72,0)</f>
        <v>5007</v>
      </c>
      <c r="E72" s="54" t="n">
        <f aca="false">ROUND(S72,0)-D72</f>
        <v>2290</v>
      </c>
      <c r="F72" s="54" t="n">
        <f aca="false">IF(COUNTA(D72:E72)=0,"",SUM(D72:E72))</f>
        <v>7297</v>
      </c>
      <c r="G72" s="55" t="n">
        <f aca="false">IF(OR(F72="",F72=0),"",D72/F72)</f>
        <v>0.686172399616281</v>
      </c>
      <c r="H72" s="55" t="n">
        <f aca="false">IF(OR(F72="",F72=0),"",E72/F72)</f>
        <v>0.313827600383719</v>
      </c>
      <c r="I72" s="32" t="s">
        <v>130</v>
      </c>
      <c r="J72" s="36" t="n">
        <v>1.57729384625613</v>
      </c>
      <c r="K72" s="36" t="n">
        <f aca="false">$K$8</f>
        <v>1.8117300629046</v>
      </c>
      <c r="L72" s="36" t="n">
        <f aca="false">SQRT(J72^2+K72^2)</f>
        <v>2.40212857654826</v>
      </c>
      <c r="M72" s="55" t="n">
        <f aca="false">IF(G72="","",MAX(0,G72-1.96*L72/100))</f>
        <v>0.639090679515935</v>
      </c>
      <c r="N72" s="55" t="n">
        <f aca="false">IF(G72="","",MIN(1,G72+1.96*L72/100))</f>
        <v>0.733254119716627</v>
      </c>
      <c r="O72" s="54" t="n">
        <f aca="false">ROUND(S72*W72,0)</f>
        <v>402</v>
      </c>
      <c r="P72" s="54" t="n">
        <f aca="false">IF(F72="","",ROUND(SQRT((F72*L72/100)^2+(G72*O72)^2),0))</f>
        <v>327</v>
      </c>
      <c r="R72" s="56" t="n">
        <v>26.401602395669</v>
      </c>
      <c r="S72" s="57" t="n">
        <f aca="false">U72*V72*$F$5</f>
        <v>7297.15979682392</v>
      </c>
      <c r="T72" s="58" t="n">
        <f aca="false">MAX(0,MIN(1,R72/100+$D$5))</f>
        <v>0.686094271164918</v>
      </c>
      <c r="U72" s="58" t="n">
        <v>0.414117234936945</v>
      </c>
      <c r="V72" s="57" t="n">
        <v>17621</v>
      </c>
      <c r="W72" s="58" t="n">
        <v>0.0551273752894184</v>
      </c>
      <c r="X72" s="59" t="s">
        <v>152</v>
      </c>
      <c r="Y72" s="59" t="s">
        <v>132</v>
      </c>
    </row>
    <row r="73" customFormat="false" ht="15" hidden="false" customHeight="false" outlineLevel="0" collapsed="false">
      <c r="A73" s="32" t="s">
        <v>188</v>
      </c>
      <c r="B73" s="32" t="s">
        <v>198</v>
      </c>
      <c r="C73" s="32" t="s">
        <v>129</v>
      </c>
      <c r="D73" s="54" t="n">
        <f aca="false">ROUND(S73*T73,0)</f>
        <v>4246</v>
      </c>
      <c r="E73" s="54" t="n">
        <f aca="false">ROUND(S73,0)-D73</f>
        <v>3929</v>
      </c>
      <c r="F73" s="54" t="n">
        <f aca="false">IF(COUNTA(D73:E73)=0,"",SUM(D73:E73))</f>
        <v>8175</v>
      </c>
      <c r="G73" s="55" t="n">
        <f aca="false">IF(OR(F73="",F73=0),"",D73/F73)</f>
        <v>0.519388379204893</v>
      </c>
      <c r="H73" s="55" t="n">
        <f aca="false">IF(OR(F73="",F73=0),"",E73/F73)</f>
        <v>0.480611620795107</v>
      </c>
      <c r="I73" s="32" t="s">
        <v>130</v>
      </c>
      <c r="J73" s="36" t="n">
        <v>1.57729384625613</v>
      </c>
      <c r="K73" s="36" t="n">
        <f aca="false">$K$8</f>
        <v>1.8117300629046</v>
      </c>
      <c r="L73" s="36" t="n">
        <f aca="false">SQRT(J73^2+K73^2)</f>
        <v>2.40212857654826</v>
      </c>
      <c r="M73" s="55" t="n">
        <f aca="false">IF(G73="","",MAX(0,G73-1.96*L73/100))</f>
        <v>0.472306659104547</v>
      </c>
      <c r="N73" s="55" t="n">
        <f aca="false">IF(G73="","",MIN(1,G73+1.96*L73/100))</f>
        <v>0.566470099305239</v>
      </c>
      <c r="O73" s="54" t="n">
        <f aca="false">ROUND(S73*W73,0)</f>
        <v>451</v>
      </c>
      <c r="P73" s="54" t="n">
        <f aca="false">IF(F73="","",ROUND(SQRT((F73*L73/100)^2+(G73*O73)^2),0))</f>
        <v>306</v>
      </c>
      <c r="R73" s="56" t="n">
        <v>9.73139702001213</v>
      </c>
      <c r="S73" s="57" t="n">
        <f aca="false">U73*V73*$F$5</f>
        <v>8175.00272606901</v>
      </c>
      <c r="T73" s="58" t="n">
        <f aca="false">MAX(0,MIN(1,R73/100+$D$5))</f>
        <v>0.51939221740835</v>
      </c>
      <c r="U73" s="58" t="n">
        <v>0.618428226497391</v>
      </c>
      <c r="V73" s="57" t="n">
        <v>13219</v>
      </c>
      <c r="W73" s="58" t="n">
        <v>0.0551273752894184</v>
      </c>
      <c r="X73" s="59" t="s">
        <v>152</v>
      </c>
      <c r="Y73" s="59" t="s">
        <v>132</v>
      </c>
    </row>
    <row r="74" customFormat="false" ht="15" hidden="false" customHeight="false" outlineLevel="0" collapsed="false">
      <c r="A74" s="32" t="s">
        <v>188</v>
      </c>
      <c r="B74" s="32" t="s">
        <v>199</v>
      </c>
      <c r="C74" s="32" t="s">
        <v>129</v>
      </c>
      <c r="D74" s="54" t="n">
        <f aca="false">ROUND(S74*T74,0)</f>
        <v>486</v>
      </c>
      <c r="E74" s="54" t="n">
        <f aca="false">ROUND(S74,0)-D74</f>
        <v>325</v>
      </c>
      <c r="F74" s="54" t="n">
        <f aca="false">IF(COUNTA(D74:E74)=0,"",SUM(D74:E74))</f>
        <v>811</v>
      </c>
      <c r="G74" s="55" t="n">
        <f aca="false">IF(OR(F74="",F74=0),"",D74/F74)</f>
        <v>0.599260172626387</v>
      </c>
      <c r="H74" s="55" t="n">
        <f aca="false">IF(OR(F74="",F74=0),"",E74/F74)</f>
        <v>0.400739827373613</v>
      </c>
      <c r="I74" s="32" t="s">
        <v>130</v>
      </c>
      <c r="J74" s="36" t="n">
        <v>2.8276384769087</v>
      </c>
      <c r="K74" s="36" t="n">
        <f aca="false">$K$8</f>
        <v>1.8117300629046</v>
      </c>
      <c r="L74" s="36" t="n">
        <f aca="false">SQRT(J74^2+K74^2)</f>
        <v>3.35825924802223</v>
      </c>
      <c r="M74" s="55" t="n">
        <f aca="false">IF(G74="","",MAX(0,G74-1.96*L74/100))</f>
        <v>0.533438291365152</v>
      </c>
      <c r="N74" s="55" t="n">
        <f aca="false">IF(G74="","",MIN(1,G74+1.96*L74/100))</f>
        <v>0.665082053887623</v>
      </c>
      <c r="O74" s="54" t="n">
        <f aca="false">ROUND(S74*W74,0)</f>
        <v>63</v>
      </c>
      <c r="P74" s="54" t="n">
        <f aca="false">IF(F74="","",ROUND(SQRT((F74*L74/100)^2+(G74*O74)^2),0))</f>
        <v>47</v>
      </c>
      <c r="R74" s="56" t="n">
        <v>17.7388032737215</v>
      </c>
      <c r="S74" s="57" t="n">
        <f aca="false">U74*V74*$F$5</f>
        <v>811.272251308901</v>
      </c>
      <c r="T74" s="58" t="n">
        <f aca="false">MAX(0,MIN(1,R74/100+$D$5))</f>
        <v>0.599466279945443</v>
      </c>
      <c r="U74" s="58" t="n">
        <v>0.424083769633508</v>
      </c>
      <c r="V74" s="57" t="n">
        <v>1913</v>
      </c>
      <c r="W74" s="58" t="n">
        <v>0.0777040344688333</v>
      </c>
      <c r="X74" s="59" t="s">
        <v>131</v>
      </c>
      <c r="Y74" s="59" t="s">
        <v>132</v>
      </c>
    </row>
    <row r="75" customFormat="false" ht="15" hidden="false" customHeight="false" outlineLevel="0" collapsed="false">
      <c r="A75" s="32" t="s">
        <v>188</v>
      </c>
      <c r="B75" s="32" t="s">
        <v>200</v>
      </c>
      <c r="C75" s="32" t="s">
        <v>129</v>
      </c>
      <c r="D75" s="54" t="n">
        <f aca="false">ROUND(S75*T75,0)</f>
        <v>75</v>
      </c>
      <c r="E75" s="54" t="n">
        <f aca="false">ROUND(S75,0)-D75</f>
        <v>69</v>
      </c>
      <c r="F75" s="54" t="n">
        <f aca="false">IF(COUNTA(D75:E75)=0,"",SUM(D75:E75))</f>
        <v>144</v>
      </c>
      <c r="G75" s="55" t="n">
        <f aca="false">IF(OR(F75="",F75=0),"",D75/F75)</f>
        <v>0.520833333333333</v>
      </c>
      <c r="H75" s="55" t="n">
        <f aca="false">IF(OR(F75="",F75=0),"",E75/F75)</f>
        <v>0.479166666666667</v>
      </c>
      <c r="I75" s="32" t="s">
        <v>130</v>
      </c>
      <c r="J75" s="36" t="n">
        <v>2.8276384769087</v>
      </c>
      <c r="K75" s="36" t="n">
        <f aca="false">$K$8</f>
        <v>1.8117300629046</v>
      </c>
      <c r="L75" s="36" t="n">
        <f aca="false">SQRT(J75^2+K75^2)</f>
        <v>3.35825924802223</v>
      </c>
      <c r="M75" s="55" t="n">
        <f aca="false">IF(G75="","",MAX(0,G75-1.96*L75/100))</f>
        <v>0.455011452072098</v>
      </c>
      <c r="N75" s="55" t="n">
        <f aca="false">IF(G75="","",MIN(1,G75+1.96*L75/100))</f>
        <v>0.586655214594569</v>
      </c>
      <c r="O75" s="54" t="n">
        <f aca="false">ROUND(S75*W75,0)</f>
        <v>11</v>
      </c>
      <c r="P75" s="54" t="n">
        <f aca="false">IF(F75="","",ROUND(SQRT((F75*L75/100)^2+(G75*O75)^2),0))</f>
        <v>7</v>
      </c>
      <c r="R75" s="56" t="n">
        <v>9.6922713631151</v>
      </c>
      <c r="S75" s="57" t="n">
        <f aca="false">U75*V75*$F$5</f>
        <v>143.630597014925</v>
      </c>
      <c r="T75" s="58" t="n">
        <f aca="false">MAX(0,MIN(1,R75/100+$D$5))</f>
        <v>0.519000960839379</v>
      </c>
      <c r="U75" s="58" t="n">
        <v>0.526119402985075</v>
      </c>
      <c r="V75" s="57" t="n">
        <v>273</v>
      </c>
      <c r="W75" s="58" t="n">
        <v>0.0777040344688333</v>
      </c>
      <c r="X75" s="59" t="s">
        <v>131</v>
      </c>
      <c r="Y75" s="59" t="s">
        <v>132</v>
      </c>
    </row>
    <row r="76" customFormat="false" ht="15" hidden="false" customHeight="false" outlineLevel="0" collapsed="false">
      <c r="A76" s="32" t="s">
        <v>188</v>
      </c>
      <c r="B76" s="32" t="s">
        <v>166</v>
      </c>
      <c r="C76" s="32" t="s">
        <v>129</v>
      </c>
      <c r="D76" s="54" t="n">
        <f aca="false">ROUND(S76*T76,0)</f>
        <v>3472</v>
      </c>
      <c r="E76" s="54" t="n">
        <f aca="false">ROUND(S76,0)-D76</f>
        <v>2951</v>
      </c>
      <c r="F76" s="54" t="n">
        <f aca="false">IF(COUNTA(D76:E76)=0,"",SUM(D76:E76))</f>
        <v>6423</v>
      </c>
      <c r="G76" s="55" t="n">
        <f aca="false">IF(OR(F76="",F76=0),"",D76/F76)</f>
        <v>0.540557371944574</v>
      </c>
      <c r="H76" s="55" t="n">
        <f aca="false">IF(OR(F76="",F76=0),"",E76/F76)</f>
        <v>0.459442628055426</v>
      </c>
      <c r="I76" s="32" t="s">
        <v>130</v>
      </c>
      <c r="J76" s="36" t="n">
        <v>1.57729384625613</v>
      </c>
      <c r="K76" s="36" t="n">
        <f aca="false">$K$8</f>
        <v>1.8117300629046</v>
      </c>
      <c r="L76" s="36" t="n">
        <f aca="false">SQRT(J76^2+K76^2)</f>
        <v>2.40212857654826</v>
      </c>
      <c r="M76" s="55" t="n">
        <f aca="false">IF(G76="","",MAX(0,G76-1.96*L76/100))</f>
        <v>0.493475651844228</v>
      </c>
      <c r="N76" s="55" t="n">
        <f aca="false">IF(G76="","",MIN(1,G76+1.96*L76/100))</f>
        <v>0.58763909204492</v>
      </c>
      <c r="O76" s="54" t="n">
        <f aca="false">ROUND(S76*W76,0)</f>
        <v>354</v>
      </c>
      <c r="P76" s="54" t="n">
        <f aca="false">IF(F76="","",ROUND(SQRT((F76*L76/100)^2+(G76*O76)^2),0))</f>
        <v>246</v>
      </c>
      <c r="R76" s="56" t="n">
        <v>11.8483171350896</v>
      </c>
      <c r="S76" s="57" t="n">
        <f aca="false">U76*V76*$F$5</f>
        <v>6422.70106427379</v>
      </c>
      <c r="T76" s="58" t="n">
        <f aca="false">MAX(0,MIN(1,R76/100+$D$5))</f>
        <v>0.540561418559125</v>
      </c>
      <c r="U76" s="58" t="n">
        <v>0.673309682804674</v>
      </c>
      <c r="V76" s="57" t="n">
        <v>9539</v>
      </c>
      <c r="W76" s="58" t="n">
        <v>0.0551273752894184</v>
      </c>
      <c r="X76" s="59" t="s">
        <v>152</v>
      </c>
      <c r="Y76" s="59" t="s">
        <v>132</v>
      </c>
    </row>
    <row r="77" customFormat="false" ht="15" hidden="false" customHeight="false" outlineLevel="0" collapsed="false">
      <c r="A77" s="32" t="s">
        <v>188</v>
      </c>
      <c r="B77" s="32" t="s">
        <v>201</v>
      </c>
      <c r="C77" s="32" t="s">
        <v>129</v>
      </c>
      <c r="D77" s="54" t="n">
        <f aca="false">ROUND(S77*T77,0)</f>
        <v>1361</v>
      </c>
      <c r="E77" s="54" t="n">
        <f aca="false">ROUND(S77,0)-D77</f>
        <v>1267</v>
      </c>
      <c r="F77" s="54" t="n">
        <f aca="false">IF(COUNTA(D77:E77)=0,"",SUM(D77:E77))</f>
        <v>2628</v>
      </c>
      <c r="G77" s="55" t="n">
        <f aca="false">IF(OR(F77="",F77=0),"",D77/F77)</f>
        <v>0.517884322678843</v>
      </c>
      <c r="H77" s="55" t="n">
        <f aca="false">IF(OR(F77="",F77=0),"",E77/F77)</f>
        <v>0.482115677321157</v>
      </c>
      <c r="I77" s="32" t="s">
        <v>130</v>
      </c>
      <c r="J77" s="36" t="n">
        <v>1.47263679776505</v>
      </c>
      <c r="K77" s="36" t="n">
        <f aca="false">$K$8</f>
        <v>1.8117300629046</v>
      </c>
      <c r="L77" s="36" t="n">
        <f aca="false">SQRT(J77^2+K77^2)</f>
        <v>2.33474301775677</v>
      </c>
      <c r="M77" s="55" t="n">
        <f aca="false">IF(G77="","",MAX(0,G77-1.96*L77/100))</f>
        <v>0.47212335953081</v>
      </c>
      <c r="N77" s="55" t="n">
        <f aca="false">IF(G77="","",MIN(1,G77+1.96*L77/100))</f>
        <v>0.563645285826876</v>
      </c>
      <c r="O77" s="54" t="n">
        <f aca="false">ROUND(S77*W77,0)</f>
        <v>159</v>
      </c>
      <c r="P77" s="54" t="n">
        <f aca="false">IF(F77="","",ROUND(SQRT((F77*L77/100)^2+(G77*O77)^2),0))</f>
        <v>103</v>
      </c>
      <c r="R77" s="56" t="n">
        <v>9.56989785621808</v>
      </c>
      <c r="S77" s="57" t="n">
        <f aca="false">U77*V77*$F$5</f>
        <v>2628.02463970246</v>
      </c>
      <c r="T77" s="58" t="n">
        <f aca="false">MAX(0,MIN(1,R77/100+$D$5))</f>
        <v>0.517777225770409</v>
      </c>
      <c r="U77" s="58" t="n">
        <v>0.598093909809391</v>
      </c>
      <c r="V77" s="57" t="n">
        <v>4394</v>
      </c>
      <c r="W77" s="58" t="n">
        <v>0.0606122259008943</v>
      </c>
      <c r="X77" s="59" t="s">
        <v>136</v>
      </c>
      <c r="Y77" s="59" t="s">
        <v>132</v>
      </c>
    </row>
    <row r="78" customFormat="false" ht="15" hidden="false" customHeight="false" outlineLevel="0" collapsed="false">
      <c r="A78" s="32" t="s">
        <v>188</v>
      </c>
      <c r="B78" s="32" t="s">
        <v>202</v>
      </c>
      <c r="C78" s="32" t="s">
        <v>129</v>
      </c>
      <c r="D78" s="54" t="n">
        <f aca="false">ROUND(S78*T78,0)</f>
        <v>1826</v>
      </c>
      <c r="E78" s="54" t="n">
        <f aca="false">ROUND(S78,0)-D78</f>
        <v>3513</v>
      </c>
      <c r="F78" s="54" t="n">
        <f aca="false">IF(COUNTA(D78:E78)=0,"",SUM(D78:E78))</f>
        <v>5339</v>
      </c>
      <c r="G78" s="55" t="n">
        <f aca="false">IF(OR(F78="",F78=0),"",D78/F78)</f>
        <v>0.342011612661547</v>
      </c>
      <c r="H78" s="55" t="n">
        <f aca="false">IF(OR(F78="",F78=0),"",E78/F78)</f>
        <v>0.657988387338453</v>
      </c>
      <c r="I78" s="32" t="s">
        <v>130</v>
      </c>
      <c r="J78" s="36" t="n">
        <v>1.57729384625613</v>
      </c>
      <c r="K78" s="36" t="n">
        <f aca="false">$K$8</f>
        <v>1.8117300629046</v>
      </c>
      <c r="L78" s="36" t="n">
        <f aca="false">SQRT(J78^2+K78^2)</f>
        <v>2.40212857654826</v>
      </c>
      <c r="M78" s="55" t="n">
        <f aca="false">IF(G78="","",MAX(0,G78-1.96*L78/100))</f>
        <v>0.294929892561201</v>
      </c>
      <c r="N78" s="55" t="n">
        <f aca="false">IF(G78="","",MIN(1,G78+1.96*L78/100))</f>
        <v>0.389093332761893</v>
      </c>
      <c r="O78" s="54" t="n">
        <f aca="false">ROUND(S78*W78,0)</f>
        <v>294</v>
      </c>
      <c r="P78" s="54" t="n">
        <f aca="false">IF(F78="","",ROUND(SQRT((F78*L78/100)^2+(G78*O78)^2),0))</f>
        <v>163</v>
      </c>
      <c r="R78" s="56" t="n">
        <v>-8.01518754987538</v>
      </c>
      <c r="S78" s="57" t="n">
        <f aca="false">U78*V78*$F$5</f>
        <v>5339.13569131833</v>
      </c>
      <c r="T78" s="58" t="n">
        <f aca="false">MAX(0,MIN(1,R78/100+$D$5))</f>
        <v>0.341926371709475</v>
      </c>
      <c r="U78" s="58" t="n">
        <v>0.656720257234727</v>
      </c>
      <c r="V78" s="57" t="n">
        <v>8130</v>
      </c>
      <c r="W78" s="58" t="n">
        <v>0.0551273752894184</v>
      </c>
      <c r="X78" s="59" t="s">
        <v>152</v>
      </c>
      <c r="Y78" s="59" t="s">
        <v>132</v>
      </c>
    </row>
    <row r="79" customFormat="false" ht="15" hidden="false" customHeight="false" outlineLevel="0" collapsed="false">
      <c r="A79" s="32" t="s">
        <v>188</v>
      </c>
      <c r="B79" s="32" t="s">
        <v>203</v>
      </c>
      <c r="C79" s="32" t="s">
        <v>129</v>
      </c>
      <c r="D79" s="54" t="n">
        <f aca="false">ROUND(S79*T79,0)</f>
        <v>494</v>
      </c>
      <c r="E79" s="54" t="n">
        <f aca="false">ROUND(S79,0)-D79</f>
        <v>944</v>
      </c>
      <c r="F79" s="54" t="n">
        <f aca="false">IF(COUNTA(D79:E79)=0,"",SUM(D79:E79))</f>
        <v>1438</v>
      </c>
      <c r="G79" s="55" t="n">
        <f aca="false">IF(OR(F79="",F79=0),"",D79/F79)</f>
        <v>0.343532684283727</v>
      </c>
      <c r="H79" s="55" t="n">
        <f aca="false">IF(OR(F79="",F79=0),"",E79/F79)</f>
        <v>0.656467315716273</v>
      </c>
      <c r="I79" s="32" t="s">
        <v>130</v>
      </c>
      <c r="J79" s="36" t="n">
        <v>1.47263679776505</v>
      </c>
      <c r="K79" s="36" t="n">
        <f aca="false">$K$8</f>
        <v>1.8117300629046</v>
      </c>
      <c r="L79" s="36" t="n">
        <f aca="false">SQRT(J79^2+K79^2)</f>
        <v>2.33474301775677</v>
      </c>
      <c r="M79" s="55" t="n">
        <f aca="false">IF(G79="","",MAX(0,G79-1.96*L79/100))</f>
        <v>0.297771721135695</v>
      </c>
      <c r="N79" s="55" t="n">
        <f aca="false">IF(G79="","",MIN(1,G79+1.96*L79/100))</f>
        <v>0.38929364743176</v>
      </c>
      <c r="O79" s="54" t="n">
        <f aca="false">ROUND(S79*W79,0)</f>
        <v>87</v>
      </c>
      <c r="P79" s="54" t="n">
        <f aca="false">IF(F79="","",ROUND(SQRT((F79*L79/100)^2+(G79*O79)^2),0))</f>
        <v>45</v>
      </c>
      <c r="R79" s="56" t="n">
        <v>-7.87361569519703</v>
      </c>
      <c r="S79" s="57" t="n">
        <f aca="false">U79*V79*$F$5</f>
        <v>1437.5</v>
      </c>
      <c r="T79" s="58" t="n">
        <f aca="false">MAX(0,MIN(1,R79/100+$D$5))</f>
        <v>0.343342090256258</v>
      </c>
      <c r="U79" s="58" t="n">
        <v>0.625</v>
      </c>
      <c r="V79" s="57" t="n">
        <v>2300</v>
      </c>
      <c r="W79" s="58" t="n">
        <v>0.0606122259008943</v>
      </c>
      <c r="X79" s="59" t="s">
        <v>136</v>
      </c>
      <c r="Y79" s="59" t="s">
        <v>132</v>
      </c>
    </row>
    <row r="80" customFormat="false" ht="15" hidden="false" customHeight="false" outlineLevel="0" collapsed="false">
      <c r="A80" s="32" t="s">
        <v>188</v>
      </c>
      <c r="B80" s="32" t="s">
        <v>204</v>
      </c>
      <c r="C80" s="32" t="s">
        <v>129</v>
      </c>
      <c r="D80" s="54" t="n">
        <f aca="false">ROUND(S80*T80,0)</f>
        <v>1713</v>
      </c>
      <c r="E80" s="54" t="n">
        <f aca="false">ROUND(S80,0)-D80</f>
        <v>2009</v>
      </c>
      <c r="F80" s="54" t="n">
        <f aca="false">IF(COUNTA(D80:E80)=0,"",SUM(D80:E80))</f>
        <v>3722</v>
      </c>
      <c r="G80" s="55" t="n">
        <f aca="false">IF(OR(F80="",F80=0),"",D80/F80)</f>
        <v>0.460236432025793</v>
      </c>
      <c r="H80" s="55" t="n">
        <f aca="false">IF(OR(F80="",F80=0),"",E80/F80)</f>
        <v>0.539763567974207</v>
      </c>
      <c r="I80" s="32" t="s">
        <v>130</v>
      </c>
      <c r="J80" s="36" t="n">
        <v>1.57729384625613</v>
      </c>
      <c r="K80" s="36" t="n">
        <f aca="false">$K$8</f>
        <v>1.8117300629046</v>
      </c>
      <c r="L80" s="36" t="n">
        <f aca="false">SQRT(J80^2+K80^2)</f>
        <v>2.40212857654826</v>
      </c>
      <c r="M80" s="55" t="n">
        <f aca="false">IF(G80="","",MAX(0,G80-1.96*L80/100))</f>
        <v>0.413154711925447</v>
      </c>
      <c r="N80" s="55" t="n">
        <f aca="false">IF(G80="","",MIN(1,G80+1.96*L80/100))</f>
        <v>0.507318152126138</v>
      </c>
      <c r="O80" s="54" t="n">
        <f aca="false">ROUND(S80*W80,0)</f>
        <v>205</v>
      </c>
      <c r="P80" s="54" t="n">
        <f aca="false">IF(F80="","",ROUND(SQRT((F80*L80/100)^2+(G80*O80)^2),0))</f>
        <v>130</v>
      </c>
      <c r="R80" s="56" t="n">
        <v>3.81590703213388</v>
      </c>
      <c r="S80" s="57" t="n">
        <f aca="false">U80*V80*$F$5</f>
        <v>3721.57991120977</v>
      </c>
      <c r="T80" s="58" t="n">
        <f aca="false">MAX(0,MIN(1,R80/100+$D$5))</f>
        <v>0.460237317529567</v>
      </c>
      <c r="U80" s="58" t="n">
        <v>0.684239733629301</v>
      </c>
      <c r="V80" s="57" t="n">
        <v>5439</v>
      </c>
      <c r="W80" s="58" t="n">
        <v>0.0551273752894184</v>
      </c>
      <c r="X80" s="59" t="s">
        <v>152</v>
      </c>
      <c r="Y80" s="59" t="s">
        <v>132</v>
      </c>
    </row>
    <row r="81" customFormat="false" ht="15" hidden="false" customHeight="false" outlineLevel="0" collapsed="false">
      <c r="A81" s="32" t="s">
        <v>188</v>
      </c>
      <c r="B81" s="32" t="s">
        <v>205</v>
      </c>
      <c r="C81" s="32" t="s">
        <v>129</v>
      </c>
      <c r="D81" s="54" t="n">
        <f aca="false">ROUND(S81*T81,0)</f>
        <v>2882</v>
      </c>
      <c r="E81" s="54" t="n">
        <f aca="false">ROUND(S81,0)-D81</f>
        <v>3042</v>
      </c>
      <c r="F81" s="54" t="n">
        <f aca="false">IF(COUNTA(D81:E81)=0,"",SUM(D81:E81))</f>
        <v>5924</v>
      </c>
      <c r="G81" s="55" t="n">
        <f aca="false">IF(OR(F81="",F81=0),"",D81/F81)</f>
        <v>0.486495611073599</v>
      </c>
      <c r="H81" s="55" t="n">
        <f aca="false">IF(OR(F81="",F81=0),"",E81/F81)</f>
        <v>0.513504388926401</v>
      </c>
      <c r="I81" s="32" t="s">
        <v>130</v>
      </c>
      <c r="J81" s="36" t="n">
        <v>1.57729384625613</v>
      </c>
      <c r="K81" s="36" t="n">
        <f aca="false">$K$8</f>
        <v>1.8117300629046</v>
      </c>
      <c r="L81" s="36" t="n">
        <f aca="false">SQRT(J81^2+K81^2)</f>
        <v>2.40212857654826</v>
      </c>
      <c r="M81" s="55" t="n">
        <f aca="false">IF(G81="","",MAX(0,G81-1.96*L81/100))</f>
        <v>0.439413890973253</v>
      </c>
      <c r="N81" s="55" t="n">
        <f aca="false">IF(G81="","",MIN(1,G81+1.96*L81/100))</f>
        <v>0.533577331173945</v>
      </c>
      <c r="O81" s="54" t="n">
        <f aca="false">ROUND(S81*W81,0)</f>
        <v>327</v>
      </c>
      <c r="P81" s="54" t="n">
        <f aca="false">IF(F81="","",ROUND(SQRT((F81*L81/100)^2+(G81*O81)^2),0))</f>
        <v>213</v>
      </c>
      <c r="R81" s="56" t="n">
        <v>6.44538763492864</v>
      </c>
      <c r="S81" s="57" t="n">
        <f aca="false">U81*V81*$F$5</f>
        <v>5924.29823361823</v>
      </c>
      <c r="T81" s="58" t="n">
        <f aca="false">MAX(0,MIN(1,R81/100+$D$5))</f>
        <v>0.486532123557515</v>
      </c>
      <c r="U81" s="58" t="n">
        <v>0.675441595441595</v>
      </c>
      <c r="V81" s="57" t="n">
        <v>8771</v>
      </c>
      <c r="W81" s="58" t="n">
        <v>0.0551273752894184</v>
      </c>
      <c r="X81" s="59" t="s">
        <v>152</v>
      </c>
      <c r="Y81" s="59" t="s">
        <v>132</v>
      </c>
    </row>
    <row r="82" customFormat="false" ht="15" hidden="false" customHeight="false" outlineLevel="0" collapsed="false">
      <c r="A82" s="32" t="s">
        <v>188</v>
      </c>
      <c r="B82" s="32" t="s">
        <v>206</v>
      </c>
      <c r="C82" s="32" t="s">
        <v>129</v>
      </c>
      <c r="D82" s="54" t="n">
        <f aca="false">ROUND(S82*T82,0)</f>
        <v>1626</v>
      </c>
      <c r="E82" s="54" t="n">
        <f aca="false">ROUND(S82,0)-D82</f>
        <v>3222</v>
      </c>
      <c r="F82" s="54" t="n">
        <f aca="false">IF(COUNTA(D82:E82)=0,"",SUM(D82:E82))</f>
        <v>4848</v>
      </c>
      <c r="G82" s="55" t="n">
        <f aca="false">IF(OR(F82="",F82=0),"",D82/F82)</f>
        <v>0.33539603960396</v>
      </c>
      <c r="H82" s="55" t="n">
        <f aca="false">IF(OR(F82="",F82=0),"",E82/F82)</f>
        <v>0.66460396039604</v>
      </c>
      <c r="I82" s="32" t="s">
        <v>130</v>
      </c>
      <c r="J82" s="36" t="n">
        <v>1.57729384625613</v>
      </c>
      <c r="K82" s="36" t="n">
        <f aca="false">$K$8</f>
        <v>1.8117300629046</v>
      </c>
      <c r="L82" s="36" t="n">
        <f aca="false">SQRT(J82^2+K82^2)</f>
        <v>2.40212857654826</v>
      </c>
      <c r="M82" s="55" t="n">
        <f aca="false">IF(G82="","",MAX(0,G82-1.96*L82/100))</f>
        <v>0.288314319503615</v>
      </c>
      <c r="N82" s="55" t="n">
        <f aca="false">IF(G82="","",MIN(1,G82+1.96*L82/100))</f>
        <v>0.382477759704306</v>
      </c>
      <c r="O82" s="54" t="n">
        <f aca="false">ROUND(S82*W82,0)</f>
        <v>267</v>
      </c>
      <c r="P82" s="54" t="n">
        <f aca="false">IF(F82="","",ROUND(SQRT((F82*L82/100)^2+(G82*O82)^2),0))</f>
        <v>147</v>
      </c>
      <c r="R82" s="56" t="n">
        <v>-8.67868882445952</v>
      </c>
      <c r="S82" s="57" t="n">
        <f aca="false">U82*V82*$F$5</f>
        <v>4848.29721362229</v>
      </c>
      <c r="T82" s="58" t="n">
        <f aca="false">MAX(0,MIN(1,R82/100+$D$5))</f>
        <v>0.335291358963633</v>
      </c>
      <c r="U82" s="58" t="n">
        <v>0.668730650154799</v>
      </c>
      <c r="V82" s="57" t="n">
        <v>7250</v>
      </c>
      <c r="W82" s="58" t="n">
        <v>0.0551273752894184</v>
      </c>
      <c r="X82" s="59" t="s">
        <v>152</v>
      </c>
      <c r="Y82" s="59" t="s">
        <v>132</v>
      </c>
    </row>
    <row r="83" customFormat="false" ht="15" hidden="false" customHeight="false" outlineLevel="0" collapsed="false">
      <c r="A83" s="32" t="s">
        <v>188</v>
      </c>
      <c r="B83" s="32" t="s">
        <v>207</v>
      </c>
      <c r="C83" s="32" t="s">
        <v>129</v>
      </c>
      <c r="D83" s="54" t="n">
        <f aca="false">ROUND(S83*T83,0)</f>
        <v>1237</v>
      </c>
      <c r="E83" s="54" t="n">
        <f aca="false">ROUND(S83,0)-D83</f>
        <v>1278</v>
      </c>
      <c r="F83" s="54" t="n">
        <f aca="false">IF(COUNTA(D83:E83)=0,"",SUM(D83:E83))</f>
        <v>2515</v>
      </c>
      <c r="G83" s="55" t="n">
        <f aca="false">IF(OR(F83="",F83=0),"",D83/F83)</f>
        <v>0.491848906560636</v>
      </c>
      <c r="H83" s="55" t="n">
        <f aca="false">IF(OR(F83="",F83=0),"",E83/F83)</f>
        <v>0.508151093439364</v>
      </c>
      <c r="I83" s="32" t="s">
        <v>130</v>
      </c>
      <c r="J83" s="36" t="n">
        <v>1.47263679776505</v>
      </c>
      <c r="K83" s="36" t="n">
        <f aca="false">$K$8</f>
        <v>1.8117300629046</v>
      </c>
      <c r="L83" s="36" t="n">
        <f aca="false">SQRT(J83^2+K83^2)</f>
        <v>2.33474301775677</v>
      </c>
      <c r="M83" s="55" t="n">
        <f aca="false">IF(G83="","",MAX(0,G83-1.96*L83/100))</f>
        <v>0.446087943412603</v>
      </c>
      <c r="N83" s="55" t="n">
        <f aca="false">IF(G83="","",MIN(1,G83+1.96*L83/100))</f>
        <v>0.537609869708669</v>
      </c>
      <c r="O83" s="54" t="n">
        <f aca="false">ROUND(S83*W83,0)</f>
        <v>152</v>
      </c>
      <c r="P83" s="54" t="n">
        <f aca="false">IF(F83="","",ROUND(SQRT((F83*L83/100)^2+(G83*O83)^2),0))</f>
        <v>95</v>
      </c>
      <c r="R83" s="56" t="n">
        <v>6.99049659389318</v>
      </c>
      <c r="S83" s="57" t="n">
        <f aca="false">U83*V83*$F$5</f>
        <v>2514.75925477861</v>
      </c>
      <c r="T83" s="58" t="n">
        <f aca="false">MAX(0,MIN(1,R83/100+$D$5))</f>
        <v>0.49198321314716</v>
      </c>
      <c r="U83" s="58" t="n">
        <v>0.595209291071861</v>
      </c>
      <c r="V83" s="57" t="n">
        <v>4225</v>
      </c>
      <c r="W83" s="58" t="n">
        <v>0.0606122259008943</v>
      </c>
      <c r="X83" s="59" t="s">
        <v>136</v>
      </c>
      <c r="Y83" s="59" t="s">
        <v>132</v>
      </c>
    </row>
    <row r="84" customFormat="false" ht="15" hidden="false" customHeight="false" outlineLevel="0" collapsed="false">
      <c r="A84" s="32" t="s">
        <v>188</v>
      </c>
      <c r="B84" s="32" t="s">
        <v>208</v>
      </c>
      <c r="C84" s="32" t="s">
        <v>129</v>
      </c>
      <c r="D84" s="54" t="n">
        <f aca="false">ROUND(S84*T84,0)</f>
        <v>708</v>
      </c>
      <c r="E84" s="54" t="n">
        <f aca="false">ROUND(S84,0)-D84</f>
        <v>720</v>
      </c>
      <c r="F84" s="54" t="n">
        <f aca="false">IF(COUNTA(D84:E84)=0,"",SUM(D84:E84))</f>
        <v>1428</v>
      </c>
      <c r="G84" s="55" t="n">
        <f aca="false">IF(OR(F84="",F84=0),"",D84/F84)</f>
        <v>0.495798319327731</v>
      </c>
      <c r="H84" s="55" t="n">
        <f aca="false">IF(OR(F84="",F84=0),"",E84/F84)</f>
        <v>0.504201680672269</v>
      </c>
      <c r="I84" s="32" t="s">
        <v>130</v>
      </c>
      <c r="J84" s="36" t="n">
        <v>1.47263679776505</v>
      </c>
      <c r="K84" s="36" t="n">
        <f aca="false">$K$8</f>
        <v>1.8117300629046</v>
      </c>
      <c r="L84" s="36" t="n">
        <f aca="false">SQRT(J84^2+K84^2)</f>
        <v>2.33474301775677</v>
      </c>
      <c r="M84" s="55" t="n">
        <f aca="false">IF(G84="","",MAX(0,G84-1.96*L84/100))</f>
        <v>0.450037356179698</v>
      </c>
      <c r="N84" s="55" t="n">
        <f aca="false">IF(G84="","",MIN(1,G84+1.96*L84/100))</f>
        <v>0.541559282475764</v>
      </c>
      <c r="O84" s="54" t="n">
        <f aca="false">ROUND(S84*W84,0)</f>
        <v>87</v>
      </c>
      <c r="P84" s="54" t="n">
        <f aca="false">IF(F84="","",ROUND(SQRT((F84*L84/100)^2+(G84*O84)^2),0))</f>
        <v>55</v>
      </c>
      <c r="R84" s="56" t="n">
        <v>7.39907611871043</v>
      </c>
      <c r="S84" s="57" t="n">
        <f aca="false">U84*V84*$F$5</f>
        <v>1427.54656265236</v>
      </c>
      <c r="T84" s="58" t="n">
        <f aca="false">MAX(0,MIN(1,R84/100+$D$5))</f>
        <v>0.496069008395333</v>
      </c>
      <c r="U84" s="58" t="n">
        <v>0.623110677718186</v>
      </c>
      <c r="V84" s="57" t="n">
        <v>2291</v>
      </c>
      <c r="W84" s="58" t="n">
        <v>0.0606122259008943</v>
      </c>
      <c r="X84" s="59" t="s">
        <v>136</v>
      </c>
      <c r="Y84" s="59" t="s">
        <v>132</v>
      </c>
    </row>
    <row r="85" customFormat="false" ht="15" hidden="false" customHeight="false" outlineLevel="0" collapsed="false">
      <c r="A85" s="32" t="s">
        <v>188</v>
      </c>
      <c r="B85" s="32" t="s">
        <v>209</v>
      </c>
      <c r="C85" s="32" t="s">
        <v>129</v>
      </c>
      <c r="D85" s="54" t="n">
        <f aca="false">ROUND(S85*T85,0)</f>
        <v>1971</v>
      </c>
      <c r="E85" s="54" t="n">
        <f aca="false">ROUND(S85,0)-D85</f>
        <v>2193</v>
      </c>
      <c r="F85" s="54" t="n">
        <f aca="false">IF(COUNTA(D85:E85)=0,"",SUM(D85:E85))</f>
        <v>4164</v>
      </c>
      <c r="G85" s="55" t="n">
        <f aca="false">IF(OR(F85="",F85=0),"",D85/F85)</f>
        <v>0.473342939481268</v>
      </c>
      <c r="H85" s="55" t="n">
        <f aca="false">IF(OR(F85="",F85=0),"",E85/F85)</f>
        <v>0.526657060518732</v>
      </c>
      <c r="I85" s="32" t="s">
        <v>130</v>
      </c>
      <c r="J85" s="36" t="n">
        <v>1.57729384625613</v>
      </c>
      <c r="K85" s="36" t="n">
        <f aca="false">$K$8</f>
        <v>1.8117300629046</v>
      </c>
      <c r="L85" s="36" t="n">
        <f aca="false">SQRT(J85^2+K85^2)</f>
        <v>2.40212857654826</v>
      </c>
      <c r="M85" s="55" t="n">
        <f aca="false">IF(G85="","",MAX(0,G85-1.96*L85/100))</f>
        <v>0.426261219380922</v>
      </c>
      <c r="N85" s="55" t="n">
        <f aca="false">IF(G85="","",MIN(1,G85+1.96*L85/100))</f>
        <v>0.520424659581614</v>
      </c>
      <c r="O85" s="54" t="n">
        <f aca="false">ROUND(S85*W85,0)</f>
        <v>230</v>
      </c>
      <c r="P85" s="54" t="n">
        <f aca="false">IF(F85="","",ROUND(SQRT((F85*L85/100)^2+(G85*O85)^2),0))</f>
        <v>148</v>
      </c>
      <c r="R85" s="56" t="n">
        <v>5.11667900301373</v>
      </c>
      <c r="S85" s="57" t="n">
        <f aca="false">U85*V85*$F$5</f>
        <v>4163.88109359178</v>
      </c>
      <c r="T85" s="58" t="n">
        <f aca="false">MAX(0,MIN(1,R85/100+$D$5))</f>
        <v>0.473245037238366</v>
      </c>
      <c r="U85" s="58" t="n">
        <v>0.568060176479097</v>
      </c>
      <c r="V85" s="57" t="n">
        <v>7330</v>
      </c>
      <c r="W85" s="58" t="n">
        <v>0.0551273752894184</v>
      </c>
      <c r="X85" s="59" t="s">
        <v>152</v>
      </c>
      <c r="Y85" s="59" t="s">
        <v>132</v>
      </c>
    </row>
    <row r="86" customFormat="false" ht="15" hidden="false" customHeight="false" outlineLevel="0" collapsed="false">
      <c r="A86" s="32" t="s">
        <v>188</v>
      </c>
      <c r="B86" s="32" t="s">
        <v>210</v>
      </c>
      <c r="C86" s="32" t="s">
        <v>129</v>
      </c>
      <c r="D86" s="54" t="n">
        <f aca="false">ROUND(S86*T86,0)</f>
        <v>5467</v>
      </c>
      <c r="E86" s="54" t="n">
        <f aca="false">ROUND(S86,0)-D86</f>
        <v>5190</v>
      </c>
      <c r="F86" s="54" t="n">
        <f aca="false">IF(COUNTA(D86:E86)=0,"",SUM(D86:E86))</f>
        <v>10657</v>
      </c>
      <c r="G86" s="55" t="n">
        <f aca="false">IF(OR(F86="",F86=0),"",D86/F86)</f>
        <v>0.512996152763442</v>
      </c>
      <c r="H86" s="55" t="n">
        <f aca="false">IF(OR(F86="",F86=0),"",E86/F86)</f>
        <v>0.487003847236558</v>
      </c>
      <c r="I86" s="32" t="s">
        <v>130</v>
      </c>
      <c r="J86" s="36" t="n">
        <v>1.57729384625613</v>
      </c>
      <c r="K86" s="36" t="n">
        <f aca="false">$K$8</f>
        <v>1.8117300629046</v>
      </c>
      <c r="L86" s="36" t="n">
        <f aca="false">SQRT(J86^2+K86^2)</f>
        <v>2.40212857654826</v>
      </c>
      <c r="M86" s="55" t="n">
        <f aca="false">IF(G86="","",MAX(0,G86-1.96*L86/100))</f>
        <v>0.465914432663096</v>
      </c>
      <c r="N86" s="55" t="n">
        <f aca="false">IF(G86="","",MIN(1,G86+1.96*L86/100))</f>
        <v>0.560077872863788</v>
      </c>
      <c r="O86" s="54" t="n">
        <f aca="false">ROUND(S86*W86,0)</f>
        <v>587</v>
      </c>
      <c r="P86" s="54" t="n">
        <f aca="false">IF(F86="","",ROUND(SQRT((F86*L86/100)^2+(G86*O86)^2),0))</f>
        <v>395</v>
      </c>
      <c r="R86" s="56" t="n">
        <v>9.09193512515651</v>
      </c>
      <c r="S86" s="57" t="n">
        <f aca="false">U86*V86*$F$5</f>
        <v>10656.5050635134</v>
      </c>
      <c r="T86" s="58" t="n">
        <f aca="false">MAX(0,MIN(1,R86/100+$D$5))</f>
        <v>0.512997598459793</v>
      </c>
      <c r="U86" s="58" t="n">
        <v>0.603699584382134</v>
      </c>
      <c r="V86" s="57" t="n">
        <v>17652</v>
      </c>
      <c r="W86" s="58" t="n">
        <v>0.0551273752894184</v>
      </c>
      <c r="X86" s="59" t="s">
        <v>152</v>
      </c>
      <c r="Y86" s="59" t="s">
        <v>132</v>
      </c>
    </row>
    <row r="87" customFormat="false" ht="15" hidden="false" customHeight="false" outlineLevel="0" collapsed="false">
      <c r="A87" s="32" t="s">
        <v>188</v>
      </c>
      <c r="B87" s="32" t="s">
        <v>211</v>
      </c>
      <c r="C87" s="32" t="s">
        <v>129</v>
      </c>
      <c r="D87" s="54" t="n">
        <f aca="false">ROUND(S87*T87,0)</f>
        <v>506</v>
      </c>
      <c r="E87" s="54" t="n">
        <f aca="false">ROUND(S87,0)-D87</f>
        <v>856</v>
      </c>
      <c r="F87" s="54" t="n">
        <f aca="false">IF(COUNTA(D87:E87)=0,"",SUM(D87:E87))</f>
        <v>1362</v>
      </c>
      <c r="G87" s="55" t="n">
        <f aca="false">IF(OR(F87="",F87=0),"",D87/F87)</f>
        <v>0.37151248164464</v>
      </c>
      <c r="H87" s="55" t="n">
        <f aca="false">IF(OR(F87="",F87=0),"",E87/F87)</f>
        <v>0.62848751835536</v>
      </c>
      <c r="I87" s="32" t="s">
        <v>130</v>
      </c>
      <c r="J87" s="36" t="n">
        <v>1.47263679776505</v>
      </c>
      <c r="K87" s="36" t="n">
        <f aca="false">$K$8</f>
        <v>1.8117300629046</v>
      </c>
      <c r="L87" s="36" t="n">
        <f aca="false">SQRT(J87^2+K87^2)</f>
        <v>2.33474301775677</v>
      </c>
      <c r="M87" s="55" t="n">
        <f aca="false">IF(G87="","",MAX(0,G87-1.96*L87/100))</f>
        <v>0.325751518496608</v>
      </c>
      <c r="N87" s="55" t="n">
        <f aca="false">IF(G87="","",MIN(1,G87+1.96*L87/100))</f>
        <v>0.417273444792673</v>
      </c>
      <c r="O87" s="54" t="n">
        <f aca="false">ROUND(S87*W87,0)</f>
        <v>83</v>
      </c>
      <c r="P87" s="54" t="n">
        <f aca="false">IF(F87="","",ROUND(SQRT((F87*L87/100)^2+(G87*O87)^2),0))</f>
        <v>44</v>
      </c>
      <c r="R87" s="56" t="n">
        <v>-5.08399089821149</v>
      </c>
      <c r="S87" s="57" t="n">
        <f aca="false">U87*V87*$F$5</f>
        <v>1362.06750324535</v>
      </c>
      <c r="T87" s="58" t="n">
        <f aca="false">MAX(0,MIN(1,R87/100+$D$5))</f>
        <v>0.371238338226114</v>
      </c>
      <c r="U87" s="58" t="n">
        <v>0.55776720034617</v>
      </c>
      <c r="V87" s="57" t="n">
        <v>2442</v>
      </c>
      <c r="W87" s="58" t="n">
        <v>0.0606122259008943</v>
      </c>
      <c r="X87" s="59" t="s">
        <v>136</v>
      </c>
      <c r="Y87" s="59" t="s">
        <v>132</v>
      </c>
    </row>
    <row r="88" customFormat="false" ht="15" hidden="false" customHeight="false" outlineLevel="0" collapsed="false">
      <c r="A88" s="32" t="s">
        <v>188</v>
      </c>
      <c r="B88" s="32" t="s">
        <v>212</v>
      </c>
      <c r="C88" s="32" t="s">
        <v>129</v>
      </c>
      <c r="D88" s="54" t="n">
        <f aca="false">ROUND(S88*T88,0)</f>
        <v>1063</v>
      </c>
      <c r="E88" s="54" t="n">
        <f aca="false">ROUND(S88,0)-D88</f>
        <v>2058</v>
      </c>
      <c r="F88" s="54" t="n">
        <f aca="false">IF(COUNTA(D88:E88)=0,"",SUM(D88:E88))</f>
        <v>3121</v>
      </c>
      <c r="G88" s="55" t="n">
        <f aca="false">IF(OR(F88="",F88=0),"",D88/F88)</f>
        <v>0.340595962832426</v>
      </c>
      <c r="H88" s="55" t="n">
        <f aca="false">IF(OR(F88="",F88=0),"",E88/F88)</f>
        <v>0.659404037167575</v>
      </c>
      <c r="I88" s="32" t="s">
        <v>130</v>
      </c>
      <c r="J88" s="36" t="n">
        <v>1.57729384625613</v>
      </c>
      <c r="K88" s="36" t="n">
        <f aca="false">$K$8</f>
        <v>1.8117300629046</v>
      </c>
      <c r="L88" s="36" t="n">
        <f aca="false">SQRT(J88^2+K88^2)</f>
        <v>2.40212857654826</v>
      </c>
      <c r="M88" s="55" t="n">
        <f aca="false">IF(G88="","",MAX(0,G88-1.96*L88/100))</f>
        <v>0.29351424273208</v>
      </c>
      <c r="N88" s="55" t="n">
        <f aca="false">IF(G88="","",MIN(1,G88+1.96*L88/100))</f>
        <v>0.387677682932771</v>
      </c>
      <c r="O88" s="54" t="n">
        <f aca="false">ROUND(S88*W88,0)</f>
        <v>172</v>
      </c>
      <c r="P88" s="54" t="n">
        <f aca="false">IF(F88="","",ROUND(SQRT((F88*L88/100)^2+(G88*O88)^2),0))</f>
        <v>95</v>
      </c>
      <c r="R88" s="56" t="n">
        <v>-8.14214519666027</v>
      </c>
      <c r="S88" s="57" t="n">
        <f aca="false">U88*V88*$F$5</f>
        <v>3121.34219409283</v>
      </c>
      <c r="T88" s="58" t="n">
        <f aca="false">MAX(0,MIN(1,R88/100+$D$5))</f>
        <v>0.340656795241626</v>
      </c>
      <c r="U88" s="58" t="n">
        <v>0.648523206751055</v>
      </c>
      <c r="V88" s="57" t="n">
        <v>4813</v>
      </c>
      <c r="W88" s="58" t="n">
        <v>0.0551273752894184</v>
      </c>
      <c r="X88" s="59" t="s">
        <v>152</v>
      </c>
      <c r="Y88" s="59" t="s">
        <v>132</v>
      </c>
    </row>
    <row r="89" customFormat="false" ht="15" hidden="false" customHeight="false" outlineLevel="0" collapsed="false">
      <c r="A89" s="32" t="s">
        <v>188</v>
      </c>
      <c r="B89" s="32" t="s">
        <v>213</v>
      </c>
      <c r="C89" s="32" t="s">
        <v>129</v>
      </c>
      <c r="D89" s="54" t="n">
        <f aca="false">ROUND(S89*T89,0)</f>
        <v>69</v>
      </c>
      <c r="E89" s="54" t="n">
        <f aca="false">ROUND(S89,0)-D89</f>
        <v>127</v>
      </c>
      <c r="F89" s="54" t="n">
        <f aca="false">IF(COUNTA(D89:E89)=0,"",SUM(D89:E89))</f>
        <v>196</v>
      </c>
      <c r="G89" s="55" t="n">
        <f aca="false">IF(OR(F89="",F89=0),"",D89/F89)</f>
        <v>0.352040816326531</v>
      </c>
      <c r="H89" s="55" t="n">
        <f aca="false">IF(OR(F89="",F89=0),"",E89/F89)</f>
        <v>0.647959183673469</v>
      </c>
      <c r="I89" s="32" t="s">
        <v>130</v>
      </c>
      <c r="J89" s="36" t="n">
        <v>2.8276384769087</v>
      </c>
      <c r="K89" s="36" t="n">
        <f aca="false">$K$8</f>
        <v>1.8117300629046</v>
      </c>
      <c r="L89" s="36" t="n">
        <f aca="false">SQRT(J89^2+K89^2)</f>
        <v>3.35825924802223</v>
      </c>
      <c r="M89" s="55" t="n">
        <f aca="false">IF(G89="","",MAX(0,G89-1.96*L89/100))</f>
        <v>0.286218935065295</v>
      </c>
      <c r="N89" s="55" t="n">
        <f aca="false">IF(G89="","",MIN(1,G89+1.96*L89/100))</f>
        <v>0.417862697587766</v>
      </c>
      <c r="O89" s="54" t="n">
        <f aca="false">ROUND(S89*W89,0)</f>
        <v>15</v>
      </c>
      <c r="P89" s="54" t="n">
        <f aca="false">IF(F89="","",ROUND(SQRT((F89*L89/100)^2+(G89*O89)^2),0))</f>
        <v>8</v>
      </c>
      <c r="R89" s="56" t="n">
        <v>-6.99626595216425</v>
      </c>
      <c r="S89" s="57" t="n">
        <f aca="false">U89*V89*$F$5</f>
        <v>196.10298102981</v>
      </c>
      <c r="T89" s="58" t="n">
        <f aca="false">MAX(0,MIN(1,R89/100+$D$5))</f>
        <v>0.352115587686586</v>
      </c>
      <c r="U89" s="58" t="n">
        <v>0.525745257452575</v>
      </c>
      <c r="V89" s="57" t="n">
        <v>373</v>
      </c>
      <c r="W89" s="58" t="n">
        <v>0.0777040344688333</v>
      </c>
      <c r="X89" s="59" t="s">
        <v>131</v>
      </c>
      <c r="Y89" s="59" t="s">
        <v>132</v>
      </c>
    </row>
    <row r="90" customFormat="false" ht="15" hidden="false" customHeight="false" outlineLevel="0" collapsed="false">
      <c r="A90" s="32" t="s">
        <v>188</v>
      </c>
      <c r="B90" s="32" t="s">
        <v>214</v>
      </c>
      <c r="C90" s="32" t="s">
        <v>129</v>
      </c>
      <c r="D90" s="54" t="n">
        <f aca="false">ROUND(S90*T90,0)</f>
        <v>255</v>
      </c>
      <c r="E90" s="54" t="n">
        <f aca="false">ROUND(S90,0)-D90</f>
        <v>429</v>
      </c>
      <c r="F90" s="54" t="n">
        <f aca="false">IF(COUNTA(D90:E90)=0,"",SUM(D90:E90))</f>
        <v>684</v>
      </c>
      <c r="G90" s="55" t="n">
        <f aca="false">IF(OR(F90="",F90=0),"",D90/F90)</f>
        <v>0.37280701754386</v>
      </c>
      <c r="H90" s="55" t="n">
        <f aca="false">IF(OR(F90="",F90=0),"",E90/F90)</f>
        <v>0.62719298245614</v>
      </c>
      <c r="I90" s="32" t="s">
        <v>130</v>
      </c>
      <c r="J90" s="36" t="n">
        <v>2.8276384769087</v>
      </c>
      <c r="K90" s="36" t="n">
        <f aca="false">$K$8</f>
        <v>1.8117300629046</v>
      </c>
      <c r="L90" s="36" t="n">
        <f aca="false">SQRT(J90^2+K90^2)</f>
        <v>3.35825924802223</v>
      </c>
      <c r="M90" s="55" t="n">
        <f aca="false">IF(G90="","",MAX(0,G90-1.96*L90/100))</f>
        <v>0.306985136282624</v>
      </c>
      <c r="N90" s="55" t="n">
        <f aca="false">IF(G90="","",MIN(1,G90+1.96*L90/100))</f>
        <v>0.438628898805095</v>
      </c>
      <c r="O90" s="54" t="n">
        <f aca="false">ROUND(S90*W90,0)</f>
        <v>53</v>
      </c>
      <c r="P90" s="54" t="n">
        <f aca="false">IF(F90="","",ROUND(SQRT((F90*L90/100)^2+(G90*O90)^2),0))</f>
        <v>30</v>
      </c>
      <c r="R90" s="56" t="n">
        <v>-4.86924958037986</v>
      </c>
      <c r="S90" s="57" t="n">
        <f aca="false">U90*V90*$F$5</f>
        <v>683.952941176471</v>
      </c>
      <c r="T90" s="58" t="n">
        <f aca="false">MAX(0,MIN(1,R90/100+$D$5))</f>
        <v>0.37338575140443</v>
      </c>
      <c r="U90" s="58" t="n">
        <v>0.568067226890756</v>
      </c>
      <c r="V90" s="57" t="n">
        <v>1204</v>
      </c>
      <c r="W90" s="58" t="n">
        <v>0.0777040344688333</v>
      </c>
      <c r="X90" s="59" t="s">
        <v>131</v>
      </c>
      <c r="Y90" s="59" t="s">
        <v>132</v>
      </c>
    </row>
    <row r="91" customFormat="false" ht="15" hidden="false" customHeight="false" outlineLevel="0" collapsed="false">
      <c r="A91" s="32" t="s">
        <v>188</v>
      </c>
      <c r="B91" s="32" t="s">
        <v>215</v>
      </c>
      <c r="C91" s="32" t="s">
        <v>129</v>
      </c>
      <c r="D91" s="54" t="n">
        <f aca="false">ROUND(S91*T91,0)</f>
        <v>161</v>
      </c>
      <c r="E91" s="54" t="n">
        <f aca="false">ROUND(S91,0)-D91</f>
        <v>228</v>
      </c>
      <c r="F91" s="54" t="n">
        <f aca="false">IF(COUNTA(D91:E91)=0,"",SUM(D91:E91))</f>
        <v>389</v>
      </c>
      <c r="G91" s="55" t="n">
        <f aca="false">IF(OR(F91="",F91=0),"",D91/F91)</f>
        <v>0.413881748071979</v>
      </c>
      <c r="H91" s="55" t="n">
        <f aca="false">IF(OR(F91="",F91=0),"",E91/F91)</f>
        <v>0.586118251928021</v>
      </c>
      <c r="I91" s="32" t="s">
        <v>130</v>
      </c>
      <c r="J91" s="36" t="n">
        <v>2.8276384769087</v>
      </c>
      <c r="K91" s="36" t="n">
        <f aca="false">$K$8</f>
        <v>1.8117300629046</v>
      </c>
      <c r="L91" s="36" t="n">
        <f aca="false">SQRT(J91^2+K91^2)</f>
        <v>3.35825924802223</v>
      </c>
      <c r="M91" s="55" t="n">
        <f aca="false">IF(G91="","",MAX(0,G91-1.96*L91/100))</f>
        <v>0.348059866810744</v>
      </c>
      <c r="N91" s="55" t="n">
        <f aca="false">IF(G91="","",MIN(1,G91+1.96*L91/100))</f>
        <v>0.479703629333215</v>
      </c>
      <c r="O91" s="54" t="n">
        <f aca="false">ROUND(S91*W91,0)</f>
        <v>30</v>
      </c>
      <c r="P91" s="54" t="n">
        <f aca="false">IF(F91="","",ROUND(SQRT((F91*L91/100)^2+(G91*O91)^2),0))</f>
        <v>18</v>
      </c>
      <c r="R91" s="56" t="n">
        <v>-0.927590273673216</v>
      </c>
      <c r="S91" s="57" t="n">
        <f aca="false">U91*V91*$F$5</f>
        <v>388.819749216301</v>
      </c>
      <c r="T91" s="58" t="n">
        <f aca="false">MAX(0,MIN(1,R91/100+$D$5))</f>
        <v>0.412802344471496</v>
      </c>
      <c r="U91" s="58" t="n">
        <v>0.606583072100314</v>
      </c>
      <c r="V91" s="57" t="n">
        <v>641</v>
      </c>
      <c r="W91" s="58" t="n">
        <v>0.0777040344688333</v>
      </c>
      <c r="X91" s="59" t="s">
        <v>131</v>
      </c>
      <c r="Y91" s="59" t="s">
        <v>132</v>
      </c>
    </row>
    <row r="92" customFormat="false" ht="15" hidden="false" customHeight="false" outlineLevel="0" collapsed="false">
      <c r="A92" s="32" t="s">
        <v>188</v>
      </c>
      <c r="B92" s="32" t="s">
        <v>216</v>
      </c>
      <c r="C92" s="32" t="s">
        <v>129</v>
      </c>
      <c r="D92" s="54" t="n">
        <f aca="false">ROUND(S92*T92,0)</f>
        <v>255</v>
      </c>
      <c r="E92" s="54" t="n">
        <f aca="false">ROUND(S92,0)-D92</f>
        <v>347</v>
      </c>
      <c r="F92" s="54" t="n">
        <f aca="false">IF(COUNTA(D92:E92)=0,"",SUM(D92:E92))</f>
        <v>602</v>
      </c>
      <c r="G92" s="55" t="n">
        <f aca="false">IF(OR(F92="",F92=0),"",D92/F92)</f>
        <v>0.42358803986711</v>
      </c>
      <c r="H92" s="55" t="n">
        <f aca="false">IF(OR(F92="",F92=0),"",E92/F92)</f>
        <v>0.57641196013289</v>
      </c>
      <c r="I92" s="32" t="s">
        <v>130</v>
      </c>
      <c r="J92" s="36" t="n">
        <v>2.8276384769087</v>
      </c>
      <c r="K92" s="36" t="n">
        <f aca="false">$K$8</f>
        <v>1.8117300629046</v>
      </c>
      <c r="L92" s="36" t="n">
        <f aca="false">SQRT(J92^2+K92^2)</f>
        <v>3.35825924802223</v>
      </c>
      <c r="M92" s="55" t="n">
        <f aca="false">IF(G92="","",MAX(0,G92-1.96*L92/100))</f>
        <v>0.357766158605874</v>
      </c>
      <c r="N92" s="55" t="n">
        <f aca="false">IF(G92="","",MIN(1,G92+1.96*L92/100))</f>
        <v>0.489409921128345</v>
      </c>
      <c r="O92" s="54" t="n">
        <f aca="false">ROUND(S92*W92,0)</f>
        <v>47</v>
      </c>
      <c r="P92" s="54" t="n">
        <f aca="false">IF(F92="","",ROUND(SQRT((F92*L92/100)^2+(G92*O92)^2),0))</f>
        <v>28</v>
      </c>
      <c r="R92" s="56" t="n">
        <v>0.151090668617008</v>
      </c>
      <c r="S92" s="57" t="n">
        <f aca="false">U92*V92*$F$5</f>
        <v>602.07868852459</v>
      </c>
      <c r="T92" s="58" t="n">
        <f aca="false">MAX(0,MIN(1,R92/100+$D$5))</f>
        <v>0.423589153894399</v>
      </c>
      <c r="U92" s="58" t="n">
        <v>0.613114754098361</v>
      </c>
      <c r="V92" s="57" t="n">
        <v>982</v>
      </c>
      <c r="W92" s="58" t="n">
        <v>0.0777040344688333</v>
      </c>
      <c r="X92" s="59" t="s">
        <v>131</v>
      </c>
      <c r="Y92" s="59" t="s">
        <v>132</v>
      </c>
    </row>
    <row r="93" customFormat="false" ht="15" hidden="false" customHeight="false" outlineLevel="0" collapsed="false">
      <c r="A93" s="32" t="s">
        <v>188</v>
      </c>
      <c r="B93" s="32" t="s">
        <v>217</v>
      </c>
      <c r="C93" s="32" t="s">
        <v>129</v>
      </c>
      <c r="D93" s="54" t="n">
        <f aca="false">ROUND(S93*T93,0)</f>
        <v>1002</v>
      </c>
      <c r="E93" s="54" t="n">
        <f aca="false">ROUND(S93,0)-D93</f>
        <v>2144</v>
      </c>
      <c r="F93" s="54" t="n">
        <f aca="false">IF(COUNTA(D93:E93)=0,"",SUM(D93:E93))</f>
        <v>3146</v>
      </c>
      <c r="G93" s="55" t="n">
        <f aca="false">IF(OR(F93="",F93=0),"",D93/F93)</f>
        <v>0.318499682136046</v>
      </c>
      <c r="H93" s="55" t="n">
        <f aca="false">IF(OR(F93="",F93=0),"",E93/F93)</f>
        <v>0.681500317863954</v>
      </c>
      <c r="I93" s="32" t="s">
        <v>130</v>
      </c>
      <c r="J93" s="36" t="n">
        <v>1.57729384625613</v>
      </c>
      <c r="K93" s="36" t="n">
        <f aca="false">$K$8</f>
        <v>1.8117300629046</v>
      </c>
      <c r="L93" s="36" t="n">
        <f aca="false">SQRT(J93^2+K93^2)</f>
        <v>2.40212857654826</v>
      </c>
      <c r="M93" s="55" t="n">
        <f aca="false">IF(G93="","",MAX(0,G93-1.96*L93/100))</f>
        <v>0.2714179620357</v>
      </c>
      <c r="N93" s="55" t="n">
        <f aca="false">IF(G93="","",MIN(1,G93+1.96*L93/100))</f>
        <v>0.365581402236392</v>
      </c>
      <c r="O93" s="54" t="n">
        <f aca="false">ROUND(S93*W93,0)</f>
        <v>173</v>
      </c>
      <c r="P93" s="54" t="n">
        <f aca="false">IF(F93="","",ROUND(SQRT((F93*L93/100)^2+(G93*O93)^2),0))</f>
        <v>94</v>
      </c>
      <c r="R93" s="56" t="n">
        <v>-10.3665999578023</v>
      </c>
      <c r="S93" s="57" t="n">
        <f aca="false">U93*V93*$F$5</f>
        <v>3146.26275765459</v>
      </c>
      <c r="T93" s="58" t="n">
        <f aca="false">MAX(0,MIN(1,R93/100+$D$5))</f>
        <v>0.318412247630206</v>
      </c>
      <c r="U93" s="58" t="n">
        <v>0.625375225135081</v>
      </c>
      <c r="V93" s="57" t="n">
        <v>5031</v>
      </c>
      <c r="W93" s="58" t="n">
        <v>0.0551273752894184</v>
      </c>
      <c r="X93" s="59" t="s">
        <v>152</v>
      </c>
      <c r="Y93" s="59" t="s">
        <v>132</v>
      </c>
    </row>
    <row r="94" customFormat="false" ht="15" hidden="false" customHeight="false" outlineLevel="0" collapsed="false">
      <c r="A94" s="32" t="s">
        <v>188</v>
      </c>
      <c r="B94" s="32" t="s">
        <v>218</v>
      </c>
      <c r="C94" s="32" t="s">
        <v>129</v>
      </c>
      <c r="D94" s="54" t="n">
        <f aca="false">ROUND(S94*T94,0)</f>
        <v>1585</v>
      </c>
      <c r="E94" s="54" t="n">
        <f aca="false">ROUND(S94,0)-D94</f>
        <v>1692</v>
      </c>
      <c r="F94" s="54" t="n">
        <f aca="false">IF(COUNTA(D94:E94)=0,"",SUM(D94:E94))</f>
        <v>3277</v>
      </c>
      <c r="G94" s="55" t="n">
        <f aca="false">IF(OR(F94="",F94=0),"",D94/F94)</f>
        <v>0.483674092157461</v>
      </c>
      <c r="H94" s="55" t="n">
        <f aca="false">IF(OR(F94="",F94=0),"",E94/F94)</f>
        <v>0.516325907842539</v>
      </c>
      <c r="I94" s="32" t="s">
        <v>130</v>
      </c>
      <c r="J94" s="36" t="n">
        <v>1.57729384625613</v>
      </c>
      <c r="K94" s="36" t="n">
        <f aca="false">$K$8</f>
        <v>1.8117300629046</v>
      </c>
      <c r="L94" s="36" t="n">
        <f aca="false">SQRT(J94^2+K94^2)</f>
        <v>2.40212857654826</v>
      </c>
      <c r="M94" s="55" t="n">
        <f aca="false">IF(G94="","",MAX(0,G94-1.96*L94/100))</f>
        <v>0.436592372057115</v>
      </c>
      <c r="N94" s="55" t="n">
        <f aca="false">IF(G94="","",MIN(1,G94+1.96*L94/100))</f>
        <v>0.530755812257807</v>
      </c>
      <c r="O94" s="54" t="n">
        <f aca="false">ROUND(S94*W94,0)</f>
        <v>181</v>
      </c>
      <c r="P94" s="54" t="n">
        <f aca="false">IF(F94="","",ROUND(SQRT((F94*L94/100)^2+(G94*O94)^2),0))</f>
        <v>118</v>
      </c>
      <c r="R94" s="56" t="n">
        <v>6.14150871623785</v>
      </c>
      <c r="S94" s="57" t="n">
        <f aca="false">U94*V94*$F$5</f>
        <v>3277.36336396324</v>
      </c>
      <c r="T94" s="58" t="n">
        <f aca="false">MAX(0,MIN(1,R94/100+$D$5))</f>
        <v>0.483493334370607</v>
      </c>
      <c r="U94" s="58" t="n">
        <v>0.631841789852177</v>
      </c>
      <c r="V94" s="57" t="n">
        <v>5187</v>
      </c>
      <c r="W94" s="58" t="n">
        <v>0.0551273752894184</v>
      </c>
      <c r="X94" s="59" t="s">
        <v>152</v>
      </c>
      <c r="Y94" s="59" t="s">
        <v>132</v>
      </c>
    </row>
    <row r="95" customFormat="false" ht="15" hidden="false" customHeight="false" outlineLevel="0" collapsed="false">
      <c r="A95" s="32" t="s">
        <v>188</v>
      </c>
      <c r="B95" s="32" t="s">
        <v>219</v>
      </c>
      <c r="C95" s="32" t="s">
        <v>129</v>
      </c>
      <c r="D95" s="54" t="n">
        <f aca="false">ROUND(S95*T95,0)</f>
        <v>298</v>
      </c>
      <c r="E95" s="54" t="n">
        <f aca="false">ROUND(S95,0)-D95</f>
        <v>463</v>
      </c>
      <c r="F95" s="54" t="n">
        <f aca="false">IF(COUNTA(D95:E95)=0,"",SUM(D95:E95))</f>
        <v>761</v>
      </c>
      <c r="G95" s="55" t="n">
        <f aca="false">IF(OR(F95="",F95=0),"",D95/F95)</f>
        <v>0.391590013140605</v>
      </c>
      <c r="H95" s="55" t="n">
        <f aca="false">IF(OR(F95="",F95=0),"",E95/F95)</f>
        <v>0.608409986859396</v>
      </c>
      <c r="I95" s="32" t="s">
        <v>130</v>
      </c>
      <c r="J95" s="36" t="n">
        <v>2.8276384769087</v>
      </c>
      <c r="K95" s="36" t="n">
        <f aca="false">$K$8</f>
        <v>1.8117300629046</v>
      </c>
      <c r="L95" s="36" t="n">
        <f aca="false">SQRT(J95^2+K95^2)</f>
        <v>3.35825924802223</v>
      </c>
      <c r="M95" s="55" t="n">
        <f aca="false">IF(G95="","",MAX(0,G95-1.96*L95/100))</f>
        <v>0.325768131879369</v>
      </c>
      <c r="N95" s="55" t="n">
        <f aca="false">IF(G95="","",MIN(1,G95+1.96*L95/100))</f>
        <v>0.45741189440184</v>
      </c>
      <c r="O95" s="54" t="n">
        <f aca="false">ROUND(S95*W95,0)</f>
        <v>59</v>
      </c>
      <c r="P95" s="54" t="n">
        <f aca="false">IF(F95="","",ROUND(SQRT((F95*L95/100)^2+(G95*O95)^2),0))</f>
        <v>34</v>
      </c>
      <c r="R95" s="56" t="n">
        <v>-3.09039129432598</v>
      </c>
      <c r="S95" s="57" t="n">
        <f aca="false">U95*V95*$F$5</f>
        <v>761.429837518464</v>
      </c>
      <c r="T95" s="58" t="n">
        <f aca="false">MAX(0,MIN(1,R95/100+$D$5))</f>
        <v>0.391174334264969</v>
      </c>
      <c r="U95" s="58" t="n">
        <v>0.534711964549483</v>
      </c>
      <c r="V95" s="57" t="n">
        <v>1424</v>
      </c>
      <c r="W95" s="58" t="n">
        <v>0.0777040344688333</v>
      </c>
      <c r="X95" s="59" t="s">
        <v>131</v>
      </c>
      <c r="Y95" s="59" t="s">
        <v>132</v>
      </c>
    </row>
    <row r="96" customFormat="false" ht="15" hidden="false" customHeight="false" outlineLevel="0" collapsed="false">
      <c r="A96" s="32" t="s">
        <v>188</v>
      </c>
      <c r="B96" s="32" t="s">
        <v>180</v>
      </c>
      <c r="C96" s="32" t="s">
        <v>129</v>
      </c>
      <c r="D96" s="54" t="n">
        <f aca="false">ROUND(S96*T96,0)</f>
        <v>800</v>
      </c>
      <c r="E96" s="54" t="n">
        <f aca="false">ROUND(S96,0)-D96</f>
        <v>1587</v>
      </c>
      <c r="F96" s="54" t="n">
        <f aca="false">IF(COUNTA(D96:E96)=0,"",SUM(D96:E96))</f>
        <v>2387</v>
      </c>
      <c r="G96" s="55" t="n">
        <f aca="false">IF(OR(F96="",F96=0),"",D96/F96)</f>
        <v>0.335148722245496</v>
      </c>
      <c r="H96" s="55" t="n">
        <f aca="false">IF(OR(F96="",F96=0),"",E96/F96)</f>
        <v>0.664851277754504</v>
      </c>
      <c r="I96" s="32" t="s">
        <v>130</v>
      </c>
      <c r="J96" s="36" t="n">
        <v>1.47263679776505</v>
      </c>
      <c r="K96" s="36" t="n">
        <f aca="false">$K$8</f>
        <v>1.8117300629046</v>
      </c>
      <c r="L96" s="36" t="n">
        <f aca="false">SQRT(J96^2+K96^2)</f>
        <v>2.33474301775677</v>
      </c>
      <c r="M96" s="55" t="n">
        <f aca="false">IF(G96="","",MAX(0,G96-1.96*L96/100))</f>
        <v>0.289387759097464</v>
      </c>
      <c r="N96" s="55" t="n">
        <f aca="false">IF(G96="","",MIN(1,G96+1.96*L96/100))</f>
        <v>0.380909685393529</v>
      </c>
      <c r="O96" s="54" t="n">
        <f aca="false">ROUND(S96*W96,0)</f>
        <v>145</v>
      </c>
      <c r="P96" s="54" t="n">
        <f aca="false">IF(F96="","",ROUND(SQRT((F96*L96/100)^2+(G96*O96)^2),0))</f>
        <v>74</v>
      </c>
      <c r="R96" s="56" t="n">
        <v>-8.67689162115566</v>
      </c>
      <c r="S96" s="57" t="n">
        <f aca="false">U96*V96*$F$5</f>
        <v>2386.68081761006</v>
      </c>
      <c r="T96" s="58" t="n">
        <f aca="false">MAX(0,MIN(1,R96/100+$D$5))</f>
        <v>0.335309330996672</v>
      </c>
      <c r="U96" s="58" t="n">
        <v>0.62185534591195</v>
      </c>
      <c r="V96" s="57" t="n">
        <v>3838</v>
      </c>
      <c r="W96" s="58" t="n">
        <v>0.0606122259008943</v>
      </c>
      <c r="X96" s="59" t="s">
        <v>136</v>
      </c>
      <c r="Y96" s="59" t="s">
        <v>132</v>
      </c>
    </row>
    <row r="97" customFormat="false" ht="15" hidden="false" customHeight="false" outlineLevel="0" collapsed="false">
      <c r="A97" s="32" t="s">
        <v>188</v>
      </c>
      <c r="B97" s="32" t="s">
        <v>220</v>
      </c>
      <c r="C97" s="32" t="s">
        <v>129</v>
      </c>
      <c r="D97" s="54" t="n">
        <f aca="false">ROUND(S97*T97,0)</f>
        <v>213</v>
      </c>
      <c r="E97" s="54" t="n">
        <f aca="false">ROUND(S97,0)-D97</f>
        <v>225</v>
      </c>
      <c r="F97" s="54" t="n">
        <f aca="false">IF(COUNTA(D97:E97)=0,"",SUM(D97:E97))</f>
        <v>438</v>
      </c>
      <c r="G97" s="55" t="n">
        <f aca="false">IF(OR(F97="",F97=0),"",D97/F97)</f>
        <v>0.486301369863014</v>
      </c>
      <c r="H97" s="55" t="n">
        <f aca="false">IF(OR(F97="",F97=0),"",E97/F97)</f>
        <v>0.513698630136986</v>
      </c>
      <c r="I97" s="32" t="s">
        <v>130</v>
      </c>
      <c r="J97" s="36" t="n">
        <v>2.8276384769087</v>
      </c>
      <c r="K97" s="36" t="n">
        <f aca="false">$K$8</f>
        <v>1.8117300629046</v>
      </c>
      <c r="L97" s="36" t="n">
        <f aca="false">SQRT(J97^2+K97^2)</f>
        <v>3.35825924802223</v>
      </c>
      <c r="M97" s="55" t="n">
        <f aca="false">IF(G97="","",MAX(0,G97-1.96*L97/100))</f>
        <v>0.420479488601778</v>
      </c>
      <c r="N97" s="55" t="n">
        <f aca="false">IF(G97="","",MIN(1,G97+1.96*L97/100))</f>
        <v>0.552123251124249</v>
      </c>
      <c r="O97" s="54" t="n">
        <f aca="false">ROUND(S97*W97,0)</f>
        <v>34</v>
      </c>
      <c r="P97" s="54" t="n">
        <f aca="false">IF(F97="","",ROUND(SQRT((F97*L97/100)^2+(G97*O97)^2),0))</f>
        <v>22</v>
      </c>
      <c r="R97" s="56" t="n">
        <v>6.2928256698027</v>
      </c>
      <c r="S97" s="57" t="n">
        <f aca="false">U97*V97*$F$5</f>
        <v>438.292134831461</v>
      </c>
      <c r="T97" s="58" t="n">
        <f aca="false">MAX(0,MIN(1,R97/100+$D$5))</f>
        <v>0.485006503906255</v>
      </c>
      <c r="U97" s="58" t="n">
        <v>0.51685393258427</v>
      </c>
      <c r="V97" s="57" t="n">
        <v>848</v>
      </c>
      <c r="W97" s="58" t="n">
        <v>0.0777040344688333</v>
      </c>
      <c r="X97" s="59" t="s">
        <v>131</v>
      </c>
      <c r="Y97" s="59" t="s">
        <v>132</v>
      </c>
    </row>
    <row r="98" customFormat="false" ht="15" hidden="false" customHeight="false" outlineLevel="0" collapsed="false">
      <c r="A98" s="32" t="s">
        <v>188</v>
      </c>
      <c r="B98" s="32" t="s">
        <v>221</v>
      </c>
      <c r="C98" s="32" t="s">
        <v>129</v>
      </c>
      <c r="D98" s="54" t="n">
        <f aca="false">ROUND(S98*T98,0)</f>
        <v>1460</v>
      </c>
      <c r="E98" s="54" t="n">
        <f aca="false">ROUND(S98,0)-D98</f>
        <v>1906</v>
      </c>
      <c r="F98" s="54" t="n">
        <f aca="false">IF(COUNTA(D98:E98)=0,"",SUM(D98:E98))</f>
        <v>3366</v>
      </c>
      <c r="G98" s="55" t="n">
        <f aca="false">IF(OR(F98="",F98=0),"",D98/F98)</f>
        <v>0.433749257278669</v>
      </c>
      <c r="H98" s="55" t="n">
        <f aca="false">IF(OR(F98="",F98=0),"",E98/F98)</f>
        <v>0.566250742721331</v>
      </c>
      <c r="I98" s="32" t="s">
        <v>130</v>
      </c>
      <c r="J98" s="36" t="n">
        <v>1.57729384625613</v>
      </c>
      <c r="K98" s="36" t="n">
        <f aca="false">$K$8</f>
        <v>1.8117300629046</v>
      </c>
      <c r="L98" s="36" t="n">
        <f aca="false">SQRT(J98^2+K98^2)</f>
        <v>2.40212857654826</v>
      </c>
      <c r="M98" s="55" t="n">
        <f aca="false">IF(G98="","",MAX(0,G98-1.96*L98/100))</f>
        <v>0.386667537178323</v>
      </c>
      <c r="N98" s="55" t="n">
        <f aca="false">IF(G98="","",MIN(1,G98+1.96*L98/100))</f>
        <v>0.480830977379015</v>
      </c>
      <c r="O98" s="54" t="n">
        <f aca="false">ROUND(S98*W98,0)</f>
        <v>186</v>
      </c>
      <c r="P98" s="54" t="n">
        <f aca="false">IF(F98="","",ROUND(SQRT((F98*L98/100)^2+(G98*O98)^2),0))</f>
        <v>114</v>
      </c>
      <c r="R98" s="56" t="n">
        <v>1.1824997104381</v>
      </c>
      <c r="S98" s="57" t="n">
        <f aca="false">U98*V98*$F$5</f>
        <v>3365.72741078208</v>
      </c>
      <c r="T98" s="58" t="n">
        <f aca="false">MAX(0,MIN(1,R98/100+$D$5))</f>
        <v>0.433903244312609</v>
      </c>
      <c r="U98" s="58" t="n">
        <v>0.629460895975702</v>
      </c>
      <c r="V98" s="57" t="n">
        <v>5347</v>
      </c>
      <c r="W98" s="58" t="n">
        <v>0.0551273752894184</v>
      </c>
      <c r="X98" s="59" t="s">
        <v>152</v>
      </c>
      <c r="Y98" s="59" t="s">
        <v>132</v>
      </c>
    </row>
    <row r="99" customFormat="false" ht="15" hidden="false" customHeight="false" outlineLevel="0" collapsed="false">
      <c r="A99" s="32" t="s">
        <v>188</v>
      </c>
      <c r="B99" s="32" t="s">
        <v>222</v>
      </c>
      <c r="C99" s="32" t="s">
        <v>129</v>
      </c>
      <c r="D99" s="54" t="n">
        <f aca="false">ROUND(S99*T99,0)</f>
        <v>1314</v>
      </c>
      <c r="E99" s="54" t="n">
        <f aca="false">ROUND(S99,0)-D99</f>
        <v>1036</v>
      </c>
      <c r="F99" s="54" t="n">
        <f aca="false">IF(COUNTA(D99:E99)=0,"",SUM(D99:E99))</f>
        <v>2350</v>
      </c>
      <c r="G99" s="55" t="n">
        <f aca="false">IF(OR(F99="",F99=0),"",D99/F99)</f>
        <v>0.559148936170213</v>
      </c>
      <c r="H99" s="55" t="n">
        <f aca="false">IF(OR(F99="",F99=0),"",E99/F99)</f>
        <v>0.440851063829787</v>
      </c>
      <c r="I99" s="32" t="s">
        <v>130</v>
      </c>
      <c r="J99" s="36" t="n">
        <v>1.47263679776505</v>
      </c>
      <c r="K99" s="36" t="n">
        <f aca="false">$K$8</f>
        <v>1.8117300629046</v>
      </c>
      <c r="L99" s="36" t="n">
        <f aca="false">SQRT(J99^2+K99^2)</f>
        <v>2.33474301775677</v>
      </c>
      <c r="M99" s="55" t="n">
        <f aca="false">IF(G99="","",MAX(0,G99-1.96*L99/100))</f>
        <v>0.51338797302218</v>
      </c>
      <c r="N99" s="55" t="n">
        <f aca="false">IF(G99="","",MIN(1,G99+1.96*L99/100))</f>
        <v>0.604909899318246</v>
      </c>
      <c r="O99" s="54" t="n">
        <f aca="false">ROUND(S99*W99,0)</f>
        <v>142</v>
      </c>
      <c r="P99" s="54" t="n">
        <f aca="false">IF(F99="","",ROUND(SQRT((F99*L99/100)^2+(G99*O99)^2),0))</f>
        <v>97</v>
      </c>
      <c r="R99" s="56" t="n">
        <v>13.712112882764</v>
      </c>
      <c r="S99" s="57" t="n">
        <f aca="false">U99*V99*$F$5</f>
        <v>2350.25573902537</v>
      </c>
      <c r="T99" s="58" t="n">
        <f aca="false">MAX(0,MIN(1,R99/100+$D$5))</f>
        <v>0.559199376035868</v>
      </c>
      <c r="U99" s="58" t="n">
        <v>0.461739830849779</v>
      </c>
      <c r="V99" s="57" t="n">
        <v>5090</v>
      </c>
      <c r="W99" s="58" t="n">
        <v>0.0606122259008943</v>
      </c>
      <c r="X99" s="59" t="s">
        <v>136</v>
      </c>
      <c r="Y99" s="59" t="s">
        <v>132</v>
      </c>
    </row>
    <row r="100" customFormat="false" ht="15" hidden="false" customHeight="false" outlineLevel="0" collapsed="false">
      <c r="A100" s="32" t="s">
        <v>188</v>
      </c>
      <c r="B100" s="32" t="s">
        <v>223</v>
      </c>
      <c r="C100" s="32" t="s">
        <v>129</v>
      </c>
      <c r="D100" s="54" t="n">
        <f aca="false">ROUND(S100*T100,0)</f>
        <v>494</v>
      </c>
      <c r="E100" s="54" t="n">
        <f aca="false">ROUND(S100,0)-D100</f>
        <v>651</v>
      </c>
      <c r="F100" s="54" t="n">
        <f aca="false">IF(COUNTA(D100:E100)=0,"",SUM(D100:E100))</f>
        <v>1145</v>
      </c>
      <c r="G100" s="55" t="n">
        <f aca="false">IF(OR(F100="",F100=0),"",D100/F100)</f>
        <v>0.431441048034935</v>
      </c>
      <c r="H100" s="55" t="n">
        <f aca="false">IF(OR(F100="",F100=0),"",E100/F100)</f>
        <v>0.568558951965066</v>
      </c>
      <c r="I100" s="32" t="s">
        <v>130</v>
      </c>
      <c r="J100" s="36" t="n">
        <v>2.8276384769087</v>
      </c>
      <c r="K100" s="36" t="n">
        <f aca="false">$K$8</f>
        <v>1.8117300629046</v>
      </c>
      <c r="L100" s="36" t="n">
        <f aca="false">SQRT(J100^2+K100^2)</f>
        <v>3.35825924802223</v>
      </c>
      <c r="M100" s="55" t="n">
        <f aca="false">IF(G100="","",MAX(0,G100-1.96*L100/100))</f>
        <v>0.365619166773699</v>
      </c>
      <c r="N100" s="55" t="n">
        <f aca="false">IF(G100="","",MIN(1,G100+1.96*L100/100))</f>
        <v>0.49726292929617</v>
      </c>
      <c r="O100" s="54" t="n">
        <f aca="false">ROUND(S100*W100,0)</f>
        <v>89</v>
      </c>
      <c r="P100" s="54" t="n">
        <f aca="false">IF(F100="","",ROUND(SQRT((F100*L100/100)^2+(G100*O100)^2),0))</f>
        <v>54</v>
      </c>
      <c r="R100" s="56" t="n">
        <v>0.904447701983187</v>
      </c>
      <c r="S100" s="57" t="n">
        <f aca="false">U100*V100*$F$5</f>
        <v>1145.48062775871</v>
      </c>
      <c r="T100" s="58" t="n">
        <f aca="false">MAX(0,MIN(1,R100/100+$D$5))</f>
        <v>0.43112272422806</v>
      </c>
      <c r="U100" s="58" t="n">
        <v>0.537027954879843</v>
      </c>
      <c r="V100" s="57" t="n">
        <v>2133</v>
      </c>
      <c r="W100" s="58" t="n">
        <v>0.0777040344688333</v>
      </c>
      <c r="X100" s="59" t="s">
        <v>131</v>
      </c>
      <c r="Y100" s="59" t="s">
        <v>132</v>
      </c>
    </row>
  </sheetData>
  <mergeCells count="4">
    <mergeCell ref="A3:I3"/>
    <mergeCell ref="A6:P6"/>
    <mergeCell ref="A9:P9"/>
    <mergeCell ref="A10:P10"/>
  </mergeCells>
  <conditionalFormatting sqref="G12:G100">
    <cfRule type="colorScale" priority="2">
      <colorScale>
        <cfvo type="num" val="0.25"/>
        <cfvo type="num" val="0.5"/>
        <cfvo type="num" val="0.75"/>
        <color rgb="FFF4B6B6"/>
        <color rgb="FFFFFFFF"/>
        <color rgb="FFB4C7E7"/>
      </colorScale>
    </cfRule>
  </conditionalFormatting>
  <conditionalFormatting sqref="A12:C100">
    <cfRule type="expression" priority="3" aboveAverage="0" equalAverage="0" bottom="0" percent="0" rank="0" text="" dxfId="0">
      <formula>AND($M12&lt;0.5,$N12&gt;0.5)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4"/>
    <col collapsed="false" customWidth="true" hidden="false" outlineLevel="0" max="7" min="6" style="0" width="12"/>
    <col collapsed="false" customWidth="true" hidden="false" outlineLevel="0" max="8" min="8" style="0" width="13"/>
    <col collapsed="false" customWidth="true" hidden="false" outlineLevel="0" max="9" min="9" style="0" width="44"/>
    <col collapsed="false" customWidth="true" hidden="false" outlineLevel="0" max="11" min="10" style="0" width="13"/>
    <col collapsed="false" customWidth="true" hidden="false" outlineLevel="0" max="14" min="12" style="0" width="12"/>
    <col collapsed="false" customWidth="true" hidden="false" outlineLevel="0" max="16" min="15" style="0" width="13"/>
    <col collapsed="false" customWidth="true" hidden="false" outlineLevel="0" max="17" min="17" style="0" width="3"/>
    <col collapsed="false" customWidth="true" hidden="false" outlineLevel="0" max="18" min="18" style="0" width="13"/>
    <col collapsed="false" customWidth="true" hidden="false" outlineLevel="0" max="19" min="19" style="0" width="15"/>
    <col collapsed="false" customWidth="true" hidden="false" outlineLevel="0" max="21" min="20" style="0" width="14"/>
    <col collapsed="false" customWidth="true" hidden="false" outlineLevel="0" max="23" min="22" style="0" width="13"/>
    <col collapsed="false" customWidth="true" hidden="false" outlineLevel="0" max="24" min="24" style="0" width="12"/>
    <col collapsed="false" customWidth="true" hidden="false" outlineLevel="0" max="25" min="25" style="0" width="30"/>
  </cols>
  <sheetData>
    <row r="1" customFormat="false" ht="17.35" hidden="false" customHeight="false" outlineLevel="0" collapsed="false">
      <c r="A1" s="1" t="s">
        <v>224</v>
      </c>
    </row>
    <row r="2" customFormat="false" ht="15" hidden="false" customHeight="false" outlineLevel="0" collapsed="false">
      <c r="A2" s="2" t="s">
        <v>87</v>
      </c>
    </row>
    <row r="3" customFormat="false" ht="15" hidden="false" customHeight="false" outlineLevel="0" collapsed="false">
      <c r="A3" s="13" t="s">
        <v>88</v>
      </c>
      <c r="B3" s="13"/>
      <c r="C3" s="13"/>
      <c r="D3" s="13"/>
      <c r="E3" s="13"/>
      <c r="F3" s="13"/>
      <c r="G3" s="13"/>
      <c r="H3" s="13"/>
      <c r="I3" s="13"/>
    </row>
    <row r="4" customFormat="false" ht="15" hidden="false" customHeight="false" outlineLevel="0" collapsed="false">
      <c r="A4" s="0" t="s">
        <v>89</v>
      </c>
      <c r="B4" s="0" t="s">
        <v>225</v>
      </c>
      <c r="C4" s="0" t="s">
        <v>91</v>
      </c>
      <c r="D4" s="43" t="n">
        <v>46300</v>
      </c>
      <c r="E4" s="44" t="s">
        <v>92</v>
      </c>
      <c r="F4" s="44" t="s">
        <v>93</v>
      </c>
      <c r="G4" s="44" t="s">
        <v>94</v>
      </c>
      <c r="H4" s="44" t="s">
        <v>95</v>
      </c>
    </row>
    <row r="5" customFormat="false" ht="15" hidden="false" customHeight="false" outlineLevel="0" collapsed="false">
      <c r="A5" s="0" t="s">
        <v>96</v>
      </c>
      <c r="B5" s="45" t="n">
        <f aca="false">'Scenario &amp; Comparison'!$C$6</f>
        <v>0.495158447761038</v>
      </c>
      <c r="C5" s="44" t="s">
        <v>97</v>
      </c>
      <c r="D5" s="46" t="n">
        <f aca="false">B5-SUMPRODUCT(R12:R100,S12:S100)/SUM(S12:S100)/100</f>
        <v>0.42328093976041</v>
      </c>
      <c r="E5" s="44" t="s">
        <v>98</v>
      </c>
      <c r="F5" s="47" t="n">
        <f aca="false">'Scenario &amp; Comparison'!$C$7</f>
        <v>1</v>
      </c>
    </row>
    <row r="6" customFormat="false" ht="15" hidden="false" customHeight="false" outlineLevel="0" collapsed="false">
      <c r="A6" s="4" t="s">
        <v>99</v>
      </c>
      <c r="B6" s="4"/>
      <c r="C6" s="4"/>
      <c r="D6" s="4"/>
      <c r="E6" s="4"/>
      <c r="F6" s="4"/>
      <c r="G6" s="4"/>
      <c r="H6" s="4"/>
      <c r="I6" s="4"/>
      <c r="J6" s="4"/>
      <c r="K6" s="4"/>
      <c r="L6" s="4"/>
      <c r="M6" s="4"/>
      <c r="N6" s="4"/>
      <c r="O6" s="4"/>
      <c r="P6" s="4"/>
    </row>
    <row r="7" customFormat="false" ht="45" hidden="false" customHeight="true" outlineLevel="0" collapsed="false">
      <c r="A7" s="8" t="s">
        <v>100</v>
      </c>
      <c r="B7" s="8" t="s">
        <v>101</v>
      </c>
      <c r="C7" s="8" t="s">
        <v>102</v>
      </c>
      <c r="D7" s="8" t="s">
        <v>35</v>
      </c>
      <c r="E7" s="8" t="s">
        <v>36</v>
      </c>
      <c r="F7" s="8" t="s">
        <v>37</v>
      </c>
      <c r="G7" s="8" t="s">
        <v>38</v>
      </c>
      <c r="H7" s="8" t="s">
        <v>103</v>
      </c>
      <c r="I7" s="8" t="s">
        <v>104</v>
      </c>
      <c r="J7" s="8" t="s">
        <v>105</v>
      </c>
      <c r="K7" s="8" t="s">
        <v>106</v>
      </c>
      <c r="L7" s="8" t="s">
        <v>107</v>
      </c>
      <c r="M7" s="8" t="s">
        <v>108</v>
      </c>
      <c r="N7" s="8" t="s">
        <v>109</v>
      </c>
      <c r="O7" s="8" t="s">
        <v>110</v>
      </c>
      <c r="P7" s="8" t="s">
        <v>111</v>
      </c>
    </row>
    <row r="8" customFormat="false" ht="15" hidden="false" customHeight="false" outlineLevel="0" collapsed="false">
      <c r="A8" s="20" t="s">
        <v>112</v>
      </c>
      <c r="B8" s="20" t="s">
        <v>113</v>
      </c>
      <c r="C8" s="20"/>
      <c r="D8" s="48" t="n">
        <f aca="false">SUM(D12:D100)</f>
        <v>151583</v>
      </c>
      <c r="E8" s="48" t="n">
        <f aca="false">SUM(E12:E100)</f>
        <v>154546</v>
      </c>
      <c r="F8" s="48" t="n">
        <f aca="false">D8+E8</f>
        <v>306129</v>
      </c>
      <c r="G8" s="49" t="n">
        <f aca="false">IF(F8=0,"",D8/F8)</f>
        <v>0.495160536897844</v>
      </c>
      <c r="H8" s="49" t="n">
        <f aca="false">IF(F8=0,"",E8/F8)</f>
        <v>0.504839463102156</v>
      </c>
      <c r="I8" s="20" t="s">
        <v>114</v>
      </c>
      <c r="J8" s="50" t="n">
        <v>0</v>
      </c>
      <c r="K8" s="50" t="n">
        <v>1.81119845967768</v>
      </c>
      <c r="L8" s="50" t="n">
        <f aca="false">SQRT(J8^2+K8^2)</f>
        <v>1.81119845967768</v>
      </c>
      <c r="M8" s="49" t="n">
        <f aca="false">G8-1.96*L8/100</f>
        <v>0.459661047088161</v>
      </c>
      <c r="N8" s="49" t="n">
        <f aca="false">G8+1.96*L8/100</f>
        <v>0.530660026707526</v>
      </c>
      <c r="O8" s="48" t="n">
        <f aca="false">ROUND(F8*0.04363,0)</f>
        <v>13356</v>
      </c>
      <c r="P8" s="48" t="n">
        <f aca="false">ROUND(SQRT((F8*L8/100)^2+(G8*O8)^2),0)</f>
        <v>8630</v>
      </c>
    </row>
    <row r="9" customFormat="false" ht="15" hidden="false" customHeight="false" outlineLevel="0" collapsed="false">
      <c r="A9" s="13" t="s">
        <v>115</v>
      </c>
      <c r="B9" s="13"/>
      <c r="C9" s="13"/>
      <c r="D9" s="13"/>
      <c r="E9" s="13"/>
      <c r="F9" s="13"/>
      <c r="G9" s="13"/>
      <c r="H9" s="13"/>
      <c r="I9" s="13"/>
      <c r="J9" s="13"/>
      <c r="K9" s="13"/>
      <c r="L9" s="13"/>
      <c r="M9" s="13"/>
      <c r="N9" s="13"/>
      <c r="O9" s="13"/>
      <c r="P9" s="13"/>
    </row>
    <row r="10" customFormat="false" ht="15" hidden="false" customHeight="false" outlineLevel="0" collapsed="false">
      <c r="A10" s="4" t="s">
        <v>116</v>
      </c>
      <c r="B10" s="4"/>
      <c r="C10" s="4"/>
      <c r="D10" s="4"/>
      <c r="E10" s="4"/>
      <c r="F10" s="4"/>
      <c r="G10" s="4"/>
      <c r="H10" s="4"/>
      <c r="I10" s="4"/>
      <c r="J10" s="4"/>
      <c r="K10" s="4"/>
      <c r="L10" s="4"/>
      <c r="M10" s="4"/>
      <c r="N10" s="4"/>
      <c r="O10" s="4"/>
      <c r="P10" s="4"/>
      <c r="R10" s="51" t="s">
        <v>117</v>
      </c>
      <c r="S10" s="52"/>
      <c r="T10" s="52"/>
      <c r="U10" s="52"/>
      <c r="V10" s="52"/>
      <c r="W10" s="52"/>
      <c r="X10" s="52"/>
      <c r="Y10" s="52"/>
    </row>
    <row r="11" customFormat="false" ht="31.5" hidden="false" customHeight="true" outlineLevel="0" collapsed="false">
      <c r="A11" s="8" t="s">
        <v>77</v>
      </c>
      <c r="B11" s="8" t="s">
        <v>78</v>
      </c>
      <c r="C11" s="8" t="s">
        <v>79</v>
      </c>
      <c r="D11" s="8" t="s">
        <v>35</v>
      </c>
      <c r="E11" s="8" t="s">
        <v>36</v>
      </c>
      <c r="F11" s="8" t="s">
        <v>37</v>
      </c>
      <c r="G11" s="8" t="s">
        <v>38</v>
      </c>
      <c r="H11" s="8" t="s">
        <v>103</v>
      </c>
      <c r="I11" s="8" t="s">
        <v>118</v>
      </c>
      <c r="J11" s="8" t="s">
        <v>105</v>
      </c>
      <c r="K11" s="8" t="s">
        <v>106</v>
      </c>
      <c r="L11" s="8" t="s">
        <v>107</v>
      </c>
      <c r="M11" s="8" t="s">
        <v>108</v>
      </c>
      <c r="N11" s="8" t="s">
        <v>109</v>
      </c>
      <c r="O11" s="8" t="s">
        <v>110</v>
      </c>
      <c r="P11" s="8" t="s">
        <v>111</v>
      </c>
      <c r="R11" s="53" t="s">
        <v>119</v>
      </c>
      <c r="S11" s="53" t="s">
        <v>120</v>
      </c>
      <c r="T11" s="53" t="s">
        <v>121</v>
      </c>
      <c r="U11" s="53" t="s">
        <v>122</v>
      </c>
      <c r="V11" s="53" t="s">
        <v>123</v>
      </c>
      <c r="W11" s="53" t="s">
        <v>124</v>
      </c>
      <c r="X11" s="53" t="s">
        <v>125</v>
      </c>
      <c r="Y11" s="53" t="s">
        <v>126</v>
      </c>
    </row>
    <row r="12" customFormat="false" ht="15" hidden="false" customHeight="false" outlineLevel="0" collapsed="false">
      <c r="A12" s="32" t="s">
        <v>127</v>
      </c>
      <c r="B12" s="32" t="s">
        <v>128</v>
      </c>
      <c r="C12" s="32" t="s">
        <v>129</v>
      </c>
      <c r="D12" s="54" t="n">
        <f aca="false">ROUND(S12*T12,0)</f>
        <v>140</v>
      </c>
      <c r="E12" s="54" t="n">
        <f aca="false">ROUND(S12,0)-D12</f>
        <v>224</v>
      </c>
      <c r="F12" s="54" t="n">
        <f aca="false">IF(COUNTA(D12:E12)=0,"",SUM(D12:E12))</f>
        <v>364</v>
      </c>
      <c r="G12" s="55" t="n">
        <f aca="false">IF(OR(F12="",F12=0),"",D12/F12)</f>
        <v>0.384615384615385</v>
      </c>
      <c r="H12" s="55" t="n">
        <f aca="false">IF(OR(F12="",F12=0),"",E12/F12)</f>
        <v>0.615384615384615</v>
      </c>
      <c r="I12" s="32" t="s">
        <v>130</v>
      </c>
      <c r="J12" s="36" t="n">
        <v>2.73651760017814</v>
      </c>
      <c r="K12" s="36" t="n">
        <f aca="false">$K$8</f>
        <v>1.81119845967768</v>
      </c>
      <c r="L12" s="36" t="n">
        <f aca="false">SQRT(J12^2+K12^2)</f>
        <v>3.28161064668305</v>
      </c>
      <c r="M12" s="55" t="n">
        <f aca="false">IF(G12="","",MAX(0,G12-1.96*L12/100))</f>
        <v>0.320295815940397</v>
      </c>
      <c r="N12" s="55" t="n">
        <f aca="false">IF(G12="","",MIN(1,G12+1.96*L12/100))</f>
        <v>0.448934953290372</v>
      </c>
      <c r="O12" s="54" t="n">
        <f aca="false">ROUND(S12*W12,0)</f>
        <v>28</v>
      </c>
      <c r="P12" s="54" t="n">
        <f aca="false">IF(F12="","",ROUND(SQRT((F12*L12/100)^2+(G12*O12)^2),0))</f>
        <v>16</v>
      </c>
      <c r="R12" s="56" t="n">
        <v>-3.94383665754881</v>
      </c>
      <c r="S12" s="57" t="n">
        <f aca="false">U12*V12*$F$5</f>
        <v>364.490963855422</v>
      </c>
      <c r="T12" s="58" t="n">
        <f aca="false">MAX(0,MIN(1,R12/100+$D$5))</f>
        <v>0.383842573184922</v>
      </c>
      <c r="U12" s="58" t="n">
        <v>0.581325301204819</v>
      </c>
      <c r="V12" s="57" t="n">
        <v>627</v>
      </c>
      <c r="W12" s="58" t="n">
        <v>0.0777040344688333</v>
      </c>
      <c r="X12" s="59" t="s">
        <v>131</v>
      </c>
      <c r="Y12" s="59" t="s">
        <v>132</v>
      </c>
    </row>
    <row r="13" customFormat="false" ht="15" hidden="false" customHeight="false" outlineLevel="0" collapsed="false">
      <c r="A13" s="32" t="s">
        <v>127</v>
      </c>
      <c r="B13" s="32" t="s">
        <v>133</v>
      </c>
      <c r="C13" s="32" t="s">
        <v>129</v>
      </c>
      <c r="D13" s="54" t="n">
        <f aca="false">ROUND(S13*T13,0)</f>
        <v>96</v>
      </c>
      <c r="E13" s="54" t="n">
        <f aca="false">ROUND(S13,0)-D13</f>
        <v>234</v>
      </c>
      <c r="F13" s="54" t="n">
        <f aca="false">IF(COUNTA(D13:E13)=0,"",SUM(D13:E13))</f>
        <v>330</v>
      </c>
      <c r="G13" s="55" t="n">
        <f aca="false">IF(OR(F13="",F13=0),"",D13/F13)</f>
        <v>0.290909090909091</v>
      </c>
      <c r="H13" s="55" t="n">
        <f aca="false">IF(OR(F13="",F13=0),"",E13/F13)</f>
        <v>0.709090909090909</v>
      </c>
      <c r="I13" s="32" t="s">
        <v>130</v>
      </c>
      <c r="J13" s="36" t="n">
        <v>2.73651760017814</v>
      </c>
      <c r="K13" s="36" t="n">
        <f aca="false">$K$8</f>
        <v>1.81119845967768</v>
      </c>
      <c r="L13" s="36" t="n">
        <f aca="false">SQRT(J13^2+K13^2)</f>
        <v>3.28161064668305</v>
      </c>
      <c r="M13" s="55" t="n">
        <f aca="false">IF(G13="","",MAX(0,G13-1.96*L13/100))</f>
        <v>0.226589522234103</v>
      </c>
      <c r="N13" s="55" t="n">
        <f aca="false">IF(G13="","",MIN(1,G13+1.96*L13/100))</f>
        <v>0.355228659584079</v>
      </c>
      <c r="O13" s="54" t="n">
        <f aca="false">ROUND(S13*W13,0)</f>
        <v>26</v>
      </c>
      <c r="P13" s="54" t="n">
        <f aca="false">IF(F13="","",ROUND(SQRT((F13*L13/100)^2+(G13*O13)^2),0))</f>
        <v>13</v>
      </c>
      <c r="R13" s="56" t="n">
        <v>-13.3201422648671</v>
      </c>
      <c r="S13" s="57" t="n">
        <f aca="false">U13*V13*$F$5</f>
        <v>330.130136986301</v>
      </c>
      <c r="T13" s="58" t="n">
        <f aca="false">MAX(0,MIN(1,R13/100+$D$5))</f>
        <v>0.29007951711174</v>
      </c>
      <c r="U13" s="58" t="n">
        <v>0.537671232876712</v>
      </c>
      <c r="V13" s="57" t="n">
        <v>614</v>
      </c>
      <c r="W13" s="58" t="n">
        <v>0.0777040344688333</v>
      </c>
      <c r="X13" s="59" t="s">
        <v>131</v>
      </c>
      <c r="Y13" s="59" t="s">
        <v>132</v>
      </c>
    </row>
    <row r="14" customFormat="false" ht="15" hidden="false" customHeight="false" outlineLevel="0" collapsed="false">
      <c r="A14" s="32" t="s">
        <v>127</v>
      </c>
      <c r="B14" s="32" t="s">
        <v>134</v>
      </c>
      <c r="C14" s="32" t="s">
        <v>129</v>
      </c>
      <c r="D14" s="54" t="n">
        <f aca="false">ROUND(S14*T14,0)</f>
        <v>120</v>
      </c>
      <c r="E14" s="54" t="n">
        <f aca="false">ROUND(S14,0)-D14</f>
        <v>236</v>
      </c>
      <c r="F14" s="54" t="n">
        <f aca="false">IF(COUNTA(D14:E14)=0,"",SUM(D14:E14))</f>
        <v>356</v>
      </c>
      <c r="G14" s="55" t="n">
        <f aca="false">IF(OR(F14="",F14=0),"",D14/F14)</f>
        <v>0.337078651685393</v>
      </c>
      <c r="H14" s="55" t="n">
        <f aca="false">IF(OR(F14="",F14=0),"",E14/F14)</f>
        <v>0.662921348314607</v>
      </c>
      <c r="I14" s="32" t="s">
        <v>130</v>
      </c>
      <c r="J14" s="36" t="n">
        <v>2.73651760017814</v>
      </c>
      <c r="K14" s="36" t="n">
        <f aca="false">$K$8</f>
        <v>1.81119845967768</v>
      </c>
      <c r="L14" s="36" t="n">
        <f aca="false">SQRT(J14^2+K14^2)</f>
        <v>3.28161064668305</v>
      </c>
      <c r="M14" s="55" t="n">
        <f aca="false">IF(G14="","",MAX(0,G14-1.96*L14/100))</f>
        <v>0.272759083010406</v>
      </c>
      <c r="N14" s="55" t="n">
        <f aca="false">IF(G14="","",MIN(1,G14+1.96*L14/100))</f>
        <v>0.401398220360381</v>
      </c>
      <c r="O14" s="54" t="n">
        <f aca="false">ROUND(S14*W14,0)</f>
        <v>28</v>
      </c>
      <c r="P14" s="54" t="n">
        <f aca="false">IF(F14="","",ROUND(SQRT((F14*L14/100)^2+(G14*O14)^2),0))</f>
        <v>15</v>
      </c>
      <c r="R14" s="56" t="n">
        <v>-8.63370624296132</v>
      </c>
      <c r="S14" s="57" t="n">
        <f aca="false">U14*V14*$F$5</f>
        <v>355.63436928702</v>
      </c>
      <c r="T14" s="58" t="n">
        <f aca="false">MAX(0,MIN(1,R14/100+$D$5))</f>
        <v>0.336943877330797</v>
      </c>
      <c r="U14" s="58" t="n">
        <v>0.636197440585009</v>
      </c>
      <c r="V14" s="57" t="n">
        <v>559</v>
      </c>
      <c r="W14" s="58" t="n">
        <v>0.0777040344688333</v>
      </c>
      <c r="X14" s="59" t="s">
        <v>131</v>
      </c>
      <c r="Y14" s="59" t="s">
        <v>132</v>
      </c>
    </row>
    <row r="15" customFormat="false" ht="15" hidden="false" customHeight="false" outlineLevel="0" collapsed="false">
      <c r="A15" s="32" t="s">
        <v>127</v>
      </c>
      <c r="B15" s="32" t="s">
        <v>135</v>
      </c>
      <c r="C15" s="32" t="s">
        <v>129</v>
      </c>
      <c r="D15" s="54" t="n">
        <f aca="false">ROUND(S15*T15,0)</f>
        <v>368</v>
      </c>
      <c r="E15" s="54" t="n">
        <f aca="false">ROUND(S15,0)-D15</f>
        <v>967</v>
      </c>
      <c r="F15" s="54" t="n">
        <f aca="false">IF(COUNTA(D15:E15)=0,"",SUM(D15:E15))</f>
        <v>1335</v>
      </c>
      <c r="G15" s="55" t="n">
        <f aca="false">IF(OR(F15="",F15=0),"",D15/F15)</f>
        <v>0.27565543071161</v>
      </c>
      <c r="H15" s="55" t="n">
        <f aca="false">IF(OR(F15="",F15=0),"",E15/F15)</f>
        <v>0.72434456928839</v>
      </c>
      <c r="I15" s="32" t="s">
        <v>130</v>
      </c>
      <c r="J15" s="36" t="n">
        <v>1.56023581108354</v>
      </c>
      <c r="K15" s="36" t="n">
        <f aca="false">$K$8</f>
        <v>1.81119845967768</v>
      </c>
      <c r="L15" s="36" t="n">
        <f aca="false">SQRT(J15^2+K15^2)</f>
        <v>2.3905596931527</v>
      </c>
      <c r="M15" s="55" t="n">
        <f aca="false">IF(G15="","",MAX(0,G15-1.96*L15/100))</f>
        <v>0.228800460725818</v>
      </c>
      <c r="N15" s="55" t="n">
        <f aca="false">IF(G15="","",MIN(1,G15+1.96*L15/100))</f>
        <v>0.322510400697403</v>
      </c>
      <c r="O15" s="54" t="n">
        <f aca="false">ROUND(S15*W15,0)</f>
        <v>81</v>
      </c>
      <c r="P15" s="54" t="n">
        <f aca="false">IF(F15="","",ROUND(SQRT((F15*L15/100)^2+(G15*O15)^2),0))</f>
        <v>39</v>
      </c>
      <c r="R15" s="56" t="n">
        <v>-14.7466012330731</v>
      </c>
      <c r="S15" s="57" t="n">
        <f aca="false">U15*V15*$F$5</f>
        <v>1334.82101558572</v>
      </c>
      <c r="T15" s="58" t="n">
        <f aca="false">MAX(0,MIN(1,R15/100+$D$5))</f>
        <v>0.275814927429679</v>
      </c>
      <c r="U15" s="58" t="n">
        <v>0.652086475615887</v>
      </c>
      <c r="V15" s="57" t="n">
        <v>2047</v>
      </c>
      <c r="W15" s="58" t="n">
        <v>0.0606122259008943</v>
      </c>
      <c r="X15" s="59" t="s">
        <v>136</v>
      </c>
      <c r="Y15" s="59" t="s">
        <v>132</v>
      </c>
    </row>
    <row r="16" customFormat="false" ht="15" hidden="false" customHeight="false" outlineLevel="0" collapsed="false">
      <c r="A16" s="32" t="s">
        <v>127</v>
      </c>
      <c r="B16" s="32" t="s">
        <v>137</v>
      </c>
      <c r="C16" s="32" t="s">
        <v>129</v>
      </c>
      <c r="D16" s="54" t="n">
        <f aca="false">ROUND(S16*T16,0)</f>
        <v>33</v>
      </c>
      <c r="E16" s="54" t="n">
        <f aca="false">ROUND(S16,0)-D16</f>
        <v>60</v>
      </c>
      <c r="F16" s="54" t="n">
        <f aca="false">IF(COUNTA(D16:E16)=0,"",SUM(D16:E16))</f>
        <v>93</v>
      </c>
      <c r="G16" s="55" t="n">
        <f aca="false">IF(OR(F16="",F16=0),"",D16/F16)</f>
        <v>0.354838709677419</v>
      </c>
      <c r="H16" s="55" t="n">
        <f aca="false">IF(OR(F16="",F16=0),"",E16/F16)</f>
        <v>0.645161290322581</v>
      </c>
      <c r="I16" s="32" t="s">
        <v>130</v>
      </c>
      <c r="J16" s="36" t="n">
        <v>2.73651760017814</v>
      </c>
      <c r="K16" s="36" t="n">
        <f aca="false">$K$8</f>
        <v>1.81119845967768</v>
      </c>
      <c r="L16" s="36" t="n">
        <f aca="false">SQRT(J16^2+K16^2)</f>
        <v>3.28161064668305</v>
      </c>
      <c r="M16" s="55" t="n">
        <f aca="false">IF(G16="","",MAX(0,G16-1.96*L16/100))</f>
        <v>0.290519141002432</v>
      </c>
      <c r="N16" s="55" t="n">
        <f aca="false">IF(G16="","",MIN(1,G16+1.96*L16/100))</f>
        <v>0.419158278352407</v>
      </c>
      <c r="O16" s="54" t="n">
        <f aca="false">ROUND(S16*W16,0)</f>
        <v>7</v>
      </c>
      <c r="P16" s="54" t="n">
        <f aca="false">IF(F16="","",ROUND(SQRT((F16*L16/100)^2+(G16*O16)^2),0))</f>
        <v>4</v>
      </c>
      <c r="R16" s="56" t="n">
        <v>-7.38586401745132</v>
      </c>
      <c r="S16" s="57" t="n">
        <f aca="false">U16*V16*$F$5</f>
        <v>93.4268292682927</v>
      </c>
      <c r="T16" s="58" t="n">
        <f aca="false">MAX(0,MIN(1,R16/100+$D$5))</f>
        <v>0.349422299585897</v>
      </c>
      <c r="U16" s="58" t="n">
        <v>0.573170731707317</v>
      </c>
      <c r="V16" s="57" t="n">
        <v>163</v>
      </c>
      <c r="W16" s="58" t="n">
        <v>0.0777040344688333</v>
      </c>
      <c r="X16" s="59" t="s">
        <v>131</v>
      </c>
      <c r="Y16" s="59" t="s">
        <v>132</v>
      </c>
    </row>
    <row r="17" customFormat="false" ht="15" hidden="false" customHeight="false" outlineLevel="0" collapsed="false">
      <c r="A17" s="32" t="s">
        <v>127</v>
      </c>
      <c r="B17" s="32" t="s">
        <v>138</v>
      </c>
      <c r="C17" s="32" t="s">
        <v>129</v>
      </c>
      <c r="D17" s="54" t="n">
        <f aca="false">ROUND(S17*T17,0)</f>
        <v>569</v>
      </c>
      <c r="E17" s="54" t="n">
        <f aca="false">ROUND(S17,0)-D17</f>
        <v>1413</v>
      </c>
      <c r="F17" s="54" t="n">
        <f aca="false">IF(COUNTA(D17:E17)=0,"",SUM(D17:E17))</f>
        <v>1982</v>
      </c>
      <c r="G17" s="55" t="n">
        <f aca="false">IF(OR(F17="",F17=0),"",D17/F17)</f>
        <v>0.287083753784057</v>
      </c>
      <c r="H17" s="55" t="n">
        <f aca="false">IF(OR(F17="",F17=0),"",E17/F17)</f>
        <v>0.712916246215944</v>
      </c>
      <c r="I17" s="32" t="s">
        <v>130</v>
      </c>
      <c r="J17" s="36" t="n">
        <v>1.56023581108354</v>
      </c>
      <c r="K17" s="36" t="n">
        <f aca="false">$K$8</f>
        <v>1.81119845967768</v>
      </c>
      <c r="L17" s="36" t="n">
        <f aca="false">SQRT(J17^2+K17^2)</f>
        <v>2.3905596931527</v>
      </c>
      <c r="M17" s="55" t="n">
        <f aca="false">IF(G17="","",MAX(0,G17-1.96*L17/100))</f>
        <v>0.240228783798264</v>
      </c>
      <c r="N17" s="55" t="n">
        <f aca="false">IF(G17="","",MIN(1,G17+1.96*L17/100))</f>
        <v>0.333938723769849</v>
      </c>
      <c r="O17" s="54" t="n">
        <f aca="false">ROUND(S17*W17,0)</f>
        <v>120</v>
      </c>
      <c r="P17" s="54" t="n">
        <f aca="false">IF(F17="","",ROUND(SQRT((F17*L17/100)^2+(G17*O17)^2),0))</f>
        <v>59</v>
      </c>
      <c r="R17" s="56" t="n">
        <v>-13.6174782641152</v>
      </c>
      <c r="S17" s="57" t="n">
        <f aca="false">U17*V17*$F$5</f>
        <v>1982.00903517264</v>
      </c>
      <c r="T17" s="58" t="n">
        <f aca="false">MAX(0,MIN(1,R17/100+$D$5))</f>
        <v>0.287106157119258</v>
      </c>
      <c r="U17" s="58" t="n">
        <v>0.631816715069377</v>
      </c>
      <c r="V17" s="57" t="n">
        <v>3137</v>
      </c>
      <c r="W17" s="58" t="n">
        <v>0.0606122259008943</v>
      </c>
      <c r="X17" s="59" t="s">
        <v>136</v>
      </c>
      <c r="Y17" s="59" t="s">
        <v>132</v>
      </c>
    </row>
    <row r="18" customFormat="false" ht="15" hidden="false" customHeight="false" outlineLevel="0" collapsed="false">
      <c r="A18" s="32" t="s">
        <v>127</v>
      </c>
      <c r="B18" s="32" t="s">
        <v>139</v>
      </c>
      <c r="C18" s="32" t="s">
        <v>129</v>
      </c>
      <c r="D18" s="54" t="n">
        <f aca="false">ROUND(S18*T18,0)</f>
        <v>914</v>
      </c>
      <c r="E18" s="54" t="n">
        <f aca="false">ROUND(S18,0)-D18</f>
        <v>1194</v>
      </c>
      <c r="F18" s="54" t="n">
        <f aca="false">IF(COUNTA(D18:E18)=0,"",SUM(D18:E18))</f>
        <v>2108</v>
      </c>
      <c r="G18" s="55" t="n">
        <f aca="false">IF(OR(F18="",F18=0),"",D18/F18)</f>
        <v>0.433586337760911</v>
      </c>
      <c r="H18" s="55" t="n">
        <f aca="false">IF(OR(F18="",F18=0),"",E18/F18)</f>
        <v>0.566413662239089</v>
      </c>
      <c r="I18" s="32" t="s">
        <v>130</v>
      </c>
      <c r="J18" s="36" t="n">
        <v>1.56023581108354</v>
      </c>
      <c r="K18" s="36" t="n">
        <f aca="false">$K$8</f>
        <v>1.81119845967768</v>
      </c>
      <c r="L18" s="36" t="n">
        <f aca="false">SQRT(J18^2+K18^2)</f>
        <v>2.3905596931527</v>
      </c>
      <c r="M18" s="55" t="n">
        <f aca="false">IF(G18="","",MAX(0,G18-1.96*L18/100))</f>
        <v>0.386731367775118</v>
      </c>
      <c r="N18" s="55" t="n">
        <f aca="false">IF(G18="","",MIN(1,G18+1.96*L18/100))</f>
        <v>0.480441307746704</v>
      </c>
      <c r="O18" s="54" t="n">
        <f aca="false">ROUND(S18*W18,0)</f>
        <v>128</v>
      </c>
      <c r="P18" s="54" t="n">
        <f aca="false">IF(F18="","",ROUND(SQRT((F18*L18/100)^2+(G18*O18)^2),0))</f>
        <v>75</v>
      </c>
      <c r="R18" s="56" t="n">
        <v>1.05869715368835</v>
      </c>
      <c r="S18" s="57" t="n">
        <f aca="false">U18*V18*$F$5</f>
        <v>2107.72563176895</v>
      </c>
      <c r="T18" s="58" t="n">
        <f aca="false">MAX(0,MIN(1,R18/100+$D$5))</f>
        <v>0.433867911297294</v>
      </c>
      <c r="U18" s="58" t="n">
        <v>0.642599277978339</v>
      </c>
      <c r="V18" s="57" t="n">
        <v>3280</v>
      </c>
      <c r="W18" s="58" t="n">
        <v>0.0606122259008943</v>
      </c>
      <c r="X18" s="59" t="s">
        <v>136</v>
      </c>
      <c r="Y18" s="59" t="s">
        <v>132</v>
      </c>
    </row>
    <row r="19" customFormat="false" ht="15" hidden="false" customHeight="false" outlineLevel="0" collapsed="false">
      <c r="A19" s="32" t="s">
        <v>127</v>
      </c>
      <c r="B19" s="32" t="s">
        <v>140</v>
      </c>
      <c r="C19" s="32" t="s">
        <v>129</v>
      </c>
      <c r="D19" s="54" t="n">
        <f aca="false">ROUND(S19*T19,0)</f>
        <v>279</v>
      </c>
      <c r="E19" s="54" t="n">
        <f aca="false">ROUND(S19,0)-D19</f>
        <v>526</v>
      </c>
      <c r="F19" s="54" t="n">
        <f aca="false">IF(COUNTA(D19:E19)=0,"",SUM(D19:E19))</f>
        <v>805</v>
      </c>
      <c r="G19" s="55" t="n">
        <f aca="false">IF(OR(F19="",F19=0),"",D19/F19)</f>
        <v>0.346583850931677</v>
      </c>
      <c r="H19" s="55" t="n">
        <f aca="false">IF(OR(F19="",F19=0),"",E19/F19)</f>
        <v>0.653416149068323</v>
      </c>
      <c r="I19" s="32" t="s">
        <v>130</v>
      </c>
      <c r="J19" s="36" t="n">
        <v>2.73651760017814</v>
      </c>
      <c r="K19" s="36" t="n">
        <f aca="false">$K$8</f>
        <v>1.81119845967768</v>
      </c>
      <c r="L19" s="36" t="n">
        <f aca="false">SQRT(J19^2+K19^2)</f>
        <v>3.28161064668305</v>
      </c>
      <c r="M19" s="55" t="n">
        <f aca="false">IF(G19="","",MAX(0,G19-1.96*L19/100))</f>
        <v>0.282264282256689</v>
      </c>
      <c r="N19" s="55" t="n">
        <f aca="false">IF(G19="","",MIN(1,G19+1.96*L19/100))</f>
        <v>0.410903419606665</v>
      </c>
      <c r="O19" s="54" t="n">
        <f aca="false">ROUND(S19*W19,0)</f>
        <v>63</v>
      </c>
      <c r="P19" s="54" t="n">
        <f aca="false">IF(F19="","",ROUND(SQRT((F19*L19/100)^2+(G19*O19)^2),0))</f>
        <v>34</v>
      </c>
      <c r="R19" s="56" t="n">
        <v>-7.68882627529632</v>
      </c>
      <c r="S19" s="57" t="n">
        <f aca="false">U19*V19*$F$5</f>
        <v>804.850331125828</v>
      </c>
      <c r="T19" s="58" t="n">
        <f aca="false">MAX(0,MIN(1,R19/100+$D$5))</f>
        <v>0.346392677007447</v>
      </c>
      <c r="U19" s="58" t="n">
        <v>0.554304635761589</v>
      </c>
      <c r="V19" s="57" t="n">
        <v>1452</v>
      </c>
      <c r="W19" s="58" t="n">
        <v>0.0777040344688333</v>
      </c>
      <c r="X19" s="59" t="s">
        <v>131</v>
      </c>
      <c r="Y19" s="59" t="s">
        <v>132</v>
      </c>
    </row>
    <row r="20" customFormat="false" ht="15" hidden="false" customHeight="false" outlineLevel="0" collapsed="false">
      <c r="A20" s="32" t="s">
        <v>127</v>
      </c>
      <c r="B20" s="32" t="s">
        <v>141</v>
      </c>
      <c r="C20" s="32" t="s">
        <v>129</v>
      </c>
      <c r="D20" s="54" t="n">
        <f aca="false">ROUND(S20*T20,0)</f>
        <v>447</v>
      </c>
      <c r="E20" s="54" t="n">
        <f aca="false">ROUND(S20,0)-D20</f>
        <v>636</v>
      </c>
      <c r="F20" s="54" t="n">
        <f aca="false">IF(COUNTA(D20:E20)=0,"",SUM(D20:E20))</f>
        <v>1083</v>
      </c>
      <c r="G20" s="55" t="n">
        <f aca="false">IF(OR(F20="",F20=0),"",D20/F20)</f>
        <v>0.412742382271468</v>
      </c>
      <c r="H20" s="55" t="n">
        <f aca="false">IF(OR(F20="",F20=0),"",E20/F20)</f>
        <v>0.587257617728532</v>
      </c>
      <c r="I20" s="32" t="s">
        <v>130</v>
      </c>
      <c r="J20" s="36" t="n">
        <v>2.73651760017814</v>
      </c>
      <c r="K20" s="36" t="n">
        <f aca="false">$K$8</f>
        <v>1.81119845967768</v>
      </c>
      <c r="L20" s="36" t="n">
        <f aca="false">SQRT(J20^2+K20^2)</f>
        <v>3.28161064668305</v>
      </c>
      <c r="M20" s="55" t="n">
        <f aca="false">IF(G20="","",MAX(0,G20-1.96*L20/100))</f>
        <v>0.34842281359648</v>
      </c>
      <c r="N20" s="55" t="n">
        <f aca="false">IF(G20="","",MIN(1,G20+1.96*L20/100))</f>
        <v>0.477061950946456</v>
      </c>
      <c r="O20" s="54" t="n">
        <f aca="false">ROUND(S20*W20,0)</f>
        <v>84</v>
      </c>
      <c r="P20" s="54" t="n">
        <f aca="false">IF(F20="","",ROUND(SQRT((F20*L20/100)^2+(G20*O20)^2),0))</f>
        <v>50</v>
      </c>
      <c r="R20" s="56" t="n">
        <v>-1.08227109292694</v>
      </c>
      <c r="S20" s="57" t="n">
        <f aca="false">U20*V20*$F$5</f>
        <v>1083.4829443447</v>
      </c>
      <c r="T20" s="58" t="n">
        <f aca="false">MAX(0,MIN(1,R20/100+$D$5))</f>
        <v>0.412458228831141</v>
      </c>
      <c r="U20" s="58" t="n">
        <v>0.448833034111311</v>
      </c>
      <c r="V20" s="57" t="n">
        <v>2414</v>
      </c>
      <c r="W20" s="58" t="n">
        <v>0.0777040344688333</v>
      </c>
      <c r="X20" s="59" t="s">
        <v>131</v>
      </c>
      <c r="Y20" s="59" t="s">
        <v>132</v>
      </c>
    </row>
    <row r="21" customFormat="false" ht="15" hidden="false" customHeight="false" outlineLevel="0" collapsed="false">
      <c r="A21" s="32" t="s">
        <v>127</v>
      </c>
      <c r="B21" s="32" t="s">
        <v>142</v>
      </c>
      <c r="C21" s="32" t="s">
        <v>129</v>
      </c>
      <c r="D21" s="54" t="n">
        <f aca="false">ROUND(S21*T21,0)</f>
        <v>33</v>
      </c>
      <c r="E21" s="54" t="n">
        <f aca="false">ROUND(S21,0)-D21</f>
        <v>85</v>
      </c>
      <c r="F21" s="54" t="n">
        <f aca="false">IF(COUNTA(D21:E21)=0,"",SUM(D21:E21))</f>
        <v>118</v>
      </c>
      <c r="G21" s="55" t="n">
        <f aca="false">IF(OR(F21="",F21=0),"",D21/F21)</f>
        <v>0.279661016949153</v>
      </c>
      <c r="H21" s="55" t="n">
        <f aca="false">IF(OR(F21="",F21=0),"",E21/F21)</f>
        <v>0.720338983050847</v>
      </c>
      <c r="I21" s="32" t="s">
        <v>130</v>
      </c>
      <c r="J21" s="36" t="n">
        <v>2.73651760017814</v>
      </c>
      <c r="K21" s="36" t="n">
        <f aca="false">$K$8</f>
        <v>1.81119845967768</v>
      </c>
      <c r="L21" s="36" t="n">
        <f aca="false">SQRT(J21^2+K21^2)</f>
        <v>3.28161064668305</v>
      </c>
      <c r="M21" s="55" t="n">
        <f aca="false">IF(G21="","",MAX(0,G21-1.96*L21/100))</f>
        <v>0.215341448274165</v>
      </c>
      <c r="N21" s="55" t="n">
        <f aca="false">IF(G21="","",MIN(1,G21+1.96*L21/100))</f>
        <v>0.34398058562414</v>
      </c>
      <c r="O21" s="54" t="n">
        <f aca="false">ROUND(S21*W21,0)</f>
        <v>9</v>
      </c>
      <c r="P21" s="54" t="n">
        <f aca="false">IF(F21="","",ROUND(SQRT((F21*L21/100)^2+(G21*O21)^2),0))</f>
        <v>5</v>
      </c>
      <c r="R21" s="56" t="n">
        <v>-14.6464849865653</v>
      </c>
      <c r="S21" s="57" t="n">
        <f aca="false">U21*V21*$F$5</f>
        <v>118.285714285714</v>
      </c>
      <c r="T21" s="58" t="n">
        <f aca="false">MAX(0,MIN(1,R21/100+$D$5))</f>
        <v>0.276816089894758</v>
      </c>
      <c r="U21" s="58" t="n">
        <v>0.657142857142857</v>
      </c>
      <c r="V21" s="57" t="n">
        <v>180</v>
      </c>
      <c r="W21" s="58" t="n">
        <v>0.0777040344688333</v>
      </c>
      <c r="X21" s="59" t="s">
        <v>131</v>
      </c>
      <c r="Y21" s="59" t="s">
        <v>132</v>
      </c>
    </row>
    <row r="22" customFormat="false" ht="15" hidden="false" customHeight="false" outlineLevel="0" collapsed="false">
      <c r="A22" s="32" t="s">
        <v>127</v>
      </c>
      <c r="B22" s="32" t="s">
        <v>143</v>
      </c>
      <c r="C22" s="32" t="s">
        <v>129</v>
      </c>
      <c r="D22" s="54" t="n">
        <f aca="false">ROUND(S22*T22,0)</f>
        <v>51</v>
      </c>
      <c r="E22" s="54" t="n">
        <f aca="false">ROUND(S22,0)-D22</f>
        <v>186</v>
      </c>
      <c r="F22" s="54" t="n">
        <f aca="false">IF(COUNTA(D22:E22)=0,"",SUM(D22:E22))</f>
        <v>237</v>
      </c>
      <c r="G22" s="55" t="n">
        <f aca="false">IF(OR(F22="",F22=0),"",D22/F22)</f>
        <v>0.215189873417722</v>
      </c>
      <c r="H22" s="55" t="n">
        <f aca="false">IF(OR(F22="",F22=0),"",E22/F22)</f>
        <v>0.784810126582278</v>
      </c>
      <c r="I22" s="32" t="s">
        <v>130</v>
      </c>
      <c r="J22" s="36" t="n">
        <v>2.73651760017814</v>
      </c>
      <c r="K22" s="36" t="n">
        <f aca="false">$K$8</f>
        <v>1.81119845967768</v>
      </c>
      <c r="L22" s="36" t="n">
        <f aca="false">SQRT(J22^2+K22^2)</f>
        <v>3.28161064668305</v>
      </c>
      <c r="M22" s="55" t="n">
        <f aca="false">IF(G22="","",MAX(0,G22-1.96*L22/100))</f>
        <v>0.150870304742734</v>
      </c>
      <c r="N22" s="55" t="n">
        <f aca="false">IF(G22="","",MIN(1,G22+1.96*L22/100))</f>
        <v>0.279509442092709</v>
      </c>
      <c r="O22" s="54" t="n">
        <f aca="false">ROUND(S22*W22,0)</f>
        <v>18</v>
      </c>
      <c r="P22" s="54" t="n">
        <f aca="false">IF(F22="","",ROUND(SQRT((F22*L22/100)^2+(G22*O22)^2),0))</f>
        <v>9</v>
      </c>
      <c r="R22" s="56" t="n">
        <v>-20.8560660566439</v>
      </c>
      <c r="S22" s="57" t="n">
        <f aca="false">U22*V22*$F$5</f>
        <v>236.844827586207</v>
      </c>
      <c r="T22" s="58" t="n">
        <f aca="false">MAX(0,MIN(1,R22/100+$D$5))</f>
        <v>0.214720279193971</v>
      </c>
      <c r="U22" s="58" t="n">
        <v>0.692528735632184</v>
      </c>
      <c r="V22" s="57" t="n">
        <v>342</v>
      </c>
      <c r="W22" s="58" t="n">
        <v>0.0777040344688333</v>
      </c>
      <c r="X22" s="59" t="s">
        <v>131</v>
      </c>
      <c r="Y22" s="59" t="s">
        <v>132</v>
      </c>
    </row>
    <row r="23" customFormat="false" ht="15" hidden="false" customHeight="false" outlineLevel="0" collapsed="false">
      <c r="A23" s="32" t="s">
        <v>127</v>
      </c>
      <c r="B23" s="32" t="s">
        <v>144</v>
      </c>
      <c r="C23" s="32" t="s">
        <v>129</v>
      </c>
      <c r="D23" s="54" t="n">
        <f aca="false">ROUND(S23*T23,0)</f>
        <v>705</v>
      </c>
      <c r="E23" s="54" t="n">
        <f aca="false">ROUND(S23,0)-D23</f>
        <v>1049</v>
      </c>
      <c r="F23" s="54" t="n">
        <f aca="false">IF(COUNTA(D23:E23)=0,"",SUM(D23:E23))</f>
        <v>1754</v>
      </c>
      <c r="G23" s="55" t="n">
        <f aca="false">IF(OR(F23="",F23=0),"",D23/F23)</f>
        <v>0.40193842645382</v>
      </c>
      <c r="H23" s="55" t="n">
        <f aca="false">IF(OR(F23="",F23=0),"",E23/F23)</f>
        <v>0.59806157354618</v>
      </c>
      <c r="I23" s="32" t="s">
        <v>130</v>
      </c>
      <c r="J23" s="36" t="n">
        <v>1.56023581108354</v>
      </c>
      <c r="K23" s="36" t="n">
        <f aca="false">$K$8</f>
        <v>1.81119845967768</v>
      </c>
      <c r="L23" s="36" t="n">
        <f aca="false">SQRT(J23^2+K23^2)</f>
        <v>2.3905596931527</v>
      </c>
      <c r="M23" s="55" t="n">
        <f aca="false">IF(G23="","",MAX(0,G23-1.96*L23/100))</f>
        <v>0.355083456468027</v>
      </c>
      <c r="N23" s="55" t="n">
        <f aca="false">IF(G23="","",MIN(1,G23+1.96*L23/100))</f>
        <v>0.448793396439613</v>
      </c>
      <c r="O23" s="54" t="n">
        <f aca="false">ROUND(S23*W23,0)</f>
        <v>106</v>
      </c>
      <c r="P23" s="54" t="n">
        <f aca="false">IF(F23="","",ROUND(SQRT((F23*L23/100)^2+(G23*O23)^2),0))</f>
        <v>60</v>
      </c>
      <c r="R23" s="56" t="n">
        <v>-2.1542873909429</v>
      </c>
      <c r="S23" s="57" t="n">
        <f aca="false">U23*V23*$F$5</f>
        <v>1753.74077578051</v>
      </c>
      <c r="T23" s="58" t="n">
        <f aca="false">MAX(0,MIN(1,R23/100+$D$5))</f>
        <v>0.401738065850981</v>
      </c>
      <c r="U23" s="58" t="n">
        <v>0.525701671397036</v>
      </c>
      <c r="V23" s="57" t="n">
        <v>3336</v>
      </c>
      <c r="W23" s="58" t="n">
        <v>0.0606122259008943</v>
      </c>
      <c r="X23" s="59" t="s">
        <v>136</v>
      </c>
      <c r="Y23" s="59" t="s">
        <v>132</v>
      </c>
    </row>
    <row r="24" customFormat="false" ht="15" hidden="false" customHeight="false" outlineLevel="0" collapsed="false">
      <c r="A24" s="32" t="s">
        <v>127</v>
      </c>
      <c r="B24" s="32" t="s">
        <v>145</v>
      </c>
      <c r="C24" s="32" t="s">
        <v>129</v>
      </c>
      <c r="D24" s="54" t="n">
        <f aca="false">ROUND(S24*T24,0)</f>
        <v>408</v>
      </c>
      <c r="E24" s="54" t="n">
        <f aca="false">ROUND(S24,0)-D24</f>
        <v>993</v>
      </c>
      <c r="F24" s="54" t="n">
        <f aca="false">IF(COUNTA(D24:E24)=0,"",SUM(D24:E24))</f>
        <v>1401</v>
      </c>
      <c r="G24" s="55" t="n">
        <f aca="false">IF(OR(F24="",F24=0),"",D24/F24)</f>
        <v>0.291220556745182</v>
      </c>
      <c r="H24" s="55" t="n">
        <f aca="false">IF(OR(F24="",F24=0),"",E24/F24)</f>
        <v>0.708779443254818</v>
      </c>
      <c r="I24" s="32" t="s">
        <v>130</v>
      </c>
      <c r="J24" s="36" t="n">
        <v>1.56023581108354</v>
      </c>
      <c r="K24" s="36" t="n">
        <f aca="false">$K$8</f>
        <v>1.81119845967768</v>
      </c>
      <c r="L24" s="36" t="n">
        <f aca="false">SQRT(J24^2+K24^2)</f>
        <v>2.3905596931527</v>
      </c>
      <c r="M24" s="55" t="n">
        <f aca="false">IF(G24="","",MAX(0,G24-1.96*L24/100))</f>
        <v>0.244365586759389</v>
      </c>
      <c r="N24" s="55" t="n">
        <f aca="false">IF(G24="","",MIN(1,G24+1.96*L24/100))</f>
        <v>0.338075526730975</v>
      </c>
      <c r="O24" s="54" t="n">
        <f aca="false">ROUND(S24*W24,0)</f>
        <v>85</v>
      </c>
      <c r="P24" s="54" t="n">
        <f aca="false">IF(F24="","",ROUND(SQRT((F24*L24/100)^2+(G24*O24)^2),0))</f>
        <v>42</v>
      </c>
      <c r="R24" s="56" t="n">
        <v>-13.1882257790541</v>
      </c>
      <c r="S24" s="57" t="n">
        <f aca="false">U24*V24*$F$5</f>
        <v>1401.11772917636</v>
      </c>
      <c r="T24" s="58" t="n">
        <f aca="false">MAX(0,MIN(1,R24/100+$D$5))</f>
        <v>0.291398681969869</v>
      </c>
      <c r="U24" s="58" t="n">
        <v>0.626337831549558</v>
      </c>
      <c r="V24" s="57" t="n">
        <v>2237</v>
      </c>
      <c r="W24" s="58" t="n">
        <v>0.0606122259008943</v>
      </c>
      <c r="X24" s="59" t="s">
        <v>136</v>
      </c>
      <c r="Y24" s="59" t="s">
        <v>132</v>
      </c>
    </row>
    <row r="25" customFormat="false" ht="15" hidden="false" customHeight="false" outlineLevel="0" collapsed="false">
      <c r="A25" s="32" t="s">
        <v>127</v>
      </c>
      <c r="B25" s="32" t="s">
        <v>146</v>
      </c>
      <c r="C25" s="32" t="s">
        <v>129</v>
      </c>
      <c r="D25" s="54" t="n">
        <f aca="false">ROUND(S25*T25,0)</f>
        <v>559</v>
      </c>
      <c r="E25" s="54" t="n">
        <f aca="false">ROUND(S25,0)-D25</f>
        <v>1319</v>
      </c>
      <c r="F25" s="54" t="n">
        <f aca="false">IF(COUNTA(D25:E25)=0,"",SUM(D25:E25))</f>
        <v>1878</v>
      </c>
      <c r="G25" s="55" t="n">
        <f aca="false">IF(OR(F25="",F25=0),"",D25/F25)</f>
        <v>0.29765708200213</v>
      </c>
      <c r="H25" s="55" t="n">
        <f aca="false">IF(OR(F25="",F25=0),"",E25/F25)</f>
        <v>0.70234291799787</v>
      </c>
      <c r="I25" s="32" t="s">
        <v>130</v>
      </c>
      <c r="J25" s="36" t="n">
        <v>1.56023581108354</v>
      </c>
      <c r="K25" s="36" t="n">
        <f aca="false">$K$8</f>
        <v>1.81119845967768</v>
      </c>
      <c r="L25" s="36" t="n">
        <f aca="false">SQRT(J25^2+K25^2)</f>
        <v>2.3905596931527</v>
      </c>
      <c r="M25" s="55" t="n">
        <f aca="false">IF(G25="","",MAX(0,G25-1.96*L25/100))</f>
        <v>0.250802112016337</v>
      </c>
      <c r="N25" s="55" t="n">
        <f aca="false">IF(G25="","",MIN(1,G25+1.96*L25/100))</f>
        <v>0.344512051987923</v>
      </c>
      <c r="O25" s="54" t="n">
        <f aca="false">ROUND(S25*W25,0)</f>
        <v>114</v>
      </c>
      <c r="P25" s="54" t="n">
        <f aca="false">IF(F25="","",ROUND(SQRT((F25*L25/100)^2+(G25*O25)^2),0))</f>
        <v>56</v>
      </c>
      <c r="R25" s="56" t="n">
        <v>-12.5618961627895</v>
      </c>
      <c r="S25" s="57" t="n">
        <f aca="false">U25*V25*$F$5</f>
        <v>1878.41828929068</v>
      </c>
      <c r="T25" s="58" t="n">
        <f aca="false">MAX(0,MIN(1,R25/100+$D$5))</f>
        <v>0.297661978132515</v>
      </c>
      <c r="U25" s="58" t="n">
        <v>0.616481223922114</v>
      </c>
      <c r="V25" s="57" t="n">
        <v>3047</v>
      </c>
      <c r="W25" s="58" t="n">
        <v>0.0606122259008943</v>
      </c>
      <c r="X25" s="59" t="s">
        <v>136</v>
      </c>
      <c r="Y25" s="59" t="s">
        <v>132</v>
      </c>
    </row>
    <row r="26" customFormat="false" ht="15" hidden="false" customHeight="false" outlineLevel="0" collapsed="false">
      <c r="A26" s="32" t="s">
        <v>127</v>
      </c>
      <c r="B26" s="32" t="s">
        <v>147</v>
      </c>
      <c r="C26" s="32" t="s">
        <v>129</v>
      </c>
      <c r="D26" s="54" t="n">
        <f aca="false">ROUND(S26*T26,0)</f>
        <v>486</v>
      </c>
      <c r="E26" s="54" t="n">
        <f aca="false">ROUND(S26,0)-D26</f>
        <v>728</v>
      </c>
      <c r="F26" s="54" t="n">
        <f aca="false">IF(COUNTA(D26:E26)=0,"",SUM(D26:E26))</f>
        <v>1214</v>
      </c>
      <c r="G26" s="55" t="n">
        <f aca="false">IF(OR(F26="",F26=0),"",D26/F26)</f>
        <v>0.400329489291598</v>
      </c>
      <c r="H26" s="55" t="n">
        <f aca="false">IF(OR(F26="",F26=0),"",E26/F26)</f>
        <v>0.599670510708402</v>
      </c>
      <c r="I26" s="32" t="s">
        <v>130</v>
      </c>
      <c r="J26" s="36" t="n">
        <v>2.73651760017814</v>
      </c>
      <c r="K26" s="36" t="n">
        <f aca="false">$K$8</f>
        <v>1.81119845967768</v>
      </c>
      <c r="L26" s="36" t="n">
        <f aca="false">SQRT(J26^2+K26^2)</f>
        <v>3.28161064668305</v>
      </c>
      <c r="M26" s="55" t="n">
        <f aca="false">IF(G26="","",MAX(0,G26-1.96*L26/100))</f>
        <v>0.33600992061661</v>
      </c>
      <c r="N26" s="55" t="n">
        <f aca="false">IF(G26="","",MIN(1,G26+1.96*L26/100))</f>
        <v>0.464649057966586</v>
      </c>
      <c r="O26" s="54" t="n">
        <f aca="false">ROUND(S26*W26,0)</f>
        <v>94</v>
      </c>
      <c r="P26" s="54" t="n">
        <f aca="false">IF(F26="","",ROUND(SQRT((F26*L26/100)^2+(G26*O26)^2),0))</f>
        <v>55</v>
      </c>
      <c r="R26" s="56" t="n">
        <v>-2.30765627087437</v>
      </c>
      <c r="S26" s="57" t="n">
        <f aca="false">U26*V26*$F$5</f>
        <v>1214.17865765331</v>
      </c>
      <c r="T26" s="58" t="n">
        <f aca="false">MAX(0,MIN(1,R26/100+$D$5))</f>
        <v>0.400204377051667</v>
      </c>
      <c r="U26" s="58" t="n">
        <v>0.576533075808788</v>
      </c>
      <c r="V26" s="57" t="n">
        <v>2106</v>
      </c>
      <c r="W26" s="58" t="n">
        <v>0.0777040344688333</v>
      </c>
      <c r="X26" s="59" t="s">
        <v>131</v>
      </c>
      <c r="Y26" s="59" t="s">
        <v>132</v>
      </c>
    </row>
    <row r="27" customFormat="false" ht="15" hidden="false" customHeight="false" outlineLevel="0" collapsed="false">
      <c r="A27" s="32" t="s">
        <v>127</v>
      </c>
      <c r="B27" s="32" t="s">
        <v>148</v>
      </c>
      <c r="C27" s="32" t="s">
        <v>129</v>
      </c>
      <c r="D27" s="54" t="n">
        <f aca="false">ROUND(S27*T27,0)</f>
        <v>109</v>
      </c>
      <c r="E27" s="54" t="n">
        <f aca="false">ROUND(S27,0)-D27</f>
        <v>421</v>
      </c>
      <c r="F27" s="54" t="n">
        <f aca="false">IF(COUNTA(D27:E27)=0,"",SUM(D27:E27))</f>
        <v>530</v>
      </c>
      <c r="G27" s="55" t="n">
        <f aca="false">IF(OR(F27="",F27=0),"",D27/F27)</f>
        <v>0.205660377358491</v>
      </c>
      <c r="H27" s="55" t="n">
        <f aca="false">IF(OR(F27="",F27=0),"",E27/F27)</f>
        <v>0.79433962264151</v>
      </c>
      <c r="I27" s="32" t="s">
        <v>130</v>
      </c>
      <c r="J27" s="36" t="n">
        <v>2.73651760017814</v>
      </c>
      <c r="K27" s="36" t="n">
        <f aca="false">$K$8</f>
        <v>1.81119845967768</v>
      </c>
      <c r="L27" s="36" t="n">
        <f aca="false">SQRT(J27^2+K27^2)</f>
        <v>3.28161064668305</v>
      </c>
      <c r="M27" s="55" t="n">
        <f aca="false">IF(G27="","",MAX(0,G27-1.96*L27/100))</f>
        <v>0.141340808683503</v>
      </c>
      <c r="N27" s="55" t="n">
        <f aca="false">IF(G27="","",MIN(1,G27+1.96*L27/100))</f>
        <v>0.269979946033478</v>
      </c>
      <c r="O27" s="54" t="n">
        <f aca="false">ROUND(S27*W27,0)</f>
        <v>41</v>
      </c>
      <c r="P27" s="54" t="n">
        <f aca="false">IF(F27="","",ROUND(SQRT((F27*L27/100)^2+(G27*O27)^2),0))</f>
        <v>19</v>
      </c>
      <c r="R27" s="56" t="n">
        <v>-21.8459186360863</v>
      </c>
      <c r="S27" s="57" t="n">
        <f aca="false">U27*V27*$F$5</f>
        <v>530.117647058824</v>
      </c>
      <c r="T27" s="58" t="n">
        <f aca="false">MAX(0,MIN(1,R27/100+$D$5))</f>
        <v>0.204821753399548</v>
      </c>
      <c r="U27" s="58" t="n">
        <v>0.705882352941177</v>
      </c>
      <c r="V27" s="57" t="n">
        <v>751</v>
      </c>
      <c r="W27" s="58" t="n">
        <v>0.0777040344688333</v>
      </c>
      <c r="X27" s="59" t="s">
        <v>131</v>
      </c>
      <c r="Y27" s="59" t="s">
        <v>132</v>
      </c>
    </row>
    <row r="28" customFormat="false" ht="15" hidden="false" customHeight="false" outlineLevel="0" collapsed="false">
      <c r="A28" s="32" t="s">
        <v>127</v>
      </c>
      <c r="B28" s="32" t="s">
        <v>149</v>
      </c>
      <c r="C28" s="32" t="s">
        <v>129</v>
      </c>
      <c r="D28" s="54" t="n">
        <f aca="false">ROUND(S28*T28,0)</f>
        <v>729</v>
      </c>
      <c r="E28" s="54" t="n">
        <f aca="false">ROUND(S28,0)-D28</f>
        <v>1262</v>
      </c>
      <c r="F28" s="54" t="n">
        <f aca="false">IF(COUNTA(D28:E28)=0,"",SUM(D28:E28))</f>
        <v>1991</v>
      </c>
      <c r="G28" s="55" t="n">
        <f aca="false">IF(OR(F28="",F28=0),"",D28/F28)</f>
        <v>0.366147664490206</v>
      </c>
      <c r="H28" s="55" t="n">
        <f aca="false">IF(OR(F28="",F28=0),"",E28/F28)</f>
        <v>0.633852335509794</v>
      </c>
      <c r="I28" s="32" t="s">
        <v>130</v>
      </c>
      <c r="J28" s="36" t="n">
        <v>1.56023581108354</v>
      </c>
      <c r="K28" s="36" t="n">
        <f aca="false">$K$8</f>
        <v>1.81119845967768</v>
      </c>
      <c r="L28" s="36" t="n">
        <f aca="false">SQRT(J28^2+K28^2)</f>
        <v>2.3905596931527</v>
      </c>
      <c r="M28" s="55" t="n">
        <f aca="false">IF(G28="","",MAX(0,G28-1.96*L28/100))</f>
        <v>0.319292694504413</v>
      </c>
      <c r="N28" s="55" t="n">
        <f aca="false">IF(G28="","",MIN(1,G28+1.96*L28/100))</f>
        <v>0.413002634475999</v>
      </c>
      <c r="O28" s="54" t="n">
        <f aca="false">ROUND(S28*W28,0)</f>
        <v>121</v>
      </c>
      <c r="P28" s="54" t="n">
        <f aca="false">IF(F28="","",ROUND(SQRT((F28*L28/100)^2+(G28*O28)^2),0))</f>
        <v>65</v>
      </c>
      <c r="R28" s="56" t="n">
        <v>-5.74291433818541</v>
      </c>
      <c r="S28" s="57" t="n">
        <f aca="false">U28*V28*$F$5</f>
        <v>1991.47057118005</v>
      </c>
      <c r="T28" s="58" t="n">
        <f aca="false">MAX(0,MIN(1,R28/100+$D$5))</f>
        <v>0.365851796378556</v>
      </c>
      <c r="U28" s="58" t="n">
        <v>0.553493766309075</v>
      </c>
      <c r="V28" s="57" t="n">
        <v>3598</v>
      </c>
      <c r="W28" s="58" t="n">
        <v>0.0606122259008943</v>
      </c>
      <c r="X28" s="59" t="s">
        <v>136</v>
      </c>
      <c r="Y28" s="59" t="s">
        <v>132</v>
      </c>
    </row>
    <row r="29" customFormat="false" ht="15" hidden="false" customHeight="false" outlineLevel="0" collapsed="false">
      <c r="A29" s="32" t="s">
        <v>127</v>
      </c>
      <c r="B29" s="32" t="s">
        <v>150</v>
      </c>
      <c r="C29" s="32" t="s">
        <v>129</v>
      </c>
      <c r="D29" s="54" t="n">
        <f aca="false">ROUND(S29*T29,0)</f>
        <v>59</v>
      </c>
      <c r="E29" s="54" t="n">
        <f aca="false">ROUND(S29,0)-D29</f>
        <v>126</v>
      </c>
      <c r="F29" s="54" t="n">
        <f aca="false">IF(COUNTA(D29:E29)=0,"",SUM(D29:E29))</f>
        <v>185</v>
      </c>
      <c r="G29" s="55" t="n">
        <f aca="false">IF(OR(F29="",F29=0),"",D29/F29)</f>
        <v>0.318918918918919</v>
      </c>
      <c r="H29" s="55" t="n">
        <f aca="false">IF(OR(F29="",F29=0),"",E29/F29)</f>
        <v>0.681081081081081</v>
      </c>
      <c r="I29" s="32" t="s">
        <v>130</v>
      </c>
      <c r="J29" s="36" t="n">
        <v>2.73651760017814</v>
      </c>
      <c r="K29" s="36" t="n">
        <f aca="false">$K$8</f>
        <v>1.81119845967768</v>
      </c>
      <c r="L29" s="36" t="n">
        <f aca="false">SQRT(J29^2+K29^2)</f>
        <v>3.28161064668305</v>
      </c>
      <c r="M29" s="55" t="n">
        <f aca="false">IF(G29="","",MAX(0,G29-1.96*L29/100))</f>
        <v>0.254599350243931</v>
      </c>
      <c r="N29" s="55" t="n">
        <f aca="false">IF(G29="","",MIN(1,G29+1.96*L29/100))</f>
        <v>0.383238487593907</v>
      </c>
      <c r="O29" s="54" t="n">
        <f aca="false">ROUND(S29*W29,0)</f>
        <v>14</v>
      </c>
      <c r="P29" s="54" t="n">
        <f aca="false">IF(F29="","",ROUND(SQRT((F29*L29/100)^2+(G29*O29)^2),0))</f>
        <v>8</v>
      </c>
      <c r="R29" s="56" t="n">
        <v>-10.3815865215263</v>
      </c>
      <c r="S29" s="57" t="n">
        <f aca="false">U29*V29*$F$5</f>
        <v>184.547540983607</v>
      </c>
      <c r="T29" s="58" t="n">
        <f aca="false">MAX(0,MIN(1,R29/100+$D$5))</f>
        <v>0.319465074545147</v>
      </c>
      <c r="U29" s="58" t="n">
        <v>0.613114754098361</v>
      </c>
      <c r="V29" s="57" t="n">
        <v>301</v>
      </c>
      <c r="W29" s="58" t="n">
        <v>0.0777040344688333</v>
      </c>
      <c r="X29" s="59" t="s">
        <v>131</v>
      </c>
      <c r="Y29" s="59" t="s">
        <v>132</v>
      </c>
    </row>
    <row r="30" customFormat="false" ht="15" hidden="false" customHeight="false" outlineLevel="0" collapsed="false">
      <c r="A30" s="32" t="s">
        <v>127</v>
      </c>
      <c r="B30" s="32" t="s">
        <v>151</v>
      </c>
      <c r="C30" s="32" t="s">
        <v>129</v>
      </c>
      <c r="D30" s="54" t="n">
        <f aca="false">ROUND(S30*T30,0)</f>
        <v>1637</v>
      </c>
      <c r="E30" s="54" t="n">
        <f aca="false">ROUND(S30,0)-D30</f>
        <v>2835</v>
      </c>
      <c r="F30" s="54" t="n">
        <f aca="false">IF(COUNTA(D30:E30)=0,"",SUM(D30:E30))</f>
        <v>4472</v>
      </c>
      <c r="G30" s="55" t="n">
        <f aca="false">IF(OR(F30="",F30=0),"",D30/F30)</f>
        <v>0.366055456171735</v>
      </c>
      <c r="H30" s="55" t="n">
        <f aca="false">IF(OR(F30="",F30=0),"",E30/F30)</f>
        <v>0.633944543828265</v>
      </c>
      <c r="I30" s="32" t="s">
        <v>130</v>
      </c>
      <c r="J30" s="36" t="n">
        <v>1.35162343329881</v>
      </c>
      <c r="K30" s="36" t="n">
        <f aca="false">$K$8</f>
        <v>1.81119845967768</v>
      </c>
      <c r="L30" s="36" t="n">
        <f aca="false">SQRT(J30^2+K30^2)</f>
        <v>2.25993932789826</v>
      </c>
      <c r="M30" s="55" t="n">
        <f aca="false">IF(G30="","",MAX(0,G30-1.96*L30/100))</f>
        <v>0.321760645344929</v>
      </c>
      <c r="N30" s="55" t="n">
        <f aca="false">IF(G30="","",MIN(1,G30+1.96*L30/100))</f>
        <v>0.410350266998541</v>
      </c>
      <c r="O30" s="54" t="n">
        <f aca="false">ROUND(S30*W30,0)</f>
        <v>247</v>
      </c>
      <c r="P30" s="54" t="n">
        <f aca="false">IF(F30="","",ROUND(SQRT((F30*L30/100)^2+(G30*O30)^2),0))</f>
        <v>136</v>
      </c>
      <c r="R30" s="56" t="n">
        <v>-5.715399825318</v>
      </c>
      <c r="S30" s="57" t="n">
        <f aca="false">U30*V30*$F$5</f>
        <v>4472.46592381446</v>
      </c>
      <c r="T30" s="58" t="n">
        <f aca="false">MAX(0,MIN(1,R30/100+$D$5))</f>
        <v>0.36612694150723</v>
      </c>
      <c r="U30" s="58" t="n">
        <v>0.560248769111169</v>
      </c>
      <c r="V30" s="57" t="n">
        <v>7983</v>
      </c>
      <c r="W30" s="58" t="n">
        <v>0.0551273752894184</v>
      </c>
      <c r="X30" s="59" t="s">
        <v>152</v>
      </c>
      <c r="Y30" s="59" t="s">
        <v>132</v>
      </c>
    </row>
    <row r="31" customFormat="false" ht="15" hidden="false" customHeight="false" outlineLevel="0" collapsed="false">
      <c r="A31" s="32" t="s">
        <v>127</v>
      </c>
      <c r="B31" s="32" t="s">
        <v>153</v>
      </c>
      <c r="C31" s="32" t="s">
        <v>129</v>
      </c>
      <c r="D31" s="54" t="n">
        <f aca="false">ROUND(S31*T31,0)</f>
        <v>553</v>
      </c>
      <c r="E31" s="54" t="n">
        <f aca="false">ROUND(S31,0)-D31</f>
        <v>740</v>
      </c>
      <c r="F31" s="54" t="n">
        <f aca="false">IF(COUNTA(D31:E31)=0,"",SUM(D31:E31))</f>
        <v>1293</v>
      </c>
      <c r="G31" s="55" t="n">
        <f aca="false">IF(OR(F31="",F31=0),"",D31/F31)</f>
        <v>0.4276875483372</v>
      </c>
      <c r="H31" s="55" t="n">
        <f aca="false">IF(OR(F31="",F31=0),"",E31/F31)</f>
        <v>0.5723124516628</v>
      </c>
      <c r="I31" s="32" t="s">
        <v>130</v>
      </c>
      <c r="J31" s="36" t="n">
        <v>1.56023581108354</v>
      </c>
      <c r="K31" s="36" t="n">
        <f aca="false">$K$8</f>
        <v>1.81119845967768</v>
      </c>
      <c r="L31" s="36" t="n">
        <f aca="false">SQRT(J31^2+K31^2)</f>
        <v>2.3905596931527</v>
      </c>
      <c r="M31" s="55" t="n">
        <f aca="false">IF(G31="","",MAX(0,G31-1.96*L31/100))</f>
        <v>0.380832578351407</v>
      </c>
      <c r="N31" s="55" t="n">
        <f aca="false">IF(G31="","",MIN(1,G31+1.96*L31/100))</f>
        <v>0.474542518322993</v>
      </c>
      <c r="O31" s="54" t="n">
        <f aca="false">ROUND(S31*W31,0)</f>
        <v>78</v>
      </c>
      <c r="P31" s="54" t="n">
        <f aca="false">IF(F31="","",ROUND(SQRT((F31*L31/100)^2+(G31*O31)^2),0))</f>
        <v>45</v>
      </c>
      <c r="R31" s="56" t="n">
        <v>0.42898154540192</v>
      </c>
      <c r="S31" s="57" t="n">
        <f aca="false">U31*V31*$F$5</f>
        <v>1293.28908554572</v>
      </c>
      <c r="T31" s="58" t="n">
        <f aca="false">MAX(0,MIN(1,R31/100+$D$5))</f>
        <v>0.42757075521443</v>
      </c>
      <c r="U31" s="58" t="n">
        <v>0.607177974434612</v>
      </c>
      <c r="V31" s="57" t="n">
        <v>2130</v>
      </c>
      <c r="W31" s="58" t="n">
        <v>0.0606122259008943</v>
      </c>
      <c r="X31" s="59" t="s">
        <v>136</v>
      </c>
      <c r="Y31" s="59" t="s">
        <v>132</v>
      </c>
    </row>
    <row r="32" customFormat="false" ht="15" hidden="false" customHeight="false" outlineLevel="0" collapsed="false">
      <c r="A32" s="32" t="s">
        <v>127</v>
      </c>
      <c r="B32" s="32" t="s">
        <v>154</v>
      </c>
      <c r="C32" s="32" t="s">
        <v>129</v>
      </c>
      <c r="D32" s="54" t="n">
        <f aca="false">ROUND(S32*T32,0)</f>
        <v>653</v>
      </c>
      <c r="E32" s="54" t="n">
        <f aca="false">ROUND(S32,0)-D32</f>
        <v>1605</v>
      </c>
      <c r="F32" s="54" t="n">
        <f aca="false">IF(COUNTA(D32:E32)=0,"",SUM(D32:E32))</f>
        <v>2258</v>
      </c>
      <c r="G32" s="55" t="n">
        <f aca="false">IF(OR(F32="",F32=0),"",D32/F32)</f>
        <v>0.289193976970771</v>
      </c>
      <c r="H32" s="55" t="n">
        <f aca="false">IF(OR(F32="",F32=0),"",E32/F32)</f>
        <v>0.71080602302923</v>
      </c>
      <c r="I32" s="32" t="s">
        <v>130</v>
      </c>
      <c r="J32" s="36" t="n">
        <v>1.56023581108354</v>
      </c>
      <c r="K32" s="36" t="n">
        <f aca="false">$K$8</f>
        <v>1.81119845967768</v>
      </c>
      <c r="L32" s="36" t="n">
        <f aca="false">SQRT(J32^2+K32^2)</f>
        <v>2.3905596931527</v>
      </c>
      <c r="M32" s="55" t="n">
        <f aca="false">IF(G32="","",MAX(0,G32-1.96*L32/100))</f>
        <v>0.242339006984978</v>
      </c>
      <c r="N32" s="55" t="n">
        <f aca="false">IF(G32="","",MIN(1,G32+1.96*L32/100))</f>
        <v>0.336048946956563</v>
      </c>
      <c r="O32" s="54" t="n">
        <f aca="false">ROUND(S32*W32,0)</f>
        <v>137</v>
      </c>
      <c r="P32" s="54" t="n">
        <f aca="false">IF(F32="","",ROUND(SQRT((F32*L32/100)^2+(G32*O32)^2),0))</f>
        <v>67</v>
      </c>
      <c r="R32" s="56" t="n">
        <v>-13.4154278209299</v>
      </c>
      <c r="S32" s="57" t="n">
        <f aca="false">U32*V32*$F$5</f>
        <v>2258.11685530743</v>
      </c>
      <c r="T32" s="58" t="n">
        <f aca="false">MAX(0,MIN(1,R32/100+$D$5))</f>
        <v>0.289126661551111</v>
      </c>
      <c r="U32" s="58" t="n">
        <v>0.65188130926889</v>
      </c>
      <c r="V32" s="57" t="n">
        <v>3464</v>
      </c>
      <c r="W32" s="58" t="n">
        <v>0.0606122259008943</v>
      </c>
      <c r="X32" s="59" t="s">
        <v>136</v>
      </c>
      <c r="Y32" s="59" t="s">
        <v>132</v>
      </c>
    </row>
    <row r="33" customFormat="false" ht="15" hidden="false" customHeight="false" outlineLevel="0" collapsed="false">
      <c r="A33" s="32" t="s">
        <v>127</v>
      </c>
      <c r="B33" s="32" t="s">
        <v>155</v>
      </c>
      <c r="C33" s="32" t="s">
        <v>129</v>
      </c>
      <c r="D33" s="54" t="n">
        <f aca="false">ROUND(S33*T33,0)</f>
        <v>272</v>
      </c>
      <c r="E33" s="54" t="n">
        <f aca="false">ROUND(S33,0)-D33</f>
        <v>642</v>
      </c>
      <c r="F33" s="54" t="n">
        <f aca="false">IF(COUNTA(D33:E33)=0,"",SUM(D33:E33))</f>
        <v>914</v>
      </c>
      <c r="G33" s="55" t="n">
        <f aca="false">IF(OR(F33="",F33=0),"",D33/F33)</f>
        <v>0.297592997811816</v>
      </c>
      <c r="H33" s="55" t="n">
        <f aca="false">IF(OR(F33="",F33=0),"",E33/F33)</f>
        <v>0.702407002188184</v>
      </c>
      <c r="I33" s="32" t="s">
        <v>130</v>
      </c>
      <c r="J33" s="36" t="n">
        <v>2.73651760017814</v>
      </c>
      <c r="K33" s="36" t="n">
        <f aca="false">$K$8</f>
        <v>1.81119845967768</v>
      </c>
      <c r="L33" s="36" t="n">
        <f aca="false">SQRT(J33^2+K33^2)</f>
        <v>3.28161064668305</v>
      </c>
      <c r="M33" s="55" t="n">
        <f aca="false">IF(G33="","",MAX(0,G33-1.96*L33/100))</f>
        <v>0.233273429136828</v>
      </c>
      <c r="N33" s="55" t="n">
        <f aca="false">IF(G33="","",MIN(1,G33+1.96*L33/100))</f>
        <v>0.361912566486804</v>
      </c>
      <c r="O33" s="54" t="n">
        <f aca="false">ROUND(S33*W33,0)</f>
        <v>71</v>
      </c>
      <c r="P33" s="54" t="n">
        <f aca="false">IF(F33="","",ROUND(SQRT((F33*L33/100)^2+(G33*O33)^2),0))</f>
        <v>37</v>
      </c>
      <c r="R33" s="56" t="n">
        <v>-12.5498013582473</v>
      </c>
      <c r="S33" s="57" t="n">
        <f aca="false">U33*V33*$F$5</f>
        <v>913.771907216495</v>
      </c>
      <c r="T33" s="58" t="n">
        <f aca="false">MAX(0,MIN(1,R33/100+$D$5))</f>
        <v>0.297782926177938</v>
      </c>
      <c r="U33" s="58" t="n">
        <v>0.580541237113402</v>
      </c>
      <c r="V33" s="57" t="n">
        <v>1574</v>
      </c>
      <c r="W33" s="58" t="n">
        <v>0.0777040344688333</v>
      </c>
      <c r="X33" s="59" t="s">
        <v>131</v>
      </c>
      <c r="Y33" s="59" t="s">
        <v>132</v>
      </c>
    </row>
    <row r="34" customFormat="false" ht="15" hidden="false" customHeight="false" outlineLevel="0" collapsed="false">
      <c r="A34" s="32" t="s">
        <v>127</v>
      </c>
      <c r="B34" s="32" t="s">
        <v>156</v>
      </c>
      <c r="C34" s="32" t="s">
        <v>129</v>
      </c>
      <c r="D34" s="54" t="n">
        <f aca="false">ROUND(S34*T34,0)</f>
        <v>37</v>
      </c>
      <c r="E34" s="54" t="n">
        <f aca="false">ROUND(S34,0)-D34</f>
        <v>70</v>
      </c>
      <c r="F34" s="54" t="n">
        <f aca="false">IF(COUNTA(D34:E34)=0,"",SUM(D34:E34))</f>
        <v>107</v>
      </c>
      <c r="G34" s="55" t="n">
        <f aca="false">IF(OR(F34="",F34=0),"",D34/F34)</f>
        <v>0.345794392523364</v>
      </c>
      <c r="H34" s="55" t="n">
        <f aca="false">IF(OR(F34="",F34=0),"",E34/F34)</f>
        <v>0.654205607476636</v>
      </c>
      <c r="I34" s="32" t="s">
        <v>130</v>
      </c>
      <c r="J34" s="36" t="n">
        <v>2.73651760017814</v>
      </c>
      <c r="K34" s="36" t="n">
        <f aca="false">$K$8</f>
        <v>1.81119845967768</v>
      </c>
      <c r="L34" s="36" t="n">
        <f aca="false">SQRT(J34^2+K34^2)</f>
        <v>3.28161064668305</v>
      </c>
      <c r="M34" s="55" t="n">
        <f aca="false">IF(G34="","",MAX(0,G34-1.96*L34/100))</f>
        <v>0.281474823848377</v>
      </c>
      <c r="N34" s="55" t="n">
        <f aca="false">IF(G34="","",MIN(1,G34+1.96*L34/100))</f>
        <v>0.410113961198352</v>
      </c>
      <c r="O34" s="54" t="n">
        <f aca="false">ROUND(S34*W34,0)</f>
        <v>8</v>
      </c>
      <c r="P34" s="54" t="n">
        <f aca="false">IF(F34="","",ROUND(SQRT((F34*L34/100)^2+(G34*O34)^2),0))</f>
        <v>4</v>
      </c>
      <c r="R34" s="56" t="n">
        <v>-7.4564427693526</v>
      </c>
      <c r="S34" s="57" t="n">
        <f aca="false">U34*V34*$F$5</f>
        <v>106.666666666667</v>
      </c>
      <c r="T34" s="58" t="n">
        <f aca="false">MAX(0,MIN(1,R34/100+$D$5))</f>
        <v>0.348716512066884</v>
      </c>
      <c r="U34" s="58" t="n">
        <v>0.444444444444444</v>
      </c>
      <c r="V34" s="57" t="n">
        <v>240</v>
      </c>
      <c r="W34" s="58" t="n">
        <v>0.0777040344688333</v>
      </c>
      <c r="X34" s="59" t="s">
        <v>131</v>
      </c>
      <c r="Y34" s="59" t="s">
        <v>132</v>
      </c>
    </row>
    <row r="35" customFormat="false" ht="15" hidden="false" customHeight="false" outlineLevel="0" collapsed="false">
      <c r="A35" s="32" t="s">
        <v>157</v>
      </c>
      <c r="B35" s="32" t="s">
        <v>158</v>
      </c>
      <c r="C35" s="32" t="s">
        <v>129</v>
      </c>
      <c r="D35" s="54" t="n">
        <f aca="false">ROUND(S35*T35,0)</f>
        <v>494</v>
      </c>
      <c r="E35" s="54" t="n">
        <f aca="false">ROUND(S35,0)-D35</f>
        <v>567</v>
      </c>
      <c r="F35" s="54" t="n">
        <f aca="false">IF(COUNTA(D35:E35)=0,"",SUM(D35:E35))</f>
        <v>1061</v>
      </c>
      <c r="G35" s="55" t="n">
        <f aca="false">IF(OR(F35="",F35=0),"",D35/F35)</f>
        <v>0.46559849198869</v>
      </c>
      <c r="H35" s="55" t="n">
        <f aca="false">IF(OR(F35="",F35=0),"",E35/F35)</f>
        <v>0.53440150801131</v>
      </c>
      <c r="I35" s="32" t="s">
        <v>130</v>
      </c>
      <c r="J35" s="36" t="n">
        <v>2.73651760017814</v>
      </c>
      <c r="K35" s="36" t="n">
        <f aca="false">$K$8</f>
        <v>1.81119845967768</v>
      </c>
      <c r="L35" s="36" t="n">
        <f aca="false">SQRT(J35^2+K35^2)</f>
        <v>3.28161064668305</v>
      </c>
      <c r="M35" s="55" t="n">
        <f aca="false">IF(G35="","",MAX(0,G35-1.96*L35/100))</f>
        <v>0.401278923313702</v>
      </c>
      <c r="N35" s="55" t="n">
        <f aca="false">IF(G35="","",MIN(1,G35+1.96*L35/100))</f>
        <v>0.529918060663678</v>
      </c>
      <c r="O35" s="54" t="n">
        <f aca="false">ROUND(S35*W35,0)</f>
        <v>82</v>
      </c>
      <c r="P35" s="54" t="n">
        <f aca="false">IF(F35="","",ROUND(SQRT((F35*L35/100)^2+(G35*O35)^2),0))</f>
        <v>52</v>
      </c>
      <c r="R35" s="56" t="n">
        <v>4.28462772873911</v>
      </c>
      <c r="S35" s="57" t="n">
        <f aca="false">U35*V35*$F$5</f>
        <v>1060.80585424134</v>
      </c>
      <c r="T35" s="58" t="n">
        <f aca="false">MAX(0,MIN(1,R35/100+$D$5))</f>
        <v>0.466127217047801</v>
      </c>
      <c r="U35" s="58" t="n">
        <v>0.605137395459976</v>
      </c>
      <c r="V35" s="57" t="n">
        <v>1753</v>
      </c>
      <c r="W35" s="58" t="n">
        <v>0.0777040344688333</v>
      </c>
      <c r="X35" s="59" t="s">
        <v>131</v>
      </c>
      <c r="Y35" s="59" t="s">
        <v>132</v>
      </c>
    </row>
    <row r="36" customFormat="false" ht="15" hidden="false" customHeight="false" outlineLevel="0" collapsed="false">
      <c r="A36" s="32" t="s">
        <v>157</v>
      </c>
      <c r="B36" s="32" t="s">
        <v>159</v>
      </c>
      <c r="C36" s="32" t="s">
        <v>129</v>
      </c>
      <c r="D36" s="54" t="n">
        <f aca="false">ROUND(S36*T36,0)</f>
        <v>16492</v>
      </c>
      <c r="E36" s="54" t="n">
        <f aca="false">ROUND(S36,0)-D36</f>
        <v>8881</v>
      </c>
      <c r="F36" s="54" t="n">
        <f aca="false">IF(COUNTA(D36:E36)=0,"",SUM(D36:E36))</f>
        <v>25373</v>
      </c>
      <c r="G36" s="55" t="n">
        <f aca="false">IF(OR(F36="",F36=0),"",D36/F36)</f>
        <v>0.649982264611989</v>
      </c>
      <c r="H36" s="55" t="n">
        <f aca="false">IF(OR(F36="",F36=0),"",E36/F36)</f>
        <v>0.350017735388011</v>
      </c>
      <c r="I36" s="32" t="s">
        <v>130</v>
      </c>
      <c r="J36" s="36" t="n">
        <v>1.35162343329881</v>
      </c>
      <c r="K36" s="36" t="n">
        <f aca="false">$K$8</f>
        <v>1.81119845967768</v>
      </c>
      <c r="L36" s="36" t="n">
        <f aca="false">SQRT(J36^2+K36^2)</f>
        <v>2.25993932789826</v>
      </c>
      <c r="M36" s="55" t="n">
        <f aca="false">IF(G36="","",MAX(0,G36-1.96*L36/100))</f>
        <v>0.605687453785183</v>
      </c>
      <c r="N36" s="55" t="n">
        <f aca="false">IF(G36="","",MIN(1,G36+1.96*L36/100))</f>
        <v>0.694277075438795</v>
      </c>
      <c r="O36" s="54" t="n">
        <f aca="false">ROUND(S36*W36,0)</f>
        <v>1399</v>
      </c>
      <c r="P36" s="54" t="n">
        <f aca="false">IF(F36="","",ROUND(SQRT((F36*L36/100)^2+(G36*O36)^2),0))</f>
        <v>1075</v>
      </c>
      <c r="R36" s="56" t="n">
        <v>22.6675963641471</v>
      </c>
      <c r="S36" s="57" t="n">
        <f aca="false">U36*V36*$F$5</f>
        <v>25373.374760008</v>
      </c>
      <c r="T36" s="58" t="n">
        <f aca="false">MAX(0,MIN(1,R36/100+$D$5))</f>
        <v>0.649956903401882</v>
      </c>
      <c r="U36" s="58" t="n">
        <v>0.356778519643522</v>
      </c>
      <c r="V36" s="57" t="n">
        <v>71118</v>
      </c>
      <c r="W36" s="58" t="n">
        <v>0.0551273752894184</v>
      </c>
      <c r="X36" s="59" t="s">
        <v>152</v>
      </c>
      <c r="Y36" s="59" t="s">
        <v>132</v>
      </c>
    </row>
    <row r="37" customFormat="false" ht="15" hidden="false" customHeight="false" outlineLevel="0" collapsed="false">
      <c r="A37" s="32" t="s">
        <v>157</v>
      </c>
      <c r="B37" s="32" t="s">
        <v>160</v>
      </c>
      <c r="C37" s="32" t="s">
        <v>129</v>
      </c>
      <c r="D37" s="54" t="n">
        <f aca="false">ROUND(S37*T37,0)</f>
        <v>5072</v>
      </c>
      <c r="E37" s="54" t="n">
        <f aca="false">ROUND(S37,0)-D37</f>
        <v>2905</v>
      </c>
      <c r="F37" s="54" t="n">
        <f aca="false">IF(COUNTA(D37:E37)=0,"",SUM(D37:E37))</f>
        <v>7977</v>
      </c>
      <c r="G37" s="55" t="n">
        <f aca="false">IF(OR(F37="",F37=0),"",D37/F37)</f>
        <v>0.635828005515858</v>
      </c>
      <c r="H37" s="55" t="n">
        <f aca="false">IF(OR(F37="",F37=0),"",E37/F37)</f>
        <v>0.364171994484142</v>
      </c>
      <c r="I37" s="32" t="s">
        <v>130</v>
      </c>
      <c r="J37" s="36" t="n">
        <v>1.35162343329881</v>
      </c>
      <c r="K37" s="36" t="n">
        <f aca="false">$K$8</f>
        <v>1.81119845967768</v>
      </c>
      <c r="L37" s="36" t="n">
        <f aca="false">SQRT(J37^2+K37^2)</f>
        <v>2.25993932789826</v>
      </c>
      <c r="M37" s="55" t="n">
        <f aca="false">IF(G37="","",MAX(0,G37-1.96*L37/100))</f>
        <v>0.591533194689052</v>
      </c>
      <c r="N37" s="55" t="n">
        <f aca="false">IF(G37="","",MIN(1,G37+1.96*L37/100))</f>
        <v>0.680122816342664</v>
      </c>
      <c r="O37" s="54" t="n">
        <f aca="false">ROUND(S37*W37,0)</f>
        <v>440</v>
      </c>
      <c r="P37" s="54" t="n">
        <f aca="false">IF(F37="","",ROUND(SQRT((F37*L37/100)^2+(G37*O37)^2),0))</f>
        <v>333</v>
      </c>
      <c r="R37" s="56" t="n">
        <v>21.2589919363441</v>
      </c>
      <c r="S37" s="57" t="n">
        <f aca="false">U37*V37*$F$5</f>
        <v>7976.55329986175</v>
      </c>
      <c r="T37" s="58" t="n">
        <f aca="false">MAX(0,MIN(1,R37/100+$D$5))</f>
        <v>0.635870859123851</v>
      </c>
      <c r="U37" s="58" t="n">
        <v>0.574183220548643</v>
      </c>
      <c r="V37" s="57" t="n">
        <v>13892</v>
      </c>
      <c r="W37" s="58" t="n">
        <v>0.0551273752894184</v>
      </c>
      <c r="X37" s="59" t="s">
        <v>152</v>
      </c>
      <c r="Y37" s="59" t="s">
        <v>132</v>
      </c>
    </row>
    <row r="38" customFormat="false" ht="15" hidden="false" customHeight="false" outlineLevel="0" collapsed="false">
      <c r="A38" s="32" t="s">
        <v>157</v>
      </c>
      <c r="B38" s="32" t="s">
        <v>161</v>
      </c>
      <c r="C38" s="32" t="s">
        <v>129</v>
      </c>
      <c r="D38" s="54" t="n">
        <f aca="false">ROUND(S38*T38,0)</f>
        <v>1128</v>
      </c>
      <c r="E38" s="54" t="n">
        <f aca="false">ROUND(S38,0)-D38</f>
        <v>1050</v>
      </c>
      <c r="F38" s="54" t="n">
        <f aca="false">IF(COUNTA(D38:E38)=0,"",SUM(D38:E38))</f>
        <v>2178</v>
      </c>
      <c r="G38" s="55" t="n">
        <f aca="false">IF(OR(F38="",F38=0),"",D38/F38)</f>
        <v>0.517906336088154</v>
      </c>
      <c r="H38" s="55" t="n">
        <f aca="false">IF(OR(F38="",F38=0),"",E38/F38)</f>
        <v>0.482093663911846</v>
      </c>
      <c r="I38" s="32" t="s">
        <v>130</v>
      </c>
      <c r="J38" s="36" t="n">
        <v>1.56023581108354</v>
      </c>
      <c r="K38" s="36" t="n">
        <f aca="false">$K$8</f>
        <v>1.81119845967768</v>
      </c>
      <c r="L38" s="36" t="n">
        <f aca="false">SQRT(J38^2+K38^2)</f>
        <v>2.3905596931527</v>
      </c>
      <c r="M38" s="55" t="n">
        <f aca="false">IF(G38="","",MAX(0,G38-1.96*L38/100))</f>
        <v>0.471051366102361</v>
      </c>
      <c r="N38" s="55" t="n">
        <f aca="false">IF(G38="","",MIN(1,G38+1.96*L38/100))</f>
        <v>0.564761306073947</v>
      </c>
      <c r="O38" s="54" t="n">
        <f aca="false">ROUND(S38*W38,0)</f>
        <v>132</v>
      </c>
      <c r="P38" s="54" t="n">
        <f aca="false">IF(F38="","",ROUND(SQRT((F38*L38/100)^2+(G38*O38)^2),0))</f>
        <v>86</v>
      </c>
      <c r="R38" s="56" t="n">
        <v>9.46853479225733</v>
      </c>
      <c r="S38" s="57" t="n">
        <f aca="false">U38*V38*$F$5</f>
        <v>2177.82706204834</v>
      </c>
      <c r="T38" s="58" t="n">
        <f aca="false">MAX(0,MIN(1,R38/100+$D$5))</f>
        <v>0.517966287682984</v>
      </c>
      <c r="U38" s="58" t="n">
        <v>0.525791178669325</v>
      </c>
      <c r="V38" s="57" t="n">
        <v>4142</v>
      </c>
      <c r="W38" s="58" t="n">
        <v>0.0606122259008943</v>
      </c>
      <c r="X38" s="59" t="s">
        <v>136</v>
      </c>
      <c r="Y38" s="59" t="s">
        <v>132</v>
      </c>
    </row>
    <row r="39" customFormat="false" ht="15" hidden="false" customHeight="false" outlineLevel="0" collapsed="false">
      <c r="A39" s="32" t="s">
        <v>157</v>
      </c>
      <c r="B39" s="32" t="s">
        <v>162</v>
      </c>
      <c r="C39" s="32" t="s">
        <v>129</v>
      </c>
      <c r="D39" s="54" t="n">
        <f aca="false">ROUND(S39*T39,0)</f>
        <v>622</v>
      </c>
      <c r="E39" s="54" t="n">
        <f aca="false">ROUND(S39,0)-D39</f>
        <v>648</v>
      </c>
      <c r="F39" s="54" t="n">
        <f aca="false">IF(COUNTA(D39:E39)=0,"",SUM(D39:E39))</f>
        <v>1270</v>
      </c>
      <c r="G39" s="55" t="n">
        <f aca="false">IF(OR(F39="",F39=0),"",D39/F39)</f>
        <v>0.489763779527559</v>
      </c>
      <c r="H39" s="55" t="n">
        <f aca="false">IF(OR(F39="",F39=0),"",E39/F39)</f>
        <v>0.510236220472441</v>
      </c>
      <c r="I39" s="32" t="s">
        <v>130</v>
      </c>
      <c r="J39" s="36" t="n">
        <v>1.56023581108354</v>
      </c>
      <c r="K39" s="36" t="n">
        <f aca="false">$K$8</f>
        <v>1.81119845967768</v>
      </c>
      <c r="L39" s="36" t="n">
        <f aca="false">SQRT(J39^2+K39^2)</f>
        <v>2.3905596931527</v>
      </c>
      <c r="M39" s="55" t="n">
        <f aca="false">IF(G39="","",MAX(0,G39-1.96*L39/100))</f>
        <v>0.442908809541766</v>
      </c>
      <c r="N39" s="55" t="n">
        <f aca="false">IF(G39="","",MIN(1,G39+1.96*L39/100))</f>
        <v>0.536618749513352</v>
      </c>
      <c r="O39" s="54" t="n">
        <f aca="false">ROUND(S39*W39,0)</f>
        <v>77</v>
      </c>
      <c r="P39" s="54" t="n">
        <f aca="false">IF(F39="","",ROUND(SQRT((F39*L39/100)^2+(G39*O39)^2),0))</f>
        <v>48</v>
      </c>
      <c r="R39" s="56" t="n">
        <v>6.65776511600387</v>
      </c>
      <c r="S39" s="57" t="n">
        <f aca="false">U39*V39*$F$5</f>
        <v>1270.44031093837</v>
      </c>
      <c r="T39" s="58" t="n">
        <f aca="false">MAX(0,MIN(1,R39/100+$D$5))</f>
        <v>0.489858590920449</v>
      </c>
      <c r="U39" s="58" t="n">
        <v>0.676846196557468</v>
      </c>
      <c r="V39" s="57" t="n">
        <v>1877</v>
      </c>
      <c r="W39" s="58" t="n">
        <v>0.0606122259008943</v>
      </c>
      <c r="X39" s="59" t="s">
        <v>136</v>
      </c>
      <c r="Y39" s="59" t="s">
        <v>132</v>
      </c>
    </row>
    <row r="40" customFormat="false" ht="15" hidden="false" customHeight="false" outlineLevel="0" collapsed="false">
      <c r="A40" s="32" t="s">
        <v>157</v>
      </c>
      <c r="B40" s="32" t="s">
        <v>163</v>
      </c>
      <c r="C40" s="32" t="s">
        <v>129</v>
      </c>
      <c r="D40" s="54" t="n">
        <f aca="false">ROUND(S40*T40,0)</f>
        <v>713</v>
      </c>
      <c r="E40" s="54" t="n">
        <f aca="false">ROUND(S40,0)-D40</f>
        <v>651</v>
      </c>
      <c r="F40" s="54" t="n">
        <f aca="false">IF(COUNTA(D40:E40)=0,"",SUM(D40:E40))</f>
        <v>1364</v>
      </c>
      <c r="G40" s="55" t="n">
        <f aca="false">IF(OR(F40="",F40=0),"",D40/F40)</f>
        <v>0.522727272727273</v>
      </c>
      <c r="H40" s="55" t="n">
        <f aca="false">IF(OR(F40="",F40=0),"",E40/F40)</f>
        <v>0.477272727272727</v>
      </c>
      <c r="I40" s="32" t="s">
        <v>130</v>
      </c>
      <c r="J40" s="36" t="n">
        <v>1.56023581108354</v>
      </c>
      <c r="K40" s="36" t="n">
        <f aca="false">$K$8</f>
        <v>1.81119845967768</v>
      </c>
      <c r="L40" s="36" t="n">
        <f aca="false">SQRT(J40^2+K40^2)</f>
        <v>2.3905596931527</v>
      </c>
      <c r="M40" s="55" t="n">
        <f aca="false">IF(G40="","",MAX(0,G40-1.96*L40/100))</f>
        <v>0.47587230274148</v>
      </c>
      <c r="N40" s="55" t="n">
        <f aca="false">IF(G40="","",MIN(1,G40+1.96*L40/100))</f>
        <v>0.569582242713066</v>
      </c>
      <c r="O40" s="54" t="n">
        <f aca="false">ROUND(S40*W40,0)</f>
        <v>83</v>
      </c>
      <c r="P40" s="54" t="n">
        <f aca="false">IF(F40="","",ROUND(SQRT((F40*L40/100)^2+(G40*O40)^2),0))</f>
        <v>54</v>
      </c>
      <c r="R40" s="56" t="n">
        <v>9.96020903250682</v>
      </c>
      <c r="S40" s="57" t="n">
        <f aca="false">U40*V40*$F$5</f>
        <v>1363.93435943866</v>
      </c>
      <c r="T40" s="58" t="n">
        <f aca="false">MAX(0,MIN(1,R40/100+$D$5))</f>
        <v>0.522883030085479</v>
      </c>
      <c r="U40" s="58" t="n">
        <v>0.587143503847895</v>
      </c>
      <c r="V40" s="57" t="n">
        <v>2323</v>
      </c>
      <c r="W40" s="58" t="n">
        <v>0.0606122259008943</v>
      </c>
      <c r="X40" s="59" t="s">
        <v>136</v>
      </c>
      <c r="Y40" s="59" t="s">
        <v>132</v>
      </c>
    </row>
    <row r="41" customFormat="false" ht="15" hidden="false" customHeight="false" outlineLevel="0" collapsed="false">
      <c r="A41" s="32" t="s">
        <v>157</v>
      </c>
      <c r="B41" s="32" t="s">
        <v>164</v>
      </c>
      <c r="C41" s="32" t="s">
        <v>129</v>
      </c>
      <c r="D41" s="54" t="n">
        <f aca="false">ROUND(S41*T41,0)</f>
        <v>2930</v>
      </c>
      <c r="E41" s="54" t="n">
        <f aca="false">ROUND(S41,0)-D41</f>
        <v>2458</v>
      </c>
      <c r="F41" s="54" t="n">
        <f aca="false">IF(COUNTA(D41:E41)=0,"",SUM(D41:E41))</f>
        <v>5388</v>
      </c>
      <c r="G41" s="55" t="n">
        <f aca="false">IF(OR(F41="",F41=0),"",D41/F41)</f>
        <v>0.543801039346696</v>
      </c>
      <c r="H41" s="55" t="n">
        <f aca="false">IF(OR(F41="",F41=0),"",E41/F41)</f>
        <v>0.456198960653304</v>
      </c>
      <c r="I41" s="32" t="s">
        <v>130</v>
      </c>
      <c r="J41" s="36" t="n">
        <v>1.35162343329881</v>
      </c>
      <c r="K41" s="36" t="n">
        <f aca="false">$K$8</f>
        <v>1.81119845967768</v>
      </c>
      <c r="L41" s="36" t="n">
        <f aca="false">SQRT(J41^2+K41^2)</f>
        <v>2.25993932789826</v>
      </c>
      <c r="M41" s="55" t="n">
        <f aca="false">IF(G41="","",MAX(0,G41-1.96*L41/100))</f>
        <v>0.49950622851989</v>
      </c>
      <c r="N41" s="55" t="n">
        <f aca="false">IF(G41="","",MIN(1,G41+1.96*L41/100))</f>
        <v>0.588095850173502</v>
      </c>
      <c r="O41" s="54" t="n">
        <f aca="false">ROUND(S41*W41,0)</f>
        <v>297</v>
      </c>
      <c r="P41" s="54" t="n">
        <f aca="false">IF(F41="","",ROUND(SQRT((F41*L41/100)^2+(G41*O41)^2),0))</f>
        <v>202</v>
      </c>
      <c r="R41" s="56" t="n">
        <v>12.050352874437</v>
      </c>
      <c r="S41" s="57" t="n">
        <f aca="false">U41*V41*$F$5</f>
        <v>5388.18679314119</v>
      </c>
      <c r="T41" s="58" t="n">
        <f aca="false">MAX(0,MIN(1,R41/100+$D$5))</f>
        <v>0.543784468504781</v>
      </c>
      <c r="U41" s="58" t="n">
        <v>0.618265839717865</v>
      </c>
      <c r="V41" s="57" t="n">
        <v>8715</v>
      </c>
      <c r="W41" s="58" t="n">
        <v>0.0551273752894184</v>
      </c>
      <c r="X41" s="59" t="s">
        <v>152</v>
      </c>
      <c r="Y41" s="59" t="s">
        <v>132</v>
      </c>
    </row>
    <row r="42" customFormat="false" ht="15" hidden="false" customHeight="false" outlineLevel="0" collapsed="false">
      <c r="A42" s="32" t="s">
        <v>157</v>
      </c>
      <c r="B42" s="32" t="s">
        <v>165</v>
      </c>
      <c r="C42" s="32" t="s">
        <v>129</v>
      </c>
      <c r="D42" s="54" t="n">
        <f aca="false">ROUND(S42*T42,0)</f>
        <v>1054</v>
      </c>
      <c r="E42" s="54" t="n">
        <f aca="false">ROUND(S42,0)-D42</f>
        <v>551</v>
      </c>
      <c r="F42" s="54" t="n">
        <f aca="false">IF(COUNTA(D42:E42)=0,"",SUM(D42:E42))</f>
        <v>1605</v>
      </c>
      <c r="G42" s="55" t="n">
        <f aca="false">IF(OR(F42="",F42=0),"",D42/F42)</f>
        <v>0.656697819314642</v>
      </c>
      <c r="H42" s="55" t="n">
        <f aca="false">IF(OR(F42="",F42=0),"",E42/F42)</f>
        <v>0.343302180685358</v>
      </c>
      <c r="I42" s="32" t="s">
        <v>130</v>
      </c>
      <c r="J42" s="36" t="n">
        <v>1.56023581108354</v>
      </c>
      <c r="K42" s="36" t="n">
        <f aca="false">$K$8</f>
        <v>1.81119845967768</v>
      </c>
      <c r="L42" s="36" t="n">
        <f aca="false">SQRT(J42^2+K42^2)</f>
        <v>2.3905596931527</v>
      </c>
      <c r="M42" s="55" t="n">
        <f aca="false">IF(G42="","",MAX(0,G42-1.96*L42/100))</f>
        <v>0.609842849328849</v>
      </c>
      <c r="N42" s="55" t="n">
        <f aca="false">IF(G42="","",MIN(1,G42+1.96*L42/100))</f>
        <v>0.703552789300435</v>
      </c>
      <c r="O42" s="54" t="n">
        <f aca="false">ROUND(S42*W42,0)</f>
        <v>97</v>
      </c>
      <c r="P42" s="54" t="n">
        <f aca="false">IF(F42="","",ROUND(SQRT((F42*L42/100)^2+(G42*O42)^2),0))</f>
        <v>74</v>
      </c>
      <c r="R42" s="56" t="n">
        <v>23.3448708916037</v>
      </c>
      <c r="S42" s="57" t="n">
        <f aca="false">U42*V42*$F$5</f>
        <v>1605.4392182842</v>
      </c>
      <c r="T42" s="58" t="n">
        <f aca="false">MAX(0,MIN(1,R42/100+$D$5))</f>
        <v>0.656729648676447</v>
      </c>
      <c r="U42" s="58" t="n">
        <v>0.513083802583637</v>
      </c>
      <c r="V42" s="57" t="n">
        <v>3129</v>
      </c>
      <c r="W42" s="58" t="n">
        <v>0.0606122259008943</v>
      </c>
      <c r="X42" s="59" t="s">
        <v>136</v>
      </c>
      <c r="Y42" s="59" t="s">
        <v>132</v>
      </c>
    </row>
    <row r="43" customFormat="false" ht="15" hidden="false" customHeight="false" outlineLevel="0" collapsed="false">
      <c r="A43" s="32" t="s">
        <v>157</v>
      </c>
      <c r="B43" s="32" t="s">
        <v>166</v>
      </c>
      <c r="C43" s="32" t="s">
        <v>129</v>
      </c>
      <c r="D43" s="54" t="n">
        <f aca="false">ROUND(S43*T43,0)</f>
        <v>262</v>
      </c>
      <c r="E43" s="54" t="n">
        <f aca="false">ROUND(S43,0)-D43</f>
        <v>222</v>
      </c>
      <c r="F43" s="54" t="n">
        <f aca="false">IF(COUNTA(D43:E43)=0,"",SUM(D43:E43))</f>
        <v>484</v>
      </c>
      <c r="G43" s="55" t="n">
        <f aca="false">IF(OR(F43="",F43=0),"",D43/F43)</f>
        <v>0.541322314049587</v>
      </c>
      <c r="H43" s="55" t="n">
        <f aca="false">IF(OR(F43="",F43=0),"",E43/F43)</f>
        <v>0.458677685950413</v>
      </c>
      <c r="I43" s="32" t="s">
        <v>130</v>
      </c>
      <c r="J43" s="36" t="n">
        <v>2.73651760017814</v>
      </c>
      <c r="K43" s="36" t="n">
        <f aca="false">$K$8</f>
        <v>1.81119845967768</v>
      </c>
      <c r="L43" s="36" t="n">
        <f aca="false">SQRT(J43^2+K43^2)</f>
        <v>3.28161064668305</v>
      </c>
      <c r="M43" s="55" t="n">
        <f aca="false">IF(G43="","",MAX(0,G43-1.96*L43/100))</f>
        <v>0.477002745374599</v>
      </c>
      <c r="N43" s="55" t="n">
        <f aca="false">IF(G43="","",MIN(1,G43+1.96*L43/100))</f>
        <v>0.605641882724575</v>
      </c>
      <c r="O43" s="54" t="n">
        <f aca="false">ROUND(S43*W43,0)</f>
        <v>38</v>
      </c>
      <c r="P43" s="54" t="n">
        <f aca="false">IF(F43="","",ROUND(SQRT((F43*L43/100)^2+(G43*O43)^2),0))</f>
        <v>26</v>
      </c>
      <c r="R43" s="56" t="n">
        <v>11.8355007643117</v>
      </c>
      <c r="S43" s="57" t="n">
        <f aca="false">U43*V43*$F$5</f>
        <v>483.913480885312</v>
      </c>
      <c r="T43" s="58" t="n">
        <f aca="false">MAX(0,MIN(1,R43/100+$D$5))</f>
        <v>0.541635947403527</v>
      </c>
      <c r="U43" s="58" t="n">
        <v>0.469818913480885</v>
      </c>
      <c r="V43" s="57" t="n">
        <v>1030</v>
      </c>
      <c r="W43" s="58" t="n">
        <v>0.0777040344688333</v>
      </c>
      <c r="X43" s="59" t="s">
        <v>131</v>
      </c>
      <c r="Y43" s="59" t="s">
        <v>132</v>
      </c>
    </row>
    <row r="44" customFormat="false" ht="15" hidden="false" customHeight="false" outlineLevel="0" collapsed="false">
      <c r="A44" s="32" t="s">
        <v>157</v>
      </c>
      <c r="B44" s="32" t="s">
        <v>167</v>
      </c>
      <c r="C44" s="32" t="s">
        <v>129</v>
      </c>
      <c r="D44" s="54" t="n">
        <f aca="false">ROUND(S44*T44,0)</f>
        <v>535</v>
      </c>
      <c r="E44" s="54" t="n">
        <f aca="false">ROUND(S44,0)-D44</f>
        <v>1122</v>
      </c>
      <c r="F44" s="54" t="n">
        <f aca="false">IF(COUNTA(D44:E44)=0,"",SUM(D44:E44))</f>
        <v>1657</v>
      </c>
      <c r="G44" s="55" t="n">
        <f aca="false">IF(OR(F44="",F44=0),"",D44/F44)</f>
        <v>0.322872661436331</v>
      </c>
      <c r="H44" s="55" t="n">
        <f aca="false">IF(OR(F44="",F44=0),"",E44/F44)</f>
        <v>0.677127338563669</v>
      </c>
      <c r="I44" s="32" t="s">
        <v>130</v>
      </c>
      <c r="J44" s="36" t="n">
        <v>1.56023581108354</v>
      </c>
      <c r="K44" s="36" t="n">
        <f aca="false">$K$8</f>
        <v>1.81119845967768</v>
      </c>
      <c r="L44" s="36" t="n">
        <f aca="false">SQRT(J44^2+K44^2)</f>
        <v>2.3905596931527</v>
      </c>
      <c r="M44" s="55" t="n">
        <f aca="false">IF(G44="","",MAX(0,G44-1.96*L44/100))</f>
        <v>0.276017691450538</v>
      </c>
      <c r="N44" s="55" t="n">
        <f aca="false">IF(G44="","",MIN(1,G44+1.96*L44/100))</f>
        <v>0.369727631422124</v>
      </c>
      <c r="O44" s="54" t="n">
        <f aca="false">ROUND(S44*W44,0)</f>
        <v>100</v>
      </c>
      <c r="P44" s="54" t="n">
        <f aca="false">IF(F44="","",ROUND(SQRT((F44*L44/100)^2+(G44*O44)^2),0))</f>
        <v>51</v>
      </c>
      <c r="R44" s="56" t="n">
        <v>-10.0209803899825</v>
      </c>
      <c r="S44" s="57" t="n">
        <f aca="false">U44*V44*$F$5</f>
        <v>1656.73758865248</v>
      </c>
      <c r="T44" s="58" t="n">
        <f aca="false">MAX(0,MIN(1,R44/100+$D$5))</f>
        <v>0.323071135860585</v>
      </c>
      <c r="U44" s="58" t="n">
        <v>0.66750104297038</v>
      </c>
      <c r="V44" s="57" t="n">
        <v>2482</v>
      </c>
      <c r="W44" s="58" t="n">
        <v>0.0606122259008943</v>
      </c>
      <c r="X44" s="59" t="s">
        <v>136</v>
      </c>
      <c r="Y44" s="59" t="s">
        <v>132</v>
      </c>
    </row>
    <row r="45" customFormat="false" ht="15" hidden="false" customHeight="false" outlineLevel="0" collapsed="false">
      <c r="A45" s="32" t="s">
        <v>157</v>
      </c>
      <c r="B45" s="32" t="s">
        <v>168</v>
      </c>
      <c r="C45" s="32" t="s">
        <v>129</v>
      </c>
      <c r="D45" s="54" t="n">
        <f aca="false">ROUND(S45*T45,0)</f>
        <v>8277</v>
      </c>
      <c r="E45" s="54" t="n">
        <f aca="false">ROUND(S45,0)-D45</f>
        <v>8058</v>
      </c>
      <c r="F45" s="54" t="n">
        <f aca="false">IF(COUNTA(D45:E45)=0,"",SUM(D45:E45))</f>
        <v>16335</v>
      </c>
      <c r="G45" s="55" t="n">
        <f aca="false">IF(OR(F45="",F45=0),"",D45/F45)</f>
        <v>0.506703397612489</v>
      </c>
      <c r="H45" s="55" t="n">
        <f aca="false">IF(OR(F45="",F45=0),"",E45/F45)</f>
        <v>0.493296602387512</v>
      </c>
      <c r="I45" s="32" t="s">
        <v>130</v>
      </c>
      <c r="J45" s="36" t="n">
        <v>1.35162343329881</v>
      </c>
      <c r="K45" s="36" t="n">
        <f aca="false">$K$8</f>
        <v>1.81119845967768</v>
      </c>
      <c r="L45" s="36" t="n">
        <f aca="false">SQRT(J45^2+K45^2)</f>
        <v>2.25993932789826</v>
      </c>
      <c r="M45" s="55" t="n">
        <f aca="false">IF(G45="","",MAX(0,G45-1.96*L45/100))</f>
        <v>0.462408586785683</v>
      </c>
      <c r="N45" s="55" t="n">
        <f aca="false">IF(G45="","",MIN(1,G45+1.96*L45/100))</f>
        <v>0.550998208439295</v>
      </c>
      <c r="O45" s="54" t="n">
        <f aca="false">ROUND(S45*W45,0)</f>
        <v>900</v>
      </c>
      <c r="P45" s="54" t="n">
        <f aca="false">IF(F45="","",ROUND(SQRT((F45*L45/100)^2+(G45*O45)^2),0))</f>
        <v>587</v>
      </c>
      <c r="R45" s="56" t="n">
        <v>8.34592338644533</v>
      </c>
      <c r="S45" s="57" t="n">
        <f aca="false">U45*V45*$F$5</f>
        <v>16334.7109624891</v>
      </c>
      <c r="T45" s="58" t="n">
        <f aca="false">MAX(0,MIN(1,R45/100+$D$5))</f>
        <v>0.506740173624864</v>
      </c>
      <c r="U45" s="58" t="n">
        <v>0.662692643210236</v>
      </c>
      <c r="V45" s="57" t="n">
        <v>24649</v>
      </c>
      <c r="W45" s="58" t="n">
        <v>0.0551273752894184</v>
      </c>
      <c r="X45" s="59" t="s">
        <v>152</v>
      </c>
      <c r="Y45" s="59" t="s">
        <v>132</v>
      </c>
    </row>
    <row r="46" customFormat="false" ht="15" hidden="false" customHeight="false" outlineLevel="0" collapsed="false">
      <c r="A46" s="32" t="s">
        <v>157</v>
      </c>
      <c r="B46" s="32" t="s">
        <v>169</v>
      </c>
      <c r="C46" s="32" t="s">
        <v>129</v>
      </c>
      <c r="D46" s="54" t="n">
        <f aca="false">ROUND(S46*T46,0)</f>
        <v>839</v>
      </c>
      <c r="E46" s="54" t="n">
        <f aca="false">ROUND(S46,0)-D46</f>
        <v>1365</v>
      </c>
      <c r="F46" s="54" t="n">
        <f aca="false">IF(COUNTA(D46:E46)=0,"",SUM(D46:E46))</f>
        <v>2204</v>
      </c>
      <c r="G46" s="55" t="n">
        <f aca="false">IF(OR(F46="",F46=0),"",D46/F46)</f>
        <v>0.380671506352087</v>
      </c>
      <c r="H46" s="55" t="n">
        <f aca="false">IF(OR(F46="",F46=0),"",E46/F46)</f>
        <v>0.619328493647913</v>
      </c>
      <c r="I46" s="32" t="s">
        <v>130</v>
      </c>
      <c r="J46" s="36" t="n">
        <v>1.56023581108354</v>
      </c>
      <c r="K46" s="36" t="n">
        <f aca="false">$K$8</f>
        <v>1.81119845967768</v>
      </c>
      <c r="L46" s="36" t="n">
        <f aca="false">SQRT(J46^2+K46^2)</f>
        <v>2.3905596931527</v>
      </c>
      <c r="M46" s="55" t="n">
        <f aca="false">IF(G46="","",MAX(0,G46-1.96*L46/100))</f>
        <v>0.333816536366294</v>
      </c>
      <c r="N46" s="55" t="n">
        <f aca="false">IF(G46="","",MIN(1,G46+1.96*L46/100))</f>
        <v>0.42752647633788</v>
      </c>
      <c r="O46" s="54" t="n">
        <f aca="false">ROUND(S46*W46,0)</f>
        <v>134</v>
      </c>
      <c r="P46" s="54" t="n">
        <f aca="false">IF(F46="","",ROUND(SQRT((F46*L46/100)^2+(G46*O46)^2),0))</f>
        <v>73</v>
      </c>
      <c r="R46" s="56" t="n">
        <v>-4.25260052076764</v>
      </c>
      <c r="S46" s="57" t="n">
        <f aca="false">U46*V46*$F$5</f>
        <v>2204.10505319149</v>
      </c>
      <c r="T46" s="58" t="n">
        <f aca="false">MAX(0,MIN(1,R46/100+$D$5))</f>
        <v>0.380754934552734</v>
      </c>
      <c r="U46" s="58" t="n">
        <v>0.718417553191489</v>
      </c>
      <c r="V46" s="57" t="n">
        <v>3068</v>
      </c>
      <c r="W46" s="58" t="n">
        <v>0.0606122259008943</v>
      </c>
      <c r="X46" s="59" t="s">
        <v>136</v>
      </c>
      <c r="Y46" s="59" t="s">
        <v>132</v>
      </c>
    </row>
    <row r="47" customFormat="false" ht="15" hidden="false" customHeight="false" outlineLevel="0" collapsed="false">
      <c r="A47" s="32" t="s">
        <v>157</v>
      </c>
      <c r="B47" s="32" t="s">
        <v>170</v>
      </c>
      <c r="C47" s="32" t="s">
        <v>129</v>
      </c>
      <c r="D47" s="54" t="n">
        <f aca="false">ROUND(S47*T47,0)</f>
        <v>453</v>
      </c>
      <c r="E47" s="54" t="n">
        <f aca="false">ROUND(S47,0)-D47</f>
        <v>784</v>
      </c>
      <c r="F47" s="54" t="n">
        <f aca="false">IF(COUNTA(D47:E47)=0,"",SUM(D47:E47))</f>
        <v>1237</v>
      </c>
      <c r="G47" s="55" t="n">
        <f aca="false">IF(OR(F47="",F47=0),"",D47/F47)</f>
        <v>0.366208569118836</v>
      </c>
      <c r="H47" s="55" t="n">
        <f aca="false">IF(OR(F47="",F47=0),"",E47/F47)</f>
        <v>0.633791430881164</v>
      </c>
      <c r="I47" s="32" t="s">
        <v>130</v>
      </c>
      <c r="J47" s="36" t="n">
        <v>2.73651760017814</v>
      </c>
      <c r="K47" s="36" t="n">
        <f aca="false">$K$8</f>
        <v>1.81119845967768</v>
      </c>
      <c r="L47" s="36" t="n">
        <f aca="false">SQRT(J47^2+K47^2)</f>
        <v>3.28161064668305</v>
      </c>
      <c r="M47" s="55" t="n">
        <f aca="false">IF(G47="","",MAX(0,G47-1.96*L47/100))</f>
        <v>0.301889000443848</v>
      </c>
      <c r="N47" s="55" t="n">
        <f aca="false">IF(G47="","",MIN(1,G47+1.96*L47/100))</f>
        <v>0.430528137793824</v>
      </c>
      <c r="O47" s="54" t="n">
        <f aca="false">ROUND(S47*W47,0)</f>
        <v>96</v>
      </c>
      <c r="P47" s="54" t="n">
        <f aca="false">IF(F47="","",ROUND(SQRT((F47*L47/100)^2+(G47*O47)^2),0))</f>
        <v>54</v>
      </c>
      <c r="R47" s="56" t="n">
        <v>-5.69025613347383</v>
      </c>
      <c r="S47" s="57" t="n">
        <f aca="false">U47*V47*$F$5</f>
        <v>1236.97340124505</v>
      </c>
      <c r="T47" s="58" t="n">
        <f aca="false">MAX(0,MIN(1,R47/100+$D$5))</f>
        <v>0.366378378425672</v>
      </c>
      <c r="U47" s="58" t="n">
        <v>0.688737973967176</v>
      </c>
      <c r="V47" s="57" t="n">
        <v>1796</v>
      </c>
      <c r="W47" s="58" t="n">
        <v>0.0777040344688333</v>
      </c>
      <c r="X47" s="59" t="s">
        <v>131</v>
      </c>
      <c r="Y47" s="59" t="s">
        <v>132</v>
      </c>
    </row>
    <row r="48" customFormat="false" ht="15" hidden="false" customHeight="false" outlineLevel="0" collapsed="false">
      <c r="A48" s="32" t="s">
        <v>157</v>
      </c>
      <c r="B48" s="32" t="s">
        <v>171</v>
      </c>
      <c r="C48" s="32" t="s">
        <v>129</v>
      </c>
      <c r="D48" s="54" t="n">
        <f aca="false">ROUND(S48*T48,0)</f>
        <v>692</v>
      </c>
      <c r="E48" s="54" t="n">
        <f aca="false">ROUND(S48,0)-D48</f>
        <v>1500</v>
      </c>
      <c r="F48" s="54" t="n">
        <f aca="false">IF(COUNTA(D48:E48)=0,"",SUM(D48:E48))</f>
        <v>2192</v>
      </c>
      <c r="G48" s="55" t="n">
        <f aca="false">IF(OR(F48="",F48=0),"",D48/F48)</f>
        <v>0.315693430656934</v>
      </c>
      <c r="H48" s="55" t="n">
        <f aca="false">IF(OR(F48="",F48=0),"",E48/F48)</f>
        <v>0.684306569343066</v>
      </c>
      <c r="I48" s="32" t="s">
        <v>130</v>
      </c>
      <c r="J48" s="36" t="n">
        <v>1.56023581108354</v>
      </c>
      <c r="K48" s="36" t="n">
        <f aca="false">$K$8</f>
        <v>1.81119845967768</v>
      </c>
      <c r="L48" s="36" t="n">
        <f aca="false">SQRT(J48^2+K48^2)</f>
        <v>2.3905596931527</v>
      </c>
      <c r="M48" s="55" t="n">
        <f aca="false">IF(G48="","",MAX(0,G48-1.96*L48/100))</f>
        <v>0.268838460671141</v>
      </c>
      <c r="N48" s="55" t="n">
        <f aca="false">IF(G48="","",MIN(1,G48+1.96*L48/100))</f>
        <v>0.362548400642727</v>
      </c>
      <c r="O48" s="54" t="n">
        <f aca="false">ROUND(S48*W48,0)</f>
        <v>133</v>
      </c>
      <c r="P48" s="54" t="n">
        <f aca="false">IF(F48="","",ROUND(SQRT((F48*L48/100)^2+(G48*O48)^2),0))</f>
        <v>67</v>
      </c>
      <c r="R48" s="56" t="n">
        <v>-10.7447203373668</v>
      </c>
      <c r="S48" s="57" t="n">
        <f aca="false">U48*V48*$F$5</f>
        <v>2191.88036117382</v>
      </c>
      <c r="T48" s="58" t="n">
        <f aca="false">MAX(0,MIN(1,R48/100+$D$5))</f>
        <v>0.315833736386743</v>
      </c>
      <c r="U48" s="58" t="n">
        <v>0.694292163818123</v>
      </c>
      <c r="V48" s="57" t="n">
        <v>3157</v>
      </c>
      <c r="W48" s="58" t="n">
        <v>0.0606122259008943</v>
      </c>
      <c r="X48" s="59" t="s">
        <v>136</v>
      </c>
      <c r="Y48" s="59" t="s">
        <v>132</v>
      </c>
    </row>
    <row r="49" customFormat="false" ht="15" hidden="false" customHeight="false" outlineLevel="0" collapsed="false">
      <c r="A49" s="32" t="s">
        <v>157</v>
      </c>
      <c r="B49" s="32" t="s">
        <v>172</v>
      </c>
      <c r="C49" s="32" t="s">
        <v>129</v>
      </c>
      <c r="D49" s="54" t="n">
        <f aca="false">ROUND(S49*T49,0)</f>
        <v>810</v>
      </c>
      <c r="E49" s="54" t="n">
        <f aca="false">ROUND(S49,0)-D49</f>
        <v>703</v>
      </c>
      <c r="F49" s="54" t="n">
        <f aca="false">IF(COUNTA(D49:E49)=0,"",SUM(D49:E49))</f>
        <v>1513</v>
      </c>
      <c r="G49" s="55" t="n">
        <f aca="false">IF(OR(F49="",F49=0),"",D49/F49)</f>
        <v>0.53536021150033</v>
      </c>
      <c r="H49" s="55" t="n">
        <f aca="false">IF(OR(F49="",F49=0),"",E49/F49)</f>
        <v>0.46463978849967</v>
      </c>
      <c r="I49" s="32" t="s">
        <v>130</v>
      </c>
      <c r="J49" s="36" t="n">
        <v>1.56023581108354</v>
      </c>
      <c r="K49" s="36" t="n">
        <f aca="false">$K$8</f>
        <v>1.81119845967768</v>
      </c>
      <c r="L49" s="36" t="n">
        <f aca="false">SQRT(J49^2+K49^2)</f>
        <v>2.3905596931527</v>
      </c>
      <c r="M49" s="55" t="n">
        <f aca="false">IF(G49="","",MAX(0,G49-1.96*L49/100))</f>
        <v>0.488505241514538</v>
      </c>
      <c r="N49" s="55" t="n">
        <f aca="false">IF(G49="","",MIN(1,G49+1.96*L49/100))</f>
        <v>0.582215181486123</v>
      </c>
      <c r="O49" s="54" t="n">
        <f aca="false">ROUND(S49*W49,0)</f>
        <v>92</v>
      </c>
      <c r="P49" s="54" t="n">
        <f aca="false">IF(F49="","",ROUND(SQRT((F49*L49/100)^2+(G49*O49)^2),0))</f>
        <v>61</v>
      </c>
      <c r="R49" s="56" t="n">
        <v>11.203890843338</v>
      </c>
      <c r="S49" s="57" t="n">
        <f aca="false">U49*V49*$F$5</f>
        <v>1512.74151436031</v>
      </c>
      <c r="T49" s="58" t="n">
        <f aca="false">MAX(0,MIN(1,R49/100+$D$5))</f>
        <v>0.53531984819379</v>
      </c>
      <c r="U49" s="58" t="n">
        <v>0.616187989556136</v>
      </c>
      <c r="V49" s="57" t="n">
        <v>2455</v>
      </c>
      <c r="W49" s="58" t="n">
        <v>0.0606122259008943</v>
      </c>
      <c r="X49" s="59" t="s">
        <v>136</v>
      </c>
      <c r="Y49" s="59" t="s">
        <v>132</v>
      </c>
    </row>
    <row r="50" customFormat="false" ht="15" hidden="false" customHeight="false" outlineLevel="0" collapsed="false">
      <c r="A50" s="32" t="s">
        <v>157</v>
      </c>
      <c r="B50" s="32" t="s">
        <v>173</v>
      </c>
      <c r="C50" s="32" t="s">
        <v>129</v>
      </c>
      <c r="D50" s="54" t="n">
        <f aca="false">ROUND(S50*T50,0)</f>
        <v>3248</v>
      </c>
      <c r="E50" s="54" t="n">
        <f aca="false">ROUND(S50,0)-D50</f>
        <v>4649</v>
      </c>
      <c r="F50" s="54" t="n">
        <f aca="false">IF(COUNTA(D50:E50)=0,"",SUM(D50:E50))</f>
        <v>7897</v>
      </c>
      <c r="G50" s="55" t="n">
        <f aca="false">IF(OR(F50="",F50=0),"",D50/F50)</f>
        <v>0.411295428643789</v>
      </c>
      <c r="H50" s="55" t="n">
        <f aca="false">IF(OR(F50="",F50=0),"",E50/F50)</f>
        <v>0.588704571356211</v>
      </c>
      <c r="I50" s="32" t="s">
        <v>130</v>
      </c>
      <c r="J50" s="36" t="n">
        <v>1.35162343329881</v>
      </c>
      <c r="K50" s="36" t="n">
        <f aca="false">$K$8</f>
        <v>1.81119845967768</v>
      </c>
      <c r="L50" s="36" t="n">
        <f aca="false">SQRT(J50^2+K50^2)</f>
        <v>2.25993932789826</v>
      </c>
      <c r="M50" s="55" t="n">
        <f aca="false">IF(G50="","",MAX(0,G50-1.96*L50/100))</f>
        <v>0.367000617816983</v>
      </c>
      <c r="N50" s="55" t="n">
        <f aca="false">IF(G50="","",MIN(1,G50+1.96*L50/100))</f>
        <v>0.455590239470595</v>
      </c>
      <c r="O50" s="54" t="n">
        <f aca="false">ROUND(S50*W50,0)</f>
        <v>435</v>
      </c>
      <c r="P50" s="54" t="n">
        <f aca="false">IF(F50="","",ROUND(SQRT((F50*L50/100)^2+(G50*O50)^2),0))</f>
        <v>253</v>
      </c>
      <c r="R50" s="56" t="n">
        <v>-1.20026644695398</v>
      </c>
      <c r="S50" s="57" t="n">
        <f aca="false">U50*V50*$F$5</f>
        <v>7896.5113304721</v>
      </c>
      <c r="T50" s="58" t="n">
        <f aca="false">MAX(0,MIN(1,R50/100+$D$5))</f>
        <v>0.411278275290871</v>
      </c>
      <c r="U50" s="58" t="n">
        <v>0.662403433476395</v>
      </c>
      <c r="V50" s="57" t="n">
        <v>11921</v>
      </c>
      <c r="W50" s="58" t="n">
        <v>0.0551273752894184</v>
      </c>
      <c r="X50" s="59" t="s">
        <v>152</v>
      </c>
      <c r="Y50" s="59" t="s">
        <v>132</v>
      </c>
    </row>
    <row r="51" customFormat="false" ht="15" hidden="false" customHeight="false" outlineLevel="0" collapsed="false">
      <c r="A51" s="32" t="s">
        <v>157</v>
      </c>
      <c r="B51" s="32" t="s">
        <v>174</v>
      </c>
      <c r="C51" s="32" t="s">
        <v>129</v>
      </c>
      <c r="D51" s="54" t="n">
        <f aca="false">ROUND(S51*T51,0)</f>
        <v>3237</v>
      </c>
      <c r="E51" s="54" t="n">
        <f aca="false">ROUND(S51,0)-D51</f>
        <v>3193</v>
      </c>
      <c r="F51" s="54" t="n">
        <f aca="false">IF(COUNTA(D51:E51)=0,"",SUM(D51:E51))</f>
        <v>6430</v>
      </c>
      <c r="G51" s="55" t="n">
        <f aca="false">IF(OR(F51="",F51=0),"",D51/F51)</f>
        <v>0.503421461897356</v>
      </c>
      <c r="H51" s="55" t="n">
        <f aca="false">IF(OR(F51="",F51=0),"",E51/F51)</f>
        <v>0.496578538102644</v>
      </c>
      <c r="I51" s="32" t="s">
        <v>130</v>
      </c>
      <c r="J51" s="36" t="n">
        <v>1.35162343329881</v>
      </c>
      <c r="K51" s="36" t="n">
        <f aca="false">$K$8</f>
        <v>1.81119845967768</v>
      </c>
      <c r="L51" s="36" t="n">
        <f aca="false">SQRT(J51^2+K51^2)</f>
        <v>2.25993932789826</v>
      </c>
      <c r="M51" s="55" t="n">
        <f aca="false">IF(G51="","",MAX(0,G51-1.96*L51/100))</f>
        <v>0.45912665107055</v>
      </c>
      <c r="N51" s="55" t="n">
        <f aca="false">IF(G51="","",MIN(1,G51+1.96*L51/100))</f>
        <v>0.547716272724162</v>
      </c>
      <c r="O51" s="54" t="n">
        <f aca="false">ROUND(S51*W51,0)</f>
        <v>354</v>
      </c>
      <c r="P51" s="54" t="n">
        <f aca="false">IF(F51="","",ROUND(SQRT((F51*L51/100)^2+(G51*O51)^2),0))</f>
        <v>230</v>
      </c>
      <c r="R51" s="56" t="n">
        <v>8.00816323157906</v>
      </c>
      <c r="S51" s="57" t="n">
        <f aca="false">U51*V51*$F$5</f>
        <v>6429.9709076009</v>
      </c>
      <c r="T51" s="58" t="n">
        <f aca="false">MAX(0,MIN(1,R51/100+$D$5))</f>
        <v>0.503362572076201</v>
      </c>
      <c r="U51" s="58" t="n">
        <v>0.652325343167384</v>
      </c>
      <c r="V51" s="57" t="n">
        <v>9857</v>
      </c>
      <c r="W51" s="58" t="n">
        <v>0.0551273752894184</v>
      </c>
      <c r="X51" s="59" t="s">
        <v>152</v>
      </c>
      <c r="Y51" s="59" t="s">
        <v>132</v>
      </c>
    </row>
    <row r="52" customFormat="false" ht="15" hidden="false" customHeight="false" outlineLevel="0" collapsed="false">
      <c r="A52" s="32" t="s">
        <v>157</v>
      </c>
      <c r="B52" s="32" t="s">
        <v>175</v>
      </c>
      <c r="C52" s="32" t="s">
        <v>129</v>
      </c>
      <c r="D52" s="54" t="n">
        <f aca="false">ROUND(S52*T52,0)</f>
        <v>598</v>
      </c>
      <c r="E52" s="54" t="n">
        <f aca="false">ROUND(S52,0)-D52</f>
        <v>792</v>
      </c>
      <c r="F52" s="54" t="n">
        <f aca="false">IF(COUNTA(D52:E52)=0,"",SUM(D52:E52))</f>
        <v>1390</v>
      </c>
      <c r="G52" s="55" t="n">
        <f aca="false">IF(OR(F52="",F52=0),"",D52/F52)</f>
        <v>0.43021582733813</v>
      </c>
      <c r="H52" s="55" t="n">
        <f aca="false">IF(OR(F52="",F52=0),"",E52/F52)</f>
        <v>0.569784172661871</v>
      </c>
      <c r="I52" s="32" t="s">
        <v>130</v>
      </c>
      <c r="J52" s="36" t="n">
        <v>1.56023581108354</v>
      </c>
      <c r="K52" s="36" t="n">
        <f aca="false">$K$8</f>
        <v>1.81119845967768</v>
      </c>
      <c r="L52" s="36" t="n">
        <f aca="false">SQRT(J52^2+K52^2)</f>
        <v>2.3905596931527</v>
      </c>
      <c r="M52" s="55" t="n">
        <f aca="false">IF(G52="","",MAX(0,G52-1.96*L52/100))</f>
        <v>0.383360857352337</v>
      </c>
      <c r="N52" s="55" t="n">
        <f aca="false">IF(G52="","",MIN(1,G52+1.96*L52/100))</f>
        <v>0.477070797323922</v>
      </c>
      <c r="O52" s="54" t="n">
        <f aca="false">ROUND(S52*W52,0)</f>
        <v>84</v>
      </c>
      <c r="P52" s="54" t="n">
        <f aca="false">IF(F52="","",ROUND(SQRT((F52*L52/100)^2+(G52*O52)^2),0))</f>
        <v>49</v>
      </c>
      <c r="R52" s="56" t="n">
        <v>0.687058189187033</v>
      </c>
      <c r="S52" s="57" t="n">
        <f aca="false">U52*V52*$F$5</f>
        <v>1390.15942028986</v>
      </c>
      <c r="T52" s="58" t="n">
        <f aca="false">MAX(0,MIN(1,R52/100+$D$5))</f>
        <v>0.430151521652281</v>
      </c>
      <c r="U52" s="58" t="n">
        <v>0.529181355268312</v>
      </c>
      <c r="V52" s="57" t="n">
        <v>2627</v>
      </c>
      <c r="W52" s="58" t="n">
        <v>0.0606122259008943</v>
      </c>
      <c r="X52" s="59" t="s">
        <v>136</v>
      </c>
      <c r="Y52" s="59" t="s">
        <v>132</v>
      </c>
    </row>
    <row r="53" customFormat="false" ht="15" hidden="false" customHeight="false" outlineLevel="0" collapsed="false">
      <c r="A53" s="32" t="s">
        <v>157</v>
      </c>
      <c r="B53" s="32" t="s">
        <v>176</v>
      </c>
      <c r="C53" s="32" t="s">
        <v>129</v>
      </c>
      <c r="D53" s="54" t="n">
        <f aca="false">ROUND(S53*T53,0)</f>
        <v>5692</v>
      </c>
      <c r="E53" s="54" t="n">
        <f aca="false">ROUND(S53,0)-D53</f>
        <v>4794</v>
      </c>
      <c r="F53" s="54" t="n">
        <f aca="false">IF(COUNTA(D53:E53)=0,"",SUM(D53:E53))</f>
        <v>10486</v>
      </c>
      <c r="G53" s="55" t="n">
        <f aca="false">IF(OR(F53="",F53=0),"",D53/F53)</f>
        <v>0.542818996757582</v>
      </c>
      <c r="H53" s="55" t="n">
        <f aca="false">IF(OR(F53="",F53=0),"",E53/F53)</f>
        <v>0.457181003242418</v>
      </c>
      <c r="I53" s="32" t="s">
        <v>130</v>
      </c>
      <c r="J53" s="36" t="n">
        <v>1.35162343329881</v>
      </c>
      <c r="K53" s="36" t="n">
        <f aca="false">$K$8</f>
        <v>1.81119845967768</v>
      </c>
      <c r="L53" s="36" t="n">
        <f aca="false">SQRT(J53^2+K53^2)</f>
        <v>2.25993932789826</v>
      </c>
      <c r="M53" s="55" t="n">
        <f aca="false">IF(G53="","",MAX(0,G53-1.96*L53/100))</f>
        <v>0.498524185930776</v>
      </c>
      <c r="N53" s="55" t="n">
        <f aca="false">IF(G53="","",MIN(1,G53+1.96*L53/100))</f>
        <v>0.587113807584388</v>
      </c>
      <c r="O53" s="54" t="n">
        <f aca="false">ROUND(S53*W53,0)</f>
        <v>578</v>
      </c>
      <c r="P53" s="54" t="n">
        <f aca="false">IF(F53="","",ROUND(SQRT((F53*L53/100)^2+(G53*O53)^2),0))</f>
        <v>393</v>
      </c>
      <c r="R53" s="56" t="n">
        <v>11.9488468423911</v>
      </c>
      <c r="S53" s="57" t="n">
        <f aca="false">U53*V53*$F$5</f>
        <v>10486.1559171025</v>
      </c>
      <c r="T53" s="58" t="n">
        <f aca="false">MAX(0,MIN(1,R53/100+$D$5))</f>
        <v>0.542769408184321</v>
      </c>
      <c r="U53" s="58" t="n">
        <v>0.653302343598683</v>
      </c>
      <c r="V53" s="57" t="n">
        <v>16051</v>
      </c>
      <c r="W53" s="58" t="n">
        <v>0.0551273752894184</v>
      </c>
      <c r="X53" s="59" t="s">
        <v>152</v>
      </c>
      <c r="Y53" s="59" t="s">
        <v>132</v>
      </c>
    </row>
    <row r="54" customFormat="false" ht="15" hidden="false" customHeight="false" outlineLevel="0" collapsed="false">
      <c r="A54" s="32" t="s">
        <v>157</v>
      </c>
      <c r="B54" s="32" t="s">
        <v>177</v>
      </c>
      <c r="C54" s="32" t="s">
        <v>129</v>
      </c>
      <c r="D54" s="54" t="n">
        <f aca="false">ROUND(S54*T54,0)</f>
        <v>6260</v>
      </c>
      <c r="E54" s="54" t="n">
        <f aca="false">ROUND(S54,0)-D54</f>
        <v>5770</v>
      </c>
      <c r="F54" s="54" t="n">
        <f aca="false">IF(COUNTA(D54:E54)=0,"",SUM(D54:E54))</f>
        <v>12030</v>
      </c>
      <c r="G54" s="55" t="n">
        <f aca="false">IF(OR(F54="",F54=0),"",D54/F54)</f>
        <v>0.520365752285952</v>
      </c>
      <c r="H54" s="55" t="n">
        <f aca="false">IF(OR(F54="",F54=0),"",E54/F54)</f>
        <v>0.479634247714048</v>
      </c>
      <c r="I54" s="32" t="s">
        <v>130</v>
      </c>
      <c r="J54" s="36" t="n">
        <v>1.35162343329881</v>
      </c>
      <c r="K54" s="36" t="n">
        <f aca="false">$K$8</f>
        <v>1.81119845967768</v>
      </c>
      <c r="L54" s="36" t="n">
        <f aca="false">SQRT(J54^2+K54^2)</f>
        <v>2.25993932789826</v>
      </c>
      <c r="M54" s="55" t="n">
        <f aca="false">IF(G54="","",MAX(0,G54-1.96*L54/100))</f>
        <v>0.476070941459146</v>
      </c>
      <c r="N54" s="55" t="n">
        <f aca="false">IF(G54="","",MIN(1,G54+1.96*L54/100))</f>
        <v>0.564660563112758</v>
      </c>
      <c r="O54" s="54" t="n">
        <f aca="false">ROUND(S54*W54,0)</f>
        <v>663</v>
      </c>
      <c r="P54" s="54" t="n">
        <f aca="false">IF(F54="","",ROUND(SQRT((F54*L54/100)^2+(G54*O54)^2),0))</f>
        <v>439</v>
      </c>
      <c r="R54" s="56" t="n">
        <v>9.70828759175584</v>
      </c>
      <c r="S54" s="57" t="n">
        <f aca="false">U54*V54*$F$5</f>
        <v>12030.3346699902</v>
      </c>
      <c r="T54" s="58" t="n">
        <f aca="false">MAX(0,MIN(1,R54/100+$D$5))</f>
        <v>0.520363815677969</v>
      </c>
      <c r="U54" s="58" t="n">
        <v>0.610490950471443</v>
      </c>
      <c r="V54" s="57" t="n">
        <v>19706</v>
      </c>
      <c r="W54" s="58" t="n">
        <v>0.0551273752894184</v>
      </c>
      <c r="X54" s="59" t="s">
        <v>152</v>
      </c>
      <c r="Y54" s="59" t="s">
        <v>132</v>
      </c>
    </row>
    <row r="55" customFormat="false" ht="15" hidden="false" customHeight="false" outlineLevel="0" collapsed="false">
      <c r="A55" s="32" t="s">
        <v>157</v>
      </c>
      <c r="B55" s="32" t="s">
        <v>178</v>
      </c>
      <c r="C55" s="32" t="s">
        <v>129</v>
      </c>
      <c r="D55" s="54" t="n">
        <f aca="false">ROUND(S55*T55,0)</f>
        <v>1994</v>
      </c>
      <c r="E55" s="54" t="n">
        <f aca="false">ROUND(S55,0)-D55</f>
        <v>2620</v>
      </c>
      <c r="F55" s="54" t="n">
        <f aca="false">IF(COUNTA(D55:E55)=0,"",SUM(D55:E55))</f>
        <v>4614</v>
      </c>
      <c r="G55" s="55" t="n">
        <f aca="false">IF(OR(F55="",F55=0),"",D55/F55)</f>
        <v>0.432162982228002</v>
      </c>
      <c r="H55" s="55" t="n">
        <f aca="false">IF(OR(F55="",F55=0),"",E55/F55)</f>
        <v>0.567837017771998</v>
      </c>
      <c r="I55" s="32" t="s">
        <v>130</v>
      </c>
      <c r="J55" s="36" t="n">
        <v>1.35162343329881</v>
      </c>
      <c r="K55" s="36" t="n">
        <f aca="false">$K$8</f>
        <v>1.81119845967768</v>
      </c>
      <c r="L55" s="36" t="n">
        <f aca="false">SQRT(J55^2+K55^2)</f>
        <v>2.25993932789826</v>
      </c>
      <c r="M55" s="55" t="n">
        <f aca="false">IF(G55="","",MAX(0,G55-1.96*L55/100))</f>
        <v>0.387868171401196</v>
      </c>
      <c r="N55" s="55" t="n">
        <f aca="false">IF(G55="","",MIN(1,G55+1.96*L55/100))</f>
        <v>0.476457793054808</v>
      </c>
      <c r="O55" s="54" t="n">
        <f aca="false">ROUND(S55*W55,0)</f>
        <v>254</v>
      </c>
      <c r="P55" s="54" t="n">
        <f aca="false">IF(F55="","",ROUND(SQRT((F55*L55/100)^2+(G55*O55)^2),0))</f>
        <v>151</v>
      </c>
      <c r="R55" s="56" t="n">
        <v>0.892596645086185</v>
      </c>
      <c r="S55" s="57" t="n">
        <f aca="false">U55*V55*$F$5</f>
        <v>4613.50991276765</v>
      </c>
      <c r="T55" s="58" t="n">
        <f aca="false">MAX(0,MIN(1,R55/100+$D$5))</f>
        <v>0.432206906211272</v>
      </c>
      <c r="U55" s="58" t="n">
        <v>0.71086439333862</v>
      </c>
      <c r="V55" s="57" t="n">
        <v>6490</v>
      </c>
      <c r="W55" s="58" t="n">
        <v>0.0551273752894184</v>
      </c>
      <c r="X55" s="59" t="s">
        <v>152</v>
      </c>
      <c r="Y55" s="59" t="s">
        <v>132</v>
      </c>
    </row>
    <row r="56" customFormat="false" ht="15" hidden="false" customHeight="false" outlineLevel="0" collapsed="false">
      <c r="A56" s="32" t="s">
        <v>157</v>
      </c>
      <c r="B56" s="32" t="s">
        <v>179</v>
      </c>
      <c r="C56" s="32" t="s">
        <v>129</v>
      </c>
      <c r="D56" s="54" t="n">
        <f aca="false">ROUND(S56*T56,0)</f>
        <v>4576</v>
      </c>
      <c r="E56" s="54" t="n">
        <f aca="false">ROUND(S56,0)-D56</f>
        <v>4768</v>
      </c>
      <c r="F56" s="54" t="n">
        <f aca="false">IF(COUNTA(D56:E56)=0,"",SUM(D56:E56))</f>
        <v>9344</v>
      </c>
      <c r="G56" s="55" t="n">
        <f aca="false">IF(OR(F56="",F56=0),"",D56/F56)</f>
        <v>0.48972602739726</v>
      </c>
      <c r="H56" s="55" t="n">
        <f aca="false">IF(OR(F56="",F56=0),"",E56/F56)</f>
        <v>0.51027397260274</v>
      </c>
      <c r="I56" s="32" t="s">
        <v>130</v>
      </c>
      <c r="J56" s="36" t="n">
        <v>1.35162343329881</v>
      </c>
      <c r="K56" s="36" t="n">
        <f aca="false">$K$8</f>
        <v>1.81119845967768</v>
      </c>
      <c r="L56" s="36" t="n">
        <f aca="false">SQRT(J56^2+K56^2)</f>
        <v>2.25993932789826</v>
      </c>
      <c r="M56" s="55" t="n">
        <f aca="false">IF(G56="","",MAX(0,G56-1.96*L56/100))</f>
        <v>0.445431216570454</v>
      </c>
      <c r="N56" s="55" t="n">
        <f aca="false">IF(G56="","",MIN(1,G56+1.96*L56/100))</f>
        <v>0.534020838224066</v>
      </c>
      <c r="O56" s="54" t="n">
        <f aca="false">ROUND(S56*W56,0)</f>
        <v>515</v>
      </c>
      <c r="P56" s="54" t="n">
        <f aca="false">IF(F56="","",ROUND(SQRT((F56*L56/100)^2+(G56*O56)^2),0))</f>
        <v>329</v>
      </c>
      <c r="R56" s="56" t="n">
        <v>6.64299219255706</v>
      </c>
      <c r="S56" s="57" t="n">
        <f aca="false">U56*V56*$F$5</f>
        <v>9343.93860561915</v>
      </c>
      <c r="T56" s="58" t="n">
        <f aca="false">MAX(0,MIN(1,R56/100+$D$5))</f>
        <v>0.489710861685981</v>
      </c>
      <c r="U56" s="58" t="n">
        <v>0.702393340270552</v>
      </c>
      <c r="V56" s="57" t="n">
        <v>13303</v>
      </c>
      <c r="W56" s="58" t="n">
        <v>0.0551273752894184</v>
      </c>
      <c r="X56" s="59" t="s">
        <v>152</v>
      </c>
      <c r="Y56" s="59" t="s">
        <v>132</v>
      </c>
    </row>
    <row r="57" customFormat="false" ht="15" hidden="false" customHeight="false" outlineLevel="0" collapsed="false">
      <c r="A57" s="32" t="s">
        <v>157</v>
      </c>
      <c r="B57" s="32" t="s">
        <v>180</v>
      </c>
      <c r="C57" s="32" t="s">
        <v>129</v>
      </c>
      <c r="D57" s="54" t="n">
        <f aca="false">ROUND(S57*T57,0)</f>
        <v>1051</v>
      </c>
      <c r="E57" s="54" t="n">
        <f aca="false">ROUND(S57,0)-D57</f>
        <v>2052</v>
      </c>
      <c r="F57" s="54" t="n">
        <f aca="false">IF(COUNTA(D57:E57)=0,"",SUM(D57:E57))</f>
        <v>3103</v>
      </c>
      <c r="G57" s="55" t="n">
        <f aca="false">IF(OR(F57="",F57=0),"",D57/F57)</f>
        <v>0.338704479535933</v>
      </c>
      <c r="H57" s="55" t="n">
        <f aca="false">IF(OR(F57="",F57=0),"",E57/F57)</f>
        <v>0.661295520464067</v>
      </c>
      <c r="I57" s="32" t="s">
        <v>130</v>
      </c>
      <c r="J57" s="36" t="n">
        <v>1.35162343329881</v>
      </c>
      <c r="K57" s="36" t="n">
        <f aca="false">$K$8</f>
        <v>1.81119845967768</v>
      </c>
      <c r="L57" s="36" t="n">
        <f aca="false">SQRT(J57^2+K57^2)</f>
        <v>2.25993932789826</v>
      </c>
      <c r="M57" s="55" t="n">
        <f aca="false">IF(G57="","",MAX(0,G57-1.96*L57/100))</f>
        <v>0.294409668709127</v>
      </c>
      <c r="N57" s="55" t="n">
        <f aca="false">IF(G57="","",MIN(1,G57+1.96*L57/100))</f>
        <v>0.382999290362739</v>
      </c>
      <c r="O57" s="54" t="n">
        <f aca="false">ROUND(S57*W57,0)</f>
        <v>171</v>
      </c>
      <c r="P57" s="54" t="n">
        <f aca="false">IF(F57="","",ROUND(SQRT((F57*L57/100)^2+(G57*O57)^2),0))</f>
        <v>91</v>
      </c>
      <c r="R57" s="56" t="n">
        <v>-8.46810771479865</v>
      </c>
      <c r="S57" s="57" t="n">
        <f aca="false">U57*V57*$F$5</f>
        <v>3102.86358754028</v>
      </c>
      <c r="T57" s="58" t="n">
        <f aca="false">MAX(0,MIN(1,R57/100+$D$5))</f>
        <v>0.338599862612424</v>
      </c>
      <c r="U57" s="58" t="n">
        <v>0.645757250268529</v>
      </c>
      <c r="V57" s="57" t="n">
        <v>4805</v>
      </c>
      <c r="W57" s="58" t="n">
        <v>0.0551273752894184</v>
      </c>
      <c r="X57" s="59" t="s">
        <v>152</v>
      </c>
      <c r="Y57" s="59" t="s">
        <v>132</v>
      </c>
    </row>
    <row r="58" customFormat="false" ht="15" hidden="false" customHeight="false" outlineLevel="0" collapsed="false">
      <c r="A58" s="32" t="s">
        <v>157</v>
      </c>
      <c r="B58" s="32" t="s">
        <v>181</v>
      </c>
      <c r="C58" s="32" t="s">
        <v>129</v>
      </c>
      <c r="D58" s="54" t="n">
        <f aca="false">ROUND(S58*T58,0)</f>
        <v>986</v>
      </c>
      <c r="E58" s="54" t="n">
        <f aca="false">ROUND(S58,0)-D58</f>
        <v>1754</v>
      </c>
      <c r="F58" s="54" t="n">
        <f aca="false">IF(COUNTA(D58:E58)=0,"",SUM(D58:E58))</f>
        <v>2740</v>
      </c>
      <c r="G58" s="55" t="n">
        <f aca="false">IF(OR(F58="",F58=0),"",D58/F58)</f>
        <v>0.35985401459854</v>
      </c>
      <c r="H58" s="55" t="n">
        <f aca="false">IF(OR(F58="",F58=0),"",E58/F58)</f>
        <v>0.64014598540146</v>
      </c>
      <c r="I58" s="32" t="s">
        <v>130</v>
      </c>
      <c r="J58" s="36" t="n">
        <v>1.56023581108354</v>
      </c>
      <c r="K58" s="36" t="n">
        <f aca="false">$K$8</f>
        <v>1.81119845967768</v>
      </c>
      <c r="L58" s="36" t="n">
        <f aca="false">SQRT(J58^2+K58^2)</f>
        <v>2.3905596931527</v>
      </c>
      <c r="M58" s="55" t="n">
        <f aca="false">IF(G58="","",MAX(0,G58-1.96*L58/100))</f>
        <v>0.312999044612747</v>
      </c>
      <c r="N58" s="55" t="n">
        <f aca="false">IF(G58="","",MIN(1,G58+1.96*L58/100))</f>
        <v>0.406708984584333</v>
      </c>
      <c r="O58" s="54" t="n">
        <f aca="false">ROUND(S58*W58,0)</f>
        <v>166</v>
      </c>
      <c r="P58" s="54" t="n">
        <f aca="false">IF(F58="","",ROUND(SQRT((F58*L58/100)^2+(G58*O58)^2),0))</f>
        <v>89</v>
      </c>
      <c r="R58" s="56" t="n">
        <v>-6.32762366091597</v>
      </c>
      <c r="S58" s="57" t="n">
        <f aca="false">U58*V58*$F$5</f>
        <v>2739.5017118778</v>
      </c>
      <c r="T58" s="58" t="n">
        <f aca="false">MAX(0,MIN(1,R58/100+$D$5))</f>
        <v>0.360004703151251</v>
      </c>
      <c r="U58" s="58" t="n">
        <v>0.708980774295496</v>
      </c>
      <c r="V58" s="57" t="n">
        <v>3864</v>
      </c>
      <c r="W58" s="58" t="n">
        <v>0.0606122259008943</v>
      </c>
      <c r="X58" s="59" t="s">
        <v>136</v>
      </c>
      <c r="Y58" s="59" t="s">
        <v>132</v>
      </c>
    </row>
    <row r="59" customFormat="false" ht="15" hidden="false" customHeight="false" outlineLevel="0" collapsed="false">
      <c r="A59" s="32" t="s">
        <v>157</v>
      </c>
      <c r="B59" s="32" t="s">
        <v>182</v>
      </c>
      <c r="C59" s="32" t="s">
        <v>129</v>
      </c>
      <c r="D59" s="54" t="n">
        <f aca="false">ROUND(S59*T59,0)</f>
        <v>5442</v>
      </c>
      <c r="E59" s="54" t="n">
        <f aca="false">ROUND(S59,0)-D59</f>
        <v>5062</v>
      </c>
      <c r="F59" s="54" t="n">
        <f aca="false">IF(COUNTA(D59:E59)=0,"",SUM(D59:E59))</f>
        <v>10504</v>
      </c>
      <c r="G59" s="55" t="n">
        <f aca="false">IF(OR(F59="",F59=0),"",D59/F59)</f>
        <v>0.518088347296268</v>
      </c>
      <c r="H59" s="55" t="n">
        <f aca="false">IF(OR(F59="",F59=0),"",E59/F59)</f>
        <v>0.481911652703732</v>
      </c>
      <c r="I59" s="32" t="s">
        <v>130</v>
      </c>
      <c r="J59" s="36" t="n">
        <v>1.35162343329881</v>
      </c>
      <c r="K59" s="36" t="n">
        <f aca="false">$K$8</f>
        <v>1.81119845967768</v>
      </c>
      <c r="L59" s="36" t="n">
        <f aca="false">SQRT(J59^2+K59^2)</f>
        <v>2.25993932789826</v>
      </c>
      <c r="M59" s="55" t="n">
        <f aca="false">IF(G59="","",MAX(0,G59-1.96*L59/100))</f>
        <v>0.473793536469462</v>
      </c>
      <c r="N59" s="55" t="n">
        <f aca="false">IF(G59="","",MIN(1,G59+1.96*L59/100))</f>
        <v>0.562383158123074</v>
      </c>
      <c r="O59" s="54" t="n">
        <f aca="false">ROUND(S59*W59,0)</f>
        <v>579</v>
      </c>
      <c r="P59" s="54" t="n">
        <f aca="false">IF(F59="","",ROUND(SQRT((F59*L59/100)^2+(G59*O59)^2),0))</f>
        <v>383</v>
      </c>
      <c r="R59" s="56" t="n">
        <v>9.48185306033623</v>
      </c>
      <c r="S59" s="57" t="n">
        <f aca="false">U59*V59*$F$5</f>
        <v>10504.2978562557</v>
      </c>
      <c r="T59" s="58" t="n">
        <f aca="false">MAX(0,MIN(1,R59/100+$D$5))</f>
        <v>0.518099470363773</v>
      </c>
      <c r="U59" s="58" t="n">
        <v>0.555753550407689</v>
      </c>
      <c r="V59" s="57" t="n">
        <v>18901</v>
      </c>
      <c r="W59" s="58" t="n">
        <v>0.0551273752894184</v>
      </c>
      <c r="X59" s="59" t="s">
        <v>152</v>
      </c>
      <c r="Y59" s="59" t="s">
        <v>132</v>
      </c>
    </row>
    <row r="60" customFormat="false" ht="15" hidden="false" customHeight="false" outlineLevel="0" collapsed="false">
      <c r="A60" s="32" t="s">
        <v>183</v>
      </c>
      <c r="B60" s="32" t="s">
        <v>184</v>
      </c>
      <c r="C60" s="32" t="s">
        <v>129</v>
      </c>
      <c r="D60" s="54" t="n">
        <f aca="false">ROUND(S60*T60,0)</f>
        <v>371</v>
      </c>
      <c r="E60" s="54" t="n">
        <f aca="false">ROUND(S60,0)-D60</f>
        <v>863</v>
      </c>
      <c r="F60" s="54" t="n">
        <f aca="false">IF(COUNTA(D60:E60)=0,"",SUM(D60:E60))</f>
        <v>1234</v>
      </c>
      <c r="G60" s="55" t="n">
        <f aca="false">IF(OR(F60="",F60=0),"",D60/F60)</f>
        <v>0.30064829821718</v>
      </c>
      <c r="H60" s="55" t="n">
        <f aca="false">IF(OR(F60="",F60=0),"",E60/F60)</f>
        <v>0.69935170178282</v>
      </c>
      <c r="I60" s="32" t="s">
        <v>130</v>
      </c>
      <c r="J60" s="36" t="n">
        <v>2.73651760017814</v>
      </c>
      <c r="K60" s="36" t="n">
        <f aca="false">$K$8</f>
        <v>1.81119845967768</v>
      </c>
      <c r="L60" s="36" t="n">
        <f aca="false">SQRT(J60^2+K60^2)</f>
        <v>3.28161064668305</v>
      </c>
      <c r="M60" s="55" t="n">
        <f aca="false">IF(G60="","",MAX(0,G60-1.96*L60/100))</f>
        <v>0.236328729542192</v>
      </c>
      <c r="N60" s="55" t="n">
        <f aca="false">IF(G60="","",MIN(1,G60+1.96*L60/100))</f>
        <v>0.364967866892168</v>
      </c>
      <c r="O60" s="54" t="n">
        <f aca="false">ROUND(S60*W60,0)</f>
        <v>96</v>
      </c>
      <c r="P60" s="54" t="n">
        <f aca="false">IF(F60="","",ROUND(SQRT((F60*L60/100)^2+(G60*O60)^2),0))</f>
        <v>50</v>
      </c>
      <c r="R60" s="56" t="n">
        <v>-12.3118894891216</v>
      </c>
      <c r="S60" s="57" t="n">
        <f aca="false">U60*V60*$F$5</f>
        <v>1234.45226917058</v>
      </c>
      <c r="T60" s="58" t="n">
        <f aca="false">MAX(0,MIN(1,R60/100+$D$5))</f>
        <v>0.300162044869194</v>
      </c>
      <c r="U60" s="58" t="n">
        <v>0.618153364632238</v>
      </c>
      <c r="V60" s="57" t="n">
        <v>1997</v>
      </c>
      <c r="W60" s="58" t="n">
        <v>0.0777040344688333</v>
      </c>
      <c r="X60" s="59" t="s">
        <v>131</v>
      </c>
      <c r="Y60" s="59" t="s">
        <v>185</v>
      </c>
    </row>
    <row r="61" customFormat="false" ht="15" hidden="false" customHeight="false" outlineLevel="0" collapsed="false">
      <c r="A61" s="32" t="s">
        <v>183</v>
      </c>
      <c r="B61" s="32" t="s">
        <v>186</v>
      </c>
      <c r="C61" s="32" t="s">
        <v>129</v>
      </c>
      <c r="D61" s="54" t="n">
        <f aca="false">ROUND(S61*T61,0)</f>
        <v>1074</v>
      </c>
      <c r="E61" s="54" t="n">
        <f aca="false">ROUND(S61,0)-D61</f>
        <v>2076</v>
      </c>
      <c r="F61" s="54" t="n">
        <f aca="false">IF(COUNTA(D61:E61)=0,"",SUM(D61:E61))</f>
        <v>3150</v>
      </c>
      <c r="G61" s="55" t="n">
        <f aca="false">IF(OR(F61="",F61=0),"",D61/F61)</f>
        <v>0.340952380952381</v>
      </c>
      <c r="H61" s="55" t="n">
        <f aca="false">IF(OR(F61="",F61=0),"",E61/F61)</f>
        <v>0.659047619047619</v>
      </c>
      <c r="I61" s="32" t="s">
        <v>130</v>
      </c>
      <c r="J61" s="36" t="n">
        <v>1.35162343329881</v>
      </c>
      <c r="K61" s="36" t="n">
        <f aca="false">$K$8</f>
        <v>1.81119845967768</v>
      </c>
      <c r="L61" s="36" t="n">
        <f aca="false">SQRT(J61^2+K61^2)</f>
        <v>2.25993932789826</v>
      </c>
      <c r="M61" s="55" t="n">
        <f aca="false">IF(G61="","",MAX(0,G61-1.96*L61/100))</f>
        <v>0.296657570125575</v>
      </c>
      <c r="N61" s="55" t="n">
        <f aca="false">IF(G61="","",MIN(1,G61+1.96*L61/100))</f>
        <v>0.385247191779187</v>
      </c>
      <c r="O61" s="54" t="n">
        <f aca="false">ROUND(S61*W61,0)</f>
        <v>174</v>
      </c>
      <c r="P61" s="54" t="n">
        <f aca="false">IF(F61="","",ROUND(SQRT((F61*L61/100)^2+(G61*O61)^2),0))</f>
        <v>93</v>
      </c>
      <c r="R61" s="56" t="n">
        <v>-8.24180657813866</v>
      </c>
      <c r="S61" s="57" t="n">
        <f aca="false">U61*V61*$F$5</f>
        <v>3150.44851429639</v>
      </c>
      <c r="T61" s="58" t="n">
        <f aca="false">MAX(0,MIN(1,R61/100+$D$5))</f>
        <v>0.340862873979024</v>
      </c>
      <c r="U61" s="58" t="n">
        <v>0.56157727527565</v>
      </c>
      <c r="V61" s="57" t="n">
        <v>5610</v>
      </c>
      <c r="W61" s="58" t="n">
        <v>0.0551273752894184</v>
      </c>
      <c r="X61" s="59" t="s">
        <v>152</v>
      </c>
      <c r="Y61" s="59" t="s">
        <v>185</v>
      </c>
    </row>
    <row r="62" customFormat="false" ht="15" hidden="false" customHeight="false" outlineLevel="0" collapsed="false">
      <c r="A62" s="32" t="s">
        <v>183</v>
      </c>
      <c r="B62" s="32" t="s">
        <v>187</v>
      </c>
      <c r="C62" s="32" t="s">
        <v>129</v>
      </c>
      <c r="D62" s="54" t="n">
        <f aca="false">ROUND(S62*T62,0)</f>
        <v>392</v>
      </c>
      <c r="E62" s="54" t="n">
        <f aca="false">ROUND(S62,0)-D62</f>
        <v>779</v>
      </c>
      <c r="F62" s="54" t="n">
        <f aca="false">IF(COUNTA(D62:E62)=0,"",SUM(D62:E62))</f>
        <v>1171</v>
      </c>
      <c r="G62" s="55" t="n">
        <f aca="false">IF(OR(F62="",F62=0),"",D62/F62)</f>
        <v>0.334756618274979</v>
      </c>
      <c r="H62" s="55" t="n">
        <f aca="false">IF(OR(F62="",F62=0),"",E62/F62)</f>
        <v>0.665243381725021</v>
      </c>
      <c r="I62" s="32" t="s">
        <v>130</v>
      </c>
      <c r="J62" s="36" t="n">
        <v>2.73651760017814</v>
      </c>
      <c r="K62" s="36" t="n">
        <f aca="false">$K$8</f>
        <v>1.81119845967768</v>
      </c>
      <c r="L62" s="36" t="n">
        <f aca="false">SQRT(J62^2+K62^2)</f>
        <v>3.28161064668305</v>
      </c>
      <c r="M62" s="55" t="n">
        <f aca="false">IF(G62="","",MAX(0,G62-1.96*L62/100))</f>
        <v>0.270437049599991</v>
      </c>
      <c r="N62" s="55" t="n">
        <f aca="false">IF(G62="","",MIN(1,G62+1.96*L62/100))</f>
        <v>0.399076186949966</v>
      </c>
      <c r="O62" s="54" t="n">
        <f aca="false">ROUND(S62*W62,0)</f>
        <v>91</v>
      </c>
      <c r="P62" s="54" t="n">
        <f aca="false">IF(F62="","",ROUND(SQRT((F62*L62/100)^2+(G62*O62)^2),0))</f>
        <v>49</v>
      </c>
      <c r="R62" s="56" t="n">
        <v>-8.86010821945891</v>
      </c>
      <c r="S62" s="57" t="n">
        <f aca="false">U62*V62*$F$5</f>
        <v>1170.82273494654</v>
      </c>
      <c r="T62" s="58" t="n">
        <f aca="false">MAX(0,MIN(1,R62/100+$D$5))</f>
        <v>0.334679857565821</v>
      </c>
      <c r="U62" s="58" t="n">
        <v>0.625773776027012</v>
      </c>
      <c r="V62" s="57" t="n">
        <v>1871</v>
      </c>
      <c r="W62" s="58" t="n">
        <v>0.0777040344688333</v>
      </c>
      <c r="X62" s="59" t="s">
        <v>131</v>
      </c>
      <c r="Y62" s="59" t="s">
        <v>185</v>
      </c>
    </row>
    <row r="63" customFormat="false" ht="15" hidden="false" customHeight="false" outlineLevel="0" collapsed="false">
      <c r="A63" s="32" t="s">
        <v>188</v>
      </c>
      <c r="B63" s="32" t="s">
        <v>189</v>
      </c>
      <c r="C63" s="32" t="s">
        <v>129</v>
      </c>
      <c r="D63" s="54" t="n">
        <f aca="false">ROUND(S63*T63,0)</f>
        <v>1174</v>
      </c>
      <c r="E63" s="54" t="n">
        <f aca="false">ROUND(S63,0)-D63</f>
        <v>1533</v>
      </c>
      <c r="F63" s="54" t="n">
        <f aca="false">IF(COUNTA(D63:E63)=0,"",SUM(D63:E63))</f>
        <v>2707</v>
      </c>
      <c r="G63" s="55" t="n">
        <f aca="false">IF(OR(F63="",F63=0),"",D63/F63)</f>
        <v>0.433690432212782</v>
      </c>
      <c r="H63" s="55" t="n">
        <f aca="false">IF(OR(F63="",F63=0),"",E63/F63)</f>
        <v>0.566309567787218</v>
      </c>
      <c r="I63" s="32" t="s">
        <v>130</v>
      </c>
      <c r="J63" s="36" t="n">
        <v>1.56023581108354</v>
      </c>
      <c r="K63" s="36" t="n">
        <f aca="false">$K$8</f>
        <v>1.81119845967768</v>
      </c>
      <c r="L63" s="36" t="n">
        <f aca="false">SQRT(J63^2+K63^2)</f>
        <v>2.3905596931527</v>
      </c>
      <c r="M63" s="55" t="n">
        <f aca="false">IF(G63="","",MAX(0,G63-1.96*L63/100))</f>
        <v>0.386835462226989</v>
      </c>
      <c r="N63" s="55" t="n">
        <f aca="false">IF(G63="","",MIN(1,G63+1.96*L63/100))</f>
        <v>0.480545402198575</v>
      </c>
      <c r="O63" s="54" t="n">
        <f aca="false">ROUND(S63*W63,0)</f>
        <v>164</v>
      </c>
      <c r="P63" s="54" t="n">
        <f aca="false">IF(F63="","",ROUND(SQRT((F63*L63/100)^2+(G63*O63)^2),0))</f>
        <v>96</v>
      </c>
      <c r="R63" s="56" t="n">
        <v>1.02811740797874</v>
      </c>
      <c r="S63" s="57" t="n">
        <f aca="false">U63*V63*$F$5</f>
        <v>2707.41725054361</v>
      </c>
      <c r="T63" s="58" t="n">
        <f aca="false">MAX(0,MIN(1,R63/100+$D$5))</f>
        <v>0.433562113840198</v>
      </c>
      <c r="U63" s="58" t="n">
        <v>0.628171055810582</v>
      </c>
      <c r="V63" s="57" t="n">
        <v>4310</v>
      </c>
      <c r="W63" s="58" t="n">
        <v>0.0606122259008943</v>
      </c>
      <c r="X63" s="59" t="s">
        <v>136</v>
      </c>
      <c r="Y63" s="59" t="s">
        <v>132</v>
      </c>
    </row>
    <row r="64" customFormat="false" ht="15" hidden="false" customHeight="false" outlineLevel="0" collapsed="false">
      <c r="A64" s="32" t="s">
        <v>188</v>
      </c>
      <c r="B64" s="32" t="s">
        <v>190</v>
      </c>
      <c r="C64" s="32" t="s">
        <v>129</v>
      </c>
      <c r="D64" s="54" t="n">
        <f aca="false">ROUND(S64*T64,0)</f>
        <v>708</v>
      </c>
      <c r="E64" s="54" t="n">
        <f aca="false">ROUND(S64,0)-D64</f>
        <v>980</v>
      </c>
      <c r="F64" s="54" t="n">
        <f aca="false">IF(COUNTA(D64:E64)=0,"",SUM(D64:E64))</f>
        <v>1688</v>
      </c>
      <c r="G64" s="55" t="n">
        <f aca="false">IF(OR(F64="",F64=0),"",D64/F64)</f>
        <v>0.419431279620853</v>
      </c>
      <c r="H64" s="55" t="n">
        <f aca="false">IF(OR(F64="",F64=0),"",E64/F64)</f>
        <v>0.580568720379147</v>
      </c>
      <c r="I64" s="32" t="s">
        <v>130</v>
      </c>
      <c r="J64" s="36" t="n">
        <v>1.56023581108354</v>
      </c>
      <c r="K64" s="36" t="n">
        <f aca="false">$K$8</f>
        <v>1.81119845967768</v>
      </c>
      <c r="L64" s="36" t="n">
        <f aca="false">SQRT(J64^2+K64^2)</f>
        <v>2.3905596931527</v>
      </c>
      <c r="M64" s="55" t="n">
        <f aca="false">IF(G64="","",MAX(0,G64-1.96*L64/100))</f>
        <v>0.37257630963506</v>
      </c>
      <c r="N64" s="55" t="n">
        <f aca="false">IF(G64="","",MIN(1,G64+1.96*L64/100))</f>
        <v>0.466286249606646</v>
      </c>
      <c r="O64" s="54" t="n">
        <f aca="false">ROUND(S64*W64,0)</f>
        <v>102</v>
      </c>
      <c r="P64" s="54" t="n">
        <f aca="false">IF(F64="","",ROUND(SQRT((F64*L64/100)^2+(G64*O64)^2),0))</f>
        <v>59</v>
      </c>
      <c r="R64" s="56" t="n">
        <v>-0.406824338599486</v>
      </c>
      <c r="S64" s="57" t="n">
        <f aca="false">U64*V64*$F$5</f>
        <v>1687.9765578635</v>
      </c>
      <c r="T64" s="58" t="n">
        <f aca="false">MAX(0,MIN(1,R64/100+$D$5))</f>
        <v>0.419212696374415</v>
      </c>
      <c r="U64" s="58" t="n">
        <v>0.491691394658754</v>
      </c>
      <c r="V64" s="57" t="n">
        <v>3433</v>
      </c>
      <c r="W64" s="58" t="n">
        <v>0.0606122259008943</v>
      </c>
      <c r="X64" s="59" t="s">
        <v>136</v>
      </c>
      <c r="Y64" s="59" t="s">
        <v>132</v>
      </c>
    </row>
    <row r="65" customFormat="false" ht="15" hidden="false" customHeight="false" outlineLevel="0" collapsed="false">
      <c r="A65" s="32" t="s">
        <v>188</v>
      </c>
      <c r="B65" s="32" t="s">
        <v>191</v>
      </c>
      <c r="C65" s="32" t="s">
        <v>129</v>
      </c>
      <c r="D65" s="54" t="n">
        <f aca="false">ROUND(S65*T65,0)</f>
        <v>480</v>
      </c>
      <c r="E65" s="54" t="n">
        <f aca="false">ROUND(S65,0)-D65</f>
        <v>536</v>
      </c>
      <c r="F65" s="54" t="n">
        <f aca="false">IF(COUNTA(D65:E65)=0,"",SUM(D65:E65))</f>
        <v>1016</v>
      </c>
      <c r="G65" s="55" t="n">
        <f aca="false">IF(OR(F65="",F65=0),"",D65/F65)</f>
        <v>0.47244094488189</v>
      </c>
      <c r="H65" s="55" t="n">
        <f aca="false">IF(OR(F65="",F65=0),"",E65/F65)</f>
        <v>0.52755905511811</v>
      </c>
      <c r="I65" s="32" t="s">
        <v>130</v>
      </c>
      <c r="J65" s="36" t="n">
        <v>2.73651760017814</v>
      </c>
      <c r="K65" s="36" t="n">
        <f aca="false">$K$8</f>
        <v>1.81119845967768</v>
      </c>
      <c r="L65" s="36" t="n">
        <f aca="false">SQRT(J65^2+K65^2)</f>
        <v>3.28161064668305</v>
      </c>
      <c r="M65" s="55" t="n">
        <f aca="false">IF(G65="","",MAX(0,G65-1.96*L65/100))</f>
        <v>0.408121376206902</v>
      </c>
      <c r="N65" s="55" t="n">
        <f aca="false">IF(G65="","",MIN(1,G65+1.96*L65/100))</f>
        <v>0.536760513556878</v>
      </c>
      <c r="O65" s="54" t="n">
        <f aca="false">ROUND(S65*W65,0)</f>
        <v>79</v>
      </c>
      <c r="P65" s="54" t="n">
        <f aca="false">IF(F65="","",ROUND(SQRT((F65*L65/100)^2+(G65*O65)^2),0))</f>
        <v>50</v>
      </c>
      <c r="R65" s="56" t="n">
        <v>4.87591455032524</v>
      </c>
      <c r="S65" s="57" t="n">
        <f aca="false">U65*V65*$F$5</f>
        <v>1015.97556912826</v>
      </c>
      <c r="T65" s="58" t="n">
        <f aca="false">MAX(0,MIN(1,R65/100+$D$5))</f>
        <v>0.472040085263663</v>
      </c>
      <c r="U65" s="58" t="n">
        <v>0.529705719044975</v>
      </c>
      <c r="V65" s="57" t="n">
        <v>1918</v>
      </c>
      <c r="W65" s="58" t="n">
        <v>0.0777040344688333</v>
      </c>
      <c r="X65" s="59" t="s">
        <v>131</v>
      </c>
      <c r="Y65" s="59" t="s">
        <v>132</v>
      </c>
    </row>
    <row r="66" customFormat="false" ht="15" hidden="false" customHeight="false" outlineLevel="0" collapsed="false">
      <c r="A66" s="32" t="s">
        <v>188</v>
      </c>
      <c r="B66" s="32" t="s">
        <v>160</v>
      </c>
      <c r="C66" s="32" t="s">
        <v>129</v>
      </c>
      <c r="D66" s="54" t="n">
        <f aca="false">ROUND(S66*T66,0)</f>
        <v>12702</v>
      </c>
      <c r="E66" s="54" t="n">
        <f aca="false">ROUND(S66,0)-D66</f>
        <v>6270</v>
      </c>
      <c r="F66" s="54" t="n">
        <f aca="false">IF(COUNTA(D66:E66)=0,"",SUM(D66:E66))</f>
        <v>18972</v>
      </c>
      <c r="G66" s="55" t="n">
        <f aca="false">IF(OR(F66="",F66=0),"",D66/F66)</f>
        <v>0.669512966476913</v>
      </c>
      <c r="H66" s="55" t="n">
        <f aca="false">IF(OR(F66="",F66=0),"",E66/F66)</f>
        <v>0.330487033523087</v>
      </c>
      <c r="I66" s="32" t="s">
        <v>130</v>
      </c>
      <c r="J66" s="36" t="n">
        <v>1.35162343329881</v>
      </c>
      <c r="K66" s="36" t="n">
        <f aca="false">$K$8</f>
        <v>1.81119845967768</v>
      </c>
      <c r="L66" s="36" t="n">
        <f aca="false">SQRT(J66^2+K66^2)</f>
        <v>2.25993932789826</v>
      </c>
      <c r="M66" s="55" t="n">
        <f aca="false">IF(G66="","",MAX(0,G66-1.96*L66/100))</f>
        <v>0.625218155650107</v>
      </c>
      <c r="N66" s="55" t="n">
        <f aca="false">IF(G66="","",MIN(1,G66+1.96*L66/100))</f>
        <v>0.713807777303719</v>
      </c>
      <c r="O66" s="54" t="n">
        <f aca="false">ROUND(S66*W66,0)</f>
        <v>1046</v>
      </c>
      <c r="P66" s="54" t="n">
        <f aca="false">IF(F66="","",ROUND(SQRT((F66*L66/100)^2+(G66*O66)^2),0))</f>
        <v>821</v>
      </c>
      <c r="R66" s="56" t="n">
        <v>24.6239345387304</v>
      </c>
      <c r="S66" s="57" t="n">
        <f aca="false">U66*V66*$F$5</f>
        <v>18972.4050126369</v>
      </c>
      <c r="T66" s="58" t="n">
        <f aca="false">MAX(0,MIN(1,R66/100+$D$5))</f>
        <v>0.669520285147714</v>
      </c>
      <c r="U66" s="58" t="n">
        <v>0.476358466722831</v>
      </c>
      <c r="V66" s="57" t="n">
        <v>39828</v>
      </c>
      <c r="W66" s="58" t="n">
        <v>0.0551273752894184</v>
      </c>
      <c r="X66" s="59" t="s">
        <v>152</v>
      </c>
      <c r="Y66" s="59" t="s">
        <v>185</v>
      </c>
    </row>
    <row r="67" customFormat="false" ht="15" hidden="false" customHeight="false" outlineLevel="0" collapsed="false">
      <c r="A67" s="32" t="s">
        <v>188</v>
      </c>
      <c r="B67" s="32" t="s">
        <v>192</v>
      </c>
      <c r="C67" s="32" t="s">
        <v>129</v>
      </c>
      <c r="D67" s="54" t="n">
        <f aca="false">ROUND(S67*T67,0)</f>
        <v>6851</v>
      </c>
      <c r="E67" s="54" t="n">
        <f aca="false">ROUND(S67,0)-D67</f>
        <v>5898</v>
      </c>
      <c r="F67" s="54" t="n">
        <f aca="false">IF(COUNTA(D67:E67)=0,"",SUM(D67:E67))</f>
        <v>12749</v>
      </c>
      <c r="G67" s="55" t="n">
        <f aca="false">IF(OR(F67="",F67=0),"",D67/F67)</f>
        <v>0.537375480429838</v>
      </c>
      <c r="H67" s="55" t="n">
        <f aca="false">IF(OR(F67="",F67=0),"",E67/F67)</f>
        <v>0.462624519570162</v>
      </c>
      <c r="I67" s="32" t="s">
        <v>130</v>
      </c>
      <c r="J67" s="36" t="n">
        <v>1.35162343329881</v>
      </c>
      <c r="K67" s="36" t="n">
        <f aca="false">$K$8</f>
        <v>1.81119845967768</v>
      </c>
      <c r="L67" s="36" t="n">
        <f aca="false">SQRT(J67^2+K67^2)</f>
        <v>2.25993932789826</v>
      </c>
      <c r="M67" s="55" t="n">
        <f aca="false">IF(G67="","",MAX(0,G67-1.96*L67/100))</f>
        <v>0.493080669603032</v>
      </c>
      <c r="N67" s="55" t="n">
        <f aca="false">IF(G67="","",MIN(1,G67+1.96*L67/100))</f>
        <v>0.581670291256644</v>
      </c>
      <c r="O67" s="54" t="n">
        <f aca="false">ROUND(S67*W67,0)</f>
        <v>703</v>
      </c>
      <c r="P67" s="54" t="n">
        <f aca="false">IF(F67="","",ROUND(SQRT((F67*L67/100)^2+(G67*O67)^2),0))</f>
        <v>475</v>
      </c>
      <c r="R67" s="56" t="n">
        <v>11.4104824149209</v>
      </c>
      <c r="S67" s="57" t="n">
        <f aca="false">U67*V67*$F$5</f>
        <v>12748.560475162</v>
      </c>
      <c r="T67" s="58" t="n">
        <f aca="false">MAX(0,MIN(1,R67/100+$D$5))</f>
        <v>0.537385763909619</v>
      </c>
      <c r="U67" s="58" t="n">
        <v>0.629589632829374</v>
      </c>
      <c r="V67" s="57" t="n">
        <v>20249</v>
      </c>
      <c r="W67" s="58" t="n">
        <v>0.0551273752894184</v>
      </c>
      <c r="X67" s="59" t="s">
        <v>152</v>
      </c>
      <c r="Y67" s="59" t="s">
        <v>185</v>
      </c>
    </row>
    <row r="68" customFormat="false" ht="15" hidden="false" customHeight="false" outlineLevel="0" collapsed="false">
      <c r="A68" s="32" t="s">
        <v>188</v>
      </c>
      <c r="B68" s="32" t="s">
        <v>193</v>
      </c>
      <c r="C68" s="32" t="s">
        <v>129</v>
      </c>
      <c r="D68" s="54" t="n">
        <f aca="false">ROUND(S68*T68,0)</f>
        <v>1697</v>
      </c>
      <c r="E68" s="54" t="n">
        <f aca="false">ROUND(S68,0)-D68</f>
        <v>2726</v>
      </c>
      <c r="F68" s="54" t="n">
        <f aca="false">IF(COUNTA(D68:E68)=0,"",SUM(D68:E68))</f>
        <v>4423</v>
      </c>
      <c r="G68" s="55" t="n">
        <f aca="false">IF(OR(F68="",F68=0),"",D68/F68)</f>
        <v>0.383676237847615</v>
      </c>
      <c r="H68" s="55" t="n">
        <f aca="false">IF(OR(F68="",F68=0),"",E68/F68)</f>
        <v>0.616323762152385</v>
      </c>
      <c r="I68" s="32" t="s">
        <v>130</v>
      </c>
      <c r="J68" s="36" t="n">
        <v>1.35162343329881</v>
      </c>
      <c r="K68" s="36" t="n">
        <f aca="false">$K$8</f>
        <v>1.81119845967768</v>
      </c>
      <c r="L68" s="36" t="n">
        <f aca="false">SQRT(J68^2+K68^2)</f>
        <v>2.25993932789826</v>
      </c>
      <c r="M68" s="55" t="n">
        <f aca="false">IF(G68="","",MAX(0,G68-1.96*L68/100))</f>
        <v>0.339381427020809</v>
      </c>
      <c r="N68" s="55" t="n">
        <f aca="false">IF(G68="","",MIN(1,G68+1.96*L68/100))</f>
        <v>0.427971048674421</v>
      </c>
      <c r="O68" s="54" t="n">
        <f aca="false">ROUND(S68*W68,0)</f>
        <v>244</v>
      </c>
      <c r="P68" s="54" t="n">
        <f aca="false">IF(F68="","",ROUND(SQRT((F68*L68/100)^2+(G68*O68)^2),0))</f>
        <v>137</v>
      </c>
      <c r="R68" s="56" t="n">
        <v>-3.96171816660776</v>
      </c>
      <c r="S68" s="57" t="n">
        <f aca="false">U68*V68*$F$5</f>
        <v>4422.68236877524</v>
      </c>
      <c r="T68" s="58" t="n">
        <f aca="false">MAX(0,MIN(1,R68/100+$D$5))</f>
        <v>0.383663758094333</v>
      </c>
      <c r="U68" s="58" t="n">
        <v>0.657843577089876</v>
      </c>
      <c r="V68" s="57" t="n">
        <v>6723</v>
      </c>
      <c r="W68" s="58" t="n">
        <v>0.0551273752894184</v>
      </c>
      <c r="X68" s="59" t="s">
        <v>152</v>
      </c>
      <c r="Y68" s="59" t="s">
        <v>132</v>
      </c>
    </row>
    <row r="69" customFormat="false" ht="15" hidden="false" customHeight="false" outlineLevel="0" collapsed="false">
      <c r="A69" s="32" t="s">
        <v>188</v>
      </c>
      <c r="B69" s="32" t="s">
        <v>194</v>
      </c>
      <c r="C69" s="32" t="s">
        <v>129</v>
      </c>
      <c r="D69" s="54" t="n">
        <f aca="false">ROUND(S69*T69,0)</f>
        <v>35</v>
      </c>
      <c r="E69" s="54" t="n">
        <f aca="false">ROUND(S69,0)-D69</f>
        <v>62</v>
      </c>
      <c r="F69" s="54" t="n">
        <f aca="false">IF(COUNTA(D69:E69)=0,"",SUM(D69:E69))</f>
        <v>97</v>
      </c>
      <c r="G69" s="55" t="n">
        <f aca="false">IF(OR(F69="",F69=0),"",D69/F69)</f>
        <v>0.360824742268041</v>
      </c>
      <c r="H69" s="55" t="n">
        <f aca="false">IF(OR(F69="",F69=0),"",E69/F69)</f>
        <v>0.639175257731959</v>
      </c>
      <c r="I69" s="32" t="s">
        <v>130</v>
      </c>
      <c r="J69" s="36" t="n">
        <v>2.73651760017814</v>
      </c>
      <c r="K69" s="36" t="n">
        <f aca="false">$K$8</f>
        <v>1.81119845967768</v>
      </c>
      <c r="L69" s="36" t="n">
        <f aca="false">SQRT(J69^2+K69^2)</f>
        <v>3.28161064668305</v>
      </c>
      <c r="M69" s="55" t="n">
        <f aca="false">IF(G69="","",MAX(0,G69-1.96*L69/100))</f>
        <v>0.296505173593054</v>
      </c>
      <c r="N69" s="55" t="n">
        <f aca="false">IF(G69="","",MIN(1,G69+1.96*L69/100))</f>
        <v>0.425144310943029</v>
      </c>
      <c r="O69" s="54" t="n">
        <f aca="false">ROUND(S69*W69,0)</f>
        <v>8</v>
      </c>
      <c r="P69" s="54" t="n">
        <f aca="false">IF(F69="","",ROUND(SQRT((F69*L69/100)^2+(G69*O69)^2),0))</f>
        <v>4</v>
      </c>
      <c r="R69" s="56" t="n">
        <v>-6.51939904464291</v>
      </c>
      <c r="S69" s="57" t="n">
        <f aca="false">U69*V69*$F$5</f>
        <v>97.2992700729927</v>
      </c>
      <c r="T69" s="58" t="n">
        <f aca="false">MAX(0,MIN(1,R69/100+$D$5))</f>
        <v>0.358086949313981</v>
      </c>
      <c r="U69" s="58" t="n">
        <v>0.627737226277372</v>
      </c>
      <c r="V69" s="57" t="n">
        <v>155</v>
      </c>
      <c r="W69" s="58" t="n">
        <v>0.0777040344688333</v>
      </c>
      <c r="X69" s="59" t="s">
        <v>131</v>
      </c>
      <c r="Y69" s="59" t="s">
        <v>132</v>
      </c>
    </row>
    <row r="70" customFormat="false" ht="15" hidden="false" customHeight="false" outlineLevel="0" collapsed="false">
      <c r="A70" s="32" t="s">
        <v>188</v>
      </c>
      <c r="B70" s="32" t="s">
        <v>195</v>
      </c>
      <c r="C70" s="32" t="s">
        <v>129</v>
      </c>
      <c r="D70" s="54" t="n">
        <f aca="false">ROUND(S70*T70,0)</f>
        <v>1130</v>
      </c>
      <c r="E70" s="54" t="n">
        <f aca="false">ROUND(S70,0)-D70</f>
        <v>1511</v>
      </c>
      <c r="F70" s="54" t="n">
        <f aca="false">IF(COUNTA(D70:E70)=0,"",SUM(D70:E70))</f>
        <v>2641</v>
      </c>
      <c r="G70" s="55" t="n">
        <f aca="false">IF(OR(F70="",F70=0),"",D70/F70)</f>
        <v>0.427868231730405</v>
      </c>
      <c r="H70" s="55" t="n">
        <f aca="false">IF(OR(F70="",F70=0),"",E70/F70)</f>
        <v>0.572131768269595</v>
      </c>
      <c r="I70" s="32" t="s">
        <v>130</v>
      </c>
      <c r="J70" s="36" t="n">
        <v>1.56023581108354</v>
      </c>
      <c r="K70" s="36" t="n">
        <f aca="false">$K$8</f>
        <v>1.81119845967768</v>
      </c>
      <c r="L70" s="36" t="n">
        <f aca="false">SQRT(J70^2+K70^2)</f>
        <v>2.3905596931527</v>
      </c>
      <c r="M70" s="55" t="n">
        <f aca="false">IF(G70="","",MAX(0,G70-1.96*L70/100))</f>
        <v>0.381013261744612</v>
      </c>
      <c r="N70" s="55" t="n">
        <f aca="false">IF(G70="","",MIN(1,G70+1.96*L70/100))</f>
        <v>0.474723201716198</v>
      </c>
      <c r="O70" s="54" t="n">
        <f aca="false">ROUND(S70*W70,0)</f>
        <v>160</v>
      </c>
      <c r="P70" s="54" t="n">
        <f aca="false">IF(F70="","",ROUND(SQRT((F70*L70/100)^2+(G70*O70)^2),0))</f>
        <v>93</v>
      </c>
      <c r="R70" s="56" t="n">
        <v>0.462859494795477</v>
      </c>
      <c r="S70" s="57" t="n">
        <f aca="false">U70*V70*$F$5</f>
        <v>2640.91189093663</v>
      </c>
      <c r="T70" s="58" t="n">
        <f aca="false">MAX(0,MIN(1,R70/100+$D$5))</f>
        <v>0.427909534708365</v>
      </c>
      <c r="U70" s="58" t="n">
        <v>0.635445594546832</v>
      </c>
      <c r="V70" s="57" t="n">
        <v>4156</v>
      </c>
      <c r="W70" s="58" t="n">
        <v>0.0606122259008943</v>
      </c>
      <c r="X70" s="59" t="s">
        <v>136</v>
      </c>
      <c r="Y70" s="59" t="s">
        <v>132</v>
      </c>
    </row>
    <row r="71" customFormat="false" ht="15" hidden="false" customHeight="false" outlineLevel="0" collapsed="false">
      <c r="A71" s="32" t="s">
        <v>188</v>
      </c>
      <c r="B71" s="32" t="s">
        <v>196</v>
      </c>
      <c r="C71" s="32" t="s">
        <v>129</v>
      </c>
      <c r="D71" s="54" t="n">
        <f aca="false">ROUND(S71*T71,0)</f>
        <v>147</v>
      </c>
      <c r="E71" s="54" t="n">
        <f aca="false">ROUND(S71,0)-D71</f>
        <v>213</v>
      </c>
      <c r="F71" s="54" t="n">
        <f aca="false">IF(COUNTA(D71:E71)=0,"",SUM(D71:E71))</f>
        <v>360</v>
      </c>
      <c r="G71" s="55" t="n">
        <f aca="false">IF(OR(F71="",F71=0),"",D71/F71)</f>
        <v>0.408333333333333</v>
      </c>
      <c r="H71" s="55" t="n">
        <f aca="false">IF(OR(F71="",F71=0),"",E71/F71)</f>
        <v>0.591666666666667</v>
      </c>
      <c r="I71" s="32" t="s">
        <v>130</v>
      </c>
      <c r="J71" s="36" t="n">
        <v>2.73651760017814</v>
      </c>
      <c r="K71" s="36" t="n">
        <f aca="false">$K$8</f>
        <v>1.81119845967768</v>
      </c>
      <c r="L71" s="36" t="n">
        <f aca="false">SQRT(J71^2+K71^2)</f>
        <v>3.28161064668305</v>
      </c>
      <c r="M71" s="55" t="n">
        <f aca="false">IF(G71="","",MAX(0,G71-1.96*L71/100))</f>
        <v>0.344013764658346</v>
      </c>
      <c r="N71" s="55" t="n">
        <f aca="false">IF(G71="","",MIN(1,G71+1.96*L71/100))</f>
        <v>0.472652902008321</v>
      </c>
      <c r="O71" s="54" t="n">
        <f aca="false">ROUND(S71*W71,0)</f>
        <v>28</v>
      </c>
      <c r="P71" s="54" t="n">
        <f aca="false">IF(F71="","",ROUND(SQRT((F71*L71/100)^2+(G71*O71)^2),0))</f>
        <v>16</v>
      </c>
      <c r="R71" s="56" t="n">
        <v>-1.47287032153698</v>
      </c>
      <c r="S71" s="57" t="n">
        <f aca="false">U71*V71*$F$5</f>
        <v>360.236842105263</v>
      </c>
      <c r="T71" s="58" t="n">
        <f aca="false">MAX(0,MIN(1,R71/100+$D$5))</f>
        <v>0.408552236545041</v>
      </c>
      <c r="U71" s="58" t="n">
        <v>0.513157894736842</v>
      </c>
      <c r="V71" s="57" t="n">
        <v>702</v>
      </c>
      <c r="W71" s="58" t="n">
        <v>0.0777040344688333</v>
      </c>
      <c r="X71" s="59" t="s">
        <v>131</v>
      </c>
      <c r="Y71" s="59" t="s">
        <v>132</v>
      </c>
    </row>
    <row r="72" customFormat="false" ht="15" hidden="false" customHeight="false" outlineLevel="0" collapsed="false">
      <c r="A72" s="32" t="s">
        <v>188</v>
      </c>
      <c r="B72" s="32" t="s">
        <v>197</v>
      </c>
      <c r="C72" s="32" t="s">
        <v>129</v>
      </c>
      <c r="D72" s="54" t="n">
        <f aca="false">ROUND(S72*T72,0)</f>
        <v>5077</v>
      </c>
      <c r="E72" s="54" t="n">
        <f aca="false">ROUND(S72,0)-D72</f>
        <v>2220</v>
      </c>
      <c r="F72" s="54" t="n">
        <f aca="false">IF(COUNTA(D72:E72)=0,"",SUM(D72:E72))</f>
        <v>7297</v>
      </c>
      <c r="G72" s="55" t="n">
        <f aca="false">IF(OR(F72="",F72=0),"",D72/F72)</f>
        <v>0.695765383034124</v>
      </c>
      <c r="H72" s="55" t="n">
        <f aca="false">IF(OR(F72="",F72=0),"",E72/F72)</f>
        <v>0.304234616965876</v>
      </c>
      <c r="I72" s="32" t="s">
        <v>130</v>
      </c>
      <c r="J72" s="36" t="n">
        <v>1.35162343329881</v>
      </c>
      <c r="K72" s="36" t="n">
        <f aca="false">$K$8</f>
        <v>1.81119845967768</v>
      </c>
      <c r="L72" s="36" t="n">
        <f aca="false">SQRT(J72^2+K72^2)</f>
        <v>2.25993932789826</v>
      </c>
      <c r="M72" s="55" t="n">
        <f aca="false">IF(G72="","",MAX(0,G72-1.96*L72/100))</f>
        <v>0.651470572207318</v>
      </c>
      <c r="N72" s="55" t="n">
        <f aca="false">IF(G72="","",MIN(1,G72+1.96*L72/100))</f>
        <v>0.74006019386093</v>
      </c>
      <c r="O72" s="54" t="n">
        <f aca="false">ROUND(S72*W72,0)</f>
        <v>402</v>
      </c>
      <c r="P72" s="54" t="n">
        <f aca="false">IF(F72="","",ROUND(SQRT((F72*L72/100)^2+(G72*O72)^2),0))</f>
        <v>325</v>
      </c>
      <c r="R72" s="56" t="n">
        <v>27.2523952041683</v>
      </c>
      <c r="S72" s="57" t="n">
        <f aca="false">U72*V72*$F$5</f>
        <v>7297.15979682392</v>
      </c>
      <c r="T72" s="58" t="n">
        <f aca="false">MAX(0,MIN(1,R72/100+$D$5))</f>
        <v>0.695804891802094</v>
      </c>
      <c r="U72" s="58" t="n">
        <v>0.414117234936945</v>
      </c>
      <c r="V72" s="57" t="n">
        <v>17621</v>
      </c>
      <c r="W72" s="58" t="n">
        <v>0.0551273752894184</v>
      </c>
      <c r="X72" s="59" t="s">
        <v>152</v>
      </c>
      <c r="Y72" s="59" t="s">
        <v>132</v>
      </c>
    </row>
    <row r="73" customFormat="false" ht="15" hidden="false" customHeight="false" outlineLevel="0" collapsed="false">
      <c r="A73" s="32" t="s">
        <v>188</v>
      </c>
      <c r="B73" s="32" t="s">
        <v>198</v>
      </c>
      <c r="C73" s="32" t="s">
        <v>129</v>
      </c>
      <c r="D73" s="54" t="n">
        <f aca="false">ROUND(S73*T73,0)</f>
        <v>4243</v>
      </c>
      <c r="E73" s="54" t="n">
        <f aca="false">ROUND(S73,0)-D73</f>
        <v>3932</v>
      </c>
      <c r="F73" s="54" t="n">
        <f aca="false">IF(COUNTA(D73:E73)=0,"",SUM(D73:E73))</f>
        <v>8175</v>
      </c>
      <c r="G73" s="55" t="n">
        <f aca="false">IF(OR(F73="",F73=0),"",D73/F73)</f>
        <v>0.519021406727829</v>
      </c>
      <c r="H73" s="55" t="n">
        <f aca="false">IF(OR(F73="",F73=0),"",E73/F73)</f>
        <v>0.480978593272171</v>
      </c>
      <c r="I73" s="32" t="s">
        <v>130</v>
      </c>
      <c r="J73" s="36" t="n">
        <v>1.35162343329881</v>
      </c>
      <c r="K73" s="36" t="n">
        <f aca="false">$K$8</f>
        <v>1.81119845967768</v>
      </c>
      <c r="L73" s="36" t="n">
        <f aca="false">SQRT(J73^2+K73^2)</f>
        <v>2.25993932789826</v>
      </c>
      <c r="M73" s="55" t="n">
        <f aca="false">IF(G73="","",MAX(0,G73-1.96*L73/100))</f>
        <v>0.474726595901023</v>
      </c>
      <c r="N73" s="55" t="n">
        <f aca="false">IF(G73="","",MIN(1,G73+1.96*L73/100))</f>
        <v>0.563316217554635</v>
      </c>
      <c r="O73" s="54" t="n">
        <f aca="false">ROUND(S73*W73,0)</f>
        <v>451</v>
      </c>
      <c r="P73" s="54" t="n">
        <f aca="false">IF(F73="","",ROUND(SQRT((F73*L73/100)^2+(G73*O73)^2),0))</f>
        <v>298</v>
      </c>
      <c r="R73" s="56" t="n">
        <v>9.57293176810215</v>
      </c>
      <c r="S73" s="57" t="n">
        <f aca="false">U73*V73*$F$5</f>
        <v>8175.00272606901</v>
      </c>
      <c r="T73" s="58" t="n">
        <f aca="false">MAX(0,MIN(1,R73/100+$D$5))</f>
        <v>0.519010257441432</v>
      </c>
      <c r="U73" s="58" t="n">
        <v>0.618428226497391</v>
      </c>
      <c r="V73" s="57" t="n">
        <v>13219</v>
      </c>
      <c r="W73" s="58" t="n">
        <v>0.0551273752894184</v>
      </c>
      <c r="X73" s="59" t="s">
        <v>152</v>
      </c>
      <c r="Y73" s="59" t="s">
        <v>132</v>
      </c>
    </row>
    <row r="74" customFormat="false" ht="15" hidden="false" customHeight="false" outlineLevel="0" collapsed="false">
      <c r="A74" s="32" t="s">
        <v>188</v>
      </c>
      <c r="B74" s="32" t="s">
        <v>199</v>
      </c>
      <c r="C74" s="32" t="s">
        <v>129</v>
      </c>
      <c r="D74" s="54" t="n">
        <f aca="false">ROUND(S74*T74,0)</f>
        <v>479</v>
      </c>
      <c r="E74" s="54" t="n">
        <f aca="false">ROUND(S74,0)-D74</f>
        <v>332</v>
      </c>
      <c r="F74" s="54" t="n">
        <f aca="false">IF(COUNTA(D74:E74)=0,"",SUM(D74:E74))</f>
        <v>811</v>
      </c>
      <c r="G74" s="55" t="n">
        <f aca="false">IF(OR(F74="",F74=0),"",D74/F74)</f>
        <v>0.590628853267571</v>
      </c>
      <c r="H74" s="55" t="n">
        <f aca="false">IF(OR(F74="",F74=0),"",E74/F74)</f>
        <v>0.409371146732429</v>
      </c>
      <c r="I74" s="32" t="s">
        <v>130</v>
      </c>
      <c r="J74" s="36" t="n">
        <v>2.73651760017814</v>
      </c>
      <c r="K74" s="36" t="n">
        <f aca="false">$K$8</f>
        <v>1.81119845967768</v>
      </c>
      <c r="L74" s="36" t="n">
        <f aca="false">SQRT(J74^2+K74^2)</f>
        <v>3.28161064668305</v>
      </c>
      <c r="M74" s="55" t="n">
        <f aca="false">IF(G74="","",MAX(0,G74-1.96*L74/100))</f>
        <v>0.526309284592583</v>
      </c>
      <c r="N74" s="55" t="n">
        <f aca="false">IF(G74="","",MIN(1,G74+1.96*L74/100))</f>
        <v>0.654948421942559</v>
      </c>
      <c r="O74" s="54" t="n">
        <f aca="false">ROUND(S74*W74,0)</f>
        <v>63</v>
      </c>
      <c r="P74" s="54" t="n">
        <f aca="false">IF(F74="","",ROUND(SQRT((F74*L74/100)^2+(G74*O74)^2),0))</f>
        <v>46</v>
      </c>
      <c r="R74" s="56" t="n">
        <v>16.7143003849712</v>
      </c>
      <c r="S74" s="57" t="n">
        <f aca="false">U74*V74*$F$5</f>
        <v>811.272251308901</v>
      </c>
      <c r="T74" s="58" t="n">
        <f aca="false">MAX(0,MIN(1,R74/100+$D$5))</f>
        <v>0.590423943610122</v>
      </c>
      <c r="U74" s="58" t="n">
        <v>0.424083769633508</v>
      </c>
      <c r="V74" s="57" t="n">
        <v>1913</v>
      </c>
      <c r="W74" s="58" t="n">
        <v>0.0777040344688333</v>
      </c>
      <c r="X74" s="59" t="s">
        <v>131</v>
      </c>
      <c r="Y74" s="59" t="s">
        <v>132</v>
      </c>
    </row>
    <row r="75" customFormat="false" ht="15" hidden="false" customHeight="false" outlineLevel="0" collapsed="false">
      <c r="A75" s="32" t="s">
        <v>188</v>
      </c>
      <c r="B75" s="32" t="s">
        <v>200</v>
      </c>
      <c r="C75" s="32" t="s">
        <v>129</v>
      </c>
      <c r="D75" s="54" t="n">
        <f aca="false">ROUND(S75*T75,0)</f>
        <v>75</v>
      </c>
      <c r="E75" s="54" t="n">
        <f aca="false">ROUND(S75,0)-D75</f>
        <v>69</v>
      </c>
      <c r="F75" s="54" t="n">
        <f aca="false">IF(COUNTA(D75:E75)=0,"",SUM(D75:E75))</f>
        <v>144</v>
      </c>
      <c r="G75" s="55" t="n">
        <f aca="false">IF(OR(F75="",F75=0),"",D75/F75)</f>
        <v>0.520833333333333</v>
      </c>
      <c r="H75" s="55" t="n">
        <f aca="false">IF(OR(F75="",F75=0),"",E75/F75)</f>
        <v>0.479166666666667</v>
      </c>
      <c r="I75" s="32" t="s">
        <v>130</v>
      </c>
      <c r="J75" s="36" t="n">
        <v>2.73651760017814</v>
      </c>
      <c r="K75" s="36" t="n">
        <f aca="false">$K$8</f>
        <v>1.81119845967768</v>
      </c>
      <c r="L75" s="36" t="n">
        <f aca="false">SQRT(J75^2+K75^2)</f>
        <v>3.28161064668305</v>
      </c>
      <c r="M75" s="55" t="n">
        <f aca="false">IF(G75="","",MAX(0,G75-1.96*L75/100))</f>
        <v>0.456513764658346</v>
      </c>
      <c r="N75" s="55" t="n">
        <f aca="false">IF(G75="","",MIN(1,G75+1.96*L75/100))</f>
        <v>0.585152902008321</v>
      </c>
      <c r="O75" s="54" t="n">
        <f aca="false">ROUND(S75*W75,0)</f>
        <v>11</v>
      </c>
      <c r="P75" s="54" t="n">
        <f aca="false">IF(F75="","",ROUND(SQRT((F75*L75/100)^2+(G75*O75)^2),0))</f>
        <v>7</v>
      </c>
      <c r="R75" s="56" t="n">
        <v>9.73417737277424</v>
      </c>
      <c r="S75" s="57" t="n">
        <f aca="false">U75*V75*$F$5</f>
        <v>143.630597014925</v>
      </c>
      <c r="T75" s="58" t="n">
        <f aca="false">MAX(0,MIN(1,R75/100+$D$5))</f>
        <v>0.520622713488153</v>
      </c>
      <c r="U75" s="58" t="n">
        <v>0.526119402985075</v>
      </c>
      <c r="V75" s="57" t="n">
        <v>273</v>
      </c>
      <c r="W75" s="58" t="n">
        <v>0.0777040344688333</v>
      </c>
      <c r="X75" s="59" t="s">
        <v>131</v>
      </c>
      <c r="Y75" s="59" t="s">
        <v>132</v>
      </c>
    </row>
    <row r="76" customFormat="false" ht="15" hidden="false" customHeight="false" outlineLevel="0" collapsed="false">
      <c r="A76" s="32" t="s">
        <v>188</v>
      </c>
      <c r="B76" s="32" t="s">
        <v>166</v>
      </c>
      <c r="C76" s="32" t="s">
        <v>129</v>
      </c>
      <c r="D76" s="54" t="n">
        <f aca="false">ROUND(S76*T76,0)</f>
        <v>3465</v>
      </c>
      <c r="E76" s="54" t="n">
        <f aca="false">ROUND(S76,0)-D76</f>
        <v>2958</v>
      </c>
      <c r="F76" s="54" t="n">
        <f aca="false">IF(COUNTA(D76:E76)=0,"",SUM(D76:E76))</f>
        <v>6423</v>
      </c>
      <c r="G76" s="55" t="n">
        <f aca="false">IF(OR(F76="",F76=0),"",D76/F76)</f>
        <v>0.539467538533396</v>
      </c>
      <c r="H76" s="55" t="n">
        <f aca="false">IF(OR(F76="",F76=0),"",E76/F76)</f>
        <v>0.460532461466604</v>
      </c>
      <c r="I76" s="32" t="s">
        <v>130</v>
      </c>
      <c r="J76" s="36" t="n">
        <v>1.35162343329881</v>
      </c>
      <c r="K76" s="36" t="n">
        <f aca="false">$K$8</f>
        <v>1.81119845967768</v>
      </c>
      <c r="L76" s="36" t="n">
        <f aca="false">SQRT(J76^2+K76^2)</f>
        <v>2.25993932789826</v>
      </c>
      <c r="M76" s="55" t="n">
        <f aca="false">IF(G76="","",MAX(0,G76-1.96*L76/100))</f>
        <v>0.49517272770659</v>
      </c>
      <c r="N76" s="55" t="n">
        <f aca="false">IF(G76="","",MIN(1,G76+1.96*L76/100))</f>
        <v>0.583762349360202</v>
      </c>
      <c r="O76" s="54" t="n">
        <f aca="false">ROUND(S76*W76,0)</f>
        <v>354</v>
      </c>
      <c r="P76" s="54" t="n">
        <f aca="false">IF(F76="","",ROUND(SQRT((F76*L76/100)^2+(G76*O76)^2),0))</f>
        <v>240</v>
      </c>
      <c r="R76" s="56" t="n">
        <v>11.6170077641953</v>
      </c>
      <c r="S76" s="57" t="n">
        <f aca="false">U76*V76*$F$5</f>
        <v>6422.70106427379</v>
      </c>
      <c r="T76" s="58" t="n">
        <f aca="false">MAX(0,MIN(1,R76/100+$D$5))</f>
        <v>0.539451017402364</v>
      </c>
      <c r="U76" s="58" t="n">
        <v>0.673309682804674</v>
      </c>
      <c r="V76" s="57" t="n">
        <v>9539</v>
      </c>
      <c r="W76" s="58" t="n">
        <v>0.0551273752894184</v>
      </c>
      <c r="X76" s="59" t="s">
        <v>152</v>
      </c>
      <c r="Y76" s="59" t="s">
        <v>132</v>
      </c>
    </row>
    <row r="77" customFormat="false" ht="15" hidden="false" customHeight="false" outlineLevel="0" collapsed="false">
      <c r="A77" s="32" t="s">
        <v>188</v>
      </c>
      <c r="B77" s="32" t="s">
        <v>201</v>
      </c>
      <c r="C77" s="32" t="s">
        <v>129</v>
      </c>
      <c r="D77" s="54" t="n">
        <f aca="false">ROUND(S77*T77,0)</f>
        <v>1356</v>
      </c>
      <c r="E77" s="54" t="n">
        <f aca="false">ROUND(S77,0)-D77</f>
        <v>1272</v>
      </c>
      <c r="F77" s="54" t="n">
        <f aca="false">IF(COUNTA(D77:E77)=0,"",SUM(D77:E77))</f>
        <v>2628</v>
      </c>
      <c r="G77" s="55" t="n">
        <f aca="false">IF(OR(F77="",F77=0),"",D77/F77)</f>
        <v>0.515981735159817</v>
      </c>
      <c r="H77" s="55" t="n">
        <f aca="false">IF(OR(F77="",F77=0),"",E77/F77)</f>
        <v>0.484018264840183</v>
      </c>
      <c r="I77" s="32" t="s">
        <v>130</v>
      </c>
      <c r="J77" s="36" t="n">
        <v>1.56023581108354</v>
      </c>
      <c r="K77" s="36" t="n">
        <f aca="false">$K$8</f>
        <v>1.81119845967768</v>
      </c>
      <c r="L77" s="36" t="n">
        <f aca="false">SQRT(J77^2+K77^2)</f>
        <v>2.3905596931527</v>
      </c>
      <c r="M77" s="55" t="n">
        <f aca="false">IF(G77="","",MAX(0,G77-1.96*L77/100))</f>
        <v>0.469126765174025</v>
      </c>
      <c r="N77" s="55" t="n">
        <f aca="false">IF(G77="","",MIN(1,G77+1.96*L77/100))</f>
        <v>0.56283670514561</v>
      </c>
      <c r="O77" s="54" t="n">
        <f aca="false">ROUND(S77*W77,0)</f>
        <v>159</v>
      </c>
      <c r="P77" s="54" t="n">
        <f aca="false">IF(F77="","",ROUND(SQRT((F77*L77/100)^2+(G77*O77)^2),0))</f>
        <v>103</v>
      </c>
      <c r="R77" s="56" t="n">
        <v>9.28680372014107</v>
      </c>
      <c r="S77" s="57" t="n">
        <f aca="false">U77*V77*$F$5</f>
        <v>2628.02463970246</v>
      </c>
      <c r="T77" s="58" t="n">
        <f aca="false">MAX(0,MIN(1,R77/100+$D$5))</f>
        <v>0.516148976961821</v>
      </c>
      <c r="U77" s="58" t="n">
        <v>0.598093909809391</v>
      </c>
      <c r="V77" s="57" t="n">
        <v>4394</v>
      </c>
      <c r="W77" s="58" t="n">
        <v>0.0606122259008943</v>
      </c>
      <c r="X77" s="59" t="s">
        <v>136</v>
      </c>
      <c r="Y77" s="59" t="s">
        <v>132</v>
      </c>
    </row>
    <row r="78" customFormat="false" ht="15" hidden="false" customHeight="false" outlineLevel="0" collapsed="false">
      <c r="A78" s="32" t="s">
        <v>188</v>
      </c>
      <c r="B78" s="32" t="s">
        <v>202</v>
      </c>
      <c r="C78" s="32" t="s">
        <v>129</v>
      </c>
      <c r="D78" s="54" t="n">
        <f aca="false">ROUND(S78*T78,0)</f>
        <v>1828</v>
      </c>
      <c r="E78" s="54" t="n">
        <f aca="false">ROUND(S78,0)-D78</f>
        <v>3511</v>
      </c>
      <c r="F78" s="54" t="n">
        <f aca="false">IF(COUNTA(D78:E78)=0,"",SUM(D78:E78))</f>
        <v>5339</v>
      </c>
      <c r="G78" s="55" t="n">
        <f aca="false">IF(OR(F78="",F78=0),"",D78/F78)</f>
        <v>0.342386214646938</v>
      </c>
      <c r="H78" s="55" t="n">
        <f aca="false">IF(OR(F78="",F78=0),"",E78/F78)</f>
        <v>0.657613785353062</v>
      </c>
      <c r="I78" s="32" t="s">
        <v>130</v>
      </c>
      <c r="J78" s="36" t="n">
        <v>1.35162343329881</v>
      </c>
      <c r="K78" s="36" t="n">
        <f aca="false">$K$8</f>
        <v>1.81119845967768</v>
      </c>
      <c r="L78" s="36" t="n">
        <f aca="false">SQRT(J78^2+K78^2)</f>
        <v>2.25993932789826</v>
      </c>
      <c r="M78" s="55" t="n">
        <f aca="false">IF(G78="","",MAX(0,G78-1.96*L78/100))</f>
        <v>0.298091403820132</v>
      </c>
      <c r="N78" s="55" t="n">
        <f aca="false">IF(G78="","",MIN(1,G78+1.96*L78/100))</f>
        <v>0.386681025473744</v>
      </c>
      <c r="O78" s="54" t="n">
        <f aca="false">ROUND(S78*W78,0)</f>
        <v>294</v>
      </c>
      <c r="P78" s="54" t="n">
        <f aca="false">IF(F78="","",ROUND(SQRT((F78*L78/100)^2+(G78*O78)^2),0))</f>
        <v>157</v>
      </c>
      <c r="R78" s="56" t="n">
        <v>-8.09206393166585</v>
      </c>
      <c r="S78" s="57" t="n">
        <f aca="false">U78*V78*$F$5</f>
        <v>5339.13569131833</v>
      </c>
      <c r="T78" s="58" t="n">
        <f aca="false">MAX(0,MIN(1,R78/100+$D$5))</f>
        <v>0.342360300443752</v>
      </c>
      <c r="U78" s="58" t="n">
        <v>0.656720257234727</v>
      </c>
      <c r="V78" s="57" t="n">
        <v>8130</v>
      </c>
      <c r="W78" s="58" t="n">
        <v>0.0551273752894184</v>
      </c>
      <c r="X78" s="59" t="s">
        <v>152</v>
      </c>
      <c r="Y78" s="59" t="s">
        <v>132</v>
      </c>
    </row>
    <row r="79" customFormat="false" ht="15" hidden="false" customHeight="false" outlineLevel="0" collapsed="false">
      <c r="A79" s="32" t="s">
        <v>188</v>
      </c>
      <c r="B79" s="32" t="s">
        <v>203</v>
      </c>
      <c r="C79" s="32" t="s">
        <v>129</v>
      </c>
      <c r="D79" s="54" t="n">
        <f aca="false">ROUND(S79*T79,0)</f>
        <v>492</v>
      </c>
      <c r="E79" s="54" t="n">
        <f aca="false">ROUND(S79,0)-D79</f>
        <v>946</v>
      </c>
      <c r="F79" s="54" t="n">
        <f aca="false">IF(COUNTA(D79:E79)=0,"",SUM(D79:E79))</f>
        <v>1438</v>
      </c>
      <c r="G79" s="55" t="n">
        <f aca="false">IF(OR(F79="",F79=0),"",D79/F79)</f>
        <v>0.342141863699583</v>
      </c>
      <c r="H79" s="55" t="n">
        <f aca="false">IF(OR(F79="",F79=0),"",E79/F79)</f>
        <v>0.657858136300417</v>
      </c>
      <c r="I79" s="32" t="s">
        <v>130</v>
      </c>
      <c r="J79" s="36" t="n">
        <v>1.56023581108354</v>
      </c>
      <c r="K79" s="36" t="n">
        <f aca="false">$K$8</f>
        <v>1.81119845967768</v>
      </c>
      <c r="L79" s="36" t="n">
        <f aca="false">SQRT(J79^2+K79^2)</f>
        <v>2.3905596931527</v>
      </c>
      <c r="M79" s="55" t="n">
        <f aca="false">IF(G79="","",MAX(0,G79-1.96*L79/100))</f>
        <v>0.29528689371379</v>
      </c>
      <c r="N79" s="55" t="n">
        <f aca="false">IF(G79="","",MIN(1,G79+1.96*L79/100))</f>
        <v>0.388996833685376</v>
      </c>
      <c r="O79" s="54" t="n">
        <f aca="false">ROUND(S79*W79,0)</f>
        <v>87</v>
      </c>
      <c r="P79" s="54" t="n">
        <f aca="false">IF(F79="","",ROUND(SQRT((F79*L79/100)^2+(G79*O79)^2),0))</f>
        <v>45</v>
      </c>
      <c r="R79" s="56" t="n">
        <v>-8.07776924055845</v>
      </c>
      <c r="S79" s="57" t="n">
        <f aca="false">U79*V79*$F$5</f>
        <v>1437.5</v>
      </c>
      <c r="T79" s="58" t="n">
        <f aca="false">MAX(0,MIN(1,R79/100+$D$5))</f>
        <v>0.342503247354826</v>
      </c>
      <c r="U79" s="58" t="n">
        <v>0.625</v>
      </c>
      <c r="V79" s="57" t="n">
        <v>2300</v>
      </c>
      <c r="W79" s="58" t="n">
        <v>0.0606122259008943</v>
      </c>
      <c r="X79" s="59" t="s">
        <v>136</v>
      </c>
      <c r="Y79" s="59" t="s">
        <v>132</v>
      </c>
    </row>
    <row r="80" customFormat="false" ht="15" hidden="false" customHeight="false" outlineLevel="0" collapsed="false">
      <c r="A80" s="32" t="s">
        <v>188</v>
      </c>
      <c r="B80" s="32" t="s">
        <v>204</v>
      </c>
      <c r="C80" s="32" t="s">
        <v>129</v>
      </c>
      <c r="D80" s="54" t="n">
        <f aca="false">ROUND(S80*T80,0)</f>
        <v>1690</v>
      </c>
      <c r="E80" s="54" t="n">
        <f aca="false">ROUND(S80,0)-D80</f>
        <v>2032</v>
      </c>
      <c r="F80" s="54" t="n">
        <f aca="false">IF(COUNTA(D80:E80)=0,"",SUM(D80:E80))</f>
        <v>3722</v>
      </c>
      <c r="G80" s="55" t="n">
        <f aca="false">IF(OR(F80="",F80=0),"",D80/F80)</f>
        <v>0.454056958624396</v>
      </c>
      <c r="H80" s="55" t="n">
        <f aca="false">IF(OR(F80="",F80=0),"",E80/F80)</f>
        <v>0.545943041375605</v>
      </c>
      <c r="I80" s="32" t="s">
        <v>130</v>
      </c>
      <c r="J80" s="36" t="n">
        <v>1.35162343329881</v>
      </c>
      <c r="K80" s="36" t="n">
        <f aca="false">$K$8</f>
        <v>1.81119845967768</v>
      </c>
      <c r="L80" s="36" t="n">
        <f aca="false">SQRT(J80^2+K80^2)</f>
        <v>2.25993932789826</v>
      </c>
      <c r="M80" s="55" t="n">
        <f aca="false">IF(G80="","",MAX(0,G80-1.96*L80/100))</f>
        <v>0.40976214779759</v>
      </c>
      <c r="N80" s="55" t="n">
        <f aca="false">IF(G80="","",MIN(1,G80+1.96*L80/100))</f>
        <v>0.498351769451201</v>
      </c>
      <c r="O80" s="54" t="n">
        <f aca="false">ROUND(S80*W80,0)</f>
        <v>205</v>
      </c>
      <c r="P80" s="54" t="n">
        <f aca="false">IF(F80="","",ROUND(SQRT((F80*L80/100)^2+(G80*O80)^2),0))</f>
        <v>125</v>
      </c>
      <c r="R80" s="56" t="n">
        <v>3.07390321446821</v>
      </c>
      <c r="S80" s="57" t="n">
        <f aca="false">U80*V80*$F$5</f>
        <v>3721.57991120977</v>
      </c>
      <c r="T80" s="58" t="n">
        <f aca="false">MAX(0,MIN(1,R80/100+$D$5))</f>
        <v>0.454019971905092</v>
      </c>
      <c r="U80" s="58" t="n">
        <v>0.684239733629301</v>
      </c>
      <c r="V80" s="57" t="n">
        <v>5439</v>
      </c>
      <c r="W80" s="58" t="n">
        <v>0.0551273752894184</v>
      </c>
      <c r="X80" s="59" t="s">
        <v>152</v>
      </c>
      <c r="Y80" s="59" t="s">
        <v>132</v>
      </c>
    </row>
    <row r="81" customFormat="false" ht="15" hidden="false" customHeight="false" outlineLevel="0" collapsed="false">
      <c r="A81" s="32" t="s">
        <v>188</v>
      </c>
      <c r="B81" s="32" t="s">
        <v>205</v>
      </c>
      <c r="C81" s="32" t="s">
        <v>129</v>
      </c>
      <c r="D81" s="54" t="n">
        <f aca="false">ROUND(S81*T81,0)</f>
        <v>2878</v>
      </c>
      <c r="E81" s="54" t="n">
        <f aca="false">ROUND(S81,0)-D81</f>
        <v>3046</v>
      </c>
      <c r="F81" s="54" t="n">
        <f aca="false">IF(COUNTA(D81:E81)=0,"",SUM(D81:E81))</f>
        <v>5924</v>
      </c>
      <c r="G81" s="55" t="n">
        <f aca="false">IF(OR(F81="",F81=0),"",D81/F81)</f>
        <v>0.485820391627279</v>
      </c>
      <c r="H81" s="55" t="n">
        <f aca="false">IF(OR(F81="",F81=0),"",E81/F81)</f>
        <v>0.514179608372721</v>
      </c>
      <c r="I81" s="32" t="s">
        <v>130</v>
      </c>
      <c r="J81" s="36" t="n">
        <v>1.35162343329881</v>
      </c>
      <c r="K81" s="36" t="n">
        <f aca="false">$K$8</f>
        <v>1.81119845967768</v>
      </c>
      <c r="L81" s="36" t="n">
        <f aca="false">SQRT(J81^2+K81^2)</f>
        <v>2.25993932789826</v>
      </c>
      <c r="M81" s="55" t="n">
        <f aca="false">IF(G81="","",MAX(0,G81-1.96*L81/100))</f>
        <v>0.441525580800473</v>
      </c>
      <c r="N81" s="55" t="n">
        <f aca="false">IF(G81="","",MIN(1,G81+1.96*L81/100))</f>
        <v>0.530115202454085</v>
      </c>
      <c r="O81" s="54" t="n">
        <f aca="false">ROUND(S81*W81,0)</f>
        <v>327</v>
      </c>
      <c r="P81" s="54" t="n">
        <f aca="false">IF(F81="","",ROUND(SQRT((F81*L81/100)^2+(G81*O81)^2),0))</f>
        <v>208</v>
      </c>
      <c r="R81" s="56" t="n">
        <v>6.2457479770037</v>
      </c>
      <c r="S81" s="57" t="n">
        <f aca="false">U81*V81*$F$5</f>
        <v>5924.29823361823</v>
      </c>
      <c r="T81" s="58" t="n">
        <f aca="false">MAX(0,MIN(1,R81/100+$D$5))</f>
        <v>0.485738419530447</v>
      </c>
      <c r="U81" s="58" t="n">
        <v>0.675441595441595</v>
      </c>
      <c r="V81" s="57" t="n">
        <v>8771</v>
      </c>
      <c r="W81" s="58" t="n">
        <v>0.0551273752894184</v>
      </c>
      <c r="X81" s="59" t="s">
        <v>152</v>
      </c>
      <c r="Y81" s="59" t="s">
        <v>132</v>
      </c>
    </row>
    <row r="82" customFormat="false" ht="15" hidden="false" customHeight="false" outlineLevel="0" collapsed="false">
      <c r="A82" s="32" t="s">
        <v>188</v>
      </c>
      <c r="B82" s="32" t="s">
        <v>206</v>
      </c>
      <c r="C82" s="32" t="s">
        <v>129</v>
      </c>
      <c r="D82" s="54" t="n">
        <f aca="false">ROUND(S82*T82,0)</f>
        <v>1631</v>
      </c>
      <c r="E82" s="54" t="n">
        <f aca="false">ROUND(S82,0)-D82</f>
        <v>3217</v>
      </c>
      <c r="F82" s="54" t="n">
        <f aca="false">IF(COUNTA(D82:E82)=0,"",SUM(D82:E82))</f>
        <v>4848</v>
      </c>
      <c r="G82" s="55" t="n">
        <f aca="false">IF(OR(F82="",F82=0),"",D82/F82)</f>
        <v>0.336427392739274</v>
      </c>
      <c r="H82" s="55" t="n">
        <f aca="false">IF(OR(F82="",F82=0),"",E82/F82)</f>
        <v>0.663572607260726</v>
      </c>
      <c r="I82" s="32" t="s">
        <v>130</v>
      </c>
      <c r="J82" s="36" t="n">
        <v>1.35162343329881</v>
      </c>
      <c r="K82" s="36" t="n">
        <f aca="false">$K$8</f>
        <v>1.81119845967768</v>
      </c>
      <c r="L82" s="36" t="n">
        <f aca="false">SQRT(J82^2+K82^2)</f>
        <v>2.25993932789826</v>
      </c>
      <c r="M82" s="55" t="n">
        <f aca="false">IF(G82="","",MAX(0,G82-1.96*L82/100))</f>
        <v>0.292132581912468</v>
      </c>
      <c r="N82" s="55" t="n">
        <f aca="false">IF(G82="","",MIN(1,G82+1.96*L82/100))</f>
        <v>0.38072220356608</v>
      </c>
      <c r="O82" s="54" t="n">
        <f aca="false">ROUND(S82*W82,0)</f>
        <v>267</v>
      </c>
      <c r="P82" s="54" t="n">
        <f aca="false">IF(F82="","",ROUND(SQRT((F82*L82/100)^2+(G82*O82)^2),0))</f>
        <v>142</v>
      </c>
      <c r="R82" s="56" t="n">
        <v>-8.68272566009847</v>
      </c>
      <c r="S82" s="57" t="n">
        <f aca="false">U82*V82*$F$5</f>
        <v>4848.29721362229</v>
      </c>
      <c r="T82" s="58" t="n">
        <f aca="false">MAX(0,MIN(1,R82/100+$D$5))</f>
        <v>0.336453683159426</v>
      </c>
      <c r="U82" s="58" t="n">
        <v>0.668730650154799</v>
      </c>
      <c r="V82" s="57" t="n">
        <v>7250</v>
      </c>
      <c r="W82" s="58" t="n">
        <v>0.0551273752894184</v>
      </c>
      <c r="X82" s="59" t="s">
        <v>152</v>
      </c>
      <c r="Y82" s="59" t="s">
        <v>132</v>
      </c>
    </row>
    <row r="83" customFormat="false" ht="15" hidden="false" customHeight="false" outlineLevel="0" collapsed="false">
      <c r="A83" s="32" t="s">
        <v>188</v>
      </c>
      <c r="B83" s="32" t="s">
        <v>207</v>
      </c>
      <c r="C83" s="32" t="s">
        <v>129</v>
      </c>
      <c r="D83" s="54" t="n">
        <f aca="false">ROUND(S83*T83,0)</f>
        <v>1246</v>
      </c>
      <c r="E83" s="54" t="n">
        <f aca="false">ROUND(S83,0)-D83</f>
        <v>1269</v>
      </c>
      <c r="F83" s="54" t="n">
        <f aca="false">IF(COUNTA(D83:E83)=0,"",SUM(D83:E83))</f>
        <v>2515</v>
      </c>
      <c r="G83" s="55" t="n">
        <f aca="false">IF(OR(F83="",F83=0),"",D83/F83)</f>
        <v>0.495427435387674</v>
      </c>
      <c r="H83" s="55" t="n">
        <f aca="false">IF(OR(F83="",F83=0),"",E83/F83)</f>
        <v>0.504572564612326</v>
      </c>
      <c r="I83" s="32" t="s">
        <v>130</v>
      </c>
      <c r="J83" s="36" t="n">
        <v>1.56023581108354</v>
      </c>
      <c r="K83" s="36" t="n">
        <f aca="false">$K$8</f>
        <v>1.81119845967768</v>
      </c>
      <c r="L83" s="36" t="n">
        <f aca="false">SQRT(J83^2+K83^2)</f>
        <v>2.3905596931527</v>
      </c>
      <c r="M83" s="55" t="n">
        <f aca="false">IF(G83="","",MAX(0,G83-1.96*L83/100))</f>
        <v>0.448572465401881</v>
      </c>
      <c r="N83" s="55" t="n">
        <f aca="false">IF(G83="","",MIN(1,G83+1.96*L83/100))</f>
        <v>0.542282405373467</v>
      </c>
      <c r="O83" s="54" t="n">
        <f aca="false">ROUND(S83*W83,0)</f>
        <v>152</v>
      </c>
      <c r="P83" s="54" t="n">
        <f aca="false">IF(F83="","",ROUND(SQRT((F83*L83/100)^2+(G83*O83)^2),0))</f>
        <v>96</v>
      </c>
      <c r="R83" s="56" t="n">
        <v>7.22904563107463</v>
      </c>
      <c r="S83" s="57" t="n">
        <f aca="false">U83*V83*$F$5</f>
        <v>2514.75925477861</v>
      </c>
      <c r="T83" s="58" t="n">
        <f aca="false">MAX(0,MIN(1,R83/100+$D$5))</f>
        <v>0.495571396071157</v>
      </c>
      <c r="U83" s="58" t="n">
        <v>0.595209291071861</v>
      </c>
      <c r="V83" s="57" t="n">
        <v>4225</v>
      </c>
      <c r="W83" s="58" t="n">
        <v>0.0606122259008943</v>
      </c>
      <c r="X83" s="59" t="s">
        <v>136</v>
      </c>
      <c r="Y83" s="59" t="s">
        <v>132</v>
      </c>
    </row>
    <row r="84" customFormat="false" ht="15" hidden="false" customHeight="false" outlineLevel="0" collapsed="false">
      <c r="A84" s="32" t="s">
        <v>188</v>
      </c>
      <c r="B84" s="32" t="s">
        <v>208</v>
      </c>
      <c r="C84" s="32" t="s">
        <v>129</v>
      </c>
      <c r="D84" s="54" t="n">
        <f aca="false">ROUND(S84*T84,0)</f>
        <v>713</v>
      </c>
      <c r="E84" s="54" t="n">
        <f aca="false">ROUND(S84,0)-D84</f>
        <v>715</v>
      </c>
      <c r="F84" s="54" t="n">
        <f aca="false">IF(COUNTA(D84:E84)=0,"",SUM(D84:E84))</f>
        <v>1428</v>
      </c>
      <c r="G84" s="55" t="n">
        <f aca="false">IF(OR(F84="",F84=0),"",D84/F84)</f>
        <v>0.499299719887955</v>
      </c>
      <c r="H84" s="55" t="n">
        <f aca="false">IF(OR(F84="",F84=0),"",E84/F84)</f>
        <v>0.500700280112045</v>
      </c>
      <c r="I84" s="32" t="s">
        <v>130</v>
      </c>
      <c r="J84" s="36" t="n">
        <v>1.56023581108354</v>
      </c>
      <c r="K84" s="36" t="n">
        <f aca="false">$K$8</f>
        <v>1.81119845967768</v>
      </c>
      <c r="L84" s="36" t="n">
        <f aca="false">SQRT(J84^2+K84^2)</f>
        <v>2.3905596931527</v>
      </c>
      <c r="M84" s="55" t="n">
        <f aca="false">IF(G84="","",MAX(0,G84-1.96*L84/100))</f>
        <v>0.452444749902162</v>
      </c>
      <c r="N84" s="55" t="n">
        <f aca="false">IF(G84="","",MIN(1,G84+1.96*L84/100))</f>
        <v>0.546154689873748</v>
      </c>
      <c r="O84" s="54" t="n">
        <f aca="false">ROUND(S84*W84,0)</f>
        <v>87</v>
      </c>
      <c r="P84" s="54" t="n">
        <f aca="false">IF(F84="","",ROUND(SQRT((F84*L84/100)^2+(G84*O84)^2),0))</f>
        <v>55</v>
      </c>
      <c r="R84" s="56" t="n">
        <v>7.63079093501523</v>
      </c>
      <c r="S84" s="57" t="n">
        <f aca="false">U84*V84*$F$5</f>
        <v>1427.54656265236</v>
      </c>
      <c r="T84" s="58" t="n">
        <f aca="false">MAX(0,MIN(1,R84/100+$D$5))</f>
        <v>0.499588849110563</v>
      </c>
      <c r="U84" s="58" t="n">
        <v>0.623110677718186</v>
      </c>
      <c r="V84" s="57" t="n">
        <v>2291</v>
      </c>
      <c r="W84" s="58" t="n">
        <v>0.0606122259008943</v>
      </c>
      <c r="X84" s="59" t="s">
        <v>136</v>
      </c>
      <c r="Y84" s="59" t="s">
        <v>132</v>
      </c>
    </row>
    <row r="85" customFormat="false" ht="15" hidden="false" customHeight="false" outlineLevel="0" collapsed="false">
      <c r="A85" s="32" t="s">
        <v>188</v>
      </c>
      <c r="B85" s="32" t="s">
        <v>209</v>
      </c>
      <c r="C85" s="32" t="s">
        <v>129</v>
      </c>
      <c r="D85" s="54" t="n">
        <f aca="false">ROUND(S85*T85,0)</f>
        <v>1957</v>
      </c>
      <c r="E85" s="54" t="n">
        <f aca="false">ROUND(S85,0)-D85</f>
        <v>2207</v>
      </c>
      <c r="F85" s="54" t="n">
        <f aca="false">IF(COUNTA(D85:E85)=0,"",SUM(D85:E85))</f>
        <v>4164</v>
      </c>
      <c r="G85" s="55" t="n">
        <f aca="false">IF(OR(F85="",F85=0),"",D85/F85)</f>
        <v>0.469980787704131</v>
      </c>
      <c r="H85" s="55" t="n">
        <f aca="false">IF(OR(F85="",F85=0),"",E85/F85)</f>
        <v>0.530019212295869</v>
      </c>
      <c r="I85" s="32" t="s">
        <v>130</v>
      </c>
      <c r="J85" s="36" t="n">
        <v>1.35162343329881</v>
      </c>
      <c r="K85" s="36" t="n">
        <f aca="false">$K$8</f>
        <v>1.81119845967768</v>
      </c>
      <c r="L85" s="36" t="n">
        <f aca="false">SQRT(J85^2+K85^2)</f>
        <v>2.25993932789826</v>
      </c>
      <c r="M85" s="55" t="n">
        <f aca="false">IF(G85="","",MAX(0,G85-1.96*L85/100))</f>
        <v>0.425685976877325</v>
      </c>
      <c r="N85" s="55" t="n">
        <f aca="false">IF(G85="","",MIN(1,G85+1.96*L85/100))</f>
        <v>0.514275598530937</v>
      </c>
      <c r="O85" s="54" t="n">
        <f aca="false">ROUND(S85*W85,0)</f>
        <v>230</v>
      </c>
      <c r="P85" s="54" t="n">
        <f aca="false">IF(F85="","",ROUND(SQRT((F85*L85/100)^2+(G85*O85)^2),0))</f>
        <v>143</v>
      </c>
      <c r="R85" s="56" t="n">
        <v>4.66604050466322</v>
      </c>
      <c r="S85" s="57" t="n">
        <f aca="false">U85*V85*$F$5</f>
        <v>4163.88109359178</v>
      </c>
      <c r="T85" s="58" t="n">
        <f aca="false">MAX(0,MIN(1,R85/100+$D$5))</f>
        <v>0.469941344807043</v>
      </c>
      <c r="U85" s="58" t="n">
        <v>0.568060176479097</v>
      </c>
      <c r="V85" s="57" t="n">
        <v>7330</v>
      </c>
      <c r="W85" s="58" t="n">
        <v>0.0551273752894184</v>
      </c>
      <c r="X85" s="59" t="s">
        <v>152</v>
      </c>
      <c r="Y85" s="59" t="s">
        <v>132</v>
      </c>
    </row>
    <row r="86" customFormat="false" ht="15" hidden="false" customHeight="false" outlineLevel="0" collapsed="false">
      <c r="A86" s="32" t="s">
        <v>188</v>
      </c>
      <c r="B86" s="32" t="s">
        <v>210</v>
      </c>
      <c r="C86" s="32" t="s">
        <v>129</v>
      </c>
      <c r="D86" s="54" t="n">
        <f aca="false">ROUND(S86*T86,0)</f>
        <v>5473</v>
      </c>
      <c r="E86" s="54" t="n">
        <f aca="false">ROUND(S86,0)-D86</f>
        <v>5184</v>
      </c>
      <c r="F86" s="54" t="n">
        <f aca="false">IF(COUNTA(D86:E86)=0,"",SUM(D86:E86))</f>
        <v>10657</v>
      </c>
      <c r="G86" s="55" t="n">
        <f aca="false">IF(OR(F86="",F86=0),"",D86/F86)</f>
        <v>0.513559162991461</v>
      </c>
      <c r="H86" s="55" t="n">
        <f aca="false">IF(OR(F86="",F86=0),"",E86/F86)</f>
        <v>0.486440837008539</v>
      </c>
      <c r="I86" s="32" t="s">
        <v>130</v>
      </c>
      <c r="J86" s="36" t="n">
        <v>1.35162343329881</v>
      </c>
      <c r="K86" s="36" t="n">
        <f aca="false">$K$8</f>
        <v>1.81119845967768</v>
      </c>
      <c r="L86" s="36" t="n">
        <f aca="false">SQRT(J86^2+K86^2)</f>
        <v>2.25993932789826</v>
      </c>
      <c r="M86" s="55" t="n">
        <f aca="false">IF(G86="","",MAX(0,G86-1.96*L86/100))</f>
        <v>0.469264352164655</v>
      </c>
      <c r="N86" s="55" t="n">
        <f aca="false">IF(G86="","",MIN(1,G86+1.96*L86/100))</f>
        <v>0.557853973818267</v>
      </c>
      <c r="O86" s="54" t="n">
        <f aca="false">ROUND(S86*W86,0)</f>
        <v>587</v>
      </c>
      <c r="P86" s="54" t="n">
        <f aca="false">IF(F86="","",ROUND(SQRT((F86*L86/100)^2+(G86*O86)^2),0))</f>
        <v>386</v>
      </c>
      <c r="R86" s="56" t="n">
        <v>9.03228074962688</v>
      </c>
      <c r="S86" s="57" t="n">
        <f aca="false">U86*V86*$F$5</f>
        <v>10656.5050635134</v>
      </c>
      <c r="T86" s="58" t="n">
        <f aca="false">MAX(0,MIN(1,R86/100+$D$5))</f>
        <v>0.513603747256679</v>
      </c>
      <c r="U86" s="58" t="n">
        <v>0.603699584382134</v>
      </c>
      <c r="V86" s="57" t="n">
        <v>17652</v>
      </c>
      <c r="W86" s="58" t="n">
        <v>0.0551273752894184</v>
      </c>
      <c r="X86" s="59" t="s">
        <v>152</v>
      </c>
      <c r="Y86" s="59" t="s">
        <v>132</v>
      </c>
    </row>
    <row r="87" customFormat="false" ht="15" hidden="false" customHeight="false" outlineLevel="0" collapsed="false">
      <c r="A87" s="32" t="s">
        <v>188</v>
      </c>
      <c r="B87" s="32" t="s">
        <v>211</v>
      </c>
      <c r="C87" s="32" t="s">
        <v>129</v>
      </c>
      <c r="D87" s="54" t="n">
        <f aca="false">ROUND(S87*T87,0)</f>
        <v>511</v>
      </c>
      <c r="E87" s="54" t="n">
        <f aca="false">ROUND(S87,0)-D87</f>
        <v>851</v>
      </c>
      <c r="F87" s="54" t="n">
        <f aca="false">IF(COUNTA(D87:E87)=0,"",SUM(D87:E87))</f>
        <v>1362</v>
      </c>
      <c r="G87" s="55" t="n">
        <f aca="false">IF(OR(F87="",F87=0),"",D87/F87)</f>
        <v>0.375183553597651</v>
      </c>
      <c r="H87" s="55" t="n">
        <f aca="false">IF(OR(F87="",F87=0),"",E87/F87)</f>
        <v>0.62481644640235</v>
      </c>
      <c r="I87" s="32" t="s">
        <v>130</v>
      </c>
      <c r="J87" s="36" t="n">
        <v>1.56023581108354</v>
      </c>
      <c r="K87" s="36" t="n">
        <f aca="false">$K$8</f>
        <v>1.81119845967768</v>
      </c>
      <c r="L87" s="36" t="n">
        <f aca="false">SQRT(J87^2+K87^2)</f>
        <v>2.3905596931527</v>
      </c>
      <c r="M87" s="55" t="n">
        <f aca="false">IF(G87="","",MAX(0,G87-1.96*L87/100))</f>
        <v>0.328328583611858</v>
      </c>
      <c r="N87" s="55" t="n">
        <f aca="false">IF(G87="","",MIN(1,G87+1.96*L87/100))</f>
        <v>0.422038523583443</v>
      </c>
      <c r="O87" s="54" t="n">
        <f aca="false">ROUND(S87*W87,0)</f>
        <v>83</v>
      </c>
      <c r="P87" s="54" t="n">
        <f aca="false">IF(F87="","",ROUND(SQRT((F87*L87/100)^2+(G87*O87)^2),0))</f>
        <v>45</v>
      </c>
      <c r="R87" s="56" t="n">
        <v>-4.84464590927045</v>
      </c>
      <c r="S87" s="57" t="n">
        <f aca="false">U87*V87*$F$5</f>
        <v>1362.06750324535</v>
      </c>
      <c r="T87" s="58" t="n">
        <f aca="false">MAX(0,MIN(1,R87/100+$D$5))</f>
        <v>0.374834480667706</v>
      </c>
      <c r="U87" s="58" t="n">
        <v>0.55776720034617</v>
      </c>
      <c r="V87" s="57" t="n">
        <v>2442</v>
      </c>
      <c r="W87" s="58" t="n">
        <v>0.0606122259008943</v>
      </c>
      <c r="X87" s="59" t="s">
        <v>136</v>
      </c>
      <c r="Y87" s="59" t="s">
        <v>132</v>
      </c>
    </row>
    <row r="88" customFormat="false" ht="15" hidden="false" customHeight="false" outlineLevel="0" collapsed="false">
      <c r="A88" s="32" t="s">
        <v>188</v>
      </c>
      <c r="B88" s="32" t="s">
        <v>212</v>
      </c>
      <c r="C88" s="32" t="s">
        <v>129</v>
      </c>
      <c r="D88" s="54" t="n">
        <f aca="false">ROUND(S88*T88,0)</f>
        <v>1070</v>
      </c>
      <c r="E88" s="54" t="n">
        <f aca="false">ROUND(S88,0)-D88</f>
        <v>2051</v>
      </c>
      <c r="F88" s="54" t="n">
        <f aca="false">IF(COUNTA(D88:E88)=0,"",SUM(D88:E88))</f>
        <v>3121</v>
      </c>
      <c r="G88" s="55" t="n">
        <f aca="false">IF(OR(F88="",F88=0),"",D88/F88)</f>
        <v>0.342838833707145</v>
      </c>
      <c r="H88" s="55" t="n">
        <f aca="false">IF(OR(F88="",F88=0),"",E88/F88)</f>
        <v>0.657161166292855</v>
      </c>
      <c r="I88" s="32" t="s">
        <v>130</v>
      </c>
      <c r="J88" s="36" t="n">
        <v>1.35162343329881</v>
      </c>
      <c r="K88" s="36" t="n">
        <f aca="false">$K$8</f>
        <v>1.81119845967768</v>
      </c>
      <c r="L88" s="36" t="n">
        <f aca="false">SQRT(J88^2+K88^2)</f>
        <v>2.25993932789826</v>
      </c>
      <c r="M88" s="55" t="n">
        <f aca="false">IF(G88="","",MAX(0,G88-1.96*L88/100))</f>
        <v>0.298544022880339</v>
      </c>
      <c r="N88" s="55" t="n">
        <f aca="false">IF(G88="","",MIN(1,G88+1.96*L88/100))</f>
        <v>0.387133644533951</v>
      </c>
      <c r="O88" s="54" t="n">
        <f aca="false">ROUND(S88*W88,0)</f>
        <v>172</v>
      </c>
      <c r="P88" s="54" t="n">
        <f aca="false">IF(F88="","",ROUND(SQRT((F88*L88/100)^2+(G88*O88)^2),0))</f>
        <v>92</v>
      </c>
      <c r="R88" s="56" t="n">
        <v>-8.0503452275002</v>
      </c>
      <c r="S88" s="57" t="n">
        <f aca="false">U88*V88*$F$5</f>
        <v>3121.34219409283</v>
      </c>
      <c r="T88" s="58" t="n">
        <f aca="false">MAX(0,MIN(1,R88/100+$D$5))</f>
        <v>0.342777487485408</v>
      </c>
      <c r="U88" s="58" t="n">
        <v>0.648523206751055</v>
      </c>
      <c r="V88" s="57" t="n">
        <v>4813</v>
      </c>
      <c r="W88" s="58" t="n">
        <v>0.0551273752894184</v>
      </c>
      <c r="X88" s="59" t="s">
        <v>152</v>
      </c>
      <c r="Y88" s="59" t="s">
        <v>132</v>
      </c>
    </row>
    <row r="89" customFormat="false" ht="15" hidden="false" customHeight="false" outlineLevel="0" collapsed="false">
      <c r="A89" s="32" t="s">
        <v>188</v>
      </c>
      <c r="B89" s="32" t="s">
        <v>213</v>
      </c>
      <c r="C89" s="32" t="s">
        <v>129</v>
      </c>
      <c r="D89" s="54" t="n">
        <f aca="false">ROUND(S89*T89,0)</f>
        <v>71</v>
      </c>
      <c r="E89" s="54" t="n">
        <f aca="false">ROUND(S89,0)-D89</f>
        <v>125</v>
      </c>
      <c r="F89" s="54" t="n">
        <f aca="false">IF(COUNTA(D89:E89)=0,"",SUM(D89:E89))</f>
        <v>196</v>
      </c>
      <c r="G89" s="55" t="n">
        <f aca="false">IF(OR(F89="",F89=0),"",D89/F89)</f>
        <v>0.362244897959184</v>
      </c>
      <c r="H89" s="55" t="n">
        <f aca="false">IF(OR(F89="",F89=0),"",E89/F89)</f>
        <v>0.637755102040816</v>
      </c>
      <c r="I89" s="32" t="s">
        <v>130</v>
      </c>
      <c r="J89" s="36" t="n">
        <v>2.73651760017814</v>
      </c>
      <c r="K89" s="36" t="n">
        <f aca="false">$K$8</f>
        <v>1.81119845967768</v>
      </c>
      <c r="L89" s="36" t="n">
        <f aca="false">SQRT(J89^2+K89^2)</f>
        <v>3.28161064668305</v>
      </c>
      <c r="M89" s="55" t="n">
        <f aca="false">IF(G89="","",MAX(0,G89-1.96*L89/100))</f>
        <v>0.297925329284196</v>
      </c>
      <c r="N89" s="55" t="n">
        <f aca="false">IF(G89="","",MIN(1,G89+1.96*L89/100))</f>
        <v>0.426564466634171</v>
      </c>
      <c r="O89" s="54" t="n">
        <f aca="false">ROUND(S89*W89,0)</f>
        <v>15</v>
      </c>
      <c r="P89" s="54" t="n">
        <f aca="false">IF(F89="","",ROUND(SQRT((F89*L89/100)^2+(G89*O89)^2),0))</f>
        <v>8</v>
      </c>
      <c r="R89" s="56" t="n">
        <v>-6.27631432411783</v>
      </c>
      <c r="S89" s="57" t="n">
        <f aca="false">U89*V89*$F$5</f>
        <v>196.10298102981</v>
      </c>
      <c r="T89" s="58" t="n">
        <f aca="false">MAX(0,MIN(1,R89/100+$D$5))</f>
        <v>0.360517796519232</v>
      </c>
      <c r="U89" s="58" t="n">
        <v>0.525745257452575</v>
      </c>
      <c r="V89" s="57" t="n">
        <v>373</v>
      </c>
      <c r="W89" s="58" t="n">
        <v>0.0777040344688333</v>
      </c>
      <c r="X89" s="59" t="s">
        <v>131</v>
      </c>
      <c r="Y89" s="59" t="s">
        <v>132</v>
      </c>
    </row>
    <row r="90" customFormat="false" ht="15" hidden="false" customHeight="false" outlineLevel="0" collapsed="false">
      <c r="A90" s="32" t="s">
        <v>188</v>
      </c>
      <c r="B90" s="32" t="s">
        <v>214</v>
      </c>
      <c r="C90" s="32" t="s">
        <v>129</v>
      </c>
      <c r="D90" s="54" t="n">
        <f aca="false">ROUND(S90*T90,0)</f>
        <v>254</v>
      </c>
      <c r="E90" s="54" t="n">
        <f aca="false">ROUND(S90,0)-D90</f>
        <v>430</v>
      </c>
      <c r="F90" s="54" t="n">
        <f aca="false">IF(COUNTA(D90:E90)=0,"",SUM(D90:E90))</f>
        <v>684</v>
      </c>
      <c r="G90" s="55" t="n">
        <f aca="false">IF(OR(F90="",F90=0),"",D90/F90)</f>
        <v>0.371345029239766</v>
      </c>
      <c r="H90" s="55" t="n">
        <f aca="false">IF(OR(F90="",F90=0),"",E90/F90)</f>
        <v>0.628654970760234</v>
      </c>
      <c r="I90" s="32" t="s">
        <v>130</v>
      </c>
      <c r="J90" s="36" t="n">
        <v>2.73651760017814</v>
      </c>
      <c r="K90" s="36" t="n">
        <f aca="false">$K$8</f>
        <v>1.81119845967768</v>
      </c>
      <c r="L90" s="36" t="n">
        <f aca="false">SQRT(J90^2+K90^2)</f>
        <v>3.28161064668305</v>
      </c>
      <c r="M90" s="55" t="n">
        <f aca="false">IF(G90="","",MAX(0,G90-1.96*L90/100))</f>
        <v>0.307025460564778</v>
      </c>
      <c r="N90" s="55" t="n">
        <f aca="false">IF(G90="","",MIN(1,G90+1.96*L90/100))</f>
        <v>0.435664597914754</v>
      </c>
      <c r="O90" s="54" t="n">
        <f aca="false">ROUND(S90*W90,0)</f>
        <v>53</v>
      </c>
      <c r="P90" s="54" t="n">
        <f aca="false">IF(F90="","",ROUND(SQRT((F90*L90/100)^2+(G90*O90)^2),0))</f>
        <v>30</v>
      </c>
      <c r="R90" s="56" t="n">
        <v>-5.14300617986459</v>
      </c>
      <c r="S90" s="57" t="n">
        <f aca="false">U90*V90*$F$5</f>
        <v>683.952941176471</v>
      </c>
      <c r="T90" s="58" t="n">
        <f aca="false">MAX(0,MIN(1,R90/100+$D$5))</f>
        <v>0.371850877961764</v>
      </c>
      <c r="U90" s="58" t="n">
        <v>0.568067226890756</v>
      </c>
      <c r="V90" s="57" t="n">
        <v>1204</v>
      </c>
      <c r="W90" s="58" t="n">
        <v>0.0777040344688333</v>
      </c>
      <c r="X90" s="59" t="s">
        <v>131</v>
      </c>
      <c r="Y90" s="59" t="s">
        <v>132</v>
      </c>
    </row>
    <row r="91" customFormat="false" ht="15" hidden="false" customHeight="false" outlineLevel="0" collapsed="false">
      <c r="A91" s="32" t="s">
        <v>188</v>
      </c>
      <c r="B91" s="32" t="s">
        <v>215</v>
      </c>
      <c r="C91" s="32" t="s">
        <v>129</v>
      </c>
      <c r="D91" s="54" t="n">
        <f aca="false">ROUND(S91*T91,0)</f>
        <v>160</v>
      </c>
      <c r="E91" s="54" t="n">
        <f aca="false">ROUND(S91,0)-D91</f>
        <v>229</v>
      </c>
      <c r="F91" s="54" t="n">
        <f aca="false">IF(COUNTA(D91:E91)=0,"",SUM(D91:E91))</f>
        <v>389</v>
      </c>
      <c r="G91" s="55" t="n">
        <f aca="false">IF(OR(F91="",F91=0),"",D91/F91)</f>
        <v>0.411311053984576</v>
      </c>
      <c r="H91" s="55" t="n">
        <f aca="false">IF(OR(F91="",F91=0),"",E91/F91)</f>
        <v>0.588688946015424</v>
      </c>
      <c r="I91" s="32" t="s">
        <v>130</v>
      </c>
      <c r="J91" s="36" t="n">
        <v>2.73651760017814</v>
      </c>
      <c r="K91" s="36" t="n">
        <f aca="false">$K$8</f>
        <v>1.81119845967768</v>
      </c>
      <c r="L91" s="36" t="n">
        <f aca="false">SQRT(J91^2+K91^2)</f>
        <v>3.28161064668305</v>
      </c>
      <c r="M91" s="55" t="n">
        <f aca="false">IF(G91="","",MAX(0,G91-1.96*L91/100))</f>
        <v>0.346991485309588</v>
      </c>
      <c r="N91" s="55" t="n">
        <f aca="false">IF(G91="","",MIN(1,G91+1.96*L91/100))</f>
        <v>0.475630622659564</v>
      </c>
      <c r="O91" s="54" t="n">
        <f aca="false">ROUND(S91*W91,0)</f>
        <v>30</v>
      </c>
      <c r="P91" s="54" t="n">
        <f aca="false">IF(F91="","",ROUND(SQRT((F91*L91/100)^2+(G91*O91)^2),0))</f>
        <v>18</v>
      </c>
      <c r="R91" s="56" t="n">
        <v>-1.06077040699545</v>
      </c>
      <c r="S91" s="57" t="n">
        <f aca="false">U91*V91*$F$5</f>
        <v>388.819749216301</v>
      </c>
      <c r="T91" s="58" t="n">
        <f aca="false">MAX(0,MIN(1,R91/100+$D$5))</f>
        <v>0.412673235690456</v>
      </c>
      <c r="U91" s="58" t="n">
        <v>0.606583072100314</v>
      </c>
      <c r="V91" s="57" t="n">
        <v>641</v>
      </c>
      <c r="W91" s="58" t="n">
        <v>0.0777040344688333</v>
      </c>
      <c r="X91" s="59" t="s">
        <v>131</v>
      </c>
      <c r="Y91" s="59" t="s">
        <v>132</v>
      </c>
    </row>
    <row r="92" customFormat="false" ht="15" hidden="false" customHeight="false" outlineLevel="0" collapsed="false">
      <c r="A92" s="32" t="s">
        <v>188</v>
      </c>
      <c r="B92" s="32" t="s">
        <v>216</v>
      </c>
      <c r="C92" s="32" t="s">
        <v>129</v>
      </c>
      <c r="D92" s="54" t="n">
        <f aca="false">ROUND(S92*T92,0)</f>
        <v>254</v>
      </c>
      <c r="E92" s="54" t="n">
        <f aca="false">ROUND(S92,0)-D92</f>
        <v>348</v>
      </c>
      <c r="F92" s="54" t="n">
        <f aca="false">IF(COUNTA(D92:E92)=0,"",SUM(D92:E92))</f>
        <v>602</v>
      </c>
      <c r="G92" s="55" t="n">
        <f aca="false">IF(OR(F92="",F92=0),"",D92/F92)</f>
        <v>0.421926910299003</v>
      </c>
      <c r="H92" s="55" t="n">
        <f aca="false">IF(OR(F92="",F92=0),"",E92/F92)</f>
        <v>0.578073089700997</v>
      </c>
      <c r="I92" s="32" t="s">
        <v>130</v>
      </c>
      <c r="J92" s="36" t="n">
        <v>2.73651760017814</v>
      </c>
      <c r="K92" s="36" t="n">
        <f aca="false">$K$8</f>
        <v>1.81119845967768</v>
      </c>
      <c r="L92" s="36" t="n">
        <f aca="false">SQRT(J92^2+K92^2)</f>
        <v>3.28161064668305</v>
      </c>
      <c r="M92" s="55" t="n">
        <f aca="false">IF(G92="","",MAX(0,G92-1.96*L92/100))</f>
        <v>0.357607341624016</v>
      </c>
      <c r="N92" s="55" t="n">
        <f aca="false">IF(G92="","",MIN(1,G92+1.96*L92/100))</f>
        <v>0.486246478973991</v>
      </c>
      <c r="O92" s="54" t="n">
        <f aca="false">ROUND(S92*W92,0)</f>
        <v>47</v>
      </c>
      <c r="P92" s="54" t="n">
        <f aca="false">IF(F92="","",ROUND(SQRT((F92*L92/100)^2+(G92*O92)^2),0))</f>
        <v>28</v>
      </c>
      <c r="R92" s="56" t="n">
        <v>-0.192281384695375</v>
      </c>
      <c r="S92" s="57" t="n">
        <f aca="false">U92*V92*$F$5</f>
        <v>602.07868852459</v>
      </c>
      <c r="T92" s="58" t="n">
        <f aca="false">MAX(0,MIN(1,R92/100+$D$5))</f>
        <v>0.421358125913457</v>
      </c>
      <c r="U92" s="58" t="n">
        <v>0.613114754098361</v>
      </c>
      <c r="V92" s="57" t="n">
        <v>982</v>
      </c>
      <c r="W92" s="58" t="n">
        <v>0.0777040344688333</v>
      </c>
      <c r="X92" s="59" t="s">
        <v>131</v>
      </c>
      <c r="Y92" s="59" t="s">
        <v>132</v>
      </c>
    </row>
    <row r="93" customFormat="false" ht="15" hidden="false" customHeight="false" outlineLevel="0" collapsed="false">
      <c r="A93" s="32" t="s">
        <v>188</v>
      </c>
      <c r="B93" s="32" t="s">
        <v>217</v>
      </c>
      <c r="C93" s="32" t="s">
        <v>129</v>
      </c>
      <c r="D93" s="54" t="n">
        <f aca="false">ROUND(S93*T93,0)</f>
        <v>1008</v>
      </c>
      <c r="E93" s="54" t="n">
        <f aca="false">ROUND(S93,0)-D93</f>
        <v>2138</v>
      </c>
      <c r="F93" s="54" t="n">
        <f aca="false">IF(COUNTA(D93:E93)=0,"",SUM(D93:E93))</f>
        <v>3146</v>
      </c>
      <c r="G93" s="55" t="n">
        <f aca="false">IF(OR(F93="",F93=0),"",D93/F93)</f>
        <v>0.320406865861411</v>
      </c>
      <c r="H93" s="55" t="n">
        <f aca="false">IF(OR(F93="",F93=0),"",E93/F93)</f>
        <v>0.679593134138589</v>
      </c>
      <c r="I93" s="32" t="s">
        <v>130</v>
      </c>
      <c r="J93" s="36" t="n">
        <v>1.35162343329881</v>
      </c>
      <c r="K93" s="36" t="n">
        <f aca="false">$K$8</f>
        <v>1.81119845967768</v>
      </c>
      <c r="L93" s="36" t="n">
        <f aca="false">SQRT(J93^2+K93^2)</f>
        <v>2.25993932789826</v>
      </c>
      <c r="M93" s="55" t="n">
        <f aca="false">IF(G93="","",MAX(0,G93-1.96*L93/100))</f>
        <v>0.276112055034605</v>
      </c>
      <c r="N93" s="55" t="n">
        <f aca="false">IF(G93="","",MIN(1,G93+1.96*L93/100))</f>
        <v>0.364701676688217</v>
      </c>
      <c r="O93" s="54" t="n">
        <f aca="false">ROUND(S93*W93,0)</f>
        <v>173</v>
      </c>
      <c r="P93" s="54" t="n">
        <f aca="false">IF(F93="","",ROUND(SQRT((F93*L93/100)^2+(G93*O93)^2),0))</f>
        <v>90</v>
      </c>
      <c r="R93" s="56" t="n">
        <v>-10.2950128088443</v>
      </c>
      <c r="S93" s="57" t="n">
        <f aca="false">U93*V93*$F$5</f>
        <v>3146.26275765459</v>
      </c>
      <c r="T93" s="58" t="n">
        <f aca="false">MAX(0,MIN(1,R93/100+$D$5))</f>
        <v>0.320330811671967</v>
      </c>
      <c r="U93" s="58" t="n">
        <v>0.625375225135081</v>
      </c>
      <c r="V93" s="57" t="n">
        <v>5031</v>
      </c>
      <c r="W93" s="58" t="n">
        <v>0.0551273752894184</v>
      </c>
      <c r="X93" s="59" t="s">
        <v>152</v>
      </c>
      <c r="Y93" s="59" t="s">
        <v>132</v>
      </c>
    </row>
    <row r="94" customFormat="false" ht="15" hidden="false" customHeight="false" outlineLevel="0" collapsed="false">
      <c r="A94" s="32" t="s">
        <v>188</v>
      </c>
      <c r="B94" s="32" t="s">
        <v>218</v>
      </c>
      <c r="C94" s="32" t="s">
        <v>129</v>
      </c>
      <c r="D94" s="54" t="n">
        <f aca="false">ROUND(S94*T94,0)</f>
        <v>1589</v>
      </c>
      <c r="E94" s="54" t="n">
        <f aca="false">ROUND(S94,0)-D94</f>
        <v>1688</v>
      </c>
      <c r="F94" s="54" t="n">
        <f aca="false">IF(COUNTA(D94:E94)=0,"",SUM(D94:E94))</f>
        <v>3277</v>
      </c>
      <c r="G94" s="55" t="n">
        <f aca="false">IF(OR(F94="",F94=0),"",D94/F94)</f>
        <v>0.484894720781202</v>
      </c>
      <c r="H94" s="55" t="n">
        <f aca="false">IF(OR(F94="",F94=0),"",E94/F94)</f>
        <v>0.515105279218798</v>
      </c>
      <c r="I94" s="32" t="s">
        <v>130</v>
      </c>
      <c r="J94" s="36" t="n">
        <v>1.35162343329881</v>
      </c>
      <c r="K94" s="36" t="n">
        <f aca="false">$K$8</f>
        <v>1.81119845967768</v>
      </c>
      <c r="L94" s="36" t="n">
        <f aca="false">SQRT(J94^2+K94^2)</f>
        <v>2.25993932789826</v>
      </c>
      <c r="M94" s="55" t="n">
        <f aca="false">IF(G94="","",MAX(0,G94-1.96*L94/100))</f>
        <v>0.440599909954396</v>
      </c>
      <c r="N94" s="55" t="n">
        <f aca="false">IF(G94="","",MIN(1,G94+1.96*L94/100))</f>
        <v>0.529189531608008</v>
      </c>
      <c r="O94" s="54" t="n">
        <f aca="false">ROUND(S94*W94,0)</f>
        <v>181</v>
      </c>
      <c r="P94" s="54" t="n">
        <f aca="false">IF(F94="","",ROUND(SQRT((F94*L94/100)^2+(G94*O94)^2),0))</f>
        <v>115</v>
      </c>
      <c r="R94" s="56" t="n">
        <v>6.16738421292099</v>
      </c>
      <c r="S94" s="57" t="n">
        <f aca="false">U94*V94*$F$5</f>
        <v>3277.36336396324</v>
      </c>
      <c r="T94" s="58" t="n">
        <f aca="false">MAX(0,MIN(1,R94/100+$D$5))</f>
        <v>0.48495478188962</v>
      </c>
      <c r="U94" s="58" t="n">
        <v>0.631841789852177</v>
      </c>
      <c r="V94" s="57" t="n">
        <v>5187</v>
      </c>
      <c r="W94" s="58" t="n">
        <v>0.0551273752894184</v>
      </c>
      <c r="X94" s="59" t="s">
        <v>152</v>
      </c>
      <c r="Y94" s="59" t="s">
        <v>132</v>
      </c>
    </row>
    <row r="95" customFormat="false" ht="15" hidden="false" customHeight="false" outlineLevel="0" collapsed="false">
      <c r="A95" s="32" t="s">
        <v>188</v>
      </c>
      <c r="B95" s="32" t="s">
        <v>219</v>
      </c>
      <c r="C95" s="32" t="s">
        <v>129</v>
      </c>
      <c r="D95" s="54" t="n">
        <f aca="false">ROUND(S95*T95,0)</f>
        <v>302</v>
      </c>
      <c r="E95" s="54" t="n">
        <f aca="false">ROUND(S95,0)-D95</f>
        <v>459</v>
      </c>
      <c r="F95" s="54" t="n">
        <f aca="false">IF(COUNTA(D95:E95)=0,"",SUM(D95:E95))</f>
        <v>761</v>
      </c>
      <c r="G95" s="55" t="n">
        <f aca="false">IF(OR(F95="",F95=0),"",D95/F95)</f>
        <v>0.396846254927727</v>
      </c>
      <c r="H95" s="55" t="n">
        <f aca="false">IF(OR(F95="",F95=0),"",E95/F95)</f>
        <v>0.603153745072273</v>
      </c>
      <c r="I95" s="32" t="s">
        <v>130</v>
      </c>
      <c r="J95" s="36" t="n">
        <v>2.73651760017814</v>
      </c>
      <c r="K95" s="36" t="n">
        <f aca="false">$K$8</f>
        <v>1.81119845967768</v>
      </c>
      <c r="L95" s="36" t="n">
        <f aca="false">SQRT(J95^2+K95^2)</f>
        <v>3.28161064668305</v>
      </c>
      <c r="M95" s="55" t="n">
        <f aca="false">IF(G95="","",MAX(0,G95-1.96*L95/100))</f>
        <v>0.332526686252739</v>
      </c>
      <c r="N95" s="55" t="n">
        <f aca="false">IF(G95="","",MIN(1,G95+1.96*L95/100))</f>
        <v>0.461165823602714</v>
      </c>
      <c r="O95" s="54" t="n">
        <f aca="false">ROUND(S95*W95,0)</f>
        <v>59</v>
      </c>
      <c r="P95" s="54" t="n">
        <f aca="false">IF(F95="","",ROUND(SQRT((F95*L95/100)^2+(G95*O95)^2),0))</f>
        <v>34</v>
      </c>
      <c r="R95" s="56" t="n">
        <v>-2.63171467530804</v>
      </c>
      <c r="S95" s="57" t="n">
        <f aca="false">U95*V95*$F$5</f>
        <v>761.429837518464</v>
      </c>
      <c r="T95" s="58" t="n">
        <f aca="false">MAX(0,MIN(1,R95/100+$D$5))</f>
        <v>0.39696379300733</v>
      </c>
      <c r="U95" s="58" t="n">
        <v>0.534711964549483</v>
      </c>
      <c r="V95" s="57" t="n">
        <v>1424</v>
      </c>
      <c r="W95" s="58" t="n">
        <v>0.0777040344688333</v>
      </c>
      <c r="X95" s="59" t="s">
        <v>131</v>
      </c>
      <c r="Y95" s="59" t="s">
        <v>132</v>
      </c>
    </row>
    <row r="96" customFormat="false" ht="15" hidden="false" customHeight="false" outlineLevel="0" collapsed="false">
      <c r="A96" s="32" t="s">
        <v>188</v>
      </c>
      <c r="B96" s="32" t="s">
        <v>180</v>
      </c>
      <c r="C96" s="32" t="s">
        <v>129</v>
      </c>
      <c r="D96" s="54" t="n">
        <f aca="false">ROUND(S96*T96,0)</f>
        <v>812</v>
      </c>
      <c r="E96" s="54" t="n">
        <f aca="false">ROUND(S96,0)-D96</f>
        <v>1575</v>
      </c>
      <c r="F96" s="54" t="n">
        <f aca="false">IF(COUNTA(D96:E96)=0,"",SUM(D96:E96))</f>
        <v>2387</v>
      </c>
      <c r="G96" s="55" t="n">
        <f aca="false">IF(OR(F96="",F96=0),"",D96/F96)</f>
        <v>0.340175953079179</v>
      </c>
      <c r="H96" s="55" t="n">
        <f aca="false">IF(OR(F96="",F96=0),"",E96/F96)</f>
        <v>0.659824046920821</v>
      </c>
      <c r="I96" s="32" t="s">
        <v>130</v>
      </c>
      <c r="J96" s="36" t="n">
        <v>1.56023581108354</v>
      </c>
      <c r="K96" s="36" t="n">
        <f aca="false">$K$8</f>
        <v>1.81119845967768</v>
      </c>
      <c r="L96" s="36" t="n">
        <f aca="false">SQRT(J96^2+K96^2)</f>
        <v>2.3905596931527</v>
      </c>
      <c r="M96" s="55" t="n">
        <f aca="false">IF(G96="","",MAX(0,G96-1.96*L96/100))</f>
        <v>0.293320983093386</v>
      </c>
      <c r="N96" s="55" t="n">
        <f aca="false">IF(G96="","",MIN(1,G96+1.96*L96/100))</f>
        <v>0.387030923064972</v>
      </c>
      <c r="O96" s="54" t="n">
        <f aca="false">ROUND(S96*W96,0)</f>
        <v>145</v>
      </c>
      <c r="P96" s="54" t="n">
        <f aca="false">IF(F96="","",ROUND(SQRT((F96*L96/100)^2+(G96*O96)^2),0))</f>
        <v>75</v>
      </c>
      <c r="R96" s="56" t="n">
        <v>-8.29071655410916</v>
      </c>
      <c r="S96" s="57" t="n">
        <f aca="false">U96*V96*$F$5</f>
        <v>2386.68081761006</v>
      </c>
      <c r="T96" s="58" t="n">
        <f aca="false">MAX(0,MIN(1,R96/100+$D$5))</f>
        <v>0.340373774219319</v>
      </c>
      <c r="U96" s="58" t="n">
        <v>0.62185534591195</v>
      </c>
      <c r="V96" s="57" t="n">
        <v>3838</v>
      </c>
      <c r="W96" s="58" t="n">
        <v>0.0606122259008943</v>
      </c>
      <c r="X96" s="59" t="s">
        <v>136</v>
      </c>
      <c r="Y96" s="59" t="s">
        <v>132</v>
      </c>
    </row>
    <row r="97" customFormat="false" ht="15" hidden="false" customHeight="false" outlineLevel="0" collapsed="false">
      <c r="A97" s="32" t="s">
        <v>188</v>
      </c>
      <c r="B97" s="32" t="s">
        <v>220</v>
      </c>
      <c r="C97" s="32" t="s">
        <v>129</v>
      </c>
      <c r="D97" s="54" t="n">
        <f aca="false">ROUND(S97*T97,0)</f>
        <v>211</v>
      </c>
      <c r="E97" s="54" t="n">
        <f aca="false">ROUND(S97,0)-D97</f>
        <v>227</v>
      </c>
      <c r="F97" s="54" t="n">
        <f aca="false">IF(COUNTA(D97:E97)=0,"",SUM(D97:E97))</f>
        <v>438</v>
      </c>
      <c r="G97" s="55" t="n">
        <f aca="false">IF(OR(F97="",F97=0),"",D97/F97)</f>
        <v>0.481735159817352</v>
      </c>
      <c r="H97" s="55" t="n">
        <f aca="false">IF(OR(F97="",F97=0),"",E97/F97)</f>
        <v>0.518264840182648</v>
      </c>
      <c r="I97" s="32" t="s">
        <v>130</v>
      </c>
      <c r="J97" s="36" t="n">
        <v>2.73651760017814</v>
      </c>
      <c r="K97" s="36" t="n">
        <f aca="false">$K$8</f>
        <v>1.81119845967768</v>
      </c>
      <c r="L97" s="36" t="n">
        <f aca="false">SQRT(J97^2+K97^2)</f>
        <v>3.28161064668305</v>
      </c>
      <c r="M97" s="55" t="n">
        <f aca="false">IF(G97="","",MAX(0,G97-1.96*L97/100))</f>
        <v>0.417415591142364</v>
      </c>
      <c r="N97" s="55" t="n">
        <f aca="false">IF(G97="","",MIN(1,G97+1.96*L97/100))</f>
        <v>0.546054728492339</v>
      </c>
      <c r="O97" s="54" t="n">
        <f aca="false">ROUND(S97*W97,0)</f>
        <v>34</v>
      </c>
      <c r="P97" s="54" t="n">
        <f aca="false">IF(F97="","",ROUND(SQRT((F97*L97/100)^2+(G97*O97)^2),0))</f>
        <v>22</v>
      </c>
      <c r="R97" s="56" t="n">
        <v>5.88728720709279</v>
      </c>
      <c r="S97" s="57" t="n">
        <f aca="false">U97*V97*$F$5</f>
        <v>438.292134831461</v>
      </c>
      <c r="T97" s="58" t="n">
        <f aca="false">MAX(0,MIN(1,R97/100+$D$5))</f>
        <v>0.482153811831338</v>
      </c>
      <c r="U97" s="58" t="n">
        <v>0.51685393258427</v>
      </c>
      <c r="V97" s="57" t="n">
        <v>848</v>
      </c>
      <c r="W97" s="58" t="n">
        <v>0.0777040344688333</v>
      </c>
      <c r="X97" s="59" t="s">
        <v>131</v>
      </c>
      <c r="Y97" s="59" t="s">
        <v>132</v>
      </c>
    </row>
    <row r="98" customFormat="false" ht="15" hidden="false" customHeight="false" outlineLevel="0" collapsed="false">
      <c r="A98" s="32" t="s">
        <v>188</v>
      </c>
      <c r="B98" s="32" t="s">
        <v>221</v>
      </c>
      <c r="C98" s="32" t="s">
        <v>129</v>
      </c>
      <c r="D98" s="54" t="n">
        <f aca="false">ROUND(S98*T98,0)</f>
        <v>1446</v>
      </c>
      <c r="E98" s="54" t="n">
        <f aca="false">ROUND(S98,0)-D98</f>
        <v>1920</v>
      </c>
      <c r="F98" s="54" t="n">
        <f aca="false">IF(COUNTA(D98:E98)=0,"",SUM(D98:E98))</f>
        <v>3366</v>
      </c>
      <c r="G98" s="55" t="n">
        <f aca="false">IF(OR(F98="",F98=0),"",D98/F98)</f>
        <v>0.429590017825312</v>
      </c>
      <c r="H98" s="55" t="n">
        <f aca="false">IF(OR(F98="",F98=0),"",E98/F98)</f>
        <v>0.570409982174688</v>
      </c>
      <c r="I98" s="32" t="s">
        <v>130</v>
      </c>
      <c r="J98" s="36" t="n">
        <v>1.35162343329881</v>
      </c>
      <c r="K98" s="36" t="n">
        <f aca="false">$K$8</f>
        <v>1.81119845967768</v>
      </c>
      <c r="L98" s="36" t="n">
        <f aca="false">SQRT(J98^2+K98^2)</f>
        <v>2.25993932789826</v>
      </c>
      <c r="M98" s="55" t="n">
        <f aca="false">IF(G98="","",MAX(0,G98-1.96*L98/100))</f>
        <v>0.385295206998506</v>
      </c>
      <c r="N98" s="55" t="n">
        <f aca="false">IF(G98="","",MIN(1,G98+1.96*L98/100))</f>
        <v>0.473884828652118</v>
      </c>
      <c r="O98" s="54" t="n">
        <f aca="false">ROUND(S98*W98,0)</f>
        <v>186</v>
      </c>
      <c r="P98" s="54" t="n">
        <f aca="false">IF(F98="","",ROUND(SQRT((F98*L98/100)^2+(G98*O98)^2),0))</f>
        <v>110</v>
      </c>
      <c r="R98" s="56" t="n">
        <v>0.64030627834243</v>
      </c>
      <c r="S98" s="57" t="n">
        <f aca="false">U98*V98*$F$5</f>
        <v>3365.72741078208</v>
      </c>
      <c r="T98" s="58" t="n">
        <f aca="false">MAX(0,MIN(1,R98/100+$D$5))</f>
        <v>0.429684002543835</v>
      </c>
      <c r="U98" s="58" t="n">
        <v>0.629460895975702</v>
      </c>
      <c r="V98" s="57" t="n">
        <v>5347</v>
      </c>
      <c r="W98" s="58" t="n">
        <v>0.0551273752894184</v>
      </c>
      <c r="X98" s="59" t="s">
        <v>152</v>
      </c>
      <c r="Y98" s="59" t="s">
        <v>132</v>
      </c>
    </row>
    <row r="99" customFormat="false" ht="15" hidden="false" customHeight="false" outlineLevel="0" collapsed="false">
      <c r="A99" s="32" t="s">
        <v>188</v>
      </c>
      <c r="B99" s="32" t="s">
        <v>222</v>
      </c>
      <c r="C99" s="32" t="s">
        <v>129</v>
      </c>
      <c r="D99" s="54" t="n">
        <f aca="false">ROUND(S99*T99,0)</f>
        <v>1321</v>
      </c>
      <c r="E99" s="54" t="n">
        <f aca="false">ROUND(S99,0)-D99</f>
        <v>1029</v>
      </c>
      <c r="F99" s="54" t="n">
        <f aca="false">IF(COUNTA(D99:E99)=0,"",SUM(D99:E99))</f>
        <v>2350</v>
      </c>
      <c r="G99" s="55" t="n">
        <f aca="false">IF(OR(F99="",F99=0),"",D99/F99)</f>
        <v>0.562127659574468</v>
      </c>
      <c r="H99" s="55" t="n">
        <f aca="false">IF(OR(F99="",F99=0),"",E99/F99)</f>
        <v>0.437872340425532</v>
      </c>
      <c r="I99" s="32" t="s">
        <v>130</v>
      </c>
      <c r="J99" s="36" t="n">
        <v>1.56023581108354</v>
      </c>
      <c r="K99" s="36" t="n">
        <f aca="false">$K$8</f>
        <v>1.81119845967768</v>
      </c>
      <c r="L99" s="36" t="n">
        <f aca="false">SQRT(J99^2+K99^2)</f>
        <v>2.3905596931527</v>
      </c>
      <c r="M99" s="55" t="n">
        <f aca="false">IF(G99="","",MAX(0,G99-1.96*L99/100))</f>
        <v>0.515272689588675</v>
      </c>
      <c r="N99" s="55" t="n">
        <f aca="false">IF(G99="","",MIN(1,G99+1.96*L99/100))</f>
        <v>0.608982629560261</v>
      </c>
      <c r="O99" s="54" t="n">
        <f aca="false">ROUND(S99*W99,0)</f>
        <v>142</v>
      </c>
      <c r="P99" s="54" t="n">
        <f aca="false">IF(F99="","",ROUND(SQRT((F99*L99/100)^2+(G99*O99)^2),0))</f>
        <v>98</v>
      </c>
      <c r="R99" s="56" t="n">
        <v>13.8775044888973</v>
      </c>
      <c r="S99" s="57" t="n">
        <f aca="false">U99*V99*$F$5</f>
        <v>2350.25573902537</v>
      </c>
      <c r="T99" s="58" t="n">
        <f aca="false">MAX(0,MIN(1,R99/100+$D$5))</f>
        <v>0.562055984649383</v>
      </c>
      <c r="U99" s="58" t="n">
        <v>0.461739830849779</v>
      </c>
      <c r="V99" s="57" t="n">
        <v>5090</v>
      </c>
      <c r="W99" s="58" t="n">
        <v>0.0606122259008943</v>
      </c>
      <c r="X99" s="59" t="s">
        <v>136</v>
      </c>
      <c r="Y99" s="59" t="s">
        <v>132</v>
      </c>
    </row>
    <row r="100" customFormat="false" ht="15" hidden="false" customHeight="false" outlineLevel="0" collapsed="false">
      <c r="A100" s="32" t="s">
        <v>188</v>
      </c>
      <c r="B100" s="32" t="s">
        <v>223</v>
      </c>
      <c r="C100" s="32" t="s">
        <v>129</v>
      </c>
      <c r="D100" s="54" t="n">
        <f aca="false">ROUND(S100*T100,0)</f>
        <v>496</v>
      </c>
      <c r="E100" s="54" t="n">
        <f aca="false">ROUND(S100,0)-D100</f>
        <v>649</v>
      </c>
      <c r="F100" s="54" t="n">
        <f aca="false">IF(COUNTA(D100:E100)=0,"",SUM(D100:E100))</f>
        <v>1145</v>
      </c>
      <c r="G100" s="55" t="n">
        <f aca="false">IF(OR(F100="",F100=0),"",D100/F100)</f>
        <v>0.433187772925764</v>
      </c>
      <c r="H100" s="55" t="n">
        <f aca="false">IF(OR(F100="",F100=0),"",E100/F100)</f>
        <v>0.566812227074236</v>
      </c>
      <c r="I100" s="32" t="s">
        <v>130</v>
      </c>
      <c r="J100" s="36" t="n">
        <v>2.73651760017814</v>
      </c>
      <c r="K100" s="36" t="n">
        <f aca="false">$K$8</f>
        <v>1.81119845967768</v>
      </c>
      <c r="L100" s="36" t="n">
        <f aca="false">SQRT(J100^2+K100^2)</f>
        <v>3.28161064668305</v>
      </c>
      <c r="M100" s="55" t="n">
        <f aca="false">IF(G100="","",MAX(0,G100-1.96*L100/100))</f>
        <v>0.368868204250777</v>
      </c>
      <c r="N100" s="55" t="n">
        <f aca="false">IF(G100="","",MIN(1,G100+1.96*L100/100))</f>
        <v>0.497507341600752</v>
      </c>
      <c r="O100" s="54" t="n">
        <f aca="false">ROUND(S100*W100,0)</f>
        <v>89</v>
      </c>
      <c r="P100" s="54" t="n">
        <f aca="false">IF(F100="","",ROUND(SQRT((F100*L100/100)^2+(G100*O100)^2),0))</f>
        <v>54</v>
      </c>
      <c r="R100" s="56" t="n">
        <v>0.992860028954102</v>
      </c>
      <c r="S100" s="57" t="n">
        <f aca="false">U100*V100*$F$5</f>
        <v>1145.48062775871</v>
      </c>
      <c r="T100" s="58" t="n">
        <f aca="false">MAX(0,MIN(1,R100/100+$D$5))</f>
        <v>0.433209540049951</v>
      </c>
      <c r="U100" s="58" t="n">
        <v>0.537027954879843</v>
      </c>
      <c r="V100" s="57" t="n">
        <v>2133</v>
      </c>
      <c r="W100" s="58" t="n">
        <v>0.0777040344688333</v>
      </c>
      <c r="X100" s="59" t="s">
        <v>131</v>
      </c>
      <c r="Y100" s="59" t="s">
        <v>132</v>
      </c>
    </row>
  </sheetData>
  <mergeCells count="4">
    <mergeCell ref="A3:I3"/>
    <mergeCell ref="A6:P6"/>
    <mergeCell ref="A9:P9"/>
    <mergeCell ref="A10:P10"/>
  </mergeCells>
  <conditionalFormatting sqref="G12:G100">
    <cfRule type="colorScale" priority="2">
      <colorScale>
        <cfvo type="num" val="0.25"/>
        <cfvo type="num" val="0.5"/>
        <cfvo type="num" val="0.75"/>
        <color rgb="FFF4B6B6"/>
        <color rgb="FFFFFFFF"/>
        <color rgb="FFB4C7E7"/>
      </colorScale>
    </cfRule>
  </conditionalFormatting>
  <conditionalFormatting sqref="A12:C100">
    <cfRule type="expression" priority="3" aboveAverage="0" equalAverage="0" bottom="0" percent="0" rank="0" text="" dxfId="0">
      <formula>AND($M12&lt;0.5,$N12&gt;0.5)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4"/>
    <col collapsed="false" customWidth="true" hidden="false" outlineLevel="0" max="7" min="6" style="0" width="12"/>
    <col collapsed="false" customWidth="true" hidden="false" outlineLevel="0" max="8" min="8" style="0" width="13"/>
    <col collapsed="false" customWidth="true" hidden="false" outlineLevel="0" max="9" min="9" style="0" width="44"/>
    <col collapsed="false" customWidth="true" hidden="false" outlineLevel="0" max="11" min="10" style="0" width="13"/>
    <col collapsed="false" customWidth="true" hidden="false" outlineLevel="0" max="14" min="12" style="0" width="12"/>
    <col collapsed="false" customWidth="true" hidden="false" outlineLevel="0" max="16" min="15" style="0" width="13"/>
    <col collapsed="false" customWidth="true" hidden="false" outlineLevel="0" max="17" min="17" style="0" width="3"/>
    <col collapsed="false" customWidth="true" hidden="false" outlineLevel="0" max="18" min="18" style="0" width="13"/>
    <col collapsed="false" customWidth="true" hidden="false" outlineLevel="0" max="19" min="19" style="0" width="15"/>
    <col collapsed="false" customWidth="true" hidden="false" outlineLevel="0" max="21" min="20" style="0" width="14"/>
    <col collapsed="false" customWidth="true" hidden="false" outlineLevel="0" max="23" min="22" style="0" width="13"/>
    <col collapsed="false" customWidth="true" hidden="false" outlineLevel="0" max="24" min="24" style="0" width="12"/>
    <col collapsed="false" customWidth="true" hidden="false" outlineLevel="0" max="25" min="25" style="0" width="30"/>
  </cols>
  <sheetData>
    <row r="1" customFormat="false" ht="17.35" hidden="false" customHeight="false" outlineLevel="0" collapsed="false">
      <c r="A1" s="1" t="s">
        <v>226</v>
      </c>
    </row>
    <row r="2" customFormat="false" ht="15" hidden="false" customHeight="false" outlineLevel="0" collapsed="false">
      <c r="A2" s="2" t="s">
        <v>87</v>
      </c>
    </row>
    <row r="3" customFormat="false" ht="15" hidden="false" customHeight="false" outlineLevel="0" collapsed="false">
      <c r="A3" s="13" t="s">
        <v>88</v>
      </c>
      <c r="B3" s="13"/>
      <c r="C3" s="13"/>
      <c r="D3" s="13"/>
      <c r="E3" s="13"/>
      <c r="F3" s="13"/>
      <c r="G3" s="13"/>
      <c r="H3" s="13"/>
      <c r="I3" s="13"/>
    </row>
    <row r="4" customFormat="false" ht="15" hidden="false" customHeight="false" outlineLevel="0" collapsed="false">
      <c r="A4" s="0" t="s">
        <v>89</v>
      </c>
      <c r="B4" s="0" t="s">
        <v>227</v>
      </c>
      <c r="C4" s="0" t="s">
        <v>91</v>
      </c>
      <c r="D4" s="43" t="n">
        <v>46300</v>
      </c>
      <c r="E4" s="44" t="s">
        <v>92</v>
      </c>
      <c r="F4" s="44" t="s">
        <v>93</v>
      </c>
      <c r="G4" s="44" t="s">
        <v>94</v>
      </c>
      <c r="H4" s="44" t="s">
        <v>95</v>
      </c>
    </row>
    <row r="5" customFormat="false" ht="15" hidden="false" customHeight="false" outlineLevel="0" collapsed="false">
      <c r="A5" s="0" t="s">
        <v>96</v>
      </c>
      <c r="B5" s="45" t="n">
        <f aca="false">'Scenario &amp; Comparison'!$C$6</f>
        <v>0.495158447761038</v>
      </c>
      <c r="C5" s="44" t="s">
        <v>97</v>
      </c>
      <c r="D5" s="46" t="n">
        <f aca="false">B5-SUMPRODUCT(R12:R100,S12:S100)/SUM(S12:S100)/100</f>
        <v>0.417547783016786</v>
      </c>
      <c r="E5" s="44" t="s">
        <v>98</v>
      </c>
      <c r="F5" s="47" t="n">
        <f aca="false">'Scenario &amp; Comparison'!$C$7</f>
        <v>1</v>
      </c>
    </row>
    <row r="6" customFormat="false" ht="15" hidden="false" customHeight="false" outlineLevel="0" collapsed="false">
      <c r="A6" s="4" t="s">
        <v>99</v>
      </c>
      <c r="B6" s="4"/>
      <c r="C6" s="4"/>
      <c r="D6" s="4"/>
      <c r="E6" s="4"/>
      <c r="F6" s="4"/>
      <c r="G6" s="4"/>
      <c r="H6" s="4"/>
      <c r="I6" s="4"/>
      <c r="J6" s="4"/>
      <c r="K6" s="4"/>
      <c r="L6" s="4"/>
      <c r="M6" s="4"/>
      <c r="N6" s="4"/>
      <c r="O6" s="4"/>
      <c r="P6" s="4"/>
    </row>
    <row r="7" customFormat="false" ht="45" hidden="false" customHeight="true" outlineLevel="0" collapsed="false">
      <c r="A7" s="8" t="s">
        <v>100</v>
      </c>
      <c r="B7" s="8" t="s">
        <v>101</v>
      </c>
      <c r="C7" s="8" t="s">
        <v>102</v>
      </c>
      <c r="D7" s="8" t="s">
        <v>35</v>
      </c>
      <c r="E7" s="8" t="s">
        <v>36</v>
      </c>
      <c r="F7" s="8" t="s">
        <v>37</v>
      </c>
      <c r="G7" s="8" t="s">
        <v>38</v>
      </c>
      <c r="H7" s="8" t="s">
        <v>103</v>
      </c>
      <c r="I7" s="8" t="s">
        <v>104</v>
      </c>
      <c r="J7" s="8" t="s">
        <v>105</v>
      </c>
      <c r="K7" s="8" t="s">
        <v>106</v>
      </c>
      <c r="L7" s="8" t="s">
        <v>107</v>
      </c>
      <c r="M7" s="8" t="s">
        <v>108</v>
      </c>
      <c r="N7" s="8" t="s">
        <v>109</v>
      </c>
      <c r="O7" s="8" t="s">
        <v>110</v>
      </c>
      <c r="P7" s="8" t="s">
        <v>111</v>
      </c>
    </row>
    <row r="8" customFormat="false" ht="15" hidden="false" customHeight="false" outlineLevel="0" collapsed="false">
      <c r="A8" s="20" t="s">
        <v>112</v>
      </c>
      <c r="B8" s="20" t="s">
        <v>113</v>
      </c>
      <c r="C8" s="20"/>
      <c r="D8" s="48" t="n">
        <f aca="false">SUM(D12:D100)</f>
        <v>151580</v>
      </c>
      <c r="E8" s="48" t="n">
        <f aca="false">SUM(E12:E100)</f>
        <v>154549</v>
      </c>
      <c r="F8" s="48" t="n">
        <f aca="false">D8+E8</f>
        <v>306129</v>
      </c>
      <c r="G8" s="49" t="n">
        <f aca="false">IF(F8=0,"",D8/F8)</f>
        <v>0.495150737107559</v>
      </c>
      <c r="H8" s="49" t="n">
        <f aca="false">IF(F8=0,"",E8/F8)</f>
        <v>0.504849262892441</v>
      </c>
      <c r="I8" s="20" t="s">
        <v>114</v>
      </c>
      <c r="J8" s="50" t="n">
        <v>0</v>
      </c>
      <c r="K8" s="50" t="n">
        <v>1.81112011827341</v>
      </c>
      <c r="L8" s="50" t="n">
        <f aca="false">SQRT(J8^2+K8^2)</f>
        <v>1.81112011827341</v>
      </c>
      <c r="M8" s="49" t="n">
        <f aca="false">G8-1.96*L8/100</f>
        <v>0.4596527827894</v>
      </c>
      <c r="N8" s="49" t="n">
        <f aca="false">G8+1.96*L8/100</f>
        <v>0.530648691425718</v>
      </c>
      <c r="O8" s="48" t="n">
        <f aca="false">ROUND(F8*0.04363,0)</f>
        <v>13356</v>
      </c>
      <c r="P8" s="48" t="n">
        <f aca="false">ROUND(SQRT((F8*L8/100)^2+(G8*O8)^2),0)</f>
        <v>8630</v>
      </c>
    </row>
    <row r="9" customFormat="false" ht="15" hidden="false" customHeight="false" outlineLevel="0" collapsed="false">
      <c r="A9" s="13" t="s">
        <v>115</v>
      </c>
      <c r="B9" s="13"/>
      <c r="C9" s="13"/>
      <c r="D9" s="13"/>
      <c r="E9" s="13"/>
      <c r="F9" s="13"/>
      <c r="G9" s="13"/>
      <c r="H9" s="13"/>
      <c r="I9" s="13"/>
      <c r="J9" s="13"/>
      <c r="K9" s="13"/>
      <c r="L9" s="13"/>
      <c r="M9" s="13"/>
      <c r="N9" s="13"/>
      <c r="O9" s="13"/>
      <c r="P9" s="13"/>
    </row>
    <row r="10" customFormat="false" ht="15" hidden="false" customHeight="false" outlineLevel="0" collapsed="false">
      <c r="A10" s="4" t="s">
        <v>116</v>
      </c>
      <c r="B10" s="4"/>
      <c r="C10" s="4"/>
      <c r="D10" s="4"/>
      <c r="E10" s="4"/>
      <c r="F10" s="4"/>
      <c r="G10" s="4"/>
      <c r="H10" s="4"/>
      <c r="I10" s="4"/>
      <c r="J10" s="4"/>
      <c r="K10" s="4"/>
      <c r="L10" s="4"/>
      <c r="M10" s="4"/>
      <c r="N10" s="4"/>
      <c r="O10" s="4"/>
      <c r="P10" s="4"/>
      <c r="R10" s="51" t="s">
        <v>117</v>
      </c>
      <c r="S10" s="52"/>
      <c r="T10" s="52"/>
      <c r="U10" s="52"/>
      <c r="V10" s="52"/>
      <c r="W10" s="52"/>
      <c r="X10" s="52"/>
      <c r="Y10" s="52"/>
    </row>
    <row r="11" customFormat="false" ht="31.5" hidden="false" customHeight="true" outlineLevel="0" collapsed="false">
      <c r="A11" s="8" t="s">
        <v>77</v>
      </c>
      <c r="B11" s="8" t="s">
        <v>78</v>
      </c>
      <c r="C11" s="8" t="s">
        <v>79</v>
      </c>
      <c r="D11" s="8" t="s">
        <v>35</v>
      </c>
      <c r="E11" s="8" t="s">
        <v>36</v>
      </c>
      <c r="F11" s="8" t="s">
        <v>37</v>
      </c>
      <c r="G11" s="8" t="s">
        <v>38</v>
      </c>
      <c r="H11" s="8" t="s">
        <v>103</v>
      </c>
      <c r="I11" s="8" t="s">
        <v>118</v>
      </c>
      <c r="J11" s="8" t="s">
        <v>105</v>
      </c>
      <c r="K11" s="8" t="s">
        <v>106</v>
      </c>
      <c r="L11" s="8" t="s">
        <v>107</v>
      </c>
      <c r="M11" s="8" t="s">
        <v>108</v>
      </c>
      <c r="N11" s="8" t="s">
        <v>109</v>
      </c>
      <c r="O11" s="8" t="s">
        <v>110</v>
      </c>
      <c r="P11" s="8" t="s">
        <v>111</v>
      </c>
      <c r="R11" s="53" t="s">
        <v>119</v>
      </c>
      <c r="S11" s="53" t="s">
        <v>120</v>
      </c>
      <c r="T11" s="53" t="s">
        <v>121</v>
      </c>
      <c r="U11" s="53" t="s">
        <v>122</v>
      </c>
      <c r="V11" s="53" t="s">
        <v>123</v>
      </c>
      <c r="W11" s="53" t="s">
        <v>124</v>
      </c>
      <c r="X11" s="53" t="s">
        <v>125</v>
      </c>
      <c r="Y11" s="53" t="s">
        <v>126</v>
      </c>
    </row>
    <row r="12" customFormat="false" ht="15" hidden="false" customHeight="false" outlineLevel="0" collapsed="false">
      <c r="A12" s="32" t="s">
        <v>127</v>
      </c>
      <c r="B12" s="32" t="s">
        <v>128</v>
      </c>
      <c r="C12" s="32" t="s">
        <v>129</v>
      </c>
      <c r="D12" s="54" t="n">
        <f aca="false">ROUND(S12*T12,0)</f>
        <v>137</v>
      </c>
      <c r="E12" s="54" t="n">
        <f aca="false">ROUND(S12,0)-D12</f>
        <v>227</v>
      </c>
      <c r="F12" s="54" t="n">
        <f aca="false">IF(COUNTA(D12:E12)=0,"",SUM(D12:E12))</f>
        <v>364</v>
      </c>
      <c r="G12" s="55" t="n">
        <f aca="false">IF(OR(F12="",F12=0),"",D12/F12)</f>
        <v>0.376373626373626</v>
      </c>
      <c r="H12" s="55" t="n">
        <f aca="false">IF(OR(F12="",F12=0),"",E12/F12)</f>
        <v>0.623626373626374</v>
      </c>
      <c r="I12" s="32" t="s">
        <v>130</v>
      </c>
      <c r="J12" s="36" t="n">
        <v>3.01271836260465</v>
      </c>
      <c r="K12" s="36" t="n">
        <f aca="false">$K$8</f>
        <v>1.81112011827341</v>
      </c>
      <c r="L12" s="36" t="n">
        <f aca="false">SQRT(J12^2+K12^2)</f>
        <v>3.51519956975275</v>
      </c>
      <c r="M12" s="55" t="n">
        <f aca="false">IF(G12="","",MAX(0,G12-1.96*L12/100))</f>
        <v>0.307475714806472</v>
      </c>
      <c r="N12" s="55" t="n">
        <f aca="false">IF(G12="","",MIN(1,G12+1.96*L12/100))</f>
        <v>0.44527153794078</v>
      </c>
      <c r="O12" s="54" t="n">
        <f aca="false">ROUND(S12*W12,0)</f>
        <v>28</v>
      </c>
      <c r="P12" s="54" t="n">
        <f aca="false">IF(F12="","",ROUND(SQRT((F12*L12/100)^2+(G12*O12)^2),0))</f>
        <v>17</v>
      </c>
      <c r="R12" s="56" t="n">
        <v>-4.26021352779444</v>
      </c>
      <c r="S12" s="57" t="n">
        <f aca="false">U12*V12*$F$5</f>
        <v>364.490963855422</v>
      </c>
      <c r="T12" s="58" t="n">
        <f aca="false">MAX(0,MIN(1,R12/100+$D$5))</f>
        <v>0.374945647738842</v>
      </c>
      <c r="U12" s="58" t="n">
        <v>0.581325301204819</v>
      </c>
      <c r="V12" s="57" t="n">
        <v>627</v>
      </c>
      <c r="W12" s="58" t="n">
        <v>0.0777040344688333</v>
      </c>
      <c r="X12" s="59" t="s">
        <v>131</v>
      </c>
      <c r="Y12" s="59" t="s">
        <v>132</v>
      </c>
    </row>
    <row r="13" customFormat="false" ht="15" hidden="false" customHeight="false" outlineLevel="0" collapsed="false">
      <c r="A13" s="32" t="s">
        <v>127</v>
      </c>
      <c r="B13" s="32" t="s">
        <v>133</v>
      </c>
      <c r="C13" s="32" t="s">
        <v>129</v>
      </c>
      <c r="D13" s="54" t="n">
        <f aca="false">ROUND(S13*T13,0)</f>
        <v>93</v>
      </c>
      <c r="E13" s="54" t="n">
        <f aca="false">ROUND(S13,0)-D13</f>
        <v>237</v>
      </c>
      <c r="F13" s="54" t="n">
        <f aca="false">IF(COUNTA(D13:E13)=0,"",SUM(D13:E13))</f>
        <v>330</v>
      </c>
      <c r="G13" s="55" t="n">
        <f aca="false">IF(OR(F13="",F13=0),"",D13/F13)</f>
        <v>0.281818181818182</v>
      </c>
      <c r="H13" s="55" t="n">
        <f aca="false">IF(OR(F13="",F13=0),"",E13/F13)</f>
        <v>0.718181818181818</v>
      </c>
      <c r="I13" s="32" t="s">
        <v>130</v>
      </c>
      <c r="J13" s="36" t="n">
        <v>3.01271836260465</v>
      </c>
      <c r="K13" s="36" t="n">
        <f aca="false">$K$8</f>
        <v>1.81112011827341</v>
      </c>
      <c r="L13" s="36" t="n">
        <f aca="false">SQRT(J13^2+K13^2)</f>
        <v>3.51519956975275</v>
      </c>
      <c r="M13" s="55" t="n">
        <f aca="false">IF(G13="","",MAX(0,G13-1.96*L13/100))</f>
        <v>0.212920270251028</v>
      </c>
      <c r="N13" s="55" t="n">
        <f aca="false">IF(G13="","",MIN(1,G13+1.96*L13/100))</f>
        <v>0.350716093385336</v>
      </c>
      <c r="O13" s="54" t="n">
        <f aca="false">ROUND(S13*W13,0)</f>
        <v>26</v>
      </c>
      <c r="P13" s="54" t="n">
        <f aca="false">IF(F13="","",ROUND(SQRT((F13*L13/100)^2+(G13*O13)^2),0))</f>
        <v>14</v>
      </c>
      <c r="R13" s="56" t="n">
        <v>-13.4644403301731</v>
      </c>
      <c r="S13" s="57" t="n">
        <f aca="false">U13*V13*$F$5</f>
        <v>330.130136986301</v>
      </c>
      <c r="T13" s="58" t="n">
        <f aca="false">MAX(0,MIN(1,R13/100+$D$5))</f>
        <v>0.282903379715055</v>
      </c>
      <c r="U13" s="58" t="n">
        <v>0.537671232876712</v>
      </c>
      <c r="V13" s="57" t="n">
        <v>614</v>
      </c>
      <c r="W13" s="58" t="n">
        <v>0.0777040344688333</v>
      </c>
      <c r="X13" s="59" t="s">
        <v>131</v>
      </c>
      <c r="Y13" s="59" t="s">
        <v>132</v>
      </c>
    </row>
    <row r="14" customFormat="false" ht="15" hidden="false" customHeight="false" outlineLevel="0" collapsed="false">
      <c r="A14" s="32" t="s">
        <v>127</v>
      </c>
      <c r="B14" s="32" t="s">
        <v>134</v>
      </c>
      <c r="C14" s="32" t="s">
        <v>129</v>
      </c>
      <c r="D14" s="54" t="n">
        <f aca="false">ROUND(S14*T14,0)</f>
        <v>115</v>
      </c>
      <c r="E14" s="54" t="n">
        <f aca="false">ROUND(S14,0)-D14</f>
        <v>241</v>
      </c>
      <c r="F14" s="54" t="n">
        <f aca="false">IF(COUNTA(D14:E14)=0,"",SUM(D14:E14))</f>
        <v>356</v>
      </c>
      <c r="G14" s="55" t="n">
        <f aca="false">IF(OR(F14="",F14=0),"",D14/F14)</f>
        <v>0.323033707865169</v>
      </c>
      <c r="H14" s="55" t="n">
        <f aca="false">IF(OR(F14="",F14=0),"",E14/F14)</f>
        <v>0.676966292134832</v>
      </c>
      <c r="I14" s="32" t="s">
        <v>130</v>
      </c>
      <c r="J14" s="36" t="n">
        <v>3.01271836260465</v>
      </c>
      <c r="K14" s="36" t="n">
        <f aca="false">$K$8</f>
        <v>1.81112011827341</v>
      </c>
      <c r="L14" s="36" t="n">
        <f aca="false">SQRT(J14^2+K14^2)</f>
        <v>3.51519956975275</v>
      </c>
      <c r="M14" s="55" t="n">
        <f aca="false">IF(G14="","",MAX(0,G14-1.96*L14/100))</f>
        <v>0.254135796298015</v>
      </c>
      <c r="N14" s="55" t="n">
        <f aca="false">IF(G14="","",MIN(1,G14+1.96*L14/100))</f>
        <v>0.391931619432323</v>
      </c>
      <c r="O14" s="54" t="n">
        <f aca="false">ROUND(S14*W14,0)</f>
        <v>28</v>
      </c>
      <c r="P14" s="54" t="n">
        <f aca="false">IF(F14="","",ROUND(SQRT((F14*L14/100)^2+(G14*O14)^2),0))</f>
        <v>15</v>
      </c>
      <c r="R14" s="56" t="n">
        <v>-9.42592230307579</v>
      </c>
      <c r="S14" s="57" t="n">
        <f aca="false">U14*V14*$F$5</f>
        <v>355.63436928702</v>
      </c>
      <c r="T14" s="58" t="n">
        <f aca="false">MAX(0,MIN(1,R14/100+$D$5))</f>
        <v>0.323288559986028</v>
      </c>
      <c r="U14" s="58" t="n">
        <v>0.636197440585009</v>
      </c>
      <c r="V14" s="57" t="n">
        <v>559</v>
      </c>
      <c r="W14" s="58" t="n">
        <v>0.0777040344688333</v>
      </c>
      <c r="X14" s="59" t="s">
        <v>131</v>
      </c>
      <c r="Y14" s="59" t="s">
        <v>132</v>
      </c>
    </row>
    <row r="15" customFormat="false" ht="15" hidden="false" customHeight="false" outlineLevel="0" collapsed="false">
      <c r="A15" s="32" t="s">
        <v>127</v>
      </c>
      <c r="B15" s="32" t="s">
        <v>135</v>
      </c>
      <c r="C15" s="32" t="s">
        <v>129</v>
      </c>
      <c r="D15" s="54" t="n">
        <f aca="false">ROUND(S15*T15,0)</f>
        <v>355</v>
      </c>
      <c r="E15" s="54" t="n">
        <f aca="false">ROUND(S15,0)-D15</f>
        <v>980</v>
      </c>
      <c r="F15" s="54" t="n">
        <f aca="false">IF(COUNTA(D15:E15)=0,"",SUM(D15:E15))</f>
        <v>1335</v>
      </c>
      <c r="G15" s="55" t="n">
        <f aca="false">IF(OR(F15="",F15=0),"",D15/F15)</f>
        <v>0.265917602996255</v>
      </c>
      <c r="H15" s="55" t="n">
        <f aca="false">IF(OR(F15="",F15=0),"",E15/F15)</f>
        <v>0.734082397003745</v>
      </c>
      <c r="I15" s="32" t="s">
        <v>130</v>
      </c>
      <c r="J15" s="36" t="n">
        <v>1.97153343103611</v>
      </c>
      <c r="K15" s="36" t="n">
        <f aca="false">$K$8</f>
        <v>1.81112011827341</v>
      </c>
      <c r="L15" s="36" t="n">
        <f aca="false">SQRT(J15^2+K15^2)</f>
        <v>2.67714402909289</v>
      </c>
      <c r="M15" s="55" t="n">
        <f aca="false">IF(G15="","",MAX(0,G15-1.96*L15/100))</f>
        <v>0.213445580026034</v>
      </c>
      <c r="N15" s="55" t="n">
        <f aca="false">IF(G15="","",MIN(1,G15+1.96*L15/100))</f>
        <v>0.318389625966475</v>
      </c>
      <c r="O15" s="54" t="n">
        <f aca="false">ROUND(S15*W15,0)</f>
        <v>81</v>
      </c>
      <c r="P15" s="54" t="n">
        <f aca="false">IF(F15="","",ROUND(SQRT((F15*L15/100)^2+(G15*O15)^2),0))</f>
        <v>42</v>
      </c>
      <c r="R15" s="56" t="n">
        <v>-15.1856490173813</v>
      </c>
      <c r="S15" s="57" t="n">
        <f aca="false">U15*V15*$F$5</f>
        <v>1334.82101558572</v>
      </c>
      <c r="T15" s="58" t="n">
        <f aca="false">MAX(0,MIN(1,R15/100+$D$5))</f>
        <v>0.265691292842973</v>
      </c>
      <c r="U15" s="58" t="n">
        <v>0.652086475615887</v>
      </c>
      <c r="V15" s="57" t="n">
        <v>2047</v>
      </c>
      <c r="W15" s="58" t="n">
        <v>0.0606122259008943</v>
      </c>
      <c r="X15" s="59" t="s">
        <v>136</v>
      </c>
      <c r="Y15" s="59" t="s">
        <v>132</v>
      </c>
    </row>
    <row r="16" customFormat="false" ht="15" hidden="false" customHeight="false" outlineLevel="0" collapsed="false">
      <c r="A16" s="32" t="s">
        <v>127</v>
      </c>
      <c r="B16" s="32" t="s">
        <v>137</v>
      </c>
      <c r="C16" s="32" t="s">
        <v>129</v>
      </c>
      <c r="D16" s="54" t="n">
        <f aca="false">ROUND(S16*T16,0)</f>
        <v>32</v>
      </c>
      <c r="E16" s="54" t="n">
        <f aca="false">ROUND(S16,0)-D16</f>
        <v>61</v>
      </c>
      <c r="F16" s="54" t="n">
        <f aca="false">IF(COUNTA(D16:E16)=0,"",SUM(D16:E16))</f>
        <v>93</v>
      </c>
      <c r="G16" s="55" t="n">
        <f aca="false">IF(OR(F16="",F16=0),"",D16/F16)</f>
        <v>0.344086021505376</v>
      </c>
      <c r="H16" s="55" t="n">
        <f aca="false">IF(OR(F16="",F16=0),"",E16/F16)</f>
        <v>0.655913978494624</v>
      </c>
      <c r="I16" s="32" t="s">
        <v>130</v>
      </c>
      <c r="J16" s="36" t="n">
        <v>3.01271836260465</v>
      </c>
      <c r="K16" s="36" t="n">
        <f aca="false">$K$8</f>
        <v>1.81112011827341</v>
      </c>
      <c r="L16" s="36" t="n">
        <f aca="false">SQRT(J16^2+K16^2)</f>
        <v>3.51519956975275</v>
      </c>
      <c r="M16" s="55" t="n">
        <f aca="false">IF(G16="","",MAX(0,G16-1.96*L16/100))</f>
        <v>0.275188109938222</v>
      </c>
      <c r="N16" s="55" t="n">
        <f aca="false">IF(G16="","",MIN(1,G16+1.96*L16/100))</f>
        <v>0.41298393307253</v>
      </c>
      <c r="O16" s="54" t="n">
        <f aca="false">ROUND(S16*W16,0)</f>
        <v>7</v>
      </c>
      <c r="P16" s="54" t="n">
        <f aca="false">IF(F16="","",ROUND(SQRT((F16*L16/100)^2+(G16*O16)^2),0))</f>
        <v>4</v>
      </c>
      <c r="R16" s="56" t="n">
        <v>-7.66157949865477</v>
      </c>
      <c r="S16" s="57" t="n">
        <f aca="false">U16*V16*$F$5</f>
        <v>93.4268292682927</v>
      </c>
      <c r="T16" s="58" t="n">
        <f aca="false">MAX(0,MIN(1,R16/100+$D$5))</f>
        <v>0.340931988030238</v>
      </c>
      <c r="U16" s="58" t="n">
        <v>0.573170731707317</v>
      </c>
      <c r="V16" s="57" t="n">
        <v>163</v>
      </c>
      <c r="W16" s="58" t="n">
        <v>0.0777040344688333</v>
      </c>
      <c r="X16" s="59" t="s">
        <v>131</v>
      </c>
      <c r="Y16" s="59" t="s">
        <v>132</v>
      </c>
    </row>
    <row r="17" customFormat="false" ht="15" hidden="false" customHeight="false" outlineLevel="0" collapsed="false">
      <c r="A17" s="32" t="s">
        <v>127</v>
      </c>
      <c r="B17" s="32" t="s">
        <v>138</v>
      </c>
      <c r="C17" s="32" t="s">
        <v>129</v>
      </c>
      <c r="D17" s="54" t="n">
        <f aca="false">ROUND(S17*T17,0)</f>
        <v>548</v>
      </c>
      <c r="E17" s="54" t="n">
        <f aca="false">ROUND(S17,0)-D17</f>
        <v>1434</v>
      </c>
      <c r="F17" s="54" t="n">
        <f aca="false">IF(COUNTA(D17:E17)=0,"",SUM(D17:E17))</f>
        <v>1982</v>
      </c>
      <c r="G17" s="55" t="n">
        <f aca="false">IF(OR(F17="",F17=0),"",D17/F17)</f>
        <v>0.27648839556004</v>
      </c>
      <c r="H17" s="55" t="n">
        <f aca="false">IF(OR(F17="",F17=0),"",E17/F17)</f>
        <v>0.72351160443996</v>
      </c>
      <c r="I17" s="32" t="s">
        <v>130</v>
      </c>
      <c r="J17" s="36" t="n">
        <v>1.97153343103611</v>
      </c>
      <c r="K17" s="36" t="n">
        <f aca="false">$K$8</f>
        <v>1.81112011827341</v>
      </c>
      <c r="L17" s="36" t="n">
        <f aca="false">SQRT(J17^2+K17^2)</f>
        <v>2.67714402909289</v>
      </c>
      <c r="M17" s="55" t="n">
        <f aca="false">IF(G17="","",MAX(0,G17-1.96*L17/100))</f>
        <v>0.22401637258982</v>
      </c>
      <c r="N17" s="55" t="n">
        <f aca="false">IF(G17="","",MIN(1,G17+1.96*L17/100))</f>
        <v>0.328960418530261</v>
      </c>
      <c r="O17" s="54" t="n">
        <f aca="false">ROUND(S17*W17,0)</f>
        <v>120</v>
      </c>
      <c r="P17" s="54" t="n">
        <f aca="false">IF(F17="","",ROUND(SQRT((F17*L17/100)^2+(G17*O17)^2),0))</f>
        <v>63</v>
      </c>
      <c r="R17" s="56" t="n">
        <v>-14.1138514839178</v>
      </c>
      <c r="S17" s="57" t="n">
        <f aca="false">U17*V17*$F$5</f>
        <v>1982.00903517264</v>
      </c>
      <c r="T17" s="58" t="n">
        <f aca="false">MAX(0,MIN(1,R17/100+$D$5))</f>
        <v>0.276409268177608</v>
      </c>
      <c r="U17" s="58" t="n">
        <v>0.631816715069377</v>
      </c>
      <c r="V17" s="57" t="n">
        <v>3137</v>
      </c>
      <c r="W17" s="58" t="n">
        <v>0.0606122259008943</v>
      </c>
      <c r="X17" s="59" t="s">
        <v>136</v>
      </c>
      <c r="Y17" s="59" t="s">
        <v>132</v>
      </c>
    </row>
    <row r="18" customFormat="false" ht="15" hidden="false" customHeight="false" outlineLevel="0" collapsed="false">
      <c r="A18" s="32" t="s">
        <v>127</v>
      </c>
      <c r="B18" s="32" t="s">
        <v>139</v>
      </c>
      <c r="C18" s="32" t="s">
        <v>129</v>
      </c>
      <c r="D18" s="54" t="n">
        <f aca="false">ROUND(S18*T18,0)</f>
        <v>912</v>
      </c>
      <c r="E18" s="54" t="n">
        <f aca="false">ROUND(S18,0)-D18</f>
        <v>1196</v>
      </c>
      <c r="F18" s="54" t="n">
        <f aca="false">IF(COUNTA(D18:E18)=0,"",SUM(D18:E18))</f>
        <v>2108</v>
      </c>
      <c r="G18" s="55" t="n">
        <f aca="false">IF(OR(F18="",F18=0),"",D18/F18)</f>
        <v>0.432637571157495</v>
      </c>
      <c r="H18" s="55" t="n">
        <f aca="false">IF(OR(F18="",F18=0),"",E18/F18)</f>
        <v>0.567362428842505</v>
      </c>
      <c r="I18" s="32" t="s">
        <v>130</v>
      </c>
      <c r="J18" s="36" t="n">
        <v>1.97153343103611</v>
      </c>
      <c r="K18" s="36" t="n">
        <f aca="false">$K$8</f>
        <v>1.81112011827341</v>
      </c>
      <c r="L18" s="36" t="n">
        <f aca="false">SQRT(J18^2+K18^2)</f>
        <v>2.67714402909289</v>
      </c>
      <c r="M18" s="55" t="n">
        <f aca="false">IF(G18="","",MAX(0,G18-1.96*L18/100))</f>
        <v>0.380165548187275</v>
      </c>
      <c r="N18" s="55" t="n">
        <f aca="false">IF(G18="","",MIN(1,G18+1.96*L18/100))</f>
        <v>0.485109594127716</v>
      </c>
      <c r="O18" s="54" t="n">
        <f aca="false">ROUND(S18*W18,0)</f>
        <v>128</v>
      </c>
      <c r="P18" s="54" t="n">
        <f aca="false">IF(F18="","",ROUND(SQRT((F18*L18/100)^2+(G18*O18)^2),0))</f>
        <v>79</v>
      </c>
      <c r="R18" s="56" t="n">
        <v>1.52015082844306</v>
      </c>
      <c r="S18" s="57" t="n">
        <f aca="false">U18*V18*$F$5</f>
        <v>2107.72563176895</v>
      </c>
      <c r="T18" s="58" t="n">
        <f aca="false">MAX(0,MIN(1,R18/100+$D$5))</f>
        <v>0.432749291301217</v>
      </c>
      <c r="U18" s="58" t="n">
        <v>0.642599277978339</v>
      </c>
      <c r="V18" s="57" t="n">
        <v>3280</v>
      </c>
      <c r="W18" s="58" t="n">
        <v>0.0606122259008943</v>
      </c>
      <c r="X18" s="59" t="s">
        <v>136</v>
      </c>
      <c r="Y18" s="59" t="s">
        <v>132</v>
      </c>
    </row>
    <row r="19" customFormat="false" ht="15" hidden="false" customHeight="false" outlineLevel="0" collapsed="false">
      <c r="A19" s="32" t="s">
        <v>127</v>
      </c>
      <c r="B19" s="32" t="s">
        <v>140</v>
      </c>
      <c r="C19" s="32" t="s">
        <v>129</v>
      </c>
      <c r="D19" s="54" t="n">
        <f aca="false">ROUND(S19*T19,0)</f>
        <v>267</v>
      </c>
      <c r="E19" s="54" t="n">
        <f aca="false">ROUND(S19,0)-D19</f>
        <v>538</v>
      </c>
      <c r="F19" s="54" t="n">
        <f aca="false">IF(COUNTA(D19:E19)=0,"",SUM(D19:E19))</f>
        <v>805</v>
      </c>
      <c r="G19" s="55" t="n">
        <f aca="false">IF(OR(F19="",F19=0),"",D19/F19)</f>
        <v>0.33167701863354</v>
      </c>
      <c r="H19" s="55" t="n">
        <f aca="false">IF(OR(F19="",F19=0),"",E19/F19)</f>
        <v>0.66832298136646</v>
      </c>
      <c r="I19" s="32" t="s">
        <v>130</v>
      </c>
      <c r="J19" s="36" t="n">
        <v>3.01271836260465</v>
      </c>
      <c r="K19" s="36" t="n">
        <f aca="false">$K$8</f>
        <v>1.81112011827341</v>
      </c>
      <c r="L19" s="36" t="n">
        <f aca="false">SQRT(J19^2+K19^2)</f>
        <v>3.51519956975275</v>
      </c>
      <c r="M19" s="55" t="n">
        <f aca="false">IF(G19="","",MAX(0,G19-1.96*L19/100))</f>
        <v>0.262779107066386</v>
      </c>
      <c r="N19" s="55" t="n">
        <f aca="false">IF(G19="","",MIN(1,G19+1.96*L19/100))</f>
        <v>0.400574930200694</v>
      </c>
      <c r="O19" s="54" t="n">
        <f aca="false">ROUND(S19*W19,0)</f>
        <v>63</v>
      </c>
      <c r="P19" s="54" t="n">
        <f aca="false">IF(F19="","",ROUND(SQRT((F19*L19/100)^2+(G19*O19)^2),0))</f>
        <v>35</v>
      </c>
      <c r="R19" s="56" t="n">
        <v>-8.5352193952923</v>
      </c>
      <c r="S19" s="57" t="n">
        <f aca="false">U19*V19*$F$5</f>
        <v>804.850331125828</v>
      </c>
      <c r="T19" s="58" t="n">
        <f aca="false">MAX(0,MIN(1,R19/100+$D$5))</f>
        <v>0.332195589063863</v>
      </c>
      <c r="U19" s="58" t="n">
        <v>0.554304635761589</v>
      </c>
      <c r="V19" s="57" t="n">
        <v>1452</v>
      </c>
      <c r="W19" s="58" t="n">
        <v>0.0777040344688333</v>
      </c>
      <c r="X19" s="59" t="s">
        <v>131</v>
      </c>
      <c r="Y19" s="59" t="s">
        <v>132</v>
      </c>
    </row>
    <row r="20" customFormat="false" ht="15" hidden="false" customHeight="false" outlineLevel="0" collapsed="false">
      <c r="A20" s="32" t="s">
        <v>127</v>
      </c>
      <c r="B20" s="32" t="s">
        <v>141</v>
      </c>
      <c r="C20" s="32" t="s">
        <v>129</v>
      </c>
      <c r="D20" s="54" t="n">
        <f aca="false">ROUND(S20*T20,0)</f>
        <v>446</v>
      </c>
      <c r="E20" s="54" t="n">
        <f aca="false">ROUND(S20,0)-D20</f>
        <v>637</v>
      </c>
      <c r="F20" s="54" t="n">
        <f aca="false">IF(COUNTA(D20:E20)=0,"",SUM(D20:E20))</f>
        <v>1083</v>
      </c>
      <c r="G20" s="55" t="n">
        <f aca="false">IF(OR(F20="",F20=0),"",D20/F20)</f>
        <v>0.411819021237304</v>
      </c>
      <c r="H20" s="55" t="n">
        <f aca="false">IF(OR(F20="",F20=0),"",E20/F20)</f>
        <v>0.588180978762696</v>
      </c>
      <c r="I20" s="32" t="s">
        <v>130</v>
      </c>
      <c r="J20" s="36" t="n">
        <v>3.01271836260465</v>
      </c>
      <c r="K20" s="36" t="n">
        <f aca="false">$K$8</f>
        <v>1.81112011827341</v>
      </c>
      <c r="L20" s="36" t="n">
        <f aca="false">SQRT(J20^2+K20^2)</f>
        <v>3.51519956975275</v>
      </c>
      <c r="M20" s="55" t="n">
        <f aca="false">IF(G20="","",MAX(0,G20-1.96*L20/100))</f>
        <v>0.34292110967015</v>
      </c>
      <c r="N20" s="55" t="n">
        <f aca="false">IF(G20="","",MIN(1,G20+1.96*L20/100))</f>
        <v>0.480716932804458</v>
      </c>
      <c r="O20" s="54" t="n">
        <f aca="false">ROUND(S20*W20,0)</f>
        <v>84</v>
      </c>
      <c r="P20" s="54" t="n">
        <f aca="false">IF(F20="","",ROUND(SQRT((F20*L20/100)^2+(G20*O20)^2),0))</f>
        <v>51</v>
      </c>
      <c r="R20" s="56" t="n">
        <v>-0.624882699843211</v>
      </c>
      <c r="S20" s="57" t="n">
        <f aca="false">U20*V20*$F$5</f>
        <v>1083.4829443447</v>
      </c>
      <c r="T20" s="58" t="n">
        <f aca="false">MAX(0,MIN(1,R20/100+$D$5))</f>
        <v>0.411298956018354</v>
      </c>
      <c r="U20" s="58" t="n">
        <v>0.448833034111311</v>
      </c>
      <c r="V20" s="57" t="n">
        <v>2414</v>
      </c>
      <c r="W20" s="58" t="n">
        <v>0.0777040344688333</v>
      </c>
      <c r="X20" s="59" t="s">
        <v>131</v>
      </c>
      <c r="Y20" s="59" t="s">
        <v>132</v>
      </c>
    </row>
    <row r="21" customFormat="false" ht="15" hidden="false" customHeight="false" outlineLevel="0" collapsed="false">
      <c r="A21" s="32" t="s">
        <v>127</v>
      </c>
      <c r="B21" s="32" t="s">
        <v>142</v>
      </c>
      <c r="C21" s="32" t="s">
        <v>129</v>
      </c>
      <c r="D21" s="54" t="n">
        <f aca="false">ROUND(S21*T21,0)</f>
        <v>31</v>
      </c>
      <c r="E21" s="54" t="n">
        <f aca="false">ROUND(S21,0)-D21</f>
        <v>87</v>
      </c>
      <c r="F21" s="54" t="n">
        <f aca="false">IF(COUNTA(D21:E21)=0,"",SUM(D21:E21))</f>
        <v>118</v>
      </c>
      <c r="G21" s="55" t="n">
        <f aca="false">IF(OR(F21="",F21=0),"",D21/F21)</f>
        <v>0.26271186440678</v>
      </c>
      <c r="H21" s="55" t="n">
        <f aca="false">IF(OR(F21="",F21=0),"",E21/F21)</f>
        <v>0.73728813559322</v>
      </c>
      <c r="I21" s="32" t="s">
        <v>130</v>
      </c>
      <c r="J21" s="36" t="n">
        <v>3.01271836260465</v>
      </c>
      <c r="K21" s="36" t="n">
        <f aca="false">$K$8</f>
        <v>1.81112011827341</v>
      </c>
      <c r="L21" s="36" t="n">
        <f aca="false">SQRT(J21^2+K21^2)</f>
        <v>3.51519956975275</v>
      </c>
      <c r="M21" s="55" t="n">
        <f aca="false">IF(G21="","",MAX(0,G21-1.96*L21/100))</f>
        <v>0.193813952839626</v>
      </c>
      <c r="N21" s="55" t="n">
        <f aca="false">IF(G21="","",MIN(1,G21+1.96*L21/100))</f>
        <v>0.331609775973934</v>
      </c>
      <c r="O21" s="54" t="n">
        <f aca="false">ROUND(S21*W21,0)</f>
        <v>9</v>
      </c>
      <c r="P21" s="54" t="n">
        <f aca="false">IF(F21="","",ROUND(SQRT((F21*L21/100)^2+(G21*O21)^2),0))</f>
        <v>5</v>
      </c>
      <c r="R21" s="56" t="n">
        <v>-15.4251889059331</v>
      </c>
      <c r="S21" s="57" t="n">
        <f aca="false">U21*V21*$F$5</f>
        <v>118.285714285714</v>
      </c>
      <c r="T21" s="58" t="n">
        <f aca="false">MAX(0,MIN(1,R21/100+$D$5))</f>
        <v>0.263295893957455</v>
      </c>
      <c r="U21" s="58" t="n">
        <v>0.657142857142857</v>
      </c>
      <c r="V21" s="57" t="n">
        <v>180</v>
      </c>
      <c r="W21" s="58" t="n">
        <v>0.0777040344688333</v>
      </c>
      <c r="X21" s="59" t="s">
        <v>131</v>
      </c>
      <c r="Y21" s="59" t="s">
        <v>132</v>
      </c>
    </row>
    <row r="22" customFormat="false" ht="15" hidden="false" customHeight="false" outlineLevel="0" collapsed="false">
      <c r="A22" s="32" t="s">
        <v>127</v>
      </c>
      <c r="B22" s="32" t="s">
        <v>143</v>
      </c>
      <c r="C22" s="32" t="s">
        <v>129</v>
      </c>
      <c r="D22" s="54" t="n">
        <f aca="false">ROUND(S22*T22,0)</f>
        <v>45</v>
      </c>
      <c r="E22" s="54" t="n">
        <f aca="false">ROUND(S22,0)-D22</f>
        <v>192</v>
      </c>
      <c r="F22" s="54" t="n">
        <f aca="false">IF(COUNTA(D22:E22)=0,"",SUM(D22:E22))</f>
        <v>237</v>
      </c>
      <c r="G22" s="55" t="n">
        <f aca="false">IF(OR(F22="",F22=0),"",D22/F22)</f>
        <v>0.189873417721519</v>
      </c>
      <c r="H22" s="55" t="n">
        <f aca="false">IF(OR(F22="",F22=0),"",E22/F22)</f>
        <v>0.810126582278481</v>
      </c>
      <c r="I22" s="32" t="s">
        <v>130</v>
      </c>
      <c r="J22" s="36" t="n">
        <v>3.01271836260465</v>
      </c>
      <c r="K22" s="36" t="n">
        <f aca="false">$K$8</f>
        <v>1.81112011827341</v>
      </c>
      <c r="L22" s="36" t="n">
        <f aca="false">SQRT(J22^2+K22^2)</f>
        <v>3.51519956975275</v>
      </c>
      <c r="M22" s="55" t="n">
        <f aca="false">IF(G22="","",MAX(0,G22-1.96*L22/100))</f>
        <v>0.120975506154365</v>
      </c>
      <c r="N22" s="55" t="n">
        <f aca="false">IF(G22="","",MIN(1,G22+1.96*L22/100))</f>
        <v>0.258771329288673</v>
      </c>
      <c r="O22" s="54" t="n">
        <f aca="false">ROUND(S22*W22,0)</f>
        <v>18</v>
      </c>
      <c r="P22" s="54" t="n">
        <f aca="false">IF(F22="","",ROUND(SQRT((F22*L22/100)^2+(G22*O22)^2),0))</f>
        <v>9</v>
      </c>
      <c r="R22" s="56" t="n">
        <v>-22.7867937926016</v>
      </c>
      <c r="S22" s="57" t="n">
        <f aca="false">U22*V22*$F$5</f>
        <v>236.844827586207</v>
      </c>
      <c r="T22" s="58" t="n">
        <f aca="false">MAX(0,MIN(1,R22/100+$D$5))</f>
        <v>0.18967984509077</v>
      </c>
      <c r="U22" s="58" t="n">
        <v>0.692528735632184</v>
      </c>
      <c r="V22" s="57" t="n">
        <v>342</v>
      </c>
      <c r="W22" s="58" t="n">
        <v>0.0777040344688333</v>
      </c>
      <c r="X22" s="59" t="s">
        <v>131</v>
      </c>
      <c r="Y22" s="59" t="s">
        <v>132</v>
      </c>
    </row>
    <row r="23" customFormat="false" ht="15" hidden="false" customHeight="false" outlineLevel="0" collapsed="false">
      <c r="A23" s="32" t="s">
        <v>127</v>
      </c>
      <c r="B23" s="32" t="s">
        <v>144</v>
      </c>
      <c r="C23" s="32" t="s">
        <v>129</v>
      </c>
      <c r="D23" s="54" t="n">
        <f aca="false">ROUND(S23*T23,0)</f>
        <v>696</v>
      </c>
      <c r="E23" s="54" t="n">
        <f aca="false">ROUND(S23,0)-D23</f>
        <v>1058</v>
      </c>
      <c r="F23" s="54" t="n">
        <f aca="false">IF(COUNTA(D23:E23)=0,"",SUM(D23:E23))</f>
        <v>1754</v>
      </c>
      <c r="G23" s="55" t="n">
        <f aca="false">IF(OR(F23="",F23=0),"",D23/F23)</f>
        <v>0.396807297605473</v>
      </c>
      <c r="H23" s="55" t="n">
        <f aca="false">IF(OR(F23="",F23=0),"",E23/F23)</f>
        <v>0.603192702394527</v>
      </c>
      <c r="I23" s="32" t="s">
        <v>130</v>
      </c>
      <c r="J23" s="36" t="n">
        <v>1.97153343103611</v>
      </c>
      <c r="K23" s="36" t="n">
        <f aca="false">$K$8</f>
        <v>1.81112011827341</v>
      </c>
      <c r="L23" s="36" t="n">
        <f aca="false">SQRT(J23^2+K23^2)</f>
        <v>2.67714402909289</v>
      </c>
      <c r="M23" s="55" t="n">
        <f aca="false">IF(G23="","",MAX(0,G23-1.96*L23/100))</f>
        <v>0.344335274635253</v>
      </c>
      <c r="N23" s="55" t="n">
        <f aca="false">IF(G23="","",MIN(1,G23+1.96*L23/100))</f>
        <v>0.449279320575694</v>
      </c>
      <c r="O23" s="54" t="n">
        <f aca="false">ROUND(S23*W23,0)</f>
        <v>106</v>
      </c>
      <c r="P23" s="54" t="n">
        <f aca="false">IF(F23="","",ROUND(SQRT((F23*L23/100)^2+(G23*O23)^2),0))</f>
        <v>63</v>
      </c>
      <c r="R23" s="56" t="n">
        <v>-2.06644321125801</v>
      </c>
      <c r="S23" s="57" t="n">
        <f aca="false">U23*V23*$F$5</f>
        <v>1753.74077578051</v>
      </c>
      <c r="T23" s="58" t="n">
        <f aca="false">MAX(0,MIN(1,R23/100+$D$5))</f>
        <v>0.396883350904206</v>
      </c>
      <c r="U23" s="58" t="n">
        <v>0.525701671397036</v>
      </c>
      <c r="V23" s="57" t="n">
        <v>3336</v>
      </c>
      <c r="W23" s="58" t="n">
        <v>0.0606122259008943</v>
      </c>
      <c r="X23" s="59" t="s">
        <v>136</v>
      </c>
      <c r="Y23" s="59" t="s">
        <v>132</v>
      </c>
    </row>
    <row r="24" customFormat="false" ht="15" hidden="false" customHeight="false" outlineLevel="0" collapsed="false">
      <c r="A24" s="32" t="s">
        <v>127</v>
      </c>
      <c r="B24" s="32" t="s">
        <v>145</v>
      </c>
      <c r="C24" s="32" t="s">
        <v>129</v>
      </c>
      <c r="D24" s="54" t="n">
        <f aca="false">ROUND(S24*T24,0)</f>
        <v>389</v>
      </c>
      <c r="E24" s="54" t="n">
        <f aca="false">ROUND(S24,0)-D24</f>
        <v>1012</v>
      </c>
      <c r="F24" s="54" t="n">
        <f aca="false">IF(COUNTA(D24:E24)=0,"",SUM(D24:E24))</f>
        <v>1401</v>
      </c>
      <c r="G24" s="55" t="n">
        <f aca="false">IF(OR(F24="",F24=0),"",D24/F24)</f>
        <v>0.277658815132049</v>
      </c>
      <c r="H24" s="55" t="n">
        <f aca="false">IF(OR(F24="",F24=0),"",E24/F24)</f>
        <v>0.722341184867952</v>
      </c>
      <c r="I24" s="32" t="s">
        <v>130</v>
      </c>
      <c r="J24" s="36" t="n">
        <v>1.97153343103611</v>
      </c>
      <c r="K24" s="36" t="n">
        <f aca="false">$K$8</f>
        <v>1.81112011827341</v>
      </c>
      <c r="L24" s="36" t="n">
        <f aca="false">SQRT(J24^2+K24^2)</f>
        <v>2.67714402909289</v>
      </c>
      <c r="M24" s="55" t="n">
        <f aca="false">IF(G24="","",MAX(0,G24-1.96*L24/100))</f>
        <v>0.225186792161828</v>
      </c>
      <c r="N24" s="55" t="n">
        <f aca="false">IF(G24="","",MIN(1,G24+1.96*L24/100))</f>
        <v>0.330130838102269</v>
      </c>
      <c r="O24" s="54" t="n">
        <f aca="false">ROUND(S24*W24,0)</f>
        <v>85</v>
      </c>
      <c r="P24" s="54" t="n">
        <f aca="false">IF(F24="","",ROUND(SQRT((F24*L24/100)^2+(G24*O24)^2),0))</f>
        <v>44</v>
      </c>
      <c r="R24" s="56" t="n">
        <v>-13.9840186446123</v>
      </c>
      <c r="S24" s="57" t="n">
        <f aca="false">U24*V24*$F$5</f>
        <v>1401.11772917636</v>
      </c>
      <c r="T24" s="58" t="n">
        <f aca="false">MAX(0,MIN(1,R24/100+$D$5))</f>
        <v>0.277707596570663</v>
      </c>
      <c r="U24" s="58" t="n">
        <v>0.626337831549558</v>
      </c>
      <c r="V24" s="57" t="n">
        <v>2237</v>
      </c>
      <c r="W24" s="58" t="n">
        <v>0.0606122259008943</v>
      </c>
      <c r="X24" s="59" t="s">
        <v>136</v>
      </c>
      <c r="Y24" s="59" t="s">
        <v>132</v>
      </c>
    </row>
    <row r="25" customFormat="false" ht="15" hidden="false" customHeight="false" outlineLevel="0" collapsed="false">
      <c r="A25" s="32" t="s">
        <v>127</v>
      </c>
      <c r="B25" s="32" t="s">
        <v>146</v>
      </c>
      <c r="C25" s="32" t="s">
        <v>129</v>
      </c>
      <c r="D25" s="54" t="n">
        <f aca="false">ROUND(S25*T25,0)</f>
        <v>543</v>
      </c>
      <c r="E25" s="54" t="n">
        <f aca="false">ROUND(S25,0)-D25</f>
        <v>1335</v>
      </c>
      <c r="F25" s="54" t="n">
        <f aca="false">IF(COUNTA(D25:E25)=0,"",SUM(D25:E25))</f>
        <v>1878</v>
      </c>
      <c r="G25" s="55" t="n">
        <f aca="false">IF(OR(F25="",F25=0),"",D25/F25)</f>
        <v>0.289137380191693</v>
      </c>
      <c r="H25" s="55" t="n">
        <f aca="false">IF(OR(F25="",F25=0),"",E25/F25)</f>
        <v>0.710862619808307</v>
      </c>
      <c r="I25" s="32" t="s">
        <v>130</v>
      </c>
      <c r="J25" s="36" t="n">
        <v>1.97153343103611</v>
      </c>
      <c r="K25" s="36" t="n">
        <f aca="false">$K$8</f>
        <v>1.81112011827341</v>
      </c>
      <c r="L25" s="36" t="n">
        <f aca="false">SQRT(J25^2+K25^2)</f>
        <v>2.67714402909289</v>
      </c>
      <c r="M25" s="55" t="n">
        <f aca="false">IF(G25="","",MAX(0,G25-1.96*L25/100))</f>
        <v>0.236665357221473</v>
      </c>
      <c r="N25" s="55" t="n">
        <f aca="false">IF(G25="","",MIN(1,G25+1.96*L25/100))</f>
        <v>0.341609403161914</v>
      </c>
      <c r="O25" s="54" t="n">
        <f aca="false">ROUND(S25*W25,0)</f>
        <v>114</v>
      </c>
      <c r="P25" s="54" t="n">
        <f aca="false">IF(F25="","",ROUND(SQRT((F25*L25/100)^2+(G25*O25)^2),0))</f>
        <v>60</v>
      </c>
      <c r="R25" s="56" t="n">
        <v>-12.8542530943076</v>
      </c>
      <c r="S25" s="57" t="n">
        <f aca="false">U25*V25*$F$5</f>
        <v>1878.41828929068</v>
      </c>
      <c r="T25" s="58" t="n">
        <f aca="false">MAX(0,MIN(1,R25/100+$D$5))</f>
        <v>0.289005252073711</v>
      </c>
      <c r="U25" s="58" t="n">
        <v>0.616481223922114</v>
      </c>
      <c r="V25" s="57" t="n">
        <v>3047</v>
      </c>
      <c r="W25" s="58" t="n">
        <v>0.0606122259008943</v>
      </c>
      <c r="X25" s="59" t="s">
        <v>136</v>
      </c>
      <c r="Y25" s="59" t="s">
        <v>132</v>
      </c>
    </row>
    <row r="26" customFormat="false" ht="15" hidden="false" customHeight="false" outlineLevel="0" collapsed="false">
      <c r="A26" s="32" t="s">
        <v>127</v>
      </c>
      <c r="B26" s="32" t="s">
        <v>147</v>
      </c>
      <c r="C26" s="32" t="s">
        <v>129</v>
      </c>
      <c r="D26" s="54" t="n">
        <f aca="false">ROUND(S26*T26,0)</f>
        <v>478</v>
      </c>
      <c r="E26" s="54" t="n">
        <f aca="false">ROUND(S26,0)-D26</f>
        <v>736</v>
      </c>
      <c r="F26" s="54" t="n">
        <f aca="false">IF(COUNTA(D26:E26)=0,"",SUM(D26:E26))</f>
        <v>1214</v>
      </c>
      <c r="G26" s="55" t="n">
        <f aca="false">IF(OR(F26="",F26=0),"",D26/F26)</f>
        <v>0.393739703459638</v>
      </c>
      <c r="H26" s="55" t="n">
        <f aca="false">IF(OR(F26="",F26=0),"",E26/F26)</f>
        <v>0.606260296540362</v>
      </c>
      <c r="I26" s="32" t="s">
        <v>130</v>
      </c>
      <c r="J26" s="36" t="n">
        <v>3.01271836260465</v>
      </c>
      <c r="K26" s="36" t="n">
        <f aca="false">$K$8</f>
        <v>1.81112011827341</v>
      </c>
      <c r="L26" s="36" t="n">
        <f aca="false">SQRT(J26^2+K26^2)</f>
        <v>3.51519956975275</v>
      </c>
      <c r="M26" s="55" t="n">
        <f aca="false">IF(G26="","",MAX(0,G26-1.96*L26/100))</f>
        <v>0.324841791892484</v>
      </c>
      <c r="N26" s="55" t="n">
        <f aca="false">IF(G26="","",MIN(1,G26+1.96*L26/100))</f>
        <v>0.462637615026792</v>
      </c>
      <c r="O26" s="54" t="n">
        <f aca="false">ROUND(S26*W26,0)</f>
        <v>94</v>
      </c>
      <c r="P26" s="54" t="n">
        <f aca="false">IF(F26="","",ROUND(SQRT((F26*L26/100)^2+(G26*O26)^2),0))</f>
        <v>56</v>
      </c>
      <c r="R26" s="56" t="n">
        <v>-2.39410432377489</v>
      </c>
      <c r="S26" s="57" t="n">
        <f aca="false">U26*V26*$F$5</f>
        <v>1214.17865765331</v>
      </c>
      <c r="T26" s="58" t="n">
        <f aca="false">MAX(0,MIN(1,R26/100+$D$5))</f>
        <v>0.393606739779037</v>
      </c>
      <c r="U26" s="58" t="n">
        <v>0.576533075808788</v>
      </c>
      <c r="V26" s="57" t="n">
        <v>2106</v>
      </c>
      <c r="W26" s="58" t="n">
        <v>0.0777040344688333</v>
      </c>
      <c r="X26" s="59" t="s">
        <v>131</v>
      </c>
      <c r="Y26" s="59" t="s">
        <v>132</v>
      </c>
    </row>
    <row r="27" customFormat="false" ht="15" hidden="false" customHeight="false" outlineLevel="0" collapsed="false">
      <c r="A27" s="32" t="s">
        <v>127</v>
      </c>
      <c r="B27" s="32" t="s">
        <v>148</v>
      </c>
      <c r="C27" s="32" t="s">
        <v>129</v>
      </c>
      <c r="D27" s="54" t="n">
        <f aca="false">ROUND(S27*T27,0)</f>
        <v>98</v>
      </c>
      <c r="E27" s="54" t="n">
        <f aca="false">ROUND(S27,0)-D27</f>
        <v>432</v>
      </c>
      <c r="F27" s="54" t="n">
        <f aca="false">IF(COUNTA(D27:E27)=0,"",SUM(D27:E27))</f>
        <v>530</v>
      </c>
      <c r="G27" s="55" t="n">
        <f aca="false">IF(OR(F27="",F27=0),"",D27/F27)</f>
        <v>0.184905660377358</v>
      </c>
      <c r="H27" s="55" t="n">
        <f aca="false">IF(OR(F27="",F27=0),"",E27/F27)</f>
        <v>0.815094339622642</v>
      </c>
      <c r="I27" s="32" t="s">
        <v>130</v>
      </c>
      <c r="J27" s="36" t="n">
        <v>3.01271836260465</v>
      </c>
      <c r="K27" s="36" t="n">
        <f aca="false">$K$8</f>
        <v>1.81112011827341</v>
      </c>
      <c r="L27" s="36" t="n">
        <f aca="false">SQRT(J27^2+K27^2)</f>
        <v>3.51519956975275</v>
      </c>
      <c r="M27" s="55" t="n">
        <f aca="false">IF(G27="","",MAX(0,G27-1.96*L27/100))</f>
        <v>0.116007748810205</v>
      </c>
      <c r="N27" s="55" t="n">
        <f aca="false">IF(G27="","",MIN(1,G27+1.96*L27/100))</f>
        <v>0.253803571944512</v>
      </c>
      <c r="O27" s="54" t="n">
        <f aca="false">ROUND(S27*W27,0)</f>
        <v>41</v>
      </c>
      <c r="P27" s="54" t="n">
        <f aca="false">IF(F27="","",ROUND(SQRT((F27*L27/100)^2+(G27*O27)^2),0))</f>
        <v>20</v>
      </c>
      <c r="R27" s="56" t="n">
        <v>-23.2110075988006</v>
      </c>
      <c r="S27" s="57" t="n">
        <f aca="false">U27*V27*$F$5</f>
        <v>530.117647058824</v>
      </c>
      <c r="T27" s="58" t="n">
        <f aca="false">MAX(0,MIN(1,R27/100+$D$5))</f>
        <v>0.18543770702878</v>
      </c>
      <c r="U27" s="58" t="n">
        <v>0.705882352941177</v>
      </c>
      <c r="V27" s="57" t="n">
        <v>751</v>
      </c>
      <c r="W27" s="58" t="n">
        <v>0.0777040344688333</v>
      </c>
      <c r="X27" s="59" t="s">
        <v>131</v>
      </c>
      <c r="Y27" s="59" t="s">
        <v>132</v>
      </c>
    </row>
    <row r="28" customFormat="false" ht="15" hidden="false" customHeight="false" outlineLevel="0" collapsed="false">
      <c r="A28" s="32" t="s">
        <v>127</v>
      </c>
      <c r="B28" s="32" t="s">
        <v>149</v>
      </c>
      <c r="C28" s="32" t="s">
        <v>129</v>
      </c>
      <c r="D28" s="54" t="n">
        <f aca="false">ROUND(S28*T28,0)</f>
        <v>716</v>
      </c>
      <c r="E28" s="54" t="n">
        <f aca="false">ROUND(S28,0)-D28</f>
        <v>1275</v>
      </c>
      <c r="F28" s="54" t="n">
        <f aca="false">IF(COUNTA(D28:E28)=0,"",SUM(D28:E28))</f>
        <v>1991</v>
      </c>
      <c r="G28" s="55" t="n">
        <f aca="false">IF(OR(F28="",F28=0),"",D28/F28)</f>
        <v>0.359618282270216</v>
      </c>
      <c r="H28" s="55" t="n">
        <f aca="false">IF(OR(F28="",F28=0),"",E28/F28)</f>
        <v>0.640381717729784</v>
      </c>
      <c r="I28" s="32" t="s">
        <v>130</v>
      </c>
      <c r="J28" s="36" t="n">
        <v>1.97153343103611</v>
      </c>
      <c r="K28" s="36" t="n">
        <f aca="false">$K$8</f>
        <v>1.81112011827341</v>
      </c>
      <c r="L28" s="36" t="n">
        <f aca="false">SQRT(J28^2+K28^2)</f>
        <v>2.67714402909289</v>
      </c>
      <c r="M28" s="55" t="n">
        <f aca="false">IF(G28="","",MAX(0,G28-1.96*L28/100))</f>
        <v>0.307146259299995</v>
      </c>
      <c r="N28" s="55" t="n">
        <f aca="false">IF(G28="","",MIN(1,G28+1.96*L28/100))</f>
        <v>0.412090305240437</v>
      </c>
      <c r="O28" s="54" t="n">
        <f aca="false">ROUND(S28*W28,0)</f>
        <v>121</v>
      </c>
      <c r="P28" s="54" t="n">
        <f aca="false">IF(F28="","",ROUND(SQRT((F28*L28/100)^2+(G28*O28)^2),0))</f>
        <v>69</v>
      </c>
      <c r="R28" s="56" t="n">
        <v>-5.82109222727091</v>
      </c>
      <c r="S28" s="57" t="n">
        <f aca="false">U28*V28*$F$5</f>
        <v>1991.47057118005</v>
      </c>
      <c r="T28" s="58" t="n">
        <f aca="false">MAX(0,MIN(1,R28/100+$D$5))</f>
        <v>0.359336860744077</v>
      </c>
      <c r="U28" s="58" t="n">
        <v>0.553493766309075</v>
      </c>
      <c r="V28" s="57" t="n">
        <v>3598</v>
      </c>
      <c r="W28" s="58" t="n">
        <v>0.0606122259008943</v>
      </c>
      <c r="X28" s="59" t="s">
        <v>136</v>
      </c>
      <c r="Y28" s="59" t="s">
        <v>132</v>
      </c>
    </row>
    <row r="29" customFormat="false" ht="15" hidden="false" customHeight="false" outlineLevel="0" collapsed="false">
      <c r="A29" s="32" t="s">
        <v>127</v>
      </c>
      <c r="B29" s="32" t="s">
        <v>150</v>
      </c>
      <c r="C29" s="32" t="s">
        <v>129</v>
      </c>
      <c r="D29" s="54" t="n">
        <f aca="false">ROUND(S29*T29,0)</f>
        <v>56</v>
      </c>
      <c r="E29" s="54" t="n">
        <f aca="false">ROUND(S29,0)-D29</f>
        <v>129</v>
      </c>
      <c r="F29" s="54" t="n">
        <f aca="false">IF(COUNTA(D29:E29)=0,"",SUM(D29:E29))</f>
        <v>185</v>
      </c>
      <c r="G29" s="55" t="n">
        <f aca="false">IF(OR(F29="",F29=0),"",D29/F29)</f>
        <v>0.302702702702703</v>
      </c>
      <c r="H29" s="55" t="n">
        <f aca="false">IF(OR(F29="",F29=0),"",E29/F29)</f>
        <v>0.697297297297297</v>
      </c>
      <c r="I29" s="32" t="s">
        <v>130</v>
      </c>
      <c r="J29" s="36" t="n">
        <v>3.01271836260465</v>
      </c>
      <c r="K29" s="36" t="n">
        <f aca="false">$K$8</f>
        <v>1.81112011827341</v>
      </c>
      <c r="L29" s="36" t="n">
        <f aca="false">SQRT(J29^2+K29^2)</f>
        <v>3.51519956975275</v>
      </c>
      <c r="M29" s="55" t="n">
        <f aca="false">IF(G29="","",MAX(0,G29-1.96*L29/100))</f>
        <v>0.233804791135549</v>
      </c>
      <c r="N29" s="55" t="n">
        <f aca="false">IF(G29="","",MIN(1,G29+1.96*L29/100))</f>
        <v>0.371600614269857</v>
      </c>
      <c r="O29" s="54" t="n">
        <f aca="false">ROUND(S29*W29,0)</f>
        <v>14</v>
      </c>
      <c r="P29" s="54" t="n">
        <f aca="false">IF(F29="","",ROUND(SQRT((F29*L29/100)^2+(G29*O29)^2),0))</f>
        <v>8</v>
      </c>
      <c r="R29" s="56" t="n">
        <v>-11.2157186001081</v>
      </c>
      <c r="S29" s="57" t="n">
        <f aca="false">U29*V29*$F$5</f>
        <v>184.547540983607</v>
      </c>
      <c r="T29" s="58" t="n">
        <f aca="false">MAX(0,MIN(1,R29/100+$D$5))</f>
        <v>0.305390597015706</v>
      </c>
      <c r="U29" s="58" t="n">
        <v>0.613114754098361</v>
      </c>
      <c r="V29" s="57" t="n">
        <v>301</v>
      </c>
      <c r="W29" s="58" t="n">
        <v>0.0777040344688333</v>
      </c>
      <c r="X29" s="59" t="s">
        <v>131</v>
      </c>
      <c r="Y29" s="59" t="s">
        <v>132</v>
      </c>
    </row>
    <row r="30" customFormat="false" ht="15" hidden="false" customHeight="false" outlineLevel="0" collapsed="false">
      <c r="A30" s="32" t="s">
        <v>127</v>
      </c>
      <c r="B30" s="32" t="s">
        <v>151</v>
      </c>
      <c r="C30" s="32" t="s">
        <v>129</v>
      </c>
      <c r="D30" s="54" t="n">
        <f aca="false">ROUND(S30*T30,0)</f>
        <v>1592</v>
      </c>
      <c r="E30" s="54" t="n">
        <f aca="false">ROUND(S30,0)-D30</f>
        <v>2880</v>
      </c>
      <c r="F30" s="54" t="n">
        <f aca="false">IF(COUNTA(D30:E30)=0,"",SUM(D30:E30))</f>
        <v>4472</v>
      </c>
      <c r="G30" s="55" t="n">
        <f aca="false">IF(OR(F30="",F30=0),"",D30/F30)</f>
        <v>0.355992844364937</v>
      </c>
      <c r="H30" s="55" t="n">
        <f aca="false">IF(OR(F30="",F30=0),"",E30/F30)</f>
        <v>0.644007155635063</v>
      </c>
      <c r="I30" s="32" t="s">
        <v>130</v>
      </c>
      <c r="J30" s="36" t="n">
        <v>1.66030146977751</v>
      </c>
      <c r="K30" s="36" t="n">
        <f aca="false">$K$8</f>
        <v>1.81112011827341</v>
      </c>
      <c r="L30" s="36" t="n">
        <f aca="false">SQRT(J30^2+K30^2)</f>
        <v>2.45698128876881</v>
      </c>
      <c r="M30" s="55" t="n">
        <f aca="false">IF(G30="","",MAX(0,G30-1.96*L30/100))</f>
        <v>0.307836011105069</v>
      </c>
      <c r="N30" s="55" t="n">
        <f aca="false">IF(G30="","",MIN(1,G30+1.96*L30/100))</f>
        <v>0.404149677624806</v>
      </c>
      <c r="O30" s="54" t="n">
        <f aca="false">ROUND(S30*W30,0)</f>
        <v>247</v>
      </c>
      <c r="P30" s="54" t="n">
        <f aca="false">IF(F30="","",ROUND(SQRT((F30*L30/100)^2+(G30*O30)^2),0))</f>
        <v>141</v>
      </c>
      <c r="R30" s="56" t="n">
        <v>-6.15353023531061</v>
      </c>
      <c r="S30" s="57" t="n">
        <f aca="false">U30*V30*$F$5</f>
        <v>4472.46592381446</v>
      </c>
      <c r="T30" s="58" t="n">
        <f aca="false">MAX(0,MIN(1,R30/100+$D$5))</f>
        <v>0.35601248066368</v>
      </c>
      <c r="U30" s="58" t="n">
        <v>0.560248769111169</v>
      </c>
      <c r="V30" s="57" t="n">
        <v>7983</v>
      </c>
      <c r="W30" s="58" t="n">
        <v>0.0551273752894184</v>
      </c>
      <c r="X30" s="59" t="s">
        <v>152</v>
      </c>
      <c r="Y30" s="59" t="s">
        <v>132</v>
      </c>
    </row>
    <row r="31" customFormat="false" ht="15" hidden="false" customHeight="false" outlineLevel="0" collapsed="false">
      <c r="A31" s="32" t="s">
        <v>127</v>
      </c>
      <c r="B31" s="32" t="s">
        <v>153</v>
      </c>
      <c r="C31" s="32" t="s">
        <v>129</v>
      </c>
      <c r="D31" s="54" t="n">
        <f aca="false">ROUND(S31*T31,0)</f>
        <v>552</v>
      </c>
      <c r="E31" s="54" t="n">
        <f aca="false">ROUND(S31,0)-D31</f>
        <v>741</v>
      </c>
      <c r="F31" s="54" t="n">
        <f aca="false">IF(COUNTA(D31:E31)=0,"",SUM(D31:E31))</f>
        <v>1293</v>
      </c>
      <c r="G31" s="55" t="n">
        <f aca="false">IF(OR(F31="",F31=0),"",D31/F31)</f>
        <v>0.426914153132251</v>
      </c>
      <c r="H31" s="55" t="n">
        <f aca="false">IF(OR(F31="",F31=0),"",E31/F31)</f>
        <v>0.573085846867749</v>
      </c>
      <c r="I31" s="32" t="s">
        <v>130</v>
      </c>
      <c r="J31" s="36" t="n">
        <v>1.97153343103611</v>
      </c>
      <c r="K31" s="36" t="n">
        <f aca="false">$K$8</f>
        <v>1.81112011827341</v>
      </c>
      <c r="L31" s="36" t="n">
        <f aca="false">SQRT(J31^2+K31^2)</f>
        <v>2.67714402909289</v>
      </c>
      <c r="M31" s="55" t="n">
        <f aca="false">IF(G31="","",MAX(0,G31-1.96*L31/100))</f>
        <v>0.37444213016203</v>
      </c>
      <c r="N31" s="55" t="n">
        <f aca="false">IF(G31="","",MIN(1,G31+1.96*L31/100))</f>
        <v>0.479386176102471</v>
      </c>
      <c r="O31" s="54" t="n">
        <f aca="false">ROUND(S31*W31,0)</f>
        <v>78</v>
      </c>
      <c r="P31" s="54" t="n">
        <f aca="false">IF(F31="","",ROUND(SQRT((F31*L31/100)^2+(G31*O31)^2),0))</f>
        <v>48</v>
      </c>
      <c r="R31" s="56" t="n">
        <v>0.942495525278631</v>
      </c>
      <c r="S31" s="57" t="n">
        <f aca="false">U31*V31*$F$5</f>
        <v>1293.28908554572</v>
      </c>
      <c r="T31" s="58" t="n">
        <f aca="false">MAX(0,MIN(1,R31/100+$D$5))</f>
        <v>0.426972738269572</v>
      </c>
      <c r="U31" s="58" t="n">
        <v>0.607177974434612</v>
      </c>
      <c r="V31" s="57" t="n">
        <v>2130</v>
      </c>
      <c r="W31" s="58" t="n">
        <v>0.0606122259008943</v>
      </c>
      <c r="X31" s="59" t="s">
        <v>136</v>
      </c>
      <c r="Y31" s="59" t="s">
        <v>132</v>
      </c>
    </row>
    <row r="32" customFormat="false" ht="15" hidden="false" customHeight="false" outlineLevel="0" collapsed="false">
      <c r="A32" s="32" t="s">
        <v>127</v>
      </c>
      <c r="B32" s="32" t="s">
        <v>154</v>
      </c>
      <c r="C32" s="32" t="s">
        <v>129</v>
      </c>
      <c r="D32" s="54" t="n">
        <f aca="false">ROUND(S32*T32,0)</f>
        <v>640</v>
      </c>
      <c r="E32" s="54" t="n">
        <f aca="false">ROUND(S32,0)-D32</f>
        <v>1618</v>
      </c>
      <c r="F32" s="54" t="n">
        <f aca="false">IF(COUNTA(D32:E32)=0,"",SUM(D32:E32))</f>
        <v>2258</v>
      </c>
      <c r="G32" s="55" t="n">
        <f aca="false">IF(OR(F32="",F32=0),"",D32/F32)</f>
        <v>0.283436669619132</v>
      </c>
      <c r="H32" s="55" t="n">
        <f aca="false">IF(OR(F32="",F32=0),"",E32/F32)</f>
        <v>0.716563330380868</v>
      </c>
      <c r="I32" s="32" t="s">
        <v>130</v>
      </c>
      <c r="J32" s="36" t="n">
        <v>1.97153343103611</v>
      </c>
      <c r="K32" s="36" t="n">
        <f aca="false">$K$8</f>
        <v>1.81112011827341</v>
      </c>
      <c r="L32" s="36" t="n">
        <f aca="false">SQRT(J32^2+K32^2)</f>
        <v>2.67714402909289</v>
      </c>
      <c r="M32" s="55" t="n">
        <f aca="false">IF(G32="","",MAX(0,G32-1.96*L32/100))</f>
        <v>0.230964646648911</v>
      </c>
      <c r="N32" s="55" t="n">
        <f aca="false">IF(G32="","",MIN(1,G32+1.96*L32/100))</f>
        <v>0.335908692589353</v>
      </c>
      <c r="O32" s="54" t="n">
        <f aca="false">ROUND(S32*W32,0)</f>
        <v>137</v>
      </c>
      <c r="P32" s="54" t="n">
        <f aca="false">IF(F32="","",ROUND(SQRT((F32*L32/100)^2+(G32*O32)^2),0))</f>
        <v>72</v>
      </c>
      <c r="R32" s="56" t="n">
        <v>-13.4250463908962</v>
      </c>
      <c r="S32" s="57" t="n">
        <f aca="false">U32*V32*$F$5</f>
        <v>2258.11685530743</v>
      </c>
      <c r="T32" s="58" t="n">
        <f aca="false">MAX(0,MIN(1,R32/100+$D$5))</f>
        <v>0.283297319107824</v>
      </c>
      <c r="U32" s="58" t="n">
        <v>0.65188130926889</v>
      </c>
      <c r="V32" s="57" t="n">
        <v>3464</v>
      </c>
      <c r="W32" s="58" t="n">
        <v>0.0606122259008943</v>
      </c>
      <c r="X32" s="59" t="s">
        <v>136</v>
      </c>
      <c r="Y32" s="59" t="s">
        <v>132</v>
      </c>
    </row>
    <row r="33" customFormat="false" ht="15" hidden="false" customHeight="false" outlineLevel="0" collapsed="false">
      <c r="A33" s="32" t="s">
        <v>127</v>
      </c>
      <c r="B33" s="32" t="s">
        <v>155</v>
      </c>
      <c r="C33" s="32" t="s">
        <v>129</v>
      </c>
      <c r="D33" s="54" t="n">
        <f aca="false">ROUND(S33*T33,0)</f>
        <v>264</v>
      </c>
      <c r="E33" s="54" t="n">
        <f aca="false">ROUND(S33,0)-D33</f>
        <v>650</v>
      </c>
      <c r="F33" s="54" t="n">
        <f aca="false">IF(COUNTA(D33:E33)=0,"",SUM(D33:E33))</f>
        <v>914</v>
      </c>
      <c r="G33" s="55" t="n">
        <f aca="false">IF(OR(F33="",F33=0),"",D33/F33)</f>
        <v>0.288840262582057</v>
      </c>
      <c r="H33" s="55" t="n">
        <f aca="false">IF(OR(F33="",F33=0),"",E33/F33)</f>
        <v>0.711159737417943</v>
      </c>
      <c r="I33" s="32" t="s">
        <v>130</v>
      </c>
      <c r="J33" s="36" t="n">
        <v>3.01271836260465</v>
      </c>
      <c r="K33" s="36" t="n">
        <f aca="false">$K$8</f>
        <v>1.81112011827341</v>
      </c>
      <c r="L33" s="36" t="n">
        <f aca="false">SQRT(J33^2+K33^2)</f>
        <v>3.51519956975275</v>
      </c>
      <c r="M33" s="55" t="n">
        <f aca="false">IF(G33="","",MAX(0,G33-1.96*L33/100))</f>
        <v>0.219942351014903</v>
      </c>
      <c r="N33" s="55" t="n">
        <f aca="false">IF(G33="","",MIN(1,G33+1.96*L33/100))</f>
        <v>0.357738174149211</v>
      </c>
      <c r="O33" s="54" t="n">
        <f aca="false">ROUND(S33*W33,0)</f>
        <v>71</v>
      </c>
      <c r="P33" s="54" t="n">
        <f aca="false">IF(F33="","",ROUND(SQRT((F33*L33/100)^2+(G33*O33)^2),0))</f>
        <v>38</v>
      </c>
      <c r="R33" s="56" t="n">
        <v>-12.8262197194834</v>
      </c>
      <c r="S33" s="57" t="n">
        <f aca="false">U33*V33*$F$5</f>
        <v>913.771907216495</v>
      </c>
      <c r="T33" s="58" t="n">
        <f aca="false">MAX(0,MIN(1,R33/100+$D$5))</f>
        <v>0.289285585821952</v>
      </c>
      <c r="U33" s="58" t="n">
        <v>0.580541237113402</v>
      </c>
      <c r="V33" s="57" t="n">
        <v>1574</v>
      </c>
      <c r="W33" s="58" t="n">
        <v>0.0777040344688333</v>
      </c>
      <c r="X33" s="59" t="s">
        <v>131</v>
      </c>
      <c r="Y33" s="59" t="s">
        <v>132</v>
      </c>
    </row>
    <row r="34" customFormat="false" ht="15" hidden="false" customHeight="false" outlineLevel="0" collapsed="false">
      <c r="A34" s="32" t="s">
        <v>127</v>
      </c>
      <c r="B34" s="32" t="s">
        <v>156</v>
      </c>
      <c r="C34" s="32" t="s">
        <v>129</v>
      </c>
      <c r="D34" s="54" t="n">
        <f aca="false">ROUND(S34*T34,0)</f>
        <v>36</v>
      </c>
      <c r="E34" s="54" t="n">
        <f aca="false">ROUND(S34,0)-D34</f>
        <v>71</v>
      </c>
      <c r="F34" s="54" t="n">
        <f aca="false">IF(COUNTA(D34:E34)=0,"",SUM(D34:E34))</f>
        <v>107</v>
      </c>
      <c r="G34" s="55" t="n">
        <f aca="false">IF(OR(F34="",F34=0),"",D34/F34)</f>
        <v>0.336448598130841</v>
      </c>
      <c r="H34" s="55" t="n">
        <f aca="false">IF(OR(F34="",F34=0),"",E34/F34)</f>
        <v>0.663551401869159</v>
      </c>
      <c r="I34" s="32" t="s">
        <v>130</v>
      </c>
      <c r="J34" s="36" t="n">
        <v>3.01271836260465</v>
      </c>
      <c r="K34" s="36" t="n">
        <f aca="false">$K$8</f>
        <v>1.81112011827341</v>
      </c>
      <c r="L34" s="36" t="n">
        <f aca="false">SQRT(J34^2+K34^2)</f>
        <v>3.51519956975275</v>
      </c>
      <c r="M34" s="55" t="n">
        <f aca="false">IF(G34="","",MAX(0,G34-1.96*L34/100))</f>
        <v>0.267550686563687</v>
      </c>
      <c r="N34" s="55" t="n">
        <f aca="false">IF(G34="","",MIN(1,G34+1.96*L34/100))</f>
        <v>0.405346509697995</v>
      </c>
      <c r="O34" s="54" t="n">
        <f aca="false">ROUND(S34*W34,0)</f>
        <v>8</v>
      </c>
      <c r="P34" s="54" t="n">
        <f aca="false">IF(F34="","",ROUND(SQRT((F34*L34/100)^2+(G34*O34)^2),0))</f>
        <v>5</v>
      </c>
      <c r="R34" s="56" t="n">
        <v>-7.81931199291445</v>
      </c>
      <c r="S34" s="57" t="n">
        <f aca="false">U34*V34*$F$5</f>
        <v>106.666666666667</v>
      </c>
      <c r="T34" s="58" t="n">
        <f aca="false">MAX(0,MIN(1,R34/100+$D$5))</f>
        <v>0.339354663087642</v>
      </c>
      <c r="U34" s="58" t="n">
        <v>0.444444444444444</v>
      </c>
      <c r="V34" s="57" t="n">
        <v>240</v>
      </c>
      <c r="W34" s="58" t="n">
        <v>0.0777040344688333</v>
      </c>
      <c r="X34" s="59" t="s">
        <v>131</v>
      </c>
      <c r="Y34" s="59" t="s">
        <v>132</v>
      </c>
    </row>
    <row r="35" customFormat="false" ht="15" hidden="false" customHeight="false" outlineLevel="0" collapsed="false">
      <c r="A35" s="32" t="s">
        <v>157</v>
      </c>
      <c r="B35" s="32" t="s">
        <v>158</v>
      </c>
      <c r="C35" s="32" t="s">
        <v>129</v>
      </c>
      <c r="D35" s="54" t="n">
        <f aca="false">ROUND(S35*T35,0)</f>
        <v>494</v>
      </c>
      <c r="E35" s="54" t="n">
        <f aca="false">ROUND(S35,0)-D35</f>
        <v>567</v>
      </c>
      <c r="F35" s="54" t="n">
        <f aca="false">IF(COUNTA(D35:E35)=0,"",SUM(D35:E35))</f>
        <v>1061</v>
      </c>
      <c r="G35" s="55" t="n">
        <f aca="false">IF(OR(F35="",F35=0),"",D35/F35)</f>
        <v>0.46559849198869</v>
      </c>
      <c r="H35" s="55" t="n">
        <f aca="false">IF(OR(F35="",F35=0),"",E35/F35)</f>
        <v>0.53440150801131</v>
      </c>
      <c r="I35" s="32" t="s">
        <v>130</v>
      </c>
      <c r="J35" s="36" t="n">
        <v>3.01271836260465</v>
      </c>
      <c r="K35" s="36" t="n">
        <f aca="false">$K$8</f>
        <v>1.81112011827341</v>
      </c>
      <c r="L35" s="36" t="n">
        <f aca="false">SQRT(J35^2+K35^2)</f>
        <v>3.51519956975275</v>
      </c>
      <c r="M35" s="55" t="n">
        <f aca="false">IF(G35="","",MAX(0,G35-1.96*L35/100))</f>
        <v>0.396700580421536</v>
      </c>
      <c r="N35" s="55" t="n">
        <f aca="false">IF(G35="","",MIN(1,G35+1.96*L35/100))</f>
        <v>0.534496403555844</v>
      </c>
      <c r="O35" s="54" t="n">
        <f aca="false">ROUND(S35*W35,0)</f>
        <v>82</v>
      </c>
      <c r="P35" s="54" t="n">
        <f aca="false">IF(F35="","",ROUND(SQRT((F35*L35/100)^2+(G35*O35)^2),0))</f>
        <v>53</v>
      </c>
      <c r="R35" s="56" t="n">
        <v>4.80664085726769</v>
      </c>
      <c r="S35" s="57" t="n">
        <f aca="false">U35*V35*$F$5</f>
        <v>1060.80585424134</v>
      </c>
      <c r="T35" s="58" t="n">
        <f aca="false">MAX(0,MIN(1,R35/100+$D$5))</f>
        <v>0.465614191589463</v>
      </c>
      <c r="U35" s="58" t="n">
        <v>0.605137395459976</v>
      </c>
      <c r="V35" s="57" t="n">
        <v>1753</v>
      </c>
      <c r="W35" s="58" t="n">
        <v>0.0777040344688333</v>
      </c>
      <c r="X35" s="59" t="s">
        <v>131</v>
      </c>
      <c r="Y35" s="59" t="s">
        <v>132</v>
      </c>
    </row>
    <row r="36" customFormat="false" ht="15" hidden="false" customHeight="false" outlineLevel="0" collapsed="false">
      <c r="A36" s="32" t="s">
        <v>157</v>
      </c>
      <c r="B36" s="32" t="s">
        <v>159</v>
      </c>
      <c r="C36" s="32" t="s">
        <v>129</v>
      </c>
      <c r="D36" s="54" t="n">
        <f aca="false">ROUND(S36*T36,0)</f>
        <v>16963</v>
      </c>
      <c r="E36" s="54" t="n">
        <f aca="false">ROUND(S36,0)-D36</f>
        <v>8410</v>
      </c>
      <c r="F36" s="54" t="n">
        <f aca="false">IF(COUNTA(D36:E36)=0,"",SUM(D36:E36))</f>
        <v>25373</v>
      </c>
      <c r="G36" s="55" t="n">
        <f aca="false">IF(OR(F36="",F36=0),"",D36/F36)</f>
        <v>0.668545304063374</v>
      </c>
      <c r="H36" s="55" t="n">
        <f aca="false">IF(OR(F36="",F36=0),"",E36/F36)</f>
        <v>0.331454695936626</v>
      </c>
      <c r="I36" s="32" t="s">
        <v>130</v>
      </c>
      <c r="J36" s="36" t="n">
        <v>1.66030146977751</v>
      </c>
      <c r="K36" s="36" t="n">
        <f aca="false">$K$8</f>
        <v>1.81112011827341</v>
      </c>
      <c r="L36" s="36" t="n">
        <f aca="false">SQRT(J36^2+K36^2)</f>
        <v>2.45698128876881</v>
      </c>
      <c r="M36" s="55" t="n">
        <f aca="false">IF(G36="","",MAX(0,G36-1.96*L36/100))</f>
        <v>0.620388470803506</v>
      </c>
      <c r="N36" s="55" t="n">
        <f aca="false">IF(G36="","",MIN(1,G36+1.96*L36/100))</f>
        <v>0.716702137323243</v>
      </c>
      <c r="O36" s="54" t="n">
        <f aca="false">ROUND(S36*W36,0)</f>
        <v>1399</v>
      </c>
      <c r="P36" s="54" t="n">
        <f aca="false">IF(F36="","",ROUND(SQRT((F36*L36/100)^2+(G36*O36)^2),0))</f>
        <v>1124</v>
      </c>
      <c r="R36" s="56" t="n">
        <v>25.0975357328464</v>
      </c>
      <c r="S36" s="57" t="n">
        <f aca="false">U36*V36*$F$5</f>
        <v>25373.374760008</v>
      </c>
      <c r="T36" s="58" t="n">
        <f aca="false">MAX(0,MIN(1,R36/100+$D$5))</f>
        <v>0.66852314034525</v>
      </c>
      <c r="U36" s="58" t="n">
        <v>0.356778519643522</v>
      </c>
      <c r="V36" s="57" t="n">
        <v>71118</v>
      </c>
      <c r="W36" s="58" t="n">
        <v>0.0551273752894184</v>
      </c>
      <c r="X36" s="59" t="s">
        <v>152</v>
      </c>
      <c r="Y36" s="59" t="s">
        <v>132</v>
      </c>
    </row>
    <row r="37" customFormat="false" ht="15" hidden="false" customHeight="false" outlineLevel="0" collapsed="false">
      <c r="A37" s="32" t="s">
        <v>157</v>
      </c>
      <c r="B37" s="32" t="s">
        <v>160</v>
      </c>
      <c r="C37" s="32" t="s">
        <v>129</v>
      </c>
      <c r="D37" s="54" t="n">
        <f aca="false">ROUND(S37*T37,0)</f>
        <v>5160</v>
      </c>
      <c r="E37" s="54" t="n">
        <f aca="false">ROUND(S37,0)-D37</f>
        <v>2817</v>
      </c>
      <c r="F37" s="54" t="n">
        <f aca="false">IF(COUNTA(D37:E37)=0,"",SUM(D37:E37))</f>
        <v>7977</v>
      </c>
      <c r="G37" s="55" t="n">
        <f aca="false">IF(OR(F37="",F37=0),"",D37/F37)</f>
        <v>0.646859721699887</v>
      </c>
      <c r="H37" s="55" t="n">
        <f aca="false">IF(OR(F37="",F37=0),"",E37/F37)</f>
        <v>0.353140278300113</v>
      </c>
      <c r="I37" s="32" t="s">
        <v>130</v>
      </c>
      <c r="J37" s="36" t="n">
        <v>1.66030146977751</v>
      </c>
      <c r="K37" s="36" t="n">
        <f aca="false">$K$8</f>
        <v>1.81112011827341</v>
      </c>
      <c r="L37" s="36" t="n">
        <f aca="false">SQRT(J37^2+K37^2)</f>
        <v>2.45698128876881</v>
      </c>
      <c r="M37" s="55" t="n">
        <f aca="false">IF(G37="","",MAX(0,G37-1.96*L37/100))</f>
        <v>0.598702888440018</v>
      </c>
      <c r="N37" s="55" t="n">
        <f aca="false">IF(G37="","",MIN(1,G37+1.96*L37/100))</f>
        <v>0.695016554959756</v>
      </c>
      <c r="O37" s="54" t="n">
        <f aca="false">ROUND(S37*W37,0)</f>
        <v>440</v>
      </c>
      <c r="P37" s="54" t="n">
        <f aca="false">IF(F37="","",ROUND(SQRT((F37*L37/100)^2+(G37*O37)^2),0))</f>
        <v>346</v>
      </c>
      <c r="R37" s="56" t="n">
        <v>22.9356683006901</v>
      </c>
      <c r="S37" s="57" t="n">
        <f aca="false">U37*V37*$F$5</f>
        <v>7976.55329986175</v>
      </c>
      <c r="T37" s="58" t="n">
        <f aca="false">MAX(0,MIN(1,R37/100+$D$5))</f>
        <v>0.646904466023687</v>
      </c>
      <c r="U37" s="58" t="n">
        <v>0.574183220548643</v>
      </c>
      <c r="V37" s="57" t="n">
        <v>13892</v>
      </c>
      <c r="W37" s="58" t="n">
        <v>0.0551273752894184</v>
      </c>
      <c r="X37" s="59" t="s">
        <v>152</v>
      </c>
      <c r="Y37" s="59" t="s">
        <v>132</v>
      </c>
    </row>
    <row r="38" customFormat="false" ht="15" hidden="false" customHeight="false" outlineLevel="0" collapsed="false">
      <c r="A38" s="32" t="s">
        <v>157</v>
      </c>
      <c r="B38" s="32" t="s">
        <v>161</v>
      </c>
      <c r="C38" s="32" t="s">
        <v>129</v>
      </c>
      <c r="D38" s="54" t="n">
        <f aca="false">ROUND(S38*T38,0)</f>
        <v>1137</v>
      </c>
      <c r="E38" s="54" t="n">
        <f aca="false">ROUND(S38,0)-D38</f>
        <v>1041</v>
      </c>
      <c r="F38" s="54" t="n">
        <f aca="false">IF(COUNTA(D38:E38)=0,"",SUM(D38:E38))</f>
        <v>2178</v>
      </c>
      <c r="G38" s="55" t="n">
        <f aca="false">IF(OR(F38="",F38=0),"",D38/F38)</f>
        <v>0.522038567493113</v>
      </c>
      <c r="H38" s="55" t="n">
        <f aca="false">IF(OR(F38="",F38=0),"",E38/F38)</f>
        <v>0.477961432506887</v>
      </c>
      <c r="I38" s="32" t="s">
        <v>130</v>
      </c>
      <c r="J38" s="36" t="n">
        <v>1.97153343103611</v>
      </c>
      <c r="K38" s="36" t="n">
        <f aca="false">$K$8</f>
        <v>1.81112011827341</v>
      </c>
      <c r="L38" s="36" t="n">
        <f aca="false">SQRT(J38^2+K38^2)</f>
        <v>2.67714402909289</v>
      </c>
      <c r="M38" s="55" t="n">
        <f aca="false">IF(G38="","",MAX(0,G38-1.96*L38/100))</f>
        <v>0.469566544522892</v>
      </c>
      <c r="N38" s="55" t="n">
        <f aca="false">IF(G38="","",MIN(1,G38+1.96*L38/100))</f>
        <v>0.574510590463334</v>
      </c>
      <c r="O38" s="54" t="n">
        <f aca="false">ROUND(S38*W38,0)</f>
        <v>132</v>
      </c>
      <c r="P38" s="54" t="n">
        <f aca="false">IF(F38="","",ROUND(SQRT((F38*L38/100)^2+(G38*O38)^2),0))</f>
        <v>90</v>
      </c>
      <c r="R38" s="56" t="n">
        <v>10.468242565637</v>
      </c>
      <c r="S38" s="57" t="n">
        <f aca="false">U38*V38*$F$5</f>
        <v>2177.82706204834</v>
      </c>
      <c r="T38" s="58" t="n">
        <f aca="false">MAX(0,MIN(1,R38/100+$D$5))</f>
        <v>0.522230208673157</v>
      </c>
      <c r="U38" s="58" t="n">
        <v>0.525791178669325</v>
      </c>
      <c r="V38" s="57" t="n">
        <v>4142</v>
      </c>
      <c r="W38" s="58" t="n">
        <v>0.0606122259008943</v>
      </c>
      <c r="X38" s="59" t="s">
        <v>136</v>
      </c>
      <c r="Y38" s="59" t="s">
        <v>132</v>
      </c>
    </row>
    <row r="39" customFormat="false" ht="15" hidden="false" customHeight="false" outlineLevel="0" collapsed="false">
      <c r="A39" s="32" t="s">
        <v>157</v>
      </c>
      <c r="B39" s="32" t="s">
        <v>162</v>
      </c>
      <c r="C39" s="32" t="s">
        <v>129</v>
      </c>
      <c r="D39" s="54" t="n">
        <f aca="false">ROUND(S39*T39,0)</f>
        <v>612</v>
      </c>
      <c r="E39" s="54" t="n">
        <f aca="false">ROUND(S39,0)-D39</f>
        <v>658</v>
      </c>
      <c r="F39" s="54" t="n">
        <f aca="false">IF(COUNTA(D39:E39)=0,"",SUM(D39:E39))</f>
        <v>1270</v>
      </c>
      <c r="G39" s="55" t="n">
        <f aca="false">IF(OR(F39="",F39=0),"",D39/F39)</f>
        <v>0.481889763779528</v>
      </c>
      <c r="H39" s="55" t="n">
        <f aca="false">IF(OR(F39="",F39=0),"",E39/F39)</f>
        <v>0.518110236220473</v>
      </c>
      <c r="I39" s="32" t="s">
        <v>130</v>
      </c>
      <c r="J39" s="36" t="n">
        <v>1.97153343103611</v>
      </c>
      <c r="K39" s="36" t="n">
        <f aca="false">$K$8</f>
        <v>1.81112011827341</v>
      </c>
      <c r="L39" s="36" t="n">
        <f aca="false">SQRT(J39^2+K39^2)</f>
        <v>2.67714402909289</v>
      </c>
      <c r="M39" s="55" t="n">
        <f aca="false">IF(G39="","",MAX(0,G39-1.96*L39/100))</f>
        <v>0.429417740809307</v>
      </c>
      <c r="N39" s="55" t="n">
        <f aca="false">IF(G39="","",MIN(1,G39+1.96*L39/100))</f>
        <v>0.534361786749748</v>
      </c>
      <c r="O39" s="54" t="n">
        <f aca="false">ROUND(S39*W39,0)</f>
        <v>77</v>
      </c>
      <c r="P39" s="54" t="n">
        <f aca="false">IF(F39="","",ROUND(SQRT((F39*L39/100)^2+(G39*O39)^2),0))</f>
        <v>50</v>
      </c>
      <c r="R39" s="56" t="n">
        <v>6.39313399729219</v>
      </c>
      <c r="S39" s="57" t="n">
        <f aca="false">U39*V39*$F$5</f>
        <v>1270.44031093837</v>
      </c>
      <c r="T39" s="58" t="n">
        <f aca="false">MAX(0,MIN(1,R39/100+$D$5))</f>
        <v>0.481479122989708</v>
      </c>
      <c r="U39" s="58" t="n">
        <v>0.676846196557468</v>
      </c>
      <c r="V39" s="57" t="n">
        <v>1877</v>
      </c>
      <c r="W39" s="58" t="n">
        <v>0.0606122259008943</v>
      </c>
      <c r="X39" s="59" t="s">
        <v>136</v>
      </c>
      <c r="Y39" s="59" t="s">
        <v>132</v>
      </c>
    </row>
    <row r="40" customFormat="false" ht="15" hidden="false" customHeight="false" outlineLevel="0" collapsed="false">
      <c r="A40" s="32" t="s">
        <v>157</v>
      </c>
      <c r="B40" s="32" t="s">
        <v>163</v>
      </c>
      <c r="C40" s="32" t="s">
        <v>129</v>
      </c>
      <c r="D40" s="54" t="n">
        <f aca="false">ROUND(S40*T40,0)</f>
        <v>704</v>
      </c>
      <c r="E40" s="54" t="n">
        <f aca="false">ROUND(S40,0)-D40</f>
        <v>660</v>
      </c>
      <c r="F40" s="54" t="n">
        <f aca="false">IF(COUNTA(D40:E40)=0,"",SUM(D40:E40))</f>
        <v>1364</v>
      </c>
      <c r="G40" s="55" t="n">
        <f aca="false">IF(OR(F40="",F40=0),"",D40/F40)</f>
        <v>0.516129032258065</v>
      </c>
      <c r="H40" s="55" t="n">
        <f aca="false">IF(OR(F40="",F40=0),"",E40/F40)</f>
        <v>0.483870967741936</v>
      </c>
      <c r="I40" s="32" t="s">
        <v>130</v>
      </c>
      <c r="J40" s="36" t="n">
        <v>1.97153343103611</v>
      </c>
      <c r="K40" s="36" t="n">
        <f aca="false">$K$8</f>
        <v>1.81112011827341</v>
      </c>
      <c r="L40" s="36" t="n">
        <f aca="false">SQRT(J40^2+K40^2)</f>
        <v>2.67714402909289</v>
      </c>
      <c r="M40" s="55" t="n">
        <f aca="false">IF(G40="","",MAX(0,G40-1.96*L40/100))</f>
        <v>0.463657009287844</v>
      </c>
      <c r="N40" s="55" t="n">
        <f aca="false">IF(G40="","",MIN(1,G40+1.96*L40/100))</f>
        <v>0.568601055228285</v>
      </c>
      <c r="O40" s="54" t="n">
        <f aca="false">ROUND(S40*W40,0)</f>
        <v>83</v>
      </c>
      <c r="P40" s="54" t="n">
        <f aca="false">IF(F40="","",ROUND(SQRT((F40*L40/100)^2+(G40*O40)^2),0))</f>
        <v>56</v>
      </c>
      <c r="R40" s="56" t="n">
        <v>9.87989389675926</v>
      </c>
      <c r="S40" s="57" t="n">
        <f aca="false">U40*V40*$F$5</f>
        <v>1363.93435943866</v>
      </c>
      <c r="T40" s="58" t="n">
        <f aca="false">MAX(0,MIN(1,R40/100+$D$5))</f>
        <v>0.516346721984379</v>
      </c>
      <c r="U40" s="58" t="n">
        <v>0.587143503847895</v>
      </c>
      <c r="V40" s="57" t="n">
        <v>2323</v>
      </c>
      <c r="W40" s="58" t="n">
        <v>0.0606122259008943</v>
      </c>
      <c r="X40" s="59" t="s">
        <v>136</v>
      </c>
      <c r="Y40" s="59" t="s">
        <v>132</v>
      </c>
    </row>
    <row r="41" customFormat="false" ht="15" hidden="false" customHeight="false" outlineLevel="0" collapsed="false">
      <c r="A41" s="32" t="s">
        <v>157</v>
      </c>
      <c r="B41" s="32" t="s">
        <v>164</v>
      </c>
      <c r="C41" s="32" t="s">
        <v>129</v>
      </c>
      <c r="D41" s="54" t="n">
        <f aca="false">ROUND(S41*T41,0)</f>
        <v>2909</v>
      </c>
      <c r="E41" s="54" t="n">
        <f aca="false">ROUND(S41,0)-D41</f>
        <v>2479</v>
      </c>
      <c r="F41" s="54" t="n">
        <f aca="false">IF(COUNTA(D41:E41)=0,"",SUM(D41:E41))</f>
        <v>5388</v>
      </c>
      <c r="G41" s="55" t="n">
        <f aca="false">IF(OR(F41="",F41=0),"",D41/F41)</f>
        <v>0.539903489235338</v>
      </c>
      <c r="H41" s="55" t="n">
        <f aca="false">IF(OR(F41="",F41=0),"",E41/F41)</f>
        <v>0.460096510764662</v>
      </c>
      <c r="I41" s="32" t="s">
        <v>130</v>
      </c>
      <c r="J41" s="36" t="n">
        <v>1.66030146977751</v>
      </c>
      <c r="K41" s="36" t="n">
        <f aca="false">$K$8</f>
        <v>1.81112011827341</v>
      </c>
      <c r="L41" s="36" t="n">
        <f aca="false">SQRT(J41^2+K41^2)</f>
        <v>2.45698128876881</v>
      </c>
      <c r="M41" s="55" t="n">
        <f aca="false">IF(G41="","",MAX(0,G41-1.96*L41/100))</f>
        <v>0.491746655975469</v>
      </c>
      <c r="N41" s="55" t="n">
        <f aca="false">IF(G41="","",MIN(1,G41+1.96*L41/100))</f>
        <v>0.588060322495207</v>
      </c>
      <c r="O41" s="54" t="n">
        <f aca="false">ROUND(S41*W41,0)</f>
        <v>297</v>
      </c>
      <c r="P41" s="54" t="n">
        <f aca="false">IF(F41="","",ROUND(SQRT((F41*L41/100)^2+(G41*O41)^2),0))</f>
        <v>208</v>
      </c>
      <c r="R41" s="56" t="n">
        <v>12.236722091082</v>
      </c>
      <c r="S41" s="57" t="n">
        <f aca="false">U41*V41*$F$5</f>
        <v>5388.18679314119</v>
      </c>
      <c r="T41" s="58" t="n">
        <f aca="false">MAX(0,MIN(1,R41/100+$D$5))</f>
        <v>0.539915003927606</v>
      </c>
      <c r="U41" s="58" t="n">
        <v>0.618265839717865</v>
      </c>
      <c r="V41" s="57" t="n">
        <v>8715</v>
      </c>
      <c r="W41" s="58" t="n">
        <v>0.0551273752894184</v>
      </c>
      <c r="X41" s="59" t="s">
        <v>152</v>
      </c>
      <c r="Y41" s="59" t="s">
        <v>132</v>
      </c>
    </row>
    <row r="42" customFormat="false" ht="15" hidden="false" customHeight="false" outlineLevel="0" collapsed="false">
      <c r="A42" s="32" t="s">
        <v>157</v>
      </c>
      <c r="B42" s="32" t="s">
        <v>165</v>
      </c>
      <c r="C42" s="32" t="s">
        <v>129</v>
      </c>
      <c r="D42" s="54" t="n">
        <f aca="false">ROUND(S42*T42,0)</f>
        <v>1077</v>
      </c>
      <c r="E42" s="54" t="n">
        <f aca="false">ROUND(S42,0)-D42</f>
        <v>528</v>
      </c>
      <c r="F42" s="54" t="n">
        <f aca="false">IF(COUNTA(D42:E42)=0,"",SUM(D42:E42))</f>
        <v>1605</v>
      </c>
      <c r="G42" s="55" t="n">
        <f aca="false">IF(OR(F42="",F42=0),"",D42/F42)</f>
        <v>0.671028037383178</v>
      </c>
      <c r="H42" s="55" t="n">
        <f aca="false">IF(OR(F42="",F42=0),"",E42/F42)</f>
        <v>0.328971962616822</v>
      </c>
      <c r="I42" s="32" t="s">
        <v>130</v>
      </c>
      <c r="J42" s="36" t="n">
        <v>1.97153343103611</v>
      </c>
      <c r="K42" s="36" t="n">
        <f aca="false">$K$8</f>
        <v>1.81112011827341</v>
      </c>
      <c r="L42" s="36" t="n">
        <f aca="false">SQRT(J42^2+K42^2)</f>
        <v>2.67714402909289</v>
      </c>
      <c r="M42" s="55" t="n">
        <f aca="false">IF(G42="","",MAX(0,G42-1.96*L42/100))</f>
        <v>0.618556014412957</v>
      </c>
      <c r="N42" s="55" t="n">
        <f aca="false">IF(G42="","",MIN(1,G42+1.96*L42/100))</f>
        <v>0.723500060353398</v>
      </c>
      <c r="O42" s="54" t="n">
        <f aca="false">ROUND(S42*W42,0)</f>
        <v>97</v>
      </c>
      <c r="P42" s="54" t="n">
        <f aca="false">IF(F42="","",ROUND(SQRT((F42*L42/100)^2+(G42*O42)^2),0))</f>
        <v>78</v>
      </c>
      <c r="R42" s="56" t="n">
        <v>25.3258552625878</v>
      </c>
      <c r="S42" s="57" t="n">
        <f aca="false">U42*V42*$F$5</f>
        <v>1605.4392182842</v>
      </c>
      <c r="T42" s="58" t="n">
        <f aca="false">MAX(0,MIN(1,R42/100+$D$5))</f>
        <v>0.670806335642664</v>
      </c>
      <c r="U42" s="58" t="n">
        <v>0.513083802583637</v>
      </c>
      <c r="V42" s="57" t="n">
        <v>3129</v>
      </c>
      <c r="W42" s="58" t="n">
        <v>0.0606122259008943</v>
      </c>
      <c r="X42" s="59" t="s">
        <v>136</v>
      </c>
      <c r="Y42" s="59" t="s">
        <v>132</v>
      </c>
    </row>
    <row r="43" customFormat="false" ht="15" hidden="false" customHeight="false" outlineLevel="0" collapsed="false">
      <c r="A43" s="32" t="s">
        <v>157</v>
      </c>
      <c r="B43" s="32" t="s">
        <v>166</v>
      </c>
      <c r="C43" s="32" t="s">
        <v>129</v>
      </c>
      <c r="D43" s="54" t="n">
        <f aca="false">ROUND(S43*T43,0)</f>
        <v>262</v>
      </c>
      <c r="E43" s="54" t="n">
        <f aca="false">ROUND(S43,0)-D43</f>
        <v>222</v>
      </c>
      <c r="F43" s="54" t="n">
        <f aca="false">IF(COUNTA(D43:E43)=0,"",SUM(D43:E43))</f>
        <v>484</v>
      </c>
      <c r="G43" s="55" t="n">
        <f aca="false">IF(OR(F43="",F43=0),"",D43/F43)</f>
        <v>0.541322314049587</v>
      </c>
      <c r="H43" s="55" t="n">
        <f aca="false">IF(OR(F43="",F43=0),"",E43/F43)</f>
        <v>0.458677685950413</v>
      </c>
      <c r="I43" s="32" t="s">
        <v>130</v>
      </c>
      <c r="J43" s="36" t="n">
        <v>3.01271836260465</v>
      </c>
      <c r="K43" s="36" t="n">
        <f aca="false">$K$8</f>
        <v>1.81112011827341</v>
      </c>
      <c r="L43" s="36" t="n">
        <f aca="false">SQRT(J43^2+K43^2)</f>
        <v>3.51519956975275</v>
      </c>
      <c r="M43" s="55" t="n">
        <f aca="false">IF(G43="","",MAX(0,G43-1.96*L43/100))</f>
        <v>0.472424402482433</v>
      </c>
      <c r="N43" s="55" t="n">
        <f aca="false">IF(G43="","",MIN(1,G43+1.96*L43/100))</f>
        <v>0.610220225616741</v>
      </c>
      <c r="O43" s="54" t="n">
        <f aca="false">ROUND(S43*W43,0)</f>
        <v>38</v>
      </c>
      <c r="P43" s="54" t="n">
        <f aca="false">IF(F43="","",ROUND(SQRT((F43*L43/100)^2+(G43*O43)^2),0))</f>
        <v>27</v>
      </c>
      <c r="R43" s="56" t="n">
        <v>12.4166360177587</v>
      </c>
      <c r="S43" s="57" t="n">
        <f aca="false">U43*V43*$F$5</f>
        <v>483.913480885312</v>
      </c>
      <c r="T43" s="58" t="n">
        <f aca="false">MAX(0,MIN(1,R43/100+$D$5))</f>
        <v>0.541714143194373</v>
      </c>
      <c r="U43" s="58" t="n">
        <v>0.469818913480885</v>
      </c>
      <c r="V43" s="57" t="n">
        <v>1030</v>
      </c>
      <c r="W43" s="58" t="n">
        <v>0.0777040344688333</v>
      </c>
      <c r="X43" s="59" t="s">
        <v>131</v>
      </c>
      <c r="Y43" s="59" t="s">
        <v>132</v>
      </c>
    </row>
    <row r="44" customFormat="false" ht="15" hidden="false" customHeight="false" outlineLevel="0" collapsed="false">
      <c r="A44" s="32" t="s">
        <v>157</v>
      </c>
      <c r="B44" s="32" t="s">
        <v>167</v>
      </c>
      <c r="C44" s="32" t="s">
        <v>129</v>
      </c>
      <c r="D44" s="54" t="n">
        <f aca="false">ROUND(S44*T44,0)</f>
        <v>515</v>
      </c>
      <c r="E44" s="54" t="n">
        <f aca="false">ROUND(S44,0)-D44</f>
        <v>1142</v>
      </c>
      <c r="F44" s="54" t="n">
        <f aca="false">IF(COUNTA(D44:E44)=0,"",SUM(D44:E44))</f>
        <v>1657</v>
      </c>
      <c r="G44" s="55" t="n">
        <f aca="false">IF(OR(F44="",F44=0),"",D44/F44)</f>
        <v>0.310802655401328</v>
      </c>
      <c r="H44" s="55" t="n">
        <f aca="false">IF(OR(F44="",F44=0),"",E44/F44)</f>
        <v>0.689197344598672</v>
      </c>
      <c r="I44" s="32" t="s">
        <v>130</v>
      </c>
      <c r="J44" s="36" t="n">
        <v>1.97153343103611</v>
      </c>
      <c r="K44" s="36" t="n">
        <f aca="false">$K$8</f>
        <v>1.81112011827341</v>
      </c>
      <c r="L44" s="36" t="n">
        <f aca="false">SQRT(J44^2+K44^2)</f>
        <v>2.67714402909289</v>
      </c>
      <c r="M44" s="55" t="n">
        <f aca="false">IF(G44="","",MAX(0,G44-1.96*L44/100))</f>
        <v>0.258330632431107</v>
      </c>
      <c r="N44" s="55" t="n">
        <f aca="false">IF(G44="","",MIN(1,G44+1.96*L44/100))</f>
        <v>0.363274678371548</v>
      </c>
      <c r="O44" s="54" t="n">
        <f aca="false">ROUND(S44*W44,0)</f>
        <v>100</v>
      </c>
      <c r="P44" s="54" t="n">
        <f aca="false">IF(F44="","",ROUND(SQRT((F44*L44/100)^2+(G44*O44)^2),0))</f>
        <v>54</v>
      </c>
      <c r="R44" s="56" t="n">
        <v>-10.6438700336378</v>
      </c>
      <c r="S44" s="57" t="n">
        <f aca="false">U44*V44*$F$5</f>
        <v>1656.73758865248</v>
      </c>
      <c r="T44" s="58" t="n">
        <f aca="false">MAX(0,MIN(1,R44/100+$D$5))</f>
        <v>0.311109082680408</v>
      </c>
      <c r="U44" s="58" t="n">
        <v>0.66750104297038</v>
      </c>
      <c r="V44" s="57" t="n">
        <v>2482</v>
      </c>
      <c r="W44" s="58" t="n">
        <v>0.0606122259008943</v>
      </c>
      <c r="X44" s="59" t="s">
        <v>136</v>
      </c>
      <c r="Y44" s="59" t="s">
        <v>132</v>
      </c>
    </row>
    <row r="45" customFormat="false" ht="15" hidden="false" customHeight="false" outlineLevel="0" collapsed="false">
      <c r="A45" s="32" t="s">
        <v>157</v>
      </c>
      <c r="B45" s="32" t="s">
        <v>168</v>
      </c>
      <c r="C45" s="32" t="s">
        <v>129</v>
      </c>
      <c r="D45" s="54" t="n">
        <f aca="false">ROUND(S45*T45,0)</f>
        <v>8247</v>
      </c>
      <c r="E45" s="54" t="n">
        <f aca="false">ROUND(S45,0)-D45</f>
        <v>8088</v>
      </c>
      <c r="F45" s="54" t="n">
        <f aca="false">IF(COUNTA(D45:E45)=0,"",SUM(D45:E45))</f>
        <v>16335</v>
      </c>
      <c r="G45" s="55" t="n">
        <f aca="false">IF(OR(F45="",F45=0),"",D45/F45)</f>
        <v>0.504866850321396</v>
      </c>
      <c r="H45" s="55" t="n">
        <f aca="false">IF(OR(F45="",F45=0),"",E45/F45)</f>
        <v>0.495133149678604</v>
      </c>
      <c r="I45" s="32" t="s">
        <v>130</v>
      </c>
      <c r="J45" s="36" t="n">
        <v>1.66030146977751</v>
      </c>
      <c r="K45" s="36" t="n">
        <f aca="false">$K$8</f>
        <v>1.81112011827341</v>
      </c>
      <c r="L45" s="36" t="n">
        <f aca="false">SQRT(J45^2+K45^2)</f>
        <v>2.45698128876881</v>
      </c>
      <c r="M45" s="55" t="n">
        <f aca="false">IF(G45="","",MAX(0,G45-1.96*L45/100))</f>
        <v>0.456710017061527</v>
      </c>
      <c r="N45" s="55" t="n">
        <f aca="false">IF(G45="","",MIN(1,G45+1.96*L45/100))</f>
        <v>0.553023683581265</v>
      </c>
      <c r="O45" s="54" t="n">
        <f aca="false">ROUND(S45*W45,0)</f>
        <v>900</v>
      </c>
      <c r="P45" s="54" t="n">
        <f aca="false">IF(F45="","",ROUND(SQRT((F45*L45/100)^2+(G45*O45)^2),0))</f>
        <v>606</v>
      </c>
      <c r="R45" s="56" t="n">
        <v>8.73463020146038</v>
      </c>
      <c r="S45" s="57" t="n">
        <f aca="false">U45*V45*$F$5</f>
        <v>16334.7109624891</v>
      </c>
      <c r="T45" s="58" t="n">
        <f aca="false">MAX(0,MIN(1,R45/100+$D$5))</f>
        <v>0.50489408503139</v>
      </c>
      <c r="U45" s="58" t="n">
        <v>0.662692643210236</v>
      </c>
      <c r="V45" s="57" t="n">
        <v>24649</v>
      </c>
      <c r="W45" s="58" t="n">
        <v>0.0551273752894184</v>
      </c>
      <c r="X45" s="59" t="s">
        <v>152</v>
      </c>
      <c r="Y45" s="59" t="s">
        <v>132</v>
      </c>
    </row>
    <row r="46" customFormat="false" ht="15" hidden="false" customHeight="false" outlineLevel="0" collapsed="false">
      <c r="A46" s="32" t="s">
        <v>157</v>
      </c>
      <c r="B46" s="32" t="s">
        <v>169</v>
      </c>
      <c r="C46" s="32" t="s">
        <v>129</v>
      </c>
      <c r="D46" s="54" t="n">
        <f aca="false">ROUND(S46*T46,0)</f>
        <v>818</v>
      </c>
      <c r="E46" s="54" t="n">
        <f aca="false">ROUND(S46,0)-D46</f>
        <v>1386</v>
      </c>
      <c r="F46" s="54" t="n">
        <f aca="false">IF(COUNTA(D46:E46)=0,"",SUM(D46:E46))</f>
        <v>2204</v>
      </c>
      <c r="G46" s="55" t="n">
        <f aca="false">IF(OR(F46="",F46=0),"",D46/F46)</f>
        <v>0.371143375680581</v>
      </c>
      <c r="H46" s="55" t="n">
        <f aca="false">IF(OR(F46="",F46=0),"",E46/F46)</f>
        <v>0.628856624319419</v>
      </c>
      <c r="I46" s="32" t="s">
        <v>130</v>
      </c>
      <c r="J46" s="36" t="n">
        <v>1.97153343103611</v>
      </c>
      <c r="K46" s="36" t="n">
        <f aca="false">$K$8</f>
        <v>1.81112011827341</v>
      </c>
      <c r="L46" s="36" t="n">
        <f aca="false">SQRT(J46^2+K46^2)</f>
        <v>2.67714402909289</v>
      </c>
      <c r="M46" s="55" t="n">
        <f aca="false">IF(G46="","",MAX(0,G46-1.96*L46/100))</f>
        <v>0.31867135271036</v>
      </c>
      <c r="N46" s="55" t="n">
        <f aca="false">IF(G46="","",MIN(1,G46+1.96*L46/100))</f>
        <v>0.423615398650801</v>
      </c>
      <c r="O46" s="54" t="n">
        <f aca="false">ROUND(S46*W46,0)</f>
        <v>134</v>
      </c>
      <c r="P46" s="54" t="n">
        <f aca="false">IF(F46="","",ROUND(SQRT((F46*L46/100)^2+(G46*O46)^2),0))</f>
        <v>77</v>
      </c>
      <c r="R46" s="56" t="n">
        <v>-4.65992738542736</v>
      </c>
      <c r="S46" s="57" t="n">
        <f aca="false">U46*V46*$F$5</f>
        <v>2204.10505319149</v>
      </c>
      <c r="T46" s="58" t="n">
        <f aca="false">MAX(0,MIN(1,R46/100+$D$5))</f>
        <v>0.370948509162512</v>
      </c>
      <c r="U46" s="58" t="n">
        <v>0.718417553191489</v>
      </c>
      <c r="V46" s="57" t="n">
        <v>3068</v>
      </c>
      <c r="W46" s="58" t="n">
        <v>0.0606122259008943</v>
      </c>
      <c r="X46" s="59" t="s">
        <v>136</v>
      </c>
      <c r="Y46" s="59" t="s">
        <v>132</v>
      </c>
    </row>
    <row r="47" customFormat="false" ht="15" hidden="false" customHeight="false" outlineLevel="0" collapsed="false">
      <c r="A47" s="32" t="s">
        <v>157</v>
      </c>
      <c r="B47" s="32" t="s">
        <v>170</v>
      </c>
      <c r="C47" s="32" t="s">
        <v>129</v>
      </c>
      <c r="D47" s="54" t="n">
        <f aca="false">ROUND(S47*T47,0)</f>
        <v>435</v>
      </c>
      <c r="E47" s="54" t="n">
        <f aca="false">ROUND(S47,0)-D47</f>
        <v>802</v>
      </c>
      <c r="F47" s="54" t="n">
        <f aca="false">IF(COUNTA(D47:E47)=0,"",SUM(D47:E47))</f>
        <v>1237</v>
      </c>
      <c r="G47" s="55" t="n">
        <f aca="false">IF(OR(F47="",F47=0),"",D47/F47)</f>
        <v>0.351657235246564</v>
      </c>
      <c r="H47" s="55" t="n">
        <f aca="false">IF(OR(F47="",F47=0),"",E47/F47)</f>
        <v>0.648342764753436</v>
      </c>
      <c r="I47" s="32" t="s">
        <v>130</v>
      </c>
      <c r="J47" s="36" t="n">
        <v>3.01271836260465</v>
      </c>
      <c r="K47" s="36" t="n">
        <f aca="false">$K$8</f>
        <v>1.81112011827341</v>
      </c>
      <c r="L47" s="36" t="n">
        <f aca="false">SQRT(J47^2+K47^2)</f>
        <v>3.51519956975275</v>
      </c>
      <c r="M47" s="55" t="n">
        <f aca="false">IF(G47="","",MAX(0,G47-1.96*L47/100))</f>
        <v>0.28275932367941</v>
      </c>
      <c r="N47" s="55" t="n">
        <f aca="false">IF(G47="","",MIN(1,G47+1.96*L47/100))</f>
        <v>0.420555146813718</v>
      </c>
      <c r="O47" s="54" t="n">
        <f aca="false">ROUND(S47*W47,0)</f>
        <v>96</v>
      </c>
      <c r="P47" s="54" t="n">
        <f aca="false">IF(F47="","",ROUND(SQRT((F47*L47/100)^2+(G47*O47)^2),0))</f>
        <v>55</v>
      </c>
      <c r="R47" s="56" t="n">
        <v>-6.55537741913833</v>
      </c>
      <c r="S47" s="57" t="n">
        <f aca="false">U47*V47*$F$5</f>
        <v>1236.97340124505</v>
      </c>
      <c r="T47" s="58" t="n">
        <f aca="false">MAX(0,MIN(1,R47/100+$D$5))</f>
        <v>0.351994008825403</v>
      </c>
      <c r="U47" s="58" t="n">
        <v>0.688737973967176</v>
      </c>
      <c r="V47" s="57" t="n">
        <v>1796</v>
      </c>
      <c r="W47" s="58" t="n">
        <v>0.0777040344688333</v>
      </c>
      <c r="X47" s="59" t="s">
        <v>131</v>
      </c>
      <c r="Y47" s="59" t="s">
        <v>132</v>
      </c>
    </row>
    <row r="48" customFormat="false" ht="15" hidden="false" customHeight="false" outlineLevel="0" collapsed="false">
      <c r="A48" s="32" t="s">
        <v>157</v>
      </c>
      <c r="B48" s="32" t="s">
        <v>171</v>
      </c>
      <c r="C48" s="32" t="s">
        <v>129</v>
      </c>
      <c r="D48" s="54" t="n">
        <f aca="false">ROUND(S48*T48,0)</f>
        <v>673</v>
      </c>
      <c r="E48" s="54" t="n">
        <f aca="false">ROUND(S48,0)-D48</f>
        <v>1519</v>
      </c>
      <c r="F48" s="54" t="n">
        <f aca="false">IF(COUNTA(D48:E48)=0,"",SUM(D48:E48))</f>
        <v>2192</v>
      </c>
      <c r="G48" s="55" t="n">
        <f aca="false">IF(OR(F48="",F48=0),"",D48/F48)</f>
        <v>0.307025547445255</v>
      </c>
      <c r="H48" s="55" t="n">
        <f aca="false">IF(OR(F48="",F48=0),"",E48/F48)</f>
        <v>0.692974452554745</v>
      </c>
      <c r="I48" s="32" t="s">
        <v>130</v>
      </c>
      <c r="J48" s="36" t="n">
        <v>1.97153343103611</v>
      </c>
      <c r="K48" s="36" t="n">
        <f aca="false">$K$8</f>
        <v>1.81112011827341</v>
      </c>
      <c r="L48" s="36" t="n">
        <f aca="false">SQRT(J48^2+K48^2)</f>
        <v>2.67714402909289</v>
      </c>
      <c r="M48" s="55" t="n">
        <f aca="false">IF(G48="","",MAX(0,G48-1.96*L48/100))</f>
        <v>0.254553524475035</v>
      </c>
      <c r="N48" s="55" t="n">
        <f aca="false">IF(G48="","",MIN(1,G48+1.96*L48/100))</f>
        <v>0.359497570415476</v>
      </c>
      <c r="O48" s="54" t="n">
        <f aca="false">ROUND(S48*W48,0)</f>
        <v>133</v>
      </c>
      <c r="P48" s="54" t="n">
        <f aca="false">IF(F48="","",ROUND(SQRT((F48*L48/100)^2+(G48*O48)^2),0))</f>
        <v>71</v>
      </c>
      <c r="R48" s="56" t="n">
        <v>-11.0560073265366</v>
      </c>
      <c r="S48" s="57" t="n">
        <f aca="false">U48*V48*$F$5</f>
        <v>2191.88036117382</v>
      </c>
      <c r="T48" s="58" t="n">
        <f aca="false">MAX(0,MIN(1,R48/100+$D$5))</f>
        <v>0.30698770975142</v>
      </c>
      <c r="U48" s="58" t="n">
        <v>0.694292163818123</v>
      </c>
      <c r="V48" s="57" t="n">
        <v>3157</v>
      </c>
      <c r="W48" s="58" t="n">
        <v>0.0606122259008943</v>
      </c>
      <c r="X48" s="59" t="s">
        <v>136</v>
      </c>
      <c r="Y48" s="59" t="s">
        <v>132</v>
      </c>
    </row>
    <row r="49" customFormat="false" ht="15" hidden="false" customHeight="false" outlineLevel="0" collapsed="false">
      <c r="A49" s="32" t="s">
        <v>157</v>
      </c>
      <c r="B49" s="32" t="s">
        <v>172</v>
      </c>
      <c r="C49" s="32" t="s">
        <v>129</v>
      </c>
      <c r="D49" s="54" t="n">
        <f aca="false">ROUND(S49*T49,0)</f>
        <v>808</v>
      </c>
      <c r="E49" s="54" t="n">
        <f aca="false">ROUND(S49,0)-D49</f>
        <v>705</v>
      </c>
      <c r="F49" s="54" t="n">
        <f aca="false">IF(COUNTA(D49:E49)=0,"",SUM(D49:E49))</f>
        <v>1513</v>
      </c>
      <c r="G49" s="55" t="n">
        <f aca="false">IF(OR(F49="",F49=0),"",D49/F49)</f>
        <v>0.534038334434898</v>
      </c>
      <c r="H49" s="55" t="n">
        <f aca="false">IF(OR(F49="",F49=0),"",E49/F49)</f>
        <v>0.465961665565102</v>
      </c>
      <c r="I49" s="32" t="s">
        <v>130</v>
      </c>
      <c r="J49" s="36" t="n">
        <v>1.97153343103611</v>
      </c>
      <c r="K49" s="36" t="n">
        <f aca="false">$K$8</f>
        <v>1.81112011827341</v>
      </c>
      <c r="L49" s="36" t="n">
        <f aca="false">SQRT(J49^2+K49^2)</f>
        <v>2.67714402909289</v>
      </c>
      <c r="M49" s="55" t="n">
        <f aca="false">IF(G49="","",MAX(0,G49-1.96*L49/100))</f>
        <v>0.481566311464677</v>
      </c>
      <c r="N49" s="55" t="n">
        <f aca="false">IF(G49="","",MIN(1,G49+1.96*L49/100))</f>
        <v>0.586510357405118</v>
      </c>
      <c r="O49" s="54" t="n">
        <f aca="false">ROUND(S49*W49,0)</f>
        <v>92</v>
      </c>
      <c r="P49" s="54" t="n">
        <f aca="false">IF(F49="","",ROUND(SQRT((F49*L49/100)^2+(G49*O49)^2),0))</f>
        <v>64</v>
      </c>
      <c r="R49" s="56" t="n">
        <v>11.6838063019047</v>
      </c>
      <c r="S49" s="57" t="n">
        <f aca="false">U49*V49*$F$5</f>
        <v>1512.74151436031</v>
      </c>
      <c r="T49" s="58" t="n">
        <f aca="false">MAX(0,MIN(1,R49/100+$D$5))</f>
        <v>0.534385846035833</v>
      </c>
      <c r="U49" s="58" t="n">
        <v>0.616187989556136</v>
      </c>
      <c r="V49" s="57" t="n">
        <v>2455</v>
      </c>
      <c r="W49" s="58" t="n">
        <v>0.0606122259008943</v>
      </c>
      <c r="X49" s="59" t="s">
        <v>136</v>
      </c>
      <c r="Y49" s="59" t="s">
        <v>132</v>
      </c>
    </row>
    <row r="50" customFormat="false" ht="15" hidden="false" customHeight="false" outlineLevel="0" collapsed="false">
      <c r="A50" s="32" t="s">
        <v>157</v>
      </c>
      <c r="B50" s="32" t="s">
        <v>173</v>
      </c>
      <c r="C50" s="32" t="s">
        <v>129</v>
      </c>
      <c r="D50" s="54" t="n">
        <f aca="false">ROUND(S50*T50,0)</f>
        <v>3279</v>
      </c>
      <c r="E50" s="54" t="n">
        <f aca="false">ROUND(S50,0)-D50</f>
        <v>4618</v>
      </c>
      <c r="F50" s="54" t="n">
        <f aca="false">IF(COUNTA(D50:E50)=0,"",SUM(D50:E50))</f>
        <v>7897</v>
      </c>
      <c r="G50" s="55" t="n">
        <f aca="false">IF(OR(F50="",F50=0),"",D50/F50)</f>
        <v>0.415220969988603</v>
      </c>
      <c r="H50" s="55" t="n">
        <f aca="false">IF(OR(F50="",F50=0),"",E50/F50)</f>
        <v>0.584779030011397</v>
      </c>
      <c r="I50" s="32" t="s">
        <v>130</v>
      </c>
      <c r="J50" s="36" t="n">
        <v>1.66030146977751</v>
      </c>
      <c r="K50" s="36" t="n">
        <f aca="false">$K$8</f>
        <v>1.81112011827341</v>
      </c>
      <c r="L50" s="36" t="n">
        <f aca="false">SQRT(J50^2+K50^2)</f>
        <v>2.45698128876881</v>
      </c>
      <c r="M50" s="55" t="n">
        <f aca="false">IF(G50="","",MAX(0,G50-1.96*L50/100))</f>
        <v>0.367064136728735</v>
      </c>
      <c r="N50" s="55" t="n">
        <f aca="false">IF(G50="","",MIN(1,G50+1.96*L50/100))</f>
        <v>0.463377803248472</v>
      </c>
      <c r="O50" s="54" t="n">
        <f aca="false">ROUND(S50*W50,0)</f>
        <v>435</v>
      </c>
      <c r="P50" s="54" t="n">
        <f aca="false">IF(F50="","",ROUND(SQRT((F50*L50/100)^2+(G50*O50)^2),0))</f>
        <v>265</v>
      </c>
      <c r="R50" s="56" t="n">
        <v>-0.225735611657242</v>
      </c>
      <c r="S50" s="57" t="n">
        <f aca="false">U50*V50*$F$5</f>
        <v>7896.5113304721</v>
      </c>
      <c r="T50" s="58" t="n">
        <f aca="false">MAX(0,MIN(1,R50/100+$D$5))</f>
        <v>0.415290426900214</v>
      </c>
      <c r="U50" s="58" t="n">
        <v>0.662403433476395</v>
      </c>
      <c r="V50" s="57" t="n">
        <v>11921</v>
      </c>
      <c r="W50" s="58" t="n">
        <v>0.0551273752894184</v>
      </c>
      <c r="X50" s="59" t="s">
        <v>152</v>
      </c>
      <c r="Y50" s="59" t="s">
        <v>132</v>
      </c>
    </row>
    <row r="51" customFormat="false" ht="15" hidden="false" customHeight="false" outlineLevel="0" collapsed="false">
      <c r="A51" s="32" t="s">
        <v>157</v>
      </c>
      <c r="B51" s="32" t="s">
        <v>174</v>
      </c>
      <c r="C51" s="32" t="s">
        <v>129</v>
      </c>
      <c r="D51" s="54" t="n">
        <f aca="false">ROUND(S51*T51,0)</f>
        <v>3225</v>
      </c>
      <c r="E51" s="54" t="n">
        <f aca="false">ROUND(S51,0)-D51</f>
        <v>3205</v>
      </c>
      <c r="F51" s="54" t="n">
        <f aca="false">IF(COUNTA(D51:E51)=0,"",SUM(D51:E51))</f>
        <v>6430</v>
      </c>
      <c r="G51" s="55" t="n">
        <f aca="false">IF(OR(F51="",F51=0),"",D51/F51)</f>
        <v>0.501555209953344</v>
      </c>
      <c r="H51" s="55" t="n">
        <f aca="false">IF(OR(F51="",F51=0),"",E51/F51)</f>
        <v>0.498444790046656</v>
      </c>
      <c r="I51" s="32" t="s">
        <v>130</v>
      </c>
      <c r="J51" s="36" t="n">
        <v>1.66030146977751</v>
      </c>
      <c r="K51" s="36" t="n">
        <f aca="false">$K$8</f>
        <v>1.81112011827341</v>
      </c>
      <c r="L51" s="36" t="n">
        <f aca="false">SQRT(J51^2+K51^2)</f>
        <v>2.45698128876881</v>
      </c>
      <c r="M51" s="55" t="n">
        <f aca="false">IF(G51="","",MAX(0,G51-1.96*L51/100))</f>
        <v>0.453398376693475</v>
      </c>
      <c r="N51" s="55" t="n">
        <f aca="false">IF(G51="","",MIN(1,G51+1.96*L51/100))</f>
        <v>0.549712043213212</v>
      </c>
      <c r="O51" s="54" t="n">
        <f aca="false">ROUND(S51*W51,0)</f>
        <v>354</v>
      </c>
      <c r="P51" s="54" t="n">
        <f aca="false">IF(F51="","",ROUND(SQRT((F51*L51/100)^2+(G51*O51)^2),0))</f>
        <v>238</v>
      </c>
      <c r="R51" s="56" t="n">
        <v>8.39695048026067</v>
      </c>
      <c r="S51" s="57" t="n">
        <f aca="false">U51*V51*$F$5</f>
        <v>6429.9709076009</v>
      </c>
      <c r="T51" s="58" t="n">
        <f aca="false">MAX(0,MIN(1,R51/100+$D$5))</f>
        <v>0.501517287819393</v>
      </c>
      <c r="U51" s="58" t="n">
        <v>0.652325343167384</v>
      </c>
      <c r="V51" s="57" t="n">
        <v>9857</v>
      </c>
      <c r="W51" s="58" t="n">
        <v>0.0551273752894184</v>
      </c>
      <c r="X51" s="59" t="s">
        <v>152</v>
      </c>
      <c r="Y51" s="59" t="s">
        <v>132</v>
      </c>
    </row>
    <row r="52" customFormat="false" ht="15" hidden="false" customHeight="false" outlineLevel="0" collapsed="false">
      <c r="A52" s="32" t="s">
        <v>157</v>
      </c>
      <c r="B52" s="32" t="s">
        <v>175</v>
      </c>
      <c r="C52" s="32" t="s">
        <v>129</v>
      </c>
      <c r="D52" s="54" t="n">
        <f aca="false">ROUND(S52*T52,0)</f>
        <v>586</v>
      </c>
      <c r="E52" s="54" t="n">
        <f aca="false">ROUND(S52,0)-D52</f>
        <v>804</v>
      </c>
      <c r="F52" s="54" t="n">
        <f aca="false">IF(COUNTA(D52:E52)=0,"",SUM(D52:E52))</f>
        <v>1390</v>
      </c>
      <c r="G52" s="55" t="n">
        <f aca="false">IF(OR(F52="",F52=0),"",D52/F52)</f>
        <v>0.42158273381295</v>
      </c>
      <c r="H52" s="55" t="n">
        <f aca="false">IF(OR(F52="",F52=0),"",E52/F52)</f>
        <v>0.57841726618705</v>
      </c>
      <c r="I52" s="32" t="s">
        <v>130</v>
      </c>
      <c r="J52" s="36" t="n">
        <v>1.97153343103611</v>
      </c>
      <c r="K52" s="36" t="n">
        <f aca="false">$K$8</f>
        <v>1.81112011827341</v>
      </c>
      <c r="L52" s="36" t="n">
        <f aca="false">SQRT(J52^2+K52^2)</f>
        <v>2.67714402909289</v>
      </c>
      <c r="M52" s="55" t="n">
        <f aca="false">IF(G52="","",MAX(0,G52-1.96*L52/100))</f>
        <v>0.369110710842729</v>
      </c>
      <c r="N52" s="55" t="n">
        <f aca="false">IF(G52="","",MIN(1,G52+1.96*L52/100))</f>
        <v>0.47405475678317</v>
      </c>
      <c r="O52" s="54" t="n">
        <f aca="false">ROUND(S52*W52,0)</f>
        <v>84</v>
      </c>
      <c r="P52" s="54" t="n">
        <f aca="false">IF(F52="","",ROUND(SQRT((F52*L52/100)^2+(G52*O52)^2),0))</f>
        <v>51</v>
      </c>
      <c r="R52" s="56" t="n">
        <v>0.433582894761497</v>
      </c>
      <c r="S52" s="57" t="n">
        <f aca="false">U52*V52*$F$5</f>
        <v>1390.15942028986</v>
      </c>
      <c r="T52" s="58" t="n">
        <f aca="false">MAX(0,MIN(1,R52/100+$D$5))</f>
        <v>0.421883611964401</v>
      </c>
      <c r="U52" s="58" t="n">
        <v>0.529181355268312</v>
      </c>
      <c r="V52" s="57" t="n">
        <v>2627</v>
      </c>
      <c r="W52" s="58" t="n">
        <v>0.0606122259008943</v>
      </c>
      <c r="X52" s="59" t="s">
        <v>136</v>
      </c>
      <c r="Y52" s="59" t="s">
        <v>132</v>
      </c>
    </row>
    <row r="53" customFormat="false" ht="15" hidden="false" customHeight="false" outlineLevel="0" collapsed="false">
      <c r="A53" s="32" t="s">
        <v>157</v>
      </c>
      <c r="B53" s="32" t="s">
        <v>176</v>
      </c>
      <c r="C53" s="32" t="s">
        <v>129</v>
      </c>
      <c r="D53" s="54" t="n">
        <f aca="false">ROUND(S53*T53,0)</f>
        <v>5647</v>
      </c>
      <c r="E53" s="54" t="n">
        <f aca="false">ROUND(S53,0)-D53</f>
        <v>4839</v>
      </c>
      <c r="F53" s="54" t="n">
        <f aca="false">IF(COUNTA(D53:E53)=0,"",SUM(D53:E53))</f>
        <v>10486</v>
      </c>
      <c r="G53" s="55" t="n">
        <f aca="false">IF(OR(F53="",F53=0),"",D53/F53)</f>
        <v>0.538527560556933</v>
      </c>
      <c r="H53" s="55" t="n">
        <f aca="false">IF(OR(F53="",F53=0),"",E53/F53)</f>
        <v>0.461472439443067</v>
      </c>
      <c r="I53" s="32" t="s">
        <v>130</v>
      </c>
      <c r="J53" s="36" t="n">
        <v>1.66030146977751</v>
      </c>
      <c r="K53" s="36" t="n">
        <f aca="false">$K$8</f>
        <v>1.81112011827341</v>
      </c>
      <c r="L53" s="36" t="n">
        <f aca="false">SQRT(J53^2+K53^2)</f>
        <v>2.45698128876881</v>
      </c>
      <c r="M53" s="55" t="n">
        <f aca="false">IF(G53="","",MAX(0,G53-1.96*L53/100))</f>
        <v>0.490370727297064</v>
      </c>
      <c r="N53" s="55" t="n">
        <f aca="false">IF(G53="","",MIN(1,G53+1.96*L53/100))</f>
        <v>0.586684393816802</v>
      </c>
      <c r="O53" s="54" t="n">
        <f aca="false">ROUND(S53*W53,0)</f>
        <v>578</v>
      </c>
      <c r="P53" s="54" t="n">
        <f aca="false">IF(F53="","",ROUND(SQRT((F53*L53/100)^2+(G53*O53)^2),0))</f>
        <v>404</v>
      </c>
      <c r="R53" s="56" t="n">
        <v>12.0968002767873</v>
      </c>
      <c r="S53" s="57" t="n">
        <f aca="false">U53*V53*$F$5</f>
        <v>10486.1559171025</v>
      </c>
      <c r="T53" s="58" t="n">
        <f aca="false">MAX(0,MIN(1,R53/100+$D$5))</f>
        <v>0.538515785784659</v>
      </c>
      <c r="U53" s="58" t="n">
        <v>0.653302343598683</v>
      </c>
      <c r="V53" s="57" t="n">
        <v>16051</v>
      </c>
      <c r="W53" s="58" t="n">
        <v>0.0551273752894184</v>
      </c>
      <c r="X53" s="59" t="s">
        <v>152</v>
      </c>
      <c r="Y53" s="59" t="s">
        <v>132</v>
      </c>
    </row>
    <row r="54" customFormat="false" ht="15" hidden="false" customHeight="false" outlineLevel="0" collapsed="false">
      <c r="A54" s="32" t="s">
        <v>157</v>
      </c>
      <c r="B54" s="32" t="s">
        <v>177</v>
      </c>
      <c r="C54" s="32" t="s">
        <v>129</v>
      </c>
      <c r="D54" s="54" t="n">
        <f aca="false">ROUND(S54*T54,0)</f>
        <v>6263</v>
      </c>
      <c r="E54" s="54" t="n">
        <f aca="false">ROUND(S54,0)-D54</f>
        <v>5767</v>
      </c>
      <c r="F54" s="54" t="n">
        <f aca="false">IF(COUNTA(D54:E54)=0,"",SUM(D54:E54))</f>
        <v>12030</v>
      </c>
      <c r="G54" s="55" t="n">
        <f aca="false">IF(OR(F54="",F54=0),"",D54/F54)</f>
        <v>0.520615128844555</v>
      </c>
      <c r="H54" s="55" t="n">
        <f aca="false">IF(OR(F54="",F54=0),"",E54/F54)</f>
        <v>0.479384871155445</v>
      </c>
      <c r="I54" s="32" t="s">
        <v>130</v>
      </c>
      <c r="J54" s="36" t="n">
        <v>1.66030146977751</v>
      </c>
      <c r="K54" s="36" t="n">
        <f aca="false">$K$8</f>
        <v>1.81112011827341</v>
      </c>
      <c r="L54" s="36" t="n">
        <f aca="false">SQRT(J54^2+K54^2)</f>
        <v>2.45698128876881</v>
      </c>
      <c r="M54" s="55" t="n">
        <f aca="false">IF(G54="","",MAX(0,G54-1.96*L54/100))</f>
        <v>0.472458295584687</v>
      </c>
      <c r="N54" s="55" t="n">
        <f aca="false">IF(G54="","",MIN(1,G54+1.96*L54/100))</f>
        <v>0.568771962104424</v>
      </c>
      <c r="O54" s="54" t="n">
        <f aca="false">ROUND(S54*W54,0)</f>
        <v>663</v>
      </c>
      <c r="P54" s="54" t="n">
        <f aca="false">IF(F54="","",ROUND(SQRT((F54*L54/100)^2+(G54*O54)^2),0))</f>
        <v>454</v>
      </c>
      <c r="R54" s="56" t="n">
        <v>10.3091571454253</v>
      </c>
      <c r="S54" s="57" t="n">
        <f aca="false">U54*V54*$F$5</f>
        <v>12030.3346699902</v>
      </c>
      <c r="T54" s="58" t="n">
        <f aca="false">MAX(0,MIN(1,R54/100+$D$5))</f>
        <v>0.52063935447104</v>
      </c>
      <c r="U54" s="58" t="n">
        <v>0.610490950471443</v>
      </c>
      <c r="V54" s="57" t="n">
        <v>19706</v>
      </c>
      <c r="W54" s="58" t="n">
        <v>0.0551273752894184</v>
      </c>
      <c r="X54" s="59" t="s">
        <v>152</v>
      </c>
      <c r="Y54" s="59" t="s">
        <v>132</v>
      </c>
    </row>
    <row r="55" customFormat="false" ht="15" hidden="false" customHeight="false" outlineLevel="0" collapsed="false">
      <c r="A55" s="32" t="s">
        <v>157</v>
      </c>
      <c r="B55" s="32" t="s">
        <v>178</v>
      </c>
      <c r="C55" s="32" t="s">
        <v>129</v>
      </c>
      <c r="D55" s="54" t="n">
        <f aca="false">ROUND(S55*T55,0)</f>
        <v>2002</v>
      </c>
      <c r="E55" s="54" t="n">
        <f aca="false">ROUND(S55,0)-D55</f>
        <v>2612</v>
      </c>
      <c r="F55" s="54" t="n">
        <f aca="false">IF(COUNTA(D55:E55)=0,"",SUM(D55:E55))</f>
        <v>4614</v>
      </c>
      <c r="G55" s="55" t="n">
        <f aca="false">IF(OR(F55="",F55=0),"",D55/F55)</f>
        <v>0.433896835717382</v>
      </c>
      <c r="H55" s="55" t="n">
        <f aca="false">IF(OR(F55="",F55=0),"",E55/F55)</f>
        <v>0.566103164282618</v>
      </c>
      <c r="I55" s="32" t="s">
        <v>130</v>
      </c>
      <c r="J55" s="36" t="n">
        <v>1.66030146977751</v>
      </c>
      <c r="K55" s="36" t="n">
        <f aca="false">$K$8</f>
        <v>1.81112011827341</v>
      </c>
      <c r="L55" s="36" t="n">
        <f aca="false">SQRT(J55^2+K55^2)</f>
        <v>2.45698128876881</v>
      </c>
      <c r="M55" s="55" t="n">
        <f aca="false">IF(G55="","",MAX(0,G55-1.96*L55/100))</f>
        <v>0.385740002457513</v>
      </c>
      <c r="N55" s="55" t="n">
        <f aca="false">IF(G55="","",MIN(1,G55+1.96*L55/100))</f>
        <v>0.482053668977251</v>
      </c>
      <c r="O55" s="54" t="n">
        <f aca="false">ROUND(S55*W55,0)</f>
        <v>254</v>
      </c>
      <c r="P55" s="54" t="n">
        <f aca="false">IF(F55="","",ROUND(SQRT((F55*L55/100)^2+(G55*O55)^2),0))</f>
        <v>158</v>
      </c>
      <c r="R55" s="56" t="n">
        <v>1.64402759233702</v>
      </c>
      <c r="S55" s="57" t="n">
        <f aca="false">U55*V55*$F$5</f>
        <v>4613.50991276765</v>
      </c>
      <c r="T55" s="58" t="n">
        <f aca="false">MAX(0,MIN(1,R55/100+$D$5))</f>
        <v>0.433988058940156</v>
      </c>
      <c r="U55" s="58" t="n">
        <v>0.71086439333862</v>
      </c>
      <c r="V55" s="57" t="n">
        <v>6490</v>
      </c>
      <c r="W55" s="58" t="n">
        <v>0.0551273752894184</v>
      </c>
      <c r="X55" s="59" t="s">
        <v>152</v>
      </c>
      <c r="Y55" s="59" t="s">
        <v>132</v>
      </c>
    </row>
    <row r="56" customFormat="false" ht="15" hidden="false" customHeight="false" outlineLevel="0" collapsed="false">
      <c r="A56" s="32" t="s">
        <v>157</v>
      </c>
      <c r="B56" s="32" t="s">
        <v>179</v>
      </c>
      <c r="C56" s="32" t="s">
        <v>129</v>
      </c>
      <c r="D56" s="54" t="n">
        <f aca="false">ROUND(S56*T56,0)</f>
        <v>4580</v>
      </c>
      <c r="E56" s="54" t="n">
        <f aca="false">ROUND(S56,0)-D56</f>
        <v>4764</v>
      </c>
      <c r="F56" s="54" t="n">
        <f aca="false">IF(COUNTA(D56:E56)=0,"",SUM(D56:E56))</f>
        <v>9344</v>
      </c>
      <c r="G56" s="55" t="n">
        <f aca="false">IF(OR(F56="",F56=0),"",D56/F56)</f>
        <v>0.490154109589041</v>
      </c>
      <c r="H56" s="55" t="n">
        <f aca="false">IF(OR(F56="",F56=0),"",E56/F56)</f>
        <v>0.509845890410959</v>
      </c>
      <c r="I56" s="32" t="s">
        <v>130</v>
      </c>
      <c r="J56" s="36" t="n">
        <v>1.66030146977751</v>
      </c>
      <c r="K56" s="36" t="n">
        <f aca="false">$K$8</f>
        <v>1.81112011827341</v>
      </c>
      <c r="L56" s="36" t="n">
        <f aca="false">SQRT(J56^2+K56^2)</f>
        <v>2.45698128876881</v>
      </c>
      <c r="M56" s="55" t="n">
        <f aca="false">IF(G56="","",MAX(0,G56-1.96*L56/100))</f>
        <v>0.441997276329172</v>
      </c>
      <c r="N56" s="55" t="n">
        <f aca="false">IF(G56="","",MIN(1,G56+1.96*L56/100))</f>
        <v>0.53831094284891</v>
      </c>
      <c r="O56" s="54" t="n">
        <f aca="false">ROUND(S56*W56,0)</f>
        <v>515</v>
      </c>
      <c r="P56" s="54" t="n">
        <f aca="false">IF(F56="","",ROUND(SQRT((F56*L56/100)^2+(G56*O56)^2),0))</f>
        <v>341</v>
      </c>
      <c r="R56" s="56" t="n">
        <v>7.2564218768189</v>
      </c>
      <c r="S56" s="57" t="n">
        <f aca="false">U56*V56*$F$5</f>
        <v>9343.93860561915</v>
      </c>
      <c r="T56" s="58" t="n">
        <f aca="false">MAX(0,MIN(1,R56/100+$D$5))</f>
        <v>0.490112001784975</v>
      </c>
      <c r="U56" s="58" t="n">
        <v>0.702393340270552</v>
      </c>
      <c r="V56" s="57" t="n">
        <v>13303</v>
      </c>
      <c r="W56" s="58" t="n">
        <v>0.0551273752894184</v>
      </c>
      <c r="X56" s="59" t="s">
        <v>152</v>
      </c>
      <c r="Y56" s="59" t="s">
        <v>132</v>
      </c>
    </row>
    <row r="57" customFormat="false" ht="15" hidden="false" customHeight="false" outlineLevel="0" collapsed="false">
      <c r="A57" s="32" t="s">
        <v>157</v>
      </c>
      <c r="B57" s="32" t="s">
        <v>180</v>
      </c>
      <c r="C57" s="32" t="s">
        <v>129</v>
      </c>
      <c r="D57" s="54" t="n">
        <f aca="false">ROUND(S57*T57,0)</f>
        <v>1020</v>
      </c>
      <c r="E57" s="54" t="n">
        <f aca="false">ROUND(S57,0)-D57</f>
        <v>2083</v>
      </c>
      <c r="F57" s="54" t="n">
        <f aca="false">IF(COUNTA(D57:E57)=0,"",SUM(D57:E57))</f>
        <v>3103</v>
      </c>
      <c r="G57" s="55" t="n">
        <f aca="false">IF(OR(F57="",F57=0),"",D57/F57)</f>
        <v>0.328714147599098</v>
      </c>
      <c r="H57" s="55" t="n">
        <f aca="false">IF(OR(F57="",F57=0),"",E57/F57)</f>
        <v>0.671285852400902</v>
      </c>
      <c r="I57" s="32" t="s">
        <v>130</v>
      </c>
      <c r="J57" s="36" t="n">
        <v>1.66030146977751</v>
      </c>
      <c r="K57" s="36" t="n">
        <f aca="false">$K$8</f>
        <v>1.81112011827341</v>
      </c>
      <c r="L57" s="36" t="n">
        <f aca="false">SQRT(J57^2+K57^2)</f>
        <v>2.45698128876881</v>
      </c>
      <c r="M57" s="55" t="n">
        <f aca="false">IF(G57="","",MAX(0,G57-1.96*L57/100))</f>
        <v>0.280557314339229</v>
      </c>
      <c r="N57" s="55" t="n">
        <f aca="false">IF(G57="","",MIN(1,G57+1.96*L57/100))</f>
        <v>0.376870980858966</v>
      </c>
      <c r="O57" s="54" t="n">
        <f aca="false">ROUND(S57*W57,0)</f>
        <v>171</v>
      </c>
      <c r="P57" s="54" t="n">
        <f aca="false">IF(F57="","",ROUND(SQRT((F57*L57/100)^2+(G57*O57)^2),0))</f>
        <v>95</v>
      </c>
      <c r="R57" s="56" t="n">
        <v>-8.87592461567407</v>
      </c>
      <c r="S57" s="57" t="n">
        <f aca="false">U57*V57*$F$5</f>
        <v>3102.86358754028</v>
      </c>
      <c r="T57" s="58" t="n">
        <f aca="false">MAX(0,MIN(1,R57/100+$D$5))</f>
        <v>0.328788536860045</v>
      </c>
      <c r="U57" s="58" t="n">
        <v>0.645757250268529</v>
      </c>
      <c r="V57" s="57" t="n">
        <v>4805</v>
      </c>
      <c r="W57" s="58" t="n">
        <v>0.0551273752894184</v>
      </c>
      <c r="X57" s="59" t="s">
        <v>152</v>
      </c>
      <c r="Y57" s="59" t="s">
        <v>132</v>
      </c>
    </row>
    <row r="58" customFormat="false" ht="15" hidden="false" customHeight="false" outlineLevel="0" collapsed="false">
      <c r="A58" s="32" t="s">
        <v>157</v>
      </c>
      <c r="B58" s="32" t="s">
        <v>181</v>
      </c>
      <c r="C58" s="32" t="s">
        <v>129</v>
      </c>
      <c r="D58" s="54" t="n">
        <f aca="false">ROUND(S58*T58,0)</f>
        <v>944</v>
      </c>
      <c r="E58" s="54" t="n">
        <f aca="false">ROUND(S58,0)-D58</f>
        <v>1796</v>
      </c>
      <c r="F58" s="54" t="n">
        <f aca="false">IF(COUNTA(D58:E58)=0,"",SUM(D58:E58))</f>
        <v>2740</v>
      </c>
      <c r="G58" s="55" t="n">
        <f aca="false">IF(OR(F58="",F58=0),"",D58/F58)</f>
        <v>0.344525547445256</v>
      </c>
      <c r="H58" s="55" t="n">
        <f aca="false">IF(OR(F58="",F58=0),"",E58/F58)</f>
        <v>0.655474452554745</v>
      </c>
      <c r="I58" s="32" t="s">
        <v>130</v>
      </c>
      <c r="J58" s="36" t="n">
        <v>1.97153343103611</v>
      </c>
      <c r="K58" s="36" t="n">
        <f aca="false">$K$8</f>
        <v>1.81112011827341</v>
      </c>
      <c r="L58" s="36" t="n">
        <f aca="false">SQRT(J58^2+K58^2)</f>
        <v>2.67714402909289</v>
      </c>
      <c r="M58" s="55" t="n">
        <f aca="false">IF(G58="","",MAX(0,G58-1.96*L58/100))</f>
        <v>0.292053524475035</v>
      </c>
      <c r="N58" s="55" t="n">
        <f aca="false">IF(G58="","",MIN(1,G58+1.96*L58/100))</f>
        <v>0.396997570415476</v>
      </c>
      <c r="O58" s="54" t="n">
        <f aca="false">ROUND(S58*W58,0)</f>
        <v>166</v>
      </c>
      <c r="P58" s="54" t="n">
        <f aca="false">IF(F58="","",ROUND(SQRT((F58*L58/100)^2+(G58*O58)^2),0))</f>
        <v>93</v>
      </c>
      <c r="R58" s="56" t="n">
        <v>-7.28288708666507</v>
      </c>
      <c r="S58" s="57" t="n">
        <f aca="false">U58*V58*$F$5</f>
        <v>2739.5017118778</v>
      </c>
      <c r="T58" s="58" t="n">
        <f aca="false">MAX(0,MIN(1,R58/100+$D$5))</f>
        <v>0.344718912150135</v>
      </c>
      <c r="U58" s="58" t="n">
        <v>0.708980774295496</v>
      </c>
      <c r="V58" s="57" t="n">
        <v>3864</v>
      </c>
      <c r="W58" s="58" t="n">
        <v>0.0606122259008943</v>
      </c>
      <c r="X58" s="59" t="s">
        <v>136</v>
      </c>
      <c r="Y58" s="59" t="s">
        <v>132</v>
      </c>
    </row>
    <row r="59" customFormat="false" ht="15" hidden="false" customHeight="false" outlineLevel="0" collapsed="false">
      <c r="A59" s="32" t="s">
        <v>157</v>
      </c>
      <c r="B59" s="32" t="s">
        <v>182</v>
      </c>
      <c r="C59" s="32" t="s">
        <v>129</v>
      </c>
      <c r="D59" s="54" t="n">
        <f aca="false">ROUND(S59*T59,0)</f>
        <v>5474</v>
      </c>
      <c r="E59" s="54" t="n">
        <f aca="false">ROUND(S59,0)-D59</f>
        <v>5030</v>
      </c>
      <c r="F59" s="54" t="n">
        <f aca="false">IF(COUNTA(D59:E59)=0,"",SUM(D59:E59))</f>
        <v>10504</v>
      </c>
      <c r="G59" s="55" t="n">
        <f aca="false">IF(OR(F59="",F59=0),"",D59/F59)</f>
        <v>0.521134805788271</v>
      </c>
      <c r="H59" s="55" t="n">
        <f aca="false">IF(OR(F59="",F59=0),"",E59/F59)</f>
        <v>0.478865194211729</v>
      </c>
      <c r="I59" s="32" t="s">
        <v>130</v>
      </c>
      <c r="J59" s="36" t="n">
        <v>1.66030146977751</v>
      </c>
      <c r="K59" s="36" t="n">
        <f aca="false">$K$8</f>
        <v>1.81112011827341</v>
      </c>
      <c r="L59" s="36" t="n">
        <f aca="false">SQRT(J59^2+K59^2)</f>
        <v>2.45698128876881</v>
      </c>
      <c r="M59" s="55" t="n">
        <f aca="false">IF(G59="","",MAX(0,G59-1.96*L59/100))</f>
        <v>0.472977972528402</v>
      </c>
      <c r="N59" s="55" t="n">
        <f aca="false">IF(G59="","",MIN(1,G59+1.96*L59/100))</f>
        <v>0.56929163904814</v>
      </c>
      <c r="O59" s="54" t="n">
        <f aca="false">ROUND(S59*W59,0)</f>
        <v>579</v>
      </c>
      <c r="P59" s="54" t="n">
        <f aca="false">IF(F59="","",ROUND(SQRT((F59*L59/100)^2+(G59*O59)^2),0))</f>
        <v>397</v>
      </c>
      <c r="R59" s="56" t="n">
        <v>10.3536149110403</v>
      </c>
      <c r="S59" s="57" t="n">
        <f aca="false">U59*V59*$F$5</f>
        <v>10504.2978562557</v>
      </c>
      <c r="T59" s="58" t="n">
        <f aca="false">MAX(0,MIN(1,R59/100+$D$5))</f>
        <v>0.521083932127189</v>
      </c>
      <c r="U59" s="58" t="n">
        <v>0.555753550407689</v>
      </c>
      <c r="V59" s="57" t="n">
        <v>18901</v>
      </c>
      <c r="W59" s="58" t="n">
        <v>0.0551273752894184</v>
      </c>
      <c r="X59" s="59" t="s">
        <v>152</v>
      </c>
      <c r="Y59" s="59" t="s">
        <v>132</v>
      </c>
    </row>
    <row r="60" customFormat="false" ht="15" hidden="false" customHeight="false" outlineLevel="0" collapsed="false">
      <c r="A60" s="32" t="s">
        <v>183</v>
      </c>
      <c r="B60" s="32" t="s">
        <v>184</v>
      </c>
      <c r="C60" s="32" t="s">
        <v>129</v>
      </c>
      <c r="D60" s="54" t="n">
        <f aca="false">ROUND(S60*T60,0)</f>
        <v>358</v>
      </c>
      <c r="E60" s="54" t="n">
        <f aca="false">ROUND(S60,0)-D60</f>
        <v>876</v>
      </c>
      <c r="F60" s="54" t="n">
        <f aca="false">IF(COUNTA(D60:E60)=0,"",SUM(D60:E60))</f>
        <v>1234</v>
      </c>
      <c r="G60" s="55" t="n">
        <f aca="false">IF(OR(F60="",F60=0),"",D60/F60)</f>
        <v>0.290113452188007</v>
      </c>
      <c r="H60" s="55" t="n">
        <f aca="false">IF(OR(F60="",F60=0),"",E60/F60)</f>
        <v>0.709886547811994</v>
      </c>
      <c r="I60" s="32" t="s">
        <v>130</v>
      </c>
      <c r="J60" s="36" t="n">
        <v>3.01271836260465</v>
      </c>
      <c r="K60" s="36" t="n">
        <f aca="false">$K$8</f>
        <v>1.81112011827341</v>
      </c>
      <c r="L60" s="36" t="n">
        <f aca="false">SQRT(J60^2+K60^2)</f>
        <v>3.51519956975275</v>
      </c>
      <c r="M60" s="55" t="n">
        <f aca="false">IF(G60="","",MAX(0,G60-1.96*L60/100))</f>
        <v>0.221215540620853</v>
      </c>
      <c r="N60" s="55" t="n">
        <f aca="false">IF(G60="","",MIN(1,G60+1.96*L60/100))</f>
        <v>0.35901136375516</v>
      </c>
      <c r="O60" s="54" t="n">
        <f aca="false">ROUND(S60*W60,0)</f>
        <v>96</v>
      </c>
      <c r="P60" s="54" t="n">
        <f aca="false">IF(F60="","",ROUND(SQRT((F60*L60/100)^2+(G60*O60)^2),0))</f>
        <v>52</v>
      </c>
      <c r="R60" s="56" t="n">
        <v>-12.7640731428394</v>
      </c>
      <c r="S60" s="57" t="n">
        <f aca="false">U60*V60*$F$5</f>
        <v>1234.45226917058</v>
      </c>
      <c r="T60" s="58" t="n">
        <f aca="false">MAX(0,MIN(1,R60/100+$D$5))</f>
        <v>0.289907051588392</v>
      </c>
      <c r="U60" s="58" t="n">
        <v>0.618153364632238</v>
      </c>
      <c r="V60" s="57" t="n">
        <v>1997</v>
      </c>
      <c r="W60" s="58" t="n">
        <v>0.0777040344688333</v>
      </c>
      <c r="X60" s="59" t="s">
        <v>131</v>
      </c>
      <c r="Y60" s="59" t="s">
        <v>185</v>
      </c>
    </row>
    <row r="61" customFormat="false" ht="15" hidden="false" customHeight="false" outlineLevel="0" collapsed="false">
      <c r="A61" s="32" t="s">
        <v>183</v>
      </c>
      <c r="B61" s="32" t="s">
        <v>186</v>
      </c>
      <c r="C61" s="32" t="s">
        <v>129</v>
      </c>
      <c r="D61" s="54" t="n">
        <f aca="false">ROUND(S61*T61,0)</f>
        <v>1038</v>
      </c>
      <c r="E61" s="54" t="n">
        <f aca="false">ROUND(S61,0)-D61</f>
        <v>2112</v>
      </c>
      <c r="F61" s="54" t="n">
        <f aca="false">IF(COUNTA(D61:E61)=0,"",SUM(D61:E61))</f>
        <v>3150</v>
      </c>
      <c r="G61" s="55" t="n">
        <f aca="false">IF(OR(F61="",F61=0),"",D61/F61)</f>
        <v>0.32952380952381</v>
      </c>
      <c r="H61" s="55" t="n">
        <f aca="false">IF(OR(F61="",F61=0),"",E61/F61)</f>
        <v>0.67047619047619</v>
      </c>
      <c r="I61" s="32" t="s">
        <v>130</v>
      </c>
      <c r="J61" s="36" t="n">
        <v>1.66030146977751</v>
      </c>
      <c r="K61" s="36" t="n">
        <f aca="false">$K$8</f>
        <v>1.81112011827341</v>
      </c>
      <c r="L61" s="36" t="n">
        <f aca="false">SQRT(J61^2+K61^2)</f>
        <v>2.45698128876881</v>
      </c>
      <c r="M61" s="55" t="n">
        <f aca="false">IF(G61="","",MAX(0,G61-1.96*L61/100))</f>
        <v>0.281366976263941</v>
      </c>
      <c r="N61" s="55" t="n">
        <f aca="false">IF(G61="","",MIN(1,G61+1.96*L61/100))</f>
        <v>0.377680642783678</v>
      </c>
      <c r="O61" s="54" t="n">
        <f aca="false">ROUND(S61*W61,0)</f>
        <v>174</v>
      </c>
      <c r="P61" s="54" t="n">
        <f aca="false">IF(F61="","",ROUND(SQRT((F61*L61/100)^2+(G61*O61)^2),0))</f>
        <v>96</v>
      </c>
      <c r="R61" s="56" t="n">
        <v>-8.80384961450968</v>
      </c>
      <c r="S61" s="57" t="n">
        <f aca="false">U61*V61*$F$5</f>
        <v>3150.44851429639</v>
      </c>
      <c r="T61" s="58" t="n">
        <f aca="false">MAX(0,MIN(1,R61/100+$D$5))</f>
        <v>0.329509286871689</v>
      </c>
      <c r="U61" s="58" t="n">
        <v>0.56157727527565</v>
      </c>
      <c r="V61" s="57" t="n">
        <v>5610</v>
      </c>
      <c r="W61" s="58" t="n">
        <v>0.0551273752894184</v>
      </c>
      <c r="X61" s="59" t="s">
        <v>152</v>
      </c>
      <c r="Y61" s="59" t="s">
        <v>185</v>
      </c>
    </row>
    <row r="62" customFormat="false" ht="15" hidden="false" customHeight="false" outlineLevel="0" collapsed="false">
      <c r="A62" s="32" t="s">
        <v>183</v>
      </c>
      <c r="B62" s="32" t="s">
        <v>187</v>
      </c>
      <c r="C62" s="32" t="s">
        <v>129</v>
      </c>
      <c r="D62" s="54" t="n">
        <f aca="false">ROUND(S62*T62,0)</f>
        <v>384</v>
      </c>
      <c r="E62" s="54" t="n">
        <f aca="false">ROUND(S62,0)-D62</f>
        <v>787</v>
      </c>
      <c r="F62" s="54" t="n">
        <f aca="false">IF(COUNTA(D62:E62)=0,"",SUM(D62:E62))</f>
        <v>1171</v>
      </c>
      <c r="G62" s="55" t="n">
        <f aca="false">IF(OR(F62="",F62=0),"",D62/F62)</f>
        <v>0.327924850555081</v>
      </c>
      <c r="H62" s="55" t="n">
        <f aca="false">IF(OR(F62="",F62=0),"",E62/F62)</f>
        <v>0.672075149444919</v>
      </c>
      <c r="I62" s="32" t="s">
        <v>130</v>
      </c>
      <c r="J62" s="36" t="n">
        <v>3.01271836260465</v>
      </c>
      <c r="K62" s="36" t="n">
        <f aca="false">$K$8</f>
        <v>1.81112011827341</v>
      </c>
      <c r="L62" s="36" t="n">
        <f aca="false">SQRT(J62^2+K62^2)</f>
        <v>3.51519956975275</v>
      </c>
      <c r="M62" s="55" t="n">
        <f aca="false">IF(G62="","",MAX(0,G62-1.96*L62/100))</f>
        <v>0.259026938987927</v>
      </c>
      <c r="N62" s="55" t="n">
        <f aca="false">IF(G62="","",MIN(1,G62+1.96*L62/100))</f>
        <v>0.396822762122235</v>
      </c>
      <c r="O62" s="54" t="n">
        <f aca="false">ROUND(S62*W62,0)</f>
        <v>91</v>
      </c>
      <c r="P62" s="54" t="n">
        <f aca="false">IF(F62="","",ROUND(SQRT((F62*L62/100)^2+(G62*O62)^2),0))</f>
        <v>51</v>
      </c>
      <c r="R62" s="56" t="n">
        <v>-8.98372520036305</v>
      </c>
      <c r="S62" s="57" t="n">
        <f aca="false">U62*V62*$F$5</f>
        <v>1170.82273494654</v>
      </c>
      <c r="T62" s="58" t="n">
        <f aca="false">MAX(0,MIN(1,R62/100+$D$5))</f>
        <v>0.327710531013156</v>
      </c>
      <c r="U62" s="58" t="n">
        <v>0.625773776027012</v>
      </c>
      <c r="V62" s="57" t="n">
        <v>1871</v>
      </c>
      <c r="W62" s="58" t="n">
        <v>0.0777040344688333</v>
      </c>
      <c r="X62" s="59" t="s">
        <v>131</v>
      </c>
      <c r="Y62" s="59" t="s">
        <v>185</v>
      </c>
    </row>
    <row r="63" customFormat="false" ht="15" hidden="false" customHeight="false" outlineLevel="0" collapsed="false">
      <c r="A63" s="32" t="s">
        <v>188</v>
      </c>
      <c r="B63" s="32" t="s">
        <v>189</v>
      </c>
      <c r="C63" s="32" t="s">
        <v>129</v>
      </c>
      <c r="D63" s="54" t="n">
        <f aca="false">ROUND(S63*T63,0)</f>
        <v>1172</v>
      </c>
      <c r="E63" s="54" t="n">
        <f aca="false">ROUND(S63,0)-D63</f>
        <v>1535</v>
      </c>
      <c r="F63" s="54" t="n">
        <f aca="false">IF(COUNTA(D63:E63)=0,"",SUM(D63:E63))</f>
        <v>2707</v>
      </c>
      <c r="G63" s="55" t="n">
        <f aca="false">IF(OR(F63="",F63=0),"",D63/F63)</f>
        <v>0.432951606944958</v>
      </c>
      <c r="H63" s="55" t="n">
        <f aca="false">IF(OR(F63="",F63=0),"",E63/F63)</f>
        <v>0.567048393055043</v>
      </c>
      <c r="I63" s="32" t="s">
        <v>130</v>
      </c>
      <c r="J63" s="36" t="n">
        <v>1.97153343103611</v>
      </c>
      <c r="K63" s="36" t="n">
        <f aca="false">$K$8</f>
        <v>1.81112011827341</v>
      </c>
      <c r="L63" s="36" t="n">
        <f aca="false">SQRT(J63^2+K63^2)</f>
        <v>2.67714402909289</v>
      </c>
      <c r="M63" s="55" t="n">
        <f aca="false">IF(G63="","",MAX(0,G63-1.96*L63/100))</f>
        <v>0.380479583974737</v>
      </c>
      <c r="N63" s="55" t="n">
        <f aca="false">IF(G63="","",MIN(1,G63+1.96*L63/100))</f>
        <v>0.485423629915178</v>
      </c>
      <c r="O63" s="54" t="n">
        <f aca="false">ROUND(S63*W63,0)</f>
        <v>164</v>
      </c>
      <c r="P63" s="54" t="n">
        <f aca="false">IF(F63="","",ROUND(SQRT((F63*L63/100)^2+(G63*O63)^2),0))</f>
        <v>101</v>
      </c>
      <c r="R63" s="56" t="n">
        <v>1.54371261336986</v>
      </c>
      <c r="S63" s="57" t="n">
        <f aca="false">U63*V63*$F$5</f>
        <v>2707.41725054361</v>
      </c>
      <c r="T63" s="58" t="n">
        <f aca="false">MAX(0,MIN(1,R63/100+$D$5))</f>
        <v>0.432984909150485</v>
      </c>
      <c r="U63" s="58" t="n">
        <v>0.628171055810582</v>
      </c>
      <c r="V63" s="57" t="n">
        <v>4310</v>
      </c>
      <c r="W63" s="58" t="n">
        <v>0.0606122259008943</v>
      </c>
      <c r="X63" s="59" t="s">
        <v>136</v>
      </c>
      <c r="Y63" s="59" t="s">
        <v>132</v>
      </c>
    </row>
    <row r="64" customFormat="false" ht="15" hidden="false" customHeight="false" outlineLevel="0" collapsed="false">
      <c r="A64" s="32" t="s">
        <v>188</v>
      </c>
      <c r="B64" s="32" t="s">
        <v>190</v>
      </c>
      <c r="C64" s="32" t="s">
        <v>129</v>
      </c>
      <c r="D64" s="54" t="n">
        <f aca="false">ROUND(S64*T64,0)</f>
        <v>699</v>
      </c>
      <c r="E64" s="54" t="n">
        <f aca="false">ROUND(S64,0)-D64</f>
        <v>989</v>
      </c>
      <c r="F64" s="54" t="n">
        <f aca="false">IF(COUNTA(D64:E64)=0,"",SUM(D64:E64))</f>
        <v>1688</v>
      </c>
      <c r="G64" s="55" t="n">
        <f aca="false">IF(OR(F64="",F64=0),"",D64/F64)</f>
        <v>0.414099526066351</v>
      </c>
      <c r="H64" s="55" t="n">
        <f aca="false">IF(OR(F64="",F64=0),"",E64/F64)</f>
        <v>0.585900473933649</v>
      </c>
      <c r="I64" s="32" t="s">
        <v>130</v>
      </c>
      <c r="J64" s="36" t="n">
        <v>1.97153343103611</v>
      </c>
      <c r="K64" s="36" t="n">
        <f aca="false">$K$8</f>
        <v>1.81112011827341</v>
      </c>
      <c r="L64" s="36" t="n">
        <f aca="false">SQRT(J64^2+K64^2)</f>
        <v>2.67714402909289</v>
      </c>
      <c r="M64" s="55" t="n">
        <f aca="false">IF(G64="","",MAX(0,G64-1.96*L64/100))</f>
        <v>0.36162750309613</v>
      </c>
      <c r="N64" s="55" t="n">
        <f aca="false">IF(G64="","",MIN(1,G64+1.96*L64/100))</f>
        <v>0.466571549036571</v>
      </c>
      <c r="O64" s="54" t="n">
        <f aca="false">ROUND(S64*W64,0)</f>
        <v>102</v>
      </c>
      <c r="P64" s="54" t="n">
        <f aca="false">IF(F64="","",ROUND(SQRT((F64*L64/100)^2+(G64*O64)^2),0))</f>
        <v>62</v>
      </c>
      <c r="R64" s="56" t="n">
        <v>-0.318518954287629</v>
      </c>
      <c r="S64" s="57" t="n">
        <f aca="false">U64*V64*$F$5</f>
        <v>1687.9765578635</v>
      </c>
      <c r="T64" s="58" t="n">
        <f aca="false">MAX(0,MIN(1,R64/100+$D$5))</f>
        <v>0.41436259347391</v>
      </c>
      <c r="U64" s="58" t="n">
        <v>0.491691394658754</v>
      </c>
      <c r="V64" s="57" t="n">
        <v>3433</v>
      </c>
      <c r="W64" s="58" t="n">
        <v>0.0606122259008943</v>
      </c>
      <c r="X64" s="59" t="s">
        <v>136</v>
      </c>
      <c r="Y64" s="59" t="s">
        <v>132</v>
      </c>
    </row>
    <row r="65" customFormat="false" ht="15" hidden="false" customHeight="false" outlineLevel="0" collapsed="false">
      <c r="A65" s="32" t="s">
        <v>188</v>
      </c>
      <c r="B65" s="32" t="s">
        <v>191</v>
      </c>
      <c r="C65" s="32" t="s">
        <v>129</v>
      </c>
      <c r="D65" s="54" t="n">
        <f aca="false">ROUND(S65*T65,0)</f>
        <v>475</v>
      </c>
      <c r="E65" s="54" t="n">
        <f aca="false">ROUND(S65,0)-D65</f>
        <v>541</v>
      </c>
      <c r="F65" s="54" t="n">
        <f aca="false">IF(COUNTA(D65:E65)=0,"",SUM(D65:E65))</f>
        <v>1016</v>
      </c>
      <c r="G65" s="55" t="n">
        <f aca="false">IF(OR(F65="",F65=0),"",D65/F65)</f>
        <v>0.46751968503937</v>
      </c>
      <c r="H65" s="55" t="n">
        <f aca="false">IF(OR(F65="",F65=0),"",E65/F65)</f>
        <v>0.53248031496063</v>
      </c>
      <c r="I65" s="32" t="s">
        <v>130</v>
      </c>
      <c r="J65" s="36" t="n">
        <v>3.01271836260465</v>
      </c>
      <c r="K65" s="36" t="n">
        <f aca="false">$K$8</f>
        <v>1.81112011827341</v>
      </c>
      <c r="L65" s="36" t="n">
        <f aca="false">SQRT(J65^2+K65^2)</f>
        <v>3.51519956975275</v>
      </c>
      <c r="M65" s="55" t="n">
        <f aca="false">IF(G65="","",MAX(0,G65-1.96*L65/100))</f>
        <v>0.398621773472216</v>
      </c>
      <c r="N65" s="55" t="n">
        <f aca="false">IF(G65="","",MIN(1,G65+1.96*L65/100))</f>
        <v>0.536417596606524</v>
      </c>
      <c r="O65" s="54" t="n">
        <f aca="false">ROUND(S65*W65,0)</f>
        <v>79</v>
      </c>
      <c r="P65" s="54" t="n">
        <f aca="false">IF(F65="","",ROUND(SQRT((F65*L65/100)^2+(G65*O65)^2),0))</f>
        <v>51</v>
      </c>
      <c r="R65" s="56" t="n">
        <v>5.00450441939227</v>
      </c>
      <c r="S65" s="57" t="n">
        <f aca="false">U65*V65*$F$5</f>
        <v>1015.97556912826</v>
      </c>
      <c r="T65" s="58" t="n">
        <f aca="false">MAX(0,MIN(1,R65/100+$D$5))</f>
        <v>0.467592827210709</v>
      </c>
      <c r="U65" s="58" t="n">
        <v>0.529705719044975</v>
      </c>
      <c r="V65" s="57" t="n">
        <v>1918</v>
      </c>
      <c r="W65" s="58" t="n">
        <v>0.0777040344688333</v>
      </c>
      <c r="X65" s="59" t="s">
        <v>131</v>
      </c>
      <c r="Y65" s="59" t="s">
        <v>132</v>
      </c>
    </row>
    <row r="66" customFormat="false" ht="15" hidden="false" customHeight="false" outlineLevel="0" collapsed="false">
      <c r="A66" s="32" t="s">
        <v>188</v>
      </c>
      <c r="B66" s="32" t="s">
        <v>160</v>
      </c>
      <c r="C66" s="32" t="s">
        <v>129</v>
      </c>
      <c r="D66" s="54" t="n">
        <f aca="false">ROUND(S66*T66,0)</f>
        <v>12941</v>
      </c>
      <c r="E66" s="54" t="n">
        <f aca="false">ROUND(S66,0)-D66</f>
        <v>6031</v>
      </c>
      <c r="F66" s="54" t="n">
        <f aca="false">IF(COUNTA(D66:E66)=0,"",SUM(D66:E66))</f>
        <v>18972</v>
      </c>
      <c r="G66" s="55" t="n">
        <f aca="false">IF(OR(F66="",F66=0),"",D66/F66)</f>
        <v>0.682110478600042</v>
      </c>
      <c r="H66" s="55" t="n">
        <f aca="false">IF(OR(F66="",F66=0),"",E66/F66)</f>
        <v>0.317889521399958</v>
      </c>
      <c r="I66" s="32" t="s">
        <v>130</v>
      </c>
      <c r="J66" s="36" t="n">
        <v>1.66030146977751</v>
      </c>
      <c r="K66" s="36" t="n">
        <f aca="false">$K$8</f>
        <v>1.81112011827341</v>
      </c>
      <c r="L66" s="36" t="n">
        <f aca="false">SQRT(J66^2+K66^2)</f>
        <v>2.45698128876881</v>
      </c>
      <c r="M66" s="55" t="n">
        <f aca="false">IF(G66="","",MAX(0,G66-1.96*L66/100))</f>
        <v>0.633953645340173</v>
      </c>
      <c r="N66" s="55" t="n">
        <f aca="false">IF(G66="","",MIN(1,G66+1.96*L66/100))</f>
        <v>0.730267311859911</v>
      </c>
      <c r="O66" s="54" t="n">
        <f aca="false">ROUND(S66*W66,0)</f>
        <v>1046</v>
      </c>
      <c r="P66" s="54" t="n">
        <f aca="false">IF(F66="","",ROUND(SQRT((F66*L66/100)^2+(G66*O66)^2),0))</f>
        <v>852</v>
      </c>
      <c r="R66" s="56" t="n">
        <v>26.4560852966369</v>
      </c>
      <c r="S66" s="57" t="n">
        <f aca="false">U66*V66*$F$5</f>
        <v>18972.4050126369</v>
      </c>
      <c r="T66" s="58" t="n">
        <f aca="false">MAX(0,MIN(1,R66/100+$D$5))</f>
        <v>0.682108635983155</v>
      </c>
      <c r="U66" s="58" t="n">
        <v>0.476358466722831</v>
      </c>
      <c r="V66" s="57" t="n">
        <v>39828</v>
      </c>
      <c r="W66" s="58" t="n">
        <v>0.0551273752894184</v>
      </c>
      <c r="X66" s="59" t="s">
        <v>152</v>
      </c>
      <c r="Y66" s="59" t="s">
        <v>185</v>
      </c>
    </row>
    <row r="67" customFormat="false" ht="15" hidden="false" customHeight="false" outlineLevel="0" collapsed="false">
      <c r="A67" s="32" t="s">
        <v>188</v>
      </c>
      <c r="B67" s="32" t="s">
        <v>192</v>
      </c>
      <c r="C67" s="32" t="s">
        <v>129</v>
      </c>
      <c r="D67" s="54" t="n">
        <f aca="false">ROUND(S67*T67,0)</f>
        <v>6809</v>
      </c>
      <c r="E67" s="54" t="n">
        <f aca="false">ROUND(S67,0)-D67</f>
        <v>5940</v>
      </c>
      <c r="F67" s="54" t="n">
        <f aca="false">IF(COUNTA(D67:E67)=0,"",SUM(D67:E67))</f>
        <v>12749</v>
      </c>
      <c r="G67" s="55" t="n">
        <f aca="false">IF(OR(F67="",F67=0),"",D67/F67)</f>
        <v>0.534081104400345</v>
      </c>
      <c r="H67" s="55" t="n">
        <f aca="false">IF(OR(F67="",F67=0),"",E67/F67)</f>
        <v>0.465918895599655</v>
      </c>
      <c r="I67" s="32" t="s">
        <v>130</v>
      </c>
      <c r="J67" s="36" t="n">
        <v>1.66030146977751</v>
      </c>
      <c r="K67" s="36" t="n">
        <f aca="false">$K$8</f>
        <v>1.81112011827341</v>
      </c>
      <c r="L67" s="36" t="n">
        <f aca="false">SQRT(J67^2+K67^2)</f>
        <v>2.45698128876881</v>
      </c>
      <c r="M67" s="55" t="n">
        <f aca="false">IF(G67="","",MAX(0,G67-1.96*L67/100))</f>
        <v>0.485924271140476</v>
      </c>
      <c r="N67" s="55" t="n">
        <f aca="false">IF(G67="","",MIN(1,G67+1.96*L67/100))</f>
        <v>0.582237937660214</v>
      </c>
      <c r="O67" s="54" t="n">
        <f aca="false">ROUND(S67*W67,0)</f>
        <v>703</v>
      </c>
      <c r="P67" s="54" t="n">
        <f aca="false">IF(F67="","",ROUND(SQRT((F67*L67/100)^2+(G67*O67)^2),0))</f>
        <v>489</v>
      </c>
      <c r="R67" s="56" t="n">
        <v>11.655907219359</v>
      </c>
      <c r="S67" s="57" t="n">
        <f aca="false">U67*V67*$F$5</f>
        <v>12748.560475162</v>
      </c>
      <c r="T67" s="58" t="n">
        <f aca="false">MAX(0,MIN(1,R67/100+$D$5))</f>
        <v>0.534106855210376</v>
      </c>
      <c r="U67" s="58" t="n">
        <v>0.629589632829374</v>
      </c>
      <c r="V67" s="57" t="n">
        <v>20249</v>
      </c>
      <c r="W67" s="58" t="n">
        <v>0.0551273752894184</v>
      </c>
      <c r="X67" s="59" t="s">
        <v>152</v>
      </c>
      <c r="Y67" s="59" t="s">
        <v>185</v>
      </c>
    </row>
    <row r="68" customFormat="false" ht="15" hidden="false" customHeight="false" outlineLevel="0" collapsed="false">
      <c r="A68" s="32" t="s">
        <v>188</v>
      </c>
      <c r="B68" s="32" t="s">
        <v>193</v>
      </c>
      <c r="C68" s="32" t="s">
        <v>129</v>
      </c>
      <c r="D68" s="54" t="n">
        <f aca="false">ROUND(S68*T68,0)</f>
        <v>1644</v>
      </c>
      <c r="E68" s="54" t="n">
        <f aca="false">ROUND(S68,0)-D68</f>
        <v>2779</v>
      </c>
      <c r="F68" s="54" t="n">
        <f aca="false">IF(COUNTA(D68:E68)=0,"",SUM(D68:E68))</f>
        <v>4423</v>
      </c>
      <c r="G68" s="55" t="n">
        <f aca="false">IF(OR(F68="",F68=0),"",D68/F68)</f>
        <v>0.371693420755144</v>
      </c>
      <c r="H68" s="55" t="n">
        <f aca="false">IF(OR(F68="",F68=0),"",E68/F68)</f>
        <v>0.628306579244856</v>
      </c>
      <c r="I68" s="32" t="s">
        <v>130</v>
      </c>
      <c r="J68" s="36" t="n">
        <v>1.66030146977751</v>
      </c>
      <c r="K68" s="36" t="n">
        <f aca="false">$K$8</f>
        <v>1.81112011827341</v>
      </c>
      <c r="L68" s="36" t="n">
        <f aca="false">SQRT(J68^2+K68^2)</f>
        <v>2.45698128876881</v>
      </c>
      <c r="M68" s="55" t="n">
        <f aca="false">IF(G68="","",MAX(0,G68-1.96*L68/100))</f>
        <v>0.323536587495275</v>
      </c>
      <c r="N68" s="55" t="n">
        <f aca="false">IF(G68="","",MIN(1,G68+1.96*L68/100))</f>
        <v>0.419850254015012</v>
      </c>
      <c r="O68" s="54" t="n">
        <f aca="false">ROUND(S68*W68,0)</f>
        <v>244</v>
      </c>
      <c r="P68" s="54" t="n">
        <f aca="false">IF(F68="","",ROUND(SQRT((F68*L68/100)^2+(G68*O68)^2),0))</f>
        <v>142</v>
      </c>
      <c r="R68" s="56" t="n">
        <v>-4.5766079710875</v>
      </c>
      <c r="S68" s="57" t="n">
        <f aca="false">U68*V68*$F$5</f>
        <v>4422.68236877524</v>
      </c>
      <c r="T68" s="58" t="n">
        <f aca="false">MAX(0,MIN(1,R68/100+$D$5))</f>
        <v>0.371781703305911</v>
      </c>
      <c r="U68" s="58" t="n">
        <v>0.657843577089876</v>
      </c>
      <c r="V68" s="57" t="n">
        <v>6723</v>
      </c>
      <c r="W68" s="58" t="n">
        <v>0.0551273752894184</v>
      </c>
      <c r="X68" s="59" t="s">
        <v>152</v>
      </c>
      <c r="Y68" s="59" t="s">
        <v>132</v>
      </c>
    </row>
    <row r="69" customFormat="false" ht="15" hidden="false" customHeight="false" outlineLevel="0" collapsed="false">
      <c r="A69" s="32" t="s">
        <v>188</v>
      </c>
      <c r="B69" s="32" t="s">
        <v>194</v>
      </c>
      <c r="C69" s="32" t="s">
        <v>129</v>
      </c>
      <c r="D69" s="54" t="n">
        <f aca="false">ROUND(S69*T69,0)</f>
        <v>34</v>
      </c>
      <c r="E69" s="54" t="n">
        <f aca="false">ROUND(S69,0)-D69</f>
        <v>63</v>
      </c>
      <c r="F69" s="54" t="n">
        <f aca="false">IF(COUNTA(D69:E69)=0,"",SUM(D69:E69))</f>
        <v>97</v>
      </c>
      <c r="G69" s="55" t="n">
        <f aca="false">IF(OR(F69="",F69=0),"",D69/F69)</f>
        <v>0.350515463917526</v>
      </c>
      <c r="H69" s="55" t="n">
        <f aca="false">IF(OR(F69="",F69=0),"",E69/F69)</f>
        <v>0.649484536082474</v>
      </c>
      <c r="I69" s="32" t="s">
        <v>130</v>
      </c>
      <c r="J69" s="36" t="n">
        <v>3.01271836260465</v>
      </c>
      <c r="K69" s="36" t="n">
        <f aca="false">$K$8</f>
        <v>1.81112011827341</v>
      </c>
      <c r="L69" s="36" t="n">
        <f aca="false">SQRT(J69^2+K69^2)</f>
        <v>3.51519956975275</v>
      </c>
      <c r="M69" s="55" t="n">
        <f aca="false">IF(G69="","",MAX(0,G69-1.96*L69/100))</f>
        <v>0.281617552350372</v>
      </c>
      <c r="N69" s="55" t="n">
        <f aca="false">IF(G69="","",MIN(1,G69+1.96*L69/100))</f>
        <v>0.41941337548468</v>
      </c>
      <c r="O69" s="54" t="n">
        <f aca="false">ROUND(S69*W69,0)</f>
        <v>8</v>
      </c>
      <c r="P69" s="54" t="n">
        <f aca="false">IF(F69="","",ROUND(SQRT((F69*L69/100)^2+(G69*O69)^2),0))</f>
        <v>4</v>
      </c>
      <c r="R69" s="56" t="n">
        <v>-6.49477694779164</v>
      </c>
      <c r="S69" s="57" t="n">
        <f aca="false">U69*V69*$F$5</f>
        <v>97.2992700729927</v>
      </c>
      <c r="T69" s="58" t="n">
        <f aca="false">MAX(0,MIN(1,R69/100+$D$5))</f>
        <v>0.35260001353887</v>
      </c>
      <c r="U69" s="58" t="n">
        <v>0.627737226277372</v>
      </c>
      <c r="V69" s="57" t="n">
        <v>155</v>
      </c>
      <c r="W69" s="58" t="n">
        <v>0.0777040344688333</v>
      </c>
      <c r="X69" s="59" t="s">
        <v>131</v>
      </c>
      <c r="Y69" s="59" t="s">
        <v>132</v>
      </c>
    </row>
    <row r="70" customFormat="false" ht="15" hidden="false" customHeight="false" outlineLevel="0" collapsed="false">
      <c r="A70" s="32" t="s">
        <v>188</v>
      </c>
      <c r="B70" s="32" t="s">
        <v>195</v>
      </c>
      <c r="C70" s="32" t="s">
        <v>129</v>
      </c>
      <c r="D70" s="54" t="n">
        <f aca="false">ROUND(S70*T70,0)</f>
        <v>1130</v>
      </c>
      <c r="E70" s="54" t="n">
        <f aca="false">ROUND(S70,0)-D70</f>
        <v>1511</v>
      </c>
      <c r="F70" s="54" t="n">
        <f aca="false">IF(COUNTA(D70:E70)=0,"",SUM(D70:E70))</f>
        <v>2641</v>
      </c>
      <c r="G70" s="55" t="n">
        <f aca="false">IF(OR(F70="",F70=0),"",D70/F70)</f>
        <v>0.427868231730405</v>
      </c>
      <c r="H70" s="55" t="n">
        <f aca="false">IF(OR(F70="",F70=0),"",E70/F70)</f>
        <v>0.572131768269595</v>
      </c>
      <c r="I70" s="32" t="s">
        <v>130</v>
      </c>
      <c r="J70" s="36" t="n">
        <v>1.97153343103611</v>
      </c>
      <c r="K70" s="36" t="n">
        <f aca="false">$K$8</f>
        <v>1.81112011827341</v>
      </c>
      <c r="L70" s="36" t="n">
        <f aca="false">SQRT(J70^2+K70^2)</f>
        <v>2.67714402909289</v>
      </c>
      <c r="M70" s="55" t="n">
        <f aca="false">IF(G70="","",MAX(0,G70-1.96*L70/100))</f>
        <v>0.375396208760185</v>
      </c>
      <c r="N70" s="55" t="n">
        <f aca="false">IF(G70="","",MIN(1,G70+1.96*L70/100))</f>
        <v>0.480340254700626</v>
      </c>
      <c r="O70" s="54" t="n">
        <f aca="false">ROUND(S70*W70,0)</f>
        <v>160</v>
      </c>
      <c r="P70" s="54" t="n">
        <f aca="false">IF(F70="","",ROUND(SQRT((F70*L70/100)^2+(G70*O70)^2),0))</f>
        <v>98</v>
      </c>
      <c r="R70" s="56" t="n">
        <v>1.04941188654447</v>
      </c>
      <c r="S70" s="57" t="n">
        <f aca="false">U70*V70*$F$5</f>
        <v>2640.91189093663</v>
      </c>
      <c r="T70" s="58" t="n">
        <f aca="false">MAX(0,MIN(1,R70/100+$D$5))</f>
        <v>0.428041901882231</v>
      </c>
      <c r="U70" s="58" t="n">
        <v>0.635445594546832</v>
      </c>
      <c r="V70" s="57" t="n">
        <v>4156</v>
      </c>
      <c r="W70" s="58" t="n">
        <v>0.0606122259008943</v>
      </c>
      <c r="X70" s="59" t="s">
        <v>136</v>
      </c>
      <c r="Y70" s="59" t="s">
        <v>132</v>
      </c>
    </row>
    <row r="71" customFormat="false" ht="15" hidden="false" customHeight="false" outlineLevel="0" collapsed="false">
      <c r="A71" s="32" t="s">
        <v>188</v>
      </c>
      <c r="B71" s="32" t="s">
        <v>196</v>
      </c>
      <c r="C71" s="32" t="s">
        <v>129</v>
      </c>
      <c r="D71" s="54" t="n">
        <f aca="false">ROUND(S71*T71,0)</f>
        <v>144</v>
      </c>
      <c r="E71" s="54" t="n">
        <f aca="false">ROUND(S71,0)-D71</f>
        <v>216</v>
      </c>
      <c r="F71" s="54" t="n">
        <f aca="false">IF(COUNTA(D71:E71)=0,"",SUM(D71:E71))</f>
        <v>360</v>
      </c>
      <c r="G71" s="55" t="n">
        <f aca="false">IF(OR(F71="",F71=0),"",D71/F71)</f>
        <v>0.4</v>
      </c>
      <c r="H71" s="55" t="n">
        <f aca="false">IF(OR(F71="",F71=0),"",E71/F71)</f>
        <v>0.6</v>
      </c>
      <c r="I71" s="32" t="s">
        <v>130</v>
      </c>
      <c r="J71" s="36" t="n">
        <v>3.01271836260465</v>
      </c>
      <c r="K71" s="36" t="n">
        <f aca="false">$K$8</f>
        <v>1.81112011827341</v>
      </c>
      <c r="L71" s="36" t="n">
        <f aca="false">SQRT(J71^2+K71^2)</f>
        <v>3.51519956975275</v>
      </c>
      <c r="M71" s="55" t="n">
        <f aca="false">IF(G71="","",MAX(0,G71-1.96*L71/100))</f>
        <v>0.331102088432846</v>
      </c>
      <c r="N71" s="55" t="n">
        <f aca="false">IF(G71="","",MIN(1,G71+1.96*L71/100))</f>
        <v>0.468897911567154</v>
      </c>
      <c r="O71" s="54" t="n">
        <f aca="false">ROUND(S71*W71,0)</f>
        <v>28</v>
      </c>
      <c r="P71" s="54" t="n">
        <f aca="false">IF(F71="","",ROUND(SQRT((F71*L71/100)^2+(G71*O71)^2),0))</f>
        <v>17</v>
      </c>
      <c r="R71" s="56" t="n">
        <v>-1.83943787430512</v>
      </c>
      <c r="S71" s="57" t="n">
        <f aca="false">U71*V71*$F$5</f>
        <v>360.236842105263</v>
      </c>
      <c r="T71" s="58" t="n">
        <f aca="false">MAX(0,MIN(1,R71/100+$D$5))</f>
        <v>0.399153404273735</v>
      </c>
      <c r="U71" s="58" t="n">
        <v>0.513157894736842</v>
      </c>
      <c r="V71" s="57" t="n">
        <v>702</v>
      </c>
      <c r="W71" s="58" t="n">
        <v>0.0777040344688333</v>
      </c>
      <c r="X71" s="59" t="s">
        <v>131</v>
      </c>
      <c r="Y71" s="59" t="s">
        <v>132</v>
      </c>
    </row>
    <row r="72" customFormat="false" ht="15" hidden="false" customHeight="false" outlineLevel="0" collapsed="false">
      <c r="A72" s="32" t="s">
        <v>188</v>
      </c>
      <c r="B72" s="32" t="s">
        <v>197</v>
      </c>
      <c r="C72" s="32" t="s">
        <v>129</v>
      </c>
      <c r="D72" s="54" t="n">
        <f aca="false">ROUND(S72*T72,0)</f>
        <v>5124</v>
      </c>
      <c r="E72" s="54" t="n">
        <f aca="false">ROUND(S72,0)-D72</f>
        <v>2173</v>
      </c>
      <c r="F72" s="54" t="n">
        <f aca="false">IF(COUNTA(D72:E72)=0,"",SUM(D72:E72))</f>
        <v>7297</v>
      </c>
      <c r="G72" s="55" t="n">
        <f aca="false">IF(OR(F72="",F72=0),"",D72/F72)</f>
        <v>0.702206386186104</v>
      </c>
      <c r="H72" s="55" t="n">
        <f aca="false">IF(OR(F72="",F72=0),"",E72/F72)</f>
        <v>0.297793613813896</v>
      </c>
      <c r="I72" s="32" t="s">
        <v>130</v>
      </c>
      <c r="J72" s="36" t="n">
        <v>1.66030146977751</v>
      </c>
      <c r="K72" s="36" t="n">
        <f aca="false">$K$8</f>
        <v>1.81112011827341</v>
      </c>
      <c r="L72" s="36" t="n">
        <f aca="false">SQRT(J72^2+K72^2)</f>
        <v>2.45698128876881</v>
      </c>
      <c r="M72" s="55" t="n">
        <f aca="false">IF(G72="","",MAX(0,G72-1.96*L72/100))</f>
        <v>0.654049552926235</v>
      </c>
      <c r="N72" s="55" t="n">
        <f aca="false">IF(G72="","",MIN(1,G72+1.96*L72/100))</f>
        <v>0.750363219445973</v>
      </c>
      <c r="O72" s="54" t="n">
        <f aca="false">ROUND(S72*W72,0)</f>
        <v>402</v>
      </c>
      <c r="P72" s="54" t="n">
        <f aca="false">IF(F72="","",ROUND(SQRT((F72*L72/100)^2+(G72*O72)^2),0))</f>
        <v>334</v>
      </c>
      <c r="R72" s="56" t="n">
        <v>28.458392347507</v>
      </c>
      <c r="S72" s="57" t="n">
        <f aca="false">U72*V72*$F$5</f>
        <v>7297.15979682392</v>
      </c>
      <c r="T72" s="58" t="n">
        <f aca="false">MAX(0,MIN(1,R72/100+$D$5))</f>
        <v>0.702131706491856</v>
      </c>
      <c r="U72" s="58" t="n">
        <v>0.414117234936945</v>
      </c>
      <c r="V72" s="57" t="n">
        <v>17621</v>
      </c>
      <c r="W72" s="58" t="n">
        <v>0.0551273752894184</v>
      </c>
      <c r="X72" s="59" t="s">
        <v>152</v>
      </c>
      <c r="Y72" s="59" t="s">
        <v>132</v>
      </c>
    </row>
    <row r="73" customFormat="false" ht="15" hidden="false" customHeight="false" outlineLevel="0" collapsed="false">
      <c r="A73" s="32" t="s">
        <v>188</v>
      </c>
      <c r="B73" s="32" t="s">
        <v>198</v>
      </c>
      <c r="C73" s="32" t="s">
        <v>129</v>
      </c>
      <c r="D73" s="54" t="n">
        <f aca="false">ROUND(S73*T73,0)</f>
        <v>4247</v>
      </c>
      <c r="E73" s="54" t="n">
        <f aca="false">ROUND(S73,0)-D73</f>
        <v>3928</v>
      </c>
      <c r="F73" s="54" t="n">
        <f aca="false">IF(COUNTA(D73:E73)=0,"",SUM(D73:E73))</f>
        <v>8175</v>
      </c>
      <c r="G73" s="55" t="n">
        <f aca="false">IF(OR(F73="",F73=0),"",D73/F73)</f>
        <v>0.519510703363914</v>
      </c>
      <c r="H73" s="55" t="n">
        <f aca="false">IF(OR(F73="",F73=0),"",E73/F73)</f>
        <v>0.480489296636086</v>
      </c>
      <c r="I73" s="32" t="s">
        <v>130</v>
      </c>
      <c r="J73" s="36" t="n">
        <v>1.66030146977751</v>
      </c>
      <c r="K73" s="36" t="n">
        <f aca="false">$K$8</f>
        <v>1.81112011827341</v>
      </c>
      <c r="L73" s="36" t="n">
        <f aca="false">SQRT(J73^2+K73^2)</f>
        <v>2.45698128876881</v>
      </c>
      <c r="M73" s="55" t="n">
        <f aca="false">IF(G73="","",MAX(0,G73-1.96*L73/100))</f>
        <v>0.471353870104046</v>
      </c>
      <c r="N73" s="55" t="n">
        <f aca="false">IF(G73="","",MIN(1,G73+1.96*L73/100))</f>
        <v>0.567667536623783</v>
      </c>
      <c r="O73" s="54" t="n">
        <f aca="false">ROUND(S73*W73,0)</f>
        <v>451</v>
      </c>
      <c r="P73" s="54" t="n">
        <f aca="false">IF(F73="","",ROUND(SQRT((F73*L73/100)^2+(G73*O73)^2),0))</f>
        <v>309</v>
      </c>
      <c r="R73" s="56" t="n">
        <v>10.1947863502231</v>
      </c>
      <c r="S73" s="57" t="n">
        <f aca="false">U73*V73*$F$5</f>
        <v>8175.00272606901</v>
      </c>
      <c r="T73" s="58" t="n">
        <f aca="false">MAX(0,MIN(1,R73/100+$D$5))</f>
        <v>0.519495646519017</v>
      </c>
      <c r="U73" s="58" t="n">
        <v>0.618428226497391</v>
      </c>
      <c r="V73" s="57" t="n">
        <v>13219</v>
      </c>
      <c r="W73" s="58" t="n">
        <v>0.0551273752894184</v>
      </c>
      <c r="X73" s="59" t="s">
        <v>152</v>
      </c>
      <c r="Y73" s="59" t="s">
        <v>132</v>
      </c>
    </row>
    <row r="74" customFormat="false" ht="15" hidden="false" customHeight="false" outlineLevel="0" collapsed="false">
      <c r="A74" s="32" t="s">
        <v>188</v>
      </c>
      <c r="B74" s="32" t="s">
        <v>199</v>
      </c>
      <c r="C74" s="32" t="s">
        <v>129</v>
      </c>
      <c r="D74" s="54" t="n">
        <f aca="false">ROUND(S74*T74,0)</f>
        <v>492</v>
      </c>
      <c r="E74" s="54" t="n">
        <f aca="false">ROUND(S74,0)-D74</f>
        <v>319</v>
      </c>
      <c r="F74" s="54" t="n">
        <f aca="false">IF(COUNTA(D74:E74)=0,"",SUM(D74:E74))</f>
        <v>811</v>
      </c>
      <c r="G74" s="55" t="n">
        <f aca="false">IF(OR(F74="",F74=0),"",D74/F74)</f>
        <v>0.606658446362515</v>
      </c>
      <c r="H74" s="55" t="n">
        <f aca="false">IF(OR(F74="",F74=0),"",E74/F74)</f>
        <v>0.393341553637485</v>
      </c>
      <c r="I74" s="32" t="s">
        <v>130</v>
      </c>
      <c r="J74" s="36" t="n">
        <v>3.01271836260465</v>
      </c>
      <c r="K74" s="36" t="n">
        <f aca="false">$K$8</f>
        <v>1.81112011827341</v>
      </c>
      <c r="L74" s="36" t="n">
        <f aca="false">SQRT(J74^2+K74^2)</f>
        <v>3.51519956975275</v>
      </c>
      <c r="M74" s="55" t="n">
        <f aca="false">IF(G74="","",MAX(0,G74-1.96*L74/100))</f>
        <v>0.537760534795362</v>
      </c>
      <c r="N74" s="55" t="n">
        <f aca="false">IF(G74="","",MIN(1,G74+1.96*L74/100))</f>
        <v>0.675556357929669</v>
      </c>
      <c r="O74" s="54" t="n">
        <f aca="false">ROUND(S74*W74,0)</f>
        <v>63</v>
      </c>
      <c r="P74" s="54" t="n">
        <f aca="false">IF(F74="","",ROUND(SQRT((F74*L74/100)^2+(G74*O74)^2),0))</f>
        <v>48</v>
      </c>
      <c r="R74" s="56" t="n">
        <v>18.9222127974105</v>
      </c>
      <c r="S74" s="57" t="n">
        <f aca="false">U74*V74*$F$5</f>
        <v>811.272251308901</v>
      </c>
      <c r="T74" s="58" t="n">
        <f aca="false">MAX(0,MIN(1,R74/100+$D$5))</f>
        <v>0.606769910990892</v>
      </c>
      <c r="U74" s="58" t="n">
        <v>0.424083769633508</v>
      </c>
      <c r="V74" s="57" t="n">
        <v>1913</v>
      </c>
      <c r="W74" s="58" t="n">
        <v>0.0777040344688333</v>
      </c>
      <c r="X74" s="59" t="s">
        <v>131</v>
      </c>
      <c r="Y74" s="59" t="s">
        <v>132</v>
      </c>
    </row>
    <row r="75" customFormat="false" ht="15" hidden="false" customHeight="false" outlineLevel="0" collapsed="false">
      <c r="A75" s="32" t="s">
        <v>188</v>
      </c>
      <c r="B75" s="32" t="s">
        <v>200</v>
      </c>
      <c r="C75" s="32" t="s">
        <v>129</v>
      </c>
      <c r="D75" s="54" t="n">
        <f aca="false">ROUND(S75*T75,0)</f>
        <v>74</v>
      </c>
      <c r="E75" s="54" t="n">
        <f aca="false">ROUND(S75,0)-D75</f>
        <v>70</v>
      </c>
      <c r="F75" s="54" t="n">
        <f aca="false">IF(COUNTA(D75:E75)=0,"",SUM(D75:E75))</f>
        <v>144</v>
      </c>
      <c r="G75" s="55" t="n">
        <f aca="false">IF(OR(F75="",F75=0),"",D75/F75)</f>
        <v>0.513888888888889</v>
      </c>
      <c r="H75" s="55" t="n">
        <f aca="false">IF(OR(F75="",F75=0),"",E75/F75)</f>
        <v>0.486111111111111</v>
      </c>
      <c r="I75" s="32" t="s">
        <v>130</v>
      </c>
      <c r="J75" s="36" t="n">
        <v>3.01271836260465</v>
      </c>
      <c r="K75" s="36" t="n">
        <f aca="false">$K$8</f>
        <v>1.81112011827341</v>
      </c>
      <c r="L75" s="36" t="n">
        <f aca="false">SQRT(J75^2+K75^2)</f>
        <v>3.51519956975275</v>
      </c>
      <c r="M75" s="55" t="n">
        <f aca="false">IF(G75="","",MAX(0,G75-1.96*L75/100))</f>
        <v>0.444990977321735</v>
      </c>
      <c r="N75" s="55" t="n">
        <f aca="false">IF(G75="","",MIN(1,G75+1.96*L75/100))</f>
        <v>0.582786800456043</v>
      </c>
      <c r="O75" s="54" t="n">
        <f aca="false">ROUND(S75*W75,0)</f>
        <v>11</v>
      </c>
      <c r="P75" s="54" t="n">
        <f aca="false">IF(F75="","",ROUND(SQRT((F75*L75/100)^2+(G75*O75)^2),0))</f>
        <v>8</v>
      </c>
      <c r="R75" s="56" t="n">
        <v>10.0743169169829</v>
      </c>
      <c r="S75" s="57" t="n">
        <f aca="false">U75*V75*$F$5</f>
        <v>143.630597014925</v>
      </c>
      <c r="T75" s="58" t="n">
        <f aca="false">MAX(0,MIN(1,R75/100+$D$5))</f>
        <v>0.518290952186615</v>
      </c>
      <c r="U75" s="58" t="n">
        <v>0.526119402985075</v>
      </c>
      <c r="V75" s="57" t="n">
        <v>273</v>
      </c>
      <c r="W75" s="58" t="n">
        <v>0.0777040344688333</v>
      </c>
      <c r="X75" s="59" t="s">
        <v>131</v>
      </c>
      <c r="Y75" s="59" t="s">
        <v>132</v>
      </c>
    </row>
    <row r="76" customFormat="false" ht="15" hidden="false" customHeight="false" outlineLevel="0" collapsed="false">
      <c r="A76" s="32" t="s">
        <v>188</v>
      </c>
      <c r="B76" s="32" t="s">
        <v>166</v>
      </c>
      <c r="C76" s="32" t="s">
        <v>129</v>
      </c>
      <c r="D76" s="54" t="n">
        <f aca="false">ROUND(S76*T76,0)</f>
        <v>3482</v>
      </c>
      <c r="E76" s="54" t="n">
        <f aca="false">ROUND(S76,0)-D76</f>
        <v>2941</v>
      </c>
      <c r="F76" s="54" t="n">
        <f aca="false">IF(COUNTA(D76:E76)=0,"",SUM(D76:E76))</f>
        <v>6423</v>
      </c>
      <c r="G76" s="55" t="n">
        <f aca="false">IF(OR(F76="",F76=0),"",D76/F76)</f>
        <v>0.542114276817686</v>
      </c>
      <c r="H76" s="55" t="n">
        <f aca="false">IF(OR(F76="",F76=0),"",E76/F76)</f>
        <v>0.457885723182314</v>
      </c>
      <c r="I76" s="32" t="s">
        <v>130</v>
      </c>
      <c r="J76" s="36" t="n">
        <v>1.66030146977751</v>
      </c>
      <c r="K76" s="36" t="n">
        <f aca="false">$K$8</f>
        <v>1.81112011827341</v>
      </c>
      <c r="L76" s="36" t="n">
        <f aca="false">SQRT(J76^2+K76^2)</f>
        <v>2.45698128876881</v>
      </c>
      <c r="M76" s="55" t="n">
        <f aca="false">IF(G76="","",MAX(0,G76-1.96*L76/100))</f>
        <v>0.493957443557818</v>
      </c>
      <c r="N76" s="55" t="n">
        <f aca="false">IF(G76="","",MIN(1,G76+1.96*L76/100))</f>
        <v>0.590271110077555</v>
      </c>
      <c r="O76" s="54" t="n">
        <f aca="false">ROUND(S76*W76,0)</f>
        <v>354</v>
      </c>
      <c r="P76" s="54" t="n">
        <f aca="false">IF(F76="","",ROUND(SQRT((F76*L76/100)^2+(G76*O76)^2),0))</f>
        <v>248</v>
      </c>
      <c r="R76" s="56" t="n">
        <v>12.4625294934961</v>
      </c>
      <c r="S76" s="57" t="n">
        <f aca="false">U76*V76*$F$5</f>
        <v>6422.70106427379</v>
      </c>
      <c r="T76" s="58" t="n">
        <f aca="false">MAX(0,MIN(1,R76/100+$D$5))</f>
        <v>0.542173077951747</v>
      </c>
      <c r="U76" s="58" t="n">
        <v>0.673309682804674</v>
      </c>
      <c r="V76" s="57" t="n">
        <v>9539</v>
      </c>
      <c r="W76" s="58" t="n">
        <v>0.0551273752894184</v>
      </c>
      <c r="X76" s="59" t="s">
        <v>152</v>
      </c>
      <c r="Y76" s="59" t="s">
        <v>132</v>
      </c>
    </row>
    <row r="77" customFormat="false" ht="15" hidden="false" customHeight="false" outlineLevel="0" collapsed="false">
      <c r="A77" s="32" t="s">
        <v>188</v>
      </c>
      <c r="B77" s="32" t="s">
        <v>201</v>
      </c>
      <c r="C77" s="32" t="s">
        <v>129</v>
      </c>
      <c r="D77" s="54" t="n">
        <f aca="false">ROUND(S77*T77,0)</f>
        <v>1360</v>
      </c>
      <c r="E77" s="54" t="n">
        <f aca="false">ROUND(S77,0)-D77</f>
        <v>1268</v>
      </c>
      <c r="F77" s="54" t="n">
        <f aca="false">IF(COUNTA(D77:E77)=0,"",SUM(D77:E77))</f>
        <v>2628</v>
      </c>
      <c r="G77" s="55" t="n">
        <f aca="false">IF(OR(F77="",F77=0),"",D77/F77)</f>
        <v>0.517503805175038</v>
      </c>
      <c r="H77" s="55" t="n">
        <f aca="false">IF(OR(F77="",F77=0),"",E77/F77)</f>
        <v>0.482496194824962</v>
      </c>
      <c r="I77" s="32" t="s">
        <v>130</v>
      </c>
      <c r="J77" s="36" t="n">
        <v>1.97153343103611</v>
      </c>
      <c r="K77" s="36" t="n">
        <f aca="false">$K$8</f>
        <v>1.81112011827341</v>
      </c>
      <c r="L77" s="36" t="n">
        <f aca="false">SQRT(J77^2+K77^2)</f>
        <v>2.67714402909289</v>
      </c>
      <c r="M77" s="55" t="n">
        <f aca="false">IF(G77="","",MAX(0,G77-1.96*L77/100))</f>
        <v>0.465031782204817</v>
      </c>
      <c r="N77" s="55" t="n">
        <f aca="false">IF(G77="","",MIN(1,G77+1.96*L77/100))</f>
        <v>0.569975828145259</v>
      </c>
      <c r="O77" s="54" t="n">
        <f aca="false">ROUND(S77*W77,0)</f>
        <v>159</v>
      </c>
      <c r="P77" s="54" t="n">
        <f aca="false">IF(F77="","",ROUND(SQRT((F77*L77/100)^2+(G77*O77)^2),0))</f>
        <v>108</v>
      </c>
      <c r="R77" s="56" t="n">
        <v>10.0091816169499</v>
      </c>
      <c r="S77" s="57" t="n">
        <f aca="false">U77*V77*$F$5</f>
        <v>2628.02463970246</v>
      </c>
      <c r="T77" s="58" t="n">
        <f aca="false">MAX(0,MIN(1,R77/100+$D$5))</f>
        <v>0.517639599186285</v>
      </c>
      <c r="U77" s="58" t="n">
        <v>0.598093909809391</v>
      </c>
      <c r="V77" s="57" t="n">
        <v>4394</v>
      </c>
      <c r="W77" s="58" t="n">
        <v>0.0606122259008943</v>
      </c>
      <c r="X77" s="59" t="s">
        <v>136</v>
      </c>
      <c r="Y77" s="59" t="s">
        <v>132</v>
      </c>
    </row>
    <row r="78" customFormat="false" ht="15" hidden="false" customHeight="false" outlineLevel="0" collapsed="false">
      <c r="A78" s="32" t="s">
        <v>188</v>
      </c>
      <c r="B78" s="32" t="s">
        <v>202</v>
      </c>
      <c r="C78" s="32" t="s">
        <v>129</v>
      </c>
      <c r="D78" s="54" t="n">
        <f aca="false">ROUND(S78*T78,0)</f>
        <v>1777</v>
      </c>
      <c r="E78" s="54" t="n">
        <f aca="false">ROUND(S78,0)-D78</f>
        <v>3562</v>
      </c>
      <c r="F78" s="54" t="n">
        <f aca="false">IF(COUNTA(D78:E78)=0,"",SUM(D78:E78))</f>
        <v>5339</v>
      </c>
      <c r="G78" s="55" t="n">
        <f aca="false">IF(OR(F78="",F78=0),"",D78/F78)</f>
        <v>0.332833864019479</v>
      </c>
      <c r="H78" s="55" t="n">
        <f aca="false">IF(OR(F78="",F78=0),"",E78/F78)</f>
        <v>0.667166135980521</v>
      </c>
      <c r="I78" s="32" t="s">
        <v>130</v>
      </c>
      <c r="J78" s="36" t="n">
        <v>1.66030146977751</v>
      </c>
      <c r="K78" s="36" t="n">
        <f aca="false">$K$8</f>
        <v>1.81112011827341</v>
      </c>
      <c r="L78" s="36" t="n">
        <f aca="false">SQRT(J78^2+K78^2)</f>
        <v>2.45698128876881</v>
      </c>
      <c r="M78" s="55" t="n">
        <f aca="false">IF(G78="","",MAX(0,G78-1.96*L78/100))</f>
        <v>0.284677030759611</v>
      </c>
      <c r="N78" s="55" t="n">
        <f aca="false">IF(G78="","",MIN(1,G78+1.96*L78/100))</f>
        <v>0.380990697279348</v>
      </c>
      <c r="O78" s="54" t="n">
        <f aca="false">ROUND(S78*W78,0)</f>
        <v>294</v>
      </c>
      <c r="P78" s="54" t="n">
        <f aca="false">IF(F78="","",ROUND(SQRT((F78*L78/100)^2+(G78*O78)^2),0))</f>
        <v>164</v>
      </c>
      <c r="R78" s="56" t="n">
        <v>-8.46843161972895</v>
      </c>
      <c r="S78" s="57" t="n">
        <f aca="false">U78*V78*$F$5</f>
        <v>5339.13569131833</v>
      </c>
      <c r="T78" s="58" t="n">
        <f aca="false">MAX(0,MIN(1,R78/100+$D$5))</f>
        <v>0.332863466819497</v>
      </c>
      <c r="U78" s="58" t="n">
        <v>0.656720257234727</v>
      </c>
      <c r="V78" s="57" t="n">
        <v>8130</v>
      </c>
      <c r="W78" s="58" t="n">
        <v>0.0551273752894184</v>
      </c>
      <c r="X78" s="59" t="s">
        <v>152</v>
      </c>
      <c r="Y78" s="59" t="s">
        <v>132</v>
      </c>
    </row>
    <row r="79" customFormat="false" ht="15" hidden="false" customHeight="false" outlineLevel="0" collapsed="false">
      <c r="A79" s="32" t="s">
        <v>188</v>
      </c>
      <c r="B79" s="32" t="s">
        <v>203</v>
      </c>
      <c r="C79" s="32" t="s">
        <v>129</v>
      </c>
      <c r="D79" s="54" t="n">
        <f aca="false">ROUND(S79*T79,0)</f>
        <v>480</v>
      </c>
      <c r="E79" s="54" t="n">
        <f aca="false">ROUND(S79,0)-D79</f>
        <v>958</v>
      </c>
      <c r="F79" s="54" t="n">
        <f aca="false">IF(COUNTA(D79:E79)=0,"",SUM(D79:E79))</f>
        <v>1438</v>
      </c>
      <c r="G79" s="55" t="n">
        <f aca="false">IF(OR(F79="",F79=0),"",D79/F79)</f>
        <v>0.333796940194715</v>
      </c>
      <c r="H79" s="55" t="n">
        <f aca="false">IF(OR(F79="",F79=0),"",E79/F79)</f>
        <v>0.666203059805285</v>
      </c>
      <c r="I79" s="32" t="s">
        <v>130</v>
      </c>
      <c r="J79" s="36" t="n">
        <v>1.97153343103611</v>
      </c>
      <c r="K79" s="36" t="n">
        <f aca="false">$K$8</f>
        <v>1.81112011827341</v>
      </c>
      <c r="L79" s="36" t="n">
        <f aca="false">SQRT(J79^2+K79^2)</f>
        <v>2.67714402909289</v>
      </c>
      <c r="M79" s="55" t="n">
        <f aca="false">IF(G79="","",MAX(0,G79-1.96*L79/100))</f>
        <v>0.281324917224494</v>
      </c>
      <c r="N79" s="55" t="n">
        <f aca="false">IF(G79="","",MIN(1,G79+1.96*L79/100))</f>
        <v>0.386268963164936</v>
      </c>
      <c r="O79" s="54" t="n">
        <f aca="false">ROUND(S79*W79,0)</f>
        <v>87</v>
      </c>
      <c r="P79" s="54" t="n">
        <f aca="false">IF(F79="","",ROUND(SQRT((F79*L79/100)^2+(G79*O79)^2),0))</f>
        <v>48</v>
      </c>
      <c r="R79" s="56" t="n">
        <v>-8.37978356913243</v>
      </c>
      <c r="S79" s="57" t="n">
        <f aca="false">U79*V79*$F$5</f>
        <v>1437.5</v>
      </c>
      <c r="T79" s="58" t="n">
        <f aca="false">MAX(0,MIN(1,R79/100+$D$5))</f>
        <v>0.333749947325462</v>
      </c>
      <c r="U79" s="58" t="n">
        <v>0.625</v>
      </c>
      <c r="V79" s="57" t="n">
        <v>2300</v>
      </c>
      <c r="W79" s="58" t="n">
        <v>0.0606122259008943</v>
      </c>
      <c r="X79" s="59" t="s">
        <v>136</v>
      </c>
      <c r="Y79" s="59" t="s">
        <v>132</v>
      </c>
    </row>
    <row r="80" customFormat="false" ht="15" hidden="false" customHeight="false" outlineLevel="0" collapsed="false">
      <c r="A80" s="32" t="s">
        <v>188</v>
      </c>
      <c r="B80" s="32" t="s">
        <v>204</v>
      </c>
      <c r="C80" s="32" t="s">
        <v>129</v>
      </c>
      <c r="D80" s="54" t="n">
        <f aca="false">ROUND(S80*T80,0)</f>
        <v>1694</v>
      </c>
      <c r="E80" s="54" t="n">
        <f aca="false">ROUND(S80,0)-D80</f>
        <v>2028</v>
      </c>
      <c r="F80" s="54" t="n">
        <f aca="false">IF(COUNTA(D80:E80)=0,"",SUM(D80:E80))</f>
        <v>3722</v>
      </c>
      <c r="G80" s="55" t="n">
        <f aca="false">IF(OR(F80="",F80=0),"",D80/F80)</f>
        <v>0.455131649650725</v>
      </c>
      <c r="H80" s="55" t="n">
        <f aca="false">IF(OR(F80="",F80=0),"",E80/F80)</f>
        <v>0.544868350349275</v>
      </c>
      <c r="I80" s="32" t="s">
        <v>130</v>
      </c>
      <c r="J80" s="36" t="n">
        <v>1.66030146977751</v>
      </c>
      <c r="K80" s="36" t="n">
        <f aca="false">$K$8</f>
        <v>1.81112011827341</v>
      </c>
      <c r="L80" s="36" t="n">
        <f aca="false">SQRT(J80^2+K80^2)</f>
        <v>2.45698128876881</v>
      </c>
      <c r="M80" s="55" t="n">
        <f aca="false">IF(G80="","",MAX(0,G80-1.96*L80/100))</f>
        <v>0.406974816390857</v>
      </c>
      <c r="N80" s="55" t="n">
        <f aca="false">IF(G80="","",MIN(1,G80+1.96*L80/100))</f>
        <v>0.503288482910594</v>
      </c>
      <c r="O80" s="54" t="n">
        <f aca="false">ROUND(S80*W80,0)</f>
        <v>205</v>
      </c>
      <c r="P80" s="54" t="n">
        <f aca="false">IF(F80="","",ROUND(SQRT((F80*L80/100)^2+(G80*O80)^2),0))</f>
        <v>131</v>
      </c>
      <c r="R80" s="56" t="n">
        <v>3.7511933522519</v>
      </c>
      <c r="S80" s="57" t="n">
        <f aca="false">U80*V80*$F$5</f>
        <v>3721.57991120977</v>
      </c>
      <c r="T80" s="58" t="n">
        <f aca="false">MAX(0,MIN(1,R80/100+$D$5))</f>
        <v>0.455059716539305</v>
      </c>
      <c r="U80" s="58" t="n">
        <v>0.684239733629301</v>
      </c>
      <c r="V80" s="57" t="n">
        <v>5439</v>
      </c>
      <c r="W80" s="58" t="n">
        <v>0.0551273752894184</v>
      </c>
      <c r="X80" s="59" t="s">
        <v>152</v>
      </c>
      <c r="Y80" s="59" t="s">
        <v>132</v>
      </c>
    </row>
    <row r="81" customFormat="false" ht="15" hidden="false" customHeight="false" outlineLevel="0" collapsed="false">
      <c r="A81" s="32" t="s">
        <v>188</v>
      </c>
      <c r="B81" s="32" t="s">
        <v>205</v>
      </c>
      <c r="C81" s="32" t="s">
        <v>129</v>
      </c>
      <c r="D81" s="54" t="n">
        <f aca="false">ROUND(S81*T81,0)</f>
        <v>2864</v>
      </c>
      <c r="E81" s="54" t="n">
        <f aca="false">ROUND(S81,0)-D81</f>
        <v>3060</v>
      </c>
      <c r="F81" s="54" t="n">
        <f aca="false">IF(COUNTA(D81:E81)=0,"",SUM(D81:E81))</f>
        <v>5924</v>
      </c>
      <c r="G81" s="55" t="n">
        <f aca="false">IF(OR(F81="",F81=0),"",D81/F81)</f>
        <v>0.483457123565159</v>
      </c>
      <c r="H81" s="55" t="n">
        <f aca="false">IF(OR(F81="",F81=0),"",E81/F81)</f>
        <v>0.516542876434841</v>
      </c>
      <c r="I81" s="32" t="s">
        <v>130</v>
      </c>
      <c r="J81" s="36" t="n">
        <v>1.66030146977751</v>
      </c>
      <c r="K81" s="36" t="n">
        <f aca="false">$K$8</f>
        <v>1.81112011827341</v>
      </c>
      <c r="L81" s="36" t="n">
        <f aca="false">SQRT(J81^2+K81^2)</f>
        <v>2.45698128876881</v>
      </c>
      <c r="M81" s="55" t="n">
        <f aca="false">IF(G81="","",MAX(0,G81-1.96*L81/100))</f>
        <v>0.43530029030529</v>
      </c>
      <c r="N81" s="55" t="n">
        <f aca="false">IF(G81="","",MIN(1,G81+1.96*L81/100))</f>
        <v>0.531613956825027</v>
      </c>
      <c r="O81" s="54" t="n">
        <f aca="false">ROUND(S81*W81,0)</f>
        <v>327</v>
      </c>
      <c r="P81" s="54" t="n">
        <f aca="false">IF(F81="","",ROUND(SQRT((F81*L81/100)^2+(G81*O81)^2),0))</f>
        <v>215</v>
      </c>
      <c r="R81" s="56" t="n">
        <v>6.59158501531138</v>
      </c>
      <c r="S81" s="57" t="n">
        <f aca="false">U81*V81*$F$5</f>
        <v>5924.29823361823</v>
      </c>
      <c r="T81" s="58" t="n">
        <f aca="false">MAX(0,MIN(1,R81/100+$D$5))</f>
        <v>0.4834636331699</v>
      </c>
      <c r="U81" s="58" t="n">
        <v>0.675441595441595</v>
      </c>
      <c r="V81" s="57" t="n">
        <v>8771</v>
      </c>
      <c r="W81" s="58" t="n">
        <v>0.0551273752894184</v>
      </c>
      <c r="X81" s="59" t="s">
        <v>152</v>
      </c>
      <c r="Y81" s="59" t="s">
        <v>132</v>
      </c>
    </row>
    <row r="82" customFormat="false" ht="15" hidden="false" customHeight="false" outlineLevel="0" collapsed="false">
      <c r="A82" s="32" t="s">
        <v>188</v>
      </c>
      <c r="B82" s="32" t="s">
        <v>206</v>
      </c>
      <c r="C82" s="32" t="s">
        <v>129</v>
      </c>
      <c r="D82" s="54" t="n">
        <f aca="false">ROUND(S82*T82,0)</f>
        <v>1578</v>
      </c>
      <c r="E82" s="54" t="n">
        <f aca="false">ROUND(S82,0)-D82</f>
        <v>3270</v>
      </c>
      <c r="F82" s="54" t="n">
        <f aca="false">IF(COUNTA(D82:E82)=0,"",SUM(D82:E82))</f>
        <v>4848</v>
      </c>
      <c r="G82" s="55" t="n">
        <f aca="false">IF(OR(F82="",F82=0),"",D82/F82)</f>
        <v>0.325495049504951</v>
      </c>
      <c r="H82" s="55" t="n">
        <f aca="false">IF(OR(F82="",F82=0),"",E82/F82)</f>
        <v>0.67450495049505</v>
      </c>
      <c r="I82" s="32" t="s">
        <v>130</v>
      </c>
      <c r="J82" s="36" t="n">
        <v>1.66030146977751</v>
      </c>
      <c r="K82" s="36" t="n">
        <f aca="false">$K$8</f>
        <v>1.81112011827341</v>
      </c>
      <c r="L82" s="36" t="n">
        <f aca="false">SQRT(J82^2+K82^2)</f>
        <v>2.45698128876881</v>
      </c>
      <c r="M82" s="55" t="n">
        <f aca="false">IF(G82="","",MAX(0,G82-1.96*L82/100))</f>
        <v>0.277338216245082</v>
      </c>
      <c r="N82" s="55" t="n">
        <f aca="false">IF(G82="","",MIN(1,G82+1.96*L82/100))</f>
        <v>0.373651882764819</v>
      </c>
      <c r="O82" s="54" t="n">
        <f aca="false">ROUND(S82*W82,0)</f>
        <v>267</v>
      </c>
      <c r="P82" s="54" t="n">
        <f aca="false">IF(F82="","",ROUND(SQRT((F82*L82/100)^2+(G82*O82)^2),0))</f>
        <v>147</v>
      </c>
      <c r="R82" s="56" t="n">
        <v>-9.20046859939966</v>
      </c>
      <c r="S82" s="57" t="n">
        <f aca="false">U82*V82*$F$5</f>
        <v>4848.29721362229</v>
      </c>
      <c r="T82" s="58" t="n">
        <f aca="false">MAX(0,MIN(1,R82/100+$D$5))</f>
        <v>0.325543097022789</v>
      </c>
      <c r="U82" s="58" t="n">
        <v>0.668730650154799</v>
      </c>
      <c r="V82" s="57" t="n">
        <v>7250</v>
      </c>
      <c r="W82" s="58" t="n">
        <v>0.0551273752894184</v>
      </c>
      <c r="X82" s="59" t="s">
        <v>152</v>
      </c>
      <c r="Y82" s="59" t="s">
        <v>132</v>
      </c>
    </row>
    <row r="83" customFormat="false" ht="15" hidden="false" customHeight="false" outlineLevel="0" collapsed="false">
      <c r="A83" s="32" t="s">
        <v>188</v>
      </c>
      <c r="B83" s="32" t="s">
        <v>207</v>
      </c>
      <c r="C83" s="32" t="s">
        <v>129</v>
      </c>
      <c r="D83" s="54" t="n">
        <f aca="false">ROUND(S83*T83,0)</f>
        <v>1231</v>
      </c>
      <c r="E83" s="54" t="n">
        <f aca="false">ROUND(S83,0)-D83</f>
        <v>1284</v>
      </c>
      <c r="F83" s="54" t="n">
        <f aca="false">IF(COUNTA(D83:E83)=0,"",SUM(D83:E83))</f>
        <v>2515</v>
      </c>
      <c r="G83" s="55" t="n">
        <f aca="false">IF(OR(F83="",F83=0),"",D83/F83)</f>
        <v>0.489463220675944</v>
      </c>
      <c r="H83" s="55" t="n">
        <f aca="false">IF(OR(F83="",F83=0),"",E83/F83)</f>
        <v>0.510536779324056</v>
      </c>
      <c r="I83" s="32" t="s">
        <v>130</v>
      </c>
      <c r="J83" s="36" t="n">
        <v>1.97153343103611</v>
      </c>
      <c r="K83" s="36" t="n">
        <f aca="false">$K$8</f>
        <v>1.81112011827341</v>
      </c>
      <c r="L83" s="36" t="n">
        <f aca="false">SQRT(J83^2+K83^2)</f>
        <v>2.67714402909289</v>
      </c>
      <c r="M83" s="55" t="n">
        <f aca="false">IF(G83="","",MAX(0,G83-1.96*L83/100))</f>
        <v>0.436991197705724</v>
      </c>
      <c r="N83" s="55" t="n">
        <f aca="false">IF(G83="","",MIN(1,G83+1.96*L83/100))</f>
        <v>0.541935243646165</v>
      </c>
      <c r="O83" s="54" t="n">
        <f aca="false">ROUND(S83*W83,0)</f>
        <v>152</v>
      </c>
      <c r="P83" s="54" t="n">
        <f aca="false">IF(F83="","",ROUND(SQRT((F83*L83/100)^2+(G83*O83)^2),0))</f>
        <v>100</v>
      </c>
      <c r="R83" s="56" t="n">
        <v>7.18215303746952</v>
      </c>
      <c r="S83" s="57" t="n">
        <f aca="false">U83*V83*$F$5</f>
        <v>2514.75925477861</v>
      </c>
      <c r="T83" s="58" t="n">
        <f aca="false">MAX(0,MIN(1,R83/100+$D$5))</f>
        <v>0.489369313391481</v>
      </c>
      <c r="U83" s="58" t="n">
        <v>0.595209291071861</v>
      </c>
      <c r="V83" s="57" t="n">
        <v>4225</v>
      </c>
      <c r="W83" s="58" t="n">
        <v>0.0606122259008943</v>
      </c>
      <c r="X83" s="59" t="s">
        <v>136</v>
      </c>
      <c r="Y83" s="59" t="s">
        <v>132</v>
      </c>
    </row>
    <row r="84" customFormat="false" ht="15" hidden="false" customHeight="false" outlineLevel="0" collapsed="false">
      <c r="A84" s="32" t="s">
        <v>188</v>
      </c>
      <c r="B84" s="32" t="s">
        <v>208</v>
      </c>
      <c r="C84" s="32" t="s">
        <v>129</v>
      </c>
      <c r="D84" s="54" t="n">
        <f aca="false">ROUND(S84*T84,0)</f>
        <v>706</v>
      </c>
      <c r="E84" s="54" t="n">
        <f aca="false">ROUND(S84,0)-D84</f>
        <v>722</v>
      </c>
      <c r="F84" s="54" t="n">
        <f aca="false">IF(COUNTA(D84:E84)=0,"",SUM(D84:E84))</f>
        <v>1428</v>
      </c>
      <c r="G84" s="55" t="n">
        <f aca="false">IF(OR(F84="",F84=0),"",D84/F84)</f>
        <v>0.494397759103642</v>
      </c>
      <c r="H84" s="55" t="n">
        <f aca="false">IF(OR(F84="",F84=0),"",E84/F84)</f>
        <v>0.505602240896359</v>
      </c>
      <c r="I84" s="32" t="s">
        <v>130</v>
      </c>
      <c r="J84" s="36" t="n">
        <v>1.97153343103611</v>
      </c>
      <c r="K84" s="36" t="n">
        <f aca="false">$K$8</f>
        <v>1.81112011827341</v>
      </c>
      <c r="L84" s="36" t="n">
        <f aca="false">SQRT(J84^2+K84^2)</f>
        <v>2.67714402909289</v>
      </c>
      <c r="M84" s="55" t="n">
        <f aca="false">IF(G84="","",MAX(0,G84-1.96*L84/100))</f>
        <v>0.441925736133421</v>
      </c>
      <c r="N84" s="55" t="n">
        <f aca="false">IF(G84="","",MIN(1,G84+1.96*L84/100))</f>
        <v>0.546869782073862</v>
      </c>
      <c r="O84" s="54" t="n">
        <f aca="false">ROUND(S84*W84,0)</f>
        <v>87</v>
      </c>
      <c r="P84" s="54" t="n">
        <f aca="false">IF(F84="","",ROUND(SQRT((F84*L84/100)^2+(G84*O84)^2),0))</f>
        <v>58</v>
      </c>
      <c r="R84" s="56" t="n">
        <v>7.68376455729631</v>
      </c>
      <c r="S84" s="57" t="n">
        <f aca="false">U84*V84*$F$5</f>
        <v>1427.54656265236</v>
      </c>
      <c r="T84" s="58" t="n">
        <f aca="false">MAX(0,MIN(1,R84/100+$D$5))</f>
        <v>0.494385428589749</v>
      </c>
      <c r="U84" s="58" t="n">
        <v>0.623110677718186</v>
      </c>
      <c r="V84" s="57" t="n">
        <v>2291</v>
      </c>
      <c r="W84" s="58" t="n">
        <v>0.0606122259008943</v>
      </c>
      <c r="X84" s="59" t="s">
        <v>136</v>
      </c>
      <c r="Y84" s="59" t="s">
        <v>132</v>
      </c>
    </row>
    <row r="85" customFormat="false" ht="15" hidden="false" customHeight="false" outlineLevel="0" collapsed="false">
      <c r="A85" s="32" t="s">
        <v>188</v>
      </c>
      <c r="B85" s="32" t="s">
        <v>209</v>
      </c>
      <c r="C85" s="32" t="s">
        <v>129</v>
      </c>
      <c r="D85" s="54" t="n">
        <f aca="false">ROUND(S85*T85,0)</f>
        <v>1959</v>
      </c>
      <c r="E85" s="54" t="n">
        <f aca="false">ROUND(S85,0)-D85</f>
        <v>2205</v>
      </c>
      <c r="F85" s="54" t="n">
        <f aca="false">IF(COUNTA(D85:E85)=0,"",SUM(D85:E85))</f>
        <v>4164</v>
      </c>
      <c r="G85" s="55" t="n">
        <f aca="false">IF(OR(F85="",F85=0),"",D85/F85)</f>
        <v>0.470461095100865</v>
      </c>
      <c r="H85" s="55" t="n">
        <f aca="false">IF(OR(F85="",F85=0),"",E85/F85)</f>
        <v>0.529538904899136</v>
      </c>
      <c r="I85" s="32" t="s">
        <v>130</v>
      </c>
      <c r="J85" s="36" t="n">
        <v>1.66030146977751</v>
      </c>
      <c r="K85" s="36" t="n">
        <f aca="false">$K$8</f>
        <v>1.81112011827341</v>
      </c>
      <c r="L85" s="36" t="n">
        <f aca="false">SQRT(J85^2+K85^2)</f>
        <v>2.45698128876881</v>
      </c>
      <c r="M85" s="55" t="n">
        <f aca="false">IF(G85="","",MAX(0,G85-1.96*L85/100))</f>
        <v>0.422304261840996</v>
      </c>
      <c r="N85" s="55" t="n">
        <f aca="false">IF(G85="","",MIN(1,G85+1.96*L85/100))</f>
        <v>0.518617928360733</v>
      </c>
      <c r="O85" s="54" t="n">
        <f aca="false">ROUND(S85*W85,0)</f>
        <v>230</v>
      </c>
      <c r="P85" s="54" t="n">
        <f aca="false">IF(F85="","",ROUND(SQRT((F85*L85/100)^2+(G85*O85)^2),0))</f>
        <v>149</v>
      </c>
      <c r="R85" s="56" t="n">
        <v>5.29954114353846</v>
      </c>
      <c r="S85" s="57" t="n">
        <f aca="false">U85*V85*$F$5</f>
        <v>4163.88109359178</v>
      </c>
      <c r="T85" s="58" t="n">
        <f aca="false">MAX(0,MIN(1,R85/100+$D$5))</f>
        <v>0.470543194452171</v>
      </c>
      <c r="U85" s="58" t="n">
        <v>0.568060176479097</v>
      </c>
      <c r="V85" s="57" t="n">
        <v>7330</v>
      </c>
      <c r="W85" s="58" t="n">
        <v>0.0551273752894184</v>
      </c>
      <c r="X85" s="59" t="s">
        <v>152</v>
      </c>
      <c r="Y85" s="59" t="s">
        <v>132</v>
      </c>
    </row>
    <row r="86" customFormat="false" ht="15" hidden="false" customHeight="false" outlineLevel="0" collapsed="false">
      <c r="A86" s="32" t="s">
        <v>188</v>
      </c>
      <c r="B86" s="32" t="s">
        <v>210</v>
      </c>
      <c r="C86" s="32" t="s">
        <v>129</v>
      </c>
      <c r="D86" s="54" t="n">
        <f aca="false">ROUND(S86*T86,0)</f>
        <v>5462</v>
      </c>
      <c r="E86" s="54" t="n">
        <f aca="false">ROUND(S86,0)-D86</f>
        <v>5195</v>
      </c>
      <c r="F86" s="54" t="n">
        <f aca="false">IF(COUNTA(D86:E86)=0,"",SUM(D86:E86))</f>
        <v>10657</v>
      </c>
      <c r="G86" s="55" t="n">
        <f aca="false">IF(OR(F86="",F86=0),"",D86/F86)</f>
        <v>0.512526977573426</v>
      </c>
      <c r="H86" s="55" t="n">
        <f aca="false">IF(OR(F86="",F86=0),"",E86/F86)</f>
        <v>0.487473022426574</v>
      </c>
      <c r="I86" s="32" t="s">
        <v>130</v>
      </c>
      <c r="J86" s="36" t="n">
        <v>1.66030146977751</v>
      </c>
      <c r="K86" s="36" t="n">
        <f aca="false">$K$8</f>
        <v>1.81112011827341</v>
      </c>
      <c r="L86" s="36" t="n">
        <f aca="false">SQRT(J86^2+K86^2)</f>
        <v>2.45698128876881</v>
      </c>
      <c r="M86" s="55" t="n">
        <f aca="false">IF(G86="","",MAX(0,G86-1.96*L86/100))</f>
        <v>0.464370144313557</v>
      </c>
      <c r="N86" s="55" t="n">
        <f aca="false">IF(G86="","",MIN(1,G86+1.96*L86/100))</f>
        <v>0.560683810833295</v>
      </c>
      <c r="O86" s="54" t="n">
        <f aca="false">ROUND(S86*W86,0)</f>
        <v>587</v>
      </c>
      <c r="P86" s="54" t="n">
        <f aca="false">IF(F86="","",ROUND(SQRT((F86*L86/100)^2+(G86*O86)^2),0))</f>
        <v>399</v>
      </c>
      <c r="R86" s="56" t="n">
        <v>9.49652664061835</v>
      </c>
      <c r="S86" s="57" t="n">
        <f aca="false">U86*V86*$F$5</f>
        <v>10656.5050635134</v>
      </c>
      <c r="T86" s="58" t="n">
        <f aca="false">MAX(0,MIN(1,R86/100+$D$5))</f>
        <v>0.51251304942297</v>
      </c>
      <c r="U86" s="58" t="n">
        <v>0.603699584382134</v>
      </c>
      <c r="V86" s="57" t="n">
        <v>17652</v>
      </c>
      <c r="W86" s="58" t="n">
        <v>0.0551273752894184</v>
      </c>
      <c r="X86" s="59" t="s">
        <v>152</v>
      </c>
      <c r="Y86" s="59" t="s">
        <v>132</v>
      </c>
    </row>
    <row r="87" customFormat="false" ht="15" hidden="false" customHeight="false" outlineLevel="0" collapsed="false">
      <c r="A87" s="32" t="s">
        <v>188</v>
      </c>
      <c r="B87" s="32" t="s">
        <v>211</v>
      </c>
      <c r="C87" s="32" t="s">
        <v>129</v>
      </c>
      <c r="D87" s="54" t="n">
        <f aca="false">ROUND(S87*T87,0)</f>
        <v>495</v>
      </c>
      <c r="E87" s="54" t="n">
        <f aca="false">ROUND(S87,0)-D87</f>
        <v>867</v>
      </c>
      <c r="F87" s="54" t="n">
        <f aca="false">IF(COUNTA(D87:E87)=0,"",SUM(D87:E87))</f>
        <v>1362</v>
      </c>
      <c r="G87" s="55" t="n">
        <f aca="false">IF(OR(F87="",F87=0),"",D87/F87)</f>
        <v>0.363436123348018</v>
      </c>
      <c r="H87" s="55" t="n">
        <f aca="false">IF(OR(F87="",F87=0),"",E87/F87)</f>
        <v>0.636563876651982</v>
      </c>
      <c r="I87" s="32" t="s">
        <v>130</v>
      </c>
      <c r="J87" s="36" t="n">
        <v>1.97153343103611</v>
      </c>
      <c r="K87" s="36" t="n">
        <f aca="false">$K$8</f>
        <v>1.81112011827341</v>
      </c>
      <c r="L87" s="36" t="n">
        <f aca="false">SQRT(J87^2+K87^2)</f>
        <v>2.67714402909289</v>
      </c>
      <c r="M87" s="55" t="n">
        <f aca="false">IF(G87="","",MAX(0,G87-1.96*L87/100))</f>
        <v>0.310964100377797</v>
      </c>
      <c r="N87" s="55" t="n">
        <f aca="false">IF(G87="","",MIN(1,G87+1.96*L87/100))</f>
        <v>0.415908146318238</v>
      </c>
      <c r="O87" s="54" t="n">
        <f aca="false">ROUND(S87*W87,0)</f>
        <v>83</v>
      </c>
      <c r="P87" s="54" t="n">
        <f aca="false">IF(F87="","",ROUND(SQRT((F87*L87/100)^2+(G87*O87)^2),0))</f>
        <v>47</v>
      </c>
      <c r="R87" s="56" t="n">
        <v>-5.40027785465861</v>
      </c>
      <c r="S87" s="57" t="n">
        <f aca="false">U87*V87*$F$5</f>
        <v>1362.06750324535</v>
      </c>
      <c r="T87" s="58" t="n">
        <f aca="false">MAX(0,MIN(1,R87/100+$D$5))</f>
        <v>0.3635450044702</v>
      </c>
      <c r="U87" s="58" t="n">
        <v>0.55776720034617</v>
      </c>
      <c r="V87" s="57" t="n">
        <v>2442</v>
      </c>
      <c r="W87" s="58" t="n">
        <v>0.0606122259008943</v>
      </c>
      <c r="X87" s="59" t="s">
        <v>136</v>
      </c>
      <c r="Y87" s="59" t="s">
        <v>132</v>
      </c>
    </row>
    <row r="88" customFormat="false" ht="15" hidden="false" customHeight="false" outlineLevel="0" collapsed="false">
      <c r="A88" s="32" t="s">
        <v>188</v>
      </c>
      <c r="B88" s="32" t="s">
        <v>212</v>
      </c>
      <c r="C88" s="32" t="s">
        <v>129</v>
      </c>
      <c r="D88" s="54" t="n">
        <f aca="false">ROUND(S88*T88,0)</f>
        <v>1034</v>
      </c>
      <c r="E88" s="54" t="n">
        <f aca="false">ROUND(S88,0)-D88</f>
        <v>2087</v>
      </c>
      <c r="F88" s="54" t="n">
        <f aca="false">IF(COUNTA(D88:E88)=0,"",SUM(D88:E88))</f>
        <v>3121</v>
      </c>
      <c r="G88" s="55" t="n">
        <f aca="false">IF(OR(F88="",F88=0),"",D88/F88)</f>
        <v>0.331304069208587</v>
      </c>
      <c r="H88" s="55" t="n">
        <f aca="false">IF(OR(F88="",F88=0),"",E88/F88)</f>
        <v>0.668695930791413</v>
      </c>
      <c r="I88" s="32" t="s">
        <v>130</v>
      </c>
      <c r="J88" s="36" t="n">
        <v>1.66030146977751</v>
      </c>
      <c r="K88" s="36" t="n">
        <f aca="false">$K$8</f>
        <v>1.81112011827341</v>
      </c>
      <c r="L88" s="36" t="n">
        <f aca="false">SQRT(J88^2+K88^2)</f>
        <v>2.45698128876881</v>
      </c>
      <c r="M88" s="55" t="n">
        <f aca="false">IF(G88="","",MAX(0,G88-1.96*L88/100))</f>
        <v>0.283147235948718</v>
      </c>
      <c r="N88" s="55" t="n">
        <f aca="false">IF(G88="","",MIN(1,G88+1.96*L88/100))</f>
        <v>0.379460902468456</v>
      </c>
      <c r="O88" s="54" t="n">
        <f aca="false">ROUND(S88*W88,0)</f>
        <v>172</v>
      </c>
      <c r="P88" s="54" t="n">
        <f aca="false">IF(F88="","",ROUND(SQRT((F88*L88/100)^2+(G88*O88)^2),0))</f>
        <v>96</v>
      </c>
      <c r="R88" s="56" t="n">
        <v>-8.64334801373648</v>
      </c>
      <c r="S88" s="57" t="n">
        <f aca="false">U88*V88*$F$5</f>
        <v>3121.34219409283</v>
      </c>
      <c r="T88" s="58" t="n">
        <f aca="false">MAX(0,MIN(1,R88/100+$D$5))</f>
        <v>0.331114302879421</v>
      </c>
      <c r="U88" s="58" t="n">
        <v>0.648523206751055</v>
      </c>
      <c r="V88" s="57" t="n">
        <v>4813</v>
      </c>
      <c r="W88" s="58" t="n">
        <v>0.0551273752894184</v>
      </c>
      <c r="X88" s="59" t="s">
        <v>152</v>
      </c>
      <c r="Y88" s="59" t="s">
        <v>132</v>
      </c>
    </row>
    <row r="89" customFormat="false" ht="15" hidden="false" customHeight="false" outlineLevel="0" collapsed="false">
      <c r="A89" s="32" t="s">
        <v>188</v>
      </c>
      <c r="B89" s="32" t="s">
        <v>213</v>
      </c>
      <c r="C89" s="32" t="s">
        <v>129</v>
      </c>
      <c r="D89" s="54" t="n">
        <f aca="false">ROUND(S89*T89,0)</f>
        <v>67</v>
      </c>
      <c r="E89" s="54" t="n">
        <f aca="false">ROUND(S89,0)-D89</f>
        <v>129</v>
      </c>
      <c r="F89" s="54" t="n">
        <f aca="false">IF(COUNTA(D89:E89)=0,"",SUM(D89:E89))</f>
        <v>196</v>
      </c>
      <c r="G89" s="55" t="n">
        <f aca="false">IF(OR(F89="",F89=0),"",D89/F89)</f>
        <v>0.341836734693878</v>
      </c>
      <c r="H89" s="55" t="n">
        <f aca="false">IF(OR(F89="",F89=0),"",E89/F89)</f>
        <v>0.658163265306123</v>
      </c>
      <c r="I89" s="32" t="s">
        <v>130</v>
      </c>
      <c r="J89" s="36" t="n">
        <v>3.01271836260465</v>
      </c>
      <c r="K89" s="36" t="n">
        <f aca="false">$K$8</f>
        <v>1.81112011827341</v>
      </c>
      <c r="L89" s="36" t="n">
        <f aca="false">SQRT(J89^2+K89^2)</f>
        <v>3.51519956975275</v>
      </c>
      <c r="M89" s="55" t="n">
        <f aca="false">IF(G89="","",MAX(0,G89-1.96*L89/100))</f>
        <v>0.272938823126724</v>
      </c>
      <c r="N89" s="55" t="n">
        <f aca="false">IF(G89="","",MIN(1,G89+1.96*L89/100))</f>
        <v>0.410734646261032</v>
      </c>
      <c r="O89" s="54" t="n">
        <f aca="false">ROUND(S89*W89,0)</f>
        <v>15</v>
      </c>
      <c r="P89" s="54" t="n">
        <f aca="false">IF(F89="","",ROUND(SQRT((F89*L89/100)^2+(G89*O89)^2),0))</f>
        <v>9</v>
      </c>
      <c r="R89" s="56" t="n">
        <v>-7.50111465137391</v>
      </c>
      <c r="S89" s="57" t="n">
        <f aca="false">U89*V89*$F$5</f>
        <v>196.10298102981</v>
      </c>
      <c r="T89" s="58" t="n">
        <f aca="false">MAX(0,MIN(1,R89/100+$D$5))</f>
        <v>0.342536636503047</v>
      </c>
      <c r="U89" s="58" t="n">
        <v>0.525745257452575</v>
      </c>
      <c r="V89" s="57" t="n">
        <v>373</v>
      </c>
      <c r="W89" s="58" t="n">
        <v>0.0777040344688333</v>
      </c>
      <c r="X89" s="59" t="s">
        <v>131</v>
      </c>
      <c r="Y89" s="59" t="s">
        <v>132</v>
      </c>
    </row>
    <row r="90" customFormat="false" ht="15" hidden="false" customHeight="false" outlineLevel="0" collapsed="false">
      <c r="A90" s="32" t="s">
        <v>188</v>
      </c>
      <c r="B90" s="32" t="s">
        <v>214</v>
      </c>
      <c r="C90" s="32" t="s">
        <v>129</v>
      </c>
      <c r="D90" s="54" t="n">
        <f aca="false">ROUND(S90*T90,0)</f>
        <v>252</v>
      </c>
      <c r="E90" s="54" t="n">
        <f aca="false">ROUND(S90,0)-D90</f>
        <v>432</v>
      </c>
      <c r="F90" s="54" t="n">
        <f aca="false">IF(COUNTA(D90:E90)=0,"",SUM(D90:E90))</f>
        <v>684</v>
      </c>
      <c r="G90" s="55" t="n">
        <f aca="false">IF(OR(F90="",F90=0),"",D90/F90)</f>
        <v>0.368421052631579</v>
      </c>
      <c r="H90" s="55" t="n">
        <f aca="false">IF(OR(F90="",F90=0),"",E90/F90)</f>
        <v>0.631578947368421</v>
      </c>
      <c r="I90" s="32" t="s">
        <v>130</v>
      </c>
      <c r="J90" s="36" t="n">
        <v>3.01271836260465</v>
      </c>
      <c r="K90" s="36" t="n">
        <f aca="false">$K$8</f>
        <v>1.81112011827341</v>
      </c>
      <c r="L90" s="36" t="n">
        <f aca="false">SQRT(J90^2+K90^2)</f>
        <v>3.51519956975275</v>
      </c>
      <c r="M90" s="55" t="n">
        <f aca="false">IF(G90="","",MAX(0,G90-1.96*L90/100))</f>
        <v>0.299523141064425</v>
      </c>
      <c r="N90" s="55" t="n">
        <f aca="false">IF(G90="","",MIN(1,G90+1.96*L90/100))</f>
        <v>0.437318964198733</v>
      </c>
      <c r="O90" s="54" t="n">
        <f aca="false">ROUND(S90*W90,0)</f>
        <v>53</v>
      </c>
      <c r="P90" s="54" t="n">
        <f aca="false">IF(F90="","",ROUND(SQRT((F90*L90/100)^2+(G90*O90)^2),0))</f>
        <v>31</v>
      </c>
      <c r="R90" s="56" t="n">
        <v>-4.91631471444697</v>
      </c>
      <c r="S90" s="57" t="n">
        <f aca="false">U90*V90*$F$5</f>
        <v>683.952941176471</v>
      </c>
      <c r="T90" s="58" t="n">
        <f aca="false">MAX(0,MIN(1,R90/100+$D$5))</f>
        <v>0.368384635872316</v>
      </c>
      <c r="U90" s="58" t="n">
        <v>0.568067226890756</v>
      </c>
      <c r="V90" s="57" t="n">
        <v>1204</v>
      </c>
      <c r="W90" s="58" t="n">
        <v>0.0777040344688333</v>
      </c>
      <c r="X90" s="59" t="s">
        <v>131</v>
      </c>
      <c r="Y90" s="59" t="s">
        <v>132</v>
      </c>
    </row>
    <row r="91" customFormat="false" ht="15" hidden="false" customHeight="false" outlineLevel="0" collapsed="false">
      <c r="A91" s="32" t="s">
        <v>188</v>
      </c>
      <c r="B91" s="32" t="s">
        <v>215</v>
      </c>
      <c r="C91" s="32" t="s">
        <v>129</v>
      </c>
      <c r="D91" s="54" t="n">
        <f aca="false">ROUND(S91*T91,0)</f>
        <v>158</v>
      </c>
      <c r="E91" s="54" t="n">
        <f aca="false">ROUND(S91,0)-D91</f>
        <v>231</v>
      </c>
      <c r="F91" s="54" t="n">
        <f aca="false">IF(COUNTA(D91:E91)=0,"",SUM(D91:E91))</f>
        <v>389</v>
      </c>
      <c r="G91" s="55" t="n">
        <f aca="false">IF(OR(F91="",F91=0),"",D91/F91)</f>
        <v>0.406169665809769</v>
      </c>
      <c r="H91" s="55" t="n">
        <f aca="false">IF(OR(F91="",F91=0),"",E91/F91)</f>
        <v>0.593830334190231</v>
      </c>
      <c r="I91" s="32" t="s">
        <v>130</v>
      </c>
      <c r="J91" s="36" t="n">
        <v>3.01271836260465</v>
      </c>
      <c r="K91" s="36" t="n">
        <f aca="false">$K$8</f>
        <v>1.81112011827341</v>
      </c>
      <c r="L91" s="36" t="n">
        <f aca="false">SQRT(J91^2+K91^2)</f>
        <v>3.51519956975275</v>
      </c>
      <c r="M91" s="55" t="n">
        <f aca="false">IF(G91="","",MAX(0,G91-1.96*L91/100))</f>
        <v>0.337271754242615</v>
      </c>
      <c r="N91" s="55" t="n">
        <f aca="false">IF(G91="","",MIN(1,G91+1.96*L91/100))</f>
        <v>0.475067577376923</v>
      </c>
      <c r="O91" s="54" t="n">
        <f aca="false">ROUND(S91*W91,0)</f>
        <v>30</v>
      </c>
      <c r="P91" s="54" t="n">
        <f aca="false">IF(F91="","",ROUND(SQRT((F91*L91/100)^2+(G91*O91)^2),0))</f>
        <v>18</v>
      </c>
      <c r="R91" s="56" t="n">
        <v>-1.08781754965142</v>
      </c>
      <c r="S91" s="57" t="n">
        <f aca="false">U91*V91*$F$5</f>
        <v>388.819749216301</v>
      </c>
      <c r="T91" s="58" t="n">
        <f aca="false">MAX(0,MIN(1,R91/100+$D$5))</f>
        <v>0.406669607520272</v>
      </c>
      <c r="U91" s="58" t="n">
        <v>0.606583072100314</v>
      </c>
      <c r="V91" s="57" t="n">
        <v>641</v>
      </c>
      <c r="W91" s="58" t="n">
        <v>0.0777040344688333</v>
      </c>
      <c r="X91" s="59" t="s">
        <v>131</v>
      </c>
      <c r="Y91" s="59" t="s">
        <v>132</v>
      </c>
    </row>
    <row r="92" customFormat="false" ht="15" hidden="false" customHeight="false" outlineLevel="0" collapsed="false">
      <c r="A92" s="32" t="s">
        <v>188</v>
      </c>
      <c r="B92" s="32" t="s">
        <v>216</v>
      </c>
      <c r="C92" s="32" t="s">
        <v>129</v>
      </c>
      <c r="D92" s="54" t="n">
        <f aca="false">ROUND(S92*T92,0)</f>
        <v>253</v>
      </c>
      <c r="E92" s="54" t="n">
        <f aca="false">ROUND(S92,0)-D92</f>
        <v>349</v>
      </c>
      <c r="F92" s="54" t="n">
        <f aca="false">IF(COUNTA(D92:E92)=0,"",SUM(D92:E92))</f>
        <v>602</v>
      </c>
      <c r="G92" s="55" t="n">
        <f aca="false">IF(OR(F92="",F92=0),"",D92/F92)</f>
        <v>0.420265780730897</v>
      </c>
      <c r="H92" s="55" t="n">
        <f aca="false">IF(OR(F92="",F92=0),"",E92/F92)</f>
        <v>0.579734219269103</v>
      </c>
      <c r="I92" s="32" t="s">
        <v>130</v>
      </c>
      <c r="J92" s="36" t="n">
        <v>3.01271836260465</v>
      </c>
      <c r="K92" s="36" t="n">
        <f aca="false">$K$8</f>
        <v>1.81112011827341</v>
      </c>
      <c r="L92" s="36" t="n">
        <f aca="false">SQRT(J92^2+K92^2)</f>
        <v>3.51519956975275</v>
      </c>
      <c r="M92" s="55" t="n">
        <f aca="false">IF(G92="","",MAX(0,G92-1.96*L92/100))</f>
        <v>0.351367869163743</v>
      </c>
      <c r="N92" s="55" t="n">
        <f aca="false">IF(G92="","",MIN(1,G92+1.96*L92/100))</f>
        <v>0.489163692298051</v>
      </c>
      <c r="O92" s="54" t="n">
        <f aca="false">ROUND(S92*W92,0)</f>
        <v>47</v>
      </c>
      <c r="P92" s="54" t="n">
        <f aca="false">IF(F92="","",ROUND(SQRT((F92*L92/100)^2+(G92*O92)^2),0))</f>
        <v>29</v>
      </c>
      <c r="R92" s="56" t="n">
        <v>0.229129395892457</v>
      </c>
      <c r="S92" s="57" t="n">
        <f aca="false">U92*V92*$F$5</f>
        <v>602.07868852459</v>
      </c>
      <c r="T92" s="58" t="n">
        <f aca="false">MAX(0,MIN(1,R92/100+$D$5))</f>
        <v>0.419839076975711</v>
      </c>
      <c r="U92" s="58" t="n">
        <v>0.613114754098361</v>
      </c>
      <c r="V92" s="57" t="n">
        <v>982</v>
      </c>
      <c r="W92" s="58" t="n">
        <v>0.0777040344688333</v>
      </c>
      <c r="X92" s="59" t="s">
        <v>131</v>
      </c>
      <c r="Y92" s="59" t="s">
        <v>132</v>
      </c>
    </row>
    <row r="93" customFormat="false" ht="15" hidden="false" customHeight="false" outlineLevel="0" collapsed="false">
      <c r="A93" s="32" t="s">
        <v>188</v>
      </c>
      <c r="B93" s="32" t="s">
        <v>217</v>
      </c>
      <c r="C93" s="32" t="s">
        <v>129</v>
      </c>
      <c r="D93" s="54" t="n">
        <f aca="false">ROUND(S93*T93,0)</f>
        <v>970</v>
      </c>
      <c r="E93" s="54" t="n">
        <f aca="false">ROUND(S93,0)-D93</f>
        <v>2176</v>
      </c>
      <c r="F93" s="54" t="n">
        <f aca="false">IF(COUNTA(D93:E93)=0,"",SUM(D93:E93))</f>
        <v>3146</v>
      </c>
      <c r="G93" s="55" t="n">
        <f aca="false">IF(OR(F93="",F93=0),"",D93/F93)</f>
        <v>0.308328035600763</v>
      </c>
      <c r="H93" s="55" t="n">
        <f aca="false">IF(OR(F93="",F93=0),"",E93/F93)</f>
        <v>0.691671964399237</v>
      </c>
      <c r="I93" s="32" t="s">
        <v>130</v>
      </c>
      <c r="J93" s="36" t="n">
        <v>1.66030146977751</v>
      </c>
      <c r="K93" s="36" t="n">
        <f aca="false">$K$8</f>
        <v>1.81112011827341</v>
      </c>
      <c r="L93" s="36" t="n">
        <f aca="false">SQRT(J93^2+K93^2)</f>
        <v>2.45698128876881</v>
      </c>
      <c r="M93" s="55" t="n">
        <f aca="false">IF(G93="","",MAX(0,G93-1.96*L93/100))</f>
        <v>0.260171202340894</v>
      </c>
      <c r="N93" s="55" t="n">
        <f aca="false">IF(G93="","",MIN(1,G93+1.96*L93/100))</f>
        <v>0.356484868860632</v>
      </c>
      <c r="O93" s="54" t="n">
        <f aca="false">ROUND(S93*W93,0)</f>
        <v>173</v>
      </c>
      <c r="P93" s="54" t="n">
        <f aca="false">IF(F93="","",ROUND(SQRT((F93*L93/100)^2+(G93*O93)^2),0))</f>
        <v>94</v>
      </c>
      <c r="R93" s="56" t="n">
        <v>-10.9244297562064</v>
      </c>
      <c r="S93" s="57" t="n">
        <f aca="false">U93*V93*$F$5</f>
        <v>3146.26275765459</v>
      </c>
      <c r="T93" s="58" t="n">
        <f aca="false">MAX(0,MIN(1,R93/100+$D$5))</f>
        <v>0.308303485454722</v>
      </c>
      <c r="U93" s="58" t="n">
        <v>0.625375225135081</v>
      </c>
      <c r="V93" s="57" t="n">
        <v>5031</v>
      </c>
      <c r="W93" s="58" t="n">
        <v>0.0551273752894184</v>
      </c>
      <c r="X93" s="59" t="s">
        <v>152</v>
      </c>
      <c r="Y93" s="59" t="s">
        <v>132</v>
      </c>
    </row>
    <row r="94" customFormat="false" ht="15" hidden="false" customHeight="false" outlineLevel="0" collapsed="false">
      <c r="A94" s="32" t="s">
        <v>188</v>
      </c>
      <c r="B94" s="32" t="s">
        <v>218</v>
      </c>
      <c r="C94" s="32" t="s">
        <v>129</v>
      </c>
      <c r="D94" s="54" t="n">
        <f aca="false">ROUND(S94*T94,0)</f>
        <v>1572</v>
      </c>
      <c r="E94" s="54" t="n">
        <f aca="false">ROUND(S94,0)-D94</f>
        <v>1705</v>
      </c>
      <c r="F94" s="54" t="n">
        <f aca="false">IF(COUNTA(D94:E94)=0,"",SUM(D94:E94))</f>
        <v>3277</v>
      </c>
      <c r="G94" s="55" t="n">
        <f aca="false">IF(OR(F94="",F94=0),"",D94/F94)</f>
        <v>0.479707049130302</v>
      </c>
      <c r="H94" s="55" t="n">
        <f aca="false">IF(OR(F94="",F94=0),"",E94/F94)</f>
        <v>0.520292950869698</v>
      </c>
      <c r="I94" s="32" t="s">
        <v>130</v>
      </c>
      <c r="J94" s="36" t="n">
        <v>1.66030146977751</v>
      </c>
      <c r="K94" s="36" t="n">
        <f aca="false">$K$8</f>
        <v>1.81112011827341</v>
      </c>
      <c r="L94" s="36" t="n">
        <f aca="false">SQRT(J94^2+K94^2)</f>
        <v>2.45698128876881</v>
      </c>
      <c r="M94" s="55" t="n">
        <f aca="false">IF(G94="","",MAX(0,G94-1.96*L94/100))</f>
        <v>0.431550215870433</v>
      </c>
      <c r="N94" s="55" t="n">
        <f aca="false">IF(G94="","",MIN(1,G94+1.96*L94/100))</f>
        <v>0.527863882390171</v>
      </c>
      <c r="O94" s="54" t="n">
        <f aca="false">ROUND(S94*W94,0)</f>
        <v>181</v>
      </c>
      <c r="P94" s="54" t="n">
        <f aca="false">IF(F94="","",ROUND(SQRT((F94*L94/100)^2+(G94*O94)^2),0))</f>
        <v>118</v>
      </c>
      <c r="R94" s="56" t="n">
        <v>6.19783877798984</v>
      </c>
      <c r="S94" s="57" t="n">
        <f aca="false">U94*V94*$F$5</f>
        <v>3277.36336396324</v>
      </c>
      <c r="T94" s="58" t="n">
        <f aca="false">MAX(0,MIN(1,R94/100+$D$5))</f>
        <v>0.479526170796684</v>
      </c>
      <c r="U94" s="58" t="n">
        <v>0.631841789852177</v>
      </c>
      <c r="V94" s="57" t="n">
        <v>5187</v>
      </c>
      <c r="W94" s="58" t="n">
        <v>0.0551273752894184</v>
      </c>
      <c r="X94" s="59" t="s">
        <v>152</v>
      </c>
      <c r="Y94" s="59" t="s">
        <v>132</v>
      </c>
    </row>
    <row r="95" customFormat="false" ht="15" hidden="false" customHeight="false" outlineLevel="0" collapsed="false">
      <c r="A95" s="32" t="s">
        <v>188</v>
      </c>
      <c r="B95" s="32" t="s">
        <v>219</v>
      </c>
      <c r="C95" s="32" t="s">
        <v>129</v>
      </c>
      <c r="D95" s="54" t="n">
        <f aca="false">ROUND(S95*T95,0)</f>
        <v>293</v>
      </c>
      <c r="E95" s="54" t="n">
        <f aca="false">ROUND(S95,0)-D95</f>
        <v>468</v>
      </c>
      <c r="F95" s="54" t="n">
        <f aca="false">IF(COUNTA(D95:E95)=0,"",SUM(D95:E95))</f>
        <v>761</v>
      </c>
      <c r="G95" s="55" t="n">
        <f aca="false">IF(OR(F95="",F95=0),"",D95/F95)</f>
        <v>0.385019710906702</v>
      </c>
      <c r="H95" s="55" t="n">
        <f aca="false">IF(OR(F95="",F95=0),"",E95/F95)</f>
        <v>0.614980289093298</v>
      </c>
      <c r="I95" s="32" t="s">
        <v>130</v>
      </c>
      <c r="J95" s="36" t="n">
        <v>3.01271836260465</v>
      </c>
      <c r="K95" s="36" t="n">
        <f aca="false">$K$8</f>
        <v>1.81112011827341</v>
      </c>
      <c r="L95" s="36" t="n">
        <f aca="false">SQRT(J95^2+K95^2)</f>
        <v>3.51519956975275</v>
      </c>
      <c r="M95" s="55" t="n">
        <f aca="false">IF(G95="","",MAX(0,G95-1.96*L95/100))</f>
        <v>0.316121799339548</v>
      </c>
      <c r="N95" s="55" t="n">
        <f aca="false">IF(G95="","",MIN(1,G95+1.96*L95/100))</f>
        <v>0.453917622473856</v>
      </c>
      <c r="O95" s="54" t="n">
        <f aca="false">ROUND(S95*W95,0)</f>
        <v>59</v>
      </c>
      <c r="P95" s="54" t="n">
        <f aca="false">IF(F95="","",ROUND(SQRT((F95*L95/100)^2+(G95*O95)^2),0))</f>
        <v>35</v>
      </c>
      <c r="R95" s="56" t="n">
        <v>-3.30828473841317</v>
      </c>
      <c r="S95" s="57" t="n">
        <f aca="false">U95*V95*$F$5</f>
        <v>761.429837518464</v>
      </c>
      <c r="T95" s="58" t="n">
        <f aca="false">MAX(0,MIN(1,R95/100+$D$5))</f>
        <v>0.384464935632654</v>
      </c>
      <c r="U95" s="58" t="n">
        <v>0.534711964549483</v>
      </c>
      <c r="V95" s="57" t="n">
        <v>1424</v>
      </c>
      <c r="W95" s="58" t="n">
        <v>0.0777040344688333</v>
      </c>
      <c r="X95" s="59" t="s">
        <v>131</v>
      </c>
      <c r="Y95" s="59" t="s">
        <v>132</v>
      </c>
    </row>
    <row r="96" customFormat="false" ht="15" hidden="false" customHeight="false" outlineLevel="0" collapsed="false">
      <c r="A96" s="32" t="s">
        <v>188</v>
      </c>
      <c r="B96" s="32" t="s">
        <v>180</v>
      </c>
      <c r="C96" s="32" t="s">
        <v>129</v>
      </c>
      <c r="D96" s="54" t="n">
        <f aca="false">ROUND(S96*T96,0)</f>
        <v>778</v>
      </c>
      <c r="E96" s="54" t="n">
        <f aca="false">ROUND(S96,0)-D96</f>
        <v>1609</v>
      </c>
      <c r="F96" s="54" t="n">
        <f aca="false">IF(COUNTA(D96:E96)=0,"",SUM(D96:E96))</f>
        <v>2387</v>
      </c>
      <c r="G96" s="55" t="n">
        <f aca="false">IF(OR(F96="",F96=0),"",D96/F96)</f>
        <v>0.325932132383745</v>
      </c>
      <c r="H96" s="55" t="n">
        <f aca="false">IF(OR(F96="",F96=0),"",E96/F96)</f>
        <v>0.674067867616255</v>
      </c>
      <c r="I96" s="32" t="s">
        <v>130</v>
      </c>
      <c r="J96" s="36" t="n">
        <v>1.97153343103611</v>
      </c>
      <c r="K96" s="36" t="n">
        <f aca="false">$K$8</f>
        <v>1.81112011827341</v>
      </c>
      <c r="L96" s="36" t="n">
        <f aca="false">SQRT(J96^2+K96^2)</f>
        <v>2.67714402909289</v>
      </c>
      <c r="M96" s="55" t="n">
        <f aca="false">IF(G96="","",MAX(0,G96-1.96*L96/100))</f>
        <v>0.273460109413525</v>
      </c>
      <c r="N96" s="55" t="n">
        <f aca="false">IF(G96="","",MIN(1,G96+1.96*L96/100))</f>
        <v>0.378404155353966</v>
      </c>
      <c r="O96" s="54" t="n">
        <f aca="false">ROUND(S96*W96,0)</f>
        <v>145</v>
      </c>
      <c r="P96" s="54" t="n">
        <f aca="false">IF(F96="","",ROUND(SQRT((F96*L96/100)^2+(G96*O96)^2),0))</f>
        <v>79</v>
      </c>
      <c r="R96" s="56" t="n">
        <v>-9.14071967353561</v>
      </c>
      <c r="S96" s="57" t="n">
        <f aca="false">U96*V96*$F$5</f>
        <v>2386.68081761006</v>
      </c>
      <c r="T96" s="58" t="n">
        <f aca="false">MAX(0,MIN(1,R96/100+$D$5))</f>
        <v>0.32614058628143</v>
      </c>
      <c r="U96" s="58" t="n">
        <v>0.62185534591195</v>
      </c>
      <c r="V96" s="57" t="n">
        <v>3838</v>
      </c>
      <c r="W96" s="58" t="n">
        <v>0.0606122259008943</v>
      </c>
      <c r="X96" s="59" t="s">
        <v>136</v>
      </c>
      <c r="Y96" s="59" t="s">
        <v>132</v>
      </c>
    </row>
    <row r="97" customFormat="false" ht="15" hidden="false" customHeight="false" outlineLevel="0" collapsed="false">
      <c r="A97" s="32" t="s">
        <v>188</v>
      </c>
      <c r="B97" s="32" t="s">
        <v>220</v>
      </c>
      <c r="C97" s="32" t="s">
        <v>129</v>
      </c>
      <c r="D97" s="54" t="n">
        <f aca="false">ROUND(S97*T97,0)</f>
        <v>212</v>
      </c>
      <c r="E97" s="54" t="n">
        <f aca="false">ROUND(S97,0)-D97</f>
        <v>226</v>
      </c>
      <c r="F97" s="54" t="n">
        <f aca="false">IF(COUNTA(D97:E97)=0,"",SUM(D97:E97))</f>
        <v>438</v>
      </c>
      <c r="G97" s="55" t="n">
        <f aca="false">IF(OR(F97="",F97=0),"",D97/F97)</f>
        <v>0.484018264840183</v>
      </c>
      <c r="H97" s="55" t="n">
        <f aca="false">IF(OR(F97="",F97=0),"",E97/F97)</f>
        <v>0.515981735159817</v>
      </c>
      <c r="I97" s="32" t="s">
        <v>130</v>
      </c>
      <c r="J97" s="36" t="n">
        <v>3.01271836260465</v>
      </c>
      <c r="K97" s="36" t="n">
        <f aca="false">$K$8</f>
        <v>1.81112011827341</v>
      </c>
      <c r="L97" s="36" t="n">
        <f aca="false">SQRT(J97^2+K97^2)</f>
        <v>3.51519956975275</v>
      </c>
      <c r="M97" s="55" t="n">
        <f aca="false">IF(G97="","",MAX(0,G97-1.96*L97/100))</f>
        <v>0.415120353273029</v>
      </c>
      <c r="N97" s="55" t="n">
        <f aca="false">IF(G97="","",MIN(1,G97+1.96*L97/100))</f>
        <v>0.552916176407337</v>
      </c>
      <c r="O97" s="54" t="n">
        <f aca="false">ROUND(S97*W97,0)</f>
        <v>34</v>
      </c>
      <c r="P97" s="54" t="n">
        <f aca="false">IF(F97="","",ROUND(SQRT((F97*L97/100)^2+(G97*O97)^2),0))</f>
        <v>23</v>
      </c>
      <c r="R97" s="56" t="n">
        <v>6.55831587264913</v>
      </c>
      <c r="S97" s="57" t="n">
        <f aca="false">U97*V97*$F$5</f>
        <v>438.292134831461</v>
      </c>
      <c r="T97" s="58" t="n">
        <f aca="false">MAX(0,MIN(1,R97/100+$D$5))</f>
        <v>0.483130941743277</v>
      </c>
      <c r="U97" s="58" t="n">
        <v>0.51685393258427</v>
      </c>
      <c r="V97" s="57" t="n">
        <v>848</v>
      </c>
      <c r="W97" s="58" t="n">
        <v>0.0777040344688333</v>
      </c>
      <c r="X97" s="59" t="s">
        <v>131</v>
      </c>
      <c r="Y97" s="59" t="s">
        <v>132</v>
      </c>
    </row>
    <row r="98" customFormat="false" ht="15" hidden="false" customHeight="false" outlineLevel="0" collapsed="false">
      <c r="A98" s="32" t="s">
        <v>188</v>
      </c>
      <c r="B98" s="32" t="s">
        <v>221</v>
      </c>
      <c r="C98" s="32" t="s">
        <v>129</v>
      </c>
      <c r="D98" s="54" t="n">
        <f aca="false">ROUND(S98*T98,0)</f>
        <v>1450</v>
      </c>
      <c r="E98" s="54" t="n">
        <f aca="false">ROUND(S98,0)-D98</f>
        <v>1916</v>
      </c>
      <c r="F98" s="54" t="n">
        <f aca="false">IF(COUNTA(D98:E98)=0,"",SUM(D98:E98))</f>
        <v>3366</v>
      </c>
      <c r="G98" s="55" t="n">
        <f aca="false">IF(OR(F98="",F98=0),"",D98/F98)</f>
        <v>0.430778371954843</v>
      </c>
      <c r="H98" s="55" t="n">
        <f aca="false">IF(OR(F98="",F98=0),"",E98/F98)</f>
        <v>0.569221628045157</v>
      </c>
      <c r="I98" s="32" t="s">
        <v>130</v>
      </c>
      <c r="J98" s="36" t="n">
        <v>1.66030146977751</v>
      </c>
      <c r="K98" s="36" t="n">
        <f aca="false">$K$8</f>
        <v>1.81112011827341</v>
      </c>
      <c r="L98" s="36" t="n">
        <f aca="false">SQRT(J98^2+K98^2)</f>
        <v>2.45698128876881</v>
      </c>
      <c r="M98" s="55" t="n">
        <f aca="false">IF(G98="","",MAX(0,G98-1.96*L98/100))</f>
        <v>0.382621538694974</v>
      </c>
      <c r="N98" s="55" t="n">
        <f aca="false">IF(G98="","",MIN(1,G98+1.96*L98/100))</f>
        <v>0.478935205214711</v>
      </c>
      <c r="O98" s="54" t="n">
        <f aca="false">ROUND(S98*W98,0)</f>
        <v>186</v>
      </c>
      <c r="P98" s="54" t="n">
        <f aca="false">IF(F98="","",ROUND(SQRT((F98*L98/100)^2+(G98*O98)^2),0))</f>
        <v>115</v>
      </c>
      <c r="R98" s="56" t="n">
        <v>1.33422845047013</v>
      </c>
      <c r="S98" s="57" t="n">
        <f aca="false">U98*V98*$F$5</f>
        <v>3365.72741078208</v>
      </c>
      <c r="T98" s="58" t="n">
        <f aca="false">MAX(0,MIN(1,R98/100+$D$5))</f>
        <v>0.430890067521487</v>
      </c>
      <c r="U98" s="58" t="n">
        <v>0.629460895975702</v>
      </c>
      <c r="V98" s="57" t="n">
        <v>5347</v>
      </c>
      <c r="W98" s="58" t="n">
        <v>0.0551273752894184</v>
      </c>
      <c r="X98" s="59" t="s">
        <v>152</v>
      </c>
      <c r="Y98" s="59" t="s">
        <v>132</v>
      </c>
    </row>
    <row r="99" customFormat="false" ht="15" hidden="false" customHeight="false" outlineLevel="0" collapsed="false">
      <c r="A99" s="32" t="s">
        <v>188</v>
      </c>
      <c r="B99" s="32" t="s">
        <v>222</v>
      </c>
      <c r="C99" s="32" t="s">
        <v>129</v>
      </c>
      <c r="D99" s="54" t="n">
        <f aca="false">ROUND(S99*T99,0)</f>
        <v>1323</v>
      </c>
      <c r="E99" s="54" t="n">
        <f aca="false">ROUND(S99,0)-D99</f>
        <v>1027</v>
      </c>
      <c r="F99" s="54" t="n">
        <f aca="false">IF(COUNTA(D99:E99)=0,"",SUM(D99:E99))</f>
        <v>2350</v>
      </c>
      <c r="G99" s="55" t="n">
        <f aca="false">IF(OR(F99="",F99=0),"",D99/F99)</f>
        <v>0.562978723404255</v>
      </c>
      <c r="H99" s="55" t="n">
        <f aca="false">IF(OR(F99="",F99=0),"",E99/F99)</f>
        <v>0.437021276595745</v>
      </c>
      <c r="I99" s="32" t="s">
        <v>130</v>
      </c>
      <c r="J99" s="36" t="n">
        <v>1.97153343103611</v>
      </c>
      <c r="K99" s="36" t="n">
        <f aca="false">$K$8</f>
        <v>1.81112011827341</v>
      </c>
      <c r="L99" s="36" t="n">
        <f aca="false">SQRT(J99^2+K99^2)</f>
        <v>2.67714402909289</v>
      </c>
      <c r="M99" s="55" t="n">
        <f aca="false">IF(G99="","",MAX(0,G99-1.96*L99/100))</f>
        <v>0.510506700434035</v>
      </c>
      <c r="N99" s="55" t="n">
        <f aca="false">IF(G99="","",MIN(1,G99+1.96*L99/100))</f>
        <v>0.615450746374476</v>
      </c>
      <c r="O99" s="54" t="n">
        <f aca="false">ROUND(S99*W99,0)</f>
        <v>142</v>
      </c>
      <c r="P99" s="54" t="n">
        <f aca="false">IF(F99="","",ROUND(SQRT((F99*L99/100)^2+(G99*O99)^2),0))</f>
        <v>102</v>
      </c>
      <c r="R99" s="56" t="n">
        <v>14.516770037175</v>
      </c>
      <c r="S99" s="57" t="n">
        <f aca="false">U99*V99*$F$5</f>
        <v>2350.25573902537</v>
      </c>
      <c r="T99" s="58" t="n">
        <f aca="false">MAX(0,MIN(1,R99/100+$D$5))</f>
        <v>0.562715483388536</v>
      </c>
      <c r="U99" s="58" t="n">
        <v>0.461739830849779</v>
      </c>
      <c r="V99" s="57" t="n">
        <v>5090</v>
      </c>
      <c r="W99" s="58" t="n">
        <v>0.0606122259008943</v>
      </c>
      <c r="X99" s="59" t="s">
        <v>136</v>
      </c>
      <c r="Y99" s="59" t="s">
        <v>132</v>
      </c>
    </row>
    <row r="100" customFormat="false" ht="15" hidden="false" customHeight="false" outlineLevel="0" collapsed="false">
      <c r="A100" s="32" t="s">
        <v>188</v>
      </c>
      <c r="B100" s="32" t="s">
        <v>223</v>
      </c>
      <c r="C100" s="32" t="s">
        <v>129</v>
      </c>
      <c r="D100" s="54" t="n">
        <f aca="false">ROUND(S100*T100,0)</f>
        <v>490</v>
      </c>
      <c r="E100" s="54" t="n">
        <f aca="false">ROUND(S100,0)-D100</f>
        <v>655</v>
      </c>
      <c r="F100" s="54" t="n">
        <f aca="false">IF(COUNTA(D100:E100)=0,"",SUM(D100:E100))</f>
        <v>1145</v>
      </c>
      <c r="G100" s="55" t="n">
        <f aca="false">IF(OR(F100="",F100=0),"",D100/F100)</f>
        <v>0.427947598253275</v>
      </c>
      <c r="H100" s="55" t="n">
        <f aca="false">IF(OR(F100="",F100=0),"",E100/F100)</f>
        <v>0.572052401746725</v>
      </c>
      <c r="I100" s="32" t="s">
        <v>130</v>
      </c>
      <c r="J100" s="36" t="n">
        <v>3.01271836260465</v>
      </c>
      <c r="K100" s="36" t="n">
        <f aca="false">$K$8</f>
        <v>1.81112011827341</v>
      </c>
      <c r="L100" s="36" t="n">
        <f aca="false">SQRT(J100^2+K100^2)</f>
        <v>3.51519956975275</v>
      </c>
      <c r="M100" s="55" t="n">
        <f aca="false">IF(G100="","",MAX(0,G100-1.96*L100/100))</f>
        <v>0.359049686686121</v>
      </c>
      <c r="N100" s="55" t="n">
        <f aca="false">IF(G100="","",MIN(1,G100+1.96*L100/100))</f>
        <v>0.496845509820429</v>
      </c>
      <c r="O100" s="54" t="n">
        <f aca="false">ROUND(S100*W100,0)</f>
        <v>89</v>
      </c>
      <c r="P100" s="54" t="n">
        <f aca="false">IF(F100="","",ROUND(SQRT((F100*L100/100)^2+(G100*O100)^2),0))</f>
        <v>55</v>
      </c>
      <c r="R100" s="56" t="n">
        <v>1.02604548487743</v>
      </c>
      <c r="S100" s="57" t="n">
        <f aca="false">U100*V100*$F$5</f>
        <v>1145.48062775871</v>
      </c>
      <c r="T100" s="58" t="n">
        <f aca="false">MAX(0,MIN(1,R100/100+$D$5))</f>
        <v>0.42780823786556</v>
      </c>
      <c r="U100" s="58" t="n">
        <v>0.537027954879843</v>
      </c>
      <c r="V100" s="57" t="n">
        <v>2133</v>
      </c>
      <c r="W100" s="58" t="n">
        <v>0.0777040344688333</v>
      </c>
      <c r="X100" s="59" t="s">
        <v>131</v>
      </c>
      <c r="Y100" s="59" t="s">
        <v>132</v>
      </c>
    </row>
  </sheetData>
  <mergeCells count="4">
    <mergeCell ref="A3:I3"/>
    <mergeCell ref="A6:P6"/>
    <mergeCell ref="A9:P9"/>
    <mergeCell ref="A10:P10"/>
  </mergeCells>
  <conditionalFormatting sqref="G12:G100">
    <cfRule type="colorScale" priority="2">
      <colorScale>
        <cfvo type="num" val="0.25"/>
        <cfvo type="num" val="0.5"/>
        <cfvo type="num" val="0.75"/>
        <color rgb="FFF4B6B6"/>
        <color rgb="FFFFFFFF"/>
        <color rgb="FFB4C7E7"/>
      </colorScale>
    </cfRule>
  </conditionalFormatting>
  <conditionalFormatting sqref="A12:C100">
    <cfRule type="expression" priority="3" aboveAverage="0" equalAverage="0" bottom="0" percent="0" rank="0" text="" dxfId="0">
      <formula>AND($M12&lt;0.5,$N12&gt;0.5)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2"/>
    <col collapsed="false" customWidth="true" hidden="false" outlineLevel="0" max="4" min="4" style="0" width="44"/>
    <col collapsed="false" customWidth="true" hidden="false" outlineLevel="0" max="5" min="5" style="0" width="12"/>
    <col collapsed="false" customWidth="true" hidden="false" outlineLevel="0" max="6" min="6" style="0" width="44"/>
    <col collapsed="false" customWidth="true" hidden="false" outlineLevel="0" max="7" min="7" style="0" width="12"/>
  </cols>
  <sheetData>
    <row r="1" customFormat="false" ht="17.35" hidden="false" customHeight="false" outlineLevel="0" collapsed="false">
      <c r="A1" s="1" t="s">
        <v>228</v>
      </c>
    </row>
    <row r="3" customFormat="false" ht="15" hidden="false" customHeight="false" outlineLevel="0" collapsed="false">
      <c r="A3" s="5" t="s">
        <v>229</v>
      </c>
    </row>
    <row r="4" customFormat="false" ht="33.75" hidden="false" customHeight="true" outlineLevel="0" collapsed="false">
      <c r="A4" s="39" t="s">
        <v>230</v>
      </c>
      <c r="B4" s="39"/>
      <c r="C4" s="39"/>
      <c r="D4" s="39"/>
      <c r="E4" s="39"/>
      <c r="F4" s="39"/>
      <c r="G4" s="39"/>
      <c r="H4" s="39"/>
    </row>
    <row r="5" customFormat="false" ht="15" hidden="false" customHeight="false" outlineLevel="0" collapsed="false">
      <c r="A5" s="5" t="s">
        <v>231</v>
      </c>
    </row>
    <row r="6" customFormat="false" ht="33.75" hidden="false" customHeight="true" outlineLevel="0" collapsed="false">
      <c r="A6" s="39" t="s">
        <v>232</v>
      </c>
      <c r="B6" s="39"/>
      <c r="C6" s="39"/>
      <c r="D6" s="39"/>
      <c r="E6" s="39"/>
      <c r="F6" s="39"/>
      <c r="G6" s="39"/>
      <c r="H6" s="39"/>
    </row>
    <row r="7" customFormat="false" ht="15" hidden="false" customHeight="false" outlineLevel="0" collapsed="false">
      <c r="A7" s="5" t="s">
        <v>233</v>
      </c>
    </row>
    <row r="8" customFormat="false" ht="33.75" hidden="false" customHeight="true" outlineLevel="0" collapsed="false">
      <c r="A8" s="39" t="s">
        <v>234</v>
      </c>
      <c r="B8" s="39"/>
      <c r="C8" s="39"/>
      <c r="D8" s="39"/>
      <c r="E8" s="39"/>
      <c r="F8" s="39"/>
      <c r="G8" s="39"/>
      <c r="H8" s="39"/>
    </row>
    <row r="9" customFormat="false" ht="15" hidden="false" customHeight="false" outlineLevel="0" collapsed="false">
      <c r="A9" s="5" t="s">
        <v>235</v>
      </c>
    </row>
    <row r="10" customFormat="false" ht="33.75" hidden="false" customHeight="true" outlineLevel="0" collapsed="false">
      <c r="A10" s="39" t="s">
        <v>236</v>
      </c>
      <c r="B10" s="39"/>
      <c r="C10" s="39"/>
      <c r="D10" s="39"/>
      <c r="E10" s="39"/>
      <c r="F10" s="39"/>
      <c r="G10" s="39"/>
      <c r="H10" s="39"/>
    </row>
    <row r="11" customFormat="false" ht="15" hidden="false" customHeight="false" outlineLevel="0" collapsed="false">
      <c r="A11" s="5" t="s">
        <v>237</v>
      </c>
    </row>
    <row r="12" customFormat="false" ht="33.75" hidden="false" customHeight="true" outlineLevel="0" collapsed="false">
      <c r="A12" s="39" t="s">
        <v>238</v>
      </c>
      <c r="B12" s="39"/>
      <c r="C12" s="39"/>
      <c r="D12" s="39"/>
      <c r="E12" s="39"/>
      <c r="F12" s="39"/>
      <c r="G12" s="39"/>
      <c r="H12" s="39"/>
    </row>
    <row r="14" customFormat="false" ht="15" hidden="false" customHeight="false" outlineLevel="0" collapsed="false">
      <c r="A14" s="4" t="s">
        <v>239</v>
      </c>
      <c r="B14" s="4"/>
      <c r="C14" s="4"/>
      <c r="D14" s="4"/>
      <c r="E14" s="4"/>
      <c r="F14" s="4"/>
      <c r="G14" s="4"/>
      <c r="H14" s="4"/>
    </row>
    <row r="15" customFormat="false" ht="31.5" hidden="false" customHeight="true" outlineLevel="0" collapsed="false">
      <c r="A15" s="8" t="s">
        <v>240</v>
      </c>
      <c r="B15" s="8" t="s">
        <v>43</v>
      </c>
      <c r="C15" s="8" t="s">
        <v>45</v>
      </c>
      <c r="D15" s="8" t="s">
        <v>47</v>
      </c>
      <c r="E15" s="8" t="s">
        <v>241</v>
      </c>
    </row>
    <row r="16" customFormat="false" ht="15" hidden="false" customHeight="false" outlineLevel="0" collapsed="false">
      <c r="A16" s="60" t="s">
        <v>242</v>
      </c>
      <c r="B16" s="10" t="n">
        <v>0.000358447583916254</v>
      </c>
      <c r="C16" s="10" t="n">
        <v>0</v>
      </c>
      <c r="D16" s="10" t="n">
        <v>0.000336591221810259</v>
      </c>
      <c r="E16" s="41" t="n">
        <v>1</v>
      </c>
    </row>
    <row r="17" customFormat="false" ht="15" hidden="false" customHeight="false" outlineLevel="0" collapsed="false">
      <c r="A17" s="60" t="s">
        <v>243</v>
      </c>
      <c r="B17" s="10" t="n">
        <v>0.773817029693965</v>
      </c>
      <c r="C17" s="10" t="n">
        <v>0.799096136295111</v>
      </c>
      <c r="D17" s="10" t="n">
        <v>0.737913351514439</v>
      </c>
      <c r="E17" s="41" t="n">
        <v>1.01552345160557</v>
      </c>
    </row>
    <row r="18" customFormat="false" ht="15" hidden="false" customHeight="false" outlineLevel="0" collapsed="false">
      <c r="A18" s="60" t="s">
        <v>244</v>
      </c>
      <c r="B18" s="10" t="n">
        <v>0.225824522722119</v>
      </c>
      <c r="C18" s="10" t="n">
        <v>0.200903863704889</v>
      </c>
      <c r="D18" s="10" t="n">
        <v>0.261750057263751</v>
      </c>
      <c r="E18" s="41" t="n">
        <v>1.234350667447</v>
      </c>
    </row>
    <row r="19" customFormat="false" ht="15" hidden="false" customHeight="false" outlineLevel="0" collapsed="false">
      <c r="A19" s="3" t="s">
        <v>245</v>
      </c>
    </row>
    <row r="21" customFormat="false" ht="15" hidden="false" customHeight="false" outlineLevel="0" collapsed="false">
      <c r="A21" s="4" t="s">
        <v>246</v>
      </c>
      <c r="B21" s="4"/>
      <c r="C21" s="4"/>
      <c r="D21" s="4"/>
      <c r="E21" s="4"/>
      <c r="F21" s="4"/>
      <c r="G21" s="4"/>
      <c r="H21" s="4"/>
    </row>
    <row r="22" customFormat="false" ht="31.5" hidden="false" customHeight="true" outlineLevel="0" collapsed="false">
      <c r="A22" s="8" t="s">
        <v>247</v>
      </c>
      <c r="B22" s="8" t="s">
        <v>43</v>
      </c>
      <c r="C22" s="8" t="s">
        <v>248</v>
      </c>
      <c r="D22" s="8" t="s">
        <v>45</v>
      </c>
      <c r="E22" s="8" t="s">
        <v>248</v>
      </c>
      <c r="F22" s="8" t="s">
        <v>47</v>
      </c>
      <c r="G22" s="8" t="s">
        <v>248</v>
      </c>
    </row>
    <row r="23" customFormat="false" ht="15" hidden="false" customHeight="false" outlineLevel="0" collapsed="false">
      <c r="A23" s="9" t="n">
        <v>1</v>
      </c>
      <c r="B23" s="9" t="s">
        <v>249</v>
      </c>
      <c r="C23" s="10" t="n">
        <v>0.250882922173248</v>
      </c>
      <c r="D23" s="9" t="s">
        <v>250</v>
      </c>
      <c r="E23" s="10" t="n">
        <v>0.238813689881664</v>
      </c>
      <c r="F23" s="9" t="s">
        <v>249</v>
      </c>
      <c r="G23" s="10" t="n">
        <v>0.239242418859422</v>
      </c>
    </row>
    <row r="24" customFormat="false" ht="15" hidden="false" customHeight="false" outlineLevel="0" collapsed="false">
      <c r="A24" s="9" t="n">
        <v>2</v>
      </c>
      <c r="B24" s="9" t="s">
        <v>251</v>
      </c>
      <c r="C24" s="10" t="n">
        <v>0.2043269818173</v>
      </c>
      <c r="D24" s="9" t="s">
        <v>249</v>
      </c>
      <c r="E24" s="10" t="n">
        <v>0.238080942179594</v>
      </c>
      <c r="F24" s="9" t="s">
        <v>251</v>
      </c>
      <c r="G24" s="10" t="n">
        <v>0.194846587981223</v>
      </c>
    </row>
    <row r="25" customFormat="false" ht="15" hidden="false" customHeight="false" outlineLevel="0" collapsed="false">
      <c r="A25" s="9" t="n">
        <v>3</v>
      </c>
      <c r="B25" s="9" t="s">
        <v>250</v>
      </c>
      <c r="C25" s="10" t="n">
        <v>0.203711498420339</v>
      </c>
      <c r="D25" s="9" t="s">
        <v>251</v>
      </c>
      <c r="E25" s="10" t="n">
        <v>0.226981584836028</v>
      </c>
      <c r="F25" s="9" t="s">
        <v>250</v>
      </c>
      <c r="G25" s="10" t="n">
        <v>0.194259661874889</v>
      </c>
    </row>
    <row r="26" customFormat="false" ht="15" hidden="false" customHeight="false" outlineLevel="0" collapsed="false">
      <c r="A26" s="9" t="n">
        <v>4</v>
      </c>
      <c r="B26" s="9" t="s">
        <v>252</v>
      </c>
      <c r="C26" s="10" t="n">
        <v>0.101722852363334</v>
      </c>
      <c r="D26" s="9" t="s">
        <v>252</v>
      </c>
      <c r="E26" s="10" t="n">
        <v>0.129779164529997</v>
      </c>
      <c r="F26" s="9" t="s">
        <v>252</v>
      </c>
      <c r="G26" s="10" t="n">
        <v>0.117905540594891</v>
      </c>
    </row>
    <row r="27" customFormat="false" ht="15" hidden="false" customHeight="false" outlineLevel="0" collapsed="false">
      <c r="A27" s="9" t="n">
        <v>5</v>
      </c>
      <c r="B27" s="9" t="s">
        <v>253</v>
      </c>
      <c r="C27" s="10" t="n">
        <v>0.0758618505451446</v>
      </c>
      <c r="D27" s="9" t="s">
        <v>253</v>
      </c>
      <c r="E27" s="10" t="n">
        <v>0.0783131794203996</v>
      </c>
      <c r="F27" s="9" t="s">
        <v>254</v>
      </c>
      <c r="G27" s="10" t="n">
        <v>0.0871547488942259</v>
      </c>
    </row>
    <row r="28" customFormat="false" ht="15" hidden="false" customHeight="false" outlineLevel="0" collapsed="false">
      <c r="A28" s="9" t="n">
        <v>6</v>
      </c>
      <c r="B28" s="9" t="s">
        <v>254</v>
      </c>
      <c r="C28" s="10" t="n">
        <v>0.0751926466712194</v>
      </c>
      <c r="D28" s="9" t="s">
        <v>254</v>
      </c>
      <c r="E28" s="10" t="n">
        <v>0.0711246991748917</v>
      </c>
      <c r="F28" s="9" t="s">
        <v>253</v>
      </c>
      <c r="G28" s="10" t="n">
        <v>0.0723420010670924</v>
      </c>
    </row>
    <row r="29" customFormat="false" ht="15" hidden="false" customHeight="false" outlineLevel="0" collapsed="false">
      <c r="A29" s="9" t="n">
        <v>7</v>
      </c>
      <c r="B29" s="9" t="s">
        <v>255</v>
      </c>
      <c r="C29" s="10" t="n">
        <v>0.0238162762290969</v>
      </c>
      <c r="D29" s="9" t="s">
        <v>255</v>
      </c>
      <c r="E29" s="10" t="n">
        <v>0.016906739977427</v>
      </c>
      <c r="F29" s="9" t="s">
        <v>255</v>
      </c>
      <c r="G29" s="10" t="n">
        <v>0.0227112450856205</v>
      </c>
    </row>
    <row r="30" customFormat="false" ht="15" hidden="false" customHeight="false" outlineLevel="0" collapsed="false">
      <c r="A30" s="9" t="n">
        <v>8</v>
      </c>
      <c r="B30" s="9" t="s">
        <v>256</v>
      </c>
      <c r="C30" s="10" t="n">
        <v>0.0187497020379445</v>
      </c>
      <c r="D30" s="9"/>
      <c r="E30" s="9"/>
      <c r="F30" s="9" t="s">
        <v>256</v>
      </c>
      <c r="G30" s="10" t="n">
        <v>0.0217325183419044</v>
      </c>
    </row>
    <row r="31" customFormat="false" ht="15" hidden="false" customHeight="false" outlineLevel="0" collapsed="false">
      <c r="A31" s="9" t="n">
        <v>9</v>
      </c>
      <c r="B31" s="9" t="s">
        <v>257</v>
      </c>
      <c r="C31" s="10" t="n">
        <v>0.010591793962294</v>
      </c>
      <c r="D31" s="9"/>
      <c r="E31" s="9"/>
      <c r="F31" s="9" t="s">
        <v>257</v>
      </c>
      <c r="G31" s="10" t="n">
        <v>0.0122768007776011</v>
      </c>
    </row>
    <row r="32" customFormat="false" ht="15" hidden="false" customHeight="false" outlineLevel="0" collapsed="false">
      <c r="A32" s="9" t="n">
        <v>10</v>
      </c>
      <c r="B32" s="9" t="s">
        <v>258</v>
      </c>
      <c r="C32" s="10" t="n">
        <v>0.00921917776964854</v>
      </c>
      <c r="D32" s="9"/>
      <c r="E32" s="9"/>
      <c r="F32" s="9" t="s">
        <v>258</v>
      </c>
      <c r="G32" s="10" t="n">
        <v>0.0106858204770772</v>
      </c>
    </row>
    <row r="34" customFormat="false" ht="15" hidden="false" customHeight="false" outlineLevel="0" collapsed="false">
      <c r="A34" s="4" t="s">
        <v>259</v>
      </c>
      <c r="B34" s="4"/>
      <c r="C34" s="4"/>
      <c r="D34" s="4"/>
      <c r="E34" s="4"/>
      <c r="F34" s="4"/>
      <c r="G34" s="4"/>
      <c r="H34" s="4"/>
    </row>
    <row r="35" customFormat="false" ht="31.5" hidden="false" customHeight="true" outlineLevel="0" collapsed="false">
      <c r="A35" s="8" t="s">
        <v>260</v>
      </c>
      <c r="B35" s="8" t="s">
        <v>261</v>
      </c>
      <c r="C35" s="8" t="s">
        <v>262</v>
      </c>
      <c r="D35" s="8" t="s">
        <v>263</v>
      </c>
    </row>
    <row r="36" customFormat="false" ht="15" hidden="false" customHeight="false" outlineLevel="0" collapsed="false">
      <c r="A36" s="32" t="s">
        <v>249</v>
      </c>
      <c r="B36" s="32" t="n">
        <v>20</v>
      </c>
      <c r="C36" s="55" t="n">
        <v>0.2506372869063</v>
      </c>
      <c r="D36" s="32" t="s">
        <v>264</v>
      </c>
    </row>
    <row r="37" customFormat="false" ht="15" hidden="false" customHeight="false" outlineLevel="0" collapsed="false">
      <c r="A37" s="32" t="s">
        <v>251</v>
      </c>
      <c r="B37" s="32" t="n">
        <v>20</v>
      </c>
      <c r="C37" s="55" t="n">
        <v>0.205424621955368</v>
      </c>
      <c r="D37" s="32" t="s">
        <v>264</v>
      </c>
    </row>
    <row r="38" customFormat="false" ht="15" hidden="false" customHeight="false" outlineLevel="0" collapsed="false">
      <c r="A38" s="32" t="s">
        <v>250</v>
      </c>
      <c r="B38" s="32" t="n">
        <v>20</v>
      </c>
      <c r="C38" s="55" t="n">
        <v>0.202904978559419</v>
      </c>
      <c r="D38" s="32" t="s">
        <v>264</v>
      </c>
    </row>
    <row r="39" customFormat="false" ht="15" hidden="false" customHeight="false" outlineLevel="0" collapsed="false">
      <c r="A39" s="32" t="s">
        <v>252</v>
      </c>
      <c r="B39" s="32" t="n">
        <v>20</v>
      </c>
      <c r="C39" s="55" t="n">
        <v>0.0988543480602174</v>
      </c>
      <c r="D39" s="32" t="s">
        <v>264</v>
      </c>
    </row>
    <row r="40" customFormat="false" ht="15" hidden="false" customHeight="false" outlineLevel="0" collapsed="false">
      <c r="A40" s="32" t="s">
        <v>254</v>
      </c>
      <c r="B40" s="32" t="n">
        <v>20</v>
      </c>
      <c r="C40" s="55" t="n">
        <v>0.0713827160675059</v>
      </c>
      <c r="D40" s="32" t="s">
        <v>264</v>
      </c>
    </row>
    <row r="41" customFormat="false" ht="15" hidden="false" customHeight="false" outlineLevel="0" collapsed="false">
      <c r="A41" s="32" t="s">
        <v>253</v>
      </c>
      <c r="B41" s="32" t="n">
        <v>20</v>
      </c>
      <c r="C41" s="55" t="n">
        <v>0.068913111125191</v>
      </c>
      <c r="D41" s="32" t="s">
        <v>264</v>
      </c>
    </row>
    <row r="42" customFormat="false" ht="15" hidden="false" customHeight="false" outlineLevel="0" collapsed="false">
      <c r="A42" s="32" t="s">
        <v>255</v>
      </c>
      <c r="B42" s="32" t="n">
        <v>20</v>
      </c>
      <c r="C42" s="55" t="n">
        <v>0.0257845936795545</v>
      </c>
      <c r="D42" s="32" t="s">
        <v>264</v>
      </c>
    </row>
    <row r="43" customFormat="false" ht="15" hidden="false" customHeight="false" outlineLevel="0" collapsed="false">
      <c r="A43" s="32" t="s">
        <v>256</v>
      </c>
      <c r="B43" s="32" t="n">
        <v>19</v>
      </c>
      <c r="C43" s="55" t="n">
        <v>0.0155492808490582</v>
      </c>
      <c r="D43" s="32" t="s">
        <v>265</v>
      </c>
    </row>
    <row r="44" customFormat="false" ht="15" hidden="false" customHeight="false" outlineLevel="0" collapsed="false">
      <c r="A44" s="32" t="s">
        <v>257</v>
      </c>
      <c r="B44" s="32" t="n">
        <v>17</v>
      </c>
      <c r="C44" s="55" t="n">
        <v>0.0139269049252607</v>
      </c>
      <c r="D44" s="32" t="s">
        <v>265</v>
      </c>
    </row>
    <row r="45" customFormat="false" ht="15" hidden="false" customHeight="false" outlineLevel="0" collapsed="false">
      <c r="A45" s="32" t="s">
        <v>258</v>
      </c>
      <c r="B45" s="32" t="n">
        <v>19</v>
      </c>
      <c r="C45" s="55" t="n">
        <v>0.0131513272157356</v>
      </c>
      <c r="D45" s="32" t="s">
        <v>265</v>
      </c>
    </row>
    <row r="46" customFormat="false" ht="15" hidden="false" customHeight="false" outlineLevel="0" collapsed="false">
      <c r="A46" s="32" t="s">
        <v>266</v>
      </c>
      <c r="B46" s="32" t="n">
        <v>16</v>
      </c>
      <c r="C46" s="55" t="n">
        <v>0.00661382139312916</v>
      </c>
      <c r="D46" s="32" t="s">
        <v>265</v>
      </c>
    </row>
    <row r="47" customFormat="false" ht="15" hidden="false" customHeight="false" outlineLevel="0" collapsed="false">
      <c r="A47" s="32" t="s">
        <v>267</v>
      </c>
      <c r="B47" s="32" t="n">
        <v>14</v>
      </c>
      <c r="C47" s="55" t="n">
        <v>0.00542698441516168</v>
      </c>
      <c r="D47" s="32" t="s">
        <v>265</v>
      </c>
    </row>
    <row r="48" customFormat="false" ht="15" hidden="false" customHeight="false" outlineLevel="0" collapsed="false">
      <c r="A48" s="32" t="s">
        <v>268</v>
      </c>
      <c r="B48" s="32" t="n">
        <v>3</v>
      </c>
      <c r="C48" s="55" t="n">
        <v>0.00401593213709872</v>
      </c>
      <c r="D48" s="32" t="s">
        <v>265</v>
      </c>
    </row>
    <row r="49" customFormat="false" ht="15" hidden="false" customHeight="false" outlineLevel="0" collapsed="false">
      <c r="A49" s="32" t="s">
        <v>269</v>
      </c>
      <c r="B49" s="32" t="n">
        <v>4</v>
      </c>
      <c r="C49" s="55" t="n">
        <v>0.00348533001540572</v>
      </c>
      <c r="D49" s="32" t="s">
        <v>265</v>
      </c>
    </row>
    <row r="50" customFormat="false" ht="15" hidden="false" customHeight="false" outlineLevel="0" collapsed="false">
      <c r="A50" s="32" t="s">
        <v>270</v>
      </c>
      <c r="B50" s="32" t="n">
        <v>5</v>
      </c>
      <c r="C50" s="55" t="n">
        <v>0.0033343106412587</v>
      </c>
      <c r="D50" s="32" t="s">
        <v>265</v>
      </c>
    </row>
    <row r="51" customFormat="false" ht="15" hidden="false" customHeight="false" outlineLevel="0" collapsed="false">
      <c r="A51" s="32" t="s">
        <v>271</v>
      </c>
      <c r="B51" s="32" t="n">
        <v>0</v>
      </c>
      <c r="C51" s="55" t="n">
        <v>0.00260468927701785</v>
      </c>
      <c r="D51" s="32" t="s">
        <v>265</v>
      </c>
    </row>
    <row r="52" customFormat="false" ht="15" hidden="false" customHeight="false" outlineLevel="0" collapsed="false">
      <c r="A52" s="32" t="s">
        <v>272</v>
      </c>
      <c r="B52" s="32" t="n">
        <v>0</v>
      </c>
      <c r="C52" s="55" t="n">
        <v>0.00206029289861702</v>
      </c>
      <c r="D52" s="32" t="s">
        <v>265</v>
      </c>
    </row>
    <row r="53" customFormat="false" ht="15" hidden="false" customHeight="false" outlineLevel="0" collapsed="false">
      <c r="A53" s="32" t="s">
        <v>273</v>
      </c>
      <c r="B53" s="32" t="n">
        <v>0</v>
      </c>
      <c r="C53" s="55" t="n">
        <v>0.00197369252481191</v>
      </c>
      <c r="D53" s="32" t="s">
        <v>265</v>
      </c>
    </row>
    <row r="54" customFormat="false" ht="15" hidden="false" customHeight="false" outlineLevel="0" collapsed="false">
      <c r="A54" s="32" t="s">
        <v>274</v>
      </c>
      <c r="B54" s="32" t="n">
        <v>0</v>
      </c>
      <c r="C54" s="55" t="n">
        <v>0.00194928675880361</v>
      </c>
      <c r="D54" s="32" t="s">
        <v>265</v>
      </c>
    </row>
    <row r="55" customFormat="false" ht="15" hidden="false" customHeight="false" outlineLevel="0" collapsed="false">
      <c r="A55" s="32" t="s">
        <v>275</v>
      </c>
      <c r="B55" s="32" t="n">
        <v>0</v>
      </c>
      <c r="C55" s="55" t="n">
        <v>0.00149502788436186</v>
      </c>
      <c r="D55" s="32" t="s">
        <v>265</v>
      </c>
    </row>
    <row r="56" customFormat="false" ht="15" hidden="false" customHeight="false" outlineLevel="0" collapsed="false">
      <c r="A56" s="32" t="s">
        <v>276</v>
      </c>
      <c r="B56" s="32" t="n">
        <v>0</v>
      </c>
      <c r="C56" s="55" t="n">
        <v>0.000511462710722797</v>
      </c>
      <c r="D56" s="32" t="s">
        <v>265</v>
      </c>
    </row>
  </sheetData>
  <mergeCells count="8">
    <mergeCell ref="A4:H4"/>
    <mergeCell ref="A6:H6"/>
    <mergeCell ref="A8:H8"/>
    <mergeCell ref="A10:H10"/>
    <mergeCell ref="A12:H12"/>
    <mergeCell ref="A14:H14"/>
    <mergeCell ref="A21:H21"/>
    <mergeCell ref="A34:H34"/>
  </mergeCells>
  <conditionalFormatting sqref="B16:D18">
    <cfRule type="dataBar" priority="2">
      <dataBar showValue="1" minLength="10" maxLength="90">
        <cfvo type="num" val="0"/>
        <cfvo type="num" val="1"/>
        <color rgb="FF5B9BD5"/>
      </dataBar>
      <extLst>
        <ext xmlns:x14="http://schemas.microsoft.com/office/spreadsheetml/2009/9/main" uri="{B025F937-C7B1-47D3-B67F-A62EFF666E3E}">
          <x14:id>{36BB3113-C0B4-4028-B075-D6941ABB344A}</x14:id>
        </ext>
      </extLst>
    </cfRule>
  </conditionalFormatting>
  <conditionalFormatting sqref="D36:D56">
    <cfRule type="cellIs" priority="3" operator="equal" aboveAverage="0" equalAverage="0" bottom="0" percent="0" rank="0" text="" dxfId="1">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36BB3113-C0B4-4028-B075-D6941ABB344A}">
            <x14:dataBar minLength="10" maxLength="90" axisPosition="none" gradient="true">
              <x14:cfvo type="num">
                <xm:f>0</xm:f>
              </x14:cfvo>
              <x14:cfvo type="num">
                <xm:f>1</xm:f>
              </x14:cfvo>
              <x14:negativeFillColor rgb="FF5B9BD5"/>
              <x14:axisColor rgb="FF000000"/>
            </x14:dataBar>
          </x14:cfRule>
          <xm:sqref>B16:D18</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8" t="s">
        <v>277</v>
      </c>
      <c r="B1" s="8" t="s">
        <v>278</v>
      </c>
      <c r="C1" s="8" t="s">
        <v>240</v>
      </c>
      <c r="D1" s="8" t="s">
        <v>279</v>
      </c>
      <c r="E1" s="8" t="s">
        <v>280</v>
      </c>
      <c r="F1" s="8" t="s">
        <v>281</v>
      </c>
      <c r="G1" s="8" t="s">
        <v>282</v>
      </c>
      <c r="H1" s="8" t="s">
        <v>283</v>
      </c>
      <c r="I1" s="8" t="s">
        <v>284</v>
      </c>
      <c r="J1" s="8" t="s">
        <v>285</v>
      </c>
    </row>
    <row r="2" customFormat="false" ht="28.35" hidden="false" customHeight="false" outlineLevel="0" collapsed="false">
      <c r="A2" s="32" t="n">
        <v>1</v>
      </c>
      <c r="B2" s="61" t="s">
        <v>286</v>
      </c>
      <c r="C2" s="32" t="s">
        <v>243</v>
      </c>
      <c r="D2" s="55" t="n">
        <v>0.250882922173248</v>
      </c>
      <c r="E2" s="55" t="n">
        <v>0.324214785338168</v>
      </c>
      <c r="F2" s="54" t="n">
        <v>199.831144389065</v>
      </c>
      <c r="G2" s="32" t="s">
        <v>287</v>
      </c>
      <c r="H2" s="61" t="s">
        <v>288</v>
      </c>
      <c r="I2" s="32" t="s">
        <v>249</v>
      </c>
      <c r="J2" s="32" t="s">
        <v>289</v>
      </c>
    </row>
    <row r="3" customFormat="false" ht="28.35" hidden="false" customHeight="false" outlineLevel="0" collapsed="false">
      <c r="A3" s="32" t="n">
        <v>2</v>
      </c>
      <c r="B3" s="61" t="s">
        <v>290</v>
      </c>
      <c r="C3" s="32" t="s">
        <v>243</v>
      </c>
      <c r="D3" s="55" t="n">
        <v>0.2043269818173</v>
      </c>
      <c r="E3" s="55" t="n">
        <v>0.264050769079234</v>
      </c>
      <c r="F3" s="54" t="n">
        <v>162.748800326548</v>
      </c>
      <c r="G3" s="32" t="s">
        <v>287</v>
      </c>
      <c r="H3" s="61" t="s">
        <v>288</v>
      </c>
      <c r="I3" s="32" t="s">
        <v>251</v>
      </c>
      <c r="J3" s="32" t="s">
        <v>289</v>
      </c>
    </row>
    <row r="4" customFormat="false" ht="28.35" hidden="false" customHeight="false" outlineLevel="0" collapsed="false">
      <c r="A4" s="32" t="n">
        <v>3</v>
      </c>
      <c r="B4" s="61" t="s">
        <v>291</v>
      </c>
      <c r="C4" s="32" t="s">
        <v>243</v>
      </c>
      <c r="D4" s="55" t="n">
        <v>0.203711498420339</v>
      </c>
      <c r="E4" s="55" t="n">
        <v>0.26325538286603</v>
      </c>
      <c r="F4" s="54" t="n">
        <v>162.258560694046</v>
      </c>
      <c r="G4" s="32" t="s">
        <v>287</v>
      </c>
      <c r="H4" s="61" t="s">
        <v>288</v>
      </c>
      <c r="I4" s="32" t="s">
        <v>250</v>
      </c>
      <c r="J4" s="32" t="s">
        <v>289</v>
      </c>
    </row>
    <row r="5" customFormat="false" ht="15" hidden="false" customHeight="false" outlineLevel="0" collapsed="false">
      <c r="A5" s="32" t="n">
        <v>4</v>
      </c>
      <c r="B5" s="61" t="s">
        <v>292</v>
      </c>
      <c r="C5" s="32" t="s">
        <v>244</v>
      </c>
      <c r="D5" s="55" t="n">
        <v>0.101722852363334</v>
      </c>
      <c r="E5" s="55" t="n">
        <v>0.450450868387334</v>
      </c>
      <c r="F5" s="54" t="n">
        <v>81.0234264739939</v>
      </c>
      <c r="G5" s="32" t="s">
        <v>287</v>
      </c>
      <c r="H5" s="61" t="s">
        <v>288</v>
      </c>
      <c r="I5" s="32" t="s">
        <v>252</v>
      </c>
      <c r="J5" s="32" t="s">
        <v>289</v>
      </c>
    </row>
    <row r="6" customFormat="false" ht="15" hidden="false" customHeight="false" outlineLevel="0" collapsed="false">
      <c r="A6" s="32" t="n">
        <v>5</v>
      </c>
      <c r="B6" s="61" t="s">
        <v>293</v>
      </c>
      <c r="C6" s="32" t="s">
        <v>243</v>
      </c>
      <c r="D6" s="55" t="n">
        <v>0.0758618505451446</v>
      </c>
      <c r="E6" s="55" t="n">
        <v>0.0980359020725442</v>
      </c>
      <c r="F6" s="54" t="n">
        <v>60.4248399157277</v>
      </c>
      <c r="G6" s="32" t="s">
        <v>287</v>
      </c>
      <c r="H6" s="61" t="s">
        <v>288</v>
      </c>
      <c r="I6" s="32" t="s">
        <v>253</v>
      </c>
      <c r="J6" s="32" t="s">
        <v>289</v>
      </c>
    </row>
    <row r="7" customFormat="false" ht="15" hidden="false" customHeight="false" outlineLevel="0" collapsed="false">
      <c r="A7" s="32" t="n">
        <v>6</v>
      </c>
      <c r="B7" s="61" t="s">
        <v>294</v>
      </c>
      <c r="C7" s="32" t="s">
        <v>244</v>
      </c>
      <c r="D7" s="55" t="n">
        <v>0.0751926466712194</v>
      </c>
      <c r="E7" s="55" t="n">
        <v>0.332969359416051</v>
      </c>
      <c r="F7" s="54" t="n">
        <v>59.8918113030279</v>
      </c>
      <c r="G7" s="32" t="s">
        <v>287</v>
      </c>
      <c r="H7" s="61" t="s">
        <v>288</v>
      </c>
      <c r="I7" s="32" t="s">
        <v>254</v>
      </c>
      <c r="J7" s="32" t="s">
        <v>289</v>
      </c>
    </row>
    <row r="8" customFormat="false" ht="28.35" hidden="false" customHeight="false" outlineLevel="0" collapsed="false">
      <c r="A8" s="32" t="n">
        <v>7</v>
      </c>
      <c r="B8" s="61" t="s">
        <v>295</v>
      </c>
      <c r="C8" s="32" t="s">
        <v>243</v>
      </c>
      <c r="D8" s="55" t="n">
        <v>0.0238162762290969</v>
      </c>
      <c r="E8" s="55" t="n">
        <v>0.0307776584324022</v>
      </c>
      <c r="F8" s="54" t="n">
        <v>18.9699390166542</v>
      </c>
      <c r="G8" s="32" t="s">
        <v>287</v>
      </c>
      <c r="H8" s="61" t="s">
        <v>288</v>
      </c>
      <c r="I8" s="32" t="s">
        <v>255</v>
      </c>
      <c r="J8" s="32" t="s">
        <v>289</v>
      </c>
    </row>
    <row r="9" customFormat="false" ht="15" hidden="false" customHeight="false" outlineLevel="0" collapsed="false">
      <c r="A9" s="32" t="n">
        <v>8</v>
      </c>
      <c r="B9" s="61" t="s">
        <v>296</v>
      </c>
      <c r="C9" s="32" t="s">
        <v>244</v>
      </c>
      <c r="D9" s="55" t="n">
        <v>0.0187497020379445</v>
      </c>
      <c r="E9" s="55" t="n">
        <v>0.0830277500952203</v>
      </c>
      <c r="F9" s="54" t="n">
        <v>14.9343541710228</v>
      </c>
      <c r="G9" s="32" t="s">
        <v>287</v>
      </c>
      <c r="H9" s="61" t="s">
        <v>297</v>
      </c>
      <c r="I9" s="32" t="s">
        <v>256</v>
      </c>
      <c r="J9" s="32" t="s">
        <v>298</v>
      </c>
    </row>
    <row r="10" customFormat="false" ht="15" hidden="false" customHeight="false" outlineLevel="0" collapsed="false">
      <c r="A10" s="32" t="n">
        <v>9</v>
      </c>
      <c r="B10" s="61" t="s">
        <v>299</v>
      </c>
      <c r="C10" s="32" t="s">
        <v>244</v>
      </c>
      <c r="D10" s="55" t="n">
        <v>0.010591793962294</v>
      </c>
      <c r="E10" s="55" t="n">
        <v>0.0469027625282635</v>
      </c>
      <c r="F10" s="54" t="n">
        <v>8.43648619158221</v>
      </c>
      <c r="G10" s="32" t="s">
        <v>287</v>
      </c>
      <c r="H10" s="61" t="s">
        <v>300</v>
      </c>
      <c r="I10" s="32" t="s">
        <v>257</v>
      </c>
      <c r="J10" s="32" t="s">
        <v>298</v>
      </c>
    </row>
    <row r="11" customFormat="false" ht="15" hidden="false" customHeight="false" outlineLevel="0" collapsed="false">
      <c r="A11" s="32" t="n">
        <v>10</v>
      </c>
      <c r="B11" s="61" t="s">
        <v>301</v>
      </c>
      <c r="C11" s="32" t="s">
        <v>244</v>
      </c>
      <c r="D11" s="55" t="n">
        <v>0.00921917776964854</v>
      </c>
      <c r="E11" s="55" t="n">
        <v>0.0408245201119849</v>
      </c>
      <c r="F11" s="54" t="n">
        <v>7.34318154490766</v>
      </c>
      <c r="G11" s="32" t="s">
        <v>287</v>
      </c>
      <c r="H11" s="61" t="s">
        <v>297</v>
      </c>
      <c r="I11" s="32" t="s">
        <v>258</v>
      </c>
      <c r="J11" s="32" t="s">
        <v>298</v>
      </c>
    </row>
    <row r="12" customFormat="false" ht="28.35" hidden="false" customHeight="false" outlineLevel="0" collapsed="false">
      <c r="A12" s="32" t="n">
        <v>11</v>
      </c>
      <c r="B12" s="61" t="s">
        <v>302</v>
      </c>
      <c r="C12" s="32" t="s">
        <v>244</v>
      </c>
      <c r="D12" s="55" t="n">
        <v>0.00459452929054683</v>
      </c>
      <c r="E12" s="55" t="n">
        <v>0.0203455729039688</v>
      </c>
      <c r="F12" s="54" t="n">
        <v>3.65959563172274</v>
      </c>
      <c r="G12" s="32" t="s">
        <v>287</v>
      </c>
      <c r="H12" s="61" t="s">
        <v>303</v>
      </c>
      <c r="I12" s="32" t="s">
        <v>266</v>
      </c>
      <c r="J12" s="32" t="s">
        <v>298</v>
      </c>
    </row>
    <row r="13" customFormat="false" ht="15" hidden="false" customHeight="false" outlineLevel="0" collapsed="false">
      <c r="A13" s="32" t="n">
        <v>12</v>
      </c>
      <c r="B13" s="61" t="s">
        <v>304</v>
      </c>
      <c r="C13" s="32" t="s">
        <v>243</v>
      </c>
      <c r="D13" s="55" t="n">
        <v>0.00395650159569266</v>
      </c>
      <c r="E13" s="55" t="n">
        <v>0.00511296785140204</v>
      </c>
      <c r="F13" s="54" t="n">
        <v>3.15139920563606</v>
      </c>
      <c r="G13" s="32" t="s">
        <v>287</v>
      </c>
      <c r="H13" s="61" t="s">
        <v>305</v>
      </c>
      <c r="I13" s="32" t="s">
        <v>267</v>
      </c>
      <c r="J13" s="32" t="s">
        <v>298</v>
      </c>
    </row>
    <row r="14" customFormat="false" ht="15" hidden="false" customHeight="false" outlineLevel="0" collapsed="false">
      <c r="A14" s="32" t="n">
        <v>13</v>
      </c>
      <c r="B14" s="61" t="s">
        <v>306</v>
      </c>
      <c r="C14" s="32" t="s">
        <v>243</v>
      </c>
      <c r="D14" s="55" t="n">
        <v>0.00335635853238559</v>
      </c>
      <c r="E14" s="55" t="n">
        <v>0.00433740587708826</v>
      </c>
      <c r="F14" s="54" t="n">
        <v>2.67337832602037</v>
      </c>
      <c r="G14" s="32" t="s">
        <v>287</v>
      </c>
      <c r="H14" s="61" t="s">
        <v>307</v>
      </c>
      <c r="I14" s="32" t="s">
        <v>268</v>
      </c>
      <c r="J14" s="32" t="s">
        <v>298</v>
      </c>
    </row>
    <row r="15" customFormat="false" ht="15" hidden="false" customHeight="false" outlineLevel="0" collapsed="false">
      <c r="A15" s="32" t="n">
        <v>14</v>
      </c>
      <c r="B15" s="61" t="s">
        <v>308</v>
      </c>
      <c r="C15" s="32" t="s">
        <v>244</v>
      </c>
      <c r="D15" s="55" t="n">
        <v>0.00334863306803232</v>
      </c>
      <c r="E15" s="55" t="n">
        <v>0.0148284740189748</v>
      </c>
      <c r="F15" s="54" t="n">
        <v>2.66722490445911</v>
      </c>
      <c r="G15" s="32" t="s">
        <v>287</v>
      </c>
      <c r="H15" s="61" t="s">
        <v>309</v>
      </c>
      <c r="I15" s="32" t="s">
        <v>270</v>
      </c>
      <c r="J15" s="32" t="s">
        <v>298</v>
      </c>
    </row>
    <row r="16" customFormat="false" ht="15" hidden="false" customHeight="false" outlineLevel="0" collapsed="false">
      <c r="A16" s="32" t="n">
        <v>15</v>
      </c>
      <c r="B16" s="61" t="s">
        <v>310</v>
      </c>
      <c r="C16" s="32" t="s">
        <v>244</v>
      </c>
      <c r="D16" s="55" t="n">
        <v>0.00240518755909973</v>
      </c>
      <c r="E16" s="55" t="n">
        <v>0.010650692538203</v>
      </c>
      <c r="F16" s="54" t="n">
        <v>1.91575966288108</v>
      </c>
      <c r="G16" s="32" t="s">
        <v>287</v>
      </c>
      <c r="H16" s="61" t="s">
        <v>311</v>
      </c>
      <c r="I16" s="32" t="s">
        <v>271</v>
      </c>
      <c r="J16" s="32" t="s">
        <v>298</v>
      </c>
    </row>
    <row r="17" customFormat="false" ht="28.35" hidden="false" customHeight="false" outlineLevel="0" collapsed="false">
      <c r="A17" s="32" t="n">
        <v>16</v>
      </c>
      <c r="B17" s="61" t="s">
        <v>312</v>
      </c>
      <c r="C17" s="32" t="s">
        <v>243</v>
      </c>
      <c r="D17" s="55" t="n">
        <v>0.00235654783828388</v>
      </c>
      <c r="E17" s="55" t="n">
        <v>0.00304535535902572</v>
      </c>
      <c r="F17" s="54" t="n">
        <v>1.87701756362139</v>
      </c>
      <c r="G17" s="32" t="s">
        <v>287</v>
      </c>
      <c r="H17" s="61" t="s">
        <v>313</v>
      </c>
      <c r="I17" s="32" t="s">
        <v>269</v>
      </c>
      <c r="J17" s="32" t="s">
        <v>298</v>
      </c>
    </row>
    <row r="18" customFormat="false" ht="15" hidden="false" customHeight="false" outlineLevel="0" collapsed="false">
      <c r="A18" s="32" t="n">
        <v>17</v>
      </c>
      <c r="B18" s="61" t="s">
        <v>314</v>
      </c>
      <c r="C18" s="32" t="s">
        <v>243</v>
      </c>
      <c r="D18" s="55" t="n">
        <v>0.00171051907475498</v>
      </c>
      <c r="E18" s="55" t="n">
        <v>0.00221049551653247</v>
      </c>
      <c r="F18" s="54" t="n">
        <v>1.36244819394909</v>
      </c>
      <c r="G18" s="32" t="s">
        <v>287</v>
      </c>
      <c r="H18" s="61" t="s">
        <v>311</v>
      </c>
      <c r="I18" s="32" t="s">
        <v>273</v>
      </c>
      <c r="J18" s="32" t="s">
        <v>298</v>
      </c>
    </row>
    <row r="19" customFormat="false" ht="15" hidden="false" customHeight="false" outlineLevel="0" collapsed="false">
      <c r="A19" s="32" t="n">
        <v>18</v>
      </c>
      <c r="B19" s="61" t="s">
        <v>315</v>
      </c>
      <c r="C19" s="32" t="s">
        <v>243</v>
      </c>
      <c r="D19" s="55" t="n">
        <v>0.00144130701516231</v>
      </c>
      <c r="E19" s="55" t="n">
        <v>0.00186259407567229</v>
      </c>
      <c r="F19" s="54" t="n">
        <v>1.1480176799638</v>
      </c>
      <c r="G19" s="32" t="s">
        <v>287</v>
      </c>
      <c r="H19" s="61" t="s">
        <v>311</v>
      </c>
      <c r="I19" s="32" t="s">
        <v>274</v>
      </c>
      <c r="J19" s="32" t="s">
        <v>298</v>
      </c>
    </row>
    <row r="20" customFormat="false" ht="15" hidden="false" customHeight="false" outlineLevel="0" collapsed="false">
      <c r="A20" s="32" t="n">
        <v>19</v>
      </c>
      <c r="B20" s="61" t="s">
        <v>316</v>
      </c>
      <c r="C20" s="32" t="s">
        <v>243</v>
      </c>
      <c r="D20" s="55" t="n">
        <v>0.00134316495077435</v>
      </c>
      <c r="E20" s="55" t="n">
        <v>0.00173576556115023</v>
      </c>
      <c r="F20" s="54" t="n">
        <v>1.0698463924586</v>
      </c>
      <c r="G20" s="32" t="s">
        <v>287</v>
      </c>
      <c r="H20" s="61" t="s">
        <v>311</v>
      </c>
      <c r="I20" s="32" t="s">
        <v>272</v>
      </c>
      <c r="J20" s="32" t="s">
        <v>298</v>
      </c>
    </row>
    <row r="21" customFormat="false" ht="15" hidden="false" customHeight="false" outlineLevel="0" collapsed="false">
      <c r="A21" s="32" t="n">
        <v>20</v>
      </c>
      <c r="B21" s="61" t="s">
        <v>317</v>
      </c>
      <c r="C21" s="32" t="s">
        <v>243</v>
      </c>
      <c r="D21" s="55" t="n">
        <v>0.00105310150178299</v>
      </c>
      <c r="E21" s="55" t="n">
        <v>0.00136091797075012</v>
      </c>
      <c r="F21" s="54" t="n">
        <v>0.838807506051835</v>
      </c>
      <c r="G21" s="32" t="s">
        <v>287</v>
      </c>
      <c r="H21" s="61" t="s">
        <v>311</v>
      </c>
      <c r="I21" s="32" t="s">
        <v>275</v>
      </c>
      <c r="J21" s="32" t="s">
        <v>298</v>
      </c>
    </row>
    <row r="22" customFormat="false" ht="15" hidden="false" customHeight="false" outlineLevel="0" collapsed="false">
      <c r="A22" s="32" t="n">
        <v>21</v>
      </c>
      <c r="B22" s="61" t="s">
        <v>318</v>
      </c>
      <c r="C22" s="32" t="s">
        <v>242</v>
      </c>
      <c r="D22" s="55" t="n">
        <v>0.000358447583916254</v>
      </c>
      <c r="E22" s="55" t="n">
        <v>1</v>
      </c>
      <c r="F22" s="54" t="n">
        <v>0.285507639487781</v>
      </c>
      <c r="G22" s="32" t="s">
        <v>287</v>
      </c>
      <c r="H22" s="61" t="s">
        <v>311</v>
      </c>
      <c r="I22" s="32" t="s">
        <v>276</v>
      </c>
      <c r="J22" s="32" t="s">
        <v>298</v>
      </c>
    </row>
    <row r="24" customFormat="false" ht="15" hidden="false" customHeight="false" outlineLevel="0" collapsed="false">
      <c r="B24" s="5" t="s">
        <v>319</v>
      </c>
      <c r="C24" s="44" t="s">
        <v>243</v>
      </c>
      <c r="D24" s="62" t="n">
        <f aca="false">SUMIF(C2:C22,"Historical voter data",D2:D22)</f>
        <v>0.773817029693965</v>
      </c>
      <c r="F24" s="63" t="n">
        <f aca="false">SUMIF(C2:C22,"Historical voter data",F2:F22)</f>
        <v>616.354199209743</v>
      </c>
    </row>
    <row r="25" customFormat="false" ht="15" hidden="false" customHeight="false" outlineLevel="0" collapsed="false">
      <c r="B25" s="5" t="s">
        <v>320</v>
      </c>
      <c r="C25" s="44" t="s">
        <v>244</v>
      </c>
      <c r="D25" s="62" t="n">
        <f aca="false">SUMIF(C2:C22,"Voter registration data",D2:D22)</f>
        <v>0.225824522722119</v>
      </c>
      <c r="F25" s="63" t="n">
        <f aca="false">SUMIF(C2:C22,"Voter registration data",F2:F22)</f>
        <v>179.871839883598</v>
      </c>
    </row>
    <row r="26" customFormat="false" ht="15" hidden="false" customHeight="false" outlineLevel="0" collapsed="false">
      <c r="B26" s="5" t="s">
        <v>321</v>
      </c>
      <c r="C26" s="44" t="s">
        <v>242</v>
      </c>
      <c r="D26" s="62" t="n">
        <f aca="false">SUMIF(C2:C22,"Election type",D2:D22)</f>
        <v>0.000358447583916254</v>
      </c>
      <c r="F26" s="63" t="n">
        <f aca="false">SUMIF(C2:C22,"Election type",F2:F22)</f>
        <v>0.285507639487781</v>
      </c>
    </row>
    <row r="27" customFormat="false" ht="15" hidden="false" customHeight="false" outlineLevel="0" collapsed="false">
      <c r="B27" s="5" t="s">
        <v>322</v>
      </c>
      <c r="D27" s="62" t="n">
        <f aca="false">SUM(D2:D22)</f>
        <v>1</v>
      </c>
      <c r="F27" s="63" t="n">
        <f aca="false">SUM(F2:F22)</f>
        <v>796.511546732828</v>
      </c>
    </row>
    <row r="29" customFormat="false" ht="15" hidden="false" customHeight="false" outlineLevel="0" collapsed="false">
      <c r="B29" s="5" t="s">
        <v>104</v>
      </c>
    </row>
    <row r="30" customFormat="false" ht="30" hidden="false" customHeight="true" outlineLevel="0" collapsed="false">
      <c r="B30" s="64" t="s">
        <v>323</v>
      </c>
    </row>
    <row r="31" customFormat="false" ht="45" hidden="false" customHeight="true" outlineLevel="0" collapsed="false">
      <c r="B31" s="64" t="s">
        <v>324</v>
      </c>
    </row>
    <row r="32" customFormat="false" ht="45" hidden="false" customHeight="true" outlineLevel="0" collapsed="false">
      <c r="B32" s="64" t="s">
        <v>325</v>
      </c>
    </row>
    <row r="33" customFormat="false" ht="30" hidden="false" customHeight="true" outlineLevel="0" collapsed="false">
      <c r="B33" s="64" t="s">
        <v>326</v>
      </c>
    </row>
    <row r="34" customFormat="false" ht="75" hidden="false" customHeight="true" outlineLevel="0" collapsed="false">
      <c r="B34" s="64" t="s">
        <v>327</v>
      </c>
    </row>
    <row r="35" customFormat="false" ht="30" hidden="false" customHeight="true" outlineLevel="0" collapsed="false">
      <c r="B35" s="64" t="s">
        <v>328</v>
      </c>
    </row>
    <row r="36" customFormat="false" ht="45" hidden="false" customHeight="true" outlineLevel="0" collapsed="false">
      <c r="B36" s="64" t="s">
        <v>329</v>
      </c>
    </row>
    <row r="37" customFormat="false" ht="30" hidden="false" customHeight="true" outlineLevel="0" collapsed="false">
      <c r="B37" s="64" t="s">
        <v>330</v>
      </c>
    </row>
  </sheetData>
  <conditionalFormatting sqref="D2:D22">
    <cfRule type="dataBar" priority="2">
      <dataBar showValue="1" minLength="10" maxLength="90">
        <cfvo type="num" val="0"/>
        <cfvo type="max" val="0"/>
        <color rgb="FF5B9BD5"/>
      </dataBar>
      <extLst>
        <ext xmlns:x14="http://schemas.microsoft.com/office/spreadsheetml/2009/9/main" uri="{B025F937-C7B1-47D3-B67F-A62EFF666E3E}">
          <x14:id>{77B6D382-8BB7-41B6-867C-D0716443C146}</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77B6D382-8BB7-41B6-867C-D0716443C146}">
            <x14:dataBar minLength="10" maxLength="90" axisPosition="none" gradient="true">
              <x14:cfvo type="num">
                <xm:f>0</xm:f>
              </x14:cfvo>
              <x14:cfvo type="max"/>
              <x14:negativeFillColor rgb="FF5B9BD5"/>
              <x14:axisColor rgb="FF000000"/>
            </x14:dataBar>
          </x14:cfRule>
          <xm:sqref>D2:D22</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8" t="s">
        <v>277</v>
      </c>
      <c r="B1" s="8" t="s">
        <v>278</v>
      </c>
      <c r="C1" s="8" t="s">
        <v>240</v>
      </c>
      <c r="D1" s="8" t="s">
        <v>279</v>
      </c>
      <c r="E1" s="8" t="s">
        <v>280</v>
      </c>
      <c r="F1" s="8" t="s">
        <v>281</v>
      </c>
      <c r="G1" s="8" t="s">
        <v>282</v>
      </c>
      <c r="H1" s="8" t="s">
        <v>283</v>
      </c>
      <c r="I1" s="8" t="s">
        <v>284</v>
      </c>
      <c r="J1" s="8" t="s">
        <v>285</v>
      </c>
    </row>
    <row r="2" customFormat="false" ht="28.35" hidden="false" customHeight="false" outlineLevel="0" collapsed="false">
      <c r="A2" s="32" t="n">
        <v>1</v>
      </c>
      <c r="B2" s="61" t="s">
        <v>291</v>
      </c>
      <c r="C2" s="32" t="s">
        <v>243</v>
      </c>
      <c r="D2" s="55" t="n">
        <v>0.238813689881664</v>
      </c>
      <c r="E2" s="55" t="n">
        <v>0.2988547673236</v>
      </c>
      <c r="F2" s="54" t="n">
        <v>185.815555380378</v>
      </c>
      <c r="G2" s="32" t="s">
        <v>287</v>
      </c>
      <c r="H2" s="61" t="s">
        <v>288</v>
      </c>
      <c r="I2" s="32" t="s">
        <v>250</v>
      </c>
      <c r="J2" s="32" t="s">
        <v>289</v>
      </c>
    </row>
    <row r="3" customFormat="false" ht="28.35" hidden="false" customHeight="false" outlineLevel="0" collapsed="false">
      <c r="A3" s="32" t="n">
        <v>2</v>
      </c>
      <c r="B3" s="61" t="s">
        <v>286</v>
      </c>
      <c r="C3" s="32" t="s">
        <v>243</v>
      </c>
      <c r="D3" s="55" t="n">
        <v>0.238080942179594</v>
      </c>
      <c r="E3" s="55" t="n">
        <v>0.297937796675404</v>
      </c>
      <c r="F3" s="54" t="n">
        <v>185.245420890679</v>
      </c>
      <c r="G3" s="32" t="s">
        <v>287</v>
      </c>
      <c r="H3" s="61" t="s">
        <v>288</v>
      </c>
      <c r="I3" s="32" t="s">
        <v>249</v>
      </c>
      <c r="J3" s="32" t="s">
        <v>289</v>
      </c>
    </row>
    <row r="4" customFormat="false" ht="28.35" hidden="false" customHeight="false" outlineLevel="0" collapsed="false">
      <c r="A4" s="32" t="n">
        <v>3</v>
      </c>
      <c r="B4" s="61" t="s">
        <v>290</v>
      </c>
      <c r="C4" s="32" t="s">
        <v>243</v>
      </c>
      <c r="D4" s="55" t="n">
        <v>0.226981584836028</v>
      </c>
      <c r="E4" s="55" t="n">
        <v>0.284047906786777</v>
      </c>
      <c r="F4" s="54" t="n">
        <v>176.609260835608</v>
      </c>
      <c r="G4" s="32" t="s">
        <v>287</v>
      </c>
      <c r="H4" s="61" t="s">
        <v>288</v>
      </c>
      <c r="I4" s="32" t="s">
        <v>251</v>
      </c>
      <c r="J4" s="32" t="s">
        <v>289</v>
      </c>
    </row>
    <row r="5" customFormat="false" ht="15" hidden="false" customHeight="false" outlineLevel="0" collapsed="false">
      <c r="A5" s="32" t="n">
        <v>4</v>
      </c>
      <c r="B5" s="61" t="s">
        <v>292</v>
      </c>
      <c r="C5" s="32" t="s">
        <v>244</v>
      </c>
      <c r="D5" s="55" t="n">
        <v>0.129779164529997</v>
      </c>
      <c r="E5" s="55" t="n">
        <v>0.645976449316236</v>
      </c>
      <c r="F5" s="54" t="n">
        <v>100.978246037286</v>
      </c>
      <c r="G5" s="32" t="s">
        <v>287</v>
      </c>
      <c r="H5" s="61" t="s">
        <v>288</v>
      </c>
      <c r="I5" s="32" t="s">
        <v>252</v>
      </c>
      <c r="J5" s="32" t="s">
        <v>289</v>
      </c>
    </row>
    <row r="6" customFormat="false" ht="15" hidden="false" customHeight="false" outlineLevel="0" collapsed="false">
      <c r="A6" s="32" t="n">
        <v>5</v>
      </c>
      <c r="B6" s="61" t="s">
        <v>293</v>
      </c>
      <c r="C6" s="32" t="s">
        <v>243</v>
      </c>
      <c r="D6" s="55" t="n">
        <v>0.0783131794203996</v>
      </c>
      <c r="E6" s="55" t="n">
        <v>0.098002200065047</v>
      </c>
      <c r="F6" s="54" t="n">
        <v>60.9337217427334</v>
      </c>
      <c r="G6" s="32" t="s">
        <v>287</v>
      </c>
      <c r="H6" s="61" t="s">
        <v>288</v>
      </c>
      <c r="I6" s="32" t="s">
        <v>253</v>
      </c>
      <c r="J6" s="32" t="s">
        <v>289</v>
      </c>
    </row>
    <row r="7" customFormat="false" ht="15" hidden="false" customHeight="false" outlineLevel="0" collapsed="false">
      <c r="A7" s="32" t="n">
        <v>6</v>
      </c>
      <c r="B7" s="61" t="s">
        <v>294</v>
      </c>
      <c r="C7" s="32" t="s">
        <v>244</v>
      </c>
      <c r="D7" s="55" t="n">
        <v>0.0711246991748917</v>
      </c>
      <c r="E7" s="55" t="n">
        <v>0.354023550683764</v>
      </c>
      <c r="F7" s="54" t="n">
        <v>55.3405271071084</v>
      </c>
      <c r="G7" s="32" t="s">
        <v>287</v>
      </c>
      <c r="H7" s="61" t="s">
        <v>288</v>
      </c>
      <c r="I7" s="32" t="s">
        <v>254</v>
      </c>
      <c r="J7" s="32" t="s">
        <v>289</v>
      </c>
    </row>
    <row r="8" customFormat="false" ht="28.35" hidden="false" customHeight="false" outlineLevel="0" collapsed="false">
      <c r="A8" s="32" t="n">
        <v>7</v>
      </c>
      <c r="B8" s="61" t="s">
        <v>295</v>
      </c>
      <c r="C8" s="32" t="s">
        <v>243</v>
      </c>
      <c r="D8" s="55" t="n">
        <v>0.016906739977427</v>
      </c>
      <c r="E8" s="55" t="n">
        <v>0.0211573291491717</v>
      </c>
      <c r="F8" s="54" t="n">
        <v>13.1547537334812</v>
      </c>
      <c r="G8" s="32" t="s">
        <v>287</v>
      </c>
      <c r="H8" s="61" t="s">
        <v>288</v>
      </c>
      <c r="I8" s="32" t="s">
        <v>255</v>
      </c>
      <c r="J8" s="32" t="s">
        <v>289</v>
      </c>
    </row>
    <row r="10" customFormat="false" ht="15" hidden="false" customHeight="false" outlineLevel="0" collapsed="false">
      <c r="B10" s="5" t="s">
        <v>319</v>
      </c>
      <c r="C10" s="44" t="s">
        <v>243</v>
      </c>
      <c r="D10" s="62" t="n">
        <f aca="false">SUMIF(C2:C8,"Historical voter data",D2:D8)</f>
        <v>0.799096136295111</v>
      </c>
      <c r="F10" s="63" t="n">
        <f aca="false">SUMIF(C2:C8,"Historical voter data",F2:F8)</f>
        <v>621.758712582879</v>
      </c>
    </row>
    <row r="11" customFormat="false" ht="15" hidden="false" customHeight="false" outlineLevel="0" collapsed="false">
      <c r="B11" s="5" t="s">
        <v>320</v>
      </c>
      <c r="C11" s="44" t="s">
        <v>244</v>
      </c>
      <c r="D11" s="62" t="n">
        <f aca="false">SUMIF(C2:C8,"Voter registration data",D2:D8)</f>
        <v>0.200903863704889</v>
      </c>
      <c r="F11" s="63" t="n">
        <f aca="false">SUMIF(C2:C8,"Voter registration data",F2:F8)</f>
        <v>156.318773144395</v>
      </c>
    </row>
    <row r="12" customFormat="false" ht="15" hidden="false" customHeight="false" outlineLevel="0" collapsed="false">
      <c r="B12" s="5" t="s">
        <v>322</v>
      </c>
      <c r="D12" s="62" t="n">
        <f aca="false">SUM(D2:D8)</f>
        <v>1</v>
      </c>
      <c r="F12" s="63" t="n">
        <f aca="false">SUM(F2:F8)</f>
        <v>778.077485727274</v>
      </c>
    </row>
    <row r="14" customFormat="false" ht="15" hidden="false" customHeight="false" outlineLevel="0" collapsed="false">
      <c r="B14" s="5" t="s">
        <v>104</v>
      </c>
    </row>
    <row r="15" customFormat="false" ht="30" hidden="false" customHeight="true" outlineLevel="0" collapsed="false">
      <c r="B15" s="64" t="s">
        <v>323</v>
      </c>
    </row>
    <row r="16" customFormat="false" ht="45" hidden="false" customHeight="true" outlineLevel="0" collapsed="false">
      <c r="B16" s="64" t="s">
        <v>324</v>
      </c>
    </row>
    <row r="17" customFormat="false" ht="45" hidden="false" customHeight="true" outlineLevel="0" collapsed="false">
      <c r="B17" s="64" t="s">
        <v>325</v>
      </c>
    </row>
    <row r="18" customFormat="false" ht="30" hidden="false" customHeight="true" outlineLevel="0" collapsed="false">
      <c r="B18" s="64" t="s">
        <v>326</v>
      </c>
    </row>
    <row r="19" customFormat="false" ht="75" hidden="false" customHeight="true" outlineLevel="0" collapsed="false">
      <c r="B19" s="64" t="s">
        <v>327</v>
      </c>
    </row>
    <row r="20" customFormat="false" ht="45" hidden="false" customHeight="true" outlineLevel="0" collapsed="false">
      <c r="B20" s="64" t="s">
        <v>331</v>
      </c>
    </row>
    <row r="21" customFormat="false" ht="45" hidden="false" customHeight="true" outlineLevel="0" collapsed="false">
      <c r="B21" s="64" t="s">
        <v>329</v>
      </c>
    </row>
    <row r="22" customFormat="false" ht="30" hidden="false" customHeight="true" outlineLevel="0" collapsed="false">
      <c r="B22" s="64" t="s">
        <v>332</v>
      </c>
    </row>
  </sheetData>
  <conditionalFormatting sqref="D2:D8">
    <cfRule type="dataBar" priority="2">
      <dataBar showValue="1" minLength="10" maxLength="90">
        <cfvo type="num" val="0"/>
        <cfvo type="max" val="0"/>
        <color rgb="FF5B9BD5"/>
      </dataBar>
      <extLst>
        <ext xmlns:x14="http://schemas.microsoft.com/office/spreadsheetml/2009/9/main" uri="{B025F937-C7B1-47D3-B67F-A62EFF666E3E}">
          <x14:id>{DDB973D5-73AF-4B60-B733-2A3ED6008733}</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DDB973D5-73AF-4B60-B733-2A3ED6008733}">
            <x14:dataBar minLength="10" maxLength="90" axisPosition="none" gradient="true">
              <x14:cfvo type="num">
                <xm:f>0</xm:f>
              </x14:cfvo>
              <x14:cfvo type="max"/>
              <x14:negativeFillColor rgb="FF5B9BD5"/>
              <x14:axisColor rgb="FF000000"/>
            </x14:dataBar>
          </x14:cfRule>
          <xm:sqref>D2:D8</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8" t="s">
        <v>277</v>
      </c>
      <c r="B1" s="8" t="s">
        <v>278</v>
      </c>
      <c r="C1" s="8" t="s">
        <v>240</v>
      </c>
      <c r="D1" s="8" t="s">
        <v>279</v>
      </c>
      <c r="E1" s="8" t="s">
        <v>280</v>
      </c>
      <c r="F1" s="8" t="s">
        <v>281</v>
      </c>
      <c r="G1" s="8" t="s">
        <v>282</v>
      </c>
      <c r="H1" s="8" t="s">
        <v>283</v>
      </c>
      <c r="I1" s="8" t="s">
        <v>284</v>
      </c>
      <c r="J1" s="8" t="s">
        <v>285</v>
      </c>
    </row>
    <row r="2" customFormat="false" ht="28.35" hidden="false" customHeight="false" outlineLevel="0" collapsed="false">
      <c r="A2" s="32" t="n">
        <v>1</v>
      </c>
      <c r="B2" s="61" t="s">
        <v>286</v>
      </c>
      <c r="C2" s="32" t="s">
        <v>243</v>
      </c>
      <c r="D2" s="55" t="n">
        <v>0.239242418859422</v>
      </c>
      <c r="E2" s="55" t="n">
        <v>0.324214785338168</v>
      </c>
      <c r="F2" s="54" t="n">
        <v>202.933213488274</v>
      </c>
      <c r="G2" s="32" t="s">
        <v>287</v>
      </c>
      <c r="H2" s="61" t="s">
        <v>288</v>
      </c>
      <c r="I2" s="32" t="s">
        <v>249</v>
      </c>
      <c r="J2" s="32" t="s">
        <v>289</v>
      </c>
    </row>
    <row r="3" customFormat="false" ht="28.35" hidden="false" customHeight="false" outlineLevel="0" collapsed="false">
      <c r="A3" s="32" t="n">
        <v>2</v>
      </c>
      <c r="B3" s="61" t="s">
        <v>290</v>
      </c>
      <c r="C3" s="32" t="s">
        <v>243</v>
      </c>
      <c r="D3" s="55" t="n">
        <v>0.194846587981223</v>
      </c>
      <c r="E3" s="55" t="n">
        <v>0.264050769079234</v>
      </c>
      <c r="F3" s="54" t="n">
        <v>165.275223452282</v>
      </c>
      <c r="G3" s="32" t="s">
        <v>287</v>
      </c>
      <c r="H3" s="61" t="s">
        <v>288</v>
      </c>
      <c r="I3" s="32" t="s">
        <v>251</v>
      </c>
      <c r="J3" s="32" t="s">
        <v>289</v>
      </c>
    </row>
    <row r="4" customFormat="false" ht="28.35" hidden="false" customHeight="false" outlineLevel="0" collapsed="false">
      <c r="A4" s="32" t="n">
        <v>3</v>
      </c>
      <c r="B4" s="61" t="s">
        <v>291</v>
      </c>
      <c r="C4" s="32" t="s">
        <v>243</v>
      </c>
      <c r="D4" s="55" t="n">
        <v>0.194259661874889</v>
      </c>
      <c r="E4" s="55" t="n">
        <v>0.26325538286603</v>
      </c>
      <c r="F4" s="54" t="n">
        <v>164.777373608569</v>
      </c>
      <c r="G4" s="32" t="s">
        <v>287</v>
      </c>
      <c r="H4" s="61" t="s">
        <v>288</v>
      </c>
      <c r="I4" s="32" t="s">
        <v>250</v>
      </c>
      <c r="J4" s="32" t="s">
        <v>289</v>
      </c>
    </row>
    <row r="5" customFormat="false" ht="15" hidden="false" customHeight="false" outlineLevel="0" collapsed="false">
      <c r="A5" s="32" t="n">
        <v>4</v>
      </c>
      <c r="B5" s="61" t="s">
        <v>292</v>
      </c>
      <c r="C5" s="32" t="s">
        <v>244</v>
      </c>
      <c r="D5" s="55" t="n">
        <v>0.117905540594891</v>
      </c>
      <c r="E5" s="55" t="n">
        <v>0.450450868387334</v>
      </c>
      <c r="F5" s="54" t="n">
        <v>100.011320547017</v>
      </c>
      <c r="G5" s="32" t="s">
        <v>287</v>
      </c>
      <c r="H5" s="61" t="s">
        <v>288</v>
      </c>
      <c r="I5" s="32" t="s">
        <v>252</v>
      </c>
      <c r="J5" s="32" t="s">
        <v>289</v>
      </c>
    </row>
    <row r="6" customFormat="false" ht="15" hidden="false" customHeight="false" outlineLevel="0" collapsed="false">
      <c r="A6" s="32" t="n">
        <v>5</v>
      </c>
      <c r="B6" s="61" t="s">
        <v>294</v>
      </c>
      <c r="C6" s="32" t="s">
        <v>244</v>
      </c>
      <c r="D6" s="55" t="n">
        <v>0.0871547488942259</v>
      </c>
      <c r="E6" s="55" t="n">
        <v>0.332969359416051</v>
      </c>
      <c r="F6" s="54" t="n">
        <v>73.9274972565023</v>
      </c>
      <c r="G6" s="32" t="s">
        <v>287</v>
      </c>
      <c r="H6" s="61" t="s">
        <v>288</v>
      </c>
      <c r="I6" s="32" t="s">
        <v>254</v>
      </c>
      <c r="J6" s="32" t="s">
        <v>289</v>
      </c>
    </row>
    <row r="7" customFormat="false" ht="15" hidden="false" customHeight="false" outlineLevel="0" collapsed="false">
      <c r="A7" s="32" t="n">
        <v>6</v>
      </c>
      <c r="B7" s="61" t="s">
        <v>293</v>
      </c>
      <c r="C7" s="32" t="s">
        <v>243</v>
      </c>
      <c r="D7" s="55" t="n">
        <v>0.0723420010670924</v>
      </c>
      <c r="E7" s="55" t="n">
        <v>0.0980359020725442</v>
      </c>
      <c r="F7" s="54" t="n">
        <v>61.3628419939338</v>
      </c>
      <c r="G7" s="32" t="s">
        <v>287</v>
      </c>
      <c r="H7" s="61" t="s">
        <v>288</v>
      </c>
      <c r="I7" s="32" t="s">
        <v>253</v>
      </c>
      <c r="J7" s="32" t="s">
        <v>289</v>
      </c>
    </row>
    <row r="8" customFormat="false" ht="28.35" hidden="false" customHeight="false" outlineLevel="0" collapsed="false">
      <c r="A8" s="32" t="n">
        <v>7</v>
      </c>
      <c r="B8" s="61" t="s">
        <v>295</v>
      </c>
      <c r="C8" s="32" t="s">
        <v>243</v>
      </c>
      <c r="D8" s="55" t="n">
        <v>0.0227112450856205</v>
      </c>
      <c r="E8" s="55" t="n">
        <v>0.0307776584324022</v>
      </c>
      <c r="F8" s="54" t="n">
        <v>19.2644179469398</v>
      </c>
      <c r="G8" s="32" t="s">
        <v>287</v>
      </c>
      <c r="H8" s="61" t="s">
        <v>288</v>
      </c>
      <c r="I8" s="32" t="s">
        <v>255</v>
      </c>
      <c r="J8" s="32" t="s">
        <v>289</v>
      </c>
    </row>
    <row r="9" customFormat="false" ht="15" hidden="false" customHeight="false" outlineLevel="0" collapsed="false">
      <c r="A9" s="32" t="n">
        <v>8</v>
      </c>
      <c r="B9" s="61" t="s">
        <v>296</v>
      </c>
      <c r="C9" s="32" t="s">
        <v>244</v>
      </c>
      <c r="D9" s="55" t="n">
        <v>0.0217325183419044</v>
      </c>
      <c r="E9" s="55" t="n">
        <v>0.0830277500952204</v>
      </c>
      <c r="F9" s="54" t="n">
        <v>18.4342300388919</v>
      </c>
      <c r="G9" s="32" t="s">
        <v>287</v>
      </c>
      <c r="H9" s="61" t="s">
        <v>297</v>
      </c>
      <c r="I9" s="32" t="s">
        <v>256</v>
      </c>
      <c r="J9" s="32" t="s">
        <v>298</v>
      </c>
    </row>
    <row r="10" customFormat="false" ht="15" hidden="false" customHeight="false" outlineLevel="0" collapsed="false">
      <c r="A10" s="32" t="n">
        <v>9</v>
      </c>
      <c r="B10" s="61" t="s">
        <v>299</v>
      </c>
      <c r="C10" s="32" t="s">
        <v>244</v>
      </c>
      <c r="D10" s="55" t="n">
        <v>0.0122768007776011</v>
      </c>
      <c r="E10" s="55" t="n">
        <v>0.0469027625282635</v>
      </c>
      <c r="F10" s="54" t="n">
        <v>10.4135823614869</v>
      </c>
      <c r="G10" s="32" t="s">
        <v>287</v>
      </c>
      <c r="H10" s="61" t="s">
        <v>300</v>
      </c>
      <c r="I10" s="32" t="s">
        <v>257</v>
      </c>
      <c r="J10" s="32" t="s">
        <v>298</v>
      </c>
    </row>
    <row r="11" customFormat="false" ht="15" hidden="false" customHeight="false" outlineLevel="0" collapsed="false">
      <c r="A11" s="32" t="n">
        <v>10</v>
      </c>
      <c r="B11" s="61" t="s">
        <v>301</v>
      </c>
      <c r="C11" s="32" t="s">
        <v>244</v>
      </c>
      <c r="D11" s="55" t="n">
        <v>0.0106858204770772</v>
      </c>
      <c r="E11" s="55" t="n">
        <v>0.0408245201119849</v>
      </c>
      <c r="F11" s="54" t="n">
        <v>9.06406104114126</v>
      </c>
      <c r="G11" s="32" t="s">
        <v>287</v>
      </c>
      <c r="H11" s="61" t="s">
        <v>297</v>
      </c>
      <c r="I11" s="32" t="s">
        <v>258</v>
      </c>
      <c r="J11" s="32" t="s">
        <v>298</v>
      </c>
    </row>
    <row r="12" customFormat="false" ht="28.35" hidden="false" customHeight="false" outlineLevel="0" collapsed="false">
      <c r="A12" s="32" t="n">
        <v>11</v>
      </c>
      <c r="B12" s="61" t="s">
        <v>302</v>
      </c>
      <c r="C12" s="32" t="s">
        <v>244</v>
      </c>
      <c r="D12" s="55" t="n">
        <v>0.00532545487267766</v>
      </c>
      <c r="E12" s="55" t="n">
        <v>0.0203455729039688</v>
      </c>
      <c r="F12" s="54" t="n">
        <v>4.51722431060308</v>
      </c>
      <c r="G12" s="32" t="s">
        <v>287</v>
      </c>
      <c r="H12" s="61" t="s">
        <v>303</v>
      </c>
      <c r="I12" s="32" t="s">
        <v>266</v>
      </c>
      <c r="J12" s="32" t="s">
        <v>298</v>
      </c>
    </row>
    <row r="13" customFormat="false" ht="15" hidden="false" customHeight="false" outlineLevel="0" collapsed="false">
      <c r="A13" s="32" t="n">
        <v>12</v>
      </c>
      <c r="B13" s="61" t="s">
        <v>308</v>
      </c>
      <c r="C13" s="32" t="s">
        <v>244</v>
      </c>
      <c r="D13" s="55" t="n">
        <v>0.00388135392360069</v>
      </c>
      <c r="E13" s="55" t="n">
        <v>0.0148284740189748</v>
      </c>
      <c r="F13" s="54" t="n">
        <v>3.29229084105037</v>
      </c>
      <c r="G13" s="32" t="s">
        <v>287</v>
      </c>
      <c r="H13" s="61" t="s">
        <v>309</v>
      </c>
      <c r="I13" s="32" t="s">
        <v>270</v>
      </c>
      <c r="J13" s="32" t="s">
        <v>298</v>
      </c>
    </row>
    <row r="14" customFormat="false" ht="15" hidden="false" customHeight="false" outlineLevel="0" collapsed="false">
      <c r="A14" s="32" t="n">
        <v>13</v>
      </c>
      <c r="B14" s="61" t="s">
        <v>304</v>
      </c>
      <c r="C14" s="32" t="s">
        <v>243</v>
      </c>
      <c r="D14" s="55" t="n">
        <v>0.00377292724341366</v>
      </c>
      <c r="E14" s="55" t="n">
        <v>0.00511296785140204</v>
      </c>
      <c r="F14" s="54" t="n">
        <v>3.20031979869458</v>
      </c>
      <c r="G14" s="32" t="s">
        <v>287</v>
      </c>
      <c r="H14" s="61" t="s">
        <v>305</v>
      </c>
      <c r="I14" s="32" t="s">
        <v>267</v>
      </c>
      <c r="J14" s="32" t="s">
        <v>298</v>
      </c>
    </row>
    <row r="15" customFormat="false" ht="15" hidden="false" customHeight="false" outlineLevel="0" collapsed="false">
      <c r="A15" s="32" t="n">
        <v>14</v>
      </c>
      <c r="B15" s="61" t="s">
        <v>306</v>
      </c>
      <c r="C15" s="32" t="s">
        <v>243</v>
      </c>
      <c r="D15" s="55" t="n">
        <v>0.00320062970764062</v>
      </c>
      <c r="E15" s="55" t="n">
        <v>0.00433740587708826</v>
      </c>
      <c r="F15" s="54" t="n">
        <v>2.71487838508772</v>
      </c>
      <c r="G15" s="32" t="s">
        <v>287</v>
      </c>
      <c r="H15" s="61" t="s">
        <v>307</v>
      </c>
      <c r="I15" s="32" t="s">
        <v>268</v>
      </c>
      <c r="J15" s="32" t="s">
        <v>298</v>
      </c>
    </row>
    <row r="16" customFormat="false" ht="15" hidden="false" customHeight="false" outlineLevel="0" collapsed="false">
      <c r="A16" s="32" t="n">
        <v>15</v>
      </c>
      <c r="B16" s="61" t="s">
        <v>310</v>
      </c>
      <c r="C16" s="32" t="s">
        <v>244</v>
      </c>
      <c r="D16" s="55" t="n">
        <v>0.00278781938177325</v>
      </c>
      <c r="E16" s="55" t="n">
        <v>0.010650692538203</v>
      </c>
      <c r="F16" s="54" t="n">
        <v>2.3647192185453</v>
      </c>
      <c r="G16" s="32" t="s">
        <v>287</v>
      </c>
      <c r="H16" s="61" t="s">
        <v>311</v>
      </c>
      <c r="I16" s="32" t="s">
        <v>271</v>
      </c>
      <c r="J16" s="32" t="s">
        <v>298</v>
      </c>
    </row>
    <row r="17" customFormat="false" ht="28.35" hidden="false" customHeight="false" outlineLevel="0" collapsed="false">
      <c r="A17" s="32" t="n">
        <v>16</v>
      </c>
      <c r="B17" s="61" t="s">
        <v>312</v>
      </c>
      <c r="C17" s="32" t="s">
        <v>243</v>
      </c>
      <c r="D17" s="55" t="n">
        <v>0.00224720837953112</v>
      </c>
      <c r="E17" s="55" t="n">
        <v>0.00304535535902572</v>
      </c>
      <c r="F17" s="54" t="n">
        <v>1.90615535493307</v>
      </c>
      <c r="G17" s="32" t="s">
        <v>287</v>
      </c>
      <c r="H17" s="61" t="s">
        <v>313</v>
      </c>
      <c r="I17" s="32" t="s">
        <v>269</v>
      </c>
      <c r="J17" s="32" t="s">
        <v>298</v>
      </c>
    </row>
    <row r="18" customFormat="false" ht="15" hidden="false" customHeight="false" outlineLevel="0" collapsed="false">
      <c r="A18" s="32" t="n">
        <v>17</v>
      </c>
      <c r="B18" s="61" t="s">
        <v>314</v>
      </c>
      <c r="C18" s="32" t="s">
        <v>243</v>
      </c>
      <c r="D18" s="55" t="n">
        <v>0.00163115415511211</v>
      </c>
      <c r="E18" s="55" t="n">
        <v>0.00221049551653246</v>
      </c>
      <c r="F18" s="54" t="n">
        <v>1.38359809255296</v>
      </c>
      <c r="G18" s="32" t="s">
        <v>287</v>
      </c>
      <c r="H18" s="61" t="s">
        <v>311</v>
      </c>
      <c r="I18" s="32" t="s">
        <v>273</v>
      </c>
      <c r="J18" s="32" t="s">
        <v>298</v>
      </c>
    </row>
    <row r="19" customFormat="false" ht="15" hidden="false" customHeight="false" outlineLevel="0" collapsed="false">
      <c r="A19" s="32" t="n">
        <v>18</v>
      </c>
      <c r="B19" s="61" t="s">
        <v>315</v>
      </c>
      <c r="C19" s="32" t="s">
        <v>243</v>
      </c>
      <c r="D19" s="55" t="n">
        <v>0.00137443303689027</v>
      </c>
      <c r="E19" s="55" t="n">
        <v>0.00186259407567229</v>
      </c>
      <c r="F19" s="54" t="n">
        <v>1.16583887686106</v>
      </c>
      <c r="G19" s="32" t="s">
        <v>287</v>
      </c>
      <c r="H19" s="61" t="s">
        <v>311</v>
      </c>
      <c r="I19" s="32" t="s">
        <v>274</v>
      </c>
      <c r="J19" s="32" t="s">
        <v>298</v>
      </c>
    </row>
    <row r="20" customFormat="false" ht="15" hidden="false" customHeight="false" outlineLevel="0" collapsed="false">
      <c r="A20" s="32" t="n">
        <v>19</v>
      </c>
      <c r="B20" s="61" t="s">
        <v>316</v>
      </c>
      <c r="C20" s="32" t="s">
        <v>243</v>
      </c>
      <c r="D20" s="55" t="n">
        <v>0.00128084458267171</v>
      </c>
      <c r="E20" s="55" t="n">
        <v>0.00173576556115023</v>
      </c>
      <c r="F20" s="54" t="n">
        <v>1.08645410115732</v>
      </c>
      <c r="G20" s="32" t="s">
        <v>287</v>
      </c>
      <c r="H20" s="61" t="s">
        <v>311</v>
      </c>
      <c r="I20" s="32" t="s">
        <v>272</v>
      </c>
      <c r="J20" s="32" t="s">
        <v>298</v>
      </c>
    </row>
    <row r="21" customFormat="false" ht="15" hidden="false" customHeight="false" outlineLevel="0" collapsed="false">
      <c r="A21" s="32" t="n">
        <v>20</v>
      </c>
      <c r="B21" s="61" t="s">
        <v>317</v>
      </c>
      <c r="C21" s="32" t="s">
        <v>243</v>
      </c>
      <c r="D21" s="55" t="n">
        <v>0.00100423954093245</v>
      </c>
      <c r="E21" s="55" t="n">
        <v>0.00136091797075011</v>
      </c>
      <c r="F21" s="54" t="n">
        <v>0.851828693778418</v>
      </c>
      <c r="G21" s="32" t="s">
        <v>287</v>
      </c>
      <c r="H21" s="61" t="s">
        <v>311</v>
      </c>
      <c r="I21" s="32" t="s">
        <v>275</v>
      </c>
      <c r="J21" s="32" t="s">
        <v>298</v>
      </c>
    </row>
    <row r="22" customFormat="false" ht="15" hidden="false" customHeight="false" outlineLevel="0" collapsed="false">
      <c r="A22" s="32" t="n">
        <v>21</v>
      </c>
      <c r="B22" s="61" t="s">
        <v>318</v>
      </c>
      <c r="C22" s="32" t="s">
        <v>242</v>
      </c>
      <c r="D22" s="55" t="n">
        <v>0.000336591221810259</v>
      </c>
      <c r="E22" s="55" t="n">
        <v>1</v>
      </c>
      <c r="F22" s="54" t="n">
        <v>0.285507639487781</v>
      </c>
      <c r="G22" s="32" t="s">
        <v>287</v>
      </c>
      <c r="H22" s="61" t="s">
        <v>311</v>
      </c>
      <c r="I22" s="32" t="s">
        <v>276</v>
      </c>
      <c r="J22" s="32" t="s">
        <v>298</v>
      </c>
    </row>
    <row r="24" customFormat="false" ht="15" hidden="false" customHeight="false" outlineLevel="0" collapsed="false">
      <c r="B24" s="5" t="s">
        <v>319</v>
      </c>
      <c r="C24" s="44" t="s">
        <v>243</v>
      </c>
      <c r="D24" s="62" t="n">
        <f aca="false">SUMIF(C2:C22,"Historical voter data",D2:D22)</f>
        <v>0.737913351514439</v>
      </c>
      <c r="F24" s="63" t="n">
        <f aca="false">SUMIF(C2:C22,"Historical voter data",F2:F22)</f>
        <v>625.922143793064</v>
      </c>
    </row>
    <row r="25" customFormat="false" ht="15" hidden="false" customHeight="false" outlineLevel="0" collapsed="false">
      <c r="B25" s="5" t="s">
        <v>320</v>
      </c>
      <c r="C25" s="44" t="s">
        <v>244</v>
      </c>
      <c r="D25" s="62" t="n">
        <f aca="false">SUMIF(C2:C22,"Voter registration data",D2:D22)</f>
        <v>0.261750057263751</v>
      </c>
      <c r="F25" s="63" t="n">
        <f aca="false">SUMIF(C2:C22,"Voter registration data",F2:F22)</f>
        <v>222.024925615238</v>
      </c>
    </row>
    <row r="26" customFormat="false" ht="15" hidden="false" customHeight="false" outlineLevel="0" collapsed="false">
      <c r="B26" s="5" t="s">
        <v>321</v>
      </c>
      <c r="C26" s="44" t="s">
        <v>242</v>
      </c>
      <c r="D26" s="62" t="n">
        <f aca="false">SUMIF(C2:C22,"Election type",D2:D22)</f>
        <v>0.000336591221810259</v>
      </c>
      <c r="F26" s="63" t="n">
        <f aca="false">SUMIF(C2:C22,"Election type",F2:F22)</f>
        <v>0.285507639487781</v>
      </c>
    </row>
    <row r="27" customFormat="false" ht="15" hidden="false" customHeight="false" outlineLevel="0" collapsed="false">
      <c r="B27" s="5" t="s">
        <v>322</v>
      </c>
      <c r="D27" s="62" t="n">
        <f aca="false">SUM(D2:D22)</f>
        <v>1</v>
      </c>
      <c r="F27" s="63" t="n">
        <f aca="false">SUM(F2:F22)</f>
        <v>848.23257704779</v>
      </c>
    </row>
    <row r="29" customFormat="false" ht="15" hidden="false" customHeight="false" outlineLevel="0" collapsed="false">
      <c r="B29" s="5" t="s">
        <v>104</v>
      </c>
    </row>
    <row r="30" customFormat="false" ht="30" hidden="false" customHeight="true" outlineLevel="0" collapsed="false">
      <c r="B30" s="64" t="s">
        <v>323</v>
      </c>
    </row>
    <row r="31" customFormat="false" ht="45" hidden="false" customHeight="true" outlineLevel="0" collapsed="false">
      <c r="B31" s="64" t="s">
        <v>324</v>
      </c>
    </row>
    <row r="32" customFormat="false" ht="45" hidden="false" customHeight="true" outlineLevel="0" collapsed="false">
      <c r="B32" s="64" t="s">
        <v>325</v>
      </c>
    </row>
    <row r="33" customFormat="false" ht="30" hidden="false" customHeight="true" outlineLevel="0" collapsed="false">
      <c r="B33" s="64" t="s">
        <v>326</v>
      </c>
    </row>
    <row r="34" customFormat="false" ht="75" hidden="false" customHeight="true" outlineLevel="0" collapsed="false">
      <c r="B34" s="64" t="s">
        <v>327</v>
      </c>
    </row>
    <row r="35" customFormat="false" ht="60" hidden="false" customHeight="true" outlineLevel="0" collapsed="false">
      <c r="B35" s="64" t="s">
        <v>333</v>
      </c>
    </row>
    <row r="36" customFormat="false" ht="45" hidden="false" customHeight="true" outlineLevel="0" collapsed="false">
      <c r="B36" s="64" t="s">
        <v>329</v>
      </c>
    </row>
    <row r="37" customFormat="false" ht="30" hidden="false" customHeight="true" outlineLevel="0" collapsed="false">
      <c r="B37" s="64" t="s">
        <v>330</v>
      </c>
    </row>
  </sheetData>
  <conditionalFormatting sqref="D2:D22">
    <cfRule type="dataBar" priority="2">
      <dataBar showValue="1" minLength="10" maxLength="90">
        <cfvo type="num" val="0"/>
        <cfvo type="max" val="0"/>
        <color rgb="FF5B9BD5"/>
      </dataBar>
      <extLst>
        <ext xmlns:x14="http://schemas.microsoft.com/office/spreadsheetml/2009/9/main" uri="{B025F937-C7B1-47D3-B67F-A62EFF666E3E}">
          <x14:id>{43A5825E-5DD5-4910-80D6-F37029EFC0E1}</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43A5825E-5DD5-4910-80D6-F37029EFC0E1}">
            <x14:dataBar minLength="10" maxLength="90" axisPosition="none" gradient="true">
              <x14:cfvo type="num">
                <xm:f>0</xm:f>
              </x14:cfvo>
              <x14:cfvo type="max"/>
              <x14:negativeFillColor rgb="FF5B9BD5"/>
              <x14:axisColor rgb="FF000000"/>
            </x14:dataBar>
          </x14:cfRule>
          <xm:sqref>D2:D22</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77</v>
      </c>
      <c r="B1" s="8" t="s">
        <v>78</v>
      </c>
      <c r="C1" s="8" t="s">
        <v>79</v>
      </c>
      <c r="D1" s="8" t="s">
        <v>334</v>
      </c>
      <c r="E1" s="8" t="s">
        <v>335</v>
      </c>
      <c r="F1" s="8" t="s">
        <v>336</v>
      </c>
      <c r="G1" s="8" t="s">
        <v>337</v>
      </c>
      <c r="H1" s="8" t="s">
        <v>338</v>
      </c>
      <c r="I1" s="8" t="s">
        <v>339</v>
      </c>
      <c r="J1" s="8" t="s">
        <v>340</v>
      </c>
      <c r="K1" s="8" t="s">
        <v>341</v>
      </c>
      <c r="L1" s="8" t="s">
        <v>342</v>
      </c>
      <c r="M1" s="8" t="s">
        <v>343</v>
      </c>
      <c r="N1" s="8" t="s">
        <v>344</v>
      </c>
      <c r="O1" s="8" t="s">
        <v>107</v>
      </c>
      <c r="P1" s="8" t="s">
        <v>345</v>
      </c>
      <c r="Q1" s="8" t="s">
        <v>346</v>
      </c>
      <c r="R1" s="8" t="s">
        <v>347</v>
      </c>
      <c r="S1" s="8" t="s">
        <v>348</v>
      </c>
      <c r="T1" s="8" t="s">
        <v>349</v>
      </c>
      <c r="U1" s="8" t="s">
        <v>350</v>
      </c>
    </row>
    <row r="2" customFormat="false" ht="15" hidden="false" customHeight="false" outlineLevel="0" collapsed="false">
      <c r="A2" s="32" t="s">
        <v>127</v>
      </c>
      <c r="B2" s="32" t="s">
        <v>128</v>
      </c>
      <c r="C2" s="32" t="s">
        <v>129</v>
      </c>
      <c r="D2" s="54" t="n">
        <v>152</v>
      </c>
      <c r="E2" s="54" t="n">
        <v>181</v>
      </c>
      <c r="F2" s="65" t="n">
        <f aca="false">IF(E2="","",D2-E2)</f>
        <v>-29</v>
      </c>
      <c r="G2" s="54" t="n">
        <v>286</v>
      </c>
      <c r="H2" s="54" t="n">
        <v>285</v>
      </c>
      <c r="I2" s="65" t="n">
        <f aca="false">IF(H2="","",G2-H2)</f>
        <v>1</v>
      </c>
      <c r="J2" s="55" t="n">
        <f aca="false">IF(OR(D2="",D2+G2=0),"",D2/(D2+G2))</f>
        <v>0.34703196347032</v>
      </c>
      <c r="K2" s="55" t="n">
        <f aca="false">IF(E2="","",E2/(E2+H2))</f>
        <v>0.388412017167382</v>
      </c>
      <c r="L2" s="66" t="n">
        <f aca="false">IF(OR(K2="",J2=""),"",(J2-K2)*100)</f>
        <v>-4.13800536970624</v>
      </c>
      <c r="M2" s="36" t="n">
        <v>3.85690205199914</v>
      </c>
      <c r="N2" s="36" t="n">
        <v>2.07708993274224</v>
      </c>
      <c r="O2" s="36" t="n">
        <f aca="false">SQRT(M2^2+N2^2)</f>
        <v>4.38063876933653</v>
      </c>
      <c r="P2" s="55" t="n">
        <f aca="false">IF(J2="","",MAX(0,J2-1.96*O2/100))</f>
        <v>0.261171443591324</v>
      </c>
      <c r="Q2" s="55" t="n">
        <f aca="false">IF(J2="","",MIN(1,J2+1.96*O2/100))</f>
        <v>0.432892483349316</v>
      </c>
      <c r="R2" s="32" t="str">
        <f aca="false">IF(L2="","",IF(ABS(L2)&lt;=O2,"Yes","No"))</f>
        <v>Yes</v>
      </c>
      <c r="S2" s="32" t="str">
        <f aca="false">IF(L2="","",IF(ABS(L2)&lt;=1.96*O2,"Yes","No"))</f>
        <v>Yes</v>
      </c>
      <c r="T2" s="54" t="n">
        <f aca="false">IF(D2="","",ROUND(SQRT(((D2+G2)*O2/100)^2+(J2*(D2+G2)*0.09173)^2),0))</f>
        <v>24</v>
      </c>
      <c r="U2" s="32"/>
    </row>
    <row r="3" customFormat="false" ht="15" hidden="false" customHeight="false" outlineLevel="0" collapsed="false">
      <c r="A3" s="32" t="s">
        <v>127</v>
      </c>
      <c r="B3" s="32" t="s">
        <v>133</v>
      </c>
      <c r="C3" s="32" t="s">
        <v>129</v>
      </c>
      <c r="D3" s="54" t="n">
        <v>104</v>
      </c>
      <c r="E3" s="54" t="n">
        <v>118</v>
      </c>
      <c r="F3" s="65" t="n">
        <f aca="false">IF(E3="","",D3-E3)</f>
        <v>-14</v>
      </c>
      <c r="G3" s="54" t="n">
        <v>300</v>
      </c>
      <c r="H3" s="54" t="n">
        <v>300</v>
      </c>
      <c r="I3" s="65" t="n">
        <f aca="false">IF(H3="","",G3-H3)</f>
        <v>0</v>
      </c>
      <c r="J3" s="55" t="n">
        <f aca="false">IF(OR(D3="",D3+G3=0),"",D3/(D3+G3))</f>
        <v>0.257425742574257</v>
      </c>
      <c r="K3" s="55" t="n">
        <f aca="false">IF(E3="","",E3/(E3+H3))</f>
        <v>0.282296650717703</v>
      </c>
      <c r="L3" s="66" t="n">
        <f aca="false">IF(OR(K3="",J3=""),"",(J3-K3)*100)</f>
        <v>-2.48709081434459</v>
      </c>
      <c r="M3" s="36" t="n">
        <v>3.85690205199914</v>
      </c>
      <c r="N3" s="36" t="n">
        <v>2.07708993274224</v>
      </c>
      <c r="O3" s="36" t="n">
        <f aca="false">SQRT(M3^2+N3^2)</f>
        <v>4.38063876933653</v>
      </c>
      <c r="P3" s="55" t="n">
        <f aca="false">IF(J3="","",MAX(0,J3-1.96*O3/100))</f>
        <v>0.171565222695261</v>
      </c>
      <c r="Q3" s="55" t="n">
        <f aca="false">IF(J3="","",MIN(1,J3+1.96*O3/100))</f>
        <v>0.343286262453253</v>
      </c>
      <c r="R3" s="32" t="str">
        <f aca="false">IF(L3="","",IF(ABS(L3)&lt;=O3,"Yes","No"))</f>
        <v>Yes</v>
      </c>
      <c r="S3" s="32" t="str">
        <f aca="false">IF(L3="","",IF(ABS(L3)&lt;=1.96*O3,"Yes","No"))</f>
        <v>Yes</v>
      </c>
      <c r="T3" s="54" t="n">
        <f aca="false">IF(D3="","",ROUND(SQRT(((D3+G3)*O3/100)^2+(J3*(D3+G3)*0.09173)^2),0))</f>
        <v>20</v>
      </c>
      <c r="U3" s="32"/>
    </row>
    <row r="4" customFormat="false" ht="15" hidden="false" customHeight="false" outlineLevel="0" collapsed="false">
      <c r="A4" s="32" t="s">
        <v>127</v>
      </c>
      <c r="B4" s="32" t="s">
        <v>134</v>
      </c>
      <c r="C4" s="32" t="s">
        <v>129</v>
      </c>
      <c r="D4" s="54" t="n">
        <v>133</v>
      </c>
      <c r="E4" s="54" t="n">
        <v>144</v>
      </c>
      <c r="F4" s="65" t="n">
        <f aca="false">IF(E4="","",D4-E4)</f>
        <v>-11</v>
      </c>
      <c r="G4" s="54" t="n">
        <v>270</v>
      </c>
      <c r="H4" s="54" t="n">
        <v>310</v>
      </c>
      <c r="I4" s="65" t="n">
        <f aca="false">IF(H4="","",G4-H4)</f>
        <v>-40</v>
      </c>
      <c r="J4" s="55" t="n">
        <f aca="false">IF(OR(D4="",D4+G4=0),"",D4/(D4+G4))</f>
        <v>0.330024813895782</v>
      </c>
      <c r="K4" s="55" t="n">
        <f aca="false">IF(E4="","",E4/(E4+H4))</f>
        <v>0.317180616740088</v>
      </c>
      <c r="L4" s="66" t="n">
        <f aca="false">IF(OR(K4="",J4=""),"",(J4-K4)*100)</f>
        <v>1.28441971556935</v>
      </c>
      <c r="M4" s="36" t="n">
        <v>3.85690205199914</v>
      </c>
      <c r="N4" s="36" t="n">
        <v>2.07708993274224</v>
      </c>
      <c r="O4" s="36" t="n">
        <f aca="false">SQRT(M4^2+N4^2)</f>
        <v>4.38063876933653</v>
      </c>
      <c r="P4" s="55" t="n">
        <f aca="false">IF(J4="","",MAX(0,J4-1.96*O4/100))</f>
        <v>0.244164294016786</v>
      </c>
      <c r="Q4" s="55" t="n">
        <f aca="false">IF(J4="","",MIN(1,J4+1.96*O4/100))</f>
        <v>0.415885333774778</v>
      </c>
      <c r="R4" s="32" t="str">
        <f aca="false">IF(L4="","",IF(ABS(L4)&lt;=O4,"Yes","No"))</f>
        <v>Yes</v>
      </c>
      <c r="S4" s="32" t="str">
        <f aca="false">IF(L4="","",IF(ABS(L4)&lt;=1.96*O4,"Yes","No"))</f>
        <v>Yes</v>
      </c>
      <c r="T4" s="54" t="n">
        <f aca="false">IF(D4="","",ROUND(SQRT(((D4+G4)*O4/100)^2+(J4*(D4+G4)*0.09173)^2),0))</f>
        <v>21</v>
      </c>
      <c r="U4" s="32"/>
    </row>
    <row r="5" customFormat="false" ht="15" hidden="false" customHeight="false" outlineLevel="0" collapsed="false">
      <c r="A5" s="32" t="s">
        <v>127</v>
      </c>
      <c r="B5" s="32" t="s">
        <v>135</v>
      </c>
      <c r="C5" s="32" t="s">
        <v>129</v>
      </c>
      <c r="D5" s="54" t="n">
        <v>411</v>
      </c>
      <c r="E5" s="54" t="n">
        <v>438</v>
      </c>
      <c r="F5" s="65" t="n">
        <f aca="false">IF(E5="","",D5-E5)</f>
        <v>-27</v>
      </c>
      <c r="G5" s="54" t="n">
        <v>1164</v>
      </c>
      <c r="H5" s="54" t="n">
        <v>1253</v>
      </c>
      <c r="I5" s="65" t="n">
        <f aca="false">IF(H5="","",G5-H5)</f>
        <v>-89</v>
      </c>
      <c r="J5" s="55" t="n">
        <f aca="false">IF(OR(D5="",D5+G5=0),"",D5/(D5+G5))</f>
        <v>0.260952380952381</v>
      </c>
      <c r="K5" s="55" t="n">
        <f aca="false">IF(E5="","",E5/(E5+H5))</f>
        <v>0.259018332347723</v>
      </c>
      <c r="L5" s="66" t="n">
        <f aca="false">IF(OR(K5="",J5=""),"",(J5-K5)*100)</f>
        <v>0.193404860465768</v>
      </c>
      <c r="M5" s="36" t="n">
        <v>2.19834869111819</v>
      </c>
      <c r="N5" s="36" t="n">
        <v>2.07708993274224</v>
      </c>
      <c r="O5" s="36" t="n">
        <f aca="false">SQRT(M5^2+N5^2)</f>
        <v>3.02440730663715</v>
      </c>
      <c r="P5" s="55" t="n">
        <f aca="false">IF(J5="","",MAX(0,J5-1.96*O5/100))</f>
        <v>0.201673997742293</v>
      </c>
      <c r="Q5" s="55" t="n">
        <f aca="false">IF(J5="","",MIN(1,J5+1.96*O5/100))</f>
        <v>0.320230764162469</v>
      </c>
      <c r="R5" s="32" t="str">
        <f aca="false">IF(L5="","",IF(ABS(L5)&lt;=O5,"Yes","No"))</f>
        <v>Yes</v>
      </c>
      <c r="S5" s="32" t="str">
        <f aca="false">IF(L5="","",IF(ABS(L5)&lt;=1.96*O5,"Yes","No"))</f>
        <v>Yes</v>
      </c>
      <c r="T5" s="54" t="n">
        <f aca="false">IF(D5="","",ROUND(SQRT(((D5+G5)*O5/100)^2+(J5*(D5+G5)*0.07048)^2),0))</f>
        <v>56</v>
      </c>
      <c r="U5" s="32"/>
    </row>
    <row r="6" customFormat="false" ht="15" hidden="false" customHeight="false" outlineLevel="0" collapsed="false">
      <c r="A6" s="32" t="s">
        <v>127</v>
      </c>
      <c r="B6" s="32" t="s">
        <v>137</v>
      </c>
      <c r="C6" s="32" t="s">
        <v>129</v>
      </c>
      <c r="D6" s="54" t="n">
        <v>38</v>
      </c>
      <c r="E6" s="54" t="n">
        <v>38</v>
      </c>
      <c r="F6" s="65" t="n">
        <f aca="false">IF(E6="","",D6-E6)</f>
        <v>0</v>
      </c>
      <c r="G6" s="54" t="n">
        <v>74</v>
      </c>
      <c r="H6" s="54" t="n">
        <v>78</v>
      </c>
      <c r="I6" s="65" t="n">
        <f aca="false">IF(H6="","",G6-H6)</f>
        <v>-4</v>
      </c>
      <c r="J6" s="55" t="n">
        <f aca="false">IF(OR(D6="",D6+G6=0),"",D6/(D6+G6))</f>
        <v>0.339285714285714</v>
      </c>
      <c r="K6" s="55" t="n">
        <f aca="false">IF(E6="","",E6/(E6+H6))</f>
        <v>0.327586206896552</v>
      </c>
      <c r="L6" s="66" t="n">
        <f aca="false">IF(OR(K6="",J6=""),"",(J6-K6)*100)</f>
        <v>1.16995073891626</v>
      </c>
      <c r="M6" s="36" t="n">
        <v>3.85690205199914</v>
      </c>
      <c r="N6" s="36" t="n">
        <v>2.07708993274224</v>
      </c>
      <c r="O6" s="36" t="n">
        <f aca="false">SQRT(M6^2+N6^2)</f>
        <v>4.38063876933653</v>
      </c>
      <c r="P6" s="55" t="n">
        <f aca="false">IF(J6="","",MAX(0,J6-1.96*O6/100))</f>
        <v>0.253425194406718</v>
      </c>
      <c r="Q6" s="55" t="n">
        <f aca="false">IF(J6="","",MIN(1,J6+1.96*O6/100))</f>
        <v>0.42514623416471</v>
      </c>
      <c r="R6" s="32" t="str">
        <f aca="false">IF(L6="","",IF(ABS(L6)&lt;=O6,"Yes","No"))</f>
        <v>Yes</v>
      </c>
      <c r="S6" s="32" t="str">
        <f aca="false">IF(L6="","",IF(ABS(L6)&lt;=1.96*O6,"Yes","No"))</f>
        <v>Yes</v>
      </c>
      <c r="T6" s="54" t="n">
        <f aca="false">IF(D6="","",ROUND(SQRT(((D6+G6)*O6/100)^2+(J6*(D6+G6)*0.09173)^2),0))</f>
        <v>6</v>
      </c>
      <c r="U6" s="32"/>
    </row>
    <row r="7" customFormat="false" ht="15" hidden="false" customHeight="false" outlineLevel="0" collapsed="false">
      <c r="A7" s="32" t="s">
        <v>127</v>
      </c>
      <c r="B7" s="32" t="s">
        <v>138</v>
      </c>
      <c r="C7" s="32" t="s">
        <v>129</v>
      </c>
      <c r="D7" s="54" t="n">
        <v>640</v>
      </c>
      <c r="E7" s="54" t="n">
        <v>708</v>
      </c>
      <c r="F7" s="65" t="n">
        <f aca="false">IF(E7="","",D7-E7)</f>
        <v>-68</v>
      </c>
      <c r="G7" s="54" t="n">
        <v>1792</v>
      </c>
      <c r="H7" s="54" t="n">
        <v>1846</v>
      </c>
      <c r="I7" s="65" t="n">
        <f aca="false">IF(H7="","",G7-H7)</f>
        <v>-54</v>
      </c>
      <c r="J7" s="55" t="n">
        <f aca="false">IF(OR(D7="",D7+G7=0),"",D7/(D7+G7))</f>
        <v>0.263157894736842</v>
      </c>
      <c r="K7" s="55" t="n">
        <f aca="false">IF(E7="","",E7/(E7+H7))</f>
        <v>0.277212216131558</v>
      </c>
      <c r="L7" s="66" t="n">
        <f aca="false">IF(OR(K7="",J7=""),"",(J7-K7)*100)</f>
        <v>-1.40543213947162</v>
      </c>
      <c r="M7" s="36" t="n">
        <v>2.19834869111819</v>
      </c>
      <c r="N7" s="36" t="n">
        <v>2.07708993274224</v>
      </c>
      <c r="O7" s="36" t="n">
        <f aca="false">SQRT(M7^2+N7^2)</f>
        <v>3.02440730663715</v>
      </c>
      <c r="P7" s="55" t="n">
        <f aca="false">IF(J7="","",MAX(0,J7-1.96*O7/100))</f>
        <v>0.203879511526754</v>
      </c>
      <c r="Q7" s="55" t="n">
        <f aca="false">IF(J7="","",MIN(1,J7+1.96*O7/100))</f>
        <v>0.32243627794693</v>
      </c>
      <c r="R7" s="32" t="str">
        <f aca="false">IF(L7="","",IF(ABS(L7)&lt;=O7,"Yes","No"))</f>
        <v>Yes</v>
      </c>
      <c r="S7" s="32" t="str">
        <f aca="false">IF(L7="","",IF(ABS(L7)&lt;=1.96*O7,"Yes","No"))</f>
        <v>Yes</v>
      </c>
      <c r="T7" s="54" t="n">
        <f aca="false">IF(D7="","",ROUND(SQRT(((D7+G7)*O7/100)^2+(J7*(D7+G7)*0.07048)^2),0))</f>
        <v>86</v>
      </c>
      <c r="U7" s="32"/>
    </row>
    <row r="8" customFormat="false" ht="15" hidden="false" customHeight="false" outlineLevel="0" collapsed="false">
      <c r="A8" s="32" t="s">
        <v>127</v>
      </c>
      <c r="B8" s="32" t="s">
        <v>139</v>
      </c>
      <c r="C8" s="32" t="s">
        <v>129</v>
      </c>
      <c r="D8" s="54" t="n">
        <v>1100</v>
      </c>
      <c r="E8" s="54" t="n">
        <v>1104</v>
      </c>
      <c r="F8" s="65" t="n">
        <f aca="false">IF(E8="","",D8-E8)</f>
        <v>-4</v>
      </c>
      <c r="G8" s="54" t="n">
        <v>1325</v>
      </c>
      <c r="H8" s="54" t="n">
        <v>1481</v>
      </c>
      <c r="I8" s="65" t="n">
        <f aca="false">IF(H8="","",G8-H8)</f>
        <v>-156</v>
      </c>
      <c r="J8" s="55" t="n">
        <f aca="false">IF(OR(D8="",D8+G8=0),"",D8/(D8+G8))</f>
        <v>0.45360824742268</v>
      </c>
      <c r="K8" s="55" t="n">
        <f aca="false">IF(E8="","",E8/(E8+H8))</f>
        <v>0.427079303675048</v>
      </c>
      <c r="L8" s="66" t="n">
        <f aca="false">IF(OR(K8="",J8=""),"",(J8-K8)*100)</f>
        <v>2.6528943747632</v>
      </c>
      <c r="M8" s="36" t="n">
        <v>2.19834869111819</v>
      </c>
      <c r="N8" s="36" t="n">
        <v>2.07708993274224</v>
      </c>
      <c r="O8" s="36" t="n">
        <f aca="false">SQRT(M8^2+N8^2)</f>
        <v>3.02440730663715</v>
      </c>
      <c r="P8" s="55" t="n">
        <f aca="false">IF(J8="","",MAX(0,J8-1.96*O8/100))</f>
        <v>0.394329864212592</v>
      </c>
      <c r="Q8" s="55" t="n">
        <f aca="false">IF(J8="","",MIN(1,J8+1.96*O8/100))</f>
        <v>0.512886630632769</v>
      </c>
      <c r="R8" s="32" t="str">
        <f aca="false">IF(L8="","",IF(ABS(L8)&lt;=O8,"Yes","No"))</f>
        <v>Yes</v>
      </c>
      <c r="S8" s="32" t="str">
        <f aca="false">IF(L8="","",IF(ABS(L8)&lt;=1.96*O8,"Yes","No"))</f>
        <v>Yes</v>
      </c>
      <c r="T8" s="54" t="n">
        <f aca="false">IF(D8="","",ROUND(SQRT(((D8+G8)*O8/100)^2+(J8*(D8+G8)*0.07048)^2),0))</f>
        <v>107</v>
      </c>
      <c r="U8" s="32"/>
    </row>
    <row r="9" customFormat="false" ht="15" hidden="false" customHeight="false" outlineLevel="0" collapsed="false">
      <c r="A9" s="32" t="s">
        <v>127</v>
      </c>
      <c r="B9" s="32" t="s">
        <v>140</v>
      </c>
      <c r="C9" s="32" t="s">
        <v>129</v>
      </c>
      <c r="D9" s="54" t="n">
        <v>335</v>
      </c>
      <c r="E9" s="54" t="n">
        <v>351</v>
      </c>
      <c r="F9" s="65" t="n">
        <f aca="false">IF(E9="","",D9-E9)</f>
        <v>-16</v>
      </c>
      <c r="G9" s="54" t="n">
        <v>701</v>
      </c>
      <c r="H9" s="54" t="n">
        <v>697</v>
      </c>
      <c r="I9" s="65" t="n">
        <f aca="false">IF(H9="","",G9-H9)</f>
        <v>4</v>
      </c>
      <c r="J9" s="55" t="n">
        <f aca="false">IF(OR(D9="",D9+G9=0),"",D9/(D9+G9))</f>
        <v>0.323359073359073</v>
      </c>
      <c r="K9" s="55" t="n">
        <f aca="false">IF(E9="","",E9/(E9+H9))</f>
        <v>0.334923664122137</v>
      </c>
      <c r="L9" s="66" t="n">
        <f aca="false">IF(OR(K9="",J9=""),"",(J9-K9)*100)</f>
        <v>-1.1564590763064</v>
      </c>
      <c r="M9" s="36" t="n">
        <v>3.85690205199914</v>
      </c>
      <c r="N9" s="36" t="n">
        <v>2.07708993274224</v>
      </c>
      <c r="O9" s="36" t="n">
        <f aca="false">SQRT(M9^2+N9^2)</f>
        <v>4.38063876933653</v>
      </c>
      <c r="P9" s="55" t="n">
        <f aca="false">IF(J9="","",MAX(0,J9-1.96*O9/100))</f>
        <v>0.237498553480077</v>
      </c>
      <c r="Q9" s="55" t="n">
        <f aca="false">IF(J9="","",MIN(1,J9+1.96*O9/100))</f>
        <v>0.409219593238069</v>
      </c>
      <c r="R9" s="32" t="str">
        <f aca="false">IF(L9="","",IF(ABS(L9)&lt;=O9,"Yes","No"))</f>
        <v>Yes</v>
      </c>
      <c r="S9" s="32" t="str">
        <f aca="false">IF(L9="","",IF(ABS(L9)&lt;=1.96*O9,"Yes","No"))</f>
        <v>Yes</v>
      </c>
      <c r="T9" s="54" t="n">
        <f aca="false">IF(D9="","",ROUND(SQRT(((D9+G9)*O9/100)^2+(J9*(D9+G9)*0.09173)^2),0))</f>
        <v>55</v>
      </c>
      <c r="U9" s="32"/>
    </row>
    <row r="10" customFormat="false" ht="15" hidden="false" customHeight="false" outlineLevel="0" collapsed="false">
      <c r="A10" s="32" t="s">
        <v>127</v>
      </c>
      <c r="B10" s="32" t="s">
        <v>141</v>
      </c>
      <c r="C10" s="32" t="s">
        <v>129</v>
      </c>
      <c r="D10" s="54" t="n">
        <v>569</v>
      </c>
      <c r="E10" s="54" t="n">
        <v>575</v>
      </c>
      <c r="F10" s="65" t="n">
        <f aca="false">IF(E10="","",D10-E10)</f>
        <v>-6</v>
      </c>
      <c r="G10" s="54" t="n">
        <v>840</v>
      </c>
      <c r="H10" s="54" t="n">
        <v>880</v>
      </c>
      <c r="I10" s="65" t="n">
        <f aca="false">IF(H10="","",G10-H10)</f>
        <v>-40</v>
      </c>
      <c r="J10" s="55" t="n">
        <f aca="false">IF(OR(D10="",D10+G10=0),"",D10/(D10+G10))</f>
        <v>0.403832505322924</v>
      </c>
      <c r="K10" s="55" t="n">
        <f aca="false">IF(E10="","",E10/(E10+H10))</f>
        <v>0.395189003436426</v>
      </c>
      <c r="L10" s="66" t="n">
        <f aca="false">IF(OR(K10="",J10=""),"",(J10-K10)*100)</f>
        <v>0.864350188649798</v>
      </c>
      <c r="M10" s="36" t="n">
        <v>3.85690205199914</v>
      </c>
      <c r="N10" s="36" t="n">
        <v>2.07708993274224</v>
      </c>
      <c r="O10" s="36" t="n">
        <f aca="false">SQRT(M10^2+N10^2)</f>
        <v>4.38063876933653</v>
      </c>
      <c r="P10" s="55" t="n">
        <f aca="false">IF(J10="","",MAX(0,J10-1.96*O10/100))</f>
        <v>0.317971985443928</v>
      </c>
      <c r="Q10" s="55" t="n">
        <f aca="false">IF(J10="","",MIN(1,J10+1.96*O10/100))</f>
        <v>0.48969302520192</v>
      </c>
      <c r="R10" s="32" t="str">
        <f aca="false">IF(L10="","",IF(ABS(L10)&lt;=O10,"Yes","No"))</f>
        <v>Yes</v>
      </c>
      <c r="S10" s="32" t="str">
        <f aca="false">IF(L10="","",IF(ABS(L10)&lt;=1.96*O10,"Yes","No"))</f>
        <v>Yes</v>
      </c>
      <c r="T10" s="54" t="n">
        <f aca="false">IF(D10="","",ROUND(SQRT(((D10+G10)*O10/100)^2+(J10*(D10+G10)*0.09173)^2),0))</f>
        <v>81</v>
      </c>
      <c r="U10" s="32"/>
    </row>
    <row r="11" customFormat="false" ht="15" hidden="false" customHeight="false" outlineLevel="0" collapsed="false">
      <c r="A11" s="32" t="s">
        <v>127</v>
      </c>
      <c r="B11" s="32" t="s">
        <v>142</v>
      </c>
      <c r="C11" s="32" t="s">
        <v>129</v>
      </c>
      <c r="D11" s="54" t="n">
        <v>41</v>
      </c>
      <c r="E11" s="54" t="n">
        <v>38</v>
      </c>
      <c r="F11" s="65" t="n">
        <f aca="false">IF(E11="","",D11-E11)</f>
        <v>3</v>
      </c>
      <c r="G11" s="54" t="n">
        <v>98</v>
      </c>
      <c r="H11" s="54" t="n">
        <v>107</v>
      </c>
      <c r="I11" s="65" t="n">
        <f aca="false">IF(H11="","",G11-H11)</f>
        <v>-9</v>
      </c>
      <c r="J11" s="55" t="n">
        <f aca="false">IF(OR(D11="",D11+G11=0),"",D11/(D11+G11))</f>
        <v>0.294964028776978</v>
      </c>
      <c r="K11" s="55" t="n">
        <f aca="false">IF(E11="","",E11/(E11+H11))</f>
        <v>0.262068965517241</v>
      </c>
      <c r="L11" s="66" t="n">
        <f aca="false">IF(OR(K11="",J11=""),"",(J11-K11)*100)</f>
        <v>3.2895063259737</v>
      </c>
      <c r="M11" s="36" t="n">
        <v>3.85690205199914</v>
      </c>
      <c r="N11" s="36" t="n">
        <v>2.07708993274224</v>
      </c>
      <c r="O11" s="36" t="n">
        <f aca="false">SQRT(M11^2+N11^2)</f>
        <v>4.38063876933653</v>
      </c>
      <c r="P11" s="55" t="n">
        <f aca="false">IF(J11="","",MAX(0,J11-1.96*O11/100))</f>
        <v>0.209103508897982</v>
      </c>
      <c r="Q11" s="55" t="n">
        <f aca="false">IF(J11="","",MIN(1,J11+1.96*O11/100))</f>
        <v>0.380824548655974</v>
      </c>
      <c r="R11" s="32" t="str">
        <f aca="false">IF(L11="","",IF(ABS(L11)&lt;=O11,"Yes","No"))</f>
        <v>Yes</v>
      </c>
      <c r="S11" s="32" t="str">
        <f aca="false">IF(L11="","",IF(ABS(L11)&lt;=1.96*O11,"Yes","No"))</f>
        <v>Yes</v>
      </c>
      <c r="T11" s="54" t="n">
        <f aca="false">IF(D11="","",ROUND(SQRT(((D11+G11)*O11/100)^2+(J11*(D11+G11)*0.09173)^2),0))</f>
        <v>7</v>
      </c>
      <c r="U11" s="32"/>
    </row>
    <row r="12" customFormat="false" ht="15" hidden="false" customHeight="false" outlineLevel="0" collapsed="false">
      <c r="A12" s="32" t="s">
        <v>127</v>
      </c>
      <c r="B12" s="32" t="s">
        <v>143</v>
      </c>
      <c r="C12" s="32" t="s">
        <v>129</v>
      </c>
      <c r="D12" s="54" t="n">
        <v>53</v>
      </c>
      <c r="E12" s="54" t="n">
        <v>58</v>
      </c>
      <c r="F12" s="65" t="n">
        <f aca="false">IF(E12="","",D12-E12)</f>
        <v>-5</v>
      </c>
      <c r="G12" s="54" t="n">
        <v>211</v>
      </c>
      <c r="H12" s="54" t="n">
        <v>216</v>
      </c>
      <c r="I12" s="65" t="n">
        <f aca="false">IF(H12="","",G12-H12)</f>
        <v>-5</v>
      </c>
      <c r="J12" s="55" t="n">
        <f aca="false">IF(OR(D12="",D12+G12=0),"",D12/(D12+G12))</f>
        <v>0.200757575757576</v>
      </c>
      <c r="K12" s="55" t="n">
        <f aca="false">IF(E12="","",E12/(E12+H12))</f>
        <v>0.211678832116788</v>
      </c>
      <c r="L12" s="66" t="n">
        <f aca="false">IF(OR(K12="",J12=""),"",(J12-K12)*100)</f>
        <v>-1.09212563592126</v>
      </c>
      <c r="M12" s="36" t="n">
        <v>3.85690205199914</v>
      </c>
      <c r="N12" s="36" t="n">
        <v>2.07708993274224</v>
      </c>
      <c r="O12" s="36" t="n">
        <f aca="false">SQRT(M12^2+N12^2)</f>
        <v>4.38063876933653</v>
      </c>
      <c r="P12" s="55" t="n">
        <f aca="false">IF(J12="","",MAX(0,J12-1.96*O12/100))</f>
        <v>0.11489705587858</v>
      </c>
      <c r="Q12" s="55" t="n">
        <f aca="false">IF(J12="","",MIN(1,J12+1.96*O12/100))</f>
        <v>0.286618095636572</v>
      </c>
      <c r="R12" s="32" t="str">
        <f aca="false">IF(L12="","",IF(ABS(L12)&lt;=O12,"Yes","No"))</f>
        <v>Yes</v>
      </c>
      <c r="S12" s="32" t="str">
        <f aca="false">IF(L12="","",IF(ABS(L12)&lt;=1.96*O12,"Yes","No"))</f>
        <v>Yes</v>
      </c>
      <c r="T12" s="54" t="n">
        <f aca="false">IF(D12="","",ROUND(SQRT(((D12+G12)*O12/100)^2+(J12*(D12+G12)*0.09173)^2),0))</f>
        <v>13</v>
      </c>
      <c r="U12" s="32"/>
    </row>
    <row r="13" customFormat="false" ht="15" hidden="false" customHeight="false" outlineLevel="0" collapsed="false">
      <c r="A13" s="32" t="s">
        <v>127</v>
      </c>
      <c r="B13" s="32" t="s">
        <v>144</v>
      </c>
      <c r="C13" s="32" t="s">
        <v>129</v>
      </c>
      <c r="D13" s="54" t="n">
        <v>899</v>
      </c>
      <c r="E13" s="54" t="n">
        <v>944</v>
      </c>
      <c r="F13" s="65" t="n">
        <f aca="false">IF(E13="","",D13-E13)</f>
        <v>-45</v>
      </c>
      <c r="G13" s="54" t="n">
        <v>1365</v>
      </c>
      <c r="H13" s="54" t="n">
        <v>1486</v>
      </c>
      <c r="I13" s="65" t="n">
        <f aca="false">IF(H13="","",G13-H13)</f>
        <v>-121</v>
      </c>
      <c r="J13" s="55" t="n">
        <f aca="false">IF(OR(D13="",D13+G13=0),"",D13/(D13+G13))</f>
        <v>0.39708480565371</v>
      </c>
      <c r="K13" s="55" t="n">
        <f aca="false">IF(E13="","",E13/(E13+H13))</f>
        <v>0.388477366255144</v>
      </c>
      <c r="L13" s="66" t="n">
        <f aca="false">IF(OR(K13="",J13=""),"",(J13-K13)*100)</f>
        <v>0.860743939856623</v>
      </c>
      <c r="M13" s="36" t="n">
        <v>2.19834869111819</v>
      </c>
      <c r="N13" s="36" t="n">
        <v>2.07708993274224</v>
      </c>
      <c r="O13" s="36" t="n">
        <f aca="false">SQRT(M13^2+N13^2)</f>
        <v>3.02440730663715</v>
      </c>
      <c r="P13" s="55" t="n">
        <f aca="false">IF(J13="","",MAX(0,J13-1.96*O13/100))</f>
        <v>0.337806422443622</v>
      </c>
      <c r="Q13" s="55" t="n">
        <f aca="false">IF(J13="","",MIN(1,J13+1.96*O13/100))</f>
        <v>0.456363188863798</v>
      </c>
      <c r="R13" s="32" t="str">
        <f aca="false">IF(L13="","",IF(ABS(L13)&lt;=O13,"Yes","No"))</f>
        <v>Yes</v>
      </c>
      <c r="S13" s="32" t="str">
        <f aca="false">IF(L13="","",IF(ABS(L13)&lt;=1.96*O13,"Yes","No"))</f>
        <v>Yes</v>
      </c>
      <c r="T13" s="54" t="n">
        <f aca="false">IF(D13="","",ROUND(SQRT(((D13+G13)*O13/100)^2+(J13*(D13+G13)*0.07048)^2),0))</f>
        <v>93</v>
      </c>
      <c r="U13" s="32"/>
    </row>
    <row r="14" customFormat="false" ht="15" hidden="false" customHeight="false" outlineLevel="0" collapsed="false">
      <c r="A14" s="32" t="s">
        <v>127</v>
      </c>
      <c r="B14" s="32" t="s">
        <v>145</v>
      </c>
      <c r="C14" s="32" t="s">
        <v>129</v>
      </c>
      <c r="D14" s="54" t="n">
        <v>500</v>
      </c>
      <c r="E14" s="54" t="n">
        <v>515</v>
      </c>
      <c r="F14" s="65" t="n">
        <f aca="false">IF(E14="","",D14-E14)</f>
        <v>-15</v>
      </c>
      <c r="G14" s="54" t="n">
        <v>1181</v>
      </c>
      <c r="H14" s="54" t="n">
        <v>1293</v>
      </c>
      <c r="I14" s="65" t="n">
        <f aca="false">IF(H14="","",G14-H14)</f>
        <v>-112</v>
      </c>
      <c r="J14" s="55" t="n">
        <f aca="false">IF(OR(D14="",D14+G14=0),"",D14/(D14+G14))</f>
        <v>0.297441998810232</v>
      </c>
      <c r="K14" s="55" t="n">
        <f aca="false">IF(E14="","",E14/(E14+H14))</f>
        <v>0.284845132743363</v>
      </c>
      <c r="L14" s="66" t="n">
        <f aca="false">IF(OR(K14="",J14=""),"",(J14-K14)*100)</f>
        <v>1.25968660668692</v>
      </c>
      <c r="M14" s="36" t="n">
        <v>2.19834869111819</v>
      </c>
      <c r="N14" s="36" t="n">
        <v>2.07708993274224</v>
      </c>
      <c r="O14" s="36" t="n">
        <f aca="false">SQRT(M14^2+N14^2)</f>
        <v>3.02440730663715</v>
      </c>
      <c r="P14" s="55" t="n">
        <f aca="false">IF(J14="","",MAX(0,J14-1.96*O14/100))</f>
        <v>0.238163615600144</v>
      </c>
      <c r="Q14" s="55" t="n">
        <f aca="false">IF(J14="","",MIN(1,J14+1.96*O14/100))</f>
        <v>0.35672038202032</v>
      </c>
      <c r="R14" s="32" t="str">
        <f aca="false">IF(L14="","",IF(ABS(L14)&lt;=O14,"Yes","No"))</f>
        <v>Yes</v>
      </c>
      <c r="S14" s="32" t="str">
        <f aca="false">IF(L14="","",IF(ABS(L14)&lt;=1.96*O14,"Yes","No"))</f>
        <v>Yes</v>
      </c>
      <c r="T14" s="54" t="n">
        <f aca="false">IF(D14="","",ROUND(SQRT(((D14+G14)*O14/100)^2+(J14*(D14+G14)*0.07048)^2),0))</f>
        <v>62</v>
      </c>
      <c r="U14" s="32"/>
    </row>
    <row r="15" customFormat="false" ht="15" hidden="false" customHeight="false" outlineLevel="0" collapsed="false">
      <c r="A15" s="32" t="s">
        <v>127</v>
      </c>
      <c r="B15" s="32" t="s">
        <v>146</v>
      </c>
      <c r="C15" s="32" t="s">
        <v>129</v>
      </c>
      <c r="D15" s="54" t="n">
        <v>627</v>
      </c>
      <c r="E15" s="54" t="n">
        <v>694</v>
      </c>
      <c r="F15" s="65" t="n">
        <f aca="false">IF(E15="","",D15-E15)</f>
        <v>-67</v>
      </c>
      <c r="G15" s="54" t="n">
        <v>1562</v>
      </c>
      <c r="H15" s="54" t="n">
        <v>1695</v>
      </c>
      <c r="I15" s="65" t="n">
        <f aca="false">IF(H15="","",G15-H15)</f>
        <v>-133</v>
      </c>
      <c r="J15" s="55" t="n">
        <f aca="false">IF(OR(D15="",D15+G15=0),"",D15/(D15+G15))</f>
        <v>0.28643216080402</v>
      </c>
      <c r="K15" s="55" t="n">
        <f aca="false">IF(E15="","",E15/(E15+H15))</f>
        <v>0.290498116366681</v>
      </c>
      <c r="L15" s="66" t="n">
        <f aca="false">IF(OR(K15="",J15=""),"",(J15-K15)*100)</f>
        <v>-0.406595556266048</v>
      </c>
      <c r="M15" s="36" t="n">
        <v>2.19834869111819</v>
      </c>
      <c r="N15" s="36" t="n">
        <v>2.07708993274224</v>
      </c>
      <c r="O15" s="36" t="n">
        <f aca="false">SQRT(M15^2+N15^2)</f>
        <v>3.02440730663715</v>
      </c>
      <c r="P15" s="55" t="n">
        <f aca="false">IF(J15="","",MAX(0,J15-1.96*O15/100))</f>
        <v>0.227153777593932</v>
      </c>
      <c r="Q15" s="55" t="n">
        <f aca="false">IF(J15="","",MIN(1,J15+1.96*O15/100))</f>
        <v>0.345710544014108</v>
      </c>
      <c r="R15" s="32" t="str">
        <f aca="false">IF(L15="","",IF(ABS(L15)&lt;=O15,"Yes","No"))</f>
        <v>Yes</v>
      </c>
      <c r="S15" s="32" t="str">
        <f aca="false">IF(L15="","",IF(ABS(L15)&lt;=1.96*O15,"Yes","No"))</f>
        <v>Yes</v>
      </c>
      <c r="T15" s="54" t="n">
        <f aca="false">IF(D15="","",ROUND(SQRT(((D15+G15)*O15/100)^2+(J15*(D15+G15)*0.07048)^2),0))</f>
        <v>80</v>
      </c>
      <c r="U15" s="32"/>
    </row>
    <row r="16" customFormat="false" ht="15" hidden="false" customHeight="false" outlineLevel="0" collapsed="false">
      <c r="A16" s="32" t="s">
        <v>127</v>
      </c>
      <c r="B16" s="32" t="s">
        <v>147</v>
      </c>
      <c r="C16" s="32" t="s">
        <v>129</v>
      </c>
      <c r="D16" s="54" t="n">
        <v>570</v>
      </c>
      <c r="E16" s="54" t="n">
        <v>601</v>
      </c>
      <c r="F16" s="65" t="n">
        <f aca="false">IF(E16="","",D16-E16)</f>
        <v>-31</v>
      </c>
      <c r="G16" s="54" t="n">
        <v>886</v>
      </c>
      <c r="H16" s="54" t="n">
        <v>955</v>
      </c>
      <c r="I16" s="65" t="n">
        <f aca="false">IF(H16="","",G16-H16)</f>
        <v>-69</v>
      </c>
      <c r="J16" s="55" t="n">
        <f aca="false">IF(OR(D16="",D16+G16=0),"",D16/(D16+G16))</f>
        <v>0.391483516483517</v>
      </c>
      <c r="K16" s="55" t="n">
        <f aca="false">IF(E16="","",E16/(E16+H16))</f>
        <v>0.386246786632391</v>
      </c>
      <c r="L16" s="66" t="n">
        <f aca="false">IF(OR(K16="",J16=""),"",(J16-K16)*100)</f>
        <v>0.523672985112572</v>
      </c>
      <c r="M16" s="36" t="n">
        <v>3.85690205199914</v>
      </c>
      <c r="N16" s="36" t="n">
        <v>2.07708993274224</v>
      </c>
      <c r="O16" s="36" t="n">
        <f aca="false">SQRT(M16^2+N16^2)</f>
        <v>4.38063876933653</v>
      </c>
      <c r="P16" s="55" t="n">
        <f aca="false">IF(J16="","",MAX(0,J16-1.96*O16/100))</f>
        <v>0.30562299660452</v>
      </c>
      <c r="Q16" s="55" t="n">
        <f aca="false">IF(J16="","",MIN(1,J16+1.96*O16/100))</f>
        <v>0.477344036362513</v>
      </c>
      <c r="R16" s="32" t="str">
        <f aca="false">IF(L16="","",IF(ABS(L16)&lt;=O16,"Yes","No"))</f>
        <v>Yes</v>
      </c>
      <c r="S16" s="32" t="str">
        <f aca="false">IF(L16="","",IF(ABS(L16)&lt;=1.96*O16,"Yes","No"))</f>
        <v>Yes</v>
      </c>
      <c r="T16" s="54" t="n">
        <f aca="false">IF(D16="","",ROUND(SQRT(((D16+G16)*O16/100)^2+(J16*(D16+G16)*0.09173)^2),0))</f>
        <v>82</v>
      </c>
      <c r="U16" s="32"/>
    </row>
    <row r="17" customFormat="false" ht="15" hidden="false" customHeight="false" outlineLevel="0" collapsed="false">
      <c r="A17" s="32" t="s">
        <v>127</v>
      </c>
      <c r="B17" s="32" t="s">
        <v>148</v>
      </c>
      <c r="C17" s="32" t="s">
        <v>129</v>
      </c>
      <c r="D17" s="54" t="n">
        <v>116</v>
      </c>
      <c r="E17" s="54" t="n">
        <v>134</v>
      </c>
      <c r="F17" s="65" t="n">
        <f aca="false">IF(E17="","",D17-E17)</f>
        <v>-18</v>
      </c>
      <c r="G17" s="54" t="n">
        <v>479</v>
      </c>
      <c r="H17" s="54" t="n">
        <v>505</v>
      </c>
      <c r="I17" s="65" t="n">
        <f aca="false">IF(H17="","",G17-H17)</f>
        <v>-26</v>
      </c>
      <c r="J17" s="55" t="n">
        <f aca="false">IF(OR(D17="",D17+G17=0),"",D17/(D17+G17))</f>
        <v>0.194957983193277</v>
      </c>
      <c r="K17" s="55" t="n">
        <f aca="false">IF(E17="","",E17/(E17+H17))</f>
        <v>0.209702660406886</v>
      </c>
      <c r="L17" s="66" t="n">
        <f aca="false">IF(OR(K17="",J17=""),"",(J17-K17)*100)</f>
        <v>-1.47446772136084</v>
      </c>
      <c r="M17" s="36" t="n">
        <v>3.85690205199914</v>
      </c>
      <c r="N17" s="36" t="n">
        <v>2.07708993274224</v>
      </c>
      <c r="O17" s="36" t="n">
        <f aca="false">SQRT(M17^2+N17^2)</f>
        <v>4.38063876933653</v>
      </c>
      <c r="P17" s="55" t="n">
        <f aca="false">IF(J17="","",MAX(0,J17-1.96*O17/100))</f>
        <v>0.109097463314281</v>
      </c>
      <c r="Q17" s="55" t="n">
        <f aca="false">IF(J17="","",MIN(1,J17+1.96*O17/100))</f>
        <v>0.280818503072273</v>
      </c>
      <c r="R17" s="32" t="str">
        <f aca="false">IF(L17="","",IF(ABS(L17)&lt;=O17,"Yes","No"))</f>
        <v>Yes</v>
      </c>
      <c r="S17" s="32" t="str">
        <f aca="false">IF(L17="","",IF(ABS(L17)&lt;=1.96*O17,"Yes","No"))</f>
        <v>Yes</v>
      </c>
      <c r="T17" s="54" t="n">
        <f aca="false">IF(D17="","",ROUND(SQRT(((D17+G17)*O17/100)^2+(J17*(D17+G17)*0.09173)^2),0))</f>
        <v>28</v>
      </c>
      <c r="U17" s="32"/>
    </row>
    <row r="18" customFormat="false" ht="15" hidden="false" customHeight="false" outlineLevel="0" collapsed="false">
      <c r="A18" s="32" t="s">
        <v>127</v>
      </c>
      <c r="B18" s="32" t="s">
        <v>149</v>
      </c>
      <c r="C18" s="32" t="s">
        <v>129</v>
      </c>
      <c r="D18" s="54" t="n">
        <v>909</v>
      </c>
      <c r="E18" s="54" t="n">
        <v>981</v>
      </c>
      <c r="F18" s="65" t="n">
        <f aca="false">IF(E18="","",D18-E18)</f>
        <v>-72</v>
      </c>
      <c r="G18" s="54" t="n">
        <v>1651</v>
      </c>
      <c r="H18" s="54" t="n">
        <v>1740</v>
      </c>
      <c r="I18" s="65" t="n">
        <f aca="false">IF(H18="","",G18-H18)</f>
        <v>-89</v>
      </c>
      <c r="J18" s="55" t="n">
        <f aca="false">IF(OR(D18="",D18+G18=0),"",D18/(D18+G18))</f>
        <v>0.355078125</v>
      </c>
      <c r="K18" s="55" t="n">
        <f aca="false">IF(E18="","",E18/(E18+H18))</f>
        <v>0.360529217199559</v>
      </c>
      <c r="L18" s="66" t="n">
        <f aca="false">IF(OR(K18="",J18=""),"",(J18-K18)*100)</f>
        <v>-0.545109219955897</v>
      </c>
      <c r="M18" s="36" t="n">
        <v>2.19834869111819</v>
      </c>
      <c r="N18" s="36" t="n">
        <v>2.07708993274224</v>
      </c>
      <c r="O18" s="36" t="n">
        <f aca="false">SQRT(M18^2+N18^2)</f>
        <v>3.02440730663715</v>
      </c>
      <c r="P18" s="55" t="n">
        <f aca="false">IF(J18="","",MAX(0,J18-1.96*O18/100))</f>
        <v>0.295799741789912</v>
      </c>
      <c r="Q18" s="55" t="n">
        <f aca="false">IF(J18="","",MIN(1,J18+1.96*O18/100))</f>
        <v>0.414356508210088</v>
      </c>
      <c r="R18" s="32" t="str">
        <f aca="false">IF(L18="","",IF(ABS(L18)&lt;=O18,"Yes","No"))</f>
        <v>Yes</v>
      </c>
      <c r="S18" s="32" t="str">
        <f aca="false">IF(L18="","",IF(ABS(L18)&lt;=1.96*O18,"Yes","No"))</f>
        <v>Yes</v>
      </c>
      <c r="T18" s="54" t="n">
        <f aca="false">IF(D18="","",ROUND(SQRT(((D18+G18)*O18/100)^2+(J18*(D18+G18)*0.07048)^2),0))</f>
        <v>100</v>
      </c>
      <c r="U18" s="32"/>
    </row>
    <row r="19" customFormat="false" ht="15" hidden="false" customHeight="false" outlineLevel="0" collapsed="false">
      <c r="A19" s="32" t="s">
        <v>127</v>
      </c>
      <c r="B19" s="32" t="s">
        <v>150</v>
      </c>
      <c r="C19" s="32" t="s">
        <v>129</v>
      </c>
      <c r="D19" s="54" t="n">
        <v>55</v>
      </c>
      <c r="E19" s="54" t="n">
        <v>74</v>
      </c>
      <c r="F19" s="65" t="n">
        <f aca="false">IF(E19="","",D19-E19)</f>
        <v>-19</v>
      </c>
      <c r="G19" s="54" t="n">
        <v>160</v>
      </c>
      <c r="H19" s="54" t="n">
        <v>162</v>
      </c>
      <c r="I19" s="65" t="n">
        <f aca="false">IF(H19="","",G19-H19)</f>
        <v>-2</v>
      </c>
      <c r="J19" s="55" t="n">
        <f aca="false">IF(OR(D19="",D19+G19=0),"",D19/(D19+G19))</f>
        <v>0.255813953488372</v>
      </c>
      <c r="K19" s="55" t="n">
        <f aca="false">IF(E19="","",E19/(E19+H19))</f>
        <v>0.313559322033898</v>
      </c>
      <c r="L19" s="66" t="n">
        <f aca="false">IF(OR(K19="",J19=""),"",(J19-K19)*100)</f>
        <v>-5.77453685455262</v>
      </c>
      <c r="M19" s="36" t="n">
        <v>3.85690205199914</v>
      </c>
      <c r="N19" s="36" t="n">
        <v>2.07708993274224</v>
      </c>
      <c r="O19" s="36" t="n">
        <f aca="false">SQRT(M19^2+N19^2)</f>
        <v>4.38063876933653</v>
      </c>
      <c r="P19" s="55" t="n">
        <f aca="false">IF(J19="","",MAX(0,J19-1.96*O19/100))</f>
        <v>0.169953433609376</v>
      </c>
      <c r="Q19" s="55" t="n">
        <f aca="false">IF(J19="","",MIN(1,J19+1.96*O19/100))</f>
        <v>0.341674473367368</v>
      </c>
      <c r="R19" s="32" t="str">
        <f aca="false">IF(L19="","",IF(ABS(L19)&lt;=O19,"Yes","No"))</f>
        <v>No</v>
      </c>
      <c r="S19" s="32" t="str">
        <f aca="false">IF(L19="","",IF(ABS(L19)&lt;=1.96*O19,"Yes","No"))</f>
        <v>Yes</v>
      </c>
      <c r="T19" s="54" t="n">
        <f aca="false">IF(D19="","",ROUND(SQRT(((D19+G19)*O19/100)^2+(J19*(D19+G19)*0.09173)^2),0))</f>
        <v>11</v>
      </c>
      <c r="U19" s="32"/>
    </row>
    <row r="20" customFormat="false" ht="15" hidden="false" customHeight="false" outlineLevel="0" collapsed="false">
      <c r="A20" s="32" t="s">
        <v>127</v>
      </c>
      <c r="B20" s="32" t="s">
        <v>151</v>
      </c>
      <c r="C20" s="32" t="s">
        <v>129</v>
      </c>
      <c r="D20" s="54" t="n">
        <v>1820</v>
      </c>
      <c r="E20" s="54" t="n">
        <v>2047</v>
      </c>
      <c r="F20" s="65" t="n">
        <f aca="false">IF(E20="","",D20-E20)</f>
        <v>-227</v>
      </c>
      <c r="G20" s="54" t="n">
        <v>3413</v>
      </c>
      <c r="H20" s="54" t="n">
        <v>3702</v>
      </c>
      <c r="I20" s="65" t="n">
        <f aca="false">IF(H20="","",G20-H20)</f>
        <v>-289</v>
      </c>
      <c r="J20" s="55" t="n">
        <f aca="false">IF(OR(D20="",D20+G20=0),"",D20/(D20+G20))</f>
        <v>0.347792853047965</v>
      </c>
      <c r="K20" s="55" t="n">
        <f aca="false">IF(E20="","",E20/(E20+H20))</f>
        <v>0.356061923812837</v>
      </c>
      <c r="L20" s="66" t="n">
        <f aca="false">IF(OR(K20="",J20=""),"",(J20-K20)*100)</f>
        <v>-0.826907076487221</v>
      </c>
      <c r="M20" s="36" t="n">
        <v>2.07588844229782</v>
      </c>
      <c r="N20" s="36" t="n">
        <v>2.07708993274224</v>
      </c>
      <c r="O20" s="36" t="n">
        <f aca="false">SQRT(M20^2+N20^2)</f>
        <v>2.93659929400741</v>
      </c>
      <c r="P20" s="55" t="n">
        <f aca="false">IF(J20="","",MAX(0,J20-1.96*O20/100))</f>
        <v>0.29023550688542</v>
      </c>
      <c r="Q20" s="55" t="n">
        <f aca="false">IF(J20="","",MIN(1,J20+1.96*O20/100))</f>
        <v>0.40535019921051</v>
      </c>
      <c r="R20" s="32" t="str">
        <f aca="false">IF(L20="","",IF(ABS(L20)&lt;=O20,"Yes","No"))</f>
        <v>Yes</v>
      </c>
      <c r="S20" s="32" t="str">
        <f aca="false">IF(L20="","",IF(ABS(L20)&lt;=1.96*O20,"Yes","No"))</f>
        <v>Yes</v>
      </c>
      <c r="T20" s="54" t="n">
        <f aca="false">IF(D20="","",ROUND(SQRT(((D20+G20)*O20/100)^2+(J20*(D20+G20)*0.06406)^2),0))</f>
        <v>193</v>
      </c>
      <c r="U20" s="32"/>
    </row>
    <row r="21" customFormat="false" ht="15" hidden="false" customHeight="false" outlineLevel="0" collapsed="false">
      <c r="A21" s="32" t="s">
        <v>127</v>
      </c>
      <c r="B21" s="32" t="s">
        <v>153</v>
      </c>
      <c r="C21" s="32" t="s">
        <v>129</v>
      </c>
      <c r="D21" s="54" t="n">
        <v>646</v>
      </c>
      <c r="E21" s="54" t="n">
        <v>660</v>
      </c>
      <c r="F21" s="65" t="n">
        <f aca="false">IF(E21="","",D21-E21)</f>
        <v>-14</v>
      </c>
      <c r="G21" s="54" t="n">
        <v>892</v>
      </c>
      <c r="H21" s="54" t="n">
        <v>913</v>
      </c>
      <c r="I21" s="65" t="n">
        <f aca="false">IF(H21="","",G21-H21)</f>
        <v>-21</v>
      </c>
      <c r="J21" s="55" t="n">
        <f aca="false">IF(OR(D21="",D21+G21=0),"",D21/(D21+G21))</f>
        <v>0.420026007802341</v>
      </c>
      <c r="K21" s="55" t="n">
        <f aca="false">IF(E21="","",E21/(E21+H21))</f>
        <v>0.41958041958042</v>
      </c>
      <c r="L21" s="66" t="n">
        <f aca="false">IF(OR(K21="",J21=""),"",(J21-K21)*100)</f>
        <v>0.0445588221921145</v>
      </c>
      <c r="M21" s="36" t="n">
        <v>3.85690205199914</v>
      </c>
      <c r="N21" s="36" t="n">
        <v>2.07708993274224</v>
      </c>
      <c r="O21" s="36" t="n">
        <f aca="false">SQRT(M21^2+N21^2)</f>
        <v>4.38063876933653</v>
      </c>
      <c r="P21" s="55" t="n">
        <f aca="false">IF(J21="","",MAX(0,J21-1.96*O21/100))</f>
        <v>0.334165487923345</v>
      </c>
      <c r="Q21" s="55" t="n">
        <f aca="false">IF(J21="","",MIN(1,J21+1.96*O21/100))</f>
        <v>0.505886527681337</v>
      </c>
      <c r="R21" s="32" t="str">
        <f aca="false">IF(L21="","",IF(ABS(L21)&lt;=O21,"Yes","No"))</f>
        <v>Yes</v>
      </c>
      <c r="S21" s="32" t="str">
        <f aca="false">IF(L21="","",IF(ABS(L21)&lt;=1.96*O21,"Yes","No"))</f>
        <v>Yes</v>
      </c>
      <c r="T21" s="54" t="n">
        <f aca="false">IF(D21="","",ROUND(SQRT(((D21+G21)*O21/100)^2+(J21*(D21+G21)*0.09173)^2),0))</f>
        <v>90</v>
      </c>
      <c r="U21" s="32"/>
    </row>
    <row r="22" customFormat="false" ht="15" hidden="false" customHeight="false" outlineLevel="0" collapsed="false">
      <c r="A22" s="32" t="s">
        <v>127</v>
      </c>
      <c r="B22" s="32" t="s">
        <v>154</v>
      </c>
      <c r="C22" s="32" t="s">
        <v>129</v>
      </c>
      <c r="D22" s="54" t="n">
        <v>699</v>
      </c>
      <c r="E22" s="54" t="n">
        <v>802</v>
      </c>
      <c r="F22" s="65" t="n">
        <f aca="false">IF(E22="","",D22-E22)</f>
        <v>-103</v>
      </c>
      <c r="G22" s="54" t="n">
        <v>1945</v>
      </c>
      <c r="H22" s="54" t="n">
        <v>1955</v>
      </c>
      <c r="I22" s="65" t="n">
        <f aca="false">IF(H22="","",G22-H22)</f>
        <v>-10</v>
      </c>
      <c r="J22" s="55" t="n">
        <f aca="false">IF(OR(D22="",D22+G22=0),"",D22/(D22+G22))</f>
        <v>0.264372163388805</v>
      </c>
      <c r="K22" s="55" t="n">
        <f aca="false">IF(E22="","",E22/(E22+H22))</f>
        <v>0.290895901342038</v>
      </c>
      <c r="L22" s="66" t="n">
        <f aca="false">IF(OR(K22="",J22=""),"",(J22-K22)*100)</f>
        <v>-2.65237379532337</v>
      </c>
      <c r="M22" s="36" t="n">
        <v>2.19834869111819</v>
      </c>
      <c r="N22" s="36" t="n">
        <v>2.07708993274224</v>
      </c>
      <c r="O22" s="36" t="n">
        <f aca="false">SQRT(M22^2+N22^2)</f>
        <v>3.02440730663715</v>
      </c>
      <c r="P22" s="55" t="n">
        <f aca="false">IF(J22="","",MAX(0,J22-1.96*O22/100))</f>
        <v>0.205093780178717</v>
      </c>
      <c r="Q22" s="55" t="n">
        <f aca="false">IF(J22="","",MIN(1,J22+1.96*O22/100))</f>
        <v>0.323650546598893</v>
      </c>
      <c r="R22" s="32" t="str">
        <f aca="false">IF(L22="","",IF(ABS(L22)&lt;=O22,"Yes","No"))</f>
        <v>Yes</v>
      </c>
      <c r="S22" s="32" t="str">
        <f aca="false">IF(L22="","",IF(ABS(L22)&lt;=1.96*O22,"Yes","No"))</f>
        <v>Yes</v>
      </c>
      <c r="T22" s="54" t="n">
        <f aca="false">IF(D22="","",ROUND(SQRT(((D22+G22)*O22/100)^2+(J22*(D22+G22)*0.07048)^2),0))</f>
        <v>94</v>
      </c>
      <c r="U22" s="32"/>
    </row>
    <row r="23" customFormat="false" ht="15" hidden="false" customHeight="false" outlineLevel="0" collapsed="false">
      <c r="A23" s="32" t="s">
        <v>127</v>
      </c>
      <c r="B23" s="32" t="s">
        <v>155</v>
      </c>
      <c r="C23" s="32" t="s">
        <v>129</v>
      </c>
      <c r="D23" s="54" t="n">
        <v>319</v>
      </c>
      <c r="E23" s="54" t="n">
        <v>351</v>
      </c>
      <c r="F23" s="65" t="n">
        <f aca="false">IF(E23="","",D23-E23)</f>
        <v>-32</v>
      </c>
      <c r="G23" s="54" t="n">
        <v>870</v>
      </c>
      <c r="H23" s="54" t="n">
        <v>849</v>
      </c>
      <c r="I23" s="65" t="n">
        <f aca="false">IF(H23="","",G23-H23)</f>
        <v>21</v>
      </c>
      <c r="J23" s="55" t="n">
        <f aca="false">IF(OR(D23="",D23+G23=0),"",D23/(D23+G23))</f>
        <v>0.268292682926829</v>
      </c>
      <c r="K23" s="55" t="n">
        <f aca="false">IF(E23="","",E23/(E23+H23))</f>
        <v>0.2925</v>
      </c>
      <c r="L23" s="66" t="n">
        <f aca="false">IF(OR(K23="",J23=""),"",(J23-K23)*100)</f>
        <v>-2.42073170731707</v>
      </c>
      <c r="M23" s="36" t="n">
        <v>3.85690205199914</v>
      </c>
      <c r="N23" s="36" t="n">
        <v>2.07708993274224</v>
      </c>
      <c r="O23" s="36" t="n">
        <f aca="false">SQRT(M23^2+N23^2)</f>
        <v>4.38063876933653</v>
      </c>
      <c r="P23" s="55" t="n">
        <f aca="false">IF(J23="","",MAX(0,J23-1.96*O23/100))</f>
        <v>0.182432163047833</v>
      </c>
      <c r="Q23" s="55" t="n">
        <f aca="false">IF(J23="","",MIN(1,J23+1.96*O23/100))</f>
        <v>0.354153202805825</v>
      </c>
      <c r="R23" s="32" t="str">
        <f aca="false">IF(L23="","",IF(ABS(L23)&lt;=O23,"Yes","No"))</f>
        <v>Yes</v>
      </c>
      <c r="S23" s="32" t="str">
        <f aca="false">IF(L23="","",IF(ABS(L23)&lt;=1.96*O23,"Yes","No"))</f>
        <v>Yes</v>
      </c>
      <c r="T23" s="54" t="n">
        <f aca="false">IF(D23="","",ROUND(SQRT(((D23+G23)*O23/100)^2+(J23*(D23+G23)*0.09173)^2),0))</f>
        <v>60</v>
      </c>
      <c r="U23" s="32"/>
    </row>
    <row r="24" customFormat="false" ht="15" hidden="false" customHeight="false" outlineLevel="0" collapsed="false">
      <c r="A24" s="32" t="s">
        <v>127</v>
      </c>
      <c r="B24" s="32" t="s">
        <v>156</v>
      </c>
      <c r="C24" s="32" t="s">
        <v>129</v>
      </c>
      <c r="D24" s="54" t="n">
        <v>56</v>
      </c>
      <c r="E24" s="54" t="n">
        <v>58</v>
      </c>
      <c r="F24" s="65" t="n">
        <f aca="false">IF(E24="","",D24-E24)</f>
        <v>-2</v>
      </c>
      <c r="G24" s="54" t="n">
        <v>87</v>
      </c>
      <c r="H24" s="54" t="n">
        <v>105</v>
      </c>
      <c r="I24" s="65" t="n">
        <f aca="false">IF(H24="","",G24-H24)</f>
        <v>-18</v>
      </c>
      <c r="J24" s="55" t="n">
        <f aca="false">IF(OR(D24="",D24+G24=0),"",D24/(D24+G24))</f>
        <v>0.391608391608392</v>
      </c>
      <c r="K24" s="55" t="n">
        <f aca="false">IF(E24="","",E24/(E24+H24))</f>
        <v>0.355828220858896</v>
      </c>
      <c r="L24" s="66" t="n">
        <f aca="false">IF(OR(K24="",J24=""),"",(J24-K24)*100)</f>
        <v>3.57801707494959</v>
      </c>
      <c r="M24" s="36" t="n">
        <v>3.85690205199914</v>
      </c>
      <c r="N24" s="36" t="n">
        <v>2.07708993274224</v>
      </c>
      <c r="O24" s="36" t="n">
        <f aca="false">SQRT(M24^2+N24^2)</f>
        <v>4.38063876933653</v>
      </c>
      <c r="P24" s="55" t="n">
        <f aca="false">IF(J24="","",MAX(0,J24-1.96*O24/100))</f>
        <v>0.305747871729396</v>
      </c>
      <c r="Q24" s="55" t="n">
        <f aca="false">IF(J24="","",MIN(1,J24+1.96*O24/100))</f>
        <v>0.477468911487388</v>
      </c>
      <c r="R24" s="32" t="str">
        <f aca="false">IF(L24="","",IF(ABS(L24)&lt;=O24,"Yes","No"))</f>
        <v>Yes</v>
      </c>
      <c r="S24" s="32" t="str">
        <f aca="false">IF(L24="","",IF(ABS(L24)&lt;=1.96*O24,"Yes","No"))</f>
        <v>Yes</v>
      </c>
      <c r="T24" s="54" t="n">
        <f aca="false">IF(D24="","",ROUND(SQRT(((D24+G24)*O24/100)^2+(J24*(D24+G24)*0.09173)^2),0))</f>
        <v>8</v>
      </c>
      <c r="U24" s="32"/>
    </row>
    <row r="25" customFormat="false" ht="15" hidden="false" customHeight="false" outlineLevel="0" collapsed="false">
      <c r="A25" s="32" t="s">
        <v>157</v>
      </c>
      <c r="B25" s="32" t="s">
        <v>158</v>
      </c>
      <c r="C25" s="32" t="s">
        <v>129</v>
      </c>
      <c r="D25" s="54" t="n">
        <v>668</v>
      </c>
      <c r="E25" s="54" t="n">
        <v>601</v>
      </c>
      <c r="F25" s="65" t="n">
        <f aca="false">IF(E25="","",D25-E25)</f>
        <v>67</v>
      </c>
      <c r="G25" s="54" t="n">
        <v>746</v>
      </c>
      <c r="H25" s="54" t="n">
        <v>766</v>
      </c>
      <c r="I25" s="65" t="n">
        <f aca="false">IF(H25="","",G25-H25)</f>
        <v>-20</v>
      </c>
      <c r="J25" s="55" t="n">
        <f aca="false">IF(OR(D25="",D25+G25=0),"",D25/(D25+G25))</f>
        <v>0.472418670438472</v>
      </c>
      <c r="K25" s="55" t="n">
        <f aca="false">IF(E25="","",E25/(E25+H25))</f>
        <v>0.439648866130212</v>
      </c>
      <c r="L25" s="66" t="n">
        <f aca="false">IF(OR(K25="",J25=""),"",(J25-K25)*100)</f>
        <v>3.27698043082603</v>
      </c>
      <c r="M25" s="36" t="n">
        <v>3.85690205199914</v>
      </c>
      <c r="N25" s="36" t="n">
        <v>2.07708993274224</v>
      </c>
      <c r="O25" s="36" t="n">
        <f aca="false">SQRT(M25^2+N25^2)</f>
        <v>4.38063876933653</v>
      </c>
      <c r="P25" s="55" t="n">
        <f aca="false">IF(J25="","",MAX(0,J25-1.96*O25/100))</f>
        <v>0.386558150559476</v>
      </c>
      <c r="Q25" s="55" t="n">
        <f aca="false">IF(J25="","",MIN(1,J25+1.96*O25/100))</f>
        <v>0.558279190317468</v>
      </c>
      <c r="R25" s="32" t="str">
        <f aca="false">IF(L25="","",IF(ABS(L25)&lt;=O25,"Yes","No"))</f>
        <v>Yes</v>
      </c>
      <c r="S25" s="32" t="str">
        <f aca="false">IF(L25="","",IF(ABS(L25)&lt;=1.96*O25,"Yes","No"))</f>
        <v>Yes</v>
      </c>
      <c r="T25" s="54" t="n">
        <f aca="false">IF(D25="","",ROUND(SQRT(((D25+G25)*O25/100)^2+(J25*(D25+G25)*0.09173)^2),0))</f>
        <v>87</v>
      </c>
      <c r="U25" s="32"/>
    </row>
    <row r="26" customFormat="false" ht="15" hidden="false" customHeight="false" outlineLevel="0" collapsed="false">
      <c r="A26" s="32" t="s">
        <v>157</v>
      </c>
      <c r="B26" s="32" t="s">
        <v>159</v>
      </c>
      <c r="C26" s="32" t="s">
        <v>129</v>
      </c>
      <c r="D26" s="54" t="n">
        <v>27593</v>
      </c>
      <c r="E26" s="54" t="n">
        <v>26568</v>
      </c>
      <c r="F26" s="65" t="n">
        <f aca="false">IF(E26="","",D26-E26)</f>
        <v>1025</v>
      </c>
      <c r="G26" s="54" t="n">
        <v>14092</v>
      </c>
      <c r="H26" s="54" t="n">
        <v>14583</v>
      </c>
      <c r="I26" s="65" t="n">
        <f aca="false">IF(H26="","",G26-H26)</f>
        <v>-491</v>
      </c>
      <c r="J26" s="55" t="n">
        <f aca="false">IF(OR(D26="",D26+G26=0),"",D26/(D26+G26))</f>
        <v>0.661940746071729</v>
      </c>
      <c r="K26" s="55" t="n">
        <f aca="false">IF(E26="","",E26/(E26+H26))</f>
        <v>0.645622220602172</v>
      </c>
      <c r="L26" s="66" t="n">
        <f aca="false">IF(OR(K26="",J26=""),"",(J26-K26)*100)</f>
        <v>1.6318525469556</v>
      </c>
      <c r="M26" s="36" t="n">
        <v>2.07588844229782</v>
      </c>
      <c r="N26" s="36" t="n">
        <v>2.07708993274224</v>
      </c>
      <c r="O26" s="36" t="n">
        <f aca="false">SQRT(M26^2+N26^2)</f>
        <v>2.93659929400741</v>
      </c>
      <c r="P26" s="55" t="n">
        <f aca="false">IF(J26="","",MAX(0,J26-1.96*O26/100))</f>
        <v>0.604383399909183</v>
      </c>
      <c r="Q26" s="55" t="n">
        <f aca="false">IF(J26="","",MIN(1,J26+1.96*O26/100))</f>
        <v>0.719498092234274</v>
      </c>
      <c r="R26" s="32" t="str">
        <f aca="false">IF(L26="","",IF(ABS(L26)&lt;=O26,"Yes","No"))</f>
        <v>Yes</v>
      </c>
      <c r="S26" s="32" t="str">
        <f aca="false">IF(L26="","",IF(ABS(L26)&lt;=1.96*O26,"Yes","No"))</f>
        <v>Yes</v>
      </c>
      <c r="T26" s="54" t="n">
        <f aca="false">IF(D26="","",ROUND(SQRT(((D26+G26)*O26/100)^2+(J26*(D26+G26)*0.06406)^2),0))</f>
        <v>2150</v>
      </c>
      <c r="U26" s="32"/>
    </row>
    <row r="27" customFormat="false" ht="15" hidden="false" customHeight="false" outlineLevel="0" collapsed="false">
      <c r="A27" s="32" t="s">
        <v>157</v>
      </c>
      <c r="B27" s="32" t="s">
        <v>160</v>
      </c>
      <c r="C27" s="32" t="s">
        <v>129</v>
      </c>
      <c r="D27" s="54" t="n">
        <v>6714</v>
      </c>
      <c r="E27" s="54" t="n">
        <v>6612</v>
      </c>
      <c r="F27" s="65" t="n">
        <f aca="false">IF(E27="","",D27-E27)</f>
        <v>102</v>
      </c>
      <c r="G27" s="54" t="n">
        <v>3926</v>
      </c>
      <c r="H27" s="54" t="n">
        <v>3834</v>
      </c>
      <c r="I27" s="65" t="n">
        <f aca="false">IF(H27="","",G27-H27)</f>
        <v>92</v>
      </c>
      <c r="J27" s="55" t="n">
        <f aca="false">IF(OR(D27="",D27+G27=0),"",D27/(D27+G27))</f>
        <v>0.631015037593985</v>
      </c>
      <c r="K27" s="55" t="n">
        <f aca="false">IF(E27="","",E27/(E27+H27))</f>
        <v>0.632969557725445</v>
      </c>
      <c r="L27" s="66" t="n">
        <f aca="false">IF(OR(K27="",J27=""),"",(J27-K27)*100)</f>
        <v>-0.195452013146025</v>
      </c>
      <c r="M27" s="36" t="n">
        <v>2.07588844229782</v>
      </c>
      <c r="N27" s="36" t="n">
        <v>2.07708993274224</v>
      </c>
      <c r="O27" s="36" t="n">
        <f aca="false">SQRT(M27^2+N27^2)</f>
        <v>2.93659929400741</v>
      </c>
      <c r="P27" s="55" t="n">
        <f aca="false">IF(J27="","",MAX(0,J27-1.96*O27/100))</f>
        <v>0.57345769143144</v>
      </c>
      <c r="Q27" s="55" t="n">
        <f aca="false">IF(J27="","",MIN(1,J27+1.96*O27/100))</f>
        <v>0.68857238375653</v>
      </c>
      <c r="R27" s="32" t="str">
        <f aca="false">IF(L27="","",IF(ABS(L27)&lt;=O27,"Yes","No"))</f>
        <v>Yes</v>
      </c>
      <c r="S27" s="32" t="str">
        <f aca="false">IF(L27="","",IF(ABS(L27)&lt;=1.96*O27,"Yes","No"))</f>
        <v>Yes</v>
      </c>
      <c r="T27" s="54" t="n">
        <f aca="false">IF(D27="","",ROUND(SQRT(((D27+G27)*O27/100)^2+(J27*(D27+G27)*0.06406)^2),0))</f>
        <v>532</v>
      </c>
      <c r="U27" s="32"/>
    </row>
    <row r="28" customFormat="false" ht="15" hidden="false" customHeight="false" outlineLevel="0" collapsed="false">
      <c r="A28" s="32" t="s">
        <v>157</v>
      </c>
      <c r="B28" s="32" t="s">
        <v>161</v>
      </c>
      <c r="C28" s="32" t="s">
        <v>129</v>
      </c>
      <c r="D28" s="54" t="n">
        <v>1593</v>
      </c>
      <c r="E28" s="54" t="n">
        <v>1560</v>
      </c>
      <c r="F28" s="65" t="n">
        <f aca="false">IF(E28="","",D28-E28)</f>
        <v>33</v>
      </c>
      <c r="G28" s="54" t="n">
        <v>1493</v>
      </c>
      <c r="H28" s="54" t="n">
        <v>1491</v>
      </c>
      <c r="I28" s="65" t="n">
        <f aca="false">IF(H28="","",G28-H28)</f>
        <v>2</v>
      </c>
      <c r="J28" s="55" t="n">
        <f aca="false">IF(OR(D28="",D28+G28=0),"",D28/(D28+G28))</f>
        <v>0.516202203499676</v>
      </c>
      <c r="K28" s="55" t="n">
        <f aca="false">IF(E28="","",E28/(E28+H28))</f>
        <v>0.511307767944936</v>
      </c>
      <c r="L28" s="66" t="n">
        <f aca="false">IF(OR(K28="",J28=""),"",(J28-K28)*100)</f>
        <v>0.48944355547399</v>
      </c>
      <c r="M28" s="36" t="n">
        <v>2.19834869111819</v>
      </c>
      <c r="N28" s="36" t="n">
        <v>2.07708993274224</v>
      </c>
      <c r="O28" s="36" t="n">
        <f aca="false">SQRT(M28^2+N28^2)</f>
        <v>3.02440730663715</v>
      </c>
      <c r="P28" s="55" t="n">
        <f aca="false">IF(J28="","",MAX(0,J28-1.96*O28/100))</f>
        <v>0.456923820289588</v>
      </c>
      <c r="Q28" s="55" t="n">
        <f aca="false">IF(J28="","",MIN(1,J28+1.96*O28/100))</f>
        <v>0.575480586709764</v>
      </c>
      <c r="R28" s="32" t="str">
        <f aca="false">IF(L28="","",IF(ABS(L28)&lt;=O28,"Yes","No"))</f>
        <v>Yes</v>
      </c>
      <c r="S28" s="32" t="str">
        <f aca="false">IF(L28="","",IF(ABS(L28)&lt;=1.96*O28,"Yes","No"))</f>
        <v>Yes</v>
      </c>
      <c r="T28" s="54" t="n">
        <f aca="false">IF(D28="","",ROUND(SQRT(((D28+G28)*O28/100)^2+(J28*(D28+G28)*0.07048)^2),0))</f>
        <v>146</v>
      </c>
      <c r="U28" s="32"/>
    </row>
    <row r="29" customFormat="false" ht="15" hidden="false" customHeight="false" outlineLevel="0" collapsed="false">
      <c r="A29" s="32" t="s">
        <v>157</v>
      </c>
      <c r="B29" s="32" t="s">
        <v>162</v>
      </c>
      <c r="C29" s="32" t="s">
        <v>129</v>
      </c>
      <c r="D29" s="54" t="n">
        <v>743</v>
      </c>
      <c r="E29" s="54" t="n">
        <v>735</v>
      </c>
      <c r="F29" s="65" t="n">
        <f aca="false">IF(E29="","",D29-E29)</f>
        <v>8</v>
      </c>
      <c r="G29" s="54" t="n">
        <v>828</v>
      </c>
      <c r="H29" s="54" t="n">
        <v>804</v>
      </c>
      <c r="I29" s="65" t="n">
        <f aca="false">IF(H29="","",G29-H29)</f>
        <v>24</v>
      </c>
      <c r="J29" s="55" t="n">
        <f aca="false">IF(OR(D29="",D29+G29=0),"",D29/(D29+G29))</f>
        <v>0.472947167409293</v>
      </c>
      <c r="K29" s="55" t="n">
        <f aca="false">IF(E29="","",E29/(E29+H29))</f>
        <v>0.477582846003899</v>
      </c>
      <c r="L29" s="66" t="n">
        <f aca="false">IF(OR(K29="",J29=""),"",(J29-K29)*100)</f>
        <v>-0.463567859460518</v>
      </c>
      <c r="M29" s="36" t="n">
        <v>2.19834869111819</v>
      </c>
      <c r="N29" s="36" t="n">
        <v>2.07708993274224</v>
      </c>
      <c r="O29" s="36" t="n">
        <f aca="false">SQRT(M29^2+N29^2)</f>
        <v>3.02440730663715</v>
      </c>
      <c r="P29" s="55" t="n">
        <f aca="false">IF(J29="","",MAX(0,J29-1.96*O29/100))</f>
        <v>0.413668784199205</v>
      </c>
      <c r="Q29" s="55" t="n">
        <f aca="false">IF(J29="","",MIN(1,J29+1.96*O29/100))</f>
        <v>0.532225550619382</v>
      </c>
      <c r="R29" s="32" t="str">
        <f aca="false">IF(L29="","",IF(ABS(L29)&lt;=O29,"Yes","No"))</f>
        <v>Yes</v>
      </c>
      <c r="S29" s="32" t="str">
        <f aca="false">IF(L29="","",IF(ABS(L29)&lt;=1.96*O29,"Yes","No"))</f>
        <v>Yes</v>
      </c>
      <c r="T29" s="54" t="n">
        <f aca="false">IF(D29="","",ROUND(SQRT(((D29+G29)*O29/100)^2+(J29*(D29+G29)*0.07048)^2),0))</f>
        <v>71</v>
      </c>
      <c r="U29" s="32"/>
    </row>
    <row r="30" customFormat="false" ht="15" hidden="false" customHeight="false" outlineLevel="0" collapsed="false">
      <c r="A30" s="32" t="s">
        <v>157</v>
      </c>
      <c r="B30" s="32" t="s">
        <v>163</v>
      </c>
      <c r="C30" s="32" t="s">
        <v>129</v>
      </c>
      <c r="D30" s="54" t="n">
        <v>943</v>
      </c>
      <c r="E30" s="54" t="n">
        <v>899</v>
      </c>
      <c r="F30" s="65" t="n">
        <f aca="false">IF(E30="","",D30-E30)</f>
        <v>44</v>
      </c>
      <c r="G30" s="54" t="n">
        <v>894</v>
      </c>
      <c r="H30" s="54" t="n">
        <v>898</v>
      </c>
      <c r="I30" s="65" t="n">
        <f aca="false">IF(H30="","",G30-H30)</f>
        <v>-4</v>
      </c>
      <c r="J30" s="55" t="n">
        <f aca="false">IF(OR(D30="",D30+G30=0),"",D30/(D30+G30))</f>
        <v>0.513336962438759</v>
      </c>
      <c r="K30" s="55" t="n">
        <f aca="false">IF(E30="","",E30/(E30+H30))</f>
        <v>0.500278241513634</v>
      </c>
      <c r="L30" s="66" t="n">
        <f aca="false">IF(OR(K30="",J30=""),"",(J30-K30)*100)</f>
        <v>1.30587209251249</v>
      </c>
      <c r="M30" s="36" t="n">
        <v>2.19834869111819</v>
      </c>
      <c r="N30" s="36" t="n">
        <v>2.07708993274224</v>
      </c>
      <c r="O30" s="36" t="n">
        <f aca="false">SQRT(M30^2+N30^2)</f>
        <v>3.02440730663715</v>
      </c>
      <c r="P30" s="55" t="n">
        <f aca="false">IF(J30="","",MAX(0,J30-1.96*O30/100))</f>
        <v>0.454058579228671</v>
      </c>
      <c r="Q30" s="55" t="n">
        <f aca="false">IF(J30="","",MIN(1,J30+1.96*O30/100))</f>
        <v>0.572615345648847</v>
      </c>
      <c r="R30" s="32" t="str">
        <f aca="false">IF(L30="","",IF(ABS(L30)&lt;=O30,"Yes","No"))</f>
        <v>Yes</v>
      </c>
      <c r="S30" s="32" t="str">
        <f aca="false">IF(L30="","",IF(ABS(L30)&lt;=1.96*O30,"Yes","No"))</f>
        <v>Yes</v>
      </c>
      <c r="T30" s="54" t="n">
        <f aca="false">IF(D30="","",ROUND(SQRT(((D30+G30)*O30/100)^2+(J30*(D30+G30)*0.07048)^2),0))</f>
        <v>87</v>
      </c>
      <c r="U30" s="32"/>
    </row>
    <row r="31" customFormat="false" ht="15" hidden="false" customHeight="false" outlineLevel="0" collapsed="false">
      <c r="A31" s="32" t="s">
        <v>157</v>
      </c>
      <c r="B31" s="32" t="s">
        <v>164</v>
      </c>
      <c r="C31" s="32" t="s">
        <v>129</v>
      </c>
      <c r="D31" s="54" t="n">
        <v>3598</v>
      </c>
      <c r="E31" s="54" t="n">
        <v>3663</v>
      </c>
      <c r="F31" s="65" t="n">
        <f aca="false">IF(E31="","",D31-E31)</f>
        <v>-65</v>
      </c>
      <c r="G31" s="54" t="n">
        <v>3260</v>
      </c>
      <c r="H31" s="54" t="n">
        <v>3236</v>
      </c>
      <c r="I31" s="65" t="n">
        <f aca="false">IF(H31="","",G31-H31)</f>
        <v>24</v>
      </c>
      <c r="J31" s="55" t="n">
        <f aca="false">IF(OR(D31="",D31+G31=0),"",D31/(D31+G31))</f>
        <v>0.52464275298921</v>
      </c>
      <c r="K31" s="55" t="n">
        <f aca="false">IF(E31="","",E31/(E31+H31))</f>
        <v>0.530946513987535</v>
      </c>
      <c r="L31" s="66" t="n">
        <f aca="false">IF(OR(K31="",J31=""),"",(J31-K31)*100)</f>
        <v>-0.630376099832475</v>
      </c>
      <c r="M31" s="36" t="n">
        <v>2.07588844229782</v>
      </c>
      <c r="N31" s="36" t="n">
        <v>2.07708993274224</v>
      </c>
      <c r="O31" s="36" t="n">
        <f aca="false">SQRT(M31^2+N31^2)</f>
        <v>2.93659929400741</v>
      </c>
      <c r="P31" s="55" t="n">
        <f aca="false">IF(J31="","",MAX(0,J31-1.96*O31/100))</f>
        <v>0.467085406826665</v>
      </c>
      <c r="Q31" s="55" t="n">
        <f aca="false">IF(J31="","",MIN(1,J31+1.96*O31/100))</f>
        <v>0.582200099151755</v>
      </c>
      <c r="R31" s="32" t="str">
        <f aca="false">IF(L31="","",IF(ABS(L31)&lt;=O31,"Yes","No"))</f>
        <v>Yes</v>
      </c>
      <c r="S31" s="32" t="str">
        <f aca="false">IF(L31="","",IF(ABS(L31)&lt;=1.96*O31,"Yes","No"))</f>
        <v>Yes</v>
      </c>
      <c r="T31" s="54" t="n">
        <f aca="false">IF(D31="","",ROUND(SQRT(((D31+G31)*O31/100)^2+(J31*(D31+G31)*0.06406)^2),0))</f>
        <v>306</v>
      </c>
      <c r="U31" s="32"/>
    </row>
    <row r="32" customFormat="false" ht="15" hidden="false" customHeight="false" outlineLevel="0" collapsed="false">
      <c r="A32" s="32" t="s">
        <v>157</v>
      </c>
      <c r="B32" s="32" t="s">
        <v>165</v>
      </c>
      <c r="C32" s="32" t="s">
        <v>129</v>
      </c>
      <c r="D32" s="54" t="n">
        <v>1544</v>
      </c>
      <c r="E32" s="54" t="n">
        <v>1433</v>
      </c>
      <c r="F32" s="65" t="n">
        <f aca="false">IF(E32="","",D32-E32)</f>
        <v>111</v>
      </c>
      <c r="G32" s="54" t="n">
        <v>797</v>
      </c>
      <c r="H32" s="54" t="n">
        <v>793</v>
      </c>
      <c r="I32" s="65" t="n">
        <f aca="false">IF(H32="","",G32-H32)</f>
        <v>4</v>
      </c>
      <c r="J32" s="55" t="n">
        <f aca="false">IF(OR(D32="",D32+G32=0),"",D32/(D32+G32))</f>
        <v>0.659547202050406</v>
      </c>
      <c r="K32" s="55" t="n">
        <f aca="false">IF(E32="","",E32/(E32+H32))</f>
        <v>0.643755615453729</v>
      </c>
      <c r="L32" s="66" t="n">
        <f aca="false">IF(OR(K32="",J32=""),"",(J32-K32)*100)</f>
        <v>1.57915865966772</v>
      </c>
      <c r="M32" s="36" t="n">
        <v>2.19834869111819</v>
      </c>
      <c r="N32" s="36" t="n">
        <v>2.07708993274224</v>
      </c>
      <c r="O32" s="36" t="n">
        <f aca="false">SQRT(M32^2+N32^2)</f>
        <v>3.02440730663715</v>
      </c>
      <c r="P32" s="55" t="n">
        <f aca="false">IF(J32="","",MAX(0,J32-1.96*O32/100))</f>
        <v>0.600268818840318</v>
      </c>
      <c r="Q32" s="55" t="n">
        <f aca="false">IF(J32="","",MIN(1,J32+1.96*O32/100))</f>
        <v>0.718825585260494</v>
      </c>
      <c r="R32" s="32" t="str">
        <f aca="false">IF(L32="","",IF(ABS(L32)&lt;=O32,"Yes","No"))</f>
        <v>Yes</v>
      </c>
      <c r="S32" s="32" t="str">
        <f aca="false">IF(L32="","",IF(ABS(L32)&lt;=1.96*O32,"Yes","No"))</f>
        <v>Yes</v>
      </c>
      <c r="T32" s="54" t="n">
        <f aca="false">IF(D32="","",ROUND(SQRT(((D32+G32)*O32/100)^2+(J32*(D32+G32)*0.07048)^2),0))</f>
        <v>130</v>
      </c>
      <c r="U32" s="32"/>
    </row>
    <row r="33" customFormat="false" ht="15" hidden="false" customHeight="false" outlineLevel="0" collapsed="false">
      <c r="A33" s="32" t="s">
        <v>157</v>
      </c>
      <c r="B33" s="32" t="s">
        <v>166</v>
      </c>
      <c r="C33" s="32" t="s">
        <v>129</v>
      </c>
      <c r="D33" s="54" t="n">
        <v>395</v>
      </c>
      <c r="E33" s="54" t="n">
        <v>379</v>
      </c>
      <c r="F33" s="65" t="n">
        <f aca="false">IF(E33="","",D33-E33)</f>
        <v>16</v>
      </c>
      <c r="G33" s="54" t="n">
        <v>344</v>
      </c>
      <c r="H33" s="54" t="n">
        <v>330</v>
      </c>
      <c r="I33" s="65" t="n">
        <f aca="false">IF(H33="","",G33-H33)</f>
        <v>14</v>
      </c>
      <c r="J33" s="55" t="n">
        <f aca="false">IF(OR(D33="",D33+G33=0),"",D33/(D33+G33))</f>
        <v>0.534506089309878</v>
      </c>
      <c r="K33" s="55" t="n">
        <f aca="false">IF(E33="","",E33/(E33+H33))</f>
        <v>0.534555712270804</v>
      </c>
      <c r="L33" s="66" t="n">
        <f aca="false">IF(OR(K33="",J33=""),"",(J33-K33)*100)</f>
        <v>-0.00496229609256993</v>
      </c>
      <c r="M33" s="36" t="n">
        <v>3.85690205199914</v>
      </c>
      <c r="N33" s="36" t="n">
        <v>2.07708993274224</v>
      </c>
      <c r="O33" s="36" t="n">
        <f aca="false">SQRT(M33^2+N33^2)</f>
        <v>4.38063876933653</v>
      </c>
      <c r="P33" s="55" t="n">
        <f aca="false">IF(J33="","",MAX(0,J33-1.96*O33/100))</f>
        <v>0.448645569430882</v>
      </c>
      <c r="Q33" s="55" t="n">
        <f aca="false">IF(J33="","",MIN(1,J33+1.96*O33/100))</f>
        <v>0.620366609188874</v>
      </c>
      <c r="R33" s="32" t="str">
        <f aca="false">IF(L33="","",IF(ABS(L33)&lt;=O33,"Yes","No"))</f>
        <v>Yes</v>
      </c>
      <c r="S33" s="32" t="str">
        <f aca="false">IF(L33="","",IF(ABS(L33)&lt;=1.96*O33,"Yes","No"))</f>
        <v>Yes</v>
      </c>
      <c r="T33" s="54" t="n">
        <f aca="false">IF(D33="","",ROUND(SQRT(((D33+G33)*O33/100)^2+(J33*(D33+G33)*0.09173)^2),0))</f>
        <v>49</v>
      </c>
      <c r="U33" s="32"/>
    </row>
    <row r="34" customFormat="false" ht="15" hidden="false" customHeight="false" outlineLevel="0" collapsed="false">
      <c r="A34" s="32" t="s">
        <v>157</v>
      </c>
      <c r="B34" s="32" t="s">
        <v>167</v>
      </c>
      <c r="C34" s="32" t="s">
        <v>129</v>
      </c>
      <c r="D34" s="54" t="n">
        <v>619</v>
      </c>
      <c r="E34" s="54" t="n">
        <v>654</v>
      </c>
      <c r="F34" s="65" t="n">
        <f aca="false">IF(E34="","",D34-E34)</f>
        <v>-35</v>
      </c>
      <c r="G34" s="54" t="n">
        <v>1435</v>
      </c>
      <c r="H34" s="54" t="n">
        <v>1439</v>
      </c>
      <c r="I34" s="65" t="n">
        <f aca="false">IF(H34="","",G34-H34)</f>
        <v>-4</v>
      </c>
      <c r="J34" s="55" t="n">
        <f aca="false">IF(OR(D34="",D34+G34=0),"",D34/(D34+G34))</f>
        <v>0.301363193768257</v>
      </c>
      <c r="K34" s="55" t="n">
        <f aca="false">IF(E34="","",E34/(E34+H34))</f>
        <v>0.312470138557095</v>
      </c>
      <c r="L34" s="66" t="n">
        <f aca="false">IF(OR(K34="",J34=""),"",(J34-K34)*100)</f>
        <v>-1.11069447888381</v>
      </c>
      <c r="M34" s="36" t="n">
        <v>2.19834869111819</v>
      </c>
      <c r="N34" s="36" t="n">
        <v>2.07708993274224</v>
      </c>
      <c r="O34" s="36" t="n">
        <f aca="false">SQRT(M34^2+N34^2)</f>
        <v>3.02440730663715</v>
      </c>
      <c r="P34" s="55" t="n">
        <f aca="false">IF(J34="","",MAX(0,J34-1.96*O34/100))</f>
        <v>0.242084810558169</v>
      </c>
      <c r="Q34" s="55" t="n">
        <f aca="false">IF(J34="","",MIN(1,J34+1.96*O34/100))</f>
        <v>0.360641576978345</v>
      </c>
      <c r="R34" s="32" t="str">
        <f aca="false">IF(L34="","",IF(ABS(L34)&lt;=O34,"Yes","No"))</f>
        <v>Yes</v>
      </c>
      <c r="S34" s="32" t="str">
        <f aca="false">IF(L34="","",IF(ABS(L34)&lt;=1.96*O34,"Yes","No"))</f>
        <v>Yes</v>
      </c>
      <c r="T34" s="54" t="n">
        <f aca="false">IF(D34="","",ROUND(SQRT(((D34+G34)*O34/100)^2+(J34*(D34+G34)*0.07048)^2),0))</f>
        <v>76</v>
      </c>
      <c r="U34" s="32"/>
    </row>
    <row r="35" customFormat="false" ht="15" hidden="false" customHeight="false" outlineLevel="0" collapsed="false">
      <c r="A35" s="32" t="s">
        <v>157</v>
      </c>
      <c r="B35" s="32" t="s">
        <v>168</v>
      </c>
      <c r="C35" s="32" t="s">
        <v>129</v>
      </c>
      <c r="D35" s="54" t="n">
        <v>10175</v>
      </c>
      <c r="E35" s="54" t="n">
        <v>10021</v>
      </c>
      <c r="F35" s="65" t="n">
        <f aca="false">IF(E35="","",D35-E35)</f>
        <v>154</v>
      </c>
      <c r="G35" s="54" t="n">
        <v>10261</v>
      </c>
      <c r="H35" s="54" t="n">
        <v>10199</v>
      </c>
      <c r="I35" s="65" t="n">
        <f aca="false">IF(H35="","",G35-H35)</f>
        <v>62</v>
      </c>
      <c r="J35" s="55" t="n">
        <f aca="false">IF(OR(D35="",D35+G35=0),"",D35/(D35+G35))</f>
        <v>0.497895870033275</v>
      </c>
      <c r="K35" s="55" t="n">
        <f aca="false">IF(E35="","",E35/(E35+H35))</f>
        <v>0.495598417408506</v>
      </c>
      <c r="L35" s="66" t="n">
        <f aca="false">IF(OR(K35="",J35=""),"",(J35-K35)*100)</f>
        <v>0.229745262476821</v>
      </c>
      <c r="M35" s="36" t="n">
        <v>2.07588844229782</v>
      </c>
      <c r="N35" s="36" t="n">
        <v>2.07708993274224</v>
      </c>
      <c r="O35" s="36" t="n">
        <f aca="false">SQRT(M35^2+N35^2)</f>
        <v>2.93659929400741</v>
      </c>
      <c r="P35" s="55" t="n">
        <f aca="false">IF(J35="","",MAX(0,J35-1.96*O35/100))</f>
        <v>0.440338523870729</v>
      </c>
      <c r="Q35" s="55" t="n">
        <f aca="false">IF(J35="","",MIN(1,J35+1.96*O35/100))</f>
        <v>0.55545321619582</v>
      </c>
      <c r="R35" s="32" t="str">
        <f aca="false">IF(L35="","",IF(ABS(L35)&lt;=O35,"Yes","No"))</f>
        <v>Yes</v>
      </c>
      <c r="S35" s="32" t="str">
        <f aca="false">IF(L35="","",IF(ABS(L35)&lt;=1.96*O35,"Yes","No"))</f>
        <v>Yes</v>
      </c>
      <c r="T35" s="54" t="n">
        <f aca="false">IF(D35="","",ROUND(SQRT(((D35+G35)*O35/100)^2+(J35*(D35+G35)*0.06406)^2),0))</f>
        <v>886</v>
      </c>
      <c r="U35" s="32"/>
    </row>
    <row r="36" customFormat="false" ht="15" hidden="false" customHeight="false" outlineLevel="0" collapsed="false">
      <c r="A36" s="32" t="s">
        <v>157</v>
      </c>
      <c r="B36" s="32" t="s">
        <v>169</v>
      </c>
      <c r="C36" s="32" t="s">
        <v>129</v>
      </c>
      <c r="D36" s="54" t="n">
        <v>919</v>
      </c>
      <c r="E36" s="54" t="n">
        <v>985</v>
      </c>
      <c r="F36" s="65" t="n">
        <f aca="false">IF(E36="","",D36-E36)</f>
        <v>-66</v>
      </c>
      <c r="G36" s="54" t="n">
        <v>1682</v>
      </c>
      <c r="H36" s="54" t="n">
        <v>1586</v>
      </c>
      <c r="I36" s="65" t="n">
        <f aca="false">IF(H36="","",G36-H36)</f>
        <v>96</v>
      </c>
      <c r="J36" s="55" t="n">
        <f aca="false">IF(OR(D36="",D36+G36=0),"",D36/(D36+G36))</f>
        <v>0.353325643983083</v>
      </c>
      <c r="K36" s="55" t="n">
        <f aca="false">IF(E36="","",E36/(E36+H36))</f>
        <v>0.383119408790354</v>
      </c>
      <c r="L36" s="66" t="n">
        <f aca="false">IF(OR(K36="",J36=""),"",(J36-K36)*100)</f>
        <v>-2.97937648072705</v>
      </c>
      <c r="M36" s="36" t="n">
        <v>2.19834869111819</v>
      </c>
      <c r="N36" s="36" t="n">
        <v>2.07708993274224</v>
      </c>
      <c r="O36" s="36" t="n">
        <f aca="false">SQRT(M36^2+N36^2)</f>
        <v>3.02440730663715</v>
      </c>
      <c r="P36" s="55" t="n">
        <f aca="false">IF(J36="","",MAX(0,J36-1.96*O36/100))</f>
        <v>0.294047260772995</v>
      </c>
      <c r="Q36" s="55" t="n">
        <f aca="false">IF(J36="","",MIN(1,J36+1.96*O36/100))</f>
        <v>0.412604027193172</v>
      </c>
      <c r="R36" s="32" t="str">
        <f aca="false">IF(L36="","",IF(ABS(L36)&lt;=O36,"Yes","No"))</f>
        <v>Yes</v>
      </c>
      <c r="S36" s="32" t="str">
        <f aca="false">IF(L36="","",IF(ABS(L36)&lt;=1.96*O36,"Yes","No"))</f>
        <v>Yes</v>
      </c>
      <c r="T36" s="54" t="n">
        <f aca="false">IF(D36="","",ROUND(SQRT(((D36+G36)*O36/100)^2+(J36*(D36+G36)*0.07048)^2),0))</f>
        <v>102</v>
      </c>
      <c r="U36" s="32"/>
    </row>
    <row r="37" customFormat="false" ht="15" hidden="false" customHeight="false" outlineLevel="0" collapsed="false">
      <c r="A37" s="32" t="s">
        <v>157</v>
      </c>
      <c r="B37" s="32" t="s">
        <v>170</v>
      </c>
      <c r="C37" s="32" t="s">
        <v>129</v>
      </c>
      <c r="D37" s="54" t="n">
        <v>530</v>
      </c>
      <c r="E37" s="54" t="n">
        <v>543</v>
      </c>
      <c r="F37" s="65" t="n">
        <f aca="false">IF(E37="","",D37-E37)</f>
        <v>-13</v>
      </c>
      <c r="G37" s="54" t="n">
        <v>1033</v>
      </c>
      <c r="H37" s="54" t="n">
        <v>990</v>
      </c>
      <c r="I37" s="65" t="n">
        <f aca="false">IF(H37="","",G37-H37)</f>
        <v>43</v>
      </c>
      <c r="J37" s="55" t="n">
        <f aca="false">IF(OR(D37="",D37+G37=0),"",D37/(D37+G37))</f>
        <v>0.339091490722969</v>
      </c>
      <c r="K37" s="55" t="n">
        <f aca="false">IF(E37="","",E37/(E37+H37))</f>
        <v>0.354207436399217</v>
      </c>
      <c r="L37" s="66" t="n">
        <f aca="false">IF(OR(K37="",J37=""),"",(J37-K37)*100)</f>
        <v>-1.51159456762486</v>
      </c>
      <c r="M37" s="36" t="n">
        <v>2.19834869111819</v>
      </c>
      <c r="N37" s="36" t="n">
        <v>2.07708993274224</v>
      </c>
      <c r="O37" s="36" t="n">
        <f aca="false">SQRT(M37^2+N37^2)</f>
        <v>3.02440730663715</v>
      </c>
      <c r="P37" s="55" t="n">
        <f aca="false">IF(J37="","",MAX(0,J37-1.96*O37/100))</f>
        <v>0.27981310751288</v>
      </c>
      <c r="Q37" s="55" t="n">
        <f aca="false">IF(J37="","",MIN(1,J37+1.96*O37/100))</f>
        <v>0.398369873933057</v>
      </c>
      <c r="R37" s="32" t="str">
        <f aca="false">IF(L37="","",IF(ABS(L37)&lt;=O37,"Yes","No"))</f>
        <v>Yes</v>
      </c>
      <c r="S37" s="32" t="str">
        <f aca="false">IF(L37="","",IF(ABS(L37)&lt;=1.96*O37,"Yes","No"))</f>
        <v>Yes</v>
      </c>
      <c r="T37" s="54" t="n">
        <f aca="false">IF(D37="","",ROUND(SQRT(((D37+G37)*O37/100)^2+(J37*(D37+G37)*0.07048)^2),0))</f>
        <v>60</v>
      </c>
      <c r="U37" s="32"/>
    </row>
    <row r="38" customFormat="false" ht="15" hidden="false" customHeight="false" outlineLevel="0" collapsed="false">
      <c r="A38" s="32" t="s">
        <v>157</v>
      </c>
      <c r="B38" s="32" t="s">
        <v>171</v>
      </c>
      <c r="C38" s="32" t="s">
        <v>129</v>
      </c>
      <c r="D38" s="54" t="n">
        <v>824</v>
      </c>
      <c r="E38" s="54" t="n">
        <v>850</v>
      </c>
      <c r="F38" s="65" t="n">
        <f aca="false">IF(E38="","",D38-E38)</f>
        <v>-26</v>
      </c>
      <c r="G38" s="54" t="n">
        <v>1875</v>
      </c>
      <c r="H38" s="54" t="n">
        <v>1856</v>
      </c>
      <c r="I38" s="65" t="n">
        <f aca="false">IF(H38="","",G38-H38)</f>
        <v>19</v>
      </c>
      <c r="J38" s="55" t="n">
        <f aca="false">IF(OR(D38="",D38+G38=0),"",D38/(D38+G38))</f>
        <v>0.305298258614302</v>
      </c>
      <c r="K38" s="55" t="n">
        <f aca="false">IF(E38="","",E38/(E38+H38))</f>
        <v>0.314116777531412</v>
      </c>
      <c r="L38" s="66" t="n">
        <f aca="false">IF(OR(K38="",J38=""),"",(J38-K38)*100)</f>
        <v>-0.881851891711005</v>
      </c>
      <c r="M38" s="36" t="n">
        <v>2.19834869111819</v>
      </c>
      <c r="N38" s="36" t="n">
        <v>2.07708993274224</v>
      </c>
      <c r="O38" s="36" t="n">
        <f aca="false">SQRT(M38^2+N38^2)</f>
        <v>3.02440730663715</v>
      </c>
      <c r="P38" s="55" t="n">
        <f aca="false">IF(J38="","",MAX(0,J38-1.96*O38/100))</f>
        <v>0.246019875404213</v>
      </c>
      <c r="Q38" s="55" t="n">
        <f aca="false">IF(J38="","",MIN(1,J38+1.96*O38/100))</f>
        <v>0.36457664182439</v>
      </c>
      <c r="R38" s="32" t="str">
        <f aca="false">IF(L38="","",IF(ABS(L38)&lt;=O38,"Yes","No"))</f>
        <v>Yes</v>
      </c>
      <c r="S38" s="32" t="str">
        <f aca="false">IF(L38="","",IF(ABS(L38)&lt;=1.96*O38,"Yes","No"))</f>
        <v>Yes</v>
      </c>
      <c r="T38" s="54" t="n">
        <f aca="false">IF(D38="","",ROUND(SQRT(((D38+G38)*O38/100)^2+(J38*(D38+G38)*0.07048)^2),0))</f>
        <v>100</v>
      </c>
      <c r="U38" s="32"/>
    </row>
    <row r="39" customFormat="false" ht="15" hidden="false" customHeight="false" outlineLevel="0" collapsed="false">
      <c r="A39" s="32" t="s">
        <v>157</v>
      </c>
      <c r="B39" s="32" t="s">
        <v>172</v>
      </c>
      <c r="C39" s="32" t="s">
        <v>129</v>
      </c>
      <c r="D39" s="54" t="n">
        <v>980</v>
      </c>
      <c r="E39" s="54" t="n">
        <v>980</v>
      </c>
      <c r="F39" s="65" t="n">
        <f aca="false">IF(E39="","",D39-E39)</f>
        <v>0</v>
      </c>
      <c r="G39" s="54" t="n">
        <v>913</v>
      </c>
      <c r="H39" s="54" t="n">
        <v>872</v>
      </c>
      <c r="I39" s="65" t="n">
        <f aca="false">IF(H39="","",G39-H39)</f>
        <v>41</v>
      </c>
      <c r="J39" s="55" t="n">
        <f aca="false">IF(OR(D39="",D39+G39=0),"",D39/(D39+G39))</f>
        <v>0.51769677760169</v>
      </c>
      <c r="K39" s="55" t="n">
        <f aca="false">IF(E39="","",E39/(E39+H39))</f>
        <v>0.529157667386609</v>
      </c>
      <c r="L39" s="66" t="n">
        <f aca="false">IF(OR(K39="",J39=""),"",(J39-K39)*100)</f>
        <v>-1.14608897849187</v>
      </c>
      <c r="M39" s="36" t="n">
        <v>2.19834869111819</v>
      </c>
      <c r="N39" s="36" t="n">
        <v>2.07708993274224</v>
      </c>
      <c r="O39" s="36" t="n">
        <f aca="false">SQRT(M39^2+N39^2)</f>
        <v>3.02440730663715</v>
      </c>
      <c r="P39" s="55" t="n">
        <f aca="false">IF(J39="","",MAX(0,J39-1.96*O39/100))</f>
        <v>0.458418394391602</v>
      </c>
      <c r="Q39" s="55" t="n">
        <f aca="false">IF(J39="","",MIN(1,J39+1.96*O39/100))</f>
        <v>0.576975160811779</v>
      </c>
      <c r="R39" s="32" t="str">
        <f aca="false">IF(L39="","",IF(ABS(L39)&lt;=O39,"Yes","No"))</f>
        <v>Yes</v>
      </c>
      <c r="S39" s="32" t="str">
        <f aca="false">IF(L39="","",IF(ABS(L39)&lt;=1.96*O39,"Yes","No"))</f>
        <v>Yes</v>
      </c>
      <c r="T39" s="54" t="n">
        <f aca="false">IF(D39="","",ROUND(SQRT(((D39+G39)*O39/100)^2+(J39*(D39+G39)*0.07048)^2),0))</f>
        <v>90</v>
      </c>
      <c r="U39" s="32"/>
    </row>
    <row r="40" customFormat="false" ht="15" hidden="false" customHeight="false" outlineLevel="0" collapsed="false">
      <c r="A40" s="32" t="s">
        <v>157</v>
      </c>
      <c r="B40" s="32" t="s">
        <v>173</v>
      </c>
      <c r="C40" s="32" t="s">
        <v>129</v>
      </c>
      <c r="D40" s="54" t="n">
        <v>3987</v>
      </c>
      <c r="E40" s="54" t="n">
        <v>4022</v>
      </c>
      <c r="F40" s="65" t="n">
        <f aca="false">IF(E40="","",D40-E40)</f>
        <v>-35</v>
      </c>
      <c r="G40" s="54" t="n">
        <v>6050</v>
      </c>
      <c r="H40" s="54" t="n">
        <v>5915</v>
      </c>
      <c r="I40" s="65" t="n">
        <f aca="false">IF(H40="","",G40-H40)</f>
        <v>135</v>
      </c>
      <c r="J40" s="55" t="n">
        <f aca="false">IF(OR(D40="",D40+G40=0),"",D40/(D40+G40))</f>
        <v>0.397230248082096</v>
      </c>
      <c r="K40" s="55" t="n">
        <f aca="false">IF(E40="","",E40/(E40+H40))</f>
        <v>0.404749924524504</v>
      </c>
      <c r="L40" s="66" t="n">
        <f aca="false">IF(OR(K40="",J40=""),"",(J40-K40)*100)</f>
        <v>-0.751967644240814</v>
      </c>
      <c r="M40" s="36" t="n">
        <v>2.07588844229782</v>
      </c>
      <c r="N40" s="36" t="n">
        <v>2.07708993274224</v>
      </c>
      <c r="O40" s="36" t="n">
        <f aca="false">SQRT(M40^2+N40^2)</f>
        <v>2.93659929400741</v>
      </c>
      <c r="P40" s="55" t="n">
        <f aca="false">IF(J40="","",MAX(0,J40-1.96*O40/100))</f>
        <v>0.339672901919551</v>
      </c>
      <c r="Q40" s="55" t="n">
        <f aca="false">IF(J40="","",MIN(1,J40+1.96*O40/100))</f>
        <v>0.454787594244641</v>
      </c>
      <c r="R40" s="32" t="str">
        <f aca="false">IF(L40="","",IF(ABS(L40)&lt;=O40,"Yes","No"))</f>
        <v>Yes</v>
      </c>
      <c r="S40" s="32" t="str">
        <f aca="false">IF(L40="","",IF(ABS(L40)&lt;=1.96*O40,"Yes","No"))</f>
        <v>Yes</v>
      </c>
      <c r="T40" s="54" t="n">
        <f aca="false">IF(D40="","",ROUND(SQRT(((D40+G40)*O40/100)^2+(J40*(D40+G40)*0.06406)^2),0))</f>
        <v>390</v>
      </c>
      <c r="U40" s="32"/>
    </row>
    <row r="41" customFormat="false" ht="15" hidden="false" customHeight="false" outlineLevel="0" collapsed="false">
      <c r="A41" s="32" t="s">
        <v>157</v>
      </c>
      <c r="B41" s="32" t="s">
        <v>174</v>
      </c>
      <c r="C41" s="32" t="s">
        <v>129</v>
      </c>
      <c r="D41" s="54" t="n">
        <v>3985</v>
      </c>
      <c r="E41" s="54" t="n">
        <v>4010</v>
      </c>
      <c r="F41" s="65" t="n">
        <f aca="false">IF(E41="","",D41-E41)</f>
        <v>-25</v>
      </c>
      <c r="G41" s="54" t="n">
        <v>4181</v>
      </c>
      <c r="H41" s="54" t="n">
        <v>4104</v>
      </c>
      <c r="I41" s="65" t="n">
        <f aca="false">IF(H41="","",G41-H41)</f>
        <v>77</v>
      </c>
      <c r="J41" s="55" t="n">
        <f aca="false">IF(OR(D41="",D41+G41=0),"",D41/(D41+G41))</f>
        <v>0.48799902032819</v>
      </c>
      <c r="K41" s="55" t="n">
        <f aca="false">IF(E41="","",E41/(E41+H41))</f>
        <v>0.494207542519103</v>
      </c>
      <c r="L41" s="66" t="n">
        <f aca="false">IF(OR(K41="",J41=""),"",(J41-K41)*100)</f>
        <v>-0.620852219091272</v>
      </c>
      <c r="M41" s="36" t="n">
        <v>2.07588844229782</v>
      </c>
      <c r="N41" s="36" t="n">
        <v>2.07708993274224</v>
      </c>
      <c r="O41" s="36" t="n">
        <f aca="false">SQRT(M41^2+N41^2)</f>
        <v>2.93659929400741</v>
      </c>
      <c r="P41" s="55" t="n">
        <f aca="false">IF(J41="","",MAX(0,J41-1.96*O41/100))</f>
        <v>0.430441674165645</v>
      </c>
      <c r="Q41" s="55" t="n">
        <f aca="false">IF(J41="","",MIN(1,J41+1.96*O41/100))</f>
        <v>0.545556366490735</v>
      </c>
      <c r="R41" s="32" t="str">
        <f aca="false">IF(L41="","",IF(ABS(L41)&lt;=O41,"Yes","No"))</f>
        <v>Yes</v>
      </c>
      <c r="S41" s="32" t="str">
        <f aca="false">IF(L41="","",IF(ABS(L41)&lt;=1.96*O41,"Yes","No"))</f>
        <v>Yes</v>
      </c>
      <c r="T41" s="54" t="n">
        <f aca="false">IF(D41="","",ROUND(SQRT(((D41+G41)*O41/100)^2+(J41*(D41+G41)*0.06406)^2),0))</f>
        <v>350</v>
      </c>
      <c r="U41" s="32"/>
    </row>
    <row r="42" customFormat="false" ht="15" hidden="false" customHeight="false" outlineLevel="0" collapsed="false">
      <c r="A42" s="32" t="s">
        <v>157</v>
      </c>
      <c r="B42" s="32" t="s">
        <v>175</v>
      </c>
      <c r="C42" s="32" t="s">
        <v>129</v>
      </c>
      <c r="D42" s="54" t="n">
        <v>821</v>
      </c>
      <c r="E42" s="54" t="n">
        <v>800</v>
      </c>
      <c r="F42" s="65" t="n">
        <f aca="false">IF(E42="","",D42-E42)</f>
        <v>21</v>
      </c>
      <c r="G42" s="54" t="n">
        <v>1177</v>
      </c>
      <c r="H42" s="54" t="n">
        <v>1156</v>
      </c>
      <c r="I42" s="65" t="n">
        <f aca="false">IF(H42="","",G42-H42)</f>
        <v>21</v>
      </c>
      <c r="J42" s="55" t="n">
        <f aca="false">IF(OR(D42="",D42+G42=0),"",D42/(D42+G42))</f>
        <v>0.410910910910911</v>
      </c>
      <c r="K42" s="55" t="n">
        <f aca="false">IF(E42="","",E42/(E42+H42))</f>
        <v>0.408997955010225</v>
      </c>
      <c r="L42" s="66" t="n">
        <f aca="false">IF(OR(K42="",J42=""),"",(J42-K42)*100)</f>
        <v>0.191295590068596</v>
      </c>
      <c r="M42" s="36" t="n">
        <v>2.19834869111819</v>
      </c>
      <c r="N42" s="36" t="n">
        <v>2.07708993274224</v>
      </c>
      <c r="O42" s="36" t="n">
        <f aca="false">SQRT(M42^2+N42^2)</f>
        <v>3.02440730663715</v>
      </c>
      <c r="P42" s="55" t="n">
        <f aca="false">IF(J42="","",MAX(0,J42-1.96*O42/100))</f>
        <v>0.351632527700823</v>
      </c>
      <c r="Q42" s="55" t="n">
        <f aca="false">IF(J42="","",MIN(1,J42+1.96*O42/100))</f>
        <v>0.470189294120999</v>
      </c>
      <c r="R42" s="32" t="str">
        <f aca="false">IF(L42="","",IF(ABS(L42)&lt;=O42,"Yes","No"))</f>
        <v>Yes</v>
      </c>
      <c r="S42" s="32" t="str">
        <f aca="false">IF(L42="","",IF(ABS(L42)&lt;=1.96*O42,"Yes","No"))</f>
        <v>Yes</v>
      </c>
      <c r="T42" s="54" t="n">
        <f aca="false">IF(D42="","",ROUND(SQRT(((D42+G42)*O42/100)^2+(J42*(D42+G42)*0.07048)^2),0))</f>
        <v>84</v>
      </c>
      <c r="U42" s="32"/>
    </row>
    <row r="43" customFormat="false" ht="15" hidden="false" customHeight="false" outlineLevel="0" collapsed="false">
      <c r="A43" s="32" t="s">
        <v>157</v>
      </c>
      <c r="B43" s="32" t="s">
        <v>176</v>
      </c>
      <c r="C43" s="32" t="s">
        <v>129</v>
      </c>
      <c r="D43" s="54" t="n">
        <v>6896</v>
      </c>
      <c r="E43" s="54" t="n">
        <v>7019</v>
      </c>
      <c r="F43" s="65" t="n">
        <f aca="false">IF(E43="","",D43-E43)</f>
        <v>-123</v>
      </c>
      <c r="G43" s="54" t="n">
        <v>6302</v>
      </c>
      <c r="H43" s="54" t="n">
        <v>6110</v>
      </c>
      <c r="I43" s="65" t="n">
        <f aca="false">IF(H43="","",G43-H43)</f>
        <v>192</v>
      </c>
      <c r="J43" s="55" t="n">
        <f aca="false">IF(OR(D43="",D43+G43=0),"",D43/(D43+G43))</f>
        <v>0.522503409607516</v>
      </c>
      <c r="K43" s="55" t="n">
        <f aca="false">IF(E43="","",E43/(E43+H43))</f>
        <v>0.534618021174499</v>
      </c>
      <c r="L43" s="66" t="n">
        <f aca="false">IF(OR(K43="",J43=""),"",(J43-K43)*100)</f>
        <v>-1.21146115669829</v>
      </c>
      <c r="M43" s="36" t="n">
        <v>2.07588844229782</v>
      </c>
      <c r="N43" s="36" t="n">
        <v>2.07708993274224</v>
      </c>
      <c r="O43" s="36" t="n">
        <f aca="false">SQRT(M43^2+N43^2)</f>
        <v>2.93659929400741</v>
      </c>
      <c r="P43" s="55" t="n">
        <f aca="false">IF(J43="","",MAX(0,J43-1.96*O43/100))</f>
        <v>0.464946063444971</v>
      </c>
      <c r="Q43" s="55" t="n">
        <f aca="false">IF(J43="","",MIN(1,J43+1.96*O43/100))</f>
        <v>0.580060755770061</v>
      </c>
      <c r="R43" s="32" t="str">
        <f aca="false">IF(L43="","",IF(ABS(L43)&lt;=O43,"Yes","No"))</f>
        <v>Yes</v>
      </c>
      <c r="S43" s="32" t="str">
        <f aca="false">IF(L43="","",IF(ABS(L43)&lt;=1.96*O43,"Yes","No"))</f>
        <v>Yes</v>
      </c>
      <c r="T43" s="54" t="n">
        <f aca="false">IF(D43="","",ROUND(SQRT(((D43+G43)*O43/100)^2+(J43*(D43+G43)*0.06406)^2),0))</f>
        <v>588</v>
      </c>
      <c r="U43" s="32"/>
    </row>
    <row r="44" customFormat="false" ht="15" hidden="false" customHeight="false" outlineLevel="0" collapsed="false">
      <c r="A44" s="32" t="s">
        <v>157</v>
      </c>
      <c r="B44" s="32" t="s">
        <v>177</v>
      </c>
      <c r="C44" s="32" t="s">
        <v>129</v>
      </c>
      <c r="D44" s="54" t="n">
        <v>8187</v>
      </c>
      <c r="E44" s="54" t="n">
        <v>8020</v>
      </c>
      <c r="F44" s="65" t="n">
        <f aca="false">IF(E44="","",D44-E44)</f>
        <v>167</v>
      </c>
      <c r="G44" s="54" t="n">
        <v>7773</v>
      </c>
      <c r="H44" s="54" t="n">
        <v>7607</v>
      </c>
      <c r="I44" s="65" t="n">
        <f aca="false">IF(H44="","",G44-H44)</f>
        <v>166</v>
      </c>
      <c r="J44" s="55" t="n">
        <f aca="false">IF(OR(D44="",D44+G44=0),"",D44/(D44+G44))</f>
        <v>0.51296992481203</v>
      </c>
      <c r="K44" s="55" t="n">
        <f aca="false">IF(E44="","",E44/(E44+H44))</f>
        <v>0.513214308568503</v>
      </c>
      <c r="L44" s="66" t="n">
        <f aca="false">IF(OR(K44="",J44=""),"",(J44-K44)*100)</f>
        <v>-0.0244383756473177</v>
      </c>
      <c r="M44" s="36" t="n">
        <v>2.07588844229782</v>
      </c>
      <c r="N44" s="36" t="n">
        <v>2.07708993274224</v>
      </c>
      <c r="O44" s="36" t="n">
        <f aca="false">SQRT(M44^2+N44^2)</f>
        <v>2.93659929400741</v>
      </c>
      <c r="P44" s="55" t="n">
        <f aca="false">IF(J44="","",MAX(0,J44-1.96*O44/100))</f>
        <v>0.455412578649485</v>
      </c>
      <c r="Q44" s="55" t="n">
        <f aca="false">IF(J44="","",MIN(1,J44+1.96*O44/100))</f>
        <v>0.570527270974575</v>
      </c>
      <c r="R44" s="32" t="str">
        <f aca="false">IF(L44="","",IF(ABS(L44)&lt;=O44,"Yes","No"))</f>
        <v>Yes</v>
      </c>
      <c r="S44" s="32" t="str">
        <f aca="false">IF(L44="","",IF(ABS(L44)&lt;=1.96*O44,"Yes","No"))</f>
        <v>Yes</v>
      </c>
      <c r="T44" s="54" t="n">
        <f aca="false">IF(D44="","",ROUND(SQRT(((D44+G44)*O44/100)^2+(J44*(D44+G44)*0.06406)^2),0))</f>
        <v>703</v>
      </c>
      <c r="U44" s="32"/>
    </row>
    <row r="45" customFormat="false" ht="15" hidden="false" customHeight="false" outlineLevel="0" collapsed="false">
      <c r="A45" s="32" t="s">
        <v>157</v>
      </c>
      <c r="B45" s="32" t="s">
        <v>178</v>
      </c>
      <c r="C45" s="32" t="s">
        <v>129</v>
      </c>
      <c r="D45" s="54" t="n">
        <v>2268</v>
      </c>
      <c r="E45" s="54" t="n">
        <v>2380</v>
      </c>
      <c r="F45" s="65" t="n">
        <f aca="false">IF(E45="","",D45-E45)</f>
        <v>-112</v>
      </c>
      <c r="G45" s="54" t="n">
        <v>3186</v>
      </c>
      <c r="H45" s="54" t="n">
        <v>3135</v>
      </c>
      <c r="I45" s="65" t="n">
        <f aca="false">IF(H45="","",G45-H45)</f>
        <v>51</v>
      </c>
      <c r="J45" s="55" t="n">
        <f aca="false">IF(OR(D45="",D45+G45=0),"",D45/(D45+G45))</f>
        <v>0.415841584158416</v>
      </c>
      <c r="K45" s="55" t="n">
        <f aca="false">IF(E45="","",E45/(E45+H45))</f>
        <v>0.43155031731641</v>
      </c>
      <c r="L45" s="66" t="n">
        <f aca="false">IF(OR(K45="",J45=""),"",(J45-K45)*100)</f>
        <v>-1.5708733157994</v>
      </c>
      <c r="M45" s="36" t="n">
        <v>2.07588844229782</v>
      </c>
      <c r="N45" s="36" t="n">
        <v>2.07708993274224</v>
      </c>
      <c r="O45" s="36" t="n">
        <f aca="false">SQRT(M45^2+N45^2)</f>
        <v>2.93659929400741</v>
      </c>
      <c r="P45" s="55" t="n">
        <f aca="false">IF(J45="","",MAX(0,J45-1.96*O45/100))</f>
        <v>0.358284237995871</v>
      </c>
      <c r="Q45" s="55" t="n">
        <f aca="false">IF(J45="","",MIN(1,J45+1.96*O45/100))</f>
        <v>0.473398930320961</v>
      </c>
      <c r="R45" s="32" t="str">
        <f aca="false">IF(L45="","",IF(ABS(L45)&lt;=O45,"Yes","No"))</f>
        <v>Yes</v>
      </c>
      <c r="S45" s="32" t="str">
        <f aca="false">IF(L45="","",IF(ABS(L45)&lt;=1.96*O45,"Yes","No"))</f>
        <v>Yes</v>
      </c>
      <c r="T45" s="54" t="n">
        <f aca="false">IF(D45="","",ROUND(SQRT(((D45+G45)*O45/100)^2+(J45*(D45+G45)*0.06406)^2),0))</f>
        <v>216</v>
      </c>
      <c r="U45" s="32"/>
    </row>
    <row r="46" customFormat="false" ht="15" hidden="false" customHeight="false" outlineLevel="0" collapsed="false">
      <c r="A46" s="32" t="s">
        <v>157</v>
      </c>
      <c r="B46" s="32" t="s">
        <v>179</v>
      </c>
      <c r="C46" s="32" t="s">
        <v>129</v>
      </c>
      <c r="D46" s="54" t="n">
        <v>5275</v>
      </c>
      <c r="E46" s="54" t="n">
        <v>5462</v>
      </c>
      <c r="F46" s="65" t="n">
        <f aca="false">IF(E46="","",D46-E46)</f>
        <v>-187</v>
      </c>
      <c r="G46" s="54" t="n">
        <v>5911</v>
      </c>
      <c r="H46" s="54" t="n">
        <v>5740</v>
      </c>
      <c r="I46" s="65" t="n">
        <f aca="false">IF(H46="","",G46-H46)</f>
        <v>171</v>
      </c>
      <c r="J46" s="55" t="n">
        <f aca="false">IF(OR(D46="",D46+G46=0),"",D46/(D46+G46))</f>
        <v>0.471571607366351</v>
      </c>
      <c r="K46" s="55" t="n">
        <f aca="false">IF(E46="","",E46/(E46+H46))</f>
        <v>0.487591501517586</v>
      </c>
      <c r="L46" s="66" t="n">
        <f aca="false">IF(OR(K46="",J46=""),"",(J46-K46)*100)</f>
        <v>-1.60198941512353</v>
      </c>
      <c r="M46" s="36" t="n">
        <v>2.07588844229782</v>
      </c>
      <c r="N46" s="36" t="n">
        <v>2.07708993274224</v>
      </c>
      <c r="O46" s="36" t="n">
        <f aca="false">SQRT(M46^2+N46^2)</f>
        <v>2.93659929400741</v>
      </c>
      <c r="P46" s="55" t="n">
        <f aca="false">IF(J46="","",MAX(0,J46-1.96*O46/100))</f>
        <v>0.414014261203806</v>
      </c>
      <c r="Q46" s="55" t="n">
        <f aca="false">IF(J46="","",MIN(1,J46+1.96*O46/100))</f>
        <v>0.529128953528896</v>
      </c>
      <c r="R46" s="32" t="str">
        <f aca="false">IF(L46="","",IF(ABS(L46)&lt;=O46,"Yes","No"))</f>
        <v>Yes</v>
      </c>
      <c r="S46" s="32" t="str">
        <f aca="false">IF(L46="","",IF(ABS(L46)&lt;=1.96*O46,"Yes","No"))</f>
        <v>Yes</v>
      </c>
      <c r="T46" s="54" t="n">
        <f aca="false">IF(D46="","",ROUND(SQRT(((D46+G46)*O46/100)^2+(J46*(D46+G46)*0.06406)^2),0))</f>
        <v>471</v>
      </c>
      <c r="U46" s="32"/>
    </row>
    <row r="47" customFormat="false" ht="15" hidden="false" customHeight="false" outlineLevel="0" collapsed="false">
      <c r="A47" s="32" t="s">
        <v>157</v>
      </c>
      <c r="B47" s="32" t="s">
        <v>180</v>
      </c>
      <c r="C47" s="32" t="s">
        <v>129</v>
      </c>
      <c r="D47" s="54" t="n">
        <v>1281</v>
      </c>
      <c r="E47" s="54" t="n">
        <v>1266</v>
      </c>
      <c r="F47" s="65" t="n">
        <f aca="false">IF(E47="","",D47-E47)</f>
        <v>15</v>
      </c>
      <c r="G47" s="54" t="n">
        <v>2652</v>
      </c>
      <c r="H47" s="54" t="n">
        <v>2669</v>
      </c>
      <c r="I47" s="65" t="n">
        <f aca="false">IF(H47="","",G47-H47)</f>
        <v>-17</v>
      </c>
      <c r="J47" s="55" t="n">
        <f aca="false">IF(OR(D47="",D47+G47=0),"",D47/(D47+G47))</f>
        <v>0.325705568268497</v>
      </c>
      <c r="K47" s="55" t="n">
        <f aca="false">IF(E47="","",E47/(E47+H47))</f>
        <v>0.321728081321474</v>
      </c>
      <c r="L47" s="66" t="n">
        <f aca="false">IF(OR(K47="",J47=""),"",(J47-K47)*100)</f>
        <v>0.397748694702338</v>
      </c>
      <c r="M47" s="36" t="n">
        <v>2.07588844229782</v>
      </c>
      <c r="N47" s="36" t="n">
        <v>2.07708993274224</v>
      </c>
      <c r="O47" s="36" t="n">
        <f aca="false">SQRT(M47^2+N47^2)</f>
        <v>2.93659929400741</v>
      </c>
      <c r="P47" s="55" t="n">
        <f aca="false">IF(J47="","",MAX(0,J47-1.96*O47/100))</f>
        <v>0.268148222105952</v>
      </c>
      <c r="Q47" s="55" t="n">
        <f aca="false">IF(J47="","",MIN(1,J47+1.96*O47/100))</f>
        <v>0.383262914431043</v>
      </c>
      <c r="R47" s="32" t="str">
        <f aca="false">IF(L47="","",IF(ABS(L47)&lt;=O47,"Yes","No"))</f>
        <v>Yes</v>
      </c>
      <c r="S47" s="32" t="str">
        <f aca="false">IF(L47="","",IF(ABS(L47)&lt;=1.96*O47,"Yes","No"))</f>
        <v>Yes</v>
      </c>
      <c r="T47" s="54" t="n">
        <f aca="false">IF(D47="","",ROUND(SQRT(((D47+G47)*O47/100)^2+(J47*(D47+G47)*0.06406)^2),0))</f>
        <v>142</v>
      </c>
      <c r="U47" s="32"/>
    </row>
    <row r="48" customFormat="false" ht="15" hidden="false" customHeight="false" outlineLevel="0" collapsed="false">
      <c r="A48" s="32" t="s">
        <v>157</v>
      </c>
      <c r="B48" s="32" t="s">
        <v>181</v>
      </c>
      <c r="C48" s="32" t="s">
        <v>129</v>
      </c>
      <c r="D48" s="54" t="n">
        <v>1148</v>
      </c>
      <c r="E48" s="54" t="n">
        <v>1172</v>
      </c>
      <c r="F48" s="65" t="n">
        <f aca="false">IF(E48="","",D48-E48)</f>
        <v>-24</v>
      </c>
      <c r="G48" s="54" t="n">
        <v>2230</v>
      </c>
      <c r="H48" s="54" t="n">
        <v>2201</v>
      </c>
      <c r="I48" s="65" t="n">
        <f aca="false">IF(H48="","",G48-H48)</f>
        <v>29</v>
      </c>
      <c r="J48" s="55" t="n">
        <f aca="false">IF(OR(D48="",D48+G48=0),"",D48/(D48+G48))</f>
        <v>0.339846062759029</v>
      </c>
      <c r="K48" s="55" t="n">
        <f aca="false">IF(E48="","",E48/(E48+H48))</f>
        <v>0.347465164541951</v>
      </c>
      <c r="L48" s="66" t="n">
        <f aca="false">IF(OR(K48="",J48=""),"",(J48-K48)*100)</f>
        <v>-0.76191017829218</v>
      </c>
      <c r="M48" s="36" t="n">
        <v>2.19834869111819</v>
      </c>
      <c r="N48" s="36" t="n">
        <v>2.07708993274224</v>
      </c>
      <c r="O48" s="36" t="n">
        <f aca="false">SQRT(M48^2+N48^2)</f>
        <v>3.02440730663715</v>
      </c>
      <c r="P48" s="55" t="n">
        <f aca="false">IF(J48="","",MAX(0,J48-1.96*O48/100))</f>
        <v>0.280567679548941</v>
      </c>
      <c r="Q48" s="55" t="n">
        <f aca="false">IF(J48="","",MIN(1,J48+1.96*O48/100))</f>
        <v>0.399124445969117</v>
      </c>
      <c r="R48" s="32" t="str">
        <f aca="false">IF(L48="","",IF(ABS(L48)&lt;=O48,"Yes","No"))</f>
        <v>Yes</v>
      </c>
      <c r="S48" s="32" t="str">
        <f aca="false">IF(L48="","",IF(ABS(L48)&lt;=1.96*O48,"Yes","No"))</f>
        <v>Yes</v>
      </c>
      <c r="T48" s="54" t="n">
        <f aca="false">IF(D48="","",ROUND(SQRT(((D48+G48)*O48/100)^2+(J48*(D48+G48)*0.07048)^2),0))</f>
        <v>130</v>
      </c>
      <c r="U48" s="32"/>
    </row>
    <row r="49" customFormat="false" ht="15" hidden="false" customHeight="false" outlineLevel="0" collapsed="false">
      <c r="A49" s="32" t="s">
        <v>157</v>
      </c>
      <c r="B49" s="32" t="s">
        <v>182</v>
      </c>
      <c r="C49" s="32" t="s">
        <v>129</v>
      </c>
      <c r="D49" s="54" t="n">
        <v>7443</v>
      </c>
      <c r="E49" s="54" t="n">
        <v>7383</v>
      </c>
      <c r="F49" s="65" t="n">
        <f aca="false">IF(E49="","",D49-E49)</f>
        <v>60</v>
      </c>
      <c r="G49" s="54" t="n">
        <v>7037</v>
      </c>
      <c r="H49" s="54" t="n">
        <v>7036</v>
      </c>
      <c r="I49" s="65" t="n">
        <f aca="false">IF(H49="","",G49-H49)</f>
        <v>1</v>
      </c>
      <c r="J49" s="55" t="n">
        <f aca="false">IF(OR(D49="",D49+G49=0),"",D49/(D49+G49))</f>
        <v>0.514019337016575</v>
      </c>
      <c r="K49" s="55" t="n">
        <f aca="false">IF(E49="","",E49/(E49+H49))</f>
        <v>0.51203273458631</v>
      </c>
      <c r="L49" s="66" t="n">
        <f aca="false">IF(OR(K49="",J49=""),"",(J49-K49)*100)</f>
        <v>0.198660243026483</v>
      </c>
      <c r="M49" s="36" t="n">
        <v>2.07588844229782</v>
      </c>
      <c r="N49" s="36" t="n">
        <v>2.07708993274224</v>
      </c>
      <c r="O49" s="36" t="n">
        <f aca="false">SQRT(M49^2+N49^2)</f>
        <v>2.93659929400741</v>
      </c>
      <c r="P49" s="55" t="n">
        <f aca="false">IF(J49="","",MAX(0,J49-1.96*O49/100))</f>
        <v>0.456461990854029</v>
      </c>
      <c r="Q49" s="55" t="n">
        <f aca="false">IF(J49="","",MIN(1,J49+1.96*O49/100))</f>
        <v>0.57157668317912</v>
      </c>
      <c r="R49" s="32" t="str">
        <f aca="false">IF(L49="","",IF(ABS(L49)&lt;=O49,"Yes","No"))</f>
        <v>Yes</v>
      </c>
      <c r="S49" s="32" t="str">
        <f aca="false">IF(L49="","",IF(ABS(L49)&lt;=1.96*O49,"Yes","No"))</f>
        <v>Yes</v>
      </c>
      <c r="T49" s="54" t="n">
        <f aca="false">IF(D49="","",ROUND(SQRT(((D49+G49)*O49/100)^2+(J49*(D49+G49)*0.06406)^2),0))</f>
        <v>639</v>
      </c>
      <c r="U49" s="32"/>
    </row>
    <row r="50" customFormat="false" ht="15" hidden="false" customHeight="false" outlineLevel="0" collapsed="false">
      <c r="A50" s="32" t="s">
        <v>183</v>
      </c>
      <c r="B50" s="32" t="s">
        <v>184</v>
      </c>
      <c r="C50" s="32" t="s">
        <v>129</v>
      </c>
      <c r="D50" s="54" t="n">
        <v>429</v>
      </c>
      <c r="E50" s="54" t="n">
        <v>471</v>
      </c>
      <c r="F50" s="65" t="n">
        <f aca="false">IF(E50="","",D50-E50)</f>
        <v>-42</v>
      </c>
      <c r="G50" s="54" t="n">
        <v>1115</v>
      </c>
      <c r="H50" s="54" t="n">
        <v>1124</v>
      </c>
      <c r="I50" s="65" t="n">
        <f aca="false">IF(H50="","",G50-H50)</f>
        <v>-9</v>
      </c>
      <c r="J50" s="55" t="n">
        <f aca="false">IF(OR(D50="",D50+G50=0),"",D50/(D50+G50))</f>
        <v>0.277849740932643</v>
      </c>
      <c r="K50" s="55" t="n">
        <f aca="false">IF(E50="","",E50/(E50+H50))</f>
        <v>0.295297805642633</v>
      </c>
      <c r="L50" s="66" t="n">
        <f aca="false">IF(OR(K50="",J50=""),"",(J50-K50)*100)</f>
        <v>-1.74480647099908</v>
      </c>
      <c r="M50" s="36" t="n">
        <v>3.85690205199914</v>
      </c>
      <c r="N50" s="36" t="n">
        <v>2.07708993274224</v>
      </c>
      <c r="O50" s="36" t="n">
        <f aca="false">SQRT(M50^2+N50^2)</f>
        <v>4.38063876933653</v>
      </c>
      <c r="P50" s="55" t="n">
        <f aca="false">IF(J50="","",MAX(0,J50-1.96*O50/100))</f>
        <v>0.191989221053646</v>
      </c>
      <c r="Q50" s="55" t="n">
        <f aca="false">IF(J50="","",MIN(1,J50+1.96*O50/100))</f>
        <v>0.363710260811639</v>
      </c>
      <c r="R50" s="32" t="str">
        <f aca="false">IF(L50="","",IF(ABS(L50)&lt;=O50,"Yes","No"))</f>
        <v>Yes</v>
      </c>
      <c r="S50" s="32" t="str">
        <f aca="false">IF(L50="","",IF(ABS(L50)&lt;=1.96*O50,"Yes","No"))</f>
        <v>Yes</v>
      </c>
      <c r="T50" s="54" t="n">
        <f aca="false">IF(D50="","",ROUND(SQRT(((D50+G50)*O50/100)^2+(J50*(D50+G50)*0.09173)^2),0))</f>
        <v>78</v>
      </c>
      <c r="U50" s="32"/>
    </row>
    <row r="51" customFormat="false" ht="15" hidden="false" customHeight="false" outlineLevel="0" collapsed="false">
      <c r="A51" s="32" t="s">
        <v>183</v>
      </c>
      <c r="B51" s="32" t="s">
        <v>186</v>
      </c>
      <c r="C51" s="32" t="s">
        <v>129</v>
      </c>
      <c r="D51" s="54" t="n">
        <v>1339</v>
      </c>
      <c r="E51" s="54" t="n">
        <v>1414</v>
      </c>
      <c r="F51" s="65" t="n">
        <f aca="false">IF(E51="","",D51-E51)</f>
        <v>-75</v>
      </c>
      <c r="G51" s="54" t="n">
        <v>2830</v>
      </c>
      <c r="H51" s="54" t="n">
        <v>2894</v>
      </c>
      <c r="I51" s="65" t="n">
        <f aca="false">IF(H51="","",G51-H51)</f>
        <v>-64</v>
      </c>
      <c r="J51" s="55" t="n">
        <f aca="false">IF(OR(D51="",D51+G51=0),"",D51/(D51+G51))</f>
        <v>0.321180139122092</v>
      </c>
      <c r="K51" s="55" t="n">
        <f aca="false">IF(E51="","",E51/(E51+H51))</f>
        <v>0.328226555246054</v>
      </c>
      <c r="L51" s="66" t="n">
        <f aca="false">IF(OR(K51="",J51=""),"",(J51-K51)*100)</f>
        <v>-0.704641612396223</v>
      </c>
      <c r="M51" s="36" t="n">
        <v>2.07588844229782</v>
      </c>
      <c r="N51" s="36" t="n">
        <v>2.07708993274224</v>
      </c>
      <c r="O51" s="36" t="n">
        <f aca="false">SQRT(M51^2+N51^2)</f>
        <v>2.93659929400741</v>
      </c>
      <c r="P51" s="55" t="n">
        <f aca="false">IF(J51="","",MAX(0,J51-1.96*O51/100))</f>
        <v>0.263622792959546</v>
      </c>
      <c r="Q51" s="55" t="n">
        <f aca="false">IF(J51="","",MIN(1,J51+1.96*O51/100))</f>
        <v>0.378737485284637</v>
      </c>
      <c r="R51" s="32" t="str">
        <f aca="false">IF(L51="","",IF(ABS(L51)&lt;=O51,"Yes","No"))</f>
        <v>Yes</v>
      </c>
      <c r="S51" s="32" t="str">
        <f aca="false">IF(L51="","",IF(ABS(L51)&lt;=1.96*O51,"Yes","No"))</f>
        <v>Yes</v>
      </c>
      <c r="T51" s="54" t="n">
        <f aca="false">IF(D51="","",ROUND(SQRT(((D51+G51)*O51/100)^2+(J51*(D51+G51)*0.06406)^2),0))</f>
        <v>149</v>
      </c>
      <c r="U51" s="32"/>
    </row>
    <row r="52" customFormat="false" ht="15" hidden="false" customHeight="false" outlineLevel="0" collapsed="false">
      <c r="A52" s="32" t="s">
        <v>183</v>
      </c>
      <c r="B52" s="32" t="s">
        <v>187</v>
      </c>
      <c r="C52" s="32" t="s">
        <v>129</v>
      </c>
      <c r="D52" s="54" t="n">
        <v>431</v>
      </c>
      <c r="E52" s="54" t="n">
        <v>521</v>
      </c>
      <c r="F52" s="65" t="n">
        <f aca="false">IF(E52="","",D52-E52)</f>
        <v>-90</v>
      </c>
      <c r="G52" s="54" t="n">
        <v>879</v>
      </c>
      <c r="H52" s="54" t="n">
        <v>997</v>
      </c>
      <c r="I52" s="65" t="n">
        <f aca="false">IF(H52="","",G52-H52)</f>
        <v>-118</v>
      </c>
      <c r="J52" s="55" t="n">
        <f aca="false">IF(OR(D52="",D52+G52=0),"",D52/(D52+G52))</f>
        <v>0.329007633587786</v>
      </c>
      <c r="K52" s="55" t="n">
        <f aca="false">IF(E52="","",E52/(E52+H52))</f>
        <v>0.343214756258235</v>
      </c>
      <c r="L52" s="66" t="n">
        <f aca="false">IF(OR(K52="",J52=""),"",(J52-K52)*100)</f>
        <v>-1.42071226704482</v>
      </c>
      <c r="M52" s="36" t="n">
        <v>3.85690205199914</v>
      </c>
      <c r="N52" s="36" t="n">
        <v>2.07708993274224</v>
      </c>
      <c r="O52" s="36" t="n">
        <f aca="false">SQRT(M52^2+N52^2)</f>
        <v>4.38063876933653</v>
      </c>
      <c r="P52" s="55" t="n">
        <f aca="false">IF(J52="","",MAX(0,J52-1.96*O52/100))</f>
        <v>0.24314711370879</v>
      </c>
      <c r="Q52" s="55" t="n">
        <f aca="false">IF(J52="","",MIN(1,J52+1.96*O52/100))</f>
        <v>0.414868153466782</v>
      </c>
      <c r="R52" s="32" t="str">
        <f aca="false">IF(L52="","",IF(ABS(L52)&lt;=O52,"Yes","No"))</f>
        <v>Yes</v>
      </c>
      <c r="S52" s="32" t="str">
        <f aca="false">IF(L52="","",IF(ABS(L52)&lt;=1.96*O52,"Yes","No"))</f>
        <v>Yes</v>
      </c>
      <c r="T52" s="54" t="n">
        <f aca="false">IF(D52="","",ROUND(SQRT(((D52+G52)*O52/100)^2+(J52*(D52+G52)*0.09173)^2),0))</f>
        <v>70</v>
      </c>
      <c r="U52" s="32"/>
    </row>
    <row r="53" customFormat="false" ht="15" hidden="false" customHeight="false" outlineLevel="0" collapsed="false">
      <c r="A53" s="32" t="s">
        <v>188</v>
      </c>
      <c r="B53" s="32" t="s">
        <v>189</v>
      </c>
      <c r="C53" s="32" t="s">
        <v>129</v>
      </c>
      <c r="D53" s="54" t="n">
        <v>1447</v>
      </c>
      <c r="E53" s="54" t="n">
        <v>1511</v>
      </c>
      <c r="F53" s="65" t="n">
        <f aca="false">IF(E53="","",D53-E53)</f>
        <v>-64</v>
      </c>
      <c r="G53" s="54" t="n">
        <v>2017</v>
      </c>
      <c r="H53" s="54" t="n">
        <v>2018</v>
      </c>
      <c r="I53" s="65" t="n">
        <f aca="false">IF(H53="","",G53-H53)</f>
        <v>-1</v>
      </c>
      <c r="J53" s="55" t="n">
        <f aca="false">IF(OR(D53="",D53+G53=0),"",D53/(D53+G53))</f>
        <v>0.417725173210162</v>
      </c>
      <c r="K53" s="55" t="n">
        <f aca="false">IF(E53="","",E53/(E53+H53))</f>
        <v>0.428166619438935</v>
      </c>
      <c r="L53" s="66" t="n">
        <f aca="false">IF(OR(K53="",J53=""),"",(J53-K53)*100)</f>
        <v>-1.04414462287729</v>
      </c>
      <c r="M53" s="36" t="n">
        <v>2.19834869111819</v>
      </c>
      <c r="N53" s="36" t="n">
        <v>2.07708993274224</v>
      </c>
      <c r="O53" s="36" t="n">
        <f aca="false">SQRT(M53^2+N53^2)</f>
        <v>3.02440730663715</v>
      </c>
      <c r="P53" s="55" t="n">
        <f aca="false">IF(J53="","",MAX(0,J53-1.96*O53/100))</f>
        <v>0.358446790000073</v>
      </c>
      <c r="Q53" s="55" t="n">
        <f aca="false">IF(J53="","",MIN(1,J53+1.96*O53/100))</f>
        <v>0.47700355642025</v>
      </c>
      <c r="R53" s="32" t="str">
        <f aca="false">IF(L53="","",IF(ABS(L53)&lt;=O53,"Yes","No"))</f>
        <v>Yes</v>
      </c>
      <c r="S53" s="32" t="str">
        <f aca="false">IF(L53="","",IF(ABS(L53)&lt;=1.96*O53,"Yes","No"))</f>
        <v>Yes</v>
      </c>
      <c r="T53" s="54" t="n">
        <f aca="false">IF(D53="","",ROUND(SQRT(((D53+G53)*O53/100)^2+(J53*(D53+G53)*0.07048)^2),0))</f>
        <v>146</v>
      </c>
      <c r="U53" s="32"/>
    </row>
    <row r="54" customFormat="false" ht="15" hidden="false" customHeight="false" outlineLevel="0" collapsed="false">
      <c r="A54" s="32" t="s">
        <v>188</v>
      </c>
      <c r="B54" s="32" t="s">
        <v>190</v>
      </c>
      <c r="C54" s="32" t="s">
        <v>129</v>
      </c>
      <c r="D54" s="54" t="n">
        <v>947</v>
      </c>
      <c r="E54" s="54" t="n">
        <v>959</v>
      </c>
      <c r="F54" s="65" t="n">
        <f aca="false">IF(E54="","",D54-E54)</f>
        <v>-12</v>
      </c>
      <c r="G54" s="54" t="n">
        <v>1389</v>
      </c>
      <c r="H54" s="54" t="n">
        <v>1364</v>
      </c>
      <c r="I54" s="65" t="n">
        <f aca="false">IF(H54="","",G54-H54)</f>
        <v>25</v>
      </c>
      <c r="J54" s="55" t="n">
        <f aca="false">IF(OR(D54="",D54+G54=0),"",D54/(D54+G54))</f>
        <v>0.405393835616438</v>
      </c>
      <c r="K54" s="55" t="n">
        <f aca="false">IF(E54="","",E54/(E54+H54))</f>
        <v>0.412828239345674</v>
      </c>
      <c r="L54" s="66" t="n">
        <f aca="false">IF(OR(K54="",J54=""),"",(J54-K54)*100)</f>
        <v>-0.743440372923532</v>
      </c>
      <c r="M54" s="36" t="n">
        <v>2.19834869111819</v>
      </c>
      <c r="N54" s="36" t="n">
        <v>2.07708993274224</v>
      </c>
      <c r="O54" s="36" t="n">
        <f aca="false">SQRT(M54^2+N54^2)</f>
        <v>3.02440730663715</v>
      </c>
      <c r="P54" s="55" t="n">
        <f aca="false">IF(J54="","",MAX(0,J54-1.96*O54/100))</f>
        <v>0.34611545240635</v>
      </c>
      <c r="Q54" s="55" t="n">
        <f aca="false">IF(J54="","",MIN(1,J54+1.96*O54/100))</f>
        <v>0.464672218826527</v>
      </c>
      <c r="R54" s="32" t="str">
        <f aca="false">IF(L54="","",IF(ABS(L54)&lt;=O54,"Yes","No"))</f>
        <v>Yes</v>
      </c>
      <c r="S54" s="32" t="str">
        <f aca="false">IF(L54="","",IF(ABS(L54)&lt;=1.96*O54,"Yes","No"))</f>
        <v>Yes</v>
      </c>
      <c r="T54" s="54" t="n">
        <f aca="false">IF(D54="","",ROUND(SQRT(((D54+G54)*O54/100)^2+(J54*(D54+G54)*0.07048)^2),0))</f>
        <v>97</v>
      </c>
      <c r="U54" s="32"/>
    </row>
    <row r="55" customFormat="false" ht="15" hidden="false" customHeight="false" outlineLevel="0" collapsed="false">
      <c r="A55" s="32" t="s">
        <v>188</v>
      </c>
      <c r="B55" s="32" t="s">
        <v>191</v>
      </c>
      <c r="C55" s="32" t="s">
        <v>129</v>
      </c>
      <c r="D55" s="54" t="n">
        <v>597</v>
      </c>
      <c r="E55" s="54" t="n">
        <v>623</v>
      </c>
      <c r="F55" s="65" t="n">
        <f aca="false">IF(E55="","",D55-E55)</f>
        <v>-26</v>
      </c>
      <c r="G55" s="54" t="n">
        <v>773</v>
      </c>
      <c r="H55" s="54" t="n">
        <v>726</v>
      </c>
      <c r="I55" s="65" t="n">
        <f aca="false">IF(H55="","",G55-H55)</f>
        <v>47</v>
      </c>
      <c r="J55" s="55" t="n">
        <f aca="false">IF(OR(D55="",D55+G55=0),"",D55/(D55+G55))</f>
        <v>0.435766423357664</v>
      </c>
      <c r="K55" s="55" t="n">
        <f aca="false">IF(E55="","",E55/(E55+H55))</f>
        <v>0.46182357301705</v>
      </c>
      <c r="L55" s="66" t="n">
        <f aca="false">IF(OR(K55="",J55=""),"",(J55-K55)*100)</f>
        <v>-2.60571496593854</v>
      </c>
      <c r="M55" s="36" t="n">
        <v>3.85690205199914</v>
      </c>
      <c r="N55" s="36" t="n">
        <v>2.07708993274224</v>
      </c>
      <c r="O55" s="36" t="n">
        <f aca="false">SQRT(M55^2+N55^2)</f>
        <v>4.38063876933653</v>
      </c>
      <c r="P55" s="55" t="n">
        <f aca="false">IF(J55="","",MAX(0,J55-1.96*O55/100))</f>
        <v>0.349905903478668</v>
      </c>
      <c r="Q55" s="55" t="n">
        <f aca="false">IF(J55="","",MIN(1,J55+1.96*O55/100))</f>
        <v>0.52162694323666</v>
      </c>
      <c r="R55" s="32" t="str">
        <f aca="false">IF(L55="","",IF(ABS(L55)&lt;=O55,"Yes","No"))</f>
        <v>Yes</v>
      </c>
      <c r="S55" s="32" t="str">
        <f aca="false">IF(L55="","",IF(ABS(L55)&lt;=1.96*O55,"Yes","No"))</f>
        <v>Yes</v>
      </c>
      <c r="T55" s="54" t="n">
        <f aca="false">IF(D55="","",ROUND(SQRT(((D55+G55)*O55/100)^2+(J55*(D55+G55)*0.09173)^2),0))</f>
        <v>81</v>
      </c>
      <c r="U55" s="32"/>
    </row>
    <row r="56" customFormat="false" ht="15" hidden="false" customHeight="false" outlineLevel="0" collapsed="false">
      <c r="A56" s="32" t="s">
        <v>188</v>
      </c>
      <c r="B56" s="32" t="s">
        <v>160</v>
      </c>
      <c r="C56" s="32" t="s">
        <v>129</v>
      </c>
      <c r="D56" s="54" t="n">
        <v>16882</v>
      </c>
      <c r="E56" s="54" t="n">
        <v>17416</v>
      </c>
      <c r="F56" s="65" t="n">
        <f aca="false">IF(E56="","",D56-E56)</f>
        <v>-534</v>
      </c>
      <c r="G56" s="54" t="n">
        <v>8701</v>
      </c>
      <c r="H56" s="54" t="n">
        <v>8640</v>
      </c>
      <c r="I56" s="65" t="n">
        <f aca="false">IF(H56="","",G56-H56)</f>
        <v>61</v>
      </c>
      <c r="J56" s="55" t="n">
        <f aca="false">IF(OR(D56="",D56+G56=0),"",D56/(D56+G56))</f>
        <v>0.659891334089044</v>
      </c>
      <c r="K56" s="55" t="n">
        <f aca="false">IF(E56="","",E56/(E56+H56))</f>
        <v>0.668406509057415</v>
      </c>
      <c r="L56" s="66" t="n">
        <f aca="false">IF(OR(K56="",J56=""),"",(J56-K56)*100)</f>
        <v>-0.851517496837129</v>
      </c>
      <c r="M56" s="36" t="n">
        <v>2.07588844229782</v>
      </c>
      <c r="N56" s="36" t="n">
        <v>2.07708993274224</v>
      </c>
      <c r="O56" s="36" t="n">
        <f aca="false">SQRT(M56^2+N56^2)</f>
        <v>2.93659929400741</v>
      </c>
      <c r="P56" s="55" t="n">
        <f aca="false">IF(J56="","",MAX(0,J56-1.96*O56/100))</f>
        <v>0.602333987926498</v>
      </c>
      <c r="Q56" s="55" t="n">
        <f aca="false">IF(J56="","",MIN(1,J56+1.96*O56/100))</f>
        <v>0.717448680251589</v>
      </c>
      <c r="R56" s="32" t="str">
        <f aca="false">IF(L56="","",IF(ABS(L56)&lt;=O56,"Yes","No"))</f>
        <v>Yes</v>
      </c>
      <c r="S56" s="32" t="str">
        <f aca="false">IF(L56="","",IF(ABS(L56)&lt;=1.96*O56,"Yes","No"))</f>
        <v>Yes</v>
      </c>
      <c r="T56" s="54" t="n">
        <f aca="false">IF(D56="","",ROUND(SQRT(((D56+G56)*O56/100)^2+(J56*(D56+G56)*0.06406)^2),0))</f>
        <v>1317</v>
      </c>
      <c r="U56" s="32"/>
    </row>
    <row r="57" customFormat="false" ht="15" hidden="false" customHeight="false" outlineLevel="0" collapsed="false">
      <c r="A57" s="32" t="s">
        <v>188</v>
      </c>
      <c r="B57" s="32" t="s">
        <v>192</v>
      </c>
      <c r="C57" s="32" t="s">
        <v>129</v>
      </c>
      <c r="D57" s="54" t="n">
        <v>8191</v>
      </c>
      <c r="E57" s="54" t="n">
        <v>8595</v>
      </c>
      <c r="F57" s="65" t="n">
        <f aca="false">IF(E57="","",D57-E57)</f>
        <v>-404</v>
      </c>
      <c r="G57" s="54" t="n">
        <v>7742</v>
      </c>
      <c r="H57" s="54" t="n">
        <v>7440</v>
      </c>
      <c r="I57" s="65" t="n">
        <f aca="false">IF(H57="","",G57-H57)</f>
        <v>302</v>
      </c>
      <c r="J57" s="55" t="n">
        <f aca="false">IF(OR(D57="",D57+G57=0),"",D57/(D57+G57))</f>
        <v>0.514090252934162</v>
      </c>
      <c r="K57" s="55" t="n">
        <f aca="false">IF(E57="","",E57/(E57+H57))</f>
        <v>0.536014967259121</v>
      </c>
      <c r="L57" s="66" t="n">
        <f aca="false">IF(OR(K57="",J57=""),"",(J57-K57)*100)</f>
        <v>-2.19247143249589</v>
      </c>
      <c r="M57" s="36" t="n">
        <v>2.07588844229782</v>
      </c>
      <c r="N57" s="36" t="n">
        <v>2.07708993274224</v>
      </c>
      <c r="O57" s="36" t="n">
        <f aca="false">SQRT(M57^2+N57^2)</f>
        <v>2.93659929400741</v>
      </c>
      <c r="P57" s="55" t="n">
        <f aca="false">IF(J57="","",MAX(0,J57-1.96*O57/100))</f>
        <v>0.456532906771617</v>
      </c>
      <c r="Q57" s="55" t="n">
        <f aca="false">IF(J57="","",MIN(1,J57+1.96*O57/100))</f>
        <v>0.571647599096707</v>
      </c>
      <c r="R57" s="32" t="str">
        <f aca="false">IF(L57="","",IF(ABS(L57)&lt;=O57,"Yes","No"))</f>
        <v>Yes</v>
      </c>
      <c r="S57" s="32" t="str">
        <f aca="false">IF(L57="","",IF(ABS(L57)&lt;=1.96*O57,"Yes","No"))</f>
        <v>Yes</v>
      </c>
      <c r="T57" s="54" t="n">
        <f aca="false">IF(D57="","",ROUND(SQRT(((D57+G57)*O57/100)^2+(J57*(D57+G57)*0.06406)^2),0))</f>
        <v>703</v>
      </c>
      <c r="U57" s="32"/>
    </row>
    <row r="58" customFormat="false" ht="15" hidden="false" customHeight="false" outlineLevel="0" collapsed="false">
      <c r="A58" s="32" t="s">
        <v>188</v>
      </c>
      <c r="B58" s="32" t="s">
        <v>193</v>
      </c>
      <c r="C58" s="32" t="s">
        <v>129</v>
      </c>
      <c r="D58" s="54" t="n">
        <v>2013</v>
      </c>
      <c r="E58" s="54" t="n">
        <v>2169</v>
      </c>
      <c r="F58" s="65" t="n">
        <f aca="false">IF(E58="","",D58-E58)</f>
        <v>-156</v>
      </c>
      <c r="G58" s="54" t="n">
        <v>3602</v>
      </c>
      <c r="H58" s="54" t="n">
        <v>3459</v>
      </c>
      <c r="I58" s="65" t="n">
        <f aca="false">IF(H58="","",G58-H58)</f>
        <v>143</v>
      </c>
      <c r="J58" s="55" t="n">
        <f aca="false">IF(OR(D58="",D58+G58=0),"",D58/(D58+G58))</f>
        <v>0.358504007123776</v>
      </c>
      <c r="K58" s="55" t="n">
        <f aca="false">IF(E58="","",E58/(E58+H58))</f>
        <v>0.385394456289979</v>
      </c>
      <c r="L58" s="66" t="n">
        <f aca="false">IF(OR(K58="",J58=""),"",(J58-K58)*100)</f>
        <v>-2.68904491662031</v>
      </c>
      <c r="M58" s="36" t="n">
        <v>2.07588844229782</v>
      </c>
      <c r="N58" s="36" t="n">
        <v>2.07708993274224</v>
      </c>
      <c r="O58" s="36" t="n">
        <f aca="false">SQRT(M58^2+N58^2)</f>
        <v>2.93659929400741</v>
      </c>
      <c r="P58" s="55" t="n">
        <f aca="false">IF(J58="","",MAX(0,J58-1.96*O58/100))</f>
        <v>0.30094666096123</v>
      </c>
      <c r="Q58" s="55" t="n">
        <f aca="false">IF(J58="","",MIN(1,J58+1.96*O58/100))</f>
        <v>0.416061353286321</v>
      </c>
      <c r="R58" s="32" t="str">
        <f aca="false">IF(L58="","",IF(ABS(L58)&lt;=O58,"Yes","No"))</f>
        <v>Yes</v>
      </c>
      <c r="S58" s="32" t="str">
        <f aca="false">IF(L58="","",IF(ABS(L58)&lt;=1.96*O58,"Yes","No"))</f>
        <v>Yes</v>
      </c>
      <c r="T58" s="54" t="n">
        <f aca="false">IF(D58="","",ROUND(SQRT(((D58+G58)*O58/100)^2+(J58*(D58+G58)*0.06406)^2),0))</f>
        <v>209</v>
      </c>
      <c r="U58" s="32"/>
    </row>
    <row r="59" customFormat="false" ht="15" hidden="false" customHeight="false" outlineLevel="0" collapsed="false">
      <c r="A59" s="32" t="s">
        <v>188</v>
      </c>
      <c r="B59" s="32" t="s">
        <v>194</v>
      </c>
      <c r="C59" s="32" t="s">
        <v>129</v>
      </c>
      <c r="D59" s="54" t="n">
        <v>42</v>
      </c>
      <c r="E59" s="54" t="n">
        <v>40</v>
      </c>
      <c r="F59" s="65" t="n">
        <f aca="false">IF(E59="","",D59-E59)</f>
        <v>2</v>
      </c>
      <c r="G59" s="54" t="n">
        <v>79</v>
      </c>
      <c r="H59" s="54" t="n">
        <v>83</v>
      </c>
      <c r="I59" s="65" t="n">
        <f aca="false">IF(H59="","",G59-H59)</f>
        <v>-4</v>
      </c>
      <c r="J59" s="55" t="n">
        <f aca="false">IF(OR(D59="",D59+G59=0),"",D59/(D59+G59))</f>
        <v>0.347107438016529</v>
      </c>
      <c r="K59" s="55" t="n">
        <f aca="false">IF(E59="","",E59/(E59+H59))</f>
        <v>0.32520325203252</v>
      </c>
      <c r="L59" s="66" t="n">
        <f aca="false">IF(OR(K59="",J59=""),"",(J59-K59)*100)</f>
        <v>2.19041859840086</v>
      </c>
      <c r="M59" s="36" t="n">
        <v>3.85690205199914</v>
      </c>
      <c r="N59" s="36" t="n">
        <v>2.07708993274224</v>
      </c>
      <c r="O59" s="36" t="n">
        <f aca="false">SQRT(M59^2+N59^2)</f>
        <v>4.38063876933653</v>
      </c>
      <c r="P59" s="55" t="n">
        <f aca="false">IF(J59="","",MAX(0,J59-1.96*O59/100))</f>
        <v>0.261246918137533</v>
      </c>
      <c r="Q59" s="55" t="n">
        <f aca="false">IF(J59="","",MIN(1,J59+1.96*O59/100))</f>
        <v>0.432967957895525</v>
      </c>
      <c r="R59" s="32" t="str">
        <f aca="false">IF(L59="","",IF(ABS(L59)&lt;=O59,"Yes","No"))</f>
        <v>Yes</v>
      </c>
      <c r="S59" s="32" t="str">
        <f aca="false">IF(L59="","",IF(ABS(L59)&lt;=1.96*O59,"Yes","No"))</f>
        <v>Yes</v>
      </c>
      <c r="T59" s="54" t="n">
        <f aca="false">IF(D59="","",ROUND(SQRT(((D59+G59)*O59/100)^2+(J59*(D59+G59)*0.09173)^2),0))</f>
        <v>7</v>
      </c>
      <c r="U59" s="32"/>
    </row>
    <row r="60" customFormat="false" ht="15" hidden="false" customHeight="false" outlineLevel="0" collapsed="false">
      <c r="A60" s="32" t="s">
        <v>188</v>
      </c>
      <c r="B60" s="32" t="s">
        <v>195</v>
      </c>
      <c r="C60" s="32" t="s">
        <v>129</v>
      </c>
      <c r="D60" s="54" t="n">
        <v>1406</v>
      </c>
      <c r="E60" s="54" t="n">
        <v>1484</v>
      </c>
      <c r="F60" s="65" t="n">
        <f aca="false">IF(E60="","",D60-E60)</f>
        <v>-78</v>
      </c>
      <c r="G60" s="54" t="n">
        <v>1963</v>
      </c>
      <c r="H60" s="54" t="n">
        <v>1959</v>
      </c>
      <c r="I60" s="65" t="n">
        <f aca="false">IF(H60="","",G60-H60)</f>
        <v>4</v>
      </c>
      <c r="J60" s="55" t="n">
        <f aca="false">IF(OR(D60="",D60+G60=0),"",D60/(D60+G60))</f>
        <v>0.417334520629267</v>
      </c>
      <c r="K60" s="55" t="n">
        <f aca="false">IF(E60="","",E60/(E60+H60))</f>
        <v>0.431019459773453</v>
      </c>
      <c r="L60" s="66" t="n">
        <f aca="false">IF(OR(K60="",J60=""),"",(J60-K60)*100)</f>
        <v>-1.36849391441866</v>
      </c>
      <c r="M60" s="36" t="n">
        <v>2.19834869111819</v>
      </c>
      <c r="N60" s="36" t="n">
        <v>2.07708993274224</v>
      </c>
      <c r="O60" s="36" t="n">
        <f aca="false">SQRT(M60^2+N60^2)</f>
        <v>3.02440730663715</v>
      </c>
      <c r="P60" s="55" t="n">
        <f aca="false">IF(J60="","",MAX(0,J60-1.96*O60/100))</f>
        <v>0.358056137419179</v>
      </c>
      <c r="Q60" s="55" t="n">
        <f aca="false">IF(J60="","",MIN(1,J60+1.96*O60/100))</f>
        <v>0.476612903839355</v>
      </c>
      <c r="R60" s="32" t="str">
        <f aca="false">IF(L60="","",IF(ABS(L60)&lt;=O60,"Yes","No"))</f>
        <v>Yes</v>
      </c>
      <c r="S60" s="32" t="str">
        <f aca="false">IF(L60="","",IF(ABS(L60)&lt;=1.96*O60,"Yes","No"))</f>
        <v>Yes</v>
      </c>
      <c r="T60" s="54" t="n">
        <f aca="false">IF(D60="","",ROUND(SQRT(((D60+G60)*O60/100)^2+(J60*(D60+G60)*0.07048)^2),0))</f>
        <v>142</v>
      </c>
      <c r="U60" s="32"/>
    </row>
    <row r="61" customFormat="false" ht="15" hidden="false" customHeight="false" outlineLevel="0" collapsed="false">
      <c r="A61" s="32" t="s">
        <v>188</v>
      </c>
      <c r="B61" s="32" t="s">
        <v>196</v>
      </c>
      <c r="C61" s="32" t="s">
        <v>129</v>
      </c>
      <c r="D61" s="54" t="n">
        <v>183</v>
      </c>
      <c r="E61" s="54" t="n">
        <v>217</v>
      </c>
      <c r="F61" s="65" t="n">
        <f aca="false">IF(E61="","",D61-E61)</f>
        <v>-34</v>
      </c>
      <c r="G61" s="54" t="n">
        <v>328</v>
      </c>
      <c r="H61" s="54" t="n">
        <v>309</v>
      </c>
      <c r="I61" s="65" t="n">
        <f aca="false">IF(H61="","",G61-H61)</f>
        <v>19</v>
      </c>
      <c r="J61" s="55" t="n">
        <f aca="false">IF(OR(D61="",D61+G61=0),"",D61/(D61+G61))</f>
        <v>0.35812133072407</v>
      </c>
      <c r="K61" s="55" t="n">
        <f aca="false">IF(E61="","",E61/(E61+H61))</f>
        <v>0.41254752851711</v>
      </c>
      <c r="L61" s="66" t="n">
        <f aca="false">IF(OR(K61="",J61=""),"",(J61-K61)*100)</f>
        <v>-5.44261977930398</v>
      </c>
      <c r="M61" s="36" t="n">
        <v>3.85690205199914</v>
      </c>
      <c r="N61" s="36" t="n">
        <v>2.07708993274224</v>
      </c>
      <c r="O61" s="36" t="n">
        <f aca="false">SQRT(M61^2+N61^2)</f>
        <v>4.38063876933653</v>
      </c>
      <c r="P61" s="55" t="n">
        <f aca="false">IF(J61="","",MAX(0,J61-1.96*O61/100))</f>
        <v>0.272260810845074</v>
      </c>
      <c r="Q61" s="55" t="n">
        <f aca="false">IF(J61="","",MIN(1,J61+1.96*O61/100))</f>
        <v>0.443981850603066</v>
      </c>
      <c r="R61" s="32" t="str">
        <f aca="false">IF(L61="","",IF(ABS(L61)&lt;=O61,"Yes","No"))</f>
        <v>No</v>
      </c>
      <c r="S61" s="32" t="str">
        <f aca="false">IF(L61="","",IF(ABS(L61)&lt;=1.96*O61,"Yes","No"))</f>
        <v>Yes</v>
      </c>
      <c r="T61" s="54" t="n">
        <f aca="false">IF(D61="","",ROUND(SQRT(((D61+G61)*O61/100)^2+(J61*(D61+G61)*0.09173)^2),0))</f>
        <v>28</v>
      </c>
      <c r="U61" s="32"/>
    </row>
    <row r="62" customFormat="false" ht="15" hidden="false" customHeight="false" outlineLevel="0" collapsed="false">
      <c r="A62" s="32" t="s">
        <v>188</v>
      </c>
      <c r="B62" s="32" t="s">
        <v>197</v>
      </c>
      <c r="C62" s="32" t="s">
        <v>129</v>
      </c>
      <c r="D62" s="54" t="n">
        <v>7059</v>
      </c>
      <c r="E62" s="54" t="n">
        <v>7604</v>
      </c>
      <c r="F62" s="65" t="n">
        <f aca="false">IF(E62="","",D62-E62)</f>
        <v>-545</v>
      </c>
      <c r="G62" s="54" t="n">
        <v>3472</v>
      </c>
      <c r="H62" s="54" t="n">
        <v>3303</v>
      </c>
      <c r="I62" s="65" t="n">
        <f aca="false">IF(H62="","",G62-H62)</f>
        <v>169</v>
      </c>
      <c r="J62" s="55" t="n">
        <f aca="false">IF(OR(D62="",D62+G62=0),"",D62/(D62+G62))</f>
        <v>0.670306713512487</v>
      </c>
      <c r="K62" s="55" t="n">
        <f aca="false">IF(E62="","",E62/(E62+H62))</f>
        <v>0.697166957000092</v>
      </c>
      <c r="L62" s="66" t="n">
        <f aca="false">IF(OR(K62="",J62=""),"",(J62-K62)*100)</f>
        <v>-2.68602434876047</v>
      </c>
      <c r="M62" s="36" t="n">
        <v>2.07588844229782</v>
      </c>
      <c r="N62" s="36" t="n">
        <v>2.07708993274224</v>
      </c>
      <c r="O62" s="36" t="n">
        <f aca="false">SQRT(M62^2+N62^2)</f>
        <v>2.93659929400741</v>
      </c>
      <c r="P62" s="55" t="n">
        <f aca="false">IF(J62="","",MAX(0,J62-1.96*O62/100))</f>
        <v>0.612749367349942</v>
      </c>
      <c r="Q62" s="55" t="n">
        <f aca="false">IF(J62="","",MIN(1,J62+1.96*O62/100))</f>
        <v>0.727864059675032</v>
      </c>
      <c r="R62" s="32" t="str">
        <f aca="false">IF(L62="","",IF(ABS(L62)&lt;=O62,"Yes","No"))</f>
        <v>Yes</v>
      </c>
      <c r="S62" s="32" t="str">
        <f aca="false">IF(L62="","",IF(ABS(L62)&lt;=1.96*O62,"Yes","No"))</f>
        <v>Yes</v>
      </c>
      <c r="T62" s="54" t="n">
        <f aca="false">IF(D62="","",ROUND(SQRT(((D62+G62)*O62/100)^2+(J62*(D62+G62)*0.06406)^2),0))</f>
        <v>548</v>
      </c>
      <c r="U62" s="32"/>
    </row>
    <row r="63" customFormat="false" ht="15" hidden="false" customHeight="false" outlineLevel="0" collapsed="false">
      <c r="A63" s="32" t="s">
        <v>188</v>
      </c>
      <c r="B63" s="32" t="s">
        <v>198</v>
      </c>
      <c r="C63" s="32" t="s">
        <v>129</v>
      </c>
      <c r="D63" s="54" t="n">
        <v>5245</v>
      </c>
      <c r="E63" s="54" t="n">
        <v>5358</v>
      </c>
      <c r="F63" s="65" t="n">
        <f aca="false">IF(E63="","",D63-E63)</f>
        <v>-113</v>
      </c>
      <c r="G63" s="54" t="n">
        <v>5034</v>
      </c>
      <c r="H63" s="54" t="n">
        <v>5027</v>
      </c>
      <c r="I63" s="65" t="n">
        <f aca="false">IF(H63="","",G63-H63)</f>
        <v>7</v>
      </c>
      <c r="J63" s="55" t="n">
        <f aca="false">IF(OR(D63="",D63+G63=0),"",D63/(D63+G63))</f>
        <v>0.510263644323378</v>
      </c>
      <c r="K63" s="55" t="n">
        <f aca="false">IF(E63="","",E63/(E63+H63))</f>
        <v>0.515936446798267</v>
      </c>
      <c r="L63" s="66" t="n">
        <f aca="false">IF(OR(K63="",J63=""),"",(J63-K63)*100)</f>
        <v>-0.567280247488899</v>
      </c>
      <c r="M63" s="36" t="n">
        <v>2.07588844229782</v>
      </c>
      <c r="N63" s="36" t="n">
        <v>2.07708993274224</v>
      </c>
      <c r="O63" s="36" t="n">
        <f aca="false">SQRT(M63^2+N63^2)</f>
        <v>2.93659929400741</v>
      </c>
      <c r="P63" s="55" t="n">
        <f aca="false">IF(J63="","",MAX(0,J63-1.96*O63/100))</f>
        <v>0.452706298160833</v>
      </c>
      <c r="Q63" s="55" t="n">
        <f aca="false">IF(J63="","",MIN(1,J63+1.96*O63/100))</f>
        <v>0.567820990485923</v>
      </c>
      <c r="R63" s="32" t="str">
        <f aca="false">IF(L63="","",IF(ABS(L63)&lt;=O63,"Yes","No"))</f>
        <v>Yes</v>
      </c>
      <c r="S63" s="32" t="str">
        <f aca="false">IF(L63="","",IF(ABS(L63)&lt;=1.96*O63,"Yes","No"))</f>
        <v>Yes</v>
      </c>
      <c r="T63" s="54" t="n">
        <f aca="false">IF(D63="","",ROUND(SQRT(((D63+G63)*O63/100)^2+(J63*(D63+G63)*0.06406)^2),0))</f>
        <v>452</v>
      </c>
      <c r="U63" s="32"/>
    </row>
    <row r="64" customFormat="false" ht="15" hidden="false" customHeight="false" outlineLevel="0" collapsed="false">
      <c r="A64" s="32" t="s">
        <v>188</v>
      </c>
      <c r="B64" s="32" t="s">
        <v>199</v>
      </c>
      <c r="C64" s="32" t="s">
        <v>129</v>
      </c>
      <c r="D64" s="54" t="n">
        <v>730</v>
      </c>
      <c r="E64" s="54" t="n">
        <v>714</v>
      </c>
      <c r="F64" s="65" t="n">
        <f aca="false">IF(E64="","",D64-E64)</f>
        <v>16</v>
      </c>
      <c r="G64" s="54" t="n">
        <v>535</v>
      </c>
      <c r="H64" s="54" t="n">
        <v>484</v>
      </c>
      <c r="I64" s="65" t="n">
        <f aca="false">IF(H64="","",G64-H64)</f>
        <v>51</v>
      </c>
      <c r="J64" s="55" t="n">
        <f aca="false">IF(OR(D64="",D64+G64=0),"",D64/(D64+G64))</f>
        <v>0.577075098814229</v>
      </c>
      <c r="K64" s="55" t="n">
        <f aca="false">IF(E64="","",E64/(E64+H64))</f>
        <v>0.595993322203673</v>
      </c>
      <c r="L64" s="66" t="n">
        <f aca="false">IF(OR(K64="",J64=""),"",(J64-K64)*100)</f>
        <v>-1.89182233894435</v>
      </c>
      <c r="M64" s="36" t="n">
        <v>3.85690205199914</v>
      </c>
      <c r="N64" s="36" t="n">
        <v>2.07708993274224</v>
      </c>
      <c r="O64" s="36" t="n">
        <f aca="false">SQRT(M64^2+N64^2)</f>
        <v>4.38063876933653</v>
      </c>
      <c r="P64" s="55" t="n">
        <f aca="false">IF(J64="","",MAX(0,J64-1.96*O64/100))</f>
        <v>0.491214578935233</v>
      </c>
      <c r="Q64" s="55" t="n">
        <f aca="false">IF(J64="","",MIN(1,J64+1.96*O64/100))</f>
        <v>0.662935618693225</v>
      </c>
      <c r="R64" s="32" t="str">
        <f aca="false">IF(L64="","",IF(ABS(L64)&lt;=O64,"Yes","No"))</f>
        <v>Yes</v>
      </c>
      <c r="S64" s="32" t="str">
        <f aca="false">IF(L64="","",IF(ABS(L64)&lt;=1.96*O64,"Yes","No"))</f>
        <v>Yes</v>
      </c>
      <c r="T64" s="54" t="n">
        <f aca="false">IF(D64="","",ROUND(SQRT(((D64+G64)*O64/100)^2+(J64*(D64+G64)*0.09173)^2),0))</f>
        <v>87</v>
      </c>
      <c r="U64" s="32"/>
    </row>
    <row r="65" customFormat="false" ht="15" hidden="false" customHeight="false" outlineLevel="0" collapsed="false">
      <c r="A65" s="32" t="s">
        <v>188</v>
      </c>
      <c r="B65" s="32" t="s">
        <v>200</v>
      </c>
      <c r="C65" s="32" t="s">
        <v>129</v>
      </c>
      <c r="D65" s="54" t="n">
        <v>100</v>
      </c>
      <c r="E65" s="54" t="n">
        <v>109</v>
      </c>
      <c r="F65" s="65" t="n">
        <f aca="false">IF(E65="","",D65-E65)</f>
        <v>-9</v>
      </c>
      <c r="G65" s="54" t="n">
        <v>105</v>
      </c>
      <c r="H65" s="54" t="n">
        <v>97</v>
      </c>
      <c r="I65" s="65" t="n">
        <f aca="false">IF(H65="","",G65-H65)</f>
        <v>8</v>
      </c>
      <c r="J65" s="55" t="n">
        <f aca="false">IF(OR(D65="",D65+G65=0),"",D65/(D65+G65))</f>
        <v>0.487804878048781</v>
      </c>
      <c r="K65" s="55" t="n">
        <f aca="false">IF(E65="","",E65/(E65+H65))</f>
        <v>0.529126213592233</v>
      </c>
      <c r="L65" s="66" t="n">
        <f aca="false">IF(OR(K65="",J65=""),"",(J65-K65)*100)</f>
        <v>-4.13213355434525</v>
      </c>
      <c r="M65" s="36" t="n">
        <v>3.85690205199914</v>
      </c>
      <c r="N65" s="36" t="n">
        <v>2.07708993274224</v>
      </c>
      <c r="O65" s="36" t="n">
        <f aca="false">SQRT(M65^2+N65^2)</f>
        <v>4.38063876933653</v>
      </c>
      <c r="P65" s="55" t="n">
        <f aca="false">IF(J65="","",MAX(0,J65-1.96*O65/100))</f>
        <v>0.401944358169784</v>
      </c>
      <c r="Q65" s="55" t="n">
        <f aca="false">IF(J65="","",MIN(1,J65+1.96*O65/100))</f>
        <v>0.573665397927777</v>
      </c>
      <c r="R65" s="32" t="str">
        <f aca="false">IF(L65="","",IF(ABS(L65)&lt;=O65,"Yes","No"))</f>
        <v>Yes</v>
      </c>
      <c r="S65" s="32" t="str">
        <f aca="false">IF(L65="","",IF(ABS(L65)&lt;=1.96*O65,"Yes","No"))</f>
        <v>Yes</v>
      </c>
      <c r="T65" s="54" t="n">
        <f aca="false">IF(D65="","",ROUND(SQRT(((D65+G65)*O65/100)^2+(J65*(D65+G65)*0.09173)^2),0))</f>
        <v>13</v>
      </c>
      <c r="U65" s="32"/>
    </row>
    <row r="66" customFormat="false" ht="15" hidden="false" customHeight="false" outlineLevel="0" collapsed="false">
      <c r="A66" s="32" t="s">
        <v>188</v>
      </c>
      <c r="B66" s="32" t="s">
        <v>166</v>
      </c>
      <c r="C66" s="32" t="s">
        <v>129</v>
      </c>
      <c r="D66" s="54" t="n">
        <v>4123</v>
      </c>
      <c r="E66" s="54" t="n">
        <v>4341</v>
      </c>
      <c r="F66" s="65" t="n">
        <f aca="false">IF(E66="","",D66-E66)</f>
        <v>-218</v>
      </c>
      <c r="G66" s="54" t="n">
        <v>3826</v>
      </c>
      <c r="H66" s="54" t="n">
        <v>3620</v>
      </c>
      <c r="I66" s="65" t="n">
        <f aca="false">IF(H66="","",G66-H66)</f>
        <v>206</v>
      </c>
      <c r="J66" s="55" t="n">
        <f aca="false">IF(OR(D66="",D66+G66=0),"",D66/(D66+G66))</f>
        <v>0.518681595169204</v>
      </c>
      <c r="K66" s="55" t="n">
        <f aca="false">IF(E66="","",E66/(E66+H66))</f>
        <v>0.545283255872378</v>
      </c>
      <c r="L66" s="66" t="n">
        <f aca="false">IF(OR(K66="",J66=""),"",(J66-K66)*100)</f>
        <v>-2.66016607031742</v>
      </c>
      <c r="M66" s="36" t="n">
        <v>2.07588844229782</v>
      </c>
      <c r="N66" s="36" t="n">
        <v>2.07708993274224</v>
      </c>
      <c r="O66" s="36" t="n">
        <f aca="false">SQRT(M66^2+N66^2)</f>
        <v>2.93659929400741</v>
      </c>
      <c r="P66" s="55" t="n">
        <f aca="false">IF(J66="","",MAX(0,J66-1.96*O66/100))</f>
        <v>0.461124249006658</v>
      </c>
      <c r="Q66" s="55" t="n">
        <f aca="false">IF(J66="","",MIN(1,J66+1.96*O66/100))</f>
        <v>0.576238941331749</v>
      </c>
      <c r="R66" s="32" t="str">
        <f aca="false">IF(L66="","",IF(ABS(L66)&lt;=O66,"Yes","No"))</f>
        <v>Yes</v>
      </c>
      <c r="S66" s="32" t="str">
        <f aca="false">IF(L66="","",IF(ABS(L66)&lt;=1.96*O66,"Yes","No"))</f>
        <v>Yes</v>
      </c>
      <c r="T66" s="54" t="n">
        <f aca="false">IF(D66="","",ROUND(SQRT(((D66+G66)*O66/100)^2+(J66*(D66+G66)*0.06406)^2),0))</f>
        <v>352</v>
      </c>
      <c r="U66" s="32"/>
    </row>
    <row r="67" customFormat="false" ht="15" hidden="false" customHeight="false" outlineLevel="0" collapsed="false">
      <c r="A67" s="32" t="s">
        <v>188</v>
      </c>
      <c r="B67" s="32" t="s">
        <v>201</v>
      </c>
      <c r="C67" s="32" t="s">
        <v>129</v>
      </c>
      <c r="D67" s="54" t="n">
        <v>1714</v>
      </c>
      <c r="E67" s="54" t="n">
        <v>1726</v>
      </c>
      <c r="F67" s="65" t="n">
        <f aca="false">IF(E67="","",D67-E67)</f>
        <v>-12</v>
      </c>
      <c r="G67" s="54" t="n">
        <v>1645</v>
      </c>
      <c r="H67" s="54" t="n">
        <v>1685</v>
      </c>
      <c r="I67" s="65" t="n">
        <f aca="false">IF(H67="","",G67-H67)</f>
        <v>-40</v>
      </c>
      <c r="J67" s="55" t="n">
        <f aca="false">IF(OR(D67="",D67+G67=0),"",D67/(D67+G67))</f>
        <v>0.510270913962489</v>
      </c>
      <c r="K67" s="55" t="n">
        <f aca="false">IF(E67="","",E67/(E67+H67))</f>
        <v>0.506009967751393</v>
      </c>
      <c r="L67" s="66" t="n">
        <f aca="false">IF(OR(K67="",J67=""),"",(J67-K67)*100)</f>
        <v>0.42609462110963</v>
      </c>
      <c r="M67" s="36" t="n">
        <v>2.19834869111819</v>
      </c>
      <c r="N67" s="36" t="n">
        <v>2.07708993274224</v>
      </c>
      <c r="O67" s="36" t="n">
        <f aca="false">SQRT(M67^2+N67^2)</f>
        <v>3.02440730663715</v>
      </c>
      <c r="P67" s="55" t="n">
        <f aca="false">IF(J67="","",MAX(0,J67-1.96*O67/100))</f>
        <v>0.450992530752401</v>
      </c>
      <c r="Q67" s="55" t="n">
        <f aca="false">IF(J67="","",MIN(1,J67+1.96*O67/100))</f>
        <v>0.569549297172577</v>
      </c>
      <c r="R67" s="32" t="str">
        <f aca="false">IF(L67="","",IF(ABS(L67)&lt;=O67,"Yes","No"))</f>
        <v>Yes</v>
      </c>
      <c r="S67" s="32" t="str">
        <f aca="false">IF(L67="","",IF(ABS(L67)&lt;=1.96*O67,"Yes","No"))</f>
        <v>Yes</v>
      </c>
      <c r="T67" s="54" t="n">
        <f aca="false">IF(D67="","",ROUND(SQRT(((D67+G67)*O67/100)^2+(J67*(D67+G67)*0.07048)^2),0))</f>
        <v>158</v>
      </c>
      <c r="U67" s="32"/>
    </row>
    <row r="68" customFormat="false" ht="15" hidden="false" customHeight="false" outlineLevel="0" collapsed="false">
      <c r="A68" s="32" t="s">
        <v>188</v>
      </c>
      <c r="B68" s="32" t="s">
        <v>202</v>
      </c>
      <c r="C68" s="32" t="s">
        <v>129</v>
      </c>
      <c r="D68" s="54" t="n">
        <v>2197</v>
      </c>
      <c r="E68" s="54" t="n">
        <v>2244</v>
      </c>
      <c r="F68" s="65" t="n">
        <f aca="false">IF(E68="","",D68-E68)</f>
        <v>-47</v>
      </c>
      <c r="G68" s="54" t="n">
        <v>4452</v>
      </c>
      <c r="H68" s="54" t="n">
        <v>4439</v>
      </c>
      <c r="I68" s="65" t="n">
        <f aca="false">IF(H68="","",G68-H68)</f>
        <v>13</v>
      </c>
      <c r="J68" s="55" t="n">
        <f aca="false">IF(OR(D68="",D68+G68=0),"",D68/(D68+G68))</f>
        <v>0.330425627913972</v>
      </c>
      <c r="K68" s="55" t="n">
        <f aca="false">IF(E68="","",E68/(E68+H68))</f>
        <v>0.335777345503516</v>
      </c>
      <c r="L68" s="66" t="n">
        <f aca="false">IF(OR(K68="",J68=""),"",(J68-K68)*100)</f>
        <v>-0.535171758954439</v>
      </c>
      <c r="M68" s="36" t="n">
        <v>2.07588844229782</v>
      </c>
      <c r="N68" s="36" t="n">
        <v>2.07708993274224</v>
      </c>
      <c r="O68" s="36" t="n">
        <f aca="false">SQRT(M68^2+N68^2)</f>
        <v>2.93659929400741</v>
      </c>
      <c r="P68" s="55" t="n">
        <f aca="false">IF(J68="","",MAX(0,J68-1.96*O68/100))</f>
        <v>0.272868281751427</v>
      </c>
      <c r="Q68" s="55" t="n">
        <f aca="false">IF(J68="","",MIN(1,J68+1.96*O68/100))</f>
        <v>0.387982974076517</v>
      </c>
      <c r="R68" s="32" t="str">
        <f aca="false">IF(L68="","",IF(ABS(L68)&lt;=O68,"Yes","No"))</f>
        <v>Yes</v>
      </c>
      <c r="S68" s="32" t="str">
        <f aca="false">IF(L68="","",IF(ABS(L68)&lt;=1.96*O68,"Yes","No"))</f>
        <v>Yes</v>
      </c>
      <c r="T68" s="54" t="n">
        <f aca="false">IF(D68="","",ROUND(SQRT(((D68+G68)*O68/100)^2+(J68*(D68+G68)*0.06406)^2),0))</f>
        <v>241</v>
      </c>
      <c r="U68" s="32"/>
    </row>
    <row r="69" customFormat="false" ht="15" hidden="false" customHeight="false" outlineLevel="0" collapsed="false">
      <c r="A69" s="32" t="s">
        <v>188</v>
      </c>
      <c r="B69" s="32" t="s">
        <v>203</v>
      </c>
      <c r="C69" s="32" t="s">
        <v>129</v>
      </c>
      <c r="D69" s="54" t="n">
        <v>591</v>
      </c>
      <c r="E69" s="54" t="n">
        <v>625</v>
      </c>
      <c r="F69" s="65" t="n">
        <f aca="false">IF(E69="","",D69-E69)</f>
        <v>-34</v>
      </c>
      <c r="G69" s="54" t="n">
        <v>1200</v>
      </c>
      <c r="H69" s="54" t="n">
        <v>1214</v>
      </c>
      <c r="I69" s="65" t="n">
        <f aca="false">IF(H69="","",G69-H69)</f>
        <v>-14</v>
      </c>
      <c r="J69" s="55" t="n">
        <f aca="false">IF(OR(D69="",D69+G69=0),"",D69/(D69+G69))</f>
        <v>0.32998324958124</v>
      </c>
      <c r="K69" s="55" t="n">
        <f aca="false">IF(E69="","",E69/(E69+H69))</f>
        <v>0.339858618814573</v>
      </c>
      <c r="L69" s="66" t="n">
        <f aca="false">IF(OR(K69="",J69=""),"",(J69-K69)*100)</f>
        <v>-0.98753692333336</v>
      </c>
      <c r="M69" s="36" t="n">
        <v>2.19834869111819</v>
      </c>
      <c r="N69" s="36" t="n">
        <v>2.07708993274224</v>
      </c>
      <c r="O69" s="36" t="n">
        <f aca="false">SQRT(M69^2+N69^2)</f>
        <v>3.02440730663715</v>
      </c>
      <c r="P69" s="55" t="n">
        <f aca="false">IF(J69="","",MAX(0,J69-1.96*O69/100))</f>
        <v>0.270704866371151</v>
      </c>
      <c r="Q69" s="55" t="n">
        <f aca="false">IF(J69="","",MIN(1,J69+1.96*O69/100))</f>
        <v>0.389261632791328</v>
      </c>
      <c r="R69" s="32" t="str">
        <f aca="false">IF(L69="","",IF(ABS(L69)&lt;=O69,"Yes","No"))</f>
        <v>Yes</v>
      </c>
      <c r="S69" s="32" t="str">
        <f aca="false">IF(L69="","",IF(ABS(L69)&lt;=1.96*O69,"Yes","No"))</f>
        <v>Yes</v>
      </c>
      <c r="T69" s="54" t="n">
        <f aca="false">IF(D69="","",ROUND(SQRT(((D69+G69)*O69/100)^2+(J69*(D69+G69)*0.07048)^2),0))</f>
        <v>68</v>
      </c>
      <c r="U69" s="32"/>
    </row>
    <row r="70" customFormat="false" ht="15" hidden="false" customHeight="false" outlineLevel="0" collapsed="false">
      <c r="A70" s="32" t="s">
        <v>188</v>
      </c>
      <c r="B70" s="32" t="s">
        <v>204</v>
      </c>
      <c r="C70" s="32" t="s">
        <v>129</v>
      </c>
      <c r="D70" s="54" t="n">
        <v>1893</v>
      </c>
      <c r="E70" s="54" t="n">
        <v>2047</v>
      </c>
      <c r="F70" s="65" t="n">
        <f aca="false">IF(E70="","",D70-E70)</f>
        <v>-154</v>
      </c>
      <c r="G70" s="54" t="n">
        <v>2662</v>
      </c>
      <c r="H70" s="54" t="n">
        <v>2499</v>
      </c>
      <c r="I70" s="65" t="n">
        <f aca="false">IF(H70="","",G70-H70)</f>
        <v>163</v>
      </c>
      <c r="J70" s="55" t="n">
        <f aca="false">IF(OR(D70="",D70+G70=0),"",D70/(D70+G70))</f>
        <v>0.415587266739846</v>
      </c>
      <c r="K70" s="55" t="n">
        <f aca="false">IF(E70="","",E70/(E70+H70))</f>
        <v>0.450285965684118</v>
      </c>
      <c r="L70" s="66" t="n">
        <f aca="false">IF(OR(K70="",J70=""),"",(J70-K70)*100)</f>
        <v>-3.46986989442716</v>
      </c>
      <c r="M70" s="36" t="n">
        <v>2.07588844229782</v>
      </c>
      <c r="N70" s="36" t="n">
        <v>2.07708993274224</v>
      </c>
      <c r="O70" s="36" t="n">
        <f aca="false">SQRT(M70^2+N70^2)</f>
        <v>2.93659929400741</v>
      </c>
      <c r="P70" s="55" t="n">
        <f aca="false">IF(J70="","",MAX(0,J70-1.96*O70/100))</f>
        <v>0.358029920577301</v>
      </c>
      <c r="Q70" s="55" t="n">
        <f aca="false">IF(J70="","",MIN(1,J70+1.96*O70/100))</f>
        <v>0.473144612902392</v>
      </c>
      <c r="R70" s="32" t="str">
        <f aca="false">IF(L70="","",IF(ABS(L70)&lt;=O70,"Yes","No"))</f>
        <v>No</v>
      </c>
      <c r="S70" s="32" t="str">
        <f aca="false">IF(L70="","",IF(ABS(L70)&lt;=1.96*O70,"Yes","No"))</f>
        <v>Yes</v>
      </c>
      <c r="T70" s="54" t="n">
        <f aca="false">IF(D70="","",ROUND(SQRT(((D70+G70)*O70/100)^2+(J70*(D70+G70)*0.06406)^2),0))</f>
        <v>181</v>
      </c>
      <c r="U70" s="32"/>
    </row>
    <row r="71" customFormat="false" ht="15" hidden="false" customHeight="false" outlineLevel="0" collapsed="false">
      <c r="A71" s="32" t="s">
        <v>188</v>
      </c>
      <c r="B71" s="32" t="s">
        <v>205</v>
      </c>
      <c r="C71" s="32" t="s">
        <v>129</v>
      </c>
      <c r="D71" s="54" t="n">
        <v>3397</v>
      </c>
      <c r="E71" s="54" t="n">
        <v>3457</v>
      </c>
      <c r="F71" s="65" t="n">
        <f aca="false">IF(E71="","",D71-E71)</f>
        <v>-60</v>
      </c>
      <c r="G71" s="54" t="n">
        <v>3826</v>
      </c>
      <c r="H71" s="54" t="n">
        <v>3805</v>
      </c>
      <c r="I71" s="65" t="n">
        <f aca="false">IF(H71="","",G71-H71)</f>
        <v>21</v>
      </c>
      <c r="J71" s="55" t="n">
        <f aca="false">IF(OR(D71="",D71+G71=0),"",D71/(D71+G71))</f>
        <v>0.470303198117126</v>
      </c>
      <c r="K71" s="55" t="n">
        <f aca="false">IF(E71="","",E71/(E71+H71))</f>
        <v>0.476039658496282</v>
      </c>
      <c r="L71" s="66" t="n">
        <f aca="false">IF(OR(K71="",J71=""),"",(J71-K71)*100)</f>
        <v>-0.573646037915615</v>
      </c>
      <c r="M71" s="36" t="n">
        <v>2.07588844229782</v>
      </c>
      <c r="N71" s="36" t="n">
        <v>2.07708993274224</v>
      </c>
      <c r="O71" s="36" t="n">
        <f aca="false">SQRT(M71^2+N71^2)</f>
        <v>2.93659929400741</v>
      </c>
      <c r="P71" s="55" t="n">
        <f aca="false">IF(J71="","",MAX(0,J71-1.96*O71/100))</f>
        <v>0.412745851954581</v>
      </c>
      <c r="Q71" s="55" t="n">
        <f aca="false">IF(J71="","",MIN(1,J71+1.96*O71/100))</f>
        <v>0.527860544279671</v>
      </c>
      <c r="R71" s="32" t="str">
        <f aca="false">IF(L71="","",IF(ABS(L71)&lt;=O71,"Yes","No"))</f>
        <v>Yes</v>
      </c>
      <c r="S71" s="32" t="str">
        <f aca="false">IF(L71="","",IF(ABS(L71)&lt;=1.96*O71,"Yes","No"))</f>
        <v>Yes</v>
      </c>
      <c r="T71" s="54" t="n">
        <f aca="false">IF(D71="","",ROUND(SQRT(((D71+G71)*O71/100)^2+(J71*(D71+G71)*0.06406)^2),0))</f>
        <v>304</v>
      </c>
      <c r="U71" s="32"/>
    </row>
    <row r="72" customFormat="false" ht="15" hidden="false" customHeight="false" outlineLevel="0" collapsed="false">
      <c r="A72" s="32" t="s">
        <v>188</v>
      </c>
      <c r="B72" s="32" t="s">
        <v>206</v>
      </c>
      <c r="C72" s="32" t="s">
        <v>129</v>
      </c>
      <c r="D72" s="54" t="n">
        <v>1939</v>
      </c>
      <c r="E72" s="54" t="n">
        <v>2006</v>
      </c>
      <c r="F72" s="65" t="n">
        <f aca="false">IF(E72="","",D72-E72)</f>
        <v>-67</v>
      </c>
      <c r="G72" s="54" t="n">
        <v>4008</v>
      </c>
      <c r="H72" s="54" t="n">
        <v>4057</v>
      </c>
      <c r="I72" s="65" t="n">
        <f aca="false">IF(H72="","",G72-H72)</f>
        <v>-49</v>
      </c>
      <c r="J72" s="55" t="n">
        <f aca="false">IF(OR(D72="",D72+G72=0),"",D72/(D72+G72))</f>
        <v>0.326046746258618</v>
      </c>
      <c r="K72" s="55" t="n">
        <f aca="false">IF(E72="","",E72/(E72+H72))</f>
        <v>0.330859310572324</v>
      </c>
      <c r="L72" s="66" t="n">
        <f aca="false">IF(OR(K72="",J72=""),"",(J72-K72)*100)</f>
        <v>-0.481256431370614</v>
      </c>
      <c r="M72" s="36" t="n">
        <v>2.07588844229782</v>
      </c>
      <c r="N72" s="36" t="n">
        <v>2.07708993274224</v>
      </c>
      <c r="O72" s="36" t="n">
        <f aca="false">SQRT(M72^2+N72^2)</f>
        <v>2.93659929400741</v>
      </c>
      <c r="P72" s="55" t="n">
        <f aca="false">IF(J72="","",MAX(0,J72-1.96*O72/100))</f>
        <v>0.268489400096073</v>
      </c>
      <c r="Q72" s="55" t="n">
        <f aca="false">IF(J72="","",MIN(1,J72+1.96*O72/100))</f>
        <v>0.383604092421163</v>
      </c>
      <c r="R72" s="32" t="str">
        <f aca="false">IF(L72="","",IF(ABS(L72)&lt;=O72,"Yes","No"))</f>
        <v>Yes</v>
      </c>
      <c r="S72" s="32" t="str">
        <f aca="false">IF(L72="","",IF(ABS(L72)&lt;=1.96*O72,"Yes","No"))</f>
        <v>Yes</v>
      </c>
      <c r="T72" s="54" t="n">
        <f aca="false">IF(D72="","",ROUND(SQRT(((D72+G72)*O72/100)^2+(J72*(D72+G72)*0.06406)^2),0))</f>
        <v>214</v>
      </c>
      <c r="U72" s="32"/>
    </row>
    <row r="73" customFormat="false" ht="15" hidden="false" customHeight="false" outlineLevel="0" collapsed="false">
      <c r="A73" s="32" t="s">
        <v>188</v>
      </c>
      <c r="B73" s="32" t="s">
        <v>207</v>
      </c>
      <c r="C73" s="32" t="s">
        <v>129</v>
      </c>
      <c r="D73" s="54" t="n">
        <v>1566</v>
      </c>
      <c r="E73" s="54" t="n">
        <v>1596</v>
      </c>
      <c r="F73" s="65" t="n">
        <f aca="false">IF(E73="","",D73-E73)</f>
        <v>-30</v>
      </c>
      <c r="G73" s="54" t="n">
        <v>1601</v>
      </c>
      <c r="H73" s="54" t="n">
        <v>1664</v>
      </c>
      <c r="I73" s="65" t="n">
        <f aca="false">IF(H73="","",G73-H73)</f>
        <v>-63</v>
      </c>
      <c r="J73" s="55" t="n">
        <f aca="false">IF(OR(D73="",D73+G73=0),"",D73/(D73+G73))</f>
        <v>0.494474265866751</v>
      </c>
      <c r="K73" s="55" t="n">
        <f aca="false">IF(E73="","",E73/(E73+H73))</f>
        <v>0.489570552147239</v>
      </c>
      <c r="L73" s="66" t="n">
        <f aca="false">IF(OR(K73="",J73=""),"",(J73-K73)*100)</f>
        <v>0.490371371951159</v>
      </c>
      <c r="M73" s="36" t="n">
        <v>2.19834869111819</v>
      </c>
      <c r="N73" s="36" t="n">
        <v>2.07708993274224</v>
      </c>
      <c r="O73" s="36" t="n">
        <f aca="false">SQRT(M73^2+N73^2)</f>
        <v>3.02440730663715</v>
      </c>
      <c r="P73" s="55" t="n">
        <f aca="false">IF(J73="","",MAX(0,J73-1.96*O73/100))</f>
        <v>0.435195882656663</v>
      </c>
      <c r="Q73" s="55" t="n">
        <f aca="false">IF(J73="","",MIN(1,J73+1.96*O73/100))</f>
        <v>0.553752649076839</v>
      </c>
      <c r="R73" s="32" t="str">
        <f aca="false">IF(L73="","",IF(ABS(L73)&lt;=O73,"Yes","No"))</f>
        <v>Yes</v>
      </c>
      <c r="S73" s="32" t="str">
        <f aca="false">IF(L73="","",IF(ABS(L73)&lt;=1.96*O73,"Yes","No"))</f>
        <v>Yes</v>
      </c>
      <c r="T73" s="54" t="n">
        <f aca="false">IF(D73="","",ROUND(SQRT(((D73+G73)*O73/100)^2+(J73*(D73+G73)*0.07048)^2),0))</f>
        <v>146</v>
      </c>
      <c r="U73" s="32"/>
    </row>
    <row r="74" customFormat="false" ht="15" hidden="false" customHeight="false" outlineLevel="0" collapsed="false">
      <c r="A74" s="32" t="s">
        <v>188</v>
      </c>
      <c r="B74" s="32" t="s">
        <v>208</v>
      </c>
      <c r="C74" s="32" t="s">
        <v>129</v>
      </c>
      <c r="D74" s="54" t="n">
        <v>859</v>
      </c>
      <c r="E74" s="54" t="n">
        <v>847</v>
      </c>
      <c r="F74" s="65" t="n">
        <f aca="false">IF(E74="","",D74-E74)</f>
        <v>12</v>
      </c>
      <c r="G74" s="54" t="n">
        <v>916</v>
      </c>
      <c r="H74" s="54" t="n">
        <v>889</v>
      </c>
      <c r="I74" s="65" t="n">
        <f aca="false">IF(H74="","",G74-H74)</f>
        <v>27</v>
      </c>
      <c r="J74" s="55" t="n">
        <f aca="false">IF(OR(D74="",D74+G74=0),"",D74/(D74+G74))</f>
        <v>0.483943661971831</v>
      </c>
      <c r="K74" s="55" t="n">
        <f aca="false">IF(E74="","",E74/(E74+H74))</f>
        <v>0.487903225806452</v>
      </c>
      <c r="L74" s="66" t="n">
        <f aca="false">IF(OR(K74="",J74=""),"",(J74-K74)*100)</f>
        <v>-0.395956383462065</v>
      </c>
      <c r="M74" s="36" t="n">
        <v>2.19834869111819</v>
      </c>
      <c r="N74" s="36" t="n">
        <v>2.07708993274224</v>
      </c>
      <c r="O74" s="36" t="n">
        <f aca="false">SQRT(M74^2+N74^2)</f>
        <v>3.02440730663715</v>
      </c>
      <c r="P74" s="55" t="n">
        <f aca="false">IF(J74="","",MAX(0,J74-1.96*O74/100))</f>
        <v>0.424665278761743</v>
      </c>
      <c r="Q74" s="55" t="n">
        <f aca="false">IF(J74="","",MIN(1,J74+1.96*O74/100))</f>
        <v>0.543222045181919</v>
      </c>
      <c r="R74" s="32" t="str">
        <f aca="false">IF(L74="","",IF(ABS(L74)&lt;=O74,"Yes","No"))</f>
        <v>Yes</v>
      </c>
      <c r="S74" s="32" t="str">
        <f aca="false">IF(L74="","",IF(ABS(L74)&lt;=1.96*O74,"Yes","No"))</f>
        <v>Yes</v>
      </c>
      <c r="T74" s="54" t="n">
        <f aca="false">IF(D74="","",ROUND(SQRT(((D74+G74)*O74/100)^2+(J74*(D74+G74)*0.07048)^2),0))</f>
        <v>81</v>
      </c>
      <c r="U74" s="32"/>
    </row>
    <row r="75" customFormat="false" ht="15" hidden="false" customHeight="false" outlineLevel="0" collapsed="false">
      <c r="A75" s="32" t="s">
        <v>188</v>
      </c>
      <c r="B75" s="32" t="s">
        <v>209</v>
      </c>
      <c r="C75" s="32" t="s">
        <v>129</v>
      </c>
      <c r="D75" s="54" t="n">
        <v>2708</v>
      </c>
      <c r="E75" s="54" t="n">
        <v>2573</v>
      </c>
      <c r="F75" s="65" t="n">
        <f aca="false">IF(E75="","",D75-E75)</f>
        <v>135</v>
      </c>
      <c r="G75" s="54" t="n">
        <v>2996</v>
      </c>
      <c r="H75" s="54" t="n">
        <v>3023</v>
      </c>
      <c r="I75" s="65" t="n">
        <f aca="false">IF(H75="","",G75-H75)</f>
        <v>-27</v>
      </c>
      <c r="J75" s="55" t="n">
        <f aca="false">IF(OR(D75="",D75+G75=0),"",D75/(D75+G75))</f>
        <v>0.474754558204769</v>
      </c>
      <c r="K75" s="55" t="n">
        <f aca="false">IF(E75="","",E75/(E75+H75))</f>
        <v>0.459792709077913</v>
      </c>
      <c r="L75" s="66" t="n">
        <f aca="false">IF(OR(K75="",J75=""),"",(J75-K75)*100)</f>
        <v>1.49618491268558</v>
      </c>
      <c r="M75" s="36" t="n">
        <v>2.07588844229782</v>
      </c>
      <c r="N75" s="36" t="n">
        <v>2.07708993274224</v>
      </c>
      <c r="O75" s="36" t="n">
        <f aca="false">SQRT(M75^2+N75^2)</f>
        <v>2.93659929400741</v>
      </c>
      <c r="P75" s="55" t="n">
        <f aca="false">IF(J75="","",MAX(0,J75-1.96*O75/100))</f>
        <v>0.417197212042223</v>
      </c>
      <c r="Q75" s="55" t="n">
        <f aca="false">IF(J75="","",MIN(1,J75+1.96*O75/100))</f>
        <v>0.532311904367314</v>
      </c>
      <c r="R75" s="32" t="str">
        <f aca="false">IF(L75="","",IF(ABS(L75)&lt;=O75,"Yes","No"))</f>
        <v>Yes</v>
      </c>
      <c r="S75" s="32" t="str">
        <f aca="false">IF(L75="","",IF(ABS(L75)&lt;=1.96*O75,"Yes","No"))</f>
        <v>Yes</v>
      </c>
      <c r="T75" s="54" t="n">
        <f aca="false">IF(D75="","",ROUND(SQRT(((D75+G75)*O75/100)^2+(J75*(D75+G75)*0.06406)^2),0))</f>
        <v>241</v>
      </c>
      <c r="U75" s="32"/>
    </row>
    <row r="76" customFormat="false" ht="15" hidden="false" customHeight="false" outlineLevel="0" collapsed="false">
      <c r="A76" s="32" t="s">
        <v>188</v>
      </c>
      <c r="B76" s="32" t="s">
        <v>210</v>
      </c>
      <c r="C76" s="32" t="s">
        <v>129</v>
      </c>
      <c r="D76" s="54" t="n">
        <v>6976</v>
      </c>
      <c r="E76" s="54" t="n">
        <v>6974</v>
      </c>
      <c r="F76" s="65" t="n">
        <f aca="false">IF(E76="","",D76-E76)</f>
        <v>2</v>
      </c>
      <c r="G76" s="54" t="n">
        <v>6818</v>
      </c>
      <c r="H76" s="54" t="n">
        <v>6736</v>
      </c>
      <c r="I76" s="65" t="n">
        <f aca="false">IF(H76="","",G76-H76)</f>
        <v>82</v>
      </c>
      <c r="J76" s="55" t="n">
        <f aca="false">IF(OR(D76="",D76+G76=0),"",D76/(D76+G76))</f>
        <v>0.505727127736697</v>
      </c>
      <c r="K76" s="55" t="n">
        <f aca="false">IF(E76="","",E76/(E76+H76))</f>
        <v>0.508679795769511</v>
      </c>
      <c r="L76" s="66" t="n">
        <f aca="false">IF(OR(K76="",J76=""),"",(J76-K76)*100)</f>
        <v>-0.295266803281413</v>
      </c>
      <c r="M76" s="36" t="n">
        <v>2.07588844229782</v>
      </c>
      <c r="N76" s="36" t="n">
        <v>2.07708993274224</v>
      </c>
      <c r="O76" s="36" t="n">
        <f aca="false">SQRT(M76^2+N76^2)</f>
        <v>2.93659929400741</v>
      </c>
      <c r="P76" s="55" t="n">
        <f aca="false">IF(J76="","",MAX(0,J76-1.96*O76/100))</f>
        <v>0.448169781574152</v>
      </c>
      <c r="Q76" s="55" t="n">
        <f aca="false">IF(J76="","",MIN(1,J76+1.96*O76/100))</f>
        <v>0.563284473899242</v>
      </c>
      <c r="R76" s="32" t="str">
        <f aca="false">IF(L76="","",IF(ABS(L76)&lt;=O76,"Yes","No"))</f>
        <v>Yes</v>
      </c>
      <c r="S76" s="32" t="str">
        <f aca="false">IF(L76="","",IF(ABS(L76)&lt;=1.96*O76,"Yes","No"))</f>
        <v>Yes</v>
      </c>
      <c r="T76" s="54" t="n">
        <f aca="false">IF(D76="","",ROUND(SQRT(((D76+G76)*O76/100)^2+(J76*(D76+G76)*0.06406)^2),0))</f>
        <v>603</v>
      </c>
      <c r="U76" s="32"/>
    </row>
    <row r="77" customFormat="false" ht="15" hidden="false" customHeight="false" outlineLevel="0" collapsed="false">
      <c r="A77" s="32" t="s">
        <v>188</v>
      </c>
      <c r="B77" s="32" t="s">
        <v>211</v>
      </c>
      <c r="C77" s="32" t="s">
        <v>129</v>
      </c>
      <c r="D77" s="54" t="n">
        <v>676</v>
      </c>
      <c r="E77" s="54" t="n">
        <v>703</v>
      </c>
      <c r="F77" s="65" t="n">
        <f aca="false">IF(E77="","",D77-E77)</f>
        <v>-27</v>
      </c>
      <c r="G77" s="54" t="n">
        <v>1169</v>
      </c>
      <c r="H77" s="54" t="n">
        <v>1180</v>
      </c>
      <c r="I77" s="65" t="n">
        <f aca="false">IF(H77="","",G77-H77)</f>
        <v>-11</v>
      </c>
      <c r="J77" s="55" t="n">
        <f aca="false">IF(OR(D77="",D77+G77=0),"",D77/(D77+G77))</f>
        <v>0.36639566395664</v>
      </c>
      <c r="K77" s="55" t="n">
        <f aca="false">IF(E77="","",E77/(E77+H77))</f>
        <v>0.373340414232608</v>
      </c>
      <c r="L77" s="66" t="n">
        <f aca="false">IF(OR(K77="",J77=""),"",(J77-K77)*100)</f>
        <v>-0.694475027596797</v>
      </c>
      <c r="M77" s="36" t="n">
        <v>2.19834869111819</v>
      </c>
      <c r="N77" s="36" t="n">
        <v>2.07708993274224</v>
      </c>
      <c r="O77" s="36" t="n">
        <f aca="false">SQRT(M77^2+N77^2)</f>
        <v>3.02440730663715</v>
      </c>
      <c r="P77" s="55" t="n">
        <f aca="false">IF(J77="","",MAX(0,J77-1.96*O77/100))</f>
        <v>0.307117280746551</v>
      </c>
      <c r="Q77" s="55" t="n">
        <f aca="false">IF(J77="","",MIN(1,J77+1.96*O77/100))</f>
        <v>0.425674047166728</v>
      </c>
      <c r="R77" s="32" t="str">
        <f aca="false">IF(L77="","",IF(ABS(L77)&lt;=O77,"Yes","No"))</f>
        <v>Yes</v>
      </c>
      <c r="S77" s="32" t="str">
        <f aca="false">IF(L77="","",IF(ABS(L77)&lt;=1.96*O77,"Yes","No"))</f>
        <v>Yes</v>
      </c>
      <c r="T77" s="54" t="n">
        <f aca="false">IF(D77="","",ROUND(SQRT(((D77+G77)*O77/100)^2+(J77*(D77+G77)*0.07048)^2),0))</f>
        <v>73</v>
      </c>
      <c r="U77" s="32"/>
    </row>
    <row r="78" customFormat="false" ht="15" hidden="false" customHeight="false" outlineLevel="0" collapsed="false">
      <c r="A78" s="32" t="s">
        <v>188</v>
      </c>
      <c r="B78" s="32" t="s">
        <v>212</v>
      </c>
      <c r="C78" s="32" t="s">
        <v>129</v>
      </c>
      <c r="D78" s="54" t="n">
        <v>1289</v>
      </c>
      <c r="E78" s="54" t="n">
        <v>1361</v>
      </c>
      <c r="F78" s="65" t="n">
        <f aca="false">IF(E78="","",D78-E78)</f>
        <v>-72</v>
      </c>
      <c r="G78" s="54" t="n">
        <v>2661</v>
      </c>
      <c r="H78" s="54" t="n">
        <v>2561</v>
      </c>
      <c r="I78" s="65" t="n">
        <f aca="false">IF(H78="","",G78-H78)</f>
        <v>100</v>
      </c>
      <c r="J78" s="55" t="n">
        <f aca="false">IF(OR(D78="",D78+G78=0),"",D78/(D78+G78))</f>
        <v>0.326329113924051</v>
      </c>
      <c r="K78" s="55" t="n">
        <f aca="false">IF(E78="","",E78/(E78+H78))</f>
        <v>0.347016828148904</v>
      </c>
      <c r="L78" s="66" t="n">
        <f aca="false">IF(OR(K78="",J78=""),"",(J78-K78)*100)</f>
        <v>-2.0687714224853</v>
      </c>
      <c r="M78" s="36" t="n">
        <v>2.07588844229782</v>
      </c>
      <c r="N78" s="36" t="n">
        <v>2.07708993274224</v>
      </c>
      <c r="O78" s="36" t="n">
        <f aca="false">SQRT(M78^2+N78^2)</f>
        <v>2.93659929400741</v>
      </c>
      <c r="P78" s="55" t="n">
        <f aca="false">IF(J78="","",MAX(0,J78-1.96*O78/100))</f>
        <v>0.268771767761505</v>
      </c>
      <c r="Q78" s="55" t="n">
        <f aca="false">IF(J78="","",MIN(1,J78+1.96*O78/100))</f>
        <v>0.383886460086596</v>
      </c>
      <c r="R78" s="32" t="str">
        <f aca="false">IF(L78="","",IF(ABS(L78)&lt;=O78,"Yes","No"))</f>
        <v>Yes</v>
      </c>
      <c r="S78" s="32" t="str">
        <f aca="false">IF(L78="","",IF(ABS(L78)&lt;=1.96*O78,"Yes","No"))</f>
        <v>Yes</v>
      </c>
      <c r="T78" s="54" t="n">
        <f aca="false">IF(D78="","",ROUND(SQRT(((D78+G78)*O78/100)^2+(J78*(D78+G78)*0.06406)^2),0))</f>
        <v>142</v>
      </c>
      <c r="U78" s="32"/>
    </row>
    <row r="79" customFormat="false" ht="15" hidden="false" customHeight="false" outlineLevel="0" collapsed="false">
      <c r="A79" s="32" t="s">
        <v>188</v>
      </c>
      <c r="B79" s="32" t="s">
        <v>213</v>
      </c>
      <c r="C79" s="32" t="s">
        <v>129</v>
      </c>
      <c r="D79" s="54" t="n">
        <v>78</v>
      </c>
      <c r="E79" s="54" t="n">
        <v>92</v>
      </c>
      <c r="F79" s="65" t="n">
        <f aca="false">IF(E79="","",D79-E79)</f>
        <v>-14</v>
      </c>
      <c r="G79" s="54" t="n">
        <v>171</v>
      </c>
      <c r="H79" s="54" t="n">
        <v>167</v>
      </c>
      <c r="I79" s="65" t="n">
        <f aca="false">IF(H79="","",G79-H79)</f>
        <v>4</v>
      </c>
      <c r="J79" s="55" t="n">
        <f aca="false">IF(OR(D79="",D79+G79=0),"",D79/(D79+G79))</f>
        <v>0.313253012048193</v>
      </c>
      <c r="K79" s="55" t="n">
        <f aca="false">IF(E79="","",E79/(E79+H79))</f>
        <v>0.355212355212355</v>
      </c>
      <c r="L79" s="66" t="n">
        <f aca="false">IF(OR(K79="",J79=""),"",(J79-K79)*100)</f>
        <v>-4.19593431641625</v>
      </c>
      <c r="M79" s="36" t="n">
        <v>3.85690205199914</v>
      </c>
      <c r="N79" s="36" t="n">
        <v>2.07708993274224</v>
      </c>
      <c r="O79" s="36" t="n">
        <f aca="false">SQRT(M79^2+N79^2)</f>
        <v>4.38063876933653</v>
      </c>
      <c r="P79" s="55" t="n">
        <f aca="false">IF(J79="","",MAX(0,J79-1.96*O79/100))</f>
        <v>0.227392492169197</v>
      </c>
      <c r="Q79" s="55" t="n">
        <f aca="false">IF(J79="","",MIN(1,J79+1.96*O79/100))</f>
        <v>0.399113531927189</v>
      </c>
      <c r="R79" s="32" t="str">
        <f aca="false">IF(L79="","",IF(ABS(L79)&lt;=O79,"Yes","No"))</f>
        <v>Yes</v>
      </c>
      <c r="S79" s="32" t="str">
        <f aca="false">IF(L79="","",IF(ABS(L79)&lt;=1.96*O79,"Yes","No"))</f>
        <v>Yes</v>
      </c>
      <c r="T79" s="54" t="n">
        <f aca="false">IF(D79="","",ROUND(SQRT(((D79+G79)*O79/100)^2+(J79*(D79+G79)*0.09173)^2),0))</f>
        <v>13</v>
      </c>
      <c r="U79" s="32"/>
    </row>
    <row r="80" customFormat="false" ht="15" hidden="false" customHeight="false" outlineLevel="0" collapsed="false">
      <c r="A80" s="32" t="s">
        <v>188</v>
      </c>
      <c r="B80" s="32" t="s">
        <v>214</v>
      </c>
      <c r="C80" s="32" t="s">
        <v>129</v>
      </c>
      <c r="D80" s="54" t="n">
        <v>331</v>
      </c>
      <c r="E80" s="54" t="n">
        <v>335</v>
      </c>
      <c r="F80" s="65" t="n">
        <f aca="false">IF(E80="","",D80-E80)</f>
        <v>-4</v>
      </c>
      <c r="G80" s="54" t="n">
        <v>601</v>
      </c>
      <c r="H80" s="54" t="n">
        <v>581</v>
      </c>
      <c r="I80" s="65" t="n">
        <f aca="false">IF(H80="","",G80-H80)</f>
        <v>20</v>
      </c>
      <c r="J80" s="55" t="n">
        <f aca="false">IF(OR(D80="",D80+G80=0),"",D80/(D80+G80))</f>
        <v>0.355150214592275</v>
      </c>
      <c r="K80" s="55" t="n">
        <f aca="false">IF(E80="","",E80/(E80+H80))</f>
        <v>0.365720524017467</v>
      </c>
      <c r="L80" s="66" t="n">
        <f aca="false">IF(OR(K80="",J80=""),"",(J80-K80)*100)</f>
        <v>-1.05703094251925</v>
      </c>
      <c r="M80" s="36" t="n">
        <v>3.85690205199914</v>
      </c>
      <c r="N80" s="36" t="n">
        <v>2.07708993274224</v>
      </c>
      <c r="O80" s="36" t="n">
        <f aca="false">SQRT(M80^2+N80^2)</f>
        <v>4.38063876933653</v>
      </c>
      <c r="P80" s="55" t="n">
        <f aca="false">IF(J80="","",MAX(0,J80-1.96*O80/100))</f>
        <v>0.269289694713279</v>
      </c>
      <c r="Q80" s="55" t="n">
        <f aca="false">IF(J80="","",MIN(1,J80+1.96*O80/100))</f>
        <v>0.441010734471271</v>
      </c>
      <c r="R80" s="32" t="str">
        <f aca="false">IF(L80="","",IF(ABS(L80)&lt;=O80,"Yes","No"))</f>
        <v>Yes</v>
      </c>
      <c r="S80" s="32" t="str">
        <f aca="false">IF(L80="","",IF(ABS(L80)&lt;=1.96*O80,"Yes","No"))</f>
        <v>Yes</v>
      </c>
      <c r="T80" s="54" t="n">
        <f aca="false">IF(D80="","",ROUND(SQRT(((D80+G80)*O80/100)^2+(J80*(D80+G80)*0.09173)^2),0))</f>
        <v>51</v>
      </c>
      <c r="U80" s="32"/>
    </row>
    <row r="81" customFormat="false" ht="15" hidden="false" customHeight="false" outlineLevel="0" collapsed="false">
      <c r="A81" s="32" t="s">
        <v>188</v>
      </c>
      <c r="B81" s="32" t="s">
        <v>215</v>
      </c>
      <c r="C81" s="32" t="s">
        <v>129</v>
      </c>
      <c r="D81" s="54" t="n">
        <v>206</v>
      </c>
      <c r="E81" s="54" t="n">
        <v>210</v>
      </c>
      <c r="F81" s="65" t="n">
        <f aca="false">IF(E81="","",D81-E81)</f>
        <v>-4</v>
      </c>
      <c r="G81" s="54" t="n">
        <v>308</v>
      </c>
      <c r="H81" s="54" t="n">
        <v>309</v>
      </c>
      <c r="I81" s="65" t="n">
        <f aca="false">IF(H81="","",G81-H81)</f>
        <v>-1</v>
      </c>
      <c r="J81" s="55" t="n">
        <f aca="false">IF(OR(D81="",D81+G81=0),"",D81/(D81+G81))</f>
        <v>0.400778210116732</v>
      </c>
      <c r="K81" s="55" t="n">
        <f aca="false">IF(E81="","",E81/(E81+H81))</f>
        <v>0.404624277456647</v>
      </c>
      <c r="L81" s="66" t="n">
        <f aca="false">IF(OR(K81="",J81=""),"",(J81-K81)*100)</f>
        <v>-0.384606733991588</v>
      </c>
      <c r="M81" s="36" t="n">
        <v>3.85690205199914</v>
      </c>
      <c r="N81" s="36" t="n">
        <v>2.07708993274224</v>
      </c>
      <c r="O81" s="36" t="n">
        <f aca="false">SQRT(M81^2+N81^2)</f>
        <v>4.38063876933653</v>
      </c>
      <c r="P81" s="55" t="n">
        <f aca="false">IF(J81="","",MAX(0,J81-1.96*O81/100))</f>
        <v>0.314917690237736</v>
      </c>
      <c r="Q81" s="55" t="n">
        <f aca="false">IF(J81="","",MIN(1,J81+1.96*O81/100))</f>
        <v>0.486638729995728</v>
      </c>
      <c r="R81" s="32" t="str">
        <f aca="false">IF(L81="","",IF(ABS(L81)&lt;=O81,"Yes","No"))</f>
        <v>Yes</v>
      </c>
      <c r="S81" s="32" t="str">
        <f aca="false">IF(L81="","",IF(ABS(L81)&lt;=1.96*O81,"Yes","No"))</f>
        <v>Yes</v>
      </c>
      <c r="T81" s="54" t="n">
        <f aca="false">IF(D81="","",ROUND(SQRT(((D81+G81)*O81/100)^2+(J81*(D81+G81)*0.09173)^2),0))</f>
        <v>29</v>
      </c>
      <c r="U81" s="32"/>
    </row>
    <row r="82" customFormat="false" ht="15" hidden="false" customHeight="false" outlineLevel="0" collapsed="false">
      <c r="A82" s="32" t="s">
        <v>188</v>
      </c>
      <c r="B82" s="32" t="s">
        <v>216</v>
      </c>
      <c r="C82" s="32" t="s">
        <v>129</v>
      </c>
      <c r="D82" s="54" t="n">
        <v>314</v>
      </c>
      <c r="E82" s="54" t="n">
        <v>331</v>
      </c>
      <c r="F82" s="65" t="n">
        <f aca="false">IF(E82="","",D82-E82)</f>
        <v>-17</v>
      </c>
      <c r="G82" s="54" t="n">
        <v>458</v>
      </c>
      <c r="H82" s="54" t="n">
        <v>458</v>
      </c>
      <c r="I82" s="65" t="n">
        <f aca="false">IF(H82="","",G82-H82)</f>
        <v>0</v>
      </c>
      <c r="J82" s="55" t="n">
        <f aca="false">IF(OR(D82="",D82+G82=0),"",D82/(D82+G82))</f>
        <v>0.406735751295337</v>
      </c>
      <c r="K82" s="55" t="n">
        <f aca="false">IF(E82="","",E82/(E82+H82))</f>
        <v>0.419518377693283</v>
      </c>
      <c r="L82" s="66" t="n">
        <f aca="false">IF(OR(K82="",J82=""),"",(J82-K82)*100)</f>
        <v>-1.27826263979459</v>
      </c>
      <c r="M82" s="36" t="n">
        <v>3.85690205199914</v>
      </c>
      <c r="N82" s="36" t="n">
        <v>2.07708993274224</v>
      </c>
      <c r="O82" s="36" t="n">
        <f aca="false">SQRT(M82^2+N82^2)</f>
        <v>4.38063876933653</v>
      </c>
      <c r="P82" s="55" t="n">
        <f aca="false">IF(J82="","",MAX(0,J82-1.96*O82/100))</f>
        <v>0.320875231416341</v>
      </c>
      <c r="Q82" s="55" t="n">
        <f aca="false">IF(J82="","",MIN(1,J82+1.96*O82/100))</f>
        <v>0.492596271174333</v>
      </c>
      <c r="R82" s="32" t="str">
        <f aca="false">IF(L82="","",IF(ABS(L82)&lt;=O82,"Yes","No"))</f>
        <v>Yes</v>
      </c>
      <c r="S82" s="32" t="str">
        <f aca="false">IF(L82="","",IF(ABS(L82)&lt;=1.96*O82,"Yes","No"))</f>
        <v>Yes</v>
      </c>
      <c r="T82" s="54" t="n">
        <f aca="false">IF(D82="","",ROUND(SQRT(((D82+G82)*O82/100)^2+(J82*(D82+G82)*0.09173)^2),0))</f>
        <v>44</v>
      </c>
      <c r="U82" s="32"/>
    </row>
    <row r="83" customFormat="false" ht="15" hidden="false" customHeight="false" outlineLevel="0" collapsed="false">
      <c r="A83" s="32" t="s">
        <v>188</v>
      </c>
      <c r="B83" s="32" t="s">
        <v>217</v>
      </c>
      <c r="C83" s="32" t="s">
        <v>129</v>
      </c>
      <c r="D83" s="54" t="n">
        <v>1162</v>
      </c>
      <c r="E83" s="54" t="n">
        <v>1242</v>
      </c>
      <c r="F83" s="65" t="n">
        <f aca="false">IF(E83="","",D83-E83)</f>
        <v>-80</v>
      </c>
      <c r="G83" s="54" t="n">
        <v>2696</v>
      </c>
      <c r="H83" s="54" t="n">
        <v>2716</v>
      </c>
      <c r="I83" s="65" t="n">
        <f aca="false">IF(H83="","",G83-H83)</f>
        <v>-20</v>
      </c>
      <c r="J83" s="55" t="n">
        <f aca="false">IF(OR(D83="",D83+G83=0),"",D83/(D83+G83))</f>
        <v>0.301192327630897</v>
      </c>
      <c r="K83" s="55" t="n">
        <f aca="false">IF(E83="","",E83/(E83+H83))</f>
        <v>0.313794845881759</v>
      </c>
      <c r="L83" s="66" t="n">
        <f aca="false">IF(OR(K83="",J83=""),"",(J83-K83)*100)</f>
        <v>-1.26025182508617</v>
      </c>
      <c r="M83" s="36" t="n">
        <v>2.07588844229782</v>
      </c>
      <c r="N83" s="36" t="n">
        <v>2.07708993274224</v>
      </c>
      <c r="O83" s="36" t="n">
        <f aca="false">SQRT(M83^2+N83^2)</f>
        <v>2.93659929400741</v>
      </c>
      <c r="P83" s="55" t="n">
        <f aca="false">IF(J83="","",MAX(0,J83-1.96*O83/100))</f>
        <v>0.243634981468352</v>
      </c>
      <c r="Q83" s="55" t="n">
        <f aca="false">IF(J83="","",MIN(1,J83+1.96*O83/100))</f>
        <v>0.358749673793442</v>
      </c>
      <c r="R83" s="32" t="str">
        <f aca="false">IF(L83="","",IF(ABS(L83)&lt;=O83,"Yes","No"))</f>
        <v>Yes</v>
      </c>
      <c r="S83" s="32" t="str">
        <f aca="false">IF(L83="","",IF(ABS(L83)&lt;=1.96*O83,"Yes","No"))</f>
        <v>Yes</v>
      </c>
      <c r="T83" s="54" t="n">
        <f aca="false">IF(D83="","",ROUND(SQRT(((D83+G83)*O83/100)^2+(J83*(D83+G83)*0.06406)^2),0))</f>
        <v>136</v>
      </c>
      <c r="U83" s="32"/>
    </row>
    <row r="84" customFormat="false" ht="15" hidden="false" customHeight="false" outlineLevel="0" collapsed="false">
      <c r="A84" s="32" t="s">
        <v>188</v>
      </c>
      <c r="B84" s="32" t="s">
        <v>218</v>
      </c>
      <c r="C84" s="32" t="s">
        <v>129</v>
      </c>
      <c r="D84" s="54" t="n">
        <v>1910</v>
      </c>
      <c r="E84" s="54" t="n">
        <v>1964</v>
      </c>
      <c r="F84" s="65" t="n">
        <f aca="false">IF(E84="","",D84-E84)</f>
        <v>-54</v>
      </c>
      <c r="G84" s="54" t="n">
        <v>2159</v>
      </c>
      <c r="H84" s="54" t="n">
        <v>2147</v>
      </c>
      <c r="I84" s="65" t="n">
        <f aca="false">IF(H84="","",G84-H84)</f>
        <v>12</v>
      </c>
      <c r="J84" s="55" t="n">
        <f aca="false">IF(OR(D84="",D84+G84=0),"",D84/(D84+G84))</f>
        <v>0.469402801671172</v>
      </c>
      <c r="K84" s="55" t="n">
        <f aca="false">IF(E84="","",E84/(E84+H84))</f>
        <v>0.477742641693019</v>
      </c>
      <c r="L84" s="66" t="n">
        <f aca="false">IF(OR(K84="",J84=""),"",(J84-K84)*100)</f>
        <v>-0.833984002184646</v>
      </c>
      <c r="M84" s="36" t="n">
        <v>2.07588844229782</v>
      </c>
      <c r="N84" s="36" t="n">
        <v>2.07708993274224</v>
      </c>
      <c r="O84" s="36" t="n">
        <f aca="false">SQRT(M84^2+N84^2)</f>
        <v>2.93659929400741</v>
      </c>
      <c r="P84" s="55" t="n">
        <f aca="false">IF(J84="","",MAX(0,J84-1.96*O84/100))</f>
        <v>0.411845455508627</v>
      </c>
      <c r="Q84" s="55" t="n">
        <f aca="false">IF(J84="","",MIN(1,J84+1.96*O84/100))</f>
        <v>0.526960147833718</v>
      </c>
      <c r="R84" s="32" t="str">
        <f aca="false">IF(L84="","",IF(ABS(L84)&lt;=O84,"Yes","No"))</f>
        <v>Yes</v>
      </c>
      <c r="S84" s="32" t="str">
        <f aca="false">IF(L84="","",IF(ABS(L84)&lt;=1.96*O84,"Yes","No"))</f>
        <v>Yes</v>
      </c>
      <c r="T84" s="54" t="n">
        <f aca="false">IF(D84="","",ROUND(SQRT(((D84+G84)*O84/100)^2+(J84*(D84+G84)*0.06406)^2),0))</f>
        <v>171</v>
      </c>
      <c r="U84" s="32"/>
    </row>
    <row r="85" customFormat="false" ht="15" hidden="false" customHeight="false" outlineLevel="0" collapsed="false">
      <c r="A85" s="32" t="s">
        <v>188</v>
      </c>
      <c r="B85" s="32" t="s">
        <v>219</v>
      </c>
      <c r="C85" s="32" t="s">
        <v>129</v>
      </c>
      <c r="D85" s="54" t="n">
        <v>420</v>
      </c>
      <c r="E85" s="54" t="n">
        <v>416</v>
      </c>
      <c r="F85" s="65" t="n">
        <f aca="false">IF(E85="","",D85-E85)</f>
        <v>4</v>
      </c>
      <c r="G85" s="54" t="n">
        <v>641</v>
      </c>
      <c r="H85" s="54" t="n">
        <v>658</v>
      </c>
      <c r="I85" s="65" t="n">
        <f aca="false">IF(H85="","",G85-H85)</f>
        <v>-17</v>
      </c>
      <c r="J85" s="55" t="n">
        <f aca="false">IF(OR(D85="",D85+G85=0),"",D85/(D85+G85))</f>
        <v>0.395852968897267</v>
      </c>
      <c r="K85" s="55" t="n">
        <f aca="false">IF(E85="","",E85/(E85+H85))</f>
        <v>0.387337057728119</v>
      </c>
      <c r="L85" s="66" t="n">
        <f aca="false">IF(OR(K85="",J85=""),"",(J85-K85)*100)</f>
        <v>0.851591116914757</v>
      </c>
      <c r="M85" s="36" t="n">
        <v>3.85690205199914</v>
      </c>
      <c r="N85" s="36" t="n">
        <v>2.07708993274224</v>
      </c>
      <c r="O85" s="36" t="n">
        <f aca="false">SQRT(M85^2+N85^2)</f>
        <v>4.38063876933653</v>
      </c>
      <c r="P85" s="55" t="n">
        <f aca="false">IF(J85="","",MAX(0,J85-1.96*O85/100))</f>
        <v>0.309992449018271</v>
      </c>
      <c r="Q85" s="55" t="n">
        <f aca="false">IF(J85="","",MIN(1,J85+1.96*O85/100))</f>
        <v>0.481713488776263</v>
      </c>
      <c r="R85" s="32" t="str">
        <f aca="false">IF(L85="","",IF(ABS(L85)&lt;=O85,"Yes","No"))</f>
        <v>Yes</v>
      </c>
      <c r="S85" s="32" t="str">
        <f aca="false">IF(L85="","",IF(ABS(L85)&lt;=1.96*O85,"Yes","No"))</f>
        <v>Yes</v>
      </c>
      <c r="T85" s="54" t="n">
        <f aca="false">IF(D85="","",ROUND(SQRT(((D85+G85)*O85/100)^2+(J85*(D85+G85)*0.09173)^2),0))</f>
        <v>60</v>
      </c>
      <c r="U85" s="32"/>
    </row>
    <row r="86" customFormat="false" ht="15" hidden="false" customHeight="false" outlineLevel="0" collapsed="false">
      <c r="A86" s="32" t="s">
        <v>188</v>
      </c>
      <c r="B86" s="32" t="s">
        <v>180</v>
      </c>
      <c r="C86" s="32" t="s">
        <v>129</v>
      </c>
      <c r="D86" s="54" t="n">
        <v>1016</v>
      </c>
      <c r="E86" s="54" t="n">
        <v>1041</v>
      </c>
      <c r="F86" s="65" t="n">
        <f aca="false">IF(E86="","",D86-E86)</f>
        <v>-25</v>
      </c>
      <c r="G86" s="54" t="n">
        <v>2060</v>
      </c>
      <c r="H86" s="54" t="n">
        <v>2088</v>
      </c>
      <c r="I86" s="65" t="n">
        <f aca="false">IF(H86="","",G86-H86)</f>
        <v>-28</v>
      </c>
      <c r="J86" s="55" t="n">
        <f aca="false">IF(OR(D86="",D86+G86=0),"",D86/(D86+G86))</f>
        <v>0.330299089726918</v>
      </c>
      <c r="K86" s="55" t="n">
        <f aca="false">IF(E86="","",E86/(E86+H86))</f>
        <v>0.332694151486098</v>
      </c>
      <c r="L86" s="66" t="n">
        <f aca="false">IF(OR(K86="",J86=""),"",(J86-K86)*100)</f>
        <v>-0.239506175917975</v>
      </c>
      <c r="M86" s="36" t="n">
        <v>2.19834869111819</v>
      </c>
      <c r="N86" s="36" t="n">
        <v>2.07708993274224</v>
      </c>
      <c r="O86" s="36" t="n">
        <f aca="false">SQRT(M86^2+N86^2)</f>
        <v>3.02440730663715</v>
      </c>
      <c r="P86" s="55" t="n">
        <f aca="false">IF(J86="","",MAX(0,J86-1.96*O86/100))</f>
        <v>0.27102070651683</v>
      </c>
      <c r="Q86" s="55" t="n">
        <f aca="false">IF(J86="","",MIN(1,J86+1.96*O86/100))</f>
        <v>0.389577472937006</v>
      </c>
      <c r="R86" s="32" t="str">
        <f aca="false">IF(L86="","",IF(ABS(L86)&lt;=O86,"Yes","No"))</f>
        <v>Yes</v>
      </c>
      <c r="S86" s="32" t="str">
        <f aca="false">IF(L86="","",IF(ABS(L86)&lt;=1.96*O86,"Yes","No"))</f>
        <v>Yes</v>
      </c>
      <c r="T86" s="54" t="n">
        <f aca="false">IF(D86="","",ROUND(SQRT(((D86+G86)*O86/100)^2+(J86*(D86+G86)*0.07048)^2),0))</f>
        <v>117</v>
      </c>
      <c r="U86" s="32"/>
    </row>
    <row r="87" customFormat="false" ht="15" hidden="false" customHeight="false" outlineLevel="0" collapsed="false">
      <c r="A87" s="32" t="s">
        <v>188</v>
      </c>
      <c r="B87" s="32" t="s">
        <v>220</v>
      </c>
      <c r="C87" s="32" t="s">
        <v>129</v>
      </c>
      <c r="D87" s="54" t="n">
        <v>256</v>
      </c>
      <c r="E87" s="54" t="n">
        <v>281</v>
      </c>
      <c r="F87" s="65" t="n">
        <f aca="false">IF(E87="","",D87-E87)</f>
        <v>-25</v>
      </c>
      <c r="G87" s="54" t="n">
        <v>351</v>
      </c>
      <c r="H87" s="54" t="n">
        <v>310</v>
      </c>
      <c r="I87" s="65" t="n">
        <f aca="false">IF(H87="","",G87-H87)</f>
        <v>41</v>
      </c>
      <c r="J87" s="55" t="n">
        <f aca="false">IF(OR(D87="",D87+G87=0),"",D87/(D87+G87))</f>
        <v>0.42174629324547</v>
      </c>
      <c r="K87" s="55" t="n">
        <f aca="false">IF(E87="","",E87/(E87+H87))</f>
        <v>0.475465313028765</v>
      </c>
      <c r="L87" s="66" t="n">
        <f aca="false">IF(OR(K87="",J87=""),"",(J87-K87)*100)</f>
        <v>-5.37190197832953</v>
      </c>
      <c r="M87" s="36" t="n">
        <v>3.85690205199914</v>
      </c>
      <c r="N87" s="36" t="n">
        <v>2.07708993274224</v>
      </c>
      <c r="O87" s="36" t="n">
        <f aca="false">SQRT(M87^2+N87^2)</f>
        <v>4.38063876933653</v>
      </c>
      <c r="P87" s="55" t="n">
        <f aca="false">IF(J87="","",MAX(0,J87-1.96*O87/100))</f>
        <v>0.335885773366474</v>
      </c>
      <c r="Q87" s="55" t="n">
        <f aca="false">IF(J87="","",MIN(1,J87+1.96*O87/100))</f>
        <v>0.507606813124466</v>
      </c>
      <c r="R87" s="32" t="str">
        <f aca="false">IF(L87="","",IF(ABS(L87)&lt;=O87,"Yes","No"))</f>
        <v>No</v>
      </c>
      <c r="S87" s="32" t="str">
        <f aca="false">IF(L87="","",IF(ABS(L87)&lt;=1.96*O87,"Yes","No"))</f>
        <v>Yes</v>
      </c>
      <c r="T87" s="54" t="n">
        <f aca="false">IF(D87="","",ROUND(SQRT(((D87+G87)*O87/100)^2+(J87*(D87+G87)*0.09173)^2),0))</f>
        <v>35</v>
      </c>
      <c r="U87" s="32"/>
    </row>
    <row r="88" customFormat="false" ht="15" hidden="false" customHeight="false" outlineLevel="0" collapsed="false">
      <c r="A88" s="32" t="s">
        <v>188</v>
      </c>
      <c r="B88" s="32" t="s">
        <v>221</v>
      </c>
      <c r="C88" s="32" t="s">
        <v>129</v>
      </c>
      <c r="D88" s="54" t="n">
        <v>1747</v>
      </c>
      <c r="E88" s="54" t="n">
        <v>1847</v>
      </c>
      <c r="F88" s="65" t="n">
        <f aca="false">IF(E88="","",D88-E88)</f>
        <v>-100</v>
      </c>
      <c r="G88" s="54" t="n">
        <v>2442</v>
      </c>
      <c r="H88" s="54" t="n">
        <v>2401</v>
      </c>
      <c r="I88" s="65" t="n">
        <f aca="false">IF(H88="","",G88-H88)</f>
        <v>41</v>
      </c>
      <c r="J88" s="55" t="n">
        <f aca="false">IF(OR(D88="",D88+G88=0),"",D88/(D88+G88))</f>
        <v>0.41704464072571</v>
      </c>
      <c r="K88" s="55" t="n">
        <f aca="false">IF(E88="","",E88/(E88+H88))</f>
        <v>0.434792843691149</v>
      </c>
      <c r="L88" s="66" t="n">
        <f aca="false">IF(OR(K88="",J88=""),"",(J88-K88)*100)</f>
        <v>-1.77482029654386</v>
      </c>
      <c r="M88" s="36" t="n">
        <v>2.07588844229782</v>
      </c>
      <c r="N88" s="36" t="n">
        <v>2.07708993274224</v>
      </c>
      <c r="O88" s="36" t="n">
        <f aca="false">SQRT(M88^2+N88^2)</f>
        <v>2.93659929400741</v>
      </c>
      <c r="P88" s="55" t="n">
        <f aca="false">IF(J88="","",MAX(0,J88-1.96*O88/100))</f>
        <v>0.359487294563165</v>
      </c>
      <c r="Q88" s="55" t="n">
        <f aca="false">IF(J88="","",MIN(1,J88+1.96*O88/100))</f>
        <v>0.474601986888255</v>
      </c>
      <c r="R88" s="32" t="str">
        <f aca="false">IF(L88="","",IF(ABS(L88)&lt;=O88,"Yes","No"))</f>
        <v>Yes</v>
      </c>
      <c r="S88" s="32" t="str">
        <f aca="false">IF(L88="","",IF(ABS(L88)&lt;=1.96*O88,"Yes","No"))</f>
        <v>Yes</v>
      </c>
      <c r="T88" s="54" t="n">
        <f aca="false">IF(D88="","",ROUND(SQRT(((D88+G88)*O88/100)^2+(J88*(D88+G88)*0.06406)^2),0))</f>
        <v>166</v>
      </c>
      <c r="U88" s="32"/>
    </row>
    <row r="89" customFormat="false" ht="15" hidden="false" customHeight="false" outlineLevel="0" collapsed="false">
      <c r="A89" s="32" t="s">
        <v>188</v>
      </c>
      <c r="B89" s="32" t="s">
        <v>222</v>
      </c>
      <c r="C89" s="32" t="s">
        <v>129</v>
      </c>
      <c r="D89" s="54" t="n">
        <v>1859</v>
      </c>
      <c r="E89" s="54" t="n">
        <v>1897</v>
      </c>
      <c r="F89" s="65" t="n">
        <f aca="false">IF(E89="","",D89-E89)</f>
        <v>-38</v>
      </c>
      <c r="G89" s="54" t="n">
        <v>1547</v>
      </c>
      <c r="H89" s="54" t="n">
        <v>1538</v>
      </c>
      <c r="I89" s="65" t="n">
        <f aca="false">IF(H89="","",G89-H89)</f>
        <v>9</v>
      </c>
      <c r="J89" s="55" t="n">
        <f aca="false">IF(OR(D89="",D89+G89=0),"",D89/(D89+G89))</f>
        <v>0.545801526717557</v>
      </c>
      <c r="K89" s="55" t="n">
        <f aca="false">IF(E89="","",E89/(E89+H89))</f>
        <v>0.552256186317322</v>
      </c>
      <c r="L89" s="66" t="n">
        <f aca="false">IF(OR(K89="",J89=""),"",(J89-K89)*100)</f>
        <v>-0.645465959976443</v>
      </c>
      <c r="M89" s="36" t="n">
        <v>2.19834869111819</v>
      </c>
      <c r="N89" s="36" t="n">
        <v>2.07708993274224</v>
      </c>
      <c r="O89" s="36" t="n">
        <f aca="false">SQRT(M89^2+N89^2)</f>
        <v>3.02440730663715</v>
      </c>
      <c r="P89" s="55" t="n">
        <f aca="false">IF(J89="","",MAX(0,J89-1.96*O89/100))</f>
        <v>0.486523143507469</v>
      </c>
      <c r="Q89" s="55" t="n">
        <f aca="false">IF(J89="","",MIN(1,J89+1.96*O89/100))</f>
        <v>0.605079909927646</v>
      </c>
      <c r="R89" s="32" t="str">
        <f aca="false">IF(L89="","",IF(ABS(L89)&lt;=O89,"Yes","No"))</f>
        <v>Yes</v>
      </c>
      <c r="S89" s="32" t="str">
        <f aca="false">IF(L89="","",IF(ABS(L89)&lt;=1.96*O89,"Yes","No"))</f>
        <v>Yes</v>
      </c>
      <c r="T89" s="54" t="n">
        <f aca="false">IF(D89="","",ROUND(SQRT(((D89+G89)*O89/100)^2+(J89*(D89+G89)*0.07048)^2),0))</f>
        <v>167</v>
      </c>
      <c r="U89" s="32"/>
    </row>
    <row r="90" customFormat="false" ht="15" hidden="false" customHeight="false" outlineLevel="0" collapsed="false">
      <c r="A90" s="32" t="s">
        <v>188</v>
      </c>
      <c r="B90" s="32" t="s">
        <v>223</v>
      </c>
      <c r="C90" s="32" t="s">
        <v>129</v>
      </c>
      <c r="D90" s="54" t="n">
        <v>620</v>
      </c>
      <c r="E90" s="54" t="n">
        <v>634</v>
      </c>
      <c r="F90" s="65" t="n">
        <f aca="false">IF(E90="","",D90-E90)</f>
        <v>-14</v>
      </c>
      <c r="G90" s="54" t="n">
        <v>906</v>
      </c>
      <c r="H90" s="54" t="n">
        <v>856</v>
      </c>
      <c r="I90" s="65" t="n">
        <f aca="false">IF(H90="","",G90-H90)</f>
        <v>50</v>
      </c>
      <c r="J90" s="55" t="n">
        <f aca="false">IF(OR(D90="",D90+G90=0),"",D90/(D90+G90))</f>
        <v>0.406290956749672</v>
      </c>
      <c r="K90" s="55" t="n">
        <f aca="false">IF(E90="","",E90/(E90+H90))</f>
        <v>0.425503355704698</v>
      </c>
      <c r="L90" s="66" t="n">
        <f aca="false">IF(OR(K90="",J90=""),"",(J90-K90)*100)</f>
        <v>-1.92123989550256</v>
      </c>
      <c r="M90" s="36" t="n">
        <v>3.85690205199914</v>
      </c>
      <c r="N90" s="36" t="n">
        <v>2.07708993274224</v>
      </c>
      <c r="O90" s="36" t="n">
        <f aca="false">SQRT(M90^2+N90^2)</f>
        <v>4.38063876933653</v>
      </c>
      <c r="P90" s="55" t="n">
        <f aca="false">IF(J90="","",MAX(0,J90-1.96*O90/100))</f>
        <v>0.320430436870676</v>
      </c>
      <c r="Q90" s="55" t="n">
        <f aca="false">IF(J90="","",MIN(1,J90+1.96*O90/100))</f>
        <v>0.492151476628668</v>
      </c>
      <c r="R90" s="32" t="str">
        <f aca="false">IF(L90="","",IF(ABS(L90)&lt;=O90,"Yes","No"))</f>
        <v>Yes</v>
      </c>
      <c r="S90" s="32" t="str">
        <f aca="false">IF(L90="","",IF(ABS(L90)&lt;=1.96*O90,"Yes","No"))</f>
        <v>Yes</v>
      </c>
      <c r="T90" s="54" t="n">
        <f aca="false">IF(D90="","",ROUND(SQRT(((D90+G90)*O90/100)^2+(J90*(D90+G90)*0.09173)^2),0))</f>
        <v>88</v>
      </c>
      <c r="U90" s="32"/>
    </row>
    <row r="92" customFormat="false" ht="15" hidden="false" customHeight="false" outlineLevel="0" collapsed="false">
      <c r="A92" s="20" t="s">
        <v>351</v>
      </c>
      <c r="B92" s="67"/>
      <c r="C92" s="67"/>
      <c r="D92" s="68" t="n">
        <f aca="false">SUMIF(E2:E90,"&lt;&gt;",D2:D90)</f>
        <v>196809</v>
      </c>
      <c r="E92" s="68" t="n">
        <f aca="false">SUM(E2:E90)</f>
        <v>199626</v>
      </c>
      <c r="F92" s="69" t="n">
        <f aca="false">D92-E92</f>
        <v>-2817</v>
      </c>
      <c r="G92" s="68" t="n">
        <f aca="false">SUMIF(H2:H90,"&lt;&gt;",G2:G90)</f>
        <v>204314</v>
      </c>
      <c r="H92" s="68" t="n">
        <f aca="false">SUM(H2:H90)</f>
        <v>203688</v>
      </c>
      <c r="I92" s="69" t="n">
        <f aca="false">G92-H92</f>
        <v>626</v>
      </c>
      <c r="J92" s="70" t="n">
        <f aca="false">D92/(D92+G92)</f>
        <v>0.49064501412285</v>
      </c>
      <c r="K92" s="70" t="n">
        <f aca="false">E92/(E92+H92)</f>
        <v>0.49496422142549</v>
      </c>
      <c r="L92" s="71" t="n">
        <f aca="false">(J92-K92)*100</f>
        <v>-0.431920730263968</v>
      </c>
      <c r="M92" s="72" t="n">
        <v>0</v>
      </c>
      <c r="N92" s="72" t="n">
        <v>2.07708993274224</v>
      </c>
      <c r="O92" s="72" t="n">
        <f aca="false">SQRT(M92^2+N92^2)</f>
        <v>2.07708993274224</v>
      </c>
      <c r="P92" s="70" t="n">
        <f aca="false">J92-1.96*O92/100</f>
        <v>0.449934051441102</v>
      </c>
      <c r="Q92" s="70" t="n">
        <f aca="false">J92+1.96*O92/100</f>
        <v>0.531355976804598</v>
      </c>
      <c r="R92" s="67" t="str">
        <f aca="false">IF(ABS(L92)&lt;=O92,"Yes","No")</f>
        <v>Yes</v>
      </c>
      <c r="S92" s="67" t="str">
        <f aca="false">IF(ABS(L92)&lt;=1.96*O92,"Yes","No")</f>
        <v>Yes</v>
      </c>
      <c r="T92" s="68" t="n">
        <f aca="false">ROUND(SQRT(((D92+G92)*O92/100)^2+(J92*(D92+G92)*0.05028)^2),0)</f>
        <v>12936</v>
      </c>
    </row>
    <row r="93" customFormat="false" ht="15" hidden="false" customHeight="false" outlineLevel="0" collapsed="false">
      <c r="A93" s="20" t="s">
        <v>352</v>
      </c>
      <c r="B93" s="67"/>
      <c r="C93" s="67"/>
      <c r="D93" s="68" t="n">
        <f aca="false">SUM(D2:D90)</f>
        <v>196809</v>
      </c>
      <c r="E93" s="68"/>
      <c r="F93" s="69"/>
      <c r="G93" s="68" t="n">
        <f aca="false">SUM(G2:G90)</f>
        <v>204314</v>
      </c>
      <c r="H93" s="68"/>
      <c r="I93" s="69"/>
      <c r="J93" s="70" t="n">
        <f aca="false">D93/(D93+G93)</f>
        <v>0.49064501412285</v>
      </c>
      <c r="K93" s="70"/>
      <c r="L93" s="71"/>
      <c r="M93" s="72"/>
      <c r="N93" s="72"/>
      <c r="O93" s="72"/>
      <c r="P93" s="70"/>
      <c r="Q93" s="70"/>
      <c r="R93" s="67"/>
      <c r="S93" s="67"/>
      <c r="T93" s="68"/>
    </row>
    <row r="95" customFormat="false" ht="15" hidden="false" customHeight="false" outlineLevel="0" collapsed="false">
      <c r="A95" s="2" t="s">
        <v>353</v>
      </c>
      <c r="F95" s="73" t="n">
        <f aca="false">(SUMIF(F2:F90,"&gt;0")-SUMIF(F2:F90,"&lt;0"))/COUNT(F2:F90)</f>
        <v>76.5280898876405</v>
      </c>
    </row>
    <row r="96" customFormat="false" ht="15" hidden="false" customHeight="false" outlineLevel="0" collapsed="false">
      <c r="A96" s="2" t="s">
        <v>354</v>
      </c>
      <c r="F96" s="73" t="n">
        <f aca="false">(SUMIF(I2:I90,"&gt;0")-SUMIF(I2:I90,"&lt;0"))/COUNT(I2:I90)</f>
        <v>58.4719101123596</v>
      </c>
    </row>
    <row r="97" customFormat="false" ht="15" hidden="false" customHeight="false" outlineLevel="0" collapsed="false">
      <c r="A97" s="2" t="s">
        <v>355</v>
      </c>
      <c r="F97" s="74" t="n">
        <f aca="false">(SUMIF(L2:L90,"&gt;0")-SUMIF(L2:L90,"&lt;0"))/COUNT(L2:L90)</f>
        <v>1.4779090463886</v>
      </c>
    </row>
    <row r="98" customFormat="false" ht="15" hidden="false" customHeight="false" outlineLevel="0" collapsed="false">
      <c r="A98" s="5" t="s">
        <v>356</v>
      </c>
      <c r="F98" s="75" t="n">
        <f aca="false">SQRT(SUMSQ(L2:L90)/COUNT(L2:L90))</f>
        <v>1.94089663493959</v>
      </c>
    </row>
    <row r="99" customFormat="false" ht="15" hidden="false" customHeight="false" outlineLevel="0" collapsed="false">
      <c r="A99" s="5" t="s">
        <v>357</v>
      </c>
      <c r="F99" s="76" t="n">
        <f aca="false">L92</f>
        <v>-0.431920730263968</v>
      </c>
    </row>
    <row r="100" customFormat="false" ht="15" hidden="false" customHeight="false" outlineLevel="0" collapsed="false">
      <c r="A100" s="5" t="s">
        <v>358</v>
      </c>
      <c r="F100" s="75" t="n">
        <f aca="false">SQRT((SUMSQ(L2:L90)-2*L92*SUM(L2:L90)+COUNT(L2:L90)*L92^2)/COUNT(L2:L90))</f>
        <v>1.8079196545058</v>
      </c>
    </row>
    <row r="101" customFormat="false" ht="15" hidden="false" customHeight="false" outlineLevel="0" collapsed="false">
      <c r="A101" s="2" t="s">
        <v>359</v>
      </c>
      <c r="F101" s="77" t="n">
        <f aca="false">D92/E92-1</f>
        <v>-0.0141113882961137</v>
      </c>
    </row>
    <row r="102" customFormat="false" ht="15" hidden="false" customHeight="false" outlineLevel="0" collapsed="false">
      <c r="A102" s="5" t="s">
        <v>360</v>
      </c>
      <c r="F102" s="78" t="n">
        <f aca="false">G92/H92-1</f>
        <v>0.00307332783472769</v>
      </c>
    </row>
    <row r="103" customFormat="false" ht="15" hidden="false" customHeight="false" outlineLevel="0" collapsed="false">
      <c r="A103" s="2" t="s">
        <v>361</v>
      </c>
      <c r="F103" s="77" t="n">
        <f aca="false">(D92+G92)/(E92+H92)-1</f>
        <v>-0.00543249180539229</v>
      </c>
    </row>
    <row r="104" customFormat="false" ht="15" hidden="false" customHeight="false" outlineLevel="0" collapsed="false">
      <c r="A104" s="2" t="s">
        <v>362</v>
      </c>
      <c r="F104" s="74" t="n">
        <f aca="false">AVERAGE(O2:O90)</f>
        <v>3.45196577295276</v>
      </c>
    </row>
    <row r="105" customFormat="false" ht="15" hidden="false" customHeight="false" outlineLevel="0" collapsed="false">
      <c r="A105" s="5" t="s">
        <v>363</v>
      </c>
      <c r="F105" s="79" t="n">
        <f aca="false">COUNTIF(R2:R90,"Yes")/(COUNTIF(R2:R90,"Yes")+COUNTIF(R2:R90,"No"))</f>
        <v>0.955056179775281</v>
      </c>
    </row>
    <row r="106" customFormat="false" ht="15" hidden="false" customHeight="false" outlineLevel="0" collapsed="false">
      <c r="A106" s="5" t="s">
        <v>364</v>
      </c>
      <c r="F106" s="79" t="n">
        <f aca="false">COUNTIF(S2:S90,"Yes")/(COUNTIF(S2:S90,"Yes")+COUNTIF(S2:S90,"No"))</f>
        <v>1</v>
      </c>
    </row>
    <row r="107" customFormat="false" ht="15" hidden="false" customHeight="false" outlineLevel="0" collapsed="false">
      <c r="A107" s="2" t="s">
        <v>365</v>
      </c>
      <c r="F107" s="80" t="n">
        <f aca="false">COUNTIFS(L2:L90,"&gt;=-3",L2:L90,"&lt;=3")/COUNT(L2:L90)</f>
        <v>0.887640449438202</v>
      </c>
    </row>
    <row r="108" customFormat="false" ht="15" hidden="false" customHeight="false" outlineLevel="0" collapsed="false">
      <c r="A108" s="2" t="s">
        <v>366</v>
      </c>
      <c r="F108" s="81" t="n">
        <f aca="false">COUNT(E2:E90)</f>
        <v>89</v>
      </c>
    </row>
    <row r="109" customFormat="false" ht="15" hidden="false" customHeight="false" outlineLevel="0" collapsed="false">
      <c r="A109" s="2" t="s">
        <v>367</v>
      </c>
      <c r="F109" s="81" t="n">
        <f aca="false">COUNTA(A2:A90)</f>
        <v>89</v>
      </c>
    </row>
    <row r="111" customFormat="false" ht="15" hidden="false" customHeight="false" outlineLevel="0" collapsed="false">
      <c r="U111" s="5" t="s">
        <v>104</v>
      </c>
    </row>
    <row r="112" customFormat="false" ht="28.35" hidden="false" customHeight="false" outlineLevel="0" collapsed="false">
      <c r="U112" s="64" t="s">
        <v>368</v>
      </c>
    </row>
    <row r="113" customFormat="false" ht="15" hidden="false" customHeight="false" outlineLevel="0" collapsed="false">
      <c r="U113" s="64" t="s">
        <v>369</v>
      </c>
    </row>
    <row r="114" customFormat="false" ht="15" hidden="false" customHeight="false" outlineLevel="0" collapsed="false">
      <c r="U114" s="64" t="s">
        <v>370</v>
      </c>
    </row>
    <row r="115" customFormat="false" ht="15" hidden="false" customHeight="false" outlineLevel="0" collapsed="false">
      <c r="U115" s="64" t="s">
        <v>371</v>
      </c>
    </row>
    <row r="116" customFormat="false" ht="28.35" hidden="false" customHeight="false" outlineLevel="0" collapsed="false">
      <c r="U116" s="64" t="s">
        <v>372</v>
      </c>
    </row>
    <row r="117" customFormat="false" ht="28.35" hidden="false" customHeight="false" outlineLevel="0" collapsed="false">
      <c r="U117" s="64" t="s">
        <v>373</v>
      </c>
    </row>
    <row r="118" customFormat="false" ht="28.35" hidden="false" customHeight="false" outlineLevel="0" collapsed="false">
      <c r="U118" s="64" t="s">
        <v>374</v>
      </c>
    </row>
    <row r="119" customFormat="false" ht="41.75" hidden="false" customHeight="false" outlineLevel="0" collapsed="false">
      <c r="U119" s="64" t="s">
        <v>375</v>
      </c>
    </row>
    <row r="120" customFormat="false" ht="15" hidden="false" customHeight="false" outlineLevel="0" collapsed="false">
      <c r="U120" s="64" t="s">
        <v>376</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77</v>
      </c>
      <c r="B1" s="8" t="s">
        <v>78</v>
      </c>
      <c r="C1" s="8" t="s">
        <v>79</v>
      </c>
      <c r="D1" s="8" t="s">
        <v>334</v>
      </c>
      <c r="E1" s="8" t="s">
        <v>335</v>
      </c>
      <c r="F1" s="8" t="s">
        <v>336</v>
      </c>
      <c r="G1" s="8" t="s">
        <v>337</v>
      </c>
      <c r="H1" s="8" t="s">
        <v>338</v>
      </c>
      <c r="I1" s="8" t="s">
        <v>339</v>
      </c>
      <c r="J1" s="8" t="s">
        <v>340</v>
      </c>
      <c r="K1" s="8" t="s">
        <v>341</v>
      </c>
      <c r="L1" s="8" t="s">
        <v>342</v>
      </c>
      <c r="M1" s="8" t="s">
        <v>343</v>
      </c>
      <c r="N1" s="8" t="s">
        <v>344</v>
      </c>
      <c r="O1" s="8" t="s">
        <v>107</v>
      </c>
      <c r="P1" s="8" t="s">
        <v>345</v>
      </c>
      <c r="Q1" s="8" t="s">
        <v>346</v>
      </c>
      <c r="R1" s="8" t="s">
        <v>347</v>
      </c>
      <c r="S1" s="8" t="s">
        <v>348</v>
      </c>
      <c r="T1" s="8" t="s">
        <v>349</v>
      </c>
      <c r="U1" s="8" t="s">
        <v>350</v>
      </c>
    </row>
    <row r="2" customFormat="false" ht="15" hidden="false" customHeight="false" outlineLevel="0" collapsed="false">
      <c r="A2" s="32" t="s">
        <v>127</v>
      </c>
      <c r="B2" s="32" t="s">
        <v>128</v>
      </c>
      <c r="C2" s="32" t="s">
        <v>129</v>
      </c>
      <c r="D2" s="54" t="n">
        <v>152</v>
      </c>
      <c r="E2" s="54" t="n">
        <v>181</v>
      </c>
      <c r="F2" s="65" t="n">
        <f aca="false">IF(E2="","",D2-E2)</f>
        <v>-29</v>
      </c>
      <c r="G2" s="54" t="n">
        <v>286</v>
      </c>
      <c r="H2" s="54" t="n">
        <v>285</v>
      </c>
      <c r="I2" s="65" t="n">
        <f aca="false">IF(H2="","",G2-H2)</f>
        <v>1</v>
      </c>
      <c r="J2" s="55" t="n">
        <f aca="false">IF(OR(D2="",D2+G2=0),"",D2/(D2+G2))</f>
        <v>0.34703196347032</v>
      </c>
      <c r="K2" s="55" t="n">
        <f aca="false">IF(E2="","",E2/(E2+H2))</f>
        <v>0.388412017167382</v>
      </c>
      <c r="L2" s="66" t="n">
        <f aca="false">IF(OR(K2="",J2=""),"",(J2-K2)*100)</f>
        <v>-4.13800536970624</v>
      </c>
      <c r="M2" s="36" t="n">
        <v>3.65235826718192</v>
      </c>
      <c r="N2" s="36" t="n">
        <v>2.07645439039877</v>
      </c>
      <c r="O2" s="36" t="n">
        <f aca="false">SQRT(M2^2+N2^2)</f>
        <v>4.20135498943596</v>
      </c>
      <c r="P2" s="55" t="n">
        <f aca="false">IF(J2="","",MAX(0,J2-1.96*O2/100))</f>
        <v>0.264685405677375</v>
      </c>
      <c r="Q2" s="55" t="n">
        <f aca="false">IF(J2="","",MIN(1,J2+1.96*O2/100))</f>
        <v>0.429378521263264</v>
      </c>
      <c r="R2" s="32" t="str">
        <f aca="false">IF(L2="","",IF(ABS(L2)&lt;=O2,"Yes","No"))</f>
        <v>Yes</v>
      </c>
      <c r="S2" s="32" t="str">
        <f aca="false">IF(L2="","",IF(ABS(L2)&lt;=1.96*O2,"Yes","No"))</f>
        <v>Yes</v>
      </c>
      <c r="T2" s="54" t="n">
        <f aca="false">IF(D2="","",ROUND(SQRT(((D2+G2)*O2/100)^2+(J2*(D2+G2)*0.09173)^2),0))</f>
        <v>23</v>
      </c>
      <c r="U2" s="32"/>
    </row>
    <row r="3" customFormat="false" ht="15" hidden="false" customHeight="false" outlineLevel="0" collapsed="false">
      <c r="A3" s="32" t="s">
        <v>127</v>
      </c>
      <c r="B3" s="32" t="s">
        <v>133</v>
      </c>
      <c r="C3" s="32" t="s">
        <v>129</v>
      </c>
      <c r="D3" s="54" t="n">
        <v>104</v>
      </c>
      <c r="E3" s="54" t="n">
        <v>118</v>
      </c>
      <c r="F3" s="65" t="n">
        <f aca="false">IF(E3="","",D3-E3)</f>
        <v>-14</v>
      </c>
      <c r="G3" s="54" t="n">
        <v>300</v>
      </c>
      <c r="H3" s="54" t="n">
        <v>300</v>
      </c>
      <c r="I3" s="65" t="n">
        <f aca="false">IF(H3="","",G3-H3)</f>
        <v>0</v>
      </c>
      <c r="J3" s="55" t="n">
        <f aca="false">IF(OR(D3="",D3+G3=0),"",D3/(D3+G3))</f>
        <v>0.257425742574257</v>
      </c>
      <c r="K3" s="55" t="n">
        <f aca="false">IF(E3="","",E3/(E3+H3))</f>
        <v>0.282296650717703</v>
      </c>
      <c r="L3" s="66" t="n">
        <f aca="false">IF(OR(K3="",J3=""),"",(J3-K3)*100)</f>
        <v>-2.48709081434459</v>
      </c>
      <c r="M3" s="36" t="n">
        <v>3.65235826718192</v>
      </c>
      <c r="N3" s="36" t="n">
        <v>2.07645439039877</v>
      </c>
      <c r="O3" s="36" t="n">
        <f aca="false">SQRT(M3^2+N3^2)</f>
        <v>4.20135498943596</v>
      </c>
      <c r="P3" s="55" t="n">
        <f aca="false">IF(J3="","",MAX(0,J3-1.96*O3/100))</f>
        <v>0.175079184781313</v>
      </c>
      <c r="Q3" s="55" t="n">
        <f aca="false">IF(J3="","",MIN(1,J3+1.96*O3/100))</f>
        <v>0.339772300367202</v>
      </c>
      <c r="R3" s="32" t="str">
        <f aca="false">IF(L3="","",IF(ABS(L3)&lt;=O3,"Yes","No"))</f>
        <v>Yes</v>
      </c>
      <c r="S3" s="32" t="str">
        <f aca="false">IF(L3="","",IF(ABS(L3)&lt;=1.96*O3,"Yes","No"))</f>
        <v>Yes</v>
      </c>
      <c r="T3" s="54" t="n">
        <f aca="false">IF(D3="","",ROUND(SQRT(((D3+G3)*O3/100)^2+(J3*(D3+G3)*0.09173)^2),0))</f>
        <v>19</v>
      </c>
      <c r="U3" s="32"/>
    </row>
    <row r="4" customFormat="false" ht="15" hidden="false" customHeight="false" outlineLevel="0" collapsed="false">
      <c r="A4" s="32" t="s">
        <v>127</v>
      </c>
      <c r="B4" s="32" t="s">
        <v>134</v>
      </c>
      <c r="C4" s="32" t="s">
        <v>129</v>
      </c>
      <c r="D4" s="54" t="n">
        <v>130</v>
      </c>
      <c r="E4" s="54" t="n">
        <v>144</v>
      </c>
      <c r="F4" s="65" t="n">
        <f aca="false">IF(E4="","",D4-E4)</f>
        <v>-14</v>
      </c>
      <c r="G4" s="54" t="n">
        <v>273</v>
      </c>
      <c r="H4" s="54" t="n">
        <v>310</v>
      </c>
      <c r="I4" s="65" t="n">
        <f aca="false">IF(H4="","",G4-H4)</f>
        <v>-37</v>
      </c>
      <c r="J4" s="55" t="n">
        <f aca="false">IF(OR(D4="",D4+G4=0),"",D4/(D4+G4))</f>
        <v>0.32258064516129</v>
      </c>
      <c r="K4" s="55" t="n">
        <f aca="false">IF(E4="","",E4/(E4+H4))</f>
        <v>0.317180616740088</v>
      </c>
      <c r="L4" s="66" t="n">
        <f aca="false">IF(OR(K4="",J4=""),"",(J4-K4)*100)</f>
        <v>0.540002842120219</v>
      </c>
      <c r="M4" s="36" t="n">
        <v>3.65235826718192</v>
      </c>
      <c r="N4" s="36" t="n">
        <v>2.07645439039877</v>
      </c>
      <c r="O4" s="36" t="n">
        <f aca="false">SQRT(M4^2+N4^2)</f>
        <v>4.20135498943596</v>
      </c>
      <c r="P4" s="55" t="n">
        <f aca="false">IF(J4="","",MAX(0,J4-1.96*O4/100))</f>
        <v>0.240234087368346</v>
      </c>
      <c r="Q4" s="55" t="n">
        <f aca="false">IF(J4="","",MIN(1,J4+1.96*O4/100))</f>
        <v>0.404927202954235</v>
      </c>
      <c r="R4" s="32" t="str">
        <f aca="false">IF(L4="","",IF(ABS(L4)&lt;=O4,"Yes","No"))</f>
        <v>Yes</v>
      </c>
      <c r="S4" s="32" t="str">
        <f aca="false">IF(L4="","",IF(ABS(L4)&lt;=1.96*O4,"Yes","No"))</f>
        <v>Yes</v>
      </c>
      <c r="T4" s="54" t="n">
        <f aca="false">IF(D4="","",ROUND(SQRT(((D4+G4)*O4/100)^2+(J4*(D4+G4)*0.09173)^2),0))</f>
        <v>21</v>
      </c>
      <c r="U4" s="32"/>
    </row>
    <row r="5" customFormat="false" ht="15" hidden="false" customHeight="false" outlineLevel="0" collapsed="false">
      <c r="A5" s="32" t="s">
        <v>127</v>
      </c>
      <c r="B5" s="32" t="s">
        <v>135</v>
      </c>
      <c r="C5" s="32" t="s">
        <v>129</v>
      </c>
      <c r="D5" s="54" t="n">
        <v>415</v>
      </c>
      <c r="E5" s="54" t="n">
        <v>438</v>
      </c>
      <c r="F5" s="65" t="n">
        <f aca="false">IF(E5="","",D5-E5)</f>
        <v>-23</v>
      </c>
      <c r="G5" s="54" t="n">
        <v>1160</v>
      </c>
      <c r="H5" s="54" t="n">
        <v>1253</v>
      </c>
      <c r="I5" s="65" t="n">
        <f aca="false">IF(H5="","",G5-H5)</f>
        <v>-93</v>
      </c>
      <c r="J5" s="55" t="n">
        <f aca="false">IF(OR(D5="",D5+G5=0),"",D5/(D5+G5))</f>
        <v>0.263492063492064</v>
      </c>
      <c r="K5" s="55" t="n">
        <f aca="false">IF(E5="","",E5/(E5+H5))</f>
        <v>0.259018332347723</v>
      </c>
      <c r="L5" s="66" t="n">
        <f aca="false">IF(OR(K5="",J5=""),"",(J5-K5)*100)</f>
        <v>0.447373114434024</v>
      </c>
      <c r="M5" s="36" t="n">
        <v>2.37002691403454</v>
      </c>
      <c r="N5" s="36" t="n">
        <v>2.07645439039877</v>
      </c>
      <c r="O5" s="36" t="n">
        <f aca="false">SQRT(M5^2+N5^2)</f>
        <v>3.15098245134028</v>
      </c>
      <c r="P5" s="55" t="n">
        <f aca="false">IF(J5="","",MAX(0,J5-1.96*O5/100))</f>
        <v>0.201732807445794</v>
      </c>
      <c r="Q5" s="55" t="n">
        <f aca="false">IF(J5="","",MIN(1,J5+1.96*O5/100))</f>
        <v>0.325251319538333</v>
      </c>
      <c r="R5" s="32" t="str">
        <f aca="false">IF(L5="","",IF(ABS(L5)&lt;=O5,"Yes","No"))</f>
        <v>Yes</v>
      </c>
      <c r="S5" s="32" t="str">
        <f aca="false">IF(L5="","",IF(ABS(L5)&lt;=1.96*O5,"Yes","No"))</f>
        <v>Yes</v>
      </c>
      <c r="T5" s="54" t="n">
        <f aca="false">IF(D5="","",ROUND(SQRT(((D5+G5)*O5/100)^2+(J5*(D5+G5)*0.07048)^2),0))</f>
        <v>58</v>
      </c>
      <c r="U5" s="32"/>
    </row>
    <row r="6" customFormat="false" ht="15" hidden="false" customHeight="false" outlineLevel="0" collapsed="false">
      <c r="A6" s="32" t="s">
        <v>127</v>
      </c>
      <c r="B6" s="32" t="s">
        <v>137</v>
      </c>
      <c r="C6" s="32" t="s">
        <v>129</v>
      </c>
      <c r="D6" s="54" t="n">
        <v>38</v>
      </c>
      <c r="E6" s="54" t="n">
        <v>38</v>
      </c>
      <c r="F6" s="65" t="n">
        <f aca="false">IF(E6="","",D6-E6)</f>
        <v>0</v>
      </c>
      <c r="G6" s="54" t="n">
        <v>74</v>
      </c>
      <c r="H6" s="54" t="n">
        <v>78</v>
      </c>
      <c r="I6" s="65" t="n">
        <f aca="false">IF(H6="","",G6-H6)</f>
        <v>-4</v>
      </c>
      <c r="J6" s="55" t="n">
        <f aca="false">IF(OR(D6="",D6+G6=0),"",D6/(D6+G6))</f>
        <v>0.339285714285714</v>
      </c>
      <c r="K6" s="55" t="n">
        <f aca="false">IF(E6="","",E6/(E6+H6))</f>
        <v>0.327586206896552</v>
      </c>
      <c r="L6" s="66" t="n">
        <f aca="false">IF(OR(K6="",J6=""),"",(J6-K6)*100)</f>
        <v>1.16995073891626</v>
      </c>
      <c r="M6" s="36" t="n">
        <v>3.65235826718192</v>
      </c>
      <c r="N6" s="36" t="n">
        <v>2.07645439039877</v>
      </c>
      <c r="O6" s="36" t="n">
        <f aca="false">SQRT(M6^2+N6^2)</f>
        <v>4.20135498943596</v>
      </c>
      <c r="P6" s="55" t="n">
        <f aca="false">IF(J6="","",MAX(0,J6-1.96*O6/100))</f>
        <v>0.25693915649277</v>
      </c>
      <c r="Q6" s="55" t="n">
        <f aca="false">IF(J6="","",MIN(1,J6+1.96*O6/100))</f>
        <v>0.421632272078659</v>
      </c>
      <c r="R6" s="32" t="str">
        <f aca="false">IF(L6="","",IF(ABS(L6)&lt;=O6,"Yes","No"))</f>
        <v>Yes</v>
      </c>
      <c r="S6" s="32" t="str">
        <f aca="false">IF(L6="","",IF(ABS(L6)&lt;=1.96*O6,"Yes","No"))</f>
        <v>Yes</v>
      </c>
      <c r="T6" s="54" t="n">
        <f aca="false">IF(D6="","",ROUND(SQRT(((D6+G6)*O6/100)^2+(J6*(D6+G6)*0.09173)^2),0))</f>
        <v>6</v>
      </c>
      <c r="U6" s="32"/>
    </row>
    <row r="7" customFormat="false" ht="15" hidden="false" customHeight="false" outlineLevel="0" collapsed="false">
      <c r="A7" s="32" t="s">
        <v>127</v>
      </c>
      <c r="B7" s="32" t="s">
        <v>138</v>
      </c>
      <c r="C7" s="32" t="s">
        <v>129</v>
      </c>
      <c r="D7" s="54" t="n">
        <v>641</v>
      </c>
      <c r="E7" s="54" t="n">
        <v>708</v>
      </c>
      <c r="F7" s="65" t="n">
        <f aca="false">IF(E7="","",D7-E7)</f>
        <v>-67</v>
      </c>
      <c r="G7" s="54" t="n">
        <v>1791</v>
      </c>
      <c r="H7" s="54" t="n">
        <v>1846</v>
      </c>
      <c r="I7" s="65" t="n">
        <f aca="false">IF(H7="","",G7-H7)</f>
        <v>-55</v>
      </c>
      <c r="J7" s="55" t="n">
        <f aca="false">IF(OR(D7="",D7+G7=0),"",D7/(D7+G7))</f>
        <v>0.263569078947368</v>
      </c>
      <c r="K7" s="55" t="n">
        <f aca="false">IF(E7="","",E7/(E7+H7))</f>
        <v>0.277212216131558</v>
      </c>
      <c r="L7" s="66" t="n">
        <f aca="false">IF(OR(K7="",J7=""),"",(J7-K7)*100)</f>
        <v>-1.36431371841899</v>
      </c>
      <c r="M7" s="36" t="n">
        <v>2.37002691403454</v>
      </c>
      <c r="N7" s="36" t="n">
        <v>2.07645439039877</v>
      </c>
      <c r="O7" s="36" t="n">
        <f aca="false">SQRT(M7^2+N7^2)</f>
        <v>3.15098245134028</v>
      </c>
      <c r="P7" s="55" t="n">
        <f aca="false">IF(J7="","",MAX(0,J7-1.96*O7/100))</f>
        <v>0.201809822901099</v>
      </c>
      <c r="Q7" s="55" t="n">
        <f aca="false">IF(J7="","",MIN(1,J7+1.96*O7/100))</f>
        <v>0.325328334993638</v>
      </c>
      <c r="R7" s="32" t="str">
        <f aca="false">IF(L7="","",IF(ABS(L7)&lt;=O7,"Yes","No"))</f>
        <v>Yes</v>
      </c>
      <c r="S7" s="32" t="str">
        <f aca="false">IF(L7="","",IF(ABS(L7)&lt;=1.96*O7,"Yes","No"))</f>
        <v>Yes</v>
      </c>
      <c r="T7" s="54" t="n">
        <f aca="false">IF(D7="","",ROUND(SQRT(((D7+G7)*O7/100)^2+(J7*(D7+G7)*0.07048)^2),0))</f>
        <v>89</v>
      </c>
      <c r="U7" s="32"/>
    </row>
    <row r="8" customFormat="false" ht="15" hidden="false" customHeight="false" outlineLevel="0" collapsed="false">
      <c r="A8" s="32" t="s">
        <v>127</v>
      </c>
      <c r="B8" s="32" t="s">
        <v>139</v>
      </c>
      <c r="C8" s="32" t="s">
        <v>129</v>
      </c>
      <c r="D8" s="54" t="n">
        <v>1103</v>
      </c>
      <c r="E8" s="54" t="n">
        <v>1104</v>
      </c>
      <c r="F8" s="65" t="n">
        <f aca="false">IF(E8="","",D8-E8)</f>
        <v>-1</v>
      </c>
      <c r="G8" s="54" t="n">
        <v>1322</v>
      </c>
      <c r="H8" s="54" t="n">
        <v>1481</v>
      </c>
      <c r="I8" s="65" t="n">
        <f aca="false">IF(H8="","",G8-H8)</f>
        <v>-159</v>
      </c>
      <c r="J8" s="55" t="n">
        <f aca="false">IF(OR(D8="",D8+G8=0),"",D8/(D8+G8))</f>
        <v>0.454845360824742</v>
      </c>
      <c r="K8" s="55" t="n">
        <f aca="false">IF(E8="","",E8/(E8+H8))</f>
        <v>0.427079303675048</v>
      </c>
      <c r="L8" s="66" t="n">
        <f aca="false">IF(OR(K8="",J8=""),"",(J8-K8)*100)</f>
        <v>2.77660571496939</v>
      </c>
      <c r="M8" s="36" t="n">
        <v>2.37002691403454</v>
      </c>
      <c r="N8" s="36" t="n">
        <v>2.07645439039877</v>
      </c>
      <c r="O8" s="36" t="n">
        <f aca="false">SQRT(M8^2+N8^2)</f>
        <v>3.15098245134028</v>
      </c>
      <c r="P8" s="55" t="n">
        <f aca="false">IF(J8="","",MAX(0,J8-1.96*O8/100))</f>
        <v>0.393086104778473</v>
      </c>
      <c r="Q8" s="55" t="n">
        <f aca="false">IF(J8="","",MIN(1,J8+1.96*O8/100))</f>
        <v>0.516604616871012</v>
      </c>
      <c r="R8" s="32" t="str">
        <f aca="false">IF(L8="","",IF(ABS(L8)&lt;=O8,"Yes","No"))</f>
        <v>Yes</v>
      </c>
      <c r="S8" s="32" t="str">
        <f aca="false">IF(L8="","",IF(ABS(L8)&lt;=1.96*O8,"Yes","No"))</f>
        <v>Yes</v>
      </c>
      <c r="T8" s="54" t="n">
        <f aca="false">IF(D8="","",ROUND(SQRT(((D8+G8)*O8/100)^2+(J8*(D8+G8)*0.07048)^2),0))</f>
        <v>109</v>
      </c>
      <c r="U8" s="32"/>
    </row>
    <row r="9" customFormat="false" ht="15" hidden="false" customHeight="false" outlineLevel="0" collapsed="false">
      <c r="A9" s="32" t="s">
        <v>127</v>
      </c>
      <c r="B9" s="32" t="s">
        <v>140</v>
      </c>
      <c r="C9" s="32" t="s">
        <v>129</v>
      </c>
      <c r="D9" s="54" t="n">
        <v>339</v>
      </c>
      <c r="E9" s="54" t="n">
        <v>351</v>
      </c>
      <c r="F9" s="65" t="n">
        <f aca="false">IF(E9="","",D9-E9)</f>
        <v>-12</v>
      </c>
      <c r="G9" s="54" t="n">
        <v>697</v>
      </c>
      <c r="H9" s="54" t="n">
        <v>697</v>
      </c>
      <c r="I9" s="65" t="n">
        <f aca="false">IF(H9="","",G9-H9)</f>
        <v>0</v>
      </c>
      <c r="J9" s="55" t="n">
        <f aca="false">IF(OR(D9="",D9+G9=0),"",D9/(D9+G9))</f>
        <v>0.327220077220077</v>
      </c>
      <c r="K9" s="55" t="n">
        <f aca="false">IF(E9="","",E9/(E9+H9))</f>
        <v>0.334923664122137</v>
      </c>
      <c r="L9" s="66" t="n">
        <f aca="false">IF(OR(K9="",J9=""),"",(J9-K9)*100)</f>
        <v>-0.770358690206019</v>
      </c>
      <c r="M9" s="36" t="n">
        <v>3.65235826718192</v>
      </c>
      <c r="N9" s="36" t="n">
        <v>2.07645439039877</v>
      </c>
      <c r="O9" s="36" t="n">
        <f aca="false">SQRT(M9^2+N9^2)</f>
        <v>4.20135498943596</v>
      </c>
      <c r="P9" s="55" t="n">
        <f aca="false">IF(J9="","",MAX(0,J9-1.96*O9/100))</f>
        <v>0.244873519427132</v>
      </c>
      <c r="Q9" s="55" t="n">
        <f aca="false">IF(J9="","",MIN(1,J9+1.96*O9/100))</f>
        <v>0.409566635013022</v>
      </c>
      <c r="R9" s="32" t="str">
        <f aca="false">IF(L9="","",IF(ABS(L9)&lt;=O9,"Yes","No"))</f>
        <v>Yes</v>
      </c>
      <c r="S9" s="32" t="str">
        <f aca="false">IF(L9="","",IF(ABS(L9)&lt;=1.96*O9,"Yes","No"))</f>
        <v>Yes</v>
      </c>
      <c r="T9" s="54" t="n">
        <f aca="false">IF(D9="","",ROUND(SQRT(((D9+G9)*O9/100)^2+(J9*(D9+G9)*0.09173)^2),0))</f>
        <v>53</v>
      </c>
      <c r="U9" s="32"/>
    </row>
    <row r="10" customFormat="false" ht="15" hidden="false" customHeight="false" outlineLevel="0" collapsed="false">
      <c r="A10" s="32" t="s">
        <v>127</v>
      </c>
      <c r="B10" s="32" t="s">
        <v>141</v>
      </c>
      <c r="C10" s="32" t="s">
        <v>129</v>
      </c>
      <c r="D10" s="54" t="n">
        <v>586</v>
      </c>
      <c r="E10" s="54" t="n">
        <v>575</v>
      </c>
      <c r="F10" s="65" t="n">
        <f aca="false">IF(E10="","",D10-E10)</f>
        <v>11</v>
      </c>
      <c r="G10" s="54" t="n">
        <v>823</v>
      </c>
      <c r="H10" s="54" t="n">
        <v>880</v>
      </c>
      <c r="I10" s="65" t="n">
        <f aca="false">IF(H10="","",G10-H10)</f>
        <v>-57</v>
      </c>
      <c r="J10" s="55" t="n">
        <f aca="false">IF(OR(D10="",D10+G10=0),"",D10/(D10+G10))</f>
        <v>0.415897799858055</v>
      </c>
      <c r="K10" s="55" t="n">
        <f aca="false">IF(E10="","",E10/(E10+H10))</f>
        <v>0.395189003436426</v>
      </c>
      <c r="L10" s="66" t="n">
        <f aca="false">IF(OR(K10="",J10=""),"",(J10-K10)*100)</f>
        <v>2.07087964216293</v>
      </c>
      <c r="M10" s="36" t="n">
        <v>3.65235826718192</v>
      </c>
      <c r="N10" s="36" t="n">
        <v>2.07645439039877</v>
      </c>
      <c r="O10" s="36" t="n">
        <f aca="false">SQRT(M10^2+N10^2)</f>
        <v>4.20135498943596</v>
      </c>
      <c r="P10" s="55" t="n">
        <f aca="false">IF(J10="","",MAX(0,J10-1.96*O10/100))</f>
        <v>0.333551242065111</v>
      </c>
      <c r="Q10" s="55" t="n">
        <f aca="false">IF(J10="","",MIN(1,J10+1.96*O10/100))</f>
        <v>0.498244357651</v>
      </c>
      <c r="R10" s="32" t="str">
        <f aca="false">IF(L10="","",IF(ABS(L10)&lt;=O10,"Yes","No"))</f>
        <v>Yes</v>
      </c>
      <c r="S10" s="32" t="str">
        <f aca="false">IF(L10="","",IF(ABS(L10)&lt;=1.96*O10,"Yes","No"))</f>
        <v>Yes</v>
      </c>
      <c r="T10" s="54" t="n">
        <f aca="false">IF(D10="","",ROUND(SQRT(((D10+G10)*O10/100)^2+(J10*(D10+G10)*0.09173)^2),0))</f>
        <v>80</v>
      </c>
      <c r="U10" s="32"/>
    </row>
    <row r="11" customFormat="false" ht="15" hidden="false" customHeight="false" outlineLevel="0" collapsed="false">
      <c r="A11" s="32" t="s">
        <v>127</v>
      </c>
      <c r="B11" s="32" t="s">
        <v>142</v>
      </c>
      <c r="C11" s="32" t="s">
        <v>129</v>
      </c>
      <c r="D11" s="54" t="n">
        <v>43</v>
      </c>
      <c r="E11" s="54" t="n">
        <v>38</v>
      </c>
      <c r="F11" s="65" t="n">
        <f aca="false">IF(E11="","",D11-E11)</f>
        <v>5</v>
      </c>
      <c r="G11" s="54" t="n">
        <v>96</v>
      </c>
      <c r="H11" s="54" t="n">
        <v>107</v>
      </c>
      <c r="I11" s="65" t="n">
        <f aca="false">IF(H11="","",G11-H11)</f>
        <v>-11</v>
      </c>
      <c r="J11" s="55" t="n">
        <f aca="false">IF(OR(D11="",D11+G11=0),"",D11/(D11+G11))</f>
        <v>0.309352517985612</v>
      </c>
      <c r="K11" s="55" t="n">
        <f aca="false">IF(E11="","",E11/(E11+H11))</f>
        <v>0.262068965517241</v>
      </c>
      <c r="L11" s="66" t="n">
        <f aca="false">IF(OR(K11="",J11=""),"",(J11-K11)*100)</f>
        <v>4.72835524683701</v>
      </c>
      <c r="M11" s="36" t="n">
        <v>3.65235826718192</v>
      </c>
      <c r="N11" s="36" t="n">
        <v>2.07645439039877</v>
      </c>
      <c r="O11" s="36" t="n">
        <f aca="false">SQRT(M11^2+N11^2)</f>
        <v>4.20135498943596</v>
      </c>
      <c r="P11" s="55" t="n">
        <f aca="false">IF(J11="","",MAX(0,J11-1.96*O11/100))</f>
        <v>0.227005960192667</v>
      </c>
      <c r="Q11" s="55" t="n">
        <f aca="false">IF(J11="","",MIN(1,J11+1.96*O11/100))</f>
        <v>0.391699075778556</v>
      </c>
      <c r="R11" s="32" t="str">
        <f aca="false">IF(L11="","",IF(ABS(L11)&lt;=O11,"Yes","No"))</f>
        <v>No</v>
      </c>
      <c r="S11" s="32" t="str">
        <f aca="false">IF(L11="","",IF(ABS(L11)&lt;=1.96*O11,"Yes","No"))</f>
        <v>Yes</v>
      </c>
      <c r="T11" s="54" t="n">
        <f aca="false">IF(D11="","",ROUND(SQRT(((D11+G11)*O11/100)^2+(J11*(D11+G11)*0.09173)^2),0))</f>
        <v>7</v>
      </c>
      <c r="U11" s="32"/>
    </row>
    <row r="12" customFormat="false" ht="15" hidden="false" customHeight="false" outlineLevel="0" collapsed="false">
      <c r="A12" s="32" t="s">
        <v>127</v>
      </c>
      <c r="B12" s="32" t="s">
        <v>143</v>
      </c>
      <c r="C12" s="32" t="s">
        <v>129</v>
      </c>
      <c r="D12" s="54" t="n">
        <v>48</v>
      </c>
      <c r="E12" s="54" t="n">
        <v>58</v>
      </c>
      <c r="F12" s="65" t="n">
        <f aca="false">IF(E12="","",D12-E12)</f>
        <v>-10</v>
      </c>
      <c r="G12" s="54" t="n">
        <v>216</v>
      </c>
      <c r="H12" s="54" t="n">
        <v>216</v>
      </c>
      <c r="I12" s="65" t="n">
        <f aca="false">IF(H12="","",G12-H12)</f>
        <v>0</v>
      </c>
      <c r="J12" s="55" t="n">
        <f aca="false">IF(OR(D12="",D12+G12=0),"",D12/(D12+G12))</f>
        <v>0.181818181818182</v>
      </c>
      <c r="K12" s="55" t="n">
        <f aca="false">IF(E12="","",E12/(E12+H12))</f>
        <v>0.211678832116788</v>
      </c>
      <c r="L12" s="66" t="n">
        <f aca="false">IF(OR(K12="",J12=""),"",(J12-K12)*100)</f>
        <v>-2.98606502986065</v>
      </c>
      <c r="M12" s="36" t="n">
        <v>3.65235826718192</v>
      </c>
      <c r="N12" s="36" t="n">
        <v>2.07645439039877</v>
      </c>
      <c r="O12" s="36" t="n">
        <f aca="false">SQRT(M12^2+N12^2)</f>
        <v>4.20135498943596</v>
      </c>
      <c r="P12" s="55" t="n">
        <f aca="false">IF(J12="","",MAX(0,J12-1.96*O12/100))</f>
        <v>0.099471624025237</v>
      </c>
      <c r="Q12" s="55" t="n">
        <f aca="false">IF(J12="","",MIN(1,J12+1.96*O12/100))</f>
        <v>0.264164739611127</v>
      </c>
      <c r="R12" s="32" t="str">
        <f aca="false">IF(L12="","",IF(ABS(L12)&lt;=O12,"Yes","No"))</f>
        <v>Yes</v>
      </c>
      <c r="S12" s="32" t="str">
        <f aca="false">IF(L12="","",IF(ABS(L12)&lt;=1.96*O12,"Yes","No"))</f>
        <v>Yes</v>
      </c>
      <c r="T12" s="54" t="n">
        <f aca="false">IF(D12="","",ROUND(SQRT(((D12+G12)*O12/100)^2+(J12*(D12+G12)*0.09173)^2),0))</f>
        <v>12</v>
      </c>
      <c r="U12" s="32"/>
    </row>
    <row r="13" customFormat="false" ht="15" hidden="false" customHeight="false" outlineLevel="0" collapsed="false">
      <c r="A13" s="32" t="s">
        <v>127</v>
      </c>
      <c r="B13" s="32" t="s">
        <v>144</v>
      </c>
      <c r="C13" s="32" t="s">
        <v>129</v>
      </c>
      <c r="D13" s="54" t="n">
        <v>908</v>
      </c>
      <c r="E13" s="54" t="n">
        <v>944</v>
      </c>
      <c r="F13" s="65" t="n">
        <f aca="false">IF(E13="","",D13-E13)</f>
        <v>-36</v>
      </c>
      <c r="G13" s="54" t="n">
        <v>1356</v>
      </c>
      <c r="H13" s="54" t="n">
        <v>1486</v>
      </c>
      <c r="I13" s="65" t="n">
        <f aca="false">IF(H13="","",G13-H13)</f>
        <v>-130</v>
      </c>
      <c r="J13" s="55" t="n">
        <f aca="false">IF(OR(D13="",D13+G13=0),"",D13/(D13+G13))</f>
        <v>0.401060070671378</v>
      </c>
      <c r="K13" s="55" t="n">
        <f aca="false">IF(E13="","",E13/(E13+H13))</f>
        <v>0.388477366255144</v>
      </c>
      <c r="L13" s="66" t="n">
        <f aca="false">IF(OR(K13="",J13=""),"",(J13-K13)*100)</f>
        <v>1.25827044162341</v>
      </c>
      <c r="M13" s="36" t="n">
        <v>2.37002691403454</v>
      </c>
      <c r="N13" s="36" t="n">
        <v>2.07645439039877</v>
      </c>
      <c r="O13" s="36" t="n">
        <f aca="false">SQRT(M13^2+N13^2)</f>
        <v>3.15098245134028</v>
      </c>
      <c r="P13" s="55" t="n">
        <f aca="false">IF(J13="","",MAX(0,J13-1.96*O13/100))</f>
        <v>0.339300814625109</v>
      </c>
      <c r="Q13" s="55" t="n">
        <f aca="false">IF(J13="","",MIN(1,J13+1.96*O13/100))</f>
        <v>0.462819326717648</v>
      </c>
      <c r="R13" s="32" t="str">
        <f aca="false">IF(L13="","",IF(ABS(L13)&lt;=O13,"Yes","No"))</f>
        <v>Yes</v>
      </c>
      <c r="S13" s="32" t="str">
        <f aca="false">IF(L13="","",IF(ABS(L13)&lt;=1.96*O13,"Yes","No"))</f>
        <v>Yes</v>
      </c>
      <c r="T13" s="54" t="n">
        <f aca="false">IF(D13="","",ROUND(SQRT(((D13+G13)*O13/100)^2+(J13*(D13+G13)*0.07048)^2),0))</f>
        <v>96</v>
      </c>
      <c r="U13" s="32"/>
    </row>
    <row r="14" customFormat="false" ht="15" hidden="false" customHeight="false" outlineLevel="0" collapsed="false">
      <c r="A14" s="32" t="s">
        <v>127</v>
      </c>
      <c r="B14" s="32" t="s">
        <v>145</v>
      </c>
      <c r="C14" s="32" t="s">
        <v>129</v>
      </c>
      <c r="D14" s="54" t="n">
        <v>504</v>
      </c>
      <c r="E14" s="54" t="n">
        <v>515</v>
      </c>
      <c r="F14" s="65" t="n">
        <f aca="false">IF(E14="","",D14-E14)</f>
        <v>-11</v>
      </c>
      <c r="G14" s="54" t="n">
        <v>1177</v>
      </c>
      <c r="H14" s="54" t="n">
        <v>1293</v>
      </c>
      <c r="I14" s="65" t="n">
        <f aca="false">IF(H14="","",G14-H14)</f>
        <v>-116</v>
      </c>
      <c r="J14" s="55" t="n">
        <f aca="false">IF(OR(D14="",D14+G14=0),"",D14/(D14+G14))</f>
        <v>0.299821534800714</v>
      </c>
      <c r="K14" s="55" t="n">
        <f aca="false">IF(E14="","",E14/(E14+H14))</f>
        <v>0.284845132743363</v>
      </c>
      <c r="L14" s="66" t="n">
        <f aca="false">IF(OR(K14="",J14=""),"",(J14-K14)*100)</f>
        <v>1.49764020573511</v>
      </c>
      <c r="M14" s="36" t="n">
        <v>2.37002691403454</v>
      </c>
      <c r="N14" s="36" t="n">
        <v>2.07645439039877</v>
      </c>
      <c r="O14" s="36" t="n">
        <f aca="false">SQRT(M14^2+N14^2)</f>
        <v>3.15098245134028</v>
      </c>
      <c r="P14" s="55" t="n">
        <f aca="false">IF(J14="","",MAX(0,J14-1.96*O14/100))</f>
        <v>0.238062278754444</v>
      </c>
      <c r="Q14" s="55" t="n">
        <f aca="false">IF(J14="","",MIN(1,J14+1.96*O14/100))</f>
        <v>0.361580790846983</v>
      </c>
      <c r="R14" s="32" t="str">
        <f aca="false">IF(L14="","",IF(ABS(L14)&lt;=O14,"Yes","No"))</f>
        <v>Yes</v>
      </c>
      <c r="S14" s="32" t="str">
        <f aca="false">IF(L14="","",IF(ABS(L14)&lt;=1.96*O14,"Yes","No"))</f>
        <v>Yes</v>
      </c>
      <c r="T14" s="54" t="n">
        <f aca="false">IF(D14="","",ROUND(SQRT(((D14+G14)*O14/100)^2+(J14*(D14+G14)*0.07048)^2),0))</f>
        <v>64</v>
      </c>
      <c r="U14" s="32"/>
    </row>
    <row r="15" customFormat="false" ht="15" hidden="false" customHeight="false" outlineLevel="0" collapsed="false">
      <c r="A15" s="32" t="s">
        <v>127</v>
      </c>
      <c r="B15" s="32" t="s">
        <v>146</v>
      </c>
      <c r="C15" s="32" t="s">
        <v>129</v>
      </c>
      <c r="D15" s="54" t="n">
        <v>625</v>
      </c>
      <c r="E15" s="54" t="n">
        <v>694</v>
      </c>
      <c r="F15" s="65" t="n">
        <f aca="false">IF(E15="","",D15-E15)</f>
        <v>-69</v>
      </c>
      <c r="G15" s="54" t="n">
        <v>1564</v>
      </c>
      <c r="H15" s="54" t="n">
        <v>1695</v>
      </c>
      <c r="I15" s="65" t="n">
        <f aca="false">IF(H15="","",G15-H15)</f>
        <v>-131</v>
      </c>
      <c r="J15" s="55" t="n">
        <f aca="false">IF(OR(D15="",D15+G15=0),"",D15/(D15+G15))</f>
        <v>0.285518501598904</v>
      </c>
      <c r="K15" s="55" t="n">
        <f aca="false">IF(E15="","",E15/(E15+H15))</f>
        <v>0.290498116366681</v>
      </c>
      <c r="L15" s="66" t="n">
        <f aca="false">IF(OR(K15="",J15=""),"",(J15-K15)*100)</f>
        <v>-0.497961476777697</v>
      </c>
      <c r="M15" s="36" t="n">
        <v>2.37002691403454</v>
      </c>
      <c r="N15" s="36" t="n">
        <v>2.07645439039877</v>
      </c>
      <c r="O15" s="36" t="n">
        <f aca="false">SQRT(M15^2+N15^2)</f>
        <v>3.15098245134028</v>
      </c>
      <c r="P15" s="55" t="n">
        <f aca="false">IF(J15="","",MAX(0,J15-1.96*O15/100))</f>
        <v>0.223759245552634</v>
      </c>
      <c r="Q15" s="55" t="n">
        <f aca="false">IF(J15="","",MIN(1,J15+1.96*O15/100))</f>
        <v>0.347277757645173</v>
      </c>
      <c r="R15" s="32" t="str">
        <f aca="false">IF(L15="","",IF(ABS(L15)&lt;=O15,"Yes","No"))</f>
        <v>Yes</v>
      </c>
      <c r="S15" s="32" t="str">
        <f aca="false">IF(L15="","",IF(ABS(L15)&lt;=1.96*O15,"Yes","No"))</f>
        <v>Yes</v>
      </c>
      <c r="T15" s="54" t="n">
        <f aca="false">IF(D15="","",ROUND(SQRT(((D15+G15)*O15/100)^2+(J15*(D15+G15)*0.07048)^2),0))</f>
        <v>82</v>
      </c>
      <c r="U15" s="32"/>
    </row>
    <row r="16" customFormat="false" ht="15" hidden="false" customHeight="false" outlineLevel="0" collapsed="false">
      <c r="A16" s="32" t="s">
        <v>127</v>
      </c>
      <c r="B16" s="32" t="s">
        <v>147</v>
      </c>
      <c r="C16" s="32" t="s">
        <v>129</v>
      </c>
      <c r="D16" s="54" t="n">
        <v>578</v>
      </c>
      <c r="E16" s="54" t="n">
        <v>601</v>
      </c>
      <c r="F16" s="65" t="n">
        <f aca="false">IF(E16="","",D16-E16)</f>
        <v>-23</v>
      </c>
      <c r="G16" s="54" t="n">
        <v>878</v>
      </c>
      <c r="H16" s="54" t="n">
        <v>955</v>
      </c>
      <c r="I16" s="65" t="n">
        <f aca="false">IF(H16="","",G16-H16)</f>
        <v>-77</v>
      </c>
      <c r="J16" s="55" t="n">
        <f aca="false">IF(OR(D16="",D16+G16=0),"",D16/(D16+G16))</f>
        <v>0.396978021978022</v>
      </c>
      <c r="K16" s="55" t="n">
        <f aca="false">IF(E16="","",E16/(E16+H16))</f>
        <v>0.386246786632391</v>
      </c>
      <c r="L16" s="66" t="n">
        <f aca="false">IF(OR(K16="",J16=""),"",(J16-K16)*100)</f>
        <v>1.07312353456312</v>
      </c>
      <c r="M16" s="36" t="n">
        <v>3.65235826718192</v>
      </c>
      <c r="N16" s="36" t="n">
        <v>2.07645439039877</v>
      </c>
      <c r="O16" s="36" t="n">
        <f aca="false">SQRT(M16^2+N16^2)</f>
        <v>4.20135498943596</v>
      </c>
      <c r="P16" s="55" t="n">
        <f aca="false">IF(J16="","",MAX(0,J16-1.96*O16/100))</f>
        <v>0.314631464185077</v>
      </c>
      <c r="Q16" s="55" t="n">
        <f aca="false">IF(J16="","",MIN(1,J16+1.96*O16/100))</f>
        <v>0.479324579770967</v>
      </c>
      <c r="R16" s="32" t="str">
        <f aca="false">IF(L16="","",IF(ABS(L16)&lt;=O16,"Yes","No"))</f>
        <v>Yes</v>
      </c>
      <c r="S16" s="32" t="str">
        <f aca="false">IF(L16="","",IF(ABS(L16)&lt;=1.96*O16,"Yes","No"))</f>
        <v>Yes</v>
      </c>
      <c r="T16" s="54" t="n">
        <f aca="false">IF(D16="","",ROUND(SQRT(((D16+G16)*O16/100)^2+(J16*(D16+G16)*0.09173)^2),0))</f>
        <v>81</v>
      </c>
      <c r="U16" s="32"/>
    </row>
    <row r="17" customFormat="false" ht="15" hidden="false" customHeight="false" outlineLevel="0" collapsed="false">
      <c r="A17" s="32" t="s">
        <v>127</v>
      </c>
      <c r="B17" s="32" t="s">
        <v>148</v>
      </c>
      <c r="C17" s="32" t="s">
        <v>129</v>
      </c>
      <c r="D17" s="54" t="n">
        <v>104</v>
      </c>
      <c r="E17" s="54" t="n">
        <v>134</v>
      </c>
      <c r="F17" s="65" t="n">
        <f aca="false">IF(E17="","",D17-E17)</f>
        <v>-30</v>
      </c>
      <c r="G17" s="54" t="n">
        <v>491</v>
      </c>
      <c r="H17" s="54" t="n">
        <v>505</v>
      </c>
      <c r="I17" s="65" t="n">
        <f aca="false">IF(H17="","",G17-H17)</f>
        <v>-14</v>
      </c>
      <c r="J17" s="55" t="n">
        <f aca="false">IF(OR(D17="",D17+G17=0),"",D17/(D17+G17))</f>
        <v>0.174789915966387</v>
      </c>
      <c r="K17" s="55" t="n">
        <f aca="false">IF(E17="","",E17/(E17+H17))</f>
        <v>0.209702660406886</v>
      </c>
      <c r="L17" s="66" t="n">
        <f aca="false">IF(OR(K17="",J17=""),"",(J17-K17)*100)</f>
        <v>-3.49127444404992</v>
      </c>
      <c r="M17" s="36" t="n">
        <v>3.65235826718192</v>
      </c>
      <c r="N17" s="36" t="n">
        <v>2.07645439039877</v>
      </c>
      <c r="O17" s="36" t="n">
        <f aca="false">SQRT(M17^2+N17^2)</f>
        <v>4.20135498943596</v>
      </c>
      <c r="P17" s="55" t="n">
        <f aca="false">IF(J17="","",MAX(0,J17-1.96*O17/100))</f>
        <v>0.0924433581734418</v>
      </c>
      <c r="Q17" s="55" t="n">
        <f aca="false">IF(J17="","",MIN(1,J17+1.96*O17/100))</f>
        <v>0.257136473759331</v>
      </c>
      <c r="R17" s="32" t="str">
        <f aca="false">IF(L17="","",IF(ABS(L17)&lt;=O17,"Yes","No"))</f>
        <v>Yes</v>
      </c>
      <c r="S17" s="32" t="str">
        <f aca="false">IF(L17="","",IF(ABS(L17)&lt;=1.96*O17,"Yes","No"))</f>
        <v>Yes</v>
      </c>
      <c r="T17" s="54" t="n">
        <f aca="false">IF(D17="","",ROUND(SQRT(((D17+G17)*O17/100)^2+(J17*(D17+G17)*0.09173)^2),0))</f>
        <v>27</v>
      </c>
      <c r="U17" s="32"/>
    </row>
    <row r="18" customFormat="false" ht="15" hidden="false" customHeight="false" outlineLevel="0" collapsed="false">
      <c r="A18" s="32" t="s">
        <v>127</v>
      </c>
      <c r="B18" s="32" t="s">
        <v>149</v>
      </c>
      <c r="C18" s="32" t="s">
        <v>129</v>
      </c>
      <c r="D18" s="54" t="n">
        <v>908</v>
      </c>
      <c r="E18" s="54" t="n">
        <v>981</v>
      </c>
      <c r="F18" s="65" t="n">
        <f aca="false">IF(E18="","",D18-E18)</f>
        <v>-73</v>
      </c>
      <c r="G18" s="54" t="n">
        <v>1652</v>
      </c>
      <c r="H18" s="54" t="n">
        <v>1740</v>
      </c>
      <c r="I18" s="65" t="n">
        <f aca="false">IF(H18="","",G18-H18)</f>
        <v>-88</v>
      </c>
      <c r="J18" s="55" t="n">
        <f aca="false">IF(OR(D18="",D18+G18=0),"",D18/(D18+G18))</f>
        <v>0.3546875</v>
      </c>
      <c r="K18" s="55" t="n">
        <f aca="false">IF(E18="","",E18/(E18+H18))</f>
        <v>0.360529217199559</v>
      </c>
      <c r="L18" s="66" t="n">
        <f aca="false">IF(OR(K18="",J18=""),"",(J18-K18)*100)</f>
        <v>-0.5841717199559</v>
      </c>
      <c r="M18" s="36" t="n">
        <v>2.37002691403454</v>
      </c>
      <c r="N18" s="36" t="n">
        <v>2.07645439039877</v>
      </c>
      <c r="O18" s="36" t="n">
        <f aca="false">SQRT(M18^2+N18^2)</f>
        <v>3.15098245134028</v>
      </c>
      <c r="P18" s="55" t="n">
        <f aca="false">IF(J18="","",MAX(0,J18-1.96*O18/100))</f>
        <v>0.29292824395373</v>
      </c>
      <c r="Q18" s="55" t="n">
        <f aca="false">IF(J18="","",MIN(1,J18+1.96*O18/100))</f>
        <v>0.41644675604627</v>
      </c>
      <c r="R18" s="32" t="str">
        <f aca="false">IF(L18="","",IF(ABS(L18)&lt;=O18,"Yes","No"))</f>
        <v>Yes</v>
      </c>
      <c r="S18" s="32" t="str">
        <f aca="false">IF(L18="","",IF(ABS(L18)&lt;=1.96*O18,"Yes","No"))</f>
        <v>Yes</v>
      </c>
      <c r="T18" s="54" t="n">
        <f aca="false">IF(D18="","",ROUND(SQRT(((D18+G18)*O18/100)^2+(J18*(D18+G18)*0.07048)^2),0))</f>
        <v>103</v>
      </c>
      <c r="U18" s="32"/>
    </row>
    <row r="19" customFormat="false" ht="15" hidden="false" customHeight="false" outlineLevel="0" collapsed="false">
      <c r="A19" s="32" t="s">
        <v>127</v>
      </c>
      <c r="B19" s="32" t="s">
        <v>150</v>
      </c>
      <c r="C19" s="32" t="s">
        <v>129</v>
      </c>
      <c r="D19" s="54" t="n">
        <v>55</v>
      </c>
      <c r="E19" s="54" t="n">
        <v>74</v>
      </c>
      <c r="F19" s="65" t="n">
        <f aca="false">IF(E19="","",D19-E19)</f>
        <v>-19</v>
      </c>
      <c r="G19" s="54" t="n">
        <v>160</v>
      </c>
      <c r="H19" s="54" t="n">
        <v>162</v>
      </c>
      <c r="I19" s="65" t="n">
        <f aca="false">IF(H19="","",G19-H19)</f>
        <v>-2</v>
      </c>
      <c r="J19" s="55" t="n">
        <f aca="false">IF(OR(D19="",D19+G19=0),"",D19/(D19+G19))</f>
        <v>0.255813953488372</v>
      </c>
      <c r="K19" s="55" t="n">
        <f aca="false">IF(E19="","",E19/(E19+H19))</f>
        <v>0.313559322033898</v>
      </c>
      <c r="L19" s="66" t="n">
        <f aca="false">IF(OR(K19="",J19=""),"",(J19-K19)*100)</f>
        <v>-5.77453685455262</v>
      </c>
      <c r="M19" s="36" t="n">
        <v>3.65235826718192</v>
      </c>
      <c r="N19" s="36" t="n">
        <v>2.07645439039877</v>
      </c>
      <c r="O19" s="36" t="n">
        <f aca="false">SQRT(M19^2+N19^2)</f>
        <v>4.20135498943596</v>
      </c>
      <c r="P19" s="55" t="n">
        <f aca="false">IF(J19="","",MAX(0,J19-1.96*O19/100))</f>
        <v>0.173467395695427</v>
      </c>
      <c r="Q19" s="55" t="n">
        <f aca="false">IF(J19="","",MIN(1,J19+1.96*O19/100))</f>
        <v>0.338160511281317</v>
      </c>
      <c r="R19" s="32" t="str">
        <f aca="false">IF(L19="","",IF(ABS(L19)&lt;=O19,"Yes","No"))</f>
        <v>No</v>
      </c>
      <c r="S19" s="32" t="str">
        <f aca="false">IF(L19="","",IF(ABS(L19)&lt;=1.96*O19,"Yes","No"))</f>
        <v>Yes</v>
      </c>
      <c r="T19" s="54" t="n">
        <f aca="false">IF(D19="","",ROUND(SQRT(((D19+G19)*O19/100)^2+(J19*(D19+G19)*0.09173)^2),0))</f>
        <v>10</v>
      </c>
      <c r="U19" s="32"/>
    </row>
    <row r="20" customFormat="false" ht="15" hidden="false" customHeight="false" outlineLevel="0" collapsed="false">
      <c r="A20" s="32" t="s">
        <v>127</v>
      </c>
      <c r="B20" s="32" t="s">
        <v>151</v>
      </c>
      <c r="C20" s="32" t="s">
        <v>129</v>
      </c>
      <c r="D20" s="54" t="n">
        <v>1800</v>
      </c>
      <c r="E20" s="54" t="n">
        <v>2047</v>
      </c>
      <c r="F20" s="65" t="n">
        <f aca="false">IF(E20="","",D20-E20)</f>
        <v>-247</v>
      </c>
      <c r="G20" s="54" t="n">
        <v>3433</v>
      </c>
      <c r="H20" s="54" t="n">
        <v>3702</v>
      </c>
      <c r="I20" s="65" t="n">
        <f aca="false">IF(H20="","",G20-H20)</f>
        <v>-269</v>
      </c>
      <c r="J20" s="55" t="n">
        <f aca="false">IF(OR(D20="",D20+G20=0),"",D20/(D20+G20))</f>
        <v>0.343970953563921</v>
      </c>
      <c r="K20" s="55" t="n">
        <f aca="false">IF(E20="","",E20/(E20+H20))</f>
        <v>0.356061923812837</v>
      </c>
      <c r="L20" s="66" t="n">
        <f aca="false">IF(OR(K20="",J20=""),"",(J20-K20)*100)</f>
        <v>-1.20909702489158</v>
      </c>
      <c r="M20" s="36" t="n">
        <v>1.86802980554935</v>
      </c>
      <c r="N20" s="36" t="n">
        <v>2.07645439039877</v>
      </c>
      <c r="O20" s="36" t="n">
        <f aca="false">SQRT(M20^2+N20^2)</f>
        <v>2.79306251090574</v>
      </c>
      <c r="P20" s="55" t="n">
        <f aca="false">IF(J20="","",MAX(0,J20-1.96*O20/100))</f>
        <v>0.289226928350169</v>
      </c>
      <c r="Q20" s="55" t="n">
        <f aca="false">IF(J20="","",MIN(1,J20+1.96*O20/100))</f>
        <v>0.398714978777674</v>
      </c>
      <c r="R20" s="32" t="str">
        <f aca="false">IF(L20="","",IF(ABS(L20)&lt;=O20,"Yes","No"))</f>
        <v>Yes</v>
      </c>
      <c r="S20" s="32" t="str">
        <f aca="false">IF(L20="","",IF(ABS(L20)&lt;=1.96*O20,"Yes","No"))</f>
        <v>Yes</v>
      </c>
      <c r="T20" s="54" t="n">
        <f aca="false">IF(D20="","",ROUND(SQRT(((D20+G20)*O20/100)^2+(J20*(D20+G20)*0.06406)^2),0))</f>
        <v>186</v>
      </c>
      <c r="U20" s="32"/>
    </row>
    <row r="21" customFormat="false" ht="15" hidden="false" customHeight="false" outlineLevel="0" collapsed="false">
      <c r="A21" s="32" t="s">
        <v>127</v>
      </c>
      <c r="B21" s="32" t="s">
        <v>153</v>
      </c>
      <c r="C21" s="32" t="s">
        <v>129</v>
      </c>
      <c r="D21" s="54" t="n">
        <v>645</v>
      </c>
      <c r="E21" s="54" t="n">
        <v>660</v>
      </c>
      <c r="F21" s="65" t="n">
        <f aca="false">IF(E21="","",D21-E21)</f>
        <v>-15</v>
      </c>
      <c r="G21" s="54" t="n">
        <v>893</v>
      </c>
      <c r="H21" s="54" t="n">
        <v>913</v>
      </c>
      <c r="I21" s="65" t="n">
        <f aca="false">IF(H21="","",G21-H21)</f>
        <v>-20</v>
      </c>
      <c r="J21" s="55" t="n">
        <f aca="false">IF(OR(D21="",D21+G21=0),"",D21/(D21+G21))</f>
        <v>0.419375812743823</v>
      </c>
      <c r="K21" s="55" t="n">
        <f aca="false">IF(E21="","",E21/(E21+H21))</f>
        <v>0.41958041958042</v>
      </c>
      <c r="L21" s="66" t="n">
        <f aca="false">IF(OR(K21="",J21=""),"",(J21-K21)*100)</f>
        <v>-0.0204606836596455</v>
      </c>
      <c r="M21" s="36" t="n">
        <v>3.65235826718192</v>
      </c>
      <c r="N21" s="36" t="n">
        <v>2.07645439039877</v>
      </c>
      <c r="O21" s="36" t="n">
        <f aca="false">SQRT(M21^2+N21^2)</f>
        <v>4.20135498943596</v>
      </c>
      <c r="P21" s="55" t="n">
        <f aca="false">IF(J21="","",MAX(0,J21-1.96*O21/100))</f>
        <v>0.337029254950878</v>
      </c>
      <c r="Q21" s="55" t="n">
        <f aca="false">IF(J21="","",MIN(1,J21+1.96*O21/100))</f>
        <v>0.501722370536768</v>
      </c>
      <c r="R21" s="32" t="str">
        <f aca="false">IF(L21="","",IF(ABS(L21)&lt;=O21,"Yes","No"))</f>
        <v>Yes</v>
      </c>
      <c r="S21" s="32" t="str">
        <f aca="false">IF(L21="","",IF(ABS(L21)&lt;=1.96*O21,"Yes","No"))</f>
        <v>Yes</v>
      </c>
      <c r="T21" s="54" t="n">
        <f aca="false">IF(D21="","",ROUND(SQRT(((D21+G21)*O21/100)^2+(J21*(D21+G21)*0.09173)^2),0))</f>
        <v>88</v>
      </c>
      <c r="U21" s="32"/>
    </row>
    <row r="22" customFormat="false" ht="15" hidden="false" customHeight="false" outlineLevel="0" collapsed="false">
      <c r="A22" s="32" t="s">
        <v>127</v>
      </c>
      <c r="B22" s="32" t="s">
        <v>154</v>
      </c>
      <c r="C22" s="32" t="s">
        <v>129</v>
      </c>
      <c r="D22" s="54" t="n">
        <v>700</v>
      </c>
      <c r="E22" s="54" t="n">
        <v>802</v>
      </c>
      <c r="F22" s="65" t="n">
        <f aca="false">IF(E22="","",D22-E22)</f>
        <v>-102</v>
      </c>
      <c r="G22" s="54" t="n">
        <v>1944</v>
      </c>
      <c r="H22" s="54" t="n">
        <v>1955</v>
      </c>
      <c r="I22" s="65" t="n">
        <f aca="false">IF(H22="","",G22-H22)</f>
        <v>-11</v>
      </c>
      <c r="J22" s="55" t="n">
        <f aca="false">IF(OR(D22="",D22+G22=0),"",D22/(D22+G22))</f>
        <v>0.264750378214826</v>
      </c>
      <c r="K22" s="55" t="n">
        <f aca="false">IF(E22="","",E22/(E22+H22))</f>
        <v>0.290895901342038</v>
      </c>
      <c r="L22" s="66" t="n">
        <f aca="false">IF(OR(K22="",J22=""),"",(J22-K22)*100)</f>
        <v>-2.61455231272125</v>
      </c>
      <c r="M22" s="36" t="n">
        <v>2.37002691403454</v>
      </c>
      <c r="N22" s="36" t="n">
        <v>2.07645439039877</v>
      </c>
      <c r="O22" s="36" t="n">
        <f aca="false">SQRT(M22^2+N22^2)</f>
        <v>3.15098245134028</v>
      </c>
      <c r="P22" s="55" t="n">
        <f aca="false">IF(J22="","",MAX(0,J22-1.96*O22/100))</f>
        <v>0.202991122168556</v>
      </c>
      <c r="Q22" s="55" t="n">
        <f aca="false">IF(J22="","",MIN(1,J22+1.96*O22/100))</f>
        <v>0.326509634261096</v>
      </c>
      <c r="R22" s="32" t="str">
        <f aca="false">IF(L22="","",IF(ABS(L22)&lt;=O22,"Yes","No"))</f>
        <v>Yes</v>
      </c>
      <c r="S22" s="32" t="str">
        <f aca="false">IF(L22="","",IF(ABS(L22)&lt;=1.96*O22,"Yes","No"))</f>
        <v>Yes</v>
      </c>
      <c r="T22" s="54" t="n">
        <f aca="false">IF(D22="","",ROUND(SQRT(((D22+G22)*O22/100)^2+(J22*(D22+G22)*0.07048)^2),0))</f>
        <v>97</v>
      </c>
      <c r="U22" s="32"/>
    </row>
    <row r="23" customFormat="false" ht="15" hidden="false" customHeight="false" outlineLevel="0" collapsed="false">
      <c r="A23" s="32" t="s">
        <v>127</v>
      </c>
      <c r="B23" s="32" t="s">
        <v>155</v>
      </c>
      <c r="C23" s="32" t="s">
        <v>129</v>
      </c>
      <c r="D23" s="54" t="n">
        <v>320</v>
      </c>
      <c r="E23" s="54" t="n">
        <v>351</v>
      </c>
      <c r="F23" s="65" t="n">
        <f aca="false">IF(E23="","",D23-E23)</f>
        <v>-31</v>
      </c>
      <c r="G23" s="54" t="n">
        <v>869</v>
      </c>
      <c r="H23" s="54" t="n">
        <v>849</v>
      </c>
      <c r="I23" s="65" t="n">
        <f aca="false">IF(H23="","",G23-H23)</f>
        <v>20</v>
      </c>
      <c r="J23" s="55" t="n">
        <f aca="false">IF(OR(D23="",D23+G23=0),"",D23/(D23+G23))</f>
        <v>0.269133725820017</v>
      </c>
      <c r="K23" s="55" t="n">
        <f aca="false">IF(E23="","",E23/(E23+H23))</f>
        <v>0.2925</v>
      </c>
      <c r="L23" s="66" t="n">
        <f aca="false">IF(OR(K23="",J23=""),"",(J23-K23)*100)</f>
        <v>-2.33662741799832</v>
      </c>
      <c r="M23" s="36" t="n">
        <v>3.65235826718192</v>
      </c>
      <c r="N23" s="36" t="n">
        <v>2.07645439039877</v>
      </c>
      <c r="O23" s="36" t="n">
        <f aca="false">SQRT(M23^2+N23^2)</f>
        <v>4.20135498943596</v>
      </c>
      <c r="P23" s="55" t="n">
        <f aca="false">IF(J23="","",MAX(0,J23-1.96*O23/100))</f>
        <v>0.186787168027072</v>
      </c>
      <c r="Q23" s="55" t="n">
        <f aca="false">IF(J23="","",MIN(1,J23+1.96*O23/100))</f>
        <v>0.351480283612962</v>
      </c>
      <c r="R23" s="32" t="str">
        <f aca="false">IF(L23="","",IF(ABS(L23)&lt;=O23,"Yes","No"))</f>
        <v>Yes</v>
      </c>
      <c r="S23" s="32" t="str">
        <f aca="false">IF(L23="","",IF(ABS(L23)&lt;=1.96*O23,"Yes","No"))</f>
        <v>Yes</v>
      </c>
      <c r="T23" s="54" t="n">
        <f aca="false">IF(D23="","",ROUND(SQRT(((D23+G23)*O23/100)^2+(J23*(D23+G23)*0.09173)^2),0))</f>
        <v>58</v>
      </c>
      <c r="U23" s="32"/>
    </row>
    <row r="24" customFormat="false" ht="15" hidden="false" customHeight="false" outlineLevel="0" collapsed="false">
      <c r="A24" s="32" t="s">
        <v>127</v>
      </c>
      <c r="B24" s="32" t="s">
        <v>156</v>
      </c>
      <c r="C24" s="32" t="s">
        <v>129</v>
      </c>
      <c r="D24" s="54" t="n">
        <v>56</v>
      </c>
      <c r="E24" s="54" t="n">
        <v>58</v>
      </c>
      <c r="F24" s="65" t="n">
        <f aca="false">IF(E24="","",D24-E24)</f>
        <v>-2</v>
      </c>
      <c r="G24" s="54" t="n">
        <v>87</v>
      </c>
      <c r="H24" s="54" t="n">
        <v>105</v>
      </c>
      <c r="I24" s="65" t="n">
        <f aca="false">IF(H24="","",G24-H24)</f>
        <v>-18</v>
      </c>
      <c r="J24" s="55" t="n">
        <f aca="false">IF(OR(D24="",D24+G24=0),"",D24/(D24+G24))</f>
        <v>0.391608391608392</v>
      </c>
      <c r="K24" s="55" t="n">
        <f aca="false">IF(E24="","",E24/(E24+H24))</f>
        <v>0.355828220858896</v>
      </c>
      <c r="L24" s="66" t="n">
        <f aca="false">IF(OR(K24="",J24=""),"",(J24-K24)*100)</f>
        <v>3.57801707494959</v>
      </c>
      <c r="M24" s="36" t="n">
        <v>3.65235826718192</v>
      </c>
      <c r="N24" s="36" t="n">
        <v>2.07645439039877</v>
      </c>
      <c r="O24" s="36" t="n">
        <f aca="false">SQRT(M24^2+N24^2)</f>
        <v>4.20135498943596</v>
      </c>
      <c r="P24" s="55" t="n">
        <f aca="false">IF(J24="","",MAX(0,J24-1.96*O24/100))</f>
        <v>0.309261833815447</v>
      </c>
      <c r="Q24" s="55" t="n">
        <f aca="false">IF(J24="","",MIN(1,J24+1.96*O24/100))</f>
        <v>0.473954949401336</v>
      </c>
      <c r="R24" s="32" t="str">
        <f aca="false">IF(L24="","",IF(ABS(L24)&lt;=O24,"Yes","No"))</f>
        <v>Yes</v>
      </c>
      <c r="S24" s="32" t="str">
        <f aca="false">IF(L24="","",IF(ABS(L24)&lt;=1.96*O24,"Yes","No"))</f>
        <v>Yes</v>
      </c>
      <c r="T24" s="54" t="n">
        <f aca="false">IF(D24="","",ROUND(SQRT(((D24+G24)*O24/100)^2+(J24*(D24+G24)*0.09173)^2),0))</f>
        <v>8</v>
      </c>
      <c r="U24" s="32"/>
    </row>
    <row r="25" customFormat="false" ht="15" hidden="false" customHeight="false" outlineLevel="0" collapsed="false">
      <c r="A25" s="32" t="s">
        <v>157</v>
      </c>
      <c r="B25" s="32" t="s">
        <v>158</v>
      </c>
      <c r="C25" s="32" t="s">
        <v>129</v>
      </c>
      <c r="D25" s="54" t="n">
        <v>668</v>
      </c>
      <c r="E25" s="54" t="n">
        <v>601</v>
      </c>
      <c r="F25" s="65" t="n">
        <f aca="false">IF(E25="","",D25-E25)</f>
        <v>67</v>
      </c>
      <c r="G25" s="54" t="n">
        <v>746</v>
      </c>
      <c r="H25" s="54" t="n">
        <v>766</v>
      </c>
      <c r="I25" s="65" t="n">
        <f aca="false">IF(H25="","",G25-H25)</f>
        <v>-20</v>
      </c>
      <c r="J25" s="55" t="n">
        <f aca="false">IF(OR(D25="",D25+G25=0),"",D25/(D25+G25))</f>
        <v>0.472418670438472</v>
      </c>
      <c r="K25" s="55" t="n">
        <f aca="false">IF(E25="","",E25/(E25+H25))</f>
        <v>0.439648866130212</v>
      </c>
      <c r="L25" s="66" t="n">
        <f aca="false">IF(OR(K25="",J25=""),"",(J25-K25)*100)</f>
        <v>3.27698043082603</v>
      </c>
      <c r="M25" s="36" t="n">
        <v>3.65235826718192</v>
      </c>
      <c r="N25" s="36" t="n">
        <v>2.07645439039877</v>
      </c>
      <c r="O25" s="36" t="n">
        <f aca="false">SQRT(M25^2+N25^2)</f>
        <v>4.20135498943596</v>
      </c>
      <c r="P25" s="55" t="n">
        <f aca="false">IF(J25="","",MAX(0,J25-1.96*O25/100))</f>
        <v>0.390072112645528</v>
      </c>
      <c r="Q25" s="55" t="n">
        <f aca="false">IF(J25="","",MIN(1,J25+1.96*O25/100))</f>
        <v>0.554765228231417</v>
      </c>
      <c r="R25" s="32" t="str">
        <f aca="false">IF(L25="","",IF(ABS(L25)&lt;=O25,"Yes","No"))</f>
        <v>Yes</v>
      </c>
      <c r="S25" s="32" t="str">
        <f aca="false">IF(L25="","",IF(ABS(L25)&lt;=1.96*O25,"Yes","No"))</f>
        <v>Yes</v>
      </c>
      <c r="T25" s="54" t="n">
        <f aca="false">IF(D25="","",ROUND(SQRT(((D25+G25)*O25/100)^2+(J25*(D25+G25)*0.09173)^2),0))</f>
        <v>85</v>
      </c>
      <c r="U25" s="32"/>
    </row>
    <row r="26" customFormat="false" ht="15" hidden="false" customHeight="false" outlineLevel="0" collapsed="false">
      <c r="A26" s="32" t="s">
        <v>157</v>
      </c>
      <c r="B26" s="32" t="s">
        <v>159</v>
      </c>
      <c r="C26" s="32" t="s">
        <v>129</v>
      </c>
      <c r="D26" s="54" t="n">
        <v>27454</v>
      </c>
      <c r="E26" s="54" t="n">
        <v>26568</v>
      </c>
      <c r="F26" s="65" t="n">
        <f aca="false">IF(E26="","",D26-E26)</f>
        <v>886</v>
      </c>
      <c r="G26" s="54" t="n">
        <v>14231</v>
      </c>
      <c r="H26" s="54" t="n">
        <v>14583</v>
      </c>
      <c r="I26" s="65" t="n">
        <f aca="false">IF(H26="","",G26-H26)</f>
        <v>-352</v>
      </c>
      <c r="J26" s="55" t="n">
        <f aca="false">IF(OR(D26="",D26+G26=0),"",D26/(D26+G26))</f>
        <v>0.658606213266163</v>
      </c>
      <c r="K26" s="55" t="n">
        <f aca="false">IF(E26="","",E26/(E26+H26))</f>
        <v>0.645622220602172</v>
      </c>
      <c r="L26" s="66" t="n">
        <f aca="false">IF(OR(K26="",J26=""),"",(J26-K26)*100)</f>
        <v>1.29839926639904</v>
      </c>
      <c r="M26" s="36" t="n">
        <v>1.86802980554935</v>
      </c>
      <c r="N26" s="36" t="n">
        <v>2.07645439039877</v>
      </c>
      <c r="O26" s="36" t="n">
        <f aca="false">SQRT(M26^2+N26^2)</f>
        <v>2.79306251090574</v>
      </c>
      <c r="P26" s="55" t="n">
        <f aca="false">IF(J26="","",MAX(0,J26-1.96*O26/100))</f>
        <v>0.60386218805241</v>
      </c>
      <c r="Q26" s="55" t="n">
        <f aca="false">IF(J26="","",MIN(1,J26+1.96*O26/100))</f>
        <v>0.713350238479915</v>
      </c>
      <c r="R26" s="32" t="str">
        <f aca="false">IF(L26="","",IF(ABS(L26)&lt;=O26,"Yes","No"))</f>
        <v>Yes</v>
      </c>
      <c r="S26" s="32" t="str">
        <f aca="false">IF(L26="","",IF(ABS(L26)&lt;=1.96*O26,"Yes","No"))</f>
        <v>Yes</v>
      </c>
      <c r="T26" s="54" t="n">
        <f aca="false">IF(D26="","",ROUND(SQRT(((D26+G26)*O26/100)^2+(J26*(D26+G26)*0.06406)^2),0))</f>
        <v>2109</v>
      </c>
      <c r="U26" s="32"/>
    </row>
    <row r="27" customFormat="false" ht="15" hidden="false" customHeight="false" outlineLevel="0" collapsed="false">
      <c r="A27" s="32" t="s">
        <v>157</v>
      </c>
      <c r="B27" s="32" t="s">
        <v>160</v>
      </c>
      <c r="C27" s="32" t="s">
        <v>129</v>
      </c>
      <c r="D27" s="54" t="n">
        <v>6625</v>
      </c>
      <c r="E27" s="54" t="n">
        <v>6612</v>
      </c>
      <c r="F27" s="65" t="n">
        <f aca="false">IF(E27="","",D27-E27)</f>
        <v>13</v>
      </c>
      <c r="G27" s="54" t="n">
        <v>4015</v>
      </c>
      <c r="H27" s="54" t="n">
        <v>3834</v>
      </c>
      <c r="I27" s="65" t="n">
        <f aca="false">IF(H27="","",G27-H27)</f>
        <v>181</v>
      </c>
      <c r="J27" s="55" t="n">
        <f aca="false">IF(OR(D27="",D27+G27=0),"",D27/(D27+G27))</f>
        <v>0.62265037593985</v>
      </c>
      <c r="K27" s="55" t="n">
        <f aca="false">IF(E27="","",E27/(E27+H27))</f>
        <v>0.632969557725445</v>
      </c>
      <c r="L27" s="66" t="n">
        <f aca="false">IF(OR(K27="",J27=""),"",(J27-K27)*100)</f>
        <v>-1.03191817855955</v>
      </c>
      <c r="M27" s="36" t="n">
        <v>1.86802980554935</v>
      </c>
      <c r="N27" s="36" t="n">
        <v>2.07645439039877</v>
      </c>
      <c r="O27" s="36" t="n">
        <f aca="false">SQRT(M27^2+N27^2)</f>
        <v>2.79306251090574</v>
      </c>
      <c r="P27" s="55" t="n">
        <f aca="false">IF(J27="","",MAX(0,J27-1.96*O27/100))</f>
        <v>0.567906350726097</v>
      </c>
      <c r="Q27" s="55" t="n">
        <f aca="false">IF(J27="","",MIN(1,J27+1.96*O27/100))</f>
        <v>0.677394401153602</v>
      </c>
      <c r="R27" s="32" t="str">
        <f aca="false">IF(L27="","",IF(ABS(L27)&lt;=O27,"Yes","No"))</f>
        <v>Yes</v>
      </c>
      <c r="S27" s="32" t="str">
        <f aca="false">IF(L27="","",IF(ABS(L27)&lt;=1.96*O27,"Yes","No"))</f>
        <v>Yes</v>
      </c>
      <c r="T27" s="54" t="n">
        <f aca="false">IF(D27="","",ROUND(SQRT(((D27+G27)*O27/100)^2+(J27*(D27+G27)*0.06406)^2),0))</f>
        <v>518</v>
      </c>
      <c r="U27" s="32"/>
    </row>
    <row r="28" customFormat="false" ht="15" hidden="false" customHeight="false" outlineLevel="0" collapsed="false">
      <c r="A28" s="32" t="s">
        <v>157</v>
      </c>
      <c r="B28" s="32" t="s">
        <v>161</v>
      </c>
      <c r="C28" s="32" t="s">
        <v>129</v>
      </c>
      <c r="D28" s="54" t="n">
        <v>1582</v>
      </c>
      <c r="E28" s="54" t="n">
        <v>1560</v>
      </c>
      <c r="F28" s="65" t="n">
        <f aca="false">IF(E28="","",D28-E28)</f>
        <v>22</v>
      </c>
      <c r="G28" s="54" t="n">
        <v>1504</v>
      </c>
      <c r="H28" s="54" t="n">
        <v>1491</v>
      </c>
      <c r="I28" s="65" t="n">
        <f aca="false">IF(H28="","",G28-H28)</f>
        <v>13</v>
      </c>
      <c r="J28" s="55" t="n">
        <f aca="false">IF(OR(D28="",D28+G28=0),"",D28/(D28+G28))</f>
        <v>0.512637718729747</v>
      </c>
      <c r="K28" s="55" t="n">
        <f aca="false">IF(E28="","",E28/(E28+H28))</f>
        <v>0.511307767944936</v>
      </c>
      <c r="L28" s="66" t="n">
        <f aca="false">IF(OR(K28="",J28=""),"",(J28-K28)*100)</f>
        <v>0.132995078481124</v>
      </c>
      <c r="M28" s="36" t="n">
        <v>2.37002691403454</v>
      </c>
      <c r="N28" s="36" t="n">
        <v>2.07645439039877</v>
      </c>
      <c r="O28" s="36" t="n">
        <f aca="false">SQRT(M28^2+N28^2)</f>
        <v>3.15098245134028</v>
      </c>
      <c r="P28" s="55" t="n">
        <f aca="false">IF(J28="","",MAX(0,J28-1.96*O28/100))</f>
        <v>0.450878462683478</v>
      </c>
      <c r="Q28" s="55" t="n">
        <f aca="false">IF(J28="","",MIN(1,J28+1.96*O28/100))</f>
        <v>0.574396974776017</v>
      </c>
      <c r="R28" s="32" t="str">
        <f aca="false">IF(L28="","",IF(ABS(L28)&lt;=O28,"Yes","No"))</f>
        <v>Yes</v>
      </c>
      <c r="S28" s="32" t="str">
        <f aca="false">IF(L28="","",IF(ABS(L28)&lt;=1.96*O28,"Yes","No"))</f>
        <v>Yes</v>
      </c>
      <c r="T28" s="54" t="n">
        <f aca="false">IF(D28="","",ROUND(SQRT(((D28+G28)*O28/100)^2+(J28*(D28+G28)*0.07048)^2),0))</f>
        <v>148</v>
      </c>
      <c r="U28" s="32"/>
    </row>
    <row r="29" customFormat="false" ht="15" hidden="false" customHeight="false" outlineLevel="0" collapsed="false">
      <c r="A29" s="32" t="s">
        <v>157</v>
      </c>
      <c r="B29" s="32" t="s">
        <v>162</v>
      </c>
      <c r="C29" s="32" t="s">
        <v>129</v>
      </c>
      <c r="D29" s="54" t="n">
        <v>746</v>
      </c>
      <c r="E29" s="54" t="n">
        <v>735</v>
      </c>
      <c r="F29" s="65" t="n">
        <f aca="false">IF(E29="","",D29-E29)</f>
        <v>11</v>
      </c>
      <c r="G29" s="54" t="n">
        <v>825</v>
      </c>
      <c r="H29" s="54" t="n">
        <v>804</v>
      </c>
      <c r="I29" s="65" t="n">
        <f aca="false">IF(H29="","",G29-H29)</f>
        <v>21</v>
      </c>
      <c r="J29" s="55" t="n">
        <f aca="false">IF(OR(D29="",D29+G29=0),"",D29/(D29+G29))</f>
        <v>0.474856779121579</v>
      </c>
      <c r="K29" s="55" t="n">
        <f aca="false">IF(E29="","",E29/(E29+H29))</f>
        <v>0.477582846003899</v>
      </c>
      <c r="L29" s="66" t="n">
        <f aca="false">IF(OR(K29="",J29=""),"",(J29-K29)*100)</f>
        <v>-0.272606688232002</v>
      </c>
      <c r="M29" s="36" t="n">
        <v>2.37002691403454</v>
      </c>
      <c r="N29" s="36" t="n">
        <v>2.07645439039877</v>
      </c>
      <c r="O29" s="36" t="n">
        <f aca="false">SQRT(M29^2+N29^2)</f>
        <v>3.15098245134028</v>
      </c>
      <c r="P29" s="55" t="n">
        <f aca="false">IF(J29="","",MAX(0,J29-1.96*O29/100))</f>
        <v>0.413097523075309</v>
      </c>
      <c r="Q29" s="55" t="n">
        <f aca="false">IF(J29="","",MIN(1,J29+1.96*O29/100))</f>
        <v>0.536616035167848</v>
      </c>
      <c r="R29" s="32" t="str">
        <f aca="false">IF(L29="","",IF(ABS(L29)&lt;=O29,"Yes","No"))</f>
        <v>Yes</v>
      </c>
      <c r="S29" s="32" t="str">
        <f aca="false">IF(L29="","",IF(ABS(L29)&lt;=1.96*O29,"Yes","No"))</f>
        <v>Yes</v>
      </c>
      <c r="T29" s="54" t="n">
        <f aca="false">IF(D29="","",ROUND(SQRT(((D29+G29)*O29/100)^2+(J29*(D29+G29)*0.07048)^2),0))</f>
        <v>72</v>
      </c>
      <c r="U29" s="32"/>
    </row>
    <row r="30" customFormat="false" ht="15" hidden="false" customHeight="false" outlineLevel="0" collapsed="false">
      <c r="A30" s="32" t="s">
        <v>157</v>
      </c>
      <c r="B30" s="32" t="s">
        <v>163</v>
      </c>
      <c r="C30" s="32" t="s">
        <v>129</v>
      </c>
      <c r="D30" s="54" t="n">
        <v>943</v>
      </c>
      <c r="E30" s="54" t="n">
        <v>899</v>
      </c>
      <c r="F30" s="65" t="n">
        <f aca="false">IF(E30="","",D30-E30)</f>
        <v>44</v>
      </c>
      <c r="G30" s="54" t="n">
        <v>894</v>
      </c>
      <c r="H30" s="54" t="n">
        <v>898</v>
      </c>
      <c r="I30" s="65" t="n">
        <f aca="false">IF(H30="","",G30-H30)</f>
        <v>-4</v>
      </c>
      <c r="J30" s="55" t="n">
        <f aca="false">IF(OR(D30="",D30+G30=0),"",D30/(D30+G30))</f>
        <v>0.513336962438759</v>
      </c>
      <c r="K30" s="55" t="n">
        <f aca="false">IF(E30="","",E30/(E30+H30))</f>
        <v>0.500278241513634</v>
      </c>
      <c r="L30" s="66" t="n">
        <f aca="false">IF(OR(K30="",J30=""),"",(J30-K30)*100)</f>
        <v>1.30587209251249</v>
      </c>
      <c r="M30" s="36" t="n">
        <v>2.37002691403454</v>
      </c>
      <c r="N30" s="36" t="n">
        <v>2.07645439039877</v>
      </c>
      <c r="O30" s="36" t="n">
        <f aca="false">SQRT(M30^2+N30^2)</f>
        <v>3.15098245134028</v>
      </c>
      <c r="P30" s="55" t="n">
        <f aca="false">IF(J30="","",MAX(0,J30-1.96*O30/100))</f>
        <v>0.451577706392489</v>
      </c>
      <c r="Q30" s="55" t="n">
        <f aca="false">IF(J30="","",MIN(1,J30+1.96*O30/100))</f>
        <v>0.575096218485028</v>
      </c>
      <c r="R30" s="32" t="str">
        <f aca="false">IF(L30="","",IF(ABS(L30)&lt;=O30,"Yes","No"))</f>
        <v>Yes</v>
      </c>
      <c r="S30" s="32" t="str">
        <f aca="false">IF(L30="","",IF(ABS(L30)&lt;=1.96*O30,"Yes","No"))</f>
        <v>Yes</v>
      </c>
      <c r="T30" s="54" t="n">
        <f aca="false">IF(D30="","",ROUND(SQRT(((D30+G30)*O30/100)^2+(J30*(D30+G30)*0.07048)^2),0))</f>
        <v>88</v>
      </c>
      <c r="U30" s="32"/>
    </row>
    <row r="31" customFormat="false" ht="15" hidden="false" customHeight="false" outlineLevel="0" collapsed="false">
      <c r="A31" s="32" t="s">
        <v>157</v>
      </c>
      <c r="B31" s="32" t="s">
        <v>164</v>
      </c>
      <c r="C31" s="32" t="s">
        <v>129</v>
      </c>
      <c r="D31" s="54" t="n">
        <v>3621</v>
      </c>
      <c r="E31" s="54" t="n">
        <v>3663</v>
      </c>
      <c r="F31" s="65" t="n">
        <f aca="false">IF(E31="","",D31-E31)</f>
        <v>-42</v>
      </c>
      <c r="G31" s="54" t="n">
        <v>3237</v>
      </c>
      <c r="H31" s="54" t="n">
        <v>3236</v>
      </c>
      <c r="I31" s="65" t="n">
        <f aca="false">IF(H31="","",G31-H31)</f>
        <v>1</v>
      </c>
      <c r="J31" s="55" t="n">
        <f aca="false">IF(OR(D31="",D31+G31=0),"",D31/(D31+G31))</f>
        <v>0.527996500437445</v>
      </c>
      <c r="K31" s="55" t="n">
        <f aca="false">IF(E31="","",E31/(E31+H31))</f>
        <v>0.530946513987535</v>
      </c>
      <c r="L31" s="66" t="n">
        <f aca="false">IF(OR(K31="",J31=""),"",(J31-K31)*100)</f>
        <v>-0.295001355008917</v>
      </c>
      <c r="M31" s="36" t="n">
        <v>1.86802980554935</v>
      </c>
      <c r="N31" s="36" t="n">
        <v>2.07645439039877</v>
      </c>
      <c r="O31" s="36" t="n">
        <f aca="false">SQRT(M31^2+N31^2)</f>
        <v>2.79306251090574</v>
      </c>
      <c r="P31" s="55" t="n">
        <f aca="false">IF(J31="","",MAX(0,J31-1.96*O31/100))</f>
        <v>0.473252475223693</v>
      </c>
      <c r="Q31" s="55" t="n">
        <f aca="false">IF(J31="","",MIN(1,J31+1.96*O31/100))</f>
        <v>0.582740525651198</v>
      </c>
      <c r="R31" s="32" t="str">
        <f aca="false">IF(L31="","",IF(ABS(L31)&lt;=O31,"Yes","No"))</f>
        <v>Yes</v>
      </c>
      <c r="S31" s="32" t="str">
        <f aca="false">IF(L31="","",IF(ABS(L31)&lt;=1.96*O31,"Yes","No"))</f>
        <v>Yes</v>
      </c>
      <c r="T31" s="54" t="n">
        <f aca="false">IF(D31="","",ROUND(SQRT(((D31+G31)*O31/100)^2+(J31*(D31+G31)*0.06406)^2),0))</f>
        <v>301</v>
      </c>
      <c r="U31" s="32"/>
    </row>
    <row r="32" customFormat="false" ht="15" hidden="false" customHeight="false" outlineLevel="0" collapsed="false">
      <c r="A32" s="32" t="s">
        <v>157</v>
      </c>
      <c r="B32" s="32" t="s">
        <v>165</v>
      </c>
      <c r="C32" s="32" t="s">
        <v>129</v>
      </c>
      <c r="D32" s="54" t="n">
        <v>1547</v>
      </c>
      <c r="E32" s="54" t="n">
        <v>1433</v>
      </c>
      <c r="F32" s="65" t="n">
        <f aca="false">IF(E32="","",D32-E32)</f>
        <v>114</v>
      </c>
      <c r="G32" s="54" t="n">
        <v>794</v>
      </c>
      <c r="H32" s="54" t="n">
        <v>793</v>
      </c>
      <c r="I32" s="65" t="n">
        <f aca="false">IF(H32="","",G32-H32)</f>
        <v>1</v>
      </c>
      <c r="J32" s="55" t="n">
        <f aca="false">IF(OR(D32="",D32+G32=0),"",D32/(D32+G32))</f>
        <v>0.660828705681333</v>
      </c>
      <c r="K32" s="55" t="n">
        <f aca="false">IF(E32="","",E32/(E32+H32))</f>
        <v>0.643755615453729</v>
      </c>
      <c r="L32" s="66" t="n">
        <f aca="false">IF(OR(K32="",J32=""),"",(J32-K32)*100)</f>
        <v>1.70730902276042</v>
      </c>
      <c r="M32" s="36" t="n">
        <v>2.37002691403454</v>
      </c>
      <c r="N32" s="36" t="n">
        <v>2.07645439039877</v>
      </c>
      <c r="O32" s="36" t="n">
        <f aca="false">SQRT(M32^2+N32^2)</f>
        <v>3.15098245134028</v>
      </c>
      <c r="P32" s="55" t="n">
        <f aca="false">IF(J32="","",MAX(0,J32-1.96*O32/100))</f>
        <v>0.599069449635063</v>
      </c>
      <c r="Q32" s="55" t="n">
        <f aca="false">IF(J32="","",MIN(1,J32+1.96*O32/100))</f>
        <v>0.722587961727602</v>
      </c>
      <c r="R32" s="32" t="str">
        <f aca="false">IF(L32="","",IF(ABS(L32)&lt;=O32,"Yes","No"))</f>
        <v>Yes</v>
      </c>
      <c r="S32" s="32" t="str">
        <f aca="false">IF(L32="","",IF(ABS(L32)&lt;=1.96*O32,"Yes","No"))</f>
        <v>Yes</v>
      </c>
      <c r="T32" s="54" t="n">
        <f aca="false">IF(D32="","",ROUND(SQRT(((D32+G32)*O32/100)^2+(J32*(D32+G32)*0.07048)^2),0))</f>
        <v>132</v>
      </c>
      <c r="U32" s="32"/>
    </row>
    <row r="33" customFormat="false" ht="15" hidden="false" customHeight="false" outlineLevel="0" collapsed="false">
      <c r="A33" s="32" t="s">
        <v>157</v>
      </c>
      <c r="B33" s="32" t="s">
        <v>166</v>
      </c>
      <c r="C33" s="32" t="s">
        <v>129</v>
      </c>
      <c r="D33" s="54" t="n">
        <v>394</v>
      </c>
      <c r="E33" s="54" t="n">
        <v>379</v>
      </c>
      <c r="F33" s="65" t="n">
        <f aca="false">IF(E33="","",D33-E33)</f>
        <v>15</v>
      </c>
      <c r="G33" s="54" t="n">
        <v>345</v>
      </c>
      <c r="H33" s="54" t="n">
        <v>330</v>
      </c>
      <c r="I33" s="65" t="n">
        <f aca="false">IF(H33="","",G33-H33)</f>
        <v>15</v>
      </c>
      <c r="J33" s="55" t="n">
        <f aca="false">IF(OR(D33="",D33+G33=0),"",D33/(D33+G33))</f>
        <v>0.533152909336942</v>
      </c>
      <c r="K33" s="55" t="n">
        <f aca="false">IF(E33="","",E33/(E33+H33))</f>
        <v>0.534555712270804</v>
      </c>
      <c r="L33" s="66" t="n">
        <f aca="false">IF(OR(K33="",J33=""),"",(J33-K33)*100)</f>
        <v>-0.140280293386208</v>
      </c>
      <c r="M33" s="36" t="n">
        <v>3.65235826718192</v>
      </c>
      <c r="N33" s="36" t="n">
        <v>2.07645439039877</v>
      </c>
      <c r="O33" s="36" t="n">
        <f aca="false">SQRT(M33^2+N33^2)</f>
        <v>4.20135498943596</v>
      </c>
      <c r="P33" s="55" t="n">
        <f aca="false">IF(J33="","",MAX(0,J33-1.96*O33/100))</f>
        <v>0.450806351543997</v>
      </c>
      <c r="Q33" s="55" t="n">
        <f aca="false">IF(J33="","",MIN(1,J33+1.96*O33/100))</f>
        <v>0.615499467129887</v>
      </c>
      <c r="R33" s="32" t="str">
        <f aca="false">IF(L33="","",IF(ABS(L33)&lt;=O33,"Yes","No"))</f>
        <v>Yes</v>
      </c>
      <c r="S33" s="32" t="str">
        <f aca="false">IF(L33="","",IF(ABS(L33)&lt;=1.96*O33,"Yes","No"))</f>
        <v>Yes</v>
      </c>
      <c r="T33" s="54" t="n">
        <f aca="false">IF(D33="","",ROUND(SQRT(((D33+G33)*O33/100)^2+(J33*(D33+G33)*0.09173)^2),0))</f>
        <v>48</v>
      </c>
      <c r="U33" s="32"/>
    </row>
    <row r="34" customFormat="false" ht="15" hidden="false" customHeight="false" outlineLevel="0" collapsed="false">
      <c r="A34" s="32" t="s">
        <v>157</v>
      </c>
      <c r="B34" s="32" t="s">
        <v>167</v>
      </c>
      <c r="C34" s="32" t="s">
        <v>129</v>
      </c>
      <c r="D34" s="54" t="n">
        <v>621</v>
      </c>
      <c r="E34" s="54" t="n">
        <v>654</v>
      </c>
      <c r="F34" s="65" t="n">
        <f aca="false">IF(E34="","",D34-E34)</f>
        <v>-33</v>
      </c>
      <c r="G34" s="54" t="n">
        <v>1433</v>
      </c>
      <c r="H34" s="54" t="n">
        <v>1439</v>
      </c>
      <c r="I34" s="65" t="n">
        <f aca="false">IF(H34="","",G34-H34)</f>
        <v>-6</v>
      </c>
      <c r="J34" s="55" t="n">
        <f aca="false">IF(OR(D34="",D34+G34=0),"",D34/(D34+G34))</f>
        <v>0.302336903602726</v>
      </c>
      <c r="K34" s="55" t="n">
        <f aca="false">IF(E34="","",E34/(E34+H34))</f>
        <v>0.312470138557095</v>
      </c>
      <c r="L34" s="66" t="n">
        <f aca="false">IF(OR(K34="",J34=""),"",(J34-K34)*100)</f>
        <v>-1.01332349543687</v>
      </c>
      <c r="M34" s="36" t="n">
        <v>2.37002691403454</v>
      </c>
      <c r="N34" s="36" t="n">
        <v>2.07645439039877</v>
      </c>
      <c r="O34" s="36" t="n">
        <f aca="false">SQRT(M34^2+N34^2)</f>
        <v>3.15098245134028</v>
      </c>
      <c r="P34" s="55" t="n">
        <f aca="false">IF(J34="","",MAX(0,J34-1.96*O34/100))</f>
        <v>0.240577647556457</v>
      </c>
      <c r="Q34" s="55" t="n">
        <f aca="false">IF(J34="","",MIN(1,J34+1.96*O34/100))</f>
        <v>0.364096159648996</v>
      </c>
      <c r="R34" s="32" t="str">
        <f aca="false">IF(L34="","",IF(ABS(L34)&lt;=O34,"Yes","No"))</f>
        <v>Yes</v>
      </c>
      <c r="S34" s="32" t="str">
        <f aca="false">IF(L34="","",IF(ABS(L34)&lt;=1.96*O34,"Yes","No"))</f>
        <v>Yes</v>
      </c>
      <c r="T34" s="54" t="n">
        <f aca="false">IF(D34="","",ROUND(SQRT(((D34+G34)*O34/100)^2+(J34*(D34+G34)*0.07048)^2),0))</f>
        <v>78</v>
      </c>
      <c r="U34" s="32"/>
    </row>
    <row r="35" customFormat="false" ht="15" hidden="false" customHeight="false" outlineLevel="0" collapsed="false">
      <c r="A35" s="32" t="s">
        <v>157</v>
      </c>
      <c r="B35" s="32" t="s">
        <v>168</v>
      </c>
      <c r="C35" s="32" t="s">
        <v>129</v>
      </c>
      <c r="D35" s="54" t="n">
        <v>10157</v>
      </c>
      <c r="E35" s="54" t="n">
        <v>10021</v>
      </c>
      <c r="F35" s="65" t="n">
        <f aca="false">IF(E35="","",D35-E35)</f>
        <v>136</v>
      </c>
      <c r="G35" s="54" t="n">
        <v>10279</v>
      </c>
      <c r="H35" s="54" t="n">
        <v>10199</v>
      </c>
      <c r="I35" s="65" t="n">
        <f aca="false">IF(H35="","",G35-H35)</f>
        <v>80</v>
      </c>
      <c r="J35" s="55" t="n">
        <f aca="false">IF(OR(D35="",D35+G35=0),"",D35/(D35+G35))</f>
        <v>0.497015071442552</v>
      </c>
      <c r="K35" s="55" t="n">
        <f aca="false">IF(E35="","",E35/(E35+H35))</f>
        <v>0.495598417408506</v>
      </c>
      <c r="L35" s="66" t="n">
        <f aca="false">IF(OR(K35="",J35=""),"",(J35-K35)*100)</f>
        <v>0.141665403404595</v>
      </c>
      <c r="M35" s="36" t="n">
        <v>1.86802980554935</v>
      </c>
      <c r="N35" s="36" t="n">
        <v>2.07645439039877</v>
      </c>
      <c r="O35" s="36" t="n">
        <f aca="false">SQRT(M35^2+N35^2)</f>
        <v>2.79306251090574</v>
      </c>
      <c r="P35" s="55" t="n">
        <f aca="false">IF(J35="","",MAX(0,J35-1.96*O35/100))</f>
        <v>0.4422710462288</v>
      </c>
      <c r="Q35" s="55" t="n">
        <f aca="false">IF(J35="","",MIN(1,J35+1.96*O35/100))</f>
        <v>0.551759096656305</v>
      </c>
      <c r="R35" s="32" t="str">
        <f aca="false">IF(L35="","",IF(ABS(L35)&lt;=O35,"Yes","No"))</f>
        <v>Yes</v>
      </c>
      <c r="S35" s="32" t="str">
        <f aca="false">IF(L35="","",IF(ABS(L35)&lt;=1.96*O35,"Yes","No"))</f>
        <v>Yes</v>
      </c>
      <c r="T35" s="54" t="n">
        <f aca="false">IF(D35="","",ROUND(SQRT(((D35+G35)*O35/100)^2+(J35*(D35+G35)*0.06406)^2),0))</f>
        <v>866</v>
      </c>
      <c r="U35" s="32"/>
    </row>
    <row r="36" customFormat="false" ht="15" hidden="false" customHeight="false" outlineLevel="0" collapsed="false">
      <c r="A36" s="32" t="s">
        <v>157</v>
      </c>
      <c r="B36" s="32" t="s">
        <v>169</v>
      </c>
      <c r="C36" s="32" t="s">
        <v>129</v>
      </c>
      <c r="D36" s="54" t="n">
        <v>917</v>
      </c>
      <c r="E36" s="54" t="n">
        <v>985</v>
      </c>
      <c r="F36" s="65" t="n">
        <f aca="false">IF(E36="","",D36-E36)</f>
        <v>-68</v>
      </c>
      <c r="G36" s="54" t="n">
        <v>1684</v>
      </c>
      <c r="H36" s="54" t="n">
        <v>1586</v>
      </c>
      <c r="I36" s="65" t="n">
        <f aca="false">IF(H36="","",G36-H36)</f>
        <v>98</v>
      </c>
      <c r="J36" s="55" t="n">
        <f aca="false">IF(OR(D36="",D36+G36=0),"",D36/(D36+G36))</f>
        <v>0.352556708958093</v>
      </c>
      <c r="K36" s="55" t="n">
        <f aca="false">IF(E36="","",E36/(E36+H36))</f>
        <v>0.383119408790354</v>
      </c>
      <c r="L36" s="66" t="n">
        <f aca="false">IF(OR(K36="",J36=""),"",(J36-K36)*100)</f>
        <v>-3.05626998322609</v>
      </c>
      <c r="M36" s="36" t="n">
        <v>2.37002691403454</v>
      </c>
      <c r="N36" s="36" t="n">
        <v>2.07645439039877</v>
      </c>
      <c r="O36" s="36" t="n">
        <f aca="false">SQRT(M36^2+N36^2)</f>
        <v>3.15098245134028</v>
      </c>
      <c r="P36" s="55" t="n">
        <f aca="false">IF(J36="","",MAX(0,J36-1.96*O36/100))</f>
        <v>0.290797452911824</v>
      </c>
      <c r="Q36" s="55" t="n">
        <f aca="false">IF(J36="","",MIN(1,J36+1.96*O36/100))</f>
        <v>0.414315965004363</v>
      </c>
      <c r="R36" s="32" t="str">
        <f aca="false">IF(L36="","",IF(ABS(L36)&lt;=O36,"Yes","No"))</f>
        <v>Yes</v>
      </c>
      <c r="S36" s="32" t="str">
        <f aca="false">IF(L36="","",IF(ABS(L36)&lt;=1.96*O36,"Yes","No"))</f>
        <v>Yes</v>
      </c>
      <c r="T36" s="54" t="n">
        <f aca="false">IF(D36="","",ROUND(SQRT(((D36+G36)*O36/100)^2+(J36*(D36+G36)*0.07048)^2),0))</f>
        <v>104</v>
      </c>
      <c r="U36" s="32"/>
    </row>
    <row r="37" customFormat="false" ht="15" hidden="false" customHeight="false" outlineLevel="0" collapsed="false">
      <c r="A37" s="32" t="s">
        <v>157</v>
      </c>
      <c r="B37" s="32" t="s">
        <v>170</v>
      </c>
      <c r="C37" s="32" t="s">
        <v>129</v>
      </c>
      <c r="D37" s="54" t="n">
        <v>529</v>
      </c>
      <c r="E37" s="54" t="n">
        <v>543</v>
      </c>
      <c r="F37" s="65" t="n">
        <f aca="false">IF(E37="","",D37-E37)</f>
        <v>-14</v>
      </c>
      <c r="G37" s="54" t="n">
        <v>1034</v>
      </c>
      <c r="H37" s="54" t="n">
        <v>990</v>
      </c>
      <c r="I37" s="65" t="n">
        <f aca="false">IF(H37="","",G37-H37)</f>
        <v>44</v>
      </c>
      <c r="J37" s="55" t="n">
        <f aca="false">IF(OR(D37="",D37+G37=0),"",D37/(D37+G37))</f>
        <v>0.338451695457454</v>
      </c>
      <c r="K37" s="55" t="n">
        <f aca="false">IF(E37="","",E37/(E37+H37))</f>
        <v>0.354207436399217</v>
      </c>
      <c r="L37" s="66" t="n">
        <f aca="false">IF(OR(K37="",J37=""),"",(J37-K37)*100)</f>
        <v>-1.57557409417636</v>
      </c>
      <c r="M37" s="36" t="n">
        <v>2.37002691403454</v>
      </c>
      <c r="N37" s="36" t="n">
        <v>2.07645439039877</v>
      </c>
      <c r="O37" s="36" t="n">
        <f aca="false">SQRT(M37^2+N37^2)</f>
        <v>3.15098245134028</v>
      </c>
      <c r="P37" s="55" t="n">
        <f aca="false">IF(J37="","",MAX(0,J37-1.96*O37/100))</f>
        <v>0.276692439411184</v>
      </c>
      <c r="Q37" s="55" t="n">
        <f aca="false">IF(J37="","",MIN(1,J37+1.96*O37/100))</f>
        <v>0.400210951503723</v>
      </c>
      <c r="R37" s="32" t="str">
        <f aca="false">IF(L37="","",IF(ABS(L37)&lt;=O37,"Yes","No"))</f>
        <v>Yes</v>
      </c>
      <c r="S37" s="32" t="str">
        <f aca="false">IF(L37="","",IF(ABS(L37)&lt;=1.96*O37,"Yes","No"))</f>
        <v>Yes</v>
      </c>
      <c r="T37" s="54" t="n">
        <f aca="false">IF(D37="","",ROUND(SQRT(((D37+G37)*O37/100)^2+(J37*(D37+G37)*0.07048)^2),0))</f>
        <v>62</v>
      </c>
      <c r="U37" s="32"/>
    </row>
    <row r="38" customFormat="false" ht="15" hidden="false" customHeight="false" outlineLevel="0" collapsed="false">
      <c r="A38" s="32" t="s">
        <v>157</v>
      </c>
      <c r="B38" s="32" t="s">
        <v>171</v>
      </c>
      <c r="C38" s="32" t="s">
        <v>129</v>
      </c>
      <c r="D38" s="54" t="n">
        <v>829</v>
      </c>
      <c r="E38" s="54" t="n">
        <v>850</v>
      </c>
      <c r="F38" s="65" t="n">
        <f aca="false">IF(E38="","",D38-E38)</f>
        <v>-21</v>
      </c>
      <c r="G38" s="54" t="n">
        <v>1870</v>
      </c>
      <c r="H38" s="54" t="n">
        <v>1856</v>
      </c>
      <c r="I38" s="65" t="n">
        <f aca="false">IF(H38="","",G38-H38)</f>
        <v>14</v>
      </c>
      <c r="J38" s="55" t="n">
        <f aca="false">IF(OR(D38="",D38+G38=0),"",D38/(D38+G38))</f>
        <v>0.30715079659133</v>
      </c>
      <c r="K38" s="55" t="n">
        <f aca="false">IF(E38="","",E38/(E38+H38))</f>
        <v>0.314116777531412</v>
      </c>
      <c r="L38" s="66" t="n">
        <f aca="false">IF(OR(K38="",J38=""),"",(J38-K38)*100)</f>
        <v>-0.696598094008155</v>
      </c>
      <c r="M38" s="36" t="n">
        <v>2.37002691403454</v>
      </c>
      <c r="N38" s="36" t="n">
        <v>2.07645439039877</v>
      </c>
      <c r="O38" s="36" t="n">
        <f aca="false">SQRT(M38^2+N38^2)</f>
        <v>3.15098245134028</v>
      </c>
      <c r="P38" s="55" t="n">
        <f aca="false">IF(J38="","",MAX(0,J38-1.96*O38/100))</f>
        <v>0.245391540545061</v>
      </c>
      <c r="Q38" s="55" t="n">
        <f aca="false">IF(J38="","",MIN(1,J38+1.96*O38/100))</f>
        <v>0.3689100526376</v>
      </c>
      <c r="R38" s="32" t="str">
        <f aca="false">IF(L38="","",IF(ABS(L38)&lt;=O38,"Yes","No"))</f>
        <v>Yes</v>
      </c>
      <c r="S38" s="32" t="str">
        <f aca="false">IF(L38="","",IF(ABS(L38)&lt;=1.96*O38,"Yes","No"))</f>
        <v>Yes</v>
      </c>
      <c r="T38" s="54" t="n">
        <f aca="false">IF(D38="","",ROUND(SQRT(((D38+G38)*O38/100)^2+(J38*(D38+G38)*0.07048)^2),0))</f>
        <v>103</v>
      </c>
      <c r="U38" s="32"/>
    </row>
    <row r="39" customFormat="false" ht="15" hidden="false" customHeight="false" outlineLevel="0" collapsed="false">
      <c r="A39" s="32" t="s">
        <v>157</v>
      </c>
      <c r="B39" s="32" t="s">
        <v>172</v>
      </c>
      <c r="C39" s="32" t="s">
        <v>129</v>
      </c>
      <c r="D39" s="54" t="n">
        <v>983</v>
      </c>
      <c r="E39" s="54" t="n">
        <v>980</v>
      </c>
      <c r="F39" s="65" t="n">
        <f aca="false">IF(E39="","",D39-E39)</f>
        <v>3</v>
      </c>
      <c r="G39" s="54" t="n">
        <v>910</v>
      </c>
      <c r="H39" s="54" t="n">
        <v>872</v>
      </c>
      <c r="I39" s="65" t="n">
        <f aca="false">IF(H39="","",G39-H39)</f>
        <v>38</v>
      </c>
      <c r="J39" s="55" t="n">
        <f aca="false">IF(OR(D39="",D39+G39=0),"",D39/(D39+G39))</f>
        <v>0.519281563655573</v>
      </c>
      <c r="K39" s="55" t="n">
        <f aca="false">IF(E39="","",E39/(E39+H39))</f>
        <v>0.529157667386609</v>
      </c>
      <c r="L39" s="66" t="n">
        <f aca="false">IF(OR(K39="",J39=""),"",(J39-K39)*100)</f>
        <v>-0.987610373103587</v>
      </c>
      <c r="M39" s="36" t="n">
        <v>2.37002691403454</v>
      </c>
      <c r="N39" s="36" t="n">
        <v>2.07645439039877</v>
      </c>
      <c r="O39" s="36" t="n">
        <f aca="false">SQRT(M39^2+N39^2)</f>
        <v>3.15098245134028</v>
      </c>
      <c r="P39" s="55" t="n">
        <f aca="false">IF(J39="","",MAX(0,J39-1.96*O39/100))</f>
        <v>0.457522307609304</v>
      </c>
      <c r="Q39" s="55" t="n">
        <f aca="false">IF(J39="","",MIN(1,J39+1.96*O39/100))</f>
        <v>0.581040819701843</v>
      </c>
      <c r="R39" s="32" t="str">
        <f aca="false">IF(L39="","",IF(ABS(L39)&lt;=O39,"Yes","No"))</f>
        <v>Yes</v>
      </c>
      <c r="S39" s="32" t="str">
        <f aca="false">IF(L39="","",IF(ABS(L39)&lt;=1.96*O39,"Yes","No"))</f>
        <v>Yes</v>
      </c>
      <c r="T39" s="54" t="n">
        <f aca="false">IF(D39="","",ROUND(SQRT(((D39+G39)*O39/100)^2+(J39*(D39+G39)*0.07048)^2),0))</f>
        <v>91</v>
      </c>
      <c r="U39" s="32"/>
    </row>
    <row r="40" customFormat="false" ht="15" hidden="false" customHeight="false" outlineLevel="0" collapsed="false">
      <c r="A40" s="32" t="s">
        <v>157</v>
      </c>
      <c r="B40" s="32" t="s">
        <v>173</v>
      </c>
      <c r="C40" s="32" t="s">
        <v>129</v>
      </c>
      <c r="D40" s="54" t="n">
        <v>3938</v>
      </c>
      <c r="E40" s="54" t="n">
        <v>4022</v>
      </c>
      <c r="F40" s="65" t="n">
        <f aca="false">IF(E40="","",D40-E40)</f>
        <v>-84</v>
      </c>
      <c r="G40" s="54" t="n">
        <v>6099</v>
      </c>
      <c r="H40" s="54" t="n">
        <v>5915</v>
      </c>
      <c r="I40" s="65" t="n">
        <f aca="false">IF(H40="","",G40-H40)</f>
        <v>184</v>
      </c>
      <c r="J40" s="55" t="n">
        <f aca="false">IF(OR(D40="",D40+G40=0),"",D40/(D40+G40))</f>
        <v>0.392348311248381</v>
      </c>
      <c r="K40" s="55" t="n">
        <f aca="false">IF(E40="","",E40/(E40+H40))</f>
        <v>0.404749924524504</v>
      </c>
      <c r="L40" s="66" t="n">
        <f aca="false">IF(OR(K40="",J40=""),"",(J40-K40)*100)</f>
        <v>-1.24016132761234</v>
      </c>
      <c r="M40" s="36" t="n">
        <v>1.86802980554935</v>
      </c>
      <c r="N40" s="36" t="n">
        <v>2.07645439039877</v>
      </c>
      <c r="O40" s="36" t="n">
        <f aca="false">SQRT(M40^2+N40^2)</f>
        <v>2.79306251090574</v>
      </c>
      <c r="P40" s="55" t="n">
        <f aca="false">IF(J40="","",MAX(0,J40-1.96*O40/100))</f>
        <v>0.337604286034629</v>
      </c>
      <c r="Q40" s="55" t="n">
        <f aca="false">IF(J40="","",MIN(1,J40+1.96*O40/100))</f>
        <v>0.447092336462133</v>
      </c>
      <c r="R40" s="32" t="str">
        <f aca="false">IF(L40="","",IF(ABS(L40)&lt;=O40,"Yes","No"))</f>
        <v>Yes</v>
      </c>
      <c r="S40" s="32" t="str">
        <f aca="false">IF(L40="","",IF(ABS(L40)&lt;=1.96*O40,"Yes","No"))</f>
        <v>Yes</v>
      </c>
      <c r="T40" s="54" t="n">
        <f aca="false">IF(D40="","",ROUND(SQRT(((D40+G40)*O40/100)^2+(J40*(D40+G40)*0.06406)^2),0))</f>
        <v>377</v>
      </c>
      <c r="U40" s="32"/>
    </row>
    <row r="41" customFormat="false" ht="15" hidden="false" customHeight="false" outlineLevel="0" collapsed="false">
      <c r="A41" s="32" t="s">
        <v>157</v>
      </c>
      <c r="B41" s="32" t="s">
        <v>174</v>
      </c>
      <c r="C41" s="32" t="s">
        <v>129</v>
      </c>
      <c r="D41" s="54" t="n">
        <v>3926</v>
      </c>
      <c r="E41" s="54" t="n">
        <v>4010</v>
      </c>
      <c r="F41" s="65" t="n">
        <f aca="false">IF(E41="","",D41-E41)</f>
        <v>-84</v>
      </c>
      <c r="G41" s="54" t="n">
        <v>4240</v>
      </c>
      <c r="H41" s="54" t="n">
        <v>4104</v>
      </c>
      <c r="I41" s="65" t="n">
        <f aca="false">IF(H41="","",G41-H41)</f>
        <v>136</v>
      </c>
      <c r="J41" s="55" t="n">
        <f aca="false">IF(OR(D41="",D41+G41=0),"",D41/(D41+G41))</f>
        <v>0.480773940729856</v>
      </c>
      <c r="K41" s="55" t="n">
        <f aca="false">IF(E41="","",E41/(E41+H41))</f>
        <v>0.494207542519103</v>
      </c>
      <c r="L41" s="66" t="n">
        <f aca="false">IF(OR(K41="",J41=""),"",(J41-K41)*100)</f>
        <v>-1.34336017892472</v>
      </c>
      <c r="M41" s="36" t="n">
        <v>1.86802980554935</v>
      </c>
      <c r="N41" s="36" t="n">
        <v>2.07645439039877</v>
      </c>
      <c r="O41" s="36" t="n">
        <f aca="false">SQRT(M41^2+N41^2)</f>
        <v>2.79306251090574</v>
      </c>
      <c r="P41" s="55" t="n">
        <f aca="false">IF(J41="","",MAX(0,J41-1.96*O41/100))</f>
        <v>0.426029915516103</v>
      </c>
      <c r="Q41" s="55" t="n">
        <f aca="false">IF(J41="","",MIN(1,J41+1.96*O41/100))</f>
        <v>0.535517965943608</v>
      </c>
      <c r="R41" s="32" t="str">
        <f aca="false">IF(L41="","",IF(ABS(L41)&lt;=O41,"Yes","No"))</f>
        <v>Yes</v>
      </c>
      <c r="S41" s="32" t="str">
        <f aca="false">IF(L41="","",IF(ABS(L41)&lt;=1.96*O41,"Yes","No"))</f>
        <v>Yes</v>
      </c>
      <c r="T41" s="54" t="n">
        <f aca="false">IF(D41="","",ROUND(SQRT(((D41+G41)*O41/100)^2+(J41*(D41+G41)*0.06406)^2),0))</f>
        <v>340</v>
      </c>
      <c r="U41" s="32"/>
    </row>
    <row r="42" customFormat="false" ht="15" hidden="false" customHeight="false" outlineLevel="0" collapsed="false">
      <c r="A42" s="32" t="s">
        <v>157</v>
      </c>
      <c r="B42" s="32" t="s">
        <v>175</v>
      </c>
      <c r="C42" s="32" t="s">
        <v>129</v>
      </c>
      <c r="D42" s="54" t="n">
        <v>835</v>
      </c>
      <c r="E42" s="54" t="n">
        <v>800</v>
      </c>
      <c r="F42" s="65" t="n">
        <f aca="false">IF(E42="","",D42-E42)</f>
        <v>35</v>
      </c>
      <c r="G42" s="54" t="n">
        <v>1163</v>
      </c>
      <c r="H42" s="54" t="n">
        <v>1156</v>
      </c>
      <c r="I42" s="65" t="n">
        <f aca="false">IF(H42="","",G42-H42)</f>
        <v>7</v>
      </c>
      <c r="J42" s="55" t="n">
        <f aca="false">IF(OR(D42="",D42+G42=0),"",D42/(D42+G42))</f>
        <v>0.417917917917918</v>
      </c>
      <c r="K42" s="55" t="n">
        <f aca="false">IF(E42="","",E42/(E42+H42))</f>
        <v>0.408997955010225</v>
      </c>
      <c r="L42" s="66" t="n">
        <f aca="false">IF(OR(K42="",J42=""),"",(J42-K42)*100)</f>
        <v>0.891996290769298</v>
      </c>
      <c r="M42" s="36" t="n">
        <v>2.37002691403454</v>
      </c>
      <c r="N42" s="36" t="n">
        <v>2.07645439039877</v>
      </c>
      <c r="O42" s="36" t="n">
        <f aca="false">SQRT(M42^2+N42^2)</f>
        <v>3.15098245134028</v>
      </c>
      <c r="P42" s="55" t="n">
        <f aca="false">IF(J42="","",MAX(0,J42-1.96*O42/100))</f>
        <v>0.356158661871648</v>
      </c>
      <c r="Q42" s="55" t="n">
        <f aca="false">IF(J42="","",MIN(1,J42+1.96*O42/100))</f>
        <v>0.479677173964187</v>
      </c>
      <c r="R42" s="32" t="str">
        <f aca="false">IF(L42="","",IF(ABS(L42)&lt;=O42,"Yes","No"))</f>
        <v>Yes</v>
      </c>
      <c r="S42" s="32" t="str">
        <f aca="false">IF(L42="","",IF(ABS(L42)&lt;=1.96*O42,"Yes","No"))</f>
        <v>Yes</v>
      </c>
      <c r="T42" s="54" t="n">
        <f aca="false">IF(D42="","",ROUND(SQRT(((D42+G42)*O42/100)^2+(J42*(D42+G42)*0.07048)^2),0))</f>
        <v>86</v>
      </c>
      <c r="U42" s="32"/>
    </row>
    <row r="43" customFormat="false" ht="15" hidden="false" customHeight="false" outlineLevel="0" collapsed="false">
      <c r="A43" s="32" t="s">
        <v>157</v>
      </c>
      <c r="B43" s="32" t="s">
        <v>176</v>
      </c>
      <c r="C43" s="32" t="s">
        <v>129</v>
      </c>
      <c r="D43" s="54" t="n">
        <v>6988</v>
      </c>
      <c r="E43" s="54" t="n">
        <v>7019</v>
      </c>
      <c r="F43" s="65" t="n">
        <f aca="false">IF(E43="","",D43-E43)</f>
        <v>-31</v>
      </c>
      <c r="G43" s="54" t="n">
        <v>6210</v>
      </c>
      <c r="H43" s="54" t="n">
        <v>6110</v>
      </c>
      <c r="I43" s="65" t="n">
        <f aca="false">IF(H43="","",G43-H43)</f>
        <v>100</v>
      </c>
      <c r="J43" s="55" t="n">
        <f aca="false">IF(OR(D43="",D43+G43=0),"",D43/(D43+G43))</f>
        <v>0.529474162751932</v>
      </c>
      <c r="K43" s="55" t="n">
        <f aca="false">IF(E43="","",E43/(E43+H43))</f>
        <v>0.534618021174499</v>
      </c>
      <c r="L43" s="66" t="n">
        <f aca="false">IF(OR(K43="",J43=""),"",(J43-K43)*100)</f>
        <v>-0.514385842256704</v>
      </c>
      <c r="M43" s="36" t="n">
        <v>1.86802980554935</v>
      </c>
      <c r="N43" s="36" t="n">
        <v>2.07645439039877</v>
      </c>
      <c r="O43" s="36" t="n">
        <f aca="false">SQRT(M43^2+N43^2)</f>
        <v>2.79306251090574</v>
      </c>
      <c r="P43" s="55" t="n">
        <f aca="false">IF(J43="","",MAX(0,J43-1.96*O43/100))</f>
        <v>0.47473013753818</v>
      </c>
      <c r="Q43" s="55" t="n">
        <f aca="false">IF(J43="","",MIN(1,J43+1.96*O43/100))</f>
        <v>0.584218187965685</v>
      </c>
      <c r="R43" s="32" t="str">
        <f aca="false">IF(L43="","",IF(ABS(L43)&lt;=O43,"Yes","No"))</f>
        <v>Yes</v>
      </c>
      <c r="S43" s="32" t="str">
        <f aca="false">IF(L43="","",IF(ABS(L43)&lt;=1.96*O43,"Yes","No"))</f>
        <v>Yes</v>
      </c>
      <c r="T43" s="54" t="n">
        <f aca="false">IF(D43="","",ROUND(SQRT(((D43+G43)*O43/100)^2+(J43*(D43+G43)*0.06406)^2),0))</f>
        <v>580</v>
      </c>
      <c r="U43" s="32"/>
    </row>
    <row r="44" customFormat="false" ht="15" hidden="false" customHeight="false" outlineLevel="0" collapsed="false">
      <c r="A44" s="32" t="s">
        <v>157</v>
      </c>
      <c r="B44" s="32" t="s">
        <v>177</v>
      </c>
      <c r="C44" s="32" t="s">
        <v>129</v>
      </c>
      <c r="D44" s="54" t="n">
        <v>8090</v>
      </c>
      <c r="E44" s="54" t="n">
        <v>8020</v>
      </c>
      <c r="F44" s="65" t="n">
        <f aca="false">IF(E44="","",D44-E44)</f>
        <v>70</v>
      </c>
      <c r="G44" s="54" t="n">
        <v>7870</v>
      </c>
      <c r="H44" s="54" t="n">
        <v>7607</v>
      </c>
      <c r="I44" s="65" t="n">
        <f aca="false">IF(H44="","",G44-H44)</f>
        <v>263</v>
      </c>
      <c r="J44" s="55" t="n">
        <f aca="false">IF(OR(D44="",D44+G44=0),"",D44/(D44+G44))</f>
        <v>0.506892230576441</v>
      </c>
      <c r="K44" s="55" t="n">
        <f aca="false">IF(E44="","",E44/(E44+H44))</f>
        <v>0.513214308568503</v>
      </c>
      <c r="L44" s="66" t="n">
        <f aca="false">IF(OR(K44="",J44=""),"",(J44-K44)*100)</f>
        <v>-0.632207799206219</v>
      </c>
      <c r="M44" s="36" t="n">
        <v>1.86802980554935</v>
      </c>
      <c r="N44" s="36" t="n">
        <v>2.07645439039877</v>
      </c>
      <c r="O44" s="36" t="n">
        <f aca="false">SQRT(M44^2+N44^2)</f>
        <v>2.79306251090574</v>
      </c>
      <c r="P44" s="55" t="n">
        <f aca="false">IF(J44="","",MAX(0,J44-1.96*O44/100))</f>
        <v>0.452148205362689</v>
      </c>
      <c r="Q44" s="55" t="n">
        <f aca="false">IF(J44="","",MIN(1,J44+1.96*O44/100))</f>
        <v>0.561636255790194</v>
      </c>
      <c r="R44" s="32" t="str">
        <f aca="false">IF(L44="","",IF(ABS(L44)&lt;=O44,"Yes","No"))</f>
        <v>Yes</v>
      </c>
      <c r="S44" s="32" t="str">
        <f aca="false">IF(L44="","",IF(ABS(L44)&lt;=1.96*O44,"Yes","No"))</f>
        <v>Yes</v>
      </c>
      <c r="T44" s="54" t="n">
        <f aca="false">IF(D44="","",ROUND(SQRT(((D44+G44)*O44/100)^2+(J44*(D44+G44)*0.06406)^2),0))</f>
        <v>684</v>
      </c>
      <c r="U44" s="32"/>
    </row>
    <row r="45" customFormat="false" ht="15" hidden="false" customHeight="false" outlineLevel="0" collapsed="false">
      <c r="A45" s="32" t="s">
        <v>157</v>
      </c>
      <c r="B45" s="32" t="s">
        <v>178</v>
      </c>
      <c r="C45" s="32" t="s">
        <v>129</v>
      </c>
      <c r="D45" s="54" t="n">
        <v>2270</v>
      </c>
      <c r="E45" s="54" t="n">
        <v>2380</v>
      </c>
      <c r="F45" s="65" t="n">
        <f aca="false">IF(E45="","",D45-E45)</f>
        <v>-110</v>
      </c>
      <c r="G45" s="54" t="n">
        <v>3184</v>
      </c>
      <c r="H45" s="54" t="n">
        <v>3135</v>
      </c>
      <c r="I45" s="65" t="n">
        <f aca="false">IF(H45="","",G45-H45)</f>
        <v>49</v>
      </c>
      <c r="J45" s="55" t="n">
        <f aca="false">IF(OR(D45="",D45+G45=0),"",D45/(D45+G45))</f>
        <v>0.416208287495416</v>
      </c>
      <c r="K45" s="55" t="n">
        <f aca="false">IF(E45="","",E45/(E45+H45))</f>
        <v>0.43155031731641</v>
      </c>
      <c r="L45" s="66" t="n">
        <f aca="false">IF(OR(K45="",J45=""),"",(J45-K45)*100)</f>
        <v>-1.53420298209936</v>
      </c>
      <c r="M45" s="36" t="n">
        <v>1.86802980554935</v>
      </c>
      <c r="N45" s="36" t="n">
        <v>2.07645439039877</v>
      </c>
      <c r="O45" s="36" t="n">
        <f aca="false">SQRT(M45^2+N45^2)</f>
        <v>2.79306251090574</v>
      </c>
      <c r="P45" s="55" t="n">
        <f aca="false">IF(J45="","",MAX(0,J45-1.96*O45/100))</f>
        <v>0.361464262281664</v>
      </c>
      <c r="Q45" s="55" t="n">
        <f aca="false">IF(J45="","",MIN(1,J45+1.96*O45/100))</f>
        <v>0.470952312709169</v>
      </c>
      <c r="R45" s="32" t="str">
        <f aca="false">IF(L45="","",IF(ABS(L45)&lt;=O45,"Yes","No"))</f>
        <v>Yes</v>
      </c>
      <c r="S45" s="32" t="str">
        <f aca="false">IF(L45="","",IF(ABS(L45)&lt;=1.96*O45,"Yes","No"))</f>
        <v>Yes</v>
      </c>
      <c r="T45" s="54" t="n">
        <f aca="false">IF(D45="","",ROUND(SQRT(((D45+G45)*O45/100)^2+(J45*(D45+G45)*0.06406)^2),0))</f>
        <v>211</v>
      </c>
      <c r="U45" s="32"/>
    </row>
    <row r="46" customFormat="false" ht="15" hidden="false" customHeight="false" outlineLevel="0" collapsed="false">
      <c r="A46" s="32" t="s">
        <v>157</v>
      </c>
      <c r="B46" s="32" t="s">
        <v>179</v>
      </c>
      <c r="C46" s="32" t="s">
        <v>129</v>
      </c>
      <c r="D46" s="54" t="n">
        <v>5299</v>
      </c>
      <c r="E46" s="54" t="n">
        <v>5462</v>
      </c>
      <c r="F46" s="65" t="n">
        <f aca="false">IF(E46="","",D46-E46)</f>
        <v>-163</v>
      </c>
      <c r="G46" s="54" t="n">
        <v>5887</v>
      </c>
      <c r="H46" s="54" t="n">
        <v>5740</v>
      </c>
      <c r="I46" s="65" t="n">
        <f aca="false">IF(H46="","",G46-H46)</f>
        <v>147</v>
      </c>
      <c r="J46" s="55" t="n">
        <f aca="false">IF(OR(D46="",D46+G46=0),"",D46/(D46+G46))</f>
        <v>0.473717146433041</v>
      </c>
      <c r="K46" s="55" t="n">
        <f aca="false">IF(E46="","",E46/(E46+H46))</f>
        <v>0.487591501517586</v>
      </c>
      <c r="L46" s="66" t="n">
        <f aca="false">IF(OR(K46="",J46=""),"",(J46-K46)*100)</f>
        <v>-1.38743550845448</v>
      </c>
      <c r="M46" s="36" t="n">
        <v>1.86802980554935</v>
      </c>
      <c r="N46" s="36" t="n">
        <v>2.07645439039877</v>
      </c>
      <c r="O46" s="36" t="n">
        <f aca="false">SQRT(M46^2+N46^2)</f>
        <v>2.79306251090574</v>
      </c>
      <c r="P46" s="55" t="n">
        <f aca="false">IF(J46="","",MAX(0,J46-1.96*O46/100))</f>
        <v>0.418973121219289</v>
      </c>
      <c r="Q46" s="55" t="n">
        <f aca="false">IF(J46="","",MIN(1,J46+1.96*O46/100))</f>
        <v>0.528461171646794</v>
      </c>
      <c r="R46" s="32" t="str">
        <f aca="false">IF(L46="","",IF(ABS(L46)&lt;=O46,"Yes","No"))</f>
        <v>Yes</v>
      </c>
      <c r="S46" s="32" t="str">
        <f aca="false">IF(L46="","",IF(ABS(L46)&lt;=1.96*O46,"Yes","No"))</f>
        <v>Yes</v>
      </c>
      <c r="T46" s="54" t="n">
        <f aca="false">IF(D46="","",ROUND(SQRT(((D46+G46)*O46/100)^2+(J46*(D46+G46)*0.06406)^2),0))</f>
        <v>461</v>
      </c>
      <c r="U46" s="32"/>
    </row>
    <row r="47" customFormat="false" ht="15" hidden="false" customHeight="false" outlineLevel="0" collapsed="false">
      <c r="A47" s="32" t="s">
        <v>157</v>
      </c>
      <c r="B47" s="32" t="s">
        <v>180</v>
      </c>
      <c r="C47" s="32" t="s">
        <v>129</v>
      </c>
      <c r="D47" s="54" t="n">
        <v>1287</v>
      </c>
      <c r="E47" s="54" t="n">
        <v>1266</v>
      </c>
      <c r="F47" s="65" t="n">
        <f aca="false">IF(E47="","",D47-E47)</f>
        <v>21</v>
      </c>
      <c r="G47" s="54" t="n">
        <v>2646</v>
      </c>
      <c r="H47" s="54" t="n">
        <v>2669</v>
      </c>
      <c r="I47" s="65" t="n">
        <f aca="false">IF(H47="","",G47-H47)</f>
        <v>-23</v>
      </c>
      <c r="J47" s="55" t="n">
        <f aca="false">IF(OR(D47="",D47+G47=0),"",D47/(D47+G47))</f>
        <v>0.327231121281465</v>
      </c>
      <c r="K47" s="55" t="n">
        <f aca="false">IF(E47="","",E47/(E47+H47))</f>
        <v>0.321728081321474</v>
      </c>
      <c r="L47" s="66" t="n">
        <f aca="false">IF(OR(K47="",J47=""),"",(J47-K47)*100)</f>
        <v>0.550303995999057</v>
      </c>
      <c r="M47" s="36" t="n">
        <v>1.86802980554935</v>
      </c>
      <c r="N47" s="36" t="n">
        <v>2.07645439039877</v>
      </c>
      <c r="O47" s="36" t="n">
        <f aca="false">SQRT(M47^2+N47^2)</f>
        <v>2.79306251090574</v>
      </c>
      <c r="P47" s="55" t="n">
        <f aca="false">IF(J47="","",MAX(0,J47-1.96*O47/100))</f>
        <v>0.272487096067712</v>
      </c>
      <c r="Q47" s="55" t="n">
        <f aca="false">IF(J47="","",MIN(1,J47+1.96*O47/100))</f>
        <v>0.381975146495217</v>
      </c>
      <c r="R47" s="32" t="str">
        <f aca="false">IF(L47="","",IF(ABS(L47)&lt;=O47,"Yes","No"))</f>
        <v>Yes</v>
      </c>
      <c r="S47" s="32" t="str">
        <f aca="false">IF(L47="","",IF(ABS(L47)&lt;=1.96*O47,"Yes","No"))</f>
        <v>Yes</v>
      </c>
      <c r="T47" s="54" t="n">
        <f aca="false">IF(D47="","",ROUND(SQRT(((D47+G47)*O47/100)^2+(J47*(D47+G47)*0.06406)^2),0))</f>
        <v>137</v>
      </c>
      <c r="U47" s="32"/>
    </row>
    <row r="48" customFormat="false" ht="15" hidden="false" customHeight="false" outlineLevel="0" collapsed="false">
      <c r="A48" s="32" t="s">
        <v>157</v>
      </c>
      <c r="B48" s="32" t="s">
        <v>181</v>
      </c>
      <c r="C48" s="32" t="s">
        <v>129</v>
      </c>
      <c r="D48" s="54" t="n">
        <v>1155</v>
      </c>
      <c r="E48" s="54" t="n">
        <v>1172</v>
      </c>
      <c r="F48" s="65" t="n">
        <f aca="false">IF(E48="","",D48-E48)</f>
        <v>-17</v>
      </c>
      <c r="G48" s="54" t="n">
        <v>2223</v>
      </c>
      <c r="H48" s="54" t="n">
        <v>2201</v>
      </c>
      <c r="I48" s="65" t="n">
        <f aca="false">IF(H48="","",G48-H48)</f>
        <v>22</v>
      </c>
      <c r="J48" s="55" t="n">
        <f aca="false">IF(OR(D48="",D48+G48=0),"",D48/(D48+G48))</f>
        <v>0.341918294849023</v>
      </c>
      <c r="K48" s="55" t="n">
        <f aca="false">IF(E48="","",E48/(E48+H48))</f>
        <v>0.347465164541951</v>
      </c>
      <c r="L48" s="66" t="n">
        <f aca="false">IF(OR(K48="",J48=""),"",(J48-K48)*100)</f>
        <v>-0.554686969292773</v>
      </c>
      <c r="M48" s="36" t="n">
        <v>2.37002691403454</v>
      </c>
      <c r="N48" s="36" t="n">
        <v>2.07645439039877</v>
      </c>
      <c r="O48" s="36" t="n">
        <f aca="false">SQRT(M48^2+N48^2)</f>
        <v>3.15098245134028</v>
      </c>
      <c r="P48" s="55" t="n">
        <f aca="false">IF(J48="","",MAX(0,J48-1.96*O48/100))</f>
        <v>0.280159038802754</v>
      </c>
      <c r="Q48" s="55" t="n">
        <f aca="false">IF(J48="","",MIN(1,J48+1.96*O48/100))</f>
        <v>0.403677550895293</v>
      </c>
      <c r="R48" s="32" t="str">
        <f aca="false">IF(L48="","",IF(ABS(L48)&lt;=O48,"Yes","No"))</f>
        <v>Yes</v>
      </c>
      <c r="S48" s="32" t="str">
        <f aca="false">IF(L48="","",IF(ABS(L48)&lt;=1.96*O48,"Yes","No"))</f>
        <v>Yes</v>
      </c>
      <c r="T48" s="54" t="n">
        <f aca="false">IF(D48="","",ROUND(SQRT(((D48+G48)*O48/100)^2+(J48*(D48+G48)*0.07048)^2),0))</f>
        <v>134</v>
      </c>
      <c r="U48" s="32"/>
    </row>
    <row r="49" customFormat="false" ht="15" hidden="false" customHeight="false" outlineLevel="0" collapsed="false">
      <c r="A49" s="32" t="s">
        <v>157</v>
      </c>
      <c r="B49" s="32" t="s">
        <v>182</v>
      </c>
      <c r="C49" s="32" t="s">
        <v>129</v>
      </c>
      <c r="D49" s="54" t="n">
        <v>7481</v>
      </c>
      <c r="E49" s="54" t="n">
        <v>7383</v>
      </c>
      <c r="F49" s="65" t="n">
        <f aca="false">IF(E49="","",D49-E49)</f>
        <v>98</v>
      </c>
      <c r="G49" s="54" t="n">
        <v>6999</v>
      </c>
      <c r="H49" s="54" t="n">
        <v>7036</v>
      </c>
      <c r="I49" s="65" t="n">
        <f aca="false">IF(H49="","",G49-H49)</f>
        <v>-37</v>
      </c>
      <c r="J49" s="55" t="n">
        <f aca="false">IF(OR(D49="",D49+G49=0),"",D49/(D49+G49))</f>
        <v>0.51664364640884</v>
      </c>
      <c r="K49" s="55" t="n">
        <f aca="false">IF(E49="","",E49/(E49+H49))</f>
        <v>0.51203273458631</v>
      </c>
      <c r="L49" s="66" t="n">
        <f aca="false">IF(OR(K49="",J49=""),"",(J49-K49)*100)</f>
        <v>0.461091182253004</v>
      </c>
      <c r="M49" s="36" t="n">
        <v>1.86802980554935</v>
      </c>
      <c r="N49" s="36" t="n">
        <v>2.07645439039877</v>
      </c>
      <c r="O49" s="36" t="n">
        <f aca="false">SQRT(M49^2+N49^2)</f>
        <v>2.79306251090574</v>
      </c>
      <c r="P49" s="55" t="n">
        <f aca="false">IF(J49="","",MAX(0,J49-1.96*O49/100))</f>
        <v>0.461899621195087</v>
      </c>
      <c r="Q49" s="55" t="n">
        <f aca="false">IF(J49="","",MIN(1,J49+1.96*O49/100))</f>
        <v>0.571387671622592</v>
      </c>
      <c r="R49" s="32" t="str">
        <f aca="false">IF(L49="","",IF(ABS(L49)&lt;=O49,"Yes","No"))</f>
        <v>Yes</v>
      </c>
      <c r="S49" s="32" t="str">
        <f aca="false">IF(L49="","",IF(ABS(L49)&lt;=1.96*O49,"Yes","No"))</f>
        <v>Yes</v>
      </c>
      <c r="T49" s="54" t="n">
        <f aca="false">IF(D49="","",ROUND(SQRT(((D49+G49)*O49/100)^2+(J49*(D49+G49)*0.06406)^2),0))</f>
        <v>627</v>
      </c>
      <c r="U49" s="32"/>
    </row>
    <row r="50" customFormat="false" ht="15" hidden="false" customHeight="false" outlineLevel="0" collapsed="false">
      <c r="A50" s="32" t="s">
        <v>183</v>
      </c>
      <c r="B50" s="32" t="s">
        <v>184</v>
      </c>
      <c r="C50" s="32" t="s">
        <v>129</v>
      </c>
      <c r="D50" s="54" t="n">
        <v>430</v>
      </c>
      <c r="E50" s="54" t="n">
        <v>471</v>
      </c>
      <c r="F50" s="65" t="n">
        <f aca="false">IF(E50="","",D50-E50)</f>
        <v>-41</v>
      </c>
      <c r="G50" s="54" t="n">
        <v>1114</v>
      </c>
      <c r="H50" s="54" t="n">
        <v>1124</v>
      </c>
      <c r="I50" s="65" t="n">
        <f aca="false">IF(H50="","",G50-H50)</f>
        <v>-10</v>
      </c>
      <c r="J50" s="55" t="n">
        <f aca="false">IF(OR(D50="",D50+G50=0),"",D50/(D50+G50))</f>
        <v>0.278497409326425</v>
      </c>
      <c r="K50" s="55" t="n">
        <f aca="false">IF(E50="","",E50/(E50+H50))</f>
        <v>0.295297805642633</v>
      </c>
      <c r="L50" s="66" t="n">
        <f aca="false">IF(OR(K50="",J50=""),"",(J50-K50)*100)</f>
        <v>-1.68003963162084</v>
      </c>
      <c r="M50" s="36" t="n">
        <v>3.65235826718192</v>
      </c>
      <c r="N50" s="36" t="n">
        <v>2.07645439039877</v>
      </c>
      <c r="O50" s="36" t="n">
        <f aca="false">SQRT(M50^2+N50^2)</f>
        <v>4.20135498943596</v>
      </c>
      <c r="P50" s="55" t="n">
        <f aca="false">IF(J50="","",MAX(0,J50-1.96*O50/100))</f>
        <v>0.19615085153348</v>
      </c>
      <c r="Q50" s="55" t="n">
        <f aca="false">IF(J50="","",MIN(1,J50+1.96*O50/100))</f>
        <v>0.36084396711937</v>
      </c>
      <c r="R50" s="32" t="str">
        <f aca="false">IF(L50="","",IF(ABS(L50)&lt;=O50,"Yes","No"))</f>
        <v>Yes</v>
      </c>
      <c r="S50" s="32" t="str">
        <f aca="false">IF(L50="","",IF(ABS(L50)&lt;=1.96*O50,"Yes","No"))</f>
        <v>Yes</v>
      </c>
      <c r="T50" s="54" t="n">
        <f aca="false">IF(D50="","",ROUND(SQRT(((D50+G50)*O50/100)^2+(J50*(D50+G50)*0.09173)^2),0))</f>
        <v>76</v>
      </c>
      <c r="U50" s="32"/>
    </row>
    <row r="51" customFormat="false" ht="15" hidden="false" customHeight="false" outlineLevel="0" collapsed="false">
      <c r="A51" s="32" t="s">
        <v>183</v>
      </c>
      <c r="B51" s="32" t="s">
        <v>186</v>
      </c>
      <c r="C51" s="32" t="s">
        <v>129</v>
      </c>
      <c r="D51" s="54" t="n">
        <v>1353</v>
      </c>
      <c r="E51" s="54" t="n">
        <v>1414</v>
      </c>
      <c r="F51" s="65" t="n">
        <f aca="false">IF(E51="","",D51-E51)</f>
        <v>-61</v>
      </c>
      <c r="G51" s="54" t="n">
        <v>2816</v>
      </c>
      <c r="H51" s="54" t="n">
        <v>2894</v>
      </c>
      <c r="I51" s="65" t="n">
        <f aca="false">IF(H51="","",G51-H51)</f>
        <v>-78</v>
      </c>
      <c r="J51" s="55" t="n">
        <f aca="false">IF(OR(D51="",D51+G51=0),"",D51/(D51+G51))</f>
        <v>0.324538258575198</v>
      </c>
      <c r="K51" s="55" t="n">
        <f aca="false">IF(E51="","",E51/(E51+H51))</f>
        <v>0.328226555246054</v>
      </c>
      <c r="L51" s="66" t="n">
        <f aca="false">IF(OR(K51="",J51=""),"",(J51-K51)*100)</f>
        <v>-0.368829667085596</v>
      </c>
      <c r="M51" s="36" t="n">
        <v>1.86802980554935</v>
      </c>
      <c r="N51" s="36" t="n">
        <v>2.07645439039877</v>
      </c>
      <c r="O51" s="36" t="n">
        <f aca="false">SQRT(M51^2+N51^2)</f>
        <v>2.79306251090574</v>
      </c>
      <c r="P51" s="55" t="n">
        <f aca="false">IF(J51="","",MAX(0,J51-1.96*O51/100))</f>
        <v>0.269794233361446</v>
      </c>
      <c r="Q51" s="55" t="n">
        <f aca="false">IF(J51="","",MIN(1,J51+1.96*O51/100))</f>
        <v>0.37928228378895</v>
      </c>
      <c r="R51" s="32" t="str">
        <f aca="false">IF(L51="","",IF(ABS(L51)&lt;=O51,"Yes","No"))</f>
        <v>Yes</v>
      </c>
      <c r="S51" s="32" t="str">
        <f aca="false">IF(L51="","",IF(ABS(L51)&lt;=1.96*O51,"Yes","No"))</f>
        <v>Yes</v>
      </c>
      <c r="T51" s="54" t="n">
        <f aca="false">IF(D51="","",ROUND(SQRT(((D51+G51)*O51/100)^2+(J51*(D51+G51)*0.06406)^2),0))</f>
        <v>145</v>
      </c>
      <c r="U51" s="32"/>
    </row>
    <row r="52" customFormat="false" ht="15" hidden="false" customHeight="false" outlineLevel="0" collapsed="false">
      <c r="A52" s="32" t="s">
        <v>183</v>
      </c>
      <c r="B52" s="32" t="s">
        <v>187</v>
      </c>
      <c r="C52" s="32" t="s">
        <v>129</v>
      </c>
      <c r="D52" s="54" t="n">
        <v>428</v>
      </c>
      <c r="E52" s="54" t="n">
        <v>521</v>
      </c>
      <c r="F52" s="65" t="n">
        <f aca="false">IF(E52="","",D52-E52)</f>
        <v>-93</v>
      </c>
      <c r="G52" s="54" t="n">
        <v>882</v>
      </c>
      <c r="H52" s="54" t="n">
        <v>997</v>
      </c>
      <c r="I52" s="65" t="n">
        <f aca="false">IF(H52="","",G52-H52)</f>
        <v>-115</v>
      </c>
      <c r="J52" s="55" t="n">
        <f aca="false">IF(OR(D52="",D52+G52=0),"",D52/(D52+G52))</f>
        <v>0.326717557251908</v>
      </c>
      <c r="K52" s="55" t="n">
        <f aca="false">IF(E52="","",E52/(E52+H52))</f>
        <v>0.343214756258235</v>
      </c>
      <c r="L52" s="66" t="n">
        <f aca="false">IF(OR(K52="",J52=""),"",(J52-K52)*100)</f>
        <v>-1.64971990063261</v>
      </c>
      <c r="M52" s="36" t="n">
        <v>3.65235826718192</v>
      </c>
      <c r="N52" s="36" t="n">
        <v>2.07645439039877</v>
      </c>
      <c r="O52" s="36" t="n">
        <f aca="false">SQRT(M52^2+N52^2)</f>
        <v>4.20135498943596</v>
      </c>
      <c r="P52" s="55" t="n">
        <f aca="false">IF(J52="","",MAX(0,J52-1.96*O52/100))</f>
        <v>0.244370999458964</v>
      </c>
      <c r="Q52" s="55" t="n">
        <f aca="false">IF(J52="","",MIN(1,J52+1.96*O52/100))</f>
        <v>0.409064115044853</v>
      </c>
      <c r="R52" s="32" t="str">
        <f aca="false">IF(L52="","",IF(ABS(L52)&lt;=O52,"Yes","No"))</f>
        <v>Yes</v>
      </c>
      <c r="S52" s="32" t="str">
        <f aca="false">IF(L52="","",IF(ABS(L52)&lt;=1.96*O52,"Yes","No"))</f>
        <v>Yes</v>
      </c>
      <c r="T52" s="54" t="n">
        <f aca="false">IF(D52="","",ROUND(SQRT(((D52+G52)*O52/100)^2+(J52*(D52+G52)*0.09173)^2),0))</f>
        <v>68</v>
      </c>
      <c r="U52" s="32"/>
    </row>
    <row r="53" customFormat="false" ht="15" hidden="false" customHeight="false" outlineLevel="0" collapsed="false">
      <c r="A53" s="32" t="s">
        <v>188</v>
      </c>
      <c r="B53" s="32" t="s">
        <v>189</v>
      </c>
      <c r="C53" s="32" t="s">
        <v>129</v>
      </c>
      <c r="D53" s="54" t="n">
        <v>1440</v>
      </c>
      <c r="E53" s="54" t="n">
        <v>1511</v>
      </c>
      <c r="F53" s="65" t="n">
        <f aca="false">IF(E53="","",D53-E53)</f>
        <v>-71</v>
      </c>
      <c r="G53" s="54" t="n">
        <v>2024</v>
      </c>
      <c r="H53" s="54" t="n">
        <v>2018</v>
      </c>
      <c r="I53" s="65" t="n">
        <f aca="false">IF(H53="","",G53-H53)</f>
        <v>6</v>
      </c>
      <c r="J53" s="55" t="n">
        <f aca="false">IF(OR(D53="",D53+G53=0),"",D53/(D53+G53))</f>
        <v>0.415704387990762</v>
      </c>
      <c r="K53" s="55" t="n">
        <f aca="false">IF(E53="","",E53/(E53+H53))</f>
        <v>0.428166619438935</v>
      </c>
      <c r="L53" s="66" t="n">
        <f aca="false">IF(OR(K53="",J53=""),"",(J53-K53)*100)</f>
        <v>-1.24622314481724</v>
      </c>
      <c r="M53" s="36" t="n">
        <v>2.37002691403454</v>
      </c>
      <c r="N53" s="36" t="n">
        <v>2.07645439039877</v>
      </c>
      <c r="O53" s="36" t="n">
        <f aca="false">SQRT(M53^2+N53^2)</f>
        <v>3.15098245134028</v>
      </c>
      <c r="P53" s="55" t="n">
        <f aca="false">IF(J53="","",MAX(0,J53-1.96*O53/100))</f>
        <v>0.353945131944493</v>
      </c>
      <c r="Q53" s="55" t="n">
        <f aca="false">IF(J53="","",MIN(1,J53+1.96*O53/100))</f>
        <v>0.477463644037032</v>
      </c>
      <c r="R53" s="32" t="str">
        <f aca="false">IF(L53="","",IF(ABS(L53)&lt;=O53,"Yes","No"))</f>
        <v>Yes</v>
      </c>
      <c r="S53" s="32" t="str">
        <f aca="false">IF(L53="","",IF(ABS(L53)&lt;=1.96*O53,"Yes","No"))</f>
        <v>Yes</v>
      </c>
      <c r="T53" s="54" t="n">
        <f aca="false">IF(D53="","",ROUND(SQRT(((D53+G53)*O53/100)^2+(J53*(D53+G53)*0.07048)^2),0))</f>
        <v>149</v>
      </c>
      <c r="U53" s="32"/>
    </row>
    <row r="54" customFormat="false" ht="15" hidden="false" customHeight="false" outlineLevel="0" collapsed="false">
      <c r="A54" s="32" t="s">
        <v>188</v>
      </c>
      <c r="B54" s="32" t="s">
        <v>190</v>
      </c>
      <c r="C54" s="32" t="s">
        <v>129</v>
      </c>
      <c r="D54" s="54" t="n">
        <v>968</v>
      </c>
      <c r="E54" s="54" t="n">
        <v>959</v>
      </c>
      <c r="F54" s="65" t="n">
        <f aca="false">IF(E54="","",D54-E54)</f>
        <v>9</v>
      </c>
      <c r="G54" s="54" t="n">
        <v>1368</v>
      </c>
      <c r="H54" s="54" t="n">
        <v>1364</v>
      </c>
      <c r="I54" s="65" t="n">
        <f aca="false">IF(H54="","",G54-H54)</f>
        <v>4</v>
      </c>
      <c r="J54" s="55" t="n">
        <f aca="false">IF(OR(D54="",D54+G54=0),"",D54/(D54+G54))</f>
        <v>0.414383561643836</v>
      </c>
      <c r="K54" s="55" t="n">
        <f aca="false">IF(E54="","",E54/(E54+H54))</f>
        <v>0.412828239345674</v>
      </c>
      <c r="L54" s="66" t="n">
        <f aca="false">IF(OR(K54="",J54=""),"",(J54-K54)*100)</f>
        <v>0.155532229816191</v>
      </c>
      <c r="M54" s="36" t="n">
        <v>2.37002691403454</v>
      </c>
      <c r="N54" s="36" t="n">
        <v>2.07645439039877</v>
      </c>
      <c r="O54" s="36" t="n">
        <f aca="false">SQRT(M54^2+N54^2)</f>
        <v>3.15098245134028</v>
      </c>
      <c r="P54" s="55" t="n">
        <f aca="false">IF(J54="","",MAX(0,J54-1.96*O54/100))</f>
        <v>0.352624305597566</v>
      </c>
      <c r="Q54" s="55" t="n">
        <f aca="false">IF(J54="","",MIN(1,J54+1.96*O54/100))</f>
        <v>0.476142817690105</v>
      </c>
      <c r="R54" s="32" t="str">
        <f aca="false">IF(L54="","",IF(ABS(L54)&lt;=O54,"Yes","No"))</f>
        <v>Yes</v>
      </c>
      <c r="S54" s="32" t="str">
        <f aca="false">IF(L54="","",IF(ABS(L54)&lt;=1.96*O54,"Yes","No"))</f>
        <v>Yes</v>
      </c>
      <c r="T54" s="54" t="n">
        <f aca="false">IF(D54="","",ROUND(SQRT(((D54+G54)*O54/100)^2+(J54*(D54+G54)*0.07048)^2),0))</f>
        <v>100</v>
      </c>
      <c r="U54" s="32"/>
    </row>
    <row r="55" customFormat="false" ht="15" hidden="false" customHeight="false" outlineLevel="0" collapsed="false">
      <c r="A55" s="32" t="s">
        <v>188</v>
      </c>
      <c r="B55" s="32" t="s">
        <v>191</v>
      </c>
      <c r="C55" s="32" t="s">
        <v>129</v>
      </c>
      <c r="D55" s="54" t="n">
        <v>599</v>
      </c>
      <c r="E55" s="54" t="n">
        <v>623</v>
      </c>
      <c r="F55" s="65" t="n">
        <f aca="false">IF(E55="","",D55-E55)</f>
        <v>-24</v>
      </c>
      <c r="G55" s="54" t="n">
        <v>771</v>
      </c>
      <c r="H55" s="54" t="n">
        <v>726</v>
      </c>
      <c r="I55" s="65" t="n">
        <f aca="false">IF(H55="","",G55-H55)</f>
        <v>45</v>
      </c>
      <c r="J55" s="55" t="n">
        <f aca="false">IF(OR(D55="",D55+G55=0),"",D55/(D55+G55))</f>
        <v>0.437226277372263</v>
      </c>
      <c r="K55" s="55" t="n">
        <f aca="false">IF(E55="","",E55/(E55+H55))</f>
        <v>0.46182357301705</v>
      </c>
      <c r="L55" s="66" t="n">
        <f aca="false">IF(OR(K55="",J55=""),"",(J55-K55)*100)</f>
        <v>-2.45972956447869</v>
      </c>
      <c r="M55" s="36" t="n">
        <v>3.65235826718192</v>
      </c>
      <c r="N55" s="36" t="n">
        <v>2.07645439039877</v>
      </c>
      <c r="O55" s="36" t="n">
        <f aca="false">SQRT(M55^2+N55^2)</f>
        <v>4.20135498943596</v>
      </c>
      <c r="P55" s="55" t="n">
        <f aca="false">IF(J55="","",MAX(0,J55-1.96*O55/100))</f>
        <v>0.354879719579318</v>
      </c>
      <c r="Q55" s="55" t="n">
        <f aca="false">IF(J55="","",MIN(1,J55+1.96*O55/100))</f>
        <v>0.519572835165208</v>
      </c>
      <c r="R55" s="32" t="str">
        <f aca="false">IF(L55="","",IF(ABS(L55)&lt;=O55,"Yes","No"))</f>
        <v>Yes</v>
      </c>
      <c r="S55" s="32" t="str">
        <f aca="false">IF(L55="","",IF(ABS(L55)&lt;=1.96*O55,"Yes","No"))</f>
        <v>Yes</v>
      </c>
      <c r="T55" s="54" t="n">
        <f aca="false">IF(D55="","",ROUND(SQRT(((D55+G55)*O55/100)^2+(J55*(D55+G55)*0.09173)^2),0))</f>
        <v>80</v>
      </c>
      <c r="U55" s="32"/>
    </row>
    <row r="56" customFormat="false" ht="15" hidden="false" customHeight="false" outlineLevel="0" collapsed="false">
      <c r="A56" s="32" t="s">
        <v>188</v>
      </c>
      <c r="B56" s="32" t="s">
        <v>160</v>
      </c>
      <c r="C56" s="32" t="s">
        <v>129</v>
      </c>
      <c r="D56" s="54" t="n">
        <v>16794</v>
      </c>
      <c r="E56" s="54" t="n">
        <v>17416</v>
      </c>
      <c r="F56" s="65" t="n">
        <f aca="false">IF(E56="","",D56-E56)</f>
        <v>-622</v>
      </c>
      <c r="G56" s="54" t="n">
        <v>8789</v>
      </c>
      <c r="H56" s="54" t="n">
        <v>8640</v>
      </c>
      <c r="I56" s="65" t="n">
        <f aca="false">IF(H56="","",G56-H56)</f>
        <v>149</v>
      </c>
      <c r="J56" s="55" t="n">
        <f aca="false">IF(OR(D56="",D56+G56=0),"",D56/(D56+G56))</f>
        <v>0.656451549857327</v>
      </c>
      <c r="K56" s="55" t="n">
        <f aca="false">IF(E56="","",E56/(E56+H56))</f>
        <v>0.668406509057415</v>
      </c>
      <c r="L56" s="66" t="n">
        <f aca="false">IF(OR(K56="",J56=""),"",(J56-K56)*100)</f>
        <v>-1.19549592000877</v>
      </c>
      <c r="M56" s="36" t="n">
        <v>1.86802980554935</v>
      </c>
      <c r="N56" s="36" t="n">
        <v>2.07645439039877</v>
      </c>
      <c r="O56" s="36" t="n">
        <f aca="false">SQRT(M56^2+N56^2)</f>
        <v>2.79306251090574</v>
      </c>
      <c r="P56" s="55" t="n">
        <f aca="false">IF(J56="","",MAX(0,J56-1.96*O56/100))</f>
        <v>0.601707524643575</v>
      </c>
      <c r="Q56" s="55" t="n">
        <f aca="false">IF(J56="","",MIN(1,J56+1.96*O56/100))</f>
        <v>0.71119557507108</v>
      </c>
      <c r="R56" s="32" t="str">
        <f aca="false">IF(L56="","",IF(ABS(L56)&lt;=O56,"Yes","No"))</f>
        <v>Yes</v>
      </c>
      <c r="S56" s="32" t="str">
        <f aca="false">IF(L56="","",IF(ABS(L56)&lt;=1.96*O56,"Yes","No"))</f>
        <v>Yes</v>
      </c>
      <c r="T56" s="54" t="n">
        <f aca="false">IF(D56="","",ROUND(SQRT(((D56+G56)*O56/100)^2+(J56*(D56+G56)*0.06406)^2),0))</f>
        <v>1292</v>
      </c>
      <c r="U56" s="32"/>
    </row>
    <row r="57" customFormat="false" ht="15" hidden="false" customHeight="false" outlineLevel="0" collapsed="false">
      <c r="A57" s="32" t="s">
        <v>188</v>
      </c>
      <c r="B57" s="32" t="s">
        <v>192</v>
      </c>
      <c r="C57" s="32" t="s">
        <v>129</v>
      </c>
      <c r="D57" s="54" t="n">
        <v>8242</v>
      </c>
      <c r="E57" s="54" t="n">
        <v>8595</v>
      </c>
      <c r="F57" s="65" t="n">
        <f aca="false">IF(E57="","",D57-E57)</f>
        <v>-353</v>
      </c>
      <c r="G57" s="54" t="n">
        <v>7691</v>
      </c>
      <c r="H57" s="54" t="n">
        <v>7440</v>
      </c>
      <c r="I57" s="65" t="n">
        <f aca="false">IF(H57="","",G57-H57)</f>
        <v>251</v>
      </c>
      <c r="J57" s="55" t="n">
        <f aca="false">IF(OR(D57="",D57+G57=0),"",D57/(D57+G57))</f>
        <v>0.51729115671876</v>
      </c>
      <c r="K57" s="55" t="n">
        <f aca="false">IF(E57="","",E57/(E57+H57))</f>
        <v>0.536014967259121</v>
      </c>
      <c r="L57" s="66" t="n">
        <f aca="false">IF(OR(K57="",J57=""),"",(J57-K57)*100)</f>
        <v>-1.87238105403609</v>
      </c>
      <c r="M57" s="36" t="n">
        <v>1.86802980554935</v>
      </c>
      <c r="N57" s="36" t="n">
        <v>2.07645439039877</v>
      </c>
      <c r="O57" s="36" t="n">
        <f aca="false">SQRT(M57^2+N57^2)</f>
        <v>2.79306251090574</v>
      </c>
      <c r="P57" s="55" t="n">
        <f aca="false">IF(J57="","",MAX(0,J57-1.96*O57/100))</f>
        <v>0.462547131505007</v>
      </c>
      <c r="Q57" s="55" t="n">
        <f aca="false">IF(J57="","",MIN(1,J57+1.96*O57/100))</f>
        <v>0.572035181932512</v>
      </c>
      <c r="R57" s="32" t="str">
        <f aca="false">IF(L57="","",IF(ABS(L57)&lt;=O57,"Yes","No"))</f>
        <v>Yes</v>
      </c>
      <c r="S57" s="32" t="str">
        <f aca="false">IF(L57="","",IF(ABS(L57)&lt;=1.96*O57,"Yes","No"))</f>
        <v>Yes</v>
      </c>
      <c r="T57" s="54" t="n">
        <f aca="false">IF(D57="","",ROUND(SQRT(((D57+G57)*O57/100)^2+(J57*(D57+G57)*0.06406)^2),0))</f>
        <v>691</v>
      </c>
      <c r="U57" s="32"/>
    </row>
    <row r="58" customFormat="false" ht="15" hidden="false" customHeight="false" outlineLevel="0" collapsed="false">
      <c r="A58" s="32" t="s">
        <v>188</v>
      </c>
      <c r="B58" s="32" t="s">
        <v>193</v>
      </c>
      <c r="C58" s="32" t="s">
        <v>129</v>
      </c>
      <c r="D58" s="54" t="n">
        <v>1985</v>
      </c>
      <c r="E58" s="54" t="n">
        <v>2169</v>
      </c>
      <c r="F58" s="65" t="n">
        <f aca="false">IF(E58="","",D58-E58)</f>
        <v>-184</v>
      </c>
      <c r="G58" s="54" t="n">
        <v>3630</v>
      </c>
      <c r="H58" s="54" t="n">
        <v>3459</v>
      </c>
      <c r="I58" s="65" t="n">
        <f aca="false">IF(H58="","",G58-H58)</f>
        <v>171</v>
      </c>
      <c r="J58" s="55" t="n">
        <f aca="false">IF(OR(D58="",D58+G58=0),"",D58/(D58+G58))</f>
        <v>0.353517364203028</v>
      </c>
      <c r="K58" s="55" t="n">
        <f aca="false">IF(E58="","",E58/(E58+H58))</f>
        <v>0.385394456289979</v>
      </c>
      <c r="L58" s="66" t="n">
        <f aca="false">IF(OR(K58="",J58=""),"",(J58-K58)*100)</f>
        <v>-3.18770920869511</v>
      </c>
      <c r="M58" s="36" t="n">
        <v>1.86802980554935</v>
      </c>
      <c r="N58" s="36" t="n">
        <v>2.07645439039877</v>
      </c>
      <c r="O58" s="36" t="n">
        <f aca="false">SQRT(M58^2+N58^2)</f>
        <v>2.79306251090574</v>
      </c>
      <c r="P58" s="55" t="n">
        <f aca="false">IF(J58="","",MAX(0,J58-1.96*O58/100))</f>
        <v>0.298773338989275</v>
      </c>
      <c r="Q58" s="55" t="n">
        <f aca="false">IF(J58="","",MIN(1,J58+1.96*O58/100))</f>
        <v>0.40826138941678</v>
      </c>
      <c r="R58" s="32" t="str">
        <f aca="false">IF(L58="","",IF(ABS(L58)&lt;=O58,"Yes","No"))</f>
        <v>No</v>
      </c>
      <c r="S58" s="32" t="str">
        <f aca="false">IF(L58="","",IF(ABS(L58)&lt;=1.96*O58,"Yes","No"))</f>
        <v>Yes</v>
      </c>
      <c r="T58" s="54" t="n">
        <f aca="false">IF(D58="","",ROUND(SQRT(((D58+G58)*O58/100)^2+(J58*(D58+G58)*0.06406)^2),0))</f>
        <v>202</v>
      </c>
      <c r="U58" s="32"/>
    </row>
    <row r="59" customFormat="false" ht="15" hidden="false" customHeight="false" outlineLevel="0" collapsed="false">
      <c r="A59" s="32" t="s">
        <v>188</v>
      </c>
      <c r="B59" s="32" t="s">
        <v>194</v>
      </c>
      <c r="C59" s="32" t="s">
        <v>129</v>
      </c>
      <c r="D59" s="54" t="n">
        <v>41</v>
      </c>
      <c r="E59" s="54" t="n">
        <v>40</v>
      </c>
      <c r="F59" s="65" t="n">
        <f aca="false">IF(E59="","",D59-E59)</f>
        <v>1</v>
      </c>
      <c r="G59" s="54" t="n">
        <v>80</v>
      </c>
      <c r="H59" s="54" t="n">
        <v>83</v>
      </c>
      <c r="I59" s="65" t="n">
        <f aca="false">IF(H59="","",G59-H59)</f>
        <v>-3</v>
      </c>
      <c r="J59" s="55" t="n">
        <f aca="false">IF(OR(D59="",D59+G59=0),"",D59/(D59+G59))</f>
        <v>0.338842975206612</v>
      </c>
      <c r="K59" s="55" t="n">
        <f aca="false">IF(E59="","",E59/(E59+H59))</f>
        <v>0.32520325203252</v>
      </c>
      <c r="L59" s="66" t="n">
        <f aca="false">IF(OR(K59="",J59=""),"",(J59-K59)*100)</f>
        <v>1.36397231740912</v>
      </c>
      <c r="M59" s="36" t="n">
        <v>3.65235826718192</v>
      </c>
      <c r="N59" s="36" t="n">
        <v>2.07645439039877</v>
      </c>
      <c r="O59" s="36" t="n">
        <f aca="false">SQRT(M59^2+N59^2)</f>
        <v>4.20135498943596</v>
      </c>
      <c r="P59" s="55" t="n">
        <f aca="false">IF(J59="","",MAX(0,J59-1.96*O59/100))</f>
        <v>0.256496417413667</v>
      </c>
      <c r="Q59" s="55" t="n">
        <f aca="false">IF(J59="","",MIN(1,J59+1.96*O59/100))</f>
        <v>0.421189532999556</v>
      </c>
      <c r="R59" s="32" t="str">
        <f aca="false">IF(L59="","",IF(ABS(L59)&lt;=O59,"Yes","No"))</f>
        <v>Yes</v>
      </c>
      <c r="S59" s="32" t="str">
        <f aca="false">IF(L59="","",IF(ABS(L59)&lt;=1.96*O59,"Yes","No"))</f>
        <v>Yes</v>
      </c>
      <c r="T59" s="54" t="n">
        <f aca="false">IF(D59="","",ROUND(SQRT(((D59+G59)*O59/100)^2+(J59*(D59+G59)*0.09173)^2),0))</f>
        <v>6</v>
      </c>
      <c r="U59" s="32"/>
    </row>
    <row r="60" customFormat="false" ht="15" hidden="false" customHeight="false" outlineLevel="0" collapsed="false">
      <c r="A60" s="32" t="s">
        <v>188</v>
      </c>
      <c r="B60" s="32" t="s">
        <v>195</v>
      </c>
      <c r="C60" s="32" t="s">
        <v>129</v>
      </c>
      <c r="D60" s="54" t="n">
        <v>1384</v>
      </c>
      <c r="E60" s="54" t="n">
        <v>1484</v>
      </c>
      <c r="F60" s="65" t="n">
        <f aca="false">IF(E60="","",D60-E60)</f>
        <v>-100</v>
      </c>
      <c r="G60" s="54" t="n">
        <v>1985</v>
      </c>
      <c r="H60" s="54" t="n">
        <v>1959</v>
      </c>
      <c r="I60" s="65" t="n">
        <f aca="false">IF(H60="","",G60-H60)</f>
        <v>26</v>
      </c>
      <c r="J60" s="55" t="n">
        <f aca="false">IF(OR(D60="",D60+G60=0),"",D60/(D60+G60))</f>
        <v>0.410804392994954</v>
      </c>
      <c r="K60" s="55" t="n">
        <f aca="false">IF(E60="","",E60/(E60+H60))</f>
        <v>0.431019459773453</v>
      </c>
      <c r="L60" s="66" t="n">
        <f aca="false">IF(OR(K60="",J60=""),"",(J60-K60)*100)</f>
        <v>-2.02150667784994</v>
      </c>
      <c r="M60" s="36" t="n">
        <v>2.37002691403454</v>
      </c>
      <c r="N60" s="36" t="n">
        <v>2.07645439039877</v>
      </c>
      <c r="O60" s="36" t="n">
        <f aca="false">SQRT(M60^2+N60^2)</f>
        <v>3.15098245134028</v>
      </c>
      <c r="P60" s="55" t="n">
        <f aca="false">IF(J60="","",MAX(0,J60-1.96*O60/100))</f>
        <v>0.349045136948684</v>
      </c>
      <c r="Q60" s="55" t="n">
        <f aca="false">IF(J60="","",MIN(1,J60+1.96*O60/100))</f>
        <v>0.472563649041224</v>
      </c>
      <c r="R60" s="32" t="str">
        <f aca="false">IF(L60="","",IF(ABS(L60)&lt;=O60,"Yes","No"))</f>
        <v>Yes</v>
      </c>
      <c r="S60" s="32" t="str">
        <f aca="false">IF(L60="","",IF(ABS(L60)&lt;=1.96*O60,"Yes","No"))</f>
        <v>Yes</v>
      </c>
      <c r="T60" s="54" t="n">
        <f aca="false">IF(D60="","",ROUND(SQRT(((D60+G60)*O60/100)^2+(J60*(D60+G60)*0.07048)^2),0))</f>
        <v>144</v>
      </c>
      <c r="U60" s="32"/>
    </row>
    <row r="61" customFormat="false" ht="15" hidden="false" customHeight="false" outlineLevel="0" collapsed="false">
      <c r="A61" s="32" t="s">
        <v>188</v>
      </c>
      <c r="B61" s="32" t="s">
        <v>196</v>
      </c>
      <c r="C61" s="32" t="s">
        <v>129</v>
      </c>
      <c r="D61" s="54" t="n">
        <v>183</v>
      </c>
      <c r="E61" s="54" t="n">
        <v>217</v>
      </c>
      <c r="F61" s="65" t="n">
        <f aca="false">IF(E61="","",D61-E61)</f>
        <v>-34</v>
      </c>
      <c r="G61" s="54" t="n">
        <v>328</v>
      </c>
      <c r="H61" s="54" t="n">
        <v>309</v>
      </c>
      <c r="I61" s="65" t="n">
        <f aca="false">IF(H61="","",G61-H61)</f>
        <v>19</v>
      </c>
      <c r="J61" s="55" t="n">
        <f aca="false">IF(OR(D61="",D61+G61=0),"",D61/(D61+G61))</f>
        <v>0.35812133072407</v>
      </c>
      <c r="K61" s="55" t="n">
        <f aca="false">IF(E61="","",E61/(E61+H61))</f>
        <v>0.41254752851711</v>
      </c>
      <c r="L61" s="66" t="n">
        <f aca="false">IF(OR(K61="",J61=""),"",(J61-K61)*100)</f>
        <v>-5.44261977930398</v>
      </c>
      <c r="M61" s="36" t="n">
        <v>3.65235826718192</v>
      </c>
      <c r="N61" s="36" t="n">
        <v>2.07645439039877</v>
      </c>
      <c r="O61" s="36" t="n">
        <f aca="false">SQRT(M61^2+N61^2)</f>
        <v>4.20135498943596</v>
      </c>
      <c r="P61" s="55" t="n">
        <f aca="false">IF(J61="","",MAX(0,J61-1.96*O61/100))</f>
        <v>0.275774772931126</v>
      </c>
      <c r="Q61" s="55" t="n">
        <f aca="false">IF(J61="","",MIN(1,J61+1.96*O61/100))</f>
        <v>0.440467888517015</v>
      </c>
      <c r="R61" s="32" t="str">
        <f aca="false">IF(L61="","",IF(ABS(L61)&lt;=O61,"Yes","No"))</f>
        <v>No</v>
      </c>
      <c r="S61" s="32" t="str">
        <f aca="false">IF(L61="","",IF(ABS(L61)&lt;=1.96*O61,"Yes","No"))</f>
        <v>Yes</v>
      </c>
      <c r="T61" s="54" t="n">
        <f aca="false">IF(D61="","",ROUND(SQRT(((D61+G61)*O61/100)^2+(J61*(D61+G61)*0.09173)^2),0))</f>
        <v>27</v>
      </c>
      <c r="U61" s="32"/>
    </row>
    <row r="62" customFormat="false" ht="15" hidden="false" customHeight="false" outlineLevel="0" collapsed="false">
      <c r="A62" s="32" t="s">
        <v>188</v>
      </c>
      <c r="B62" s="32" t="s">
        <v>197</v>
      </c>
      <c r="C62" s="32" t="s">
        <v>129</v>
      </c>
      <c r="D62" s="54" t="n">
        <v>7302</v>
      </c>
      <c r="E62" s="54" t="n">
        <v>7604</v>
      </c>
      <c r="F62" s="65" t="n">
        <f aca="false">IF(E62="","",D62-E62)</f>
        <v>-302</v>
      </c>
      <c r="G62" s="54" t="n">
        <v>3229</v>
      </c>
      <c r="H62" s="54" t="n">
        <v>3303</v>
      </c>
      <c r="I62" s="65" t="n">
        <f aca="false">IF(H62="","",G62-H62)</f>
        <v>-74</v>
      </c>
      <c r="J62" s="55" t="n">
        <f aca="false">IF(OR(D62="",D62+G62=0),"",D62/(D62+G62))</f>
        <v>0.693381445256861</v>
      </c>
      <c r="K62" s="55" t="n">
        <f aca="false">IF(E62="","",E62/(E62+H62))</f>
        <v>0.697166957000092</v>
      </c>
      <c r="L62" s="66" t="n">
        <f aca="false">IF(OR(K62="",J62=""),"",(J62-K62)*100)</f>
        <v>-0.378551174323094</v>
      </c>
      <c r="M62" s="36" t="n">
        <v>1.86802980554935</v>
      </c>
      <c r="N62" s="36" t="n">
        <v>2.07645439039877</v>
      </c>
      <c r="O62" s="36" t="n">
        <f aca="false">SQRT(M62^2+N62^2)</f>
        <v>2.79306251090574</v>
      </c>
      <c r="P62" s="55" t="n">
        <f aca="false">IF(J62="","",MAX(0,J62-1.96*O62/100))</f>
        <v>0.638637420043108</v>
      </c>
      <c r="Q62" s="55" t="n">
        <f aca="false">IF(J62="","",MIN(1,J62+1.96*O62/100))</f>
        <v>0.748125470470613</v>
      </c>
      <c r="R62" s="32" t="str">
        <f aca="false">IF(L62="","",IF(ABS(L62)&lt;=O62,"Yes","No"))</f>
        <v>Yes</v>
      </c>
      <c r="S62" s="32" t="str">
        <f aca="false">IF(L62="","",IF(ABS(L62)&lt;=1.96*O62,"Yes","No"))</f>
        <v>Yes</v>
      </c>
      <c r="T62" s="54" t="n">
        <f aca="false">IF(D62="","",ROUND(SQRT(((D62+G62)*O62/100)^2+(J62*(D62+G62)*0.06406)^2),0))</f>
        <v>553</v>
      </c>
      <c r="U62" s="32"/>
    </row>
    <row r="63" customFormat="false" ht="15" hidden="false" customHeight="false" outlineLevel="0" collapsed="false">
      <c r="A63" s="32" t="s">
        <v>188</v>
      </c>
      <c r="B63" s="32" t="s">
        <v>198</v>
      </c>
      <c r="C63" s="32" t="s">
        <v>129</v>
      </c>
      <c r="D63" s="54" t="n">
        <v>5212</v>
      </c>
      <c r="E63" s="54" t="n">
        <v>5358</v>
      </c>
      <c r="F63" s="65" t="n">
        <f aca="false">IF(E63="","",D63-E63)</f>
        <v>-146</v>
      </c>
      <c r="G63" s="54" t="n">
        <v>5067</v>
      </c>
      <c r="H63" s="54" t="n">
        <v>5027</v>
      </c>
      <c r="I63" s="65" t="n">
        <f aca="false">IF(H63="","",G63-H63)</f>
        <v>40</v>
      </c>
      <c r="J63" s="55" t="n">
        <f aca="false">IF(OR(D63="",D63+G63=0),"",D63/(D63+G63))</f>
        <v>0.507053215293317</v>
      </c>
      <c r="K63" s="55" t="n">
        <f aca="false">IF(E63="","",E63/(E63+H63))</f>
        <v>0.515936446798267</v>
      </c>
      <c r="L63" s="66" t="n">
        <f aca="false">IF(OR(K63="",J63=""),"",(J63-K63)*100)</f>
        <v>-0.88832315049503</v>
      </c>
      <c r="M63" s="36" t="n">
        <v>1.86802980554935</v>
      </c>
      <c r="N63" s="36" t="n">
        <v>2.07645439039877</v>
      </c>
      <c r="O63" s="36" t="n">
        <f aca="false">SQRT(M63^2+N63^2)</f>
        <v>2.79306251090574</v>
      </c>
      <c r="P63" s="55" t="n">
        <f aca="false">IF(J63="","",MAX(0,J63-1.96*O63/100))</f>
        <v>0.452309190079564</v>
      </c>
      <c r="Q63" s="55" t="n">
        <f aca="false">IF(J63="","",MIN(1,J63+1.96*O63/100))</f>
        <v>0.561797240507069</v>
      </c>
      <c r="R63" s="32" t="str">
        <f aca="false">IF(L63="","",IF(ABS(L63)&lt;=O63,"Yes","No"))</f>
        <v>Yes</v>
      </c>
      <c r="S63" s="32" t="str">
        <f aca="false">IF(L63="","",IF(ABS(L63)&lt;=1.96*O63,"Yes","No"))</f>
        <v>Yes</v>
      </c>
      <c r="T63" s="54" t="n">
        <f aca="false">IF(D63="","",ROUND(SQRT(((D63+G63)*O63/100)^2+(J63*(D63+G63)*0.06406)^2),0))</f>
        <v>440</v>
      </c>
      <c r="U63" s="32"/>
    </row>
    <row r="64" customFormat="false" ht="15" hidden="false" customHeight="false" outlineLevel="0" collapsed="false">
      <c r="A64" s="32" t="s">
        <v>188</v>
      </c>
      <c r="B64" s="32" t="s">
        <v>199</v>
      </c>
      <c r="C64" s="32" t="s">
        <v>129</v>
      </c>
      <c r="D64" s="54" t="n">
        <v>729</v>
      </c>
      <c r="E64" s="54" t="n">
        <v>714</v>
      </c>
      <c r="F64" s="65" t="n">
        <f aca="false">IF(E64="","",D64-E64)</f>
        <v>15</v>
      </c>
      <c r="G64" s="54" t="n">
        <v>536</v>
      </c>
      <c r="H64" s="54" t="n">
        <v>484</v>
      </c>
      <c r="I64" s="65" t="n">
        <f aca="false">IF(H64="","",G64-H64)</f>
        <v>52</v>
      </c>
      <c r="J64" s="55" t="n">
        <f aca="false">IF(OR(D64="",D64+G64=0),"",D64/(D64+G64))</f>
        <v>0.576284584980237</v>
      </c>
      <c r="K64" s="55" t="n">
        <f aca="false">IF(E64="","",E64/(E64+H64))</f>
        <v>0.595993322203673</v>
      </c>
      <c r="L64" s="66" t="n">
        <f aca="false">IF(OR(K64="",J64=""),"",(J64-K64)*100)</f>
        <v>-1.97087372234356</v>
      </c>
      <c r="M64" s="36" t="n">
        <v>3.65235826718192</v>
      </c>
      <c r="N64" s="36" t="n">
        <v>2.07645439039877</v>
      </c>
      <c r="O64" s="36" t="n">
        <f aca="false">SQRT(M64^2+N64^2)</f>
        <v>4.20135498943596</v>
      </c>
      <c r="P64" s="55" t="n">
        <f aca="false">IF(J64="","",MAX(0,J64-1.96*O64/100))</f>
        <v>0.493938027187292</v>
      </c>
      <c r="Q64" s="55" t="n">
        <f aca="false">IF(J64="","",MIN(1,J64+1.96*O64/100))</f>
        <v>0.658631142773182</v>
      </c>
      <c r="R64" s="32" t="str">
        <f aca="false">IF(L64="","",IF(ABS(L64)&lt;=O64,"Yes","No"))</f>
        <v>Yes</v>
      </c>
      <c r="S64" s="32" t="str">
        <f aca="false">IF(L64="","",IF(ABS(L64)&lt;=1.96*O64,"Yes","No"))</f>
        <v>Yes</v>
      </c>
      <c r="T64" s="54" t="n">
        <f aca="false">IF(D64="","",ROUND(SQRT(((D64+G64)*O64/100)^2+(J64*(D64+G64)*0.09173)^2),0))</f>
        <v>85</v>
      </c>
      <c r="U64" s="32"/>
    </row>
    <row r="65" customFormat="false" ht="15" hidden="false" customHeight="false" outlineLevel="0" collapsed="false">
      <c r="A65" s="32" t="s">
        <v>188</v>
      </c>
      <c r="B65" s="32" t="s">
        <v>200</v>
      </c>
      <c r="C65" s="32" t="s">
        <v>129</v>
      </c>
      <c r="D65" s="54" t="n">
        <v>100</v>
      </c>
      <c r="E65" s="54" t="n">
        <v>109</v>
      </c>
      <c r="F65" s="65" t="n">
        <f aca="false">IF(E65="","",D65-E65)</f>
        <v>-9</v>
      </c>
      <c r="G65" s="54" t="n">
        <v>105</v>
      </c>
      <c r="H65" s="54" t="n">
        <v>97</v>
      </c>
      <c r="I65" s="65" t="n">
        <f aca="false">IF(H65="","",G65-H65)</f>
        <v>8</v>
      </c>
      <c r="J65" s="55" t="n">
        <f aca="false">IF(OR(D65="",D65+G65=0),"",D65/(D65+G65))</f>
        <v>0.487804878048781</v>
      </c>
      <c r="K65" s="55" t="n">
        <f aca="false">IF(E65="","",E65/(E65+H65))</f>
        <v>0.529126213592233</v>
      </c>
      <c r="L65" s="66" t="n">
        <f aca="false">IF(OR(K65="",J65=""),"",(J65-K65)*100)</f>
        <v>-4.13213355434525</v>
      </c>
      <c r="M65" s="36" t="n">
        <v>3.65235826718192</v>
      </c>
      <c r="N65" s="36" t="n">
        <v>2.07645439039877</v>
      </c>
      <c r="O65" s="36" t="n">
        <f aca="false">SQRT(M65^2+N65^2)</f>
        <v>4.20135498943596</v>
      </c>
      <c r="P65" s="55" t="n">
        <f aca="false">IF(J65="","",MAX(0,J65-1.96*O65/100))</f>
        <v>0.405458320255836</v>
      </c>
      <c r="Q65" s="55" t="n">
        <f aca="false">IF(J65="","",MIN(1,J65+1.96*O65/100))</f>
        <v>0.570151435841725</v>
      </c>
      <c r="R65" s="32" t="str">
        <f aca="false">IF(L65="","",IF(ABS(L65)&lt;=O65,"Yes","No"))</f>
        <v>Yes</v>
      </c>
      <c r="S65" s="32" t="str">
        <f aca="false">IF(L65="","",IF(ABS(L65)&lt;=1.96*O65,"Yes","No"))</f>
        <v>Yes</v>
      </c>
      <c r="T65" s="54" t="n">
        <f aca="false">IF(D65="","",ROUND(SQRT(((D65+G65)*O65/100)^2+(J65*(D65+G65)*0.09173)^2),0))</f>
        <v>13</v>
      </c>
      <c r="U65" s="32"/>
    </row>
    <row r="66" customFormat="false" ht="15" hidden="false" customHeight="false" outlineLevel="0" collapsed="false">
      <c r="A66" s="32" t="s">
        <v>188</v>
      </c>
      <c r="B66" s="32" t="s">
        <v>166</v>
      </c>
      <c r="C66" s="32" t="s">
        <v>129</v>
      </c>
      <c r="D66" s="54" t="n">
        <v>4164</v>
      </c>
      <c r="E66" s="54" t="n">
        <v>4341</v>
      </c>
      <c r="F66" s="65" t="n">
        <f aca="false">IF(E66="","",D66-E66)</f>
        <v>-177</v>
      </c>
      <c r="G66" s="54" t="n">
        <v>3785</v>
      </c>
      <c r="H66" s="54" t="n">
        <v>3620</v>
      </c>
      <c r="I66" s="65" t="n">
        <f aca="false">IF(H66="","",G66-H66)</f>
        <v>165</v>
      </c>
      <c r="J66" s="55" t="n">
        <f aca="false">IF(OR(D66="",D66+G66=0),"",D66/(D66+G66))</f>
        <v>0.523839476663731</v>
      </c>
      <c r="K66" s="55" t="n">
        <f aca="false">IF(E66="","",E66/(E66+H66))</f>
        <v>0.545283255872378</v>
      </c>
      <c r="L66" s="66" t="n">
        <f aca="false">IF(OR(K66="",J66=""),"",(J66-K66)*100)</f>
        <v>-2.14437792086465</v>
      </c>
      <c r="M66" s="36" t="n">
        <v>1.86802980554935</v>
      </c>
      <c r="N66" s="36" t="n">
        <v>2.07645439039877</v>
      </c>
      <c r="O66" s="36" t="n">
        <f aca="false">SQRT(M66^2+N66^2)</f>
        <v>2.79306251090574</v>
      </c>
      <c r="P66" s="55" t="n">
        <f aca="false">IF(J66="","",MAX(0,J66-1.96*O66/100))</f>
        <v>0.469095451449979</v>
      </c>
      <c r="Q66" s="55" t="n">
        <f aca="false">IF(J66="","",MIN(1,J66+1.96*O66/100))</f>
        <v>0.578583501877484</v>
      </c>
      <c r="R66" s="32" t="str">
        <f aca="false">IF(L66="","",IF(ABS(L66)&lt;=O66,"Yes","No"))</f>
        <v>Yes</v>
      </c>
      <c r="S66" s="32" t="str">
        <f aca="false">IF(L66="","",IF(ABS(L66)&lt;=1.96*O66,"Yes","No"))</f>
        <v>Yes</v>
      </c>
      <c r="T66" s="54" t="n">
        <f aca="false">IF(D66="","",ROUND(SQRT(((D66+G66)*O66/100)^2+(J66*(D66+G66)*0.06406)^2),0))</f>
        <v>347</v>
      </c>
      <c r="U66" s="32"/>
    </row>
    <row r="67" customFormat="false" ht="15" hidden="false" customHeight="false" outlineLevel="0" collapsed="false">
      <c r="A67" s="32" t="s">
        <v>188</v>
      </c>
      <c r="B67" s="32" t="s">
        <v>201</v>
      </c>
      <c r="C67" s="32" t="s">
        <v>129</v>
      </c>
      <c r="D67" s="54" t="n">
        <v>1701</v>
      </c>
      <c r="E67" s="54" t="n">
        <v>1726</v>
      </c>
      <c r="F67" s="65" t="n">
        <f aca="false">IF(E67="","",D67-E67)</f>
        <v>-25</v>
      </c>
      <c r="G67" s="54" t="n">
        <v>1658</v>
      </c>
      <c r="H67" s="54" t="n">
        <v>1685</v>
      </c>
      <c r="I67" s="65" t="n">
        <f aca="false">IF(H67="","",G67-H67)</f>
        <v>-27</v>
      </c>
      <c r="J67" s="55" t="n">
        <f aca="false">IF(OR(D67="",D67+G67=0),"",D67/(D67+G67))</f>
        <v>0.506400714498363</v>
      </c>
      <c r="K67" s="55" t="n">
        <f aca="false">IF(E67="","",E67/(E67+H67))</f>
        <v>0.506009967751393</v>
      </c>
      <c r="L67" s="66" t="n">
        <f aca="false">IF(OR(K67="",J67=""),"",(J67-K67)*100)</f>
        <v>0.039074674697015</v>
      </c>
      <c r="M67" s="36" t="n">
        <v>2.37002691403454</v>
      </c>
      <c r="N67" s="36" t="n">
        <v>2.07645439039877</v>
      </c>
      <c r="O67" s="36" t="n">
        <f aca="false">SQRT(M67^2+N67^2)</f>
        <v>3.15098245134028</v>
      </c>
      <c r="P67" s="55" t="n">
        <f aca="false">IF(J67="","",MAX(0,J67-1.96*O67/100))</f>
        <v>0.444641458452093</v>
      </c>
      <c r="Q67" s="55" t="n">
        <f aca="false">IF(J67="","",MIN(1,J67+1.96*O67/100))</f>
        <v>0.568159970544632</v>
      </c>
      <c r="R67" s="32" t="str">
        <f aca="false">IF(L67="","",IF(ABS(L67)&lt;=O67,"Yes","No"))</f>
        <v>Yes</v>
      </c>
      <c r="S67" s="32" t="str">
        <f aca="false">IF(L67="","",IF(ABS(L67)&lt;=1.96*O67,"Yes","No"))</f>
        <v>Yes</v>
      </c>
      <c r="T67" s="54" t="n">
        <f aca="false">IF(D67="","",ROUND(SQRT(((D67+G67)*O67/100)^2+(J67*(D67+G67)*0.07048)^2),0))</f>
        <v>160</v>
      </c>
      <c r="U67" s="32"/>
    </row>
    <row r="68" customFormat="false" ht="15" hidden="false" customHeight="false" outlineLevel="0" collapsed="false">
      <c r="A68" s="32" t="s">
        <v>188</v>
      </c>
      <c r="B68" s="32" t="s">
        <v>202</v>
      </c>
      <c r="C68" s="32" t="s">
        <v>129</v>
      </c>
      <c r="D68" s="54" t="n">
        <v>2162</v>
      </c>
      <c r="E68" s="54" t="n">
        <v>2244</v>
      </c>
      <c r="F68" s="65" t="n">
        <f aca="false">IF(E68="","",D68-E68)</f>
        <v>-82</v>
      </c>
      <c r="G68" s="54" t="n">
        <v>4487</v>
      </c>
      <c r="H68" s="54" t="n">
        <v>4439</v>
      </c>
      <c r="I68" s="65" t="n">
        <f aca="false">IF(H68="","",G68-H68)</f>
        <v>48</v>
      </c>
      <c r="J68" s="55" t="n">
        <f aca="false">IF(OR(D68="",D68+G68=0),"",D68/(D68+G68))</f>
        <v>0.325161678447887</v>
      </c>
      <c r="K68" s="55" t="n">
        <f aca="false">IF(E68="","",E68/(E68+H68))</f>
        <v>0.335777345503516</v>
      </c>
      <c r="L68" s="66" t="n">
        <f aca="false">IF(OR(K68="",J68=""),"",(J68-K68)*100)</f>
        <v>-1.06156670556295</v>
      </c>
      <c r="M68" s="36" t="n">
        <v>1.86802980554935</v>
      </c>
      <c r="N68" s="36" t="n">
        <v>2.07645439039877</v>
      </c>
      <c r="O68" s="36" t="n">
        <f aca="false">SQRT(M68^2+N68^2)</f>
        <v>2.79306251090574</v>
      </c>
      <c r="P68" s="55" t="n">
        <f aca="false">IF(J68="","",MAX(0,J68-1.96*O68/100))</f>
        <v>0.270417653234134</v>
      </c>
      <c r="Q68" s="55" t="n">
        <f aca="false">IF(J68="","",MIN(1,J68+1.96*O68/100))</f>
        <v>0.379905703661639</v>
      </c>
      <c r="R68" s="32" t="str">
        <f aca="false">IF(L68="","",IF(ABS(L68)&lt;=O68,"Yes","No"))</f>
        <v>Yes</v>
      </c>
      <c r="S68" s="32" t="str">
        <f aca="false">IF(L68="","",IF(ABS(L68)&lt;=1.96*O68,"Yes","No"))</f>
        <v>Yes</v>
      </c>
      <c r="T68" s="54" t="n">
        <f aca="false">IF(D68="","",ROUND(SQRT(((D68+G68)*O68/100)^2+(J68*(D68+G68)*0.06406)^2),0))</f>
        <v>232</v>
      </c>
      <c r="U68" s="32"/>
    </row>
    <row r="69" customFormat="false" ht="15" hidden="false" customHeight="false" outlineLevel="0" collapsed="false">
      <c r="A69" s="32" t="s">
        <v>188</v>
      </c>
      <c r="B69" s="32" t="s">
        <v>203</v>
      </c>
      <c r="C69" s="32" t="s">
        <v>129</v>
      </c>
      <c r="D69" s="54" t="n">
        <v>593</v>
      </c>
      <c r="E69" s="54" t="n">
        <v>625</v>
      </c>
      <c r="F69" s="65" t="n">
        <f aca="false">IF(E69="","",D69-E69)</f>
        <v>-32</v>
      </c>
      <c r="G69" s="54" t="n">
        <v>1198</v>
      </c>
      <c r="H69" s="54" t="n">
        <v>1214</v>
      </c>
      <c r="I69" s="65" t="n">
        <f aca="false">IF(H69="","",G69-H69)</f>
        <v>-16</v>
      </c>
      <c r="J69" s="55" t="n">
        <f aca="false">IF(OR(D69="",D69+G69=0),"",D69/(D69+G69))</f>
        <v>0.331099944165271</v>
      </c>
      <c r="K69" s="55" t="n">
        <f aca="false">IF(E69="","",E69/(E69+H69))</f>
        <v>0.339858618814573</v>
      </c>
      <c r="L69" s="66" t="n">
        <f aca="false">IF(OR(K69="",J69=""),"",(J69-K69)*100)</f>
        <v>-0.875867464930236</v>
      </c>
      <c r="M69" s="36" t="n">
        <v>2.37002691403454</v>
      </c>
      <c r="N69" s="36" t="n">
        <v>2.07645439039877</v>
      </c>
      <c r="O69" s="36" t="n">
        <f aca="false">SQRT(M69^2+N69^2)</f>
        <v>3.15098245134028</v>
      </c>
      <c r="P69" s="55" t="n">
        <f aca="false">IF(J69="","",MAX(0,J69-1.96*O69/100))</f>
        <v>0.269340688119001</v>
      </c>
      <c r="Q69" s="55" t="n">
        <f aca="false">IF(J69="","",MIN(1,J69+1.96*O69/100))</f>
        <v>0.39285920021154</v>
      </c>
      <c r="R69" s="32" t="str">
        <f aca="false">IF(L69="","",IF(ABS(L69)&lt;=O69,"Yes","No"))</f>
        <v>Yes</v>
      </c>
      <c r="S69" s="32" t="str">
        <f aca="false">IF(L69="","",IF(ABS(L69)&lt;=1.96*O69,"Yes","No"))</f>
        <v>Yes</v>
      </c>
      <c r="T69" s="54" t="n">
        <f aca="false">IF(D69="","",ROUND(SQRT(((D69+G69)*O69/100)^2+(J69*(D69+G69)*0.07048)^2),0))</f>
        <v>70</v>
      </c>
      <c r="U69" s="32"/>
    </row>
    <row r="70" customFormat="false" ht="15" hidden="false" customHeight="false" outlineLevel="0" collapsed="false">
      <c r="A70" s="32" t="s">
        <v>188</v>
      </c>
      <c r="B70" s="32" t="s">
        <v>204</v>
      </c>
      <c r="C70" s="32" t="s">
        <v>129</v>
      </c>
      <c r="D70" s="54" t="n">
        <v>1891</v>
      </c>
      <c r="E70" s="54" t="n">
        <v>2047</v>
      </c>
      <c r="F70" s="65" t="n">
        <f aca="false">IF(E70="","",D70-E70)</f>
        <v>-156</v>
      </c>
      <c r="G70" s="54" t="n">
        <v>2664</v>
      </c>
      <c r="H70" s="54" t="n">
        <v>2499</v>
      </c>
      <c r="I70" s="65" t="n">
        <f aca="false">IF(H70="","",G70-H70)</f>
        <v>165</v>
      </c>
      <c r="J70" s="55" t="n">
        <f aca="false">IF(OR(D70="",D70+G70=0),"",D70/(D70+G70))</f>
        <v>0.415148188803513</v>
      </c>
      <c r="K70" s="55" t="n">
        <f aca="false">IF(E70="","",E70/(E70+H70))</f>
        <v>0.450285965684118</v>
      </c>
      <c r="L70" s="66" t="n">
        <f aca="false">IF(OR(K70="",J70=""),"",(J70-K70)*100)</f>
        <v>-3.51377768806053</v>
      </c>
      <c r="M70" s="36" t="n">
        <v>1.86802980554935</v>
      </c>
      <c r="N70" s="36" t="n">
        <v>2.07645439039877</v>
      </c>
      <c r="O70" s="36" t="n">
        <f aca="false">SQRT(M70^2+N70^2)</f>
        <v>2.79306251090574</v>
      </c>
      <c r="P70" s="55" t="n">
        <f aca="false">IF(J70="","",MAX(0,J70-1.96*O70/100))</f>
        <v>0.36040416358976</v>
      </c>
      <c r="Q70" s="55" t="n">
        <f aca="false">IF(J70="","",MIN(1,J70+1.96*O70/100))</f>
        <v>0.469892214017265</v>
      </c>
      <c r="R70" s="32" t="str">
        <f aca="false">IF(L70="","",IF(ABS(L70)&lt;=O70,"Yes","No"))</f>
        <v>No</v>
      </c>
      <c r="S70" s="32" t="str">
        <f aca="false">IF(L70="","",IF(ABS(L70)&lt;=1.96*O70,"Yes","No"))</f>
        <v>Yes</v>
      </c>
      <c r="T70" s="54" t="n">
        <f aca="false">IF(D70="","",ROUND(SQRT(((D70+G70)*O70/100)^2+(J70*(D70+G70)*0.06406)^2),0))</f>
        <v>176</v>
      </c>
      <c r="U70" s="32"/>
    </row>
    <row r="71" customFormat="false" ht="15" hidden="false" customHeight="false" outlineLevel="0" collapsed="false">
      <c r="A71" s="32" t="s">
        <v>188</v>
      </c>
      <c r="B71" s="32" t="s">
        <v>205</v>
      </c>
      <c r="C71" s="32" t="s">
        <v>129</v>
      </c>
      <c r="D71" s="54" t="n">
        <v>3411</v>
      </c>
      <c r="E71" s="54" t="n">
        <v>3457</v>
      </c>
      <c r="F71" s="65" t="n">
        <f aca="false">IF(E71="","",D71-E71)</f>
        <v>-46</v>
      </c>
      <c r="G71" s="54" t="n">
        <v>3812</v>
      </c>
      <c r="H71" s="54" t="n">
        <v>3805</v>
      </c>
      <c r="I71" s="65" t="n">
        <f aca="false">IF(H71="","",G71-H71)</f>
        <v>7</v>
      </c>
      <c r="J71" s="55" t="n">
        <f aca="false">IF(OR(D71="",D71+G71=0),"",D71/(D71+G71))</f>
        <v>0.47224145092067</v>
      </c>
      <c r="K71" s="55" t="n">
        <f aca="false">IF(E71="","",E71/(E71+H71))</f>
        <v>0.476039658496282</v>
      </c>
      <c r="L71" s="66" t="n">
        <f aca="false">IF(OR(K71="",J71=""),"",(J71-K71)*100)</f>
        <v>-0.379820757561189</v>
      </c>
      <c r="M71" s="36" t="n">
        <v>1.86802980554935</v>
      </c>
      <c r="N71" s="36" t="n">
        <v>2.07645439039877</v>
      </c>
      <c r="O71" s="36" t="n">
        <f aca="false">SQRT(M71^2+N71^2)</f>
        <v>2.79306251090574</v>
      </c>
      <c r="P71" s="55" t="n">
        <f aca="false">IF(J71="","",MAX(0,J71-1.96*O71/100))</f>
        <v>0.417497425706918</v>
      </c>
      <c r="Q71" s="55" t="n">
        <f aca="false">IF(J71="","",MIN(1,J71+1.96*O71/100))</f>
        <v>0.526985476134423</v>
      </c>
      <c r="R71" s="32" t="str">
        <f aca="false">IF(L71="","",IF(ABS(L71)&lt;=O71,"Yes","No"))</f>
        <v>Yes</v>
      </c>
      <c r="S71" s="32" t="str">
        <f aca="false">IF(L71="","",IF(ABS(L71)&lt;=1.96*O71,"Yes","No"))</f>
        <v>Yes</v>
      </c>
      <c r="T71" s="54" t="n">
        <f aca="false">IF(D71="","",ROUND(SQRT(((D71+G71)*O71/100)^2+(J71*(D71+G71)*0.06406)^2),0))</f>
        <v>297</v>
      </c>
      <c r="U71" s="32"/>
    </row>
    <row r="72" customFormat="false" ht="15" hidden="false" customHeight="false" outlineLevel="0" collapsed="false">
      <c r="A72" s="32" t="s">
        <v>188</v>
      </c>
      <c r="B72" s="32" t="s">
        <v>206</v>
      </c>
      <c r="C72" s="32" t="s">
        <v>129</v>
      </c>
      <c r="D72" s="54" t="n">
        <v>1942</v>
      </c>
      <c r="E72" s="54" t="n">
        <v>2006</v>
      </c>
      <c r="F72" s="65" t="n">
        <f aca="false">IF(E72="","",D72-E72)</f>
        <v>-64</v>
      </c>
      <c r="G72" s="54" t="n">
        <v>4005</v>
      </c>
      <c r="H72" s="54" t="n">
        <v>4057</v>
      </c>
      <c r="I72" s="65" t="n">
        <f aca="false">IF(H72="","",G72-H72)</f>
        <v>-52</v>
      </c>
      <c r="J72" s="55" t="n">
        <f aca="false">IF(OR(D72="",D72+G72=0),"",D72/(D72+G72))</f>
        <v>0.326551202286867</v>
      </c>
      <c r="K72" s="55" t="n">
        <f aca="false">IF(E72="","",E72/(E72+H72))</f>
        <v>0.330859310572324</v>
      </c>
      <c r="L72" s="66" t="n">
        <f aca="false">IF(OR(K72="",J72=""),"",(J72-K72)*100)</f>
        <v>-0.430810828545658</v>
      </c>
      <c r="M72" s="36" t="n">
        <v>1.86802980554935</v>
      </c>
      <c r="N72" s="36" t="n">
        <v>2.07645439039877</v>
      </c>
      <c r="O72" s="36" t="n">
        <f aca="false">SQRT(M72^2+N72^2)</f>
        <v>2.79306251090574</v>
      </c>
      <c r="P72" s="55" t="n">
        <f aca="false">IF(J72="","",MAX(0,J72-1.96*O72/100))</f>
        <v>0.271807177073115</v>
      </c>
      <c r="Q72" s="55" t="n">
        <f aca="false">IF(J72="","",MIN(1,J72+1.96*O72/100))</f>
        <v>0.38129522750062</v>
      </c>
      <c r="R72" s="32" t="str">
        <f aca="false">IF(L72="","",IF(ABS(L72)&lt;=O72,"Yes","No"))</f>
        <v>Yes</v>
      </c>
      <c r="S72" s="32" t="str">
        <f aca="false">IF(L72="","",IF(ABS(L72)&lt;=1.96*O72,"Yes","No"))</f>
        <v>Yes</v>
      </c>
      <c r="T72" s="54" t="n">
        <f aca="false">IF(D72="","",ROUND(SQRT(((D72+G72)*O72/100)^2+(J72*(D72+G72)*0.06406)^2),0))</f>
        <v>208</v>
      </c>
      <c r="U72" s="32"/>
    </row>
    <row r="73" customFormat="false" ht="15" hidden="false" customHeight="false" outlineLevel="0" collapsed="false">
      <c r="A73" s="32" t="s">
        <v>188</v>
      </c>
      <c r="B73" s="32" t="s">
        <v>207</v>
      </c>
      <c r="C73" s="32" t="s">
        <v>129</v>
      </c>
      <c r="D73" s="54" t="n">
        <v>1548</v>
      </c>
      <c r="E73" s="54" t="n">
        <v>1596</v>
      </c>
      <c r="F73" s="65" t="n">
        <f aca="false">IF(E73="","",D73-E73)</f>
        <v>-48</v>
      </c>
      <c r="G73" s="54" t="n">
        <v>1619</v>
      </c>
      <c r="H73" s="54" t="n">
        <v>1664</v>
      </c>
      <c r="I73" s="65" t="n">
        <f aca="false">IF(H73="","",G73-H73)</f>
        <v>-45</v>
      </c>
      <c r="J73" s="55" t="n">
        <f aca="false">IF(OR(D73="",D73+G73=0),"",D73/(D73+G73))</f>
        <v>0.488790653615409</v>
      </c>
      <c r="K73" s="55" t="n">
        <f aca="false">IF(E73="","",E73/(E73+H73))</f>
        <v>0.489570552147239</v>
      </c>
      <c r="L73" s="66" t="n">
        <f aca="false">IF(OR(K73="",J73=""),"",(J73-K73)*100)</f>
        <v>-0.0779898531830359</v>
      </c>
      <c r="M73" s="36" t="n">
        <v>2.37002691403454</v>
      </c>
      <c r="N73" s="36" t="n">
        <v>2.07645439039877</v>
      </c>
      <c r="O73" s="36" t="n">
        <f aca="false">SQRT(M73^2+N73^2)</f>
        <v>3.15098245134028</v>
      </c>
      <c r="P73" s="55" t="n">
        <f aca="false">IF(J73="","",MAX(0,J73-1.96*O73/100))</f>
        <v>0.427031397569139</v>
      </c>
      <c r="Q73" s="55" t="n">
        <f aca="false">IF(J73="","",MIN(1,J73+1.96*O73/100))</f>
        <v>0.550549909661679</v>
      </c>
      <c r="R73" s="32" t="str">
        <f aca="false">IF(L73="","",IF(ABS(L73)&lt;=O73,"Yes","No"))</f>
        <v>Yes</v>
      </c>
      <c r="S73" s="32" t="str">
        <f aca="false">IF(L73="","",IF(ABS(L73)&lt;=1.96*O73,"Yes","No"))</f>
        <v>Yes</v>
      </c>
      <c r="T73" s="54" t="n">
        <f aca="false">IF(D73="","",ROUND(SQRT(((D73+G73)*O73/100)^2+(J73*(D73+G73)*0.07048)^2),0))</f>
        <v>148</v>
      </c>
      <c r="U73" s="32"/>
    </row>
    <row r="74" customFormat="false" ht="15" hidden="false" customHeight="false" outlineLevel="0" collapsed="false">
      <c r="A74" s="32" t="s">
        <v>188</v>
      </c>
      <c r="B74" s="32" t="s">
        <v>208</v>
      </c>
      <c r="C74" s="32" t="s">
        <v>129</v>
      </c>
      <c r="D74" s="54" t="n">
        <v>869</v>
      </c>
      <c r="E74" s="54" t="n">
        <v>847</v>
      </c>
      <c r="F74" s="65" t="n">
        <f aca="false">IF(E74="","",D74-E74)</f>
        <v>22</v>
      </c>
      <c r="G74" s="54" t="n">
        <v>906</v>
      </c>
      <c r="H74" s="54" t="n">
        <v>889</v>
      </c>
      <c r="I74" s="65" t="n">
        <f aca="false">IF(H74="","",G74-H74)</f>
        <v>17</v>
      </c>
      <c r="J74" s="55" t="n">
        <f aca="false">IF(OR(D74="",D74+G74=0),"",D74/(D74+G74))</f>
        <v>0.489577464788732</v>
      </c>
      <c r="K74" s="55" t="n">
        <f aca="false">IF(E74="","",E74/(E74+H74))</f>
        <v>0.487903225806452</v>
      </c>
      <c r="L74" s="66" t="n">
        <f aca="false">IF(OR(K74="",J74=""),"",(J74-K74)*100)</f>
        <v>0.167423898228075</v>
      </c>
      <c r="M74" s="36" t="n">
        <v>2.37002691403454</v>
      </c>
      <c r="N74" s="36" t="n">
        <v>2.07645439039877</v>
      </c>
      <c r="O74" s="36" t="n">
        <f aca="false">SQRT(M74^2+N74^2)</f>
        <v>3.15098245134028</v>
      </c>
      <c r="P74" s="55" t="n">
        <f aca="false">IF(J74="","",MAX(0,J74-1.96*O74/100))</f>
        <v>0.427818208742463</v>
      </c>
      <c r="Q74" s="55" t="n">
        <f aca="false">IF(J74="","",MIN(1,J74+1.96*O74/100))</f>
        <v>0.551336720835002</v>
      </c>
      <c r="R74" s="32" t="str">
        <f aca="false">IF(L74="","",IF(ABS(L74)&lt;=O74,"Yes","No"))</f>
        <v>Yes</v>
      </c>
      <c r="S74" s="32" t="str">
        <f aca="false">IF(L74="","",IF(ABS(L74)&lt;=1.96*O74,"Yes","No"))</f>
        <v>Yes</v>
      </c>
      <c r="T74" s="54" t="n">
        <f aca="false">IF(D74="","",ROUND(SQRT(((D74+G74)*O74/100)^2+(J74*(D74+G74)*0.07048)^2),0))</f>
        <v>83</v>
      </c>
      <c r="U74" s="32"/>
    </row>
    <row r="75" customFormat="false" ht="15" hidden="false" customHeight="false" outlineLevel="0" collapsed="false">
      <c r="A75" s="32" t="s">
        <v>188</v>
      </c>
      <c r="B75" s="32" t="s">
        <v>209</v>
      </c>
      <c r="C75" s="32" t="s">
        <v>129</v>
      </c>
      <c r="D75" s="54" t="n">
        <v>2741</v>
      </c>
      <c r="E75" s="54" t="n">
        <v>2573</v>
      </c>
      <c r="F75" s="65" t="n">
        <f aca="false">IF(E75="","",D75-E75)</f>
        <v>168</v>
      </c>
      <c r="G75" s="54" t="n">
        <v>2963</v>
      </c>
      <c r="H75" s="54" t="n">
        <v>3023</v>
      </c>
      <c r="I75" s="65" t="n">
        <f aca="false">IF(H75="","",G75-H75)</f>
        <v>-60</v>
      </c>
      <c r="J75" s="55" t="n">
        <f aca="false">IF(OR(D75="",D75+G75=0),"",D75/(D75+G75))</f>
        <v>0.480539971949509</v>
      </c>
      <c r="K75" s="55" t="n">
        <f aca="false">IF(E75="","",E75/(E75+H75))</f>
        <v>0.459792709077913</v>
      </c>
      <c r="L75" s="66" t="n">
        <f aca="false">IF(OR(K75="",J75=""),"",(J75-K75)*100)</f>
        <v>2.07472628715963</v>
      </c>
      <c r="M75" s="36" t="n">
        <v>1.86802980554935</v>
      </c>
      <c r="N75" s="36" t="n">
        <v>2.07645439039877</v>
      </c>
      <c r="O75" s="36" t="n">
        <f aca="false">SQRT(M75^2+N75^2)</f>
        <v>2.79306251090574</v>
      </c>
      <c r="P75" s="55" t="n">
        <f aca="false">IF(J75="","",MAX(0,J75-1.96*O75/100))</f>
        <v>0.425795946735757</v>
      </c>
      <c r="Q75" s="55" t="n">
        <f aca="false">IF(J75="","",MIN(1,J75+1.96*O75/100))</f>
        <v>0.535283997163262</v>
      </c>
      <c r="R75" s="32" t="str">
        <f aca="false">IF(L75="","",IF(ABS(L75)&lt;=O75,"Yes","No"))</f>
        <v>Yes</v>
      </c>
      <c r="S75" s="32" t="str">
        <f aca="false">IF(L75="","",IF(ABS(L75)&lt;=1.96*O75,"Yes","No"))</f>
        <v>Yes</v>
      </c>
      <c r="T75" s="54" t="n">
        <f aca="false">IF(D75="","",ROUND(SQRT(((D75+G75)*O75/100)^2+(J75*(D75+G75)*0.06406)^2),0))</f>
        <v>237</v>
      </c>
      <c r="U75" s="32"/>
    </row>
    <row r="76" customFormat="false" ht="15" hidden="false" customHeight="false" outlineLevel="0" collapsed="false">
      <c r="A76" s="32" t="s">
        <v>188</v>
      </c>
      <c r="B76" s="32" t="s">
        <v>210</v>
      </c>
      <c r="C76" s="32" t="s">
        <v>129</v>
      </c>
      <c r="D76" s="54" t="n">
        <v>6982</v>
      </c>
      <c r="E76" s="54" t="n">
        <v>6974</v>
      </c>
      <c r="F76" s="65" t="n">
        <f aca="false">IF(E76="","",D76-E76)</f>
        <v>8</v>
      </c>
      <c r="G76" s="54" t="n">
        <v>6812</v>
      </c>
      <c r="H76" s="54" t="n">
        <v>6736</v>
      </c>
      <c r="I76" s="65" t="n">
        <f aca="false">IF(H76="","",G76-H76)</f>
        <v>76</v>
      </c>
      <c r="J76" s="55" t="n">
        <f aca="false">IF(OR(D76="",D76+G76=0),"",D76/(D76+G76))</f>
        <v>0.506162099463535</v>
      </c>
      <c r="K76" s="55" t="n">
        <f aca="false">IF(E76="","",E76/(E76+H76))</f>
        <v>0.508679795769511</v>
      </c>
      <c r="L76" s="66" t="n">
        <f aca="false">IF(OR(K76="",J76=""),"",(J76-K76)*100)</f>
        <v>-0.251769630597642</v>
      </c>
      <c r="M76" s="36" t="n">
        <v>1.86802980554935</v>
      </c>
      <c r="N76" s="36" t="n">
        <v>2.07645439039877</v>
      </c>
      <c r="O76" s="36" t="n">
        <f aca="false">SQRT(M76^2+N76^2)</f>
        <v>2.79306251090574</v>
      </c>
      <c r="P76" s="55" t="n">
        <f aca="false">IF(J76="","",MAX(0,J76-1.96*O76/100))</f>
        <v>0.451418074249782</v>
      </c>
      <c r="Q76" s="55" t="n">
        <f aca="false">IF(J76="","",MIN(1,J76+1.96*O76/100))</f>
        <v>0.560906124677287</v>
      </c>
      <c r="R76" s="32" t="str">
        <f aca="false">IF(L76="","",IF(ABS(L76)&lt;=O76,"Yes","No"))</f>
        <v>Yes</v>
      </c>
      <c r="S76" s="32" t="str">
        <f aca="false">IF(L76="","",IF(ABS(L76)&lt;=1.96*O76,"Yes","No"))</f>
        <v>Yes</v>
      </c>
      <c r="T76" s="54" t="n">
        <f aca="false">IF(D76="","",ROUND(SQRT(((D76+G76)*O76/100)^2+(J76*(D76+G76)*0.06406)^2),0))</f>
        <v>590</v>
      </c>
      <c r="U76" s="32"/>
    </row>
    <row r="77" customFormat="false" ht="15" hidden="false" customHeight="false" outlineLevel="0" collapsed="false">
      <c r="A77" s="32" t="s">
        <v>188</v>
      </c>
      <c r="B77" s="32" t="s">
        <v>211</v>
      </c>
      <c r="C77" s="32" t="s">
        <v>129</v>
      </c>
      <c r="D77" s="54" t="n">
        <v>672</v>
      </c>
      <c r="E77" s="54" t="n">
        <v>703</v>
      </c>
      <c r="F77" s="65" t="n">
        <f aca="false">IF(E77="","",D77-E77)</f>
        <v>-31</v>
      </c>
      <c r="G77" s="54" t="n">
        <v>1173</v>
      </c>
      <c r="H77" s="54" t="n">
        <v>1180</v>
      </c>
      <c r="I77" s="65" t="n">
        <f aca="false">IF(H77="","",G77-H77)</f>
        <v>-7</v>
      </c>
      <c r="J77" s="55" t="n">
        <f aca="false">IF(OR(D77="",D77+G77=0),"",D77/(D77+G77))</f>
        <v>0.364227642276423</v>
      </c>
      <c r="K77" s="55" t="n">
        <f aca="false">IF(E77="","",E77/(E77+H77))</f>
        <v>0.373340414232608</v>
      </c>
      <c r="L77" s="66" t="n">
        <f aca="false">IF(OR(K77="",J77=""),"",(J77-K77)*100)</f>
        <v>-0.911277195618476</v>
      </c>
      <c r="M77" s="36" t="n">
        <v>2.37002691403454</v>
      </c>
      <c r="N77" s="36" t="n">
        <v>2.07645439039877</v>
      </c>
      <c r="O77" s="36" t="n">
        <f aca="false">SQRT(M77^2+N77^2)</f>
        <v>3.15098245134028</v>
      </c>
      <c r="P77" s="55" t="n">
        <f aca="false">IF(J77="","",MAX(0,J77-1.96*O77/100))</f>
        <v>0.302468386230153</v>
      </c>
      <c r="Q77" s="55" t="n">
        <f aca="false">IF(J77="","",MIN(1,J77+1.96*O77/100))</f>
        <v>0.425986898322692</v>
      </c>
      <c r="R77" s="32" t="str">
        <f aca="false">IF(L77="","",IF(ABS(L77)&lt;=O77,"Yes","No"))</f>
        <v>Yes</v>
      </c>
      <c r="S77" s="32" t="str">
        <f aca="false">IF(L77="","",IF(ABS(L77)&lt;=1.96*O77,"Yes","No"))</f>
        <v>Yes</v>
      </c>
      <c r="T77" s="54" t="n">
        <f aca="false">IF(D77="","",ROUND(SQRT(((D77+G77)*O77/100)^2+(J77*(D77+G77)*0.07048)^2),0))</f>
        <v>75</v>
      </c>
      <c r="U77" s="32"/>
    </row>
    <row r="78" customFormat="false" ht="15" hidden="false" customHeight="false" outlineLevel="0" collapsed="false">
      <c r="A78" s="32" t="s">
        <v>188</v>
      </c>
      <c r="B78" s="32" t="s">
        <v>212</v>
      </c>
      <c r="C78" s="32" t="s">
        <v>129</v>
      </c>
      <c r="D78" s="54" t="n">
        <v>1282</v>
      </c>
      <c r="E78" s="54" t="n">
        <v>1361</v>
      </c>
      <c r="F78" s="65" t="n">
        <f aca="false">IF(E78="","",D78-E78)</f>
        <v>-79</v>
      </c>
      <c r="G78" s="54" t="n">
        <v>2668</v>
      </c>
      <c r="H78" s="54" t="n">
        <v>2561</v>
      </c>
      <c r="I78" s="65" t="n">
        <f aca="false">IF(H78="","",G78-H78)</f>
        <v>107</v>
      </c>
      <c r="J78" s="55" t="n">
        <f aca="false">IF(OR(D78="",D78+G78=0),"",D78/(D78+G78))</f>
        <v>0.324556962025317</v>
      </c>
      <c r="K78" s="55" t="n">
        <f aca="false">IF(E78="","",E78/(E78+H78))</f>
        <v>0.347016828148904</v>
      </c>
      <c r="L78" s="66" t="n">
        <f aca="false">IF(OR(K78="",J78=""),"",(J78-K78)*100)</f>
        <v>-2.24598661235871</v>
      </c>
      <c r="M78" s="36" t="n">
        <v>1.86802980554935</v>
      </c>
      <c r="N78" s="36" t="n">
        <v>2.07645439039877</v>
      </c>
      <c r="O78" s="36" t="n">
        <f aca="false">SQRT(M78^2+N78^2)</f>
        <v>2.79306251090574</v>
      </c>
      <c r="P78" s="55" t="n">
        <f aca="false">IF(J78="","",MAX(0,J78-1.96*O78/100))</f>
        <v>0.269812936811564</v>
      </c>
      <c r="Q78" s="55" t="n">
        <f aca="false">IF(J78="","",MIN(1,J78+1.96*O78/100))</f>
        <v>0.379300987239069</v>
      </c>
      <c r="R78" s="32" t="str">
        <f aca="false">IF(L78="","",IF(ABS(L78)&lt;=O78,"Yes","No"))</f>
        <v>Yes</v>
      </c>
      <c r="S78" s="32" t="str">
        <f aca="false">IF(L78="","",IF(ABS(L78)&lt;=1.96*O78,"Yes","No"))</f>
        <v>Yes</v>
      </c>
      <c r="T78" s="54" t="n">
        <f aca="false">IF(D78="","",ROUND(SQRT(((D78+G78)*O78/100)^2+(J78*(D78+G78)*0.06406)^2),0))</f>
        <v>138</v>
      </c>
      <c r="U78" s="32"/>
    </row>
    <row r="79" customFormat="false" ht="15" hidden="false" customHeight="false" outlineLevel="0" collapsed="false">
      <c r="A79" s="32" t="s">
        <v>188</v>
      </c>
      <c r="B79" s="32" t="s">
        <v>213</v>
      </c>
      <c r="C79" s="32" t="s">
        <v>129</v>
      </c>
      <c r="D79" s="54" t="n">
        <v>79</v>
      </c>
      <c r="E79" s="54" t="n">
        <v>92</v>
      </c>
      <c r="F79" s="65" t="n">
        <f aca="false">IF(E79="","",D79-E79)</f>
        <v>-13</v>
      </c>
      <c r="G79" s="54" t="n">
        <v>170</v>
      </c>
      <c r="H79" s="54" t="n">
        <v>167</v>
      </c>
      <c r="I79" s="65" t="n">
        <f aca="false">IF(H79="","",G79-H79)</f>
        <v>3</v>
      </c>
      <c r="J79" s="55" t="n">
        <f aca="false">IF(OR(D79="",D79+G79=0),"",D79/(D79+G79))</f>
        <v>0.317269076305221</v>
      </c>
      <c r="K79" s="55" t="n">
        <f aca="false">IF(E79="","",E79/(E79+H79))</f>
        <v>0.355212355212355</v>
      </c>
      <c r="L79" s="66" t="n">
        <f aca="false">IF(OR(K79="",J79=""),"",(J79-K79)*100)</f>
        <v>-3.79432789071343</v>
      </c>
      <c r="M79" s="36" t="n">
        <v>3.65235826718192</v>
      </c>
      <c r="N79" s="36" t="n">
        <v>2.07645439039877</v>
      </c>
      <c r="O79" s="36" t="n">
        <f aca="false">SQRT(M79^2+N79^2)</f>
        <v>4.20135498943596</v>
      </c>
      <c r="P79" s="55" t="n">
        <f aca="false">IF(J79="","",MAX(0,J79-1.96*O79/100))</f>
        <v>0.234922518512276</v>
      </c>
      <c r="Q79" s="55" t="n">
        <f aca="false">IF(J79="","",MIN(1,J79+1.96*O79/100))</f>
        <v>0.399615634098166</v>
      </c>
      <c r="R79" s="32" t="str">
        <f aca="false">IF(L79="","",IF(ABS(L79)&lt;=O79,"Yes","No"))</f>
        <v>Yes</v>
      </c>
      <c r="S79" s="32" t="str">
        <f aca="false">IF(L79="","",IF(ABS(L79)&lt;=1.96*O79,"Yes","No"))</f>
        <v>Yes</v>
      </c>
      <c r="T79" s="54" t="n">
        <f aca="false">IF(D79="","",ROUND(SQRT(((D79+G79)*O79/100)^2+(J79*(D79+G79)*0.09173)^2),0))</f>
        <v>13</v>
      </c>
      <c r="U79" s="32"/>
    </row>
    <row r="80" customFormat="false" ht="15" hidden="false" customHeight="false" outlineLevel="0" collapsed="false">
      <c r="A80" s="32" t="s">
        <v>188</v>
      </c>
      <c r="B80" s="32" t="s">
        <v>214</v>
      </c>
      <c r="C80" s="32" t="s">
        <v>129</v>
      </c>
      <c r="D80" s="54" t="n">
        <v>331</v>
      </c>
      <c r="E80" s="54" t="n">
        <v>335</v>
      </c>
      <c r="F80" s="65" t="n">
        <f aca="false">IF(E80="","",D80-E80)</f>
        <v>-4</v>
      </c>
      <c r="G80" s="54" t="n">
        <v>601</v>
      </c>
      <c r="H80" s="54" t="n">
        <v>581</v>
      </c>
      <c r="I80" s="65" t="n">
        <f aca="false">IF(H80="","",G80-H80)</f>
        <v>20</v>
      </c>
      <c r="J80" s="55" t="n">
        <f aca="false">IF(OR(D80="",D80+G80=0),"",D80/(D80+G80))</f>
        <v>0.355150214592275</v>
      </c>
      <c r="K80" s="55" t="n">
        <f aca="false">IF(E80="","",E80/(E80+H80))</f>
        <v>0.365720524017467</v>
      </c>
      <c r="L80" s="66" t="n">
        <f aca="false">IF(OR(K80="",J80=""),"",(J80-K80)*100)</f>
        <v>-1.05703094251925</v>
      </c>
      <c r="M80" s="36" t="n">
        <v>3.65235826718192</v>
      </c>
      <c r="N80" s="36" t="n">
        <v>2.07645439039877</v>
      </c>
      <c r="O80" s="36" t="n">
        <f aca="false">SQRT(M80^2+N80^2)</f>
        <v>4.20135498943596</v>
      </c>
      <c r="P80" s="55" t="n">
        <f aca="false">IF(J80="","",MAX(0,J80-1.96*O80/100))</f>
        <v>0.27280365679933</v>
      </c>
      <c r="Q80" s="55" t="n">
        <f aca="false">IF(J80="","",MIN(1,J80+1.96*O80/100))</f>
        <v>0.437496772385219</v>
      </c>
      <c r="R80" s="32" t="str">
        <f aca="false">IF(L80="","",IF(ABS(L80)&lt;=O80,"Yes","No"))</f>
        <v>Yes</v>
      </c>
      <c r="S80" s="32" t="str">
        <f aca="false">IF(L80="","",IF(ABS(L80)&lt;=1.96*O80,"Yes","No"))</f>
        <v>Yes</v>
      </c>
      <c r="T80" s="54" t="n">
        <f aca="false">IF(D80="","",ROUND(SQRT(((D80+G80)*O80/100)^2+(J80*(D80+G80)*0.09173)^2),0))</f>
        <v>50</v>
      </c>
      <c r="U80" s="32"/>
    </row>
    <row r="81" customFormat="false" ht="15" hidden="false" customHeight="false" outlineLevel="0" collapsed="false">
      <c r="A81" s="32" t="s">
        <v>188</v>
      </c>
      <c r="B81" s="32" t="s">
        <v>215</v>
      </c>
      <c r="C81" s="32" t="s">
        <v>129</v>
      </c>
      <c r="D81" s="54" t="n">
        <v>212</v>
      </c>
      <c r="E81" s="54" t="n">
        <v>210</v>
      </c>
      <c r="F81" s="65" t="n">
        <f aca="false">IF(E81="","",D81-E81)</f>
        <v>2</v>
      </c>
      <c r="G81" s="54" t="n">
        <v>302</v>
      </c>
      <c r="H81" s="54" t="n">
        <v>309</v>
      </c>
      <c r="I81" s="65" t="n">
        <f aca="false">IF(H81="","",G81-H81)</f>
        <v>-7</v>
      </c>
      <c r="J81" s="55" t="n">
        <f aca="false">IF(OR(D81="",D81+G81=0),"",D81/(D81+G81))</f>
        <v>0.412451361867704</v>
      </c>
      <c r="K81" s="55" t="n">
        <f aca="false">IF(E81="","",E81/(E81+H81))</f>
        <v>0.404624277456647</v>
      </c>
      <c r="L81" s="66" t="n">
        <f aca="false">IF(OR(K81="",J81=""),"",(J81-K81)*100)</f>
        <v>0.782708441105684</v>
      </c>
      <c r="M81" s="36" t="n">
        <v>3.65235826718192</v>
      </c>
      <c r="N81" s="36" t="n">
        <v>2.07645439039877</v>
      </c>
      <c r="O81" s="36" t="n">
        <f aca="false">SQRT(M81^2+N81^2)</f>
        <v>4.20135498943596</v>
      </c>
      <c r="P81" s="55" t="n">
        <f aca="false">IF(J81="","",MAX(0,J81-1.96*O81/100))</f>
        <v>0.33010480407476</v>
      </c>
      <c r="Q81" s="55" t="n">
        <f aca="false">IF(J81="","",MIN(1,J81+1.96*O81/100))</f>
        <v>0.494797919660649</v>
      </c>
      <c r="R81" s="32" t="str">
        <f aca="false">IF(L81="","",IF(ABS(L81)&lt;=O81,"Yes","No"))</f>
        <v>Yes</v>
      </c>
      <c r="S81" s="32" t="str">
        <f aca="false">IF(L81="","",IF(ABS(L81)&lt;=1.96*O81,"Yes","No"))</f>
        <v>Yes</v>
      </c>
      <c r="T81" s="54" t="n">
        <f aca="false">IF(D81="","",ROUND(SQRT(((D81+G81)*O81/100)^2+(J81*(D81+G81)*0.09173)^2),0))</f>
        <v>29</v>
      </c>
      <c r="U81" s="32"/>
    </row>
    <row r="82" customFormat="false" ht="15" hidden="false" customHeight="false" outlineLevel="0" collapsed="false">
      <c r="A82" s="32" t="s">
        <v>188</v>
      </c>
      <c r="B82" s="32" t="s">
        <v>216</v>
      </c>
      <c r="C82" s="32" t="s">
        <v>129</v>
      </c>
      <c r="D82" s="54" t="n">
        <v>320</v>
      </c>
      <c r="E82" s="54" t="n">
        <v>331</v>
      </c>
      <c r="F82" s="65" t="n">
        <f aca="false">IF(E82="","",D82-E82)</f>
        <v>-11</v>
      </c>
      <c r="G82" s="54" t="n">
        <v>452</v>
      </c>
      <c r="H82" s="54" t="n">
        <v>458</v>
      </c>
      <c r="I82" s="65" t="n">
        <f aca="false">IF(H82="","",G82-H82)</f>
        <v>-6</v>
      </c>
      <c r="J82" s="55" t="n">
        <f aca="false">IF(OR(D82="",D82+G82=0),"",D82/(D82+G82))</f>
        <v>0.414507772020725</v>
      </c>
      <c r="K82" s="55" t="n">
        <f aca="false">IF(E82="","",E82/(E82+H82))</f>
        <v>0.419518377693283</v>
      </c>
      <c r="L82" s="66" t="n">
        <f aca="false">IF(OR(K82="",J82=""),"",(J82-K82)*100)</f>
        <v>-0.501060567255729</v>
      </c>
      <c r="M82" s="36" t="n">
        <v>3.65235826718192</v>
      </c>
      <c r="N82" s="36" t="n">
        <v>2.07645439039877</v>
      </c>
      <c r="O82" s="36" t="n">
        <f aca="false">SQRT(M82^2+N82^2)</f>
        <v>4.20135498943596</v>
      </c>
      <c r="P82" s="55" t="n">
        <f aca="false">IF(J82="","",MAX(0,J82-1.96*O82/100))</f>
        <v>0.332161214227781</v>
      </c>
      <c r="Q82" s="55" t="n">
        <f aca="false">IF(J82="","",MIN(1,J82+1.96*O82/100))</f>
        <v>0.49685432981367</v>
      </c>
      <c r="R82" s="32" t="str">
        <f aca="false">IF(L82="","",IF(ABS(L82)&lt;=O82,"Yes","No"))</f>
        <v>Yes</v>
      </c>
      <c r="S82" s="32" t="str">
        <f aca="false">IF(L82="","",IF(ABS(L82)&lt;=1.96*O82,"Yes","No"))</f>
        <v>Yes</v>
      </c>
      <c r="T82" s="54" t="n">
        <f aca="false">IF(D82="","",ROUND(SQRT(((D82+G82)*O82/100)^2+(J82*(D82+G82)*0.09173)^2),0))</f>
        <v>44</v>
      </c>
      <c r="U82" s="32"/>
    </row>
    <row r="83" customFormat="false" ht="15" hidden="false" customHeight="false" outlineLevel="0" collapsed="false">
      <c r="A83" s="32" t="s">
        <v>188</v>
      </c>
      <c r="B83" s="32" t="s">
        <v>217</v>
      </c>
      <c r="C83" s="32" t="s">
        <v>129</v>
      </c>
      <c r="D83" s="54" t="n">
        <v>1177</v>
      </c>
      <c r="E83" s="54" t="n">
        <v>1242</v>
      </c>
      <c r="F83" s="65" t="n">
        <f aca="false">IF(E83="","",D83-E83)</f>
        <v>-65</v>
      </c>
      <c r="G83" s="54" t="n">
        <v>2681</v>
      </c>
      <c r="H83" s="54" t="n">
        <v>2716</v>
      </c>
      <c r="I83" s="65" t="n">
        <f aca="false">IF(H83="","",G83-H83)</f>
        <v>-35</v>
      </c>
      <c r="J83" s="55" t="n">
        <f aca="false">IF(OR(D83="",D83+G83=0),"",D83/(D83+G83))</f>
        <v>0.305080352514256</v>
      </c>
      <c r="K83" s="55" t="n">
        <f aca="false">IF(E83="","",E83/(E83+H83))</f>
        <v>0.313794845881759</v>
      </c>
      <c r="L83" s="66" t="n">
        <f aca="false">IF(OR(K83="",J83=""),"",(J83-K83)*100)</f>
        <v>-0.871449336750241</v>
      </c>
      <c r="M83" s="36" t="n">
        <v>1.86802980554935</v>
      </c>
      <c r="N83" s="36" t="n">
        <v>2.07645439039877</v>
      </c>
      <c r="O83" s="36" t="n">
        <f aca="false">SQRT(M83^2+N83^2)</f>
        <v>2.79306251090574</v>
      </c>
      <c r="P83" s="55" t="n">
        <f aca="false">IF(J83="","",MAX(0,J83-1.96*O83/100))</f>
        <v>0.250336327300504</v>
      </c>
      <c r="Q83" s="55" t="n">
        <f aca="false">IF(J83="","",MIN(1,J83+1.96*O83/100))</f>
        <v>0.359824377728009</v>
      </c>
      <c r="R83" s="32" t="str">
        <f aca="false">IF(L83="","",IF(ABS(L83)&lt;=O83,"Yes","No"))</f>
        <v>Yes</v>
      </c>
      <c r="S83" s="32" t="str">
        <f aca="false">IF(L83="","",IF(ABS(L83)&lt;=1.96*O83,"Yes","No"))</f>
        <v>Yes</v>
      </c>
      <c r="T83" s="54" t="n">
        <f aca="false">IF(D83="","",ROUND(SQRT(((D83+G83)*O83/100)^2+(J83*(D83+G83)*0.06406)^2),0))</f>
        <v>132</v>
      </c>
      <c r="U83" s="32"/>
    </row>
    <row r="84" customFormat="false" ht="15" hidden="false" customHeight="false" outlineLevel="0" collapsed="false">
      <c r="A84" s="32" t="s">
        <v>188</v>
      </c>
      <c r="B84" s="32" t="s">
        <v>218</v>
      </c>
      <c r="C84" s="32" t="s">
        <v>129</v>
      </c>
      <c r="D84" s="54" t="n">
        <v>1923</v>
      </c>
      <c r="E84" s="54" t="n">
        <v>1964</v>
      </c>
      <c r="F84" s="65" t="n">
        <f aca="false">IF(E84="","",D84-E84)</f>
        <v>-41</v>
      </c>
      <c r="G84" s="54" t="n">
        <v>2146</v>
      </c>
      <c r="H84" s="54" t="n">
        <v>2147</v>
      </c>
      <c r="I84" s="65" t="n">
        <f aca="false">IF(H84="","",G84-H84)</f>
        <v>-1</v>
      </c>
      <c r="J84" s="55" t="n">
        <f aca="false">IF(OR(D84="",D84+G84=0),"",D84/(D84+G84))</f>
        <v>0.472597689850086</v>
      </c>
      <c r="K84" s="55" t="n">
        <f aca="false">IF(E84="","",E84/(E84+H84))</f>
        <v>0.477742641693019</v>
      </c>
      <c r="L84" s="66" t="n">
        <f aca="false">IF(OR(K84="",J84=""),"",(J84-K84)*100)</f>
        <v>-0.514495184293273</v>
      </c>
      <c r="M84" s="36" t="n">
        <v>1.86802980554935</v>
      </c>
      <c r="N84" s="36" t="n">
        <v>2.07645439039877</v>
      </c>
      <c r="O84" s="36" t="n">
        <f aca="false">SQRT(M84^2+N84^2)</f>
        <v>2.79306251090574</v>
      </c>
      <c r="P84" s="55" t="n">
        <f aca="false">IF(J84="","",MAX(0,J84-1.96*O84/100))</f>
        <v>0.417853664636334</v>
      </c>
      <c r="Q84" s="55" t="n">
        <f aca="false">IF(J84="","",MIN(1,J84+1.96*O84/100))</f>
        <v>0.527341715063838</v>
      </c>
      <c r="R84" s="32" t="str">
        <f aca="false">IF(L84="","",IF(ABS(L84)&lt;=O84,"Yes","No"))</f>
        <v>Yes</v>
      </c>
      <c r="S84" s="32" t="str">
        <f aca="false">IF(L84="","",IF(ABS(L84)&lt;=1.96*O84,"Yes","No"))</f>
        <v>Yes</v>
      </c>
      <c r="T84" s="54" t="n">
        <f aca="false">IF(D84="","",ROUND(SQRT(((D84+G84)*O84/100)^2+(J84*(D84+G84)*0.06406)^2),0))</f>
        <v>168</v>
      </c>
      <c r="U84" s="32"/>
    </row>
    <row r="85" customFormat="false" ht="15" hidden="false" customHeight="false" outlineLevel="0" collapsed="false">
      <c r="A85" s="32" t="s">
        <v>188</v>
      </c>
      <c r="B85" s="32" t="s">
        <v>219</v>
      </c>
      <c r="C85" s="32" t="s">
        <v>129</v>
      </c>
      <c r="D85" s="54" t="n">
        <v>431</v>
      </c>
      <c r="E85" s="54" t="n">
        <v>416</v>
      </c>
      <c r="F85" s="65" t="n">
        <f aca="false">IF(E85="","",D85-E85)</f>
        <v>15</v>
      </c>
      <c r="G85" s="54" t="n">
        <v>630</v>
      </c>
      <c r="H85" s="54" t="n">
        <v>658</v>
      </c>
      <c r="I85" s="65" t="n">
        <f aca="false">IF(H85="","",G85-H85)</f>
        <v>-28</v>
      </c>
      <c r="J85" s="55" t="n">
        <f aca="false">IF(OR(D85="",D85+G85=0),"",D85/(D85+G85))</f>
        <v>0.4062205466541</v>
      </c>
      <c r="K85" s="55" t="n">
        <f aca="false">IF(E85="","",E85/(E85+H85))</f>
        <v>0.387337057728119</v>
      </c>
      <c r="L85" s="66" t="n">
        <f aca="false">IF(OR(K85="",J85=""),"",(J85-K85)*100)</f>
        <v>1.88834889259807</v>
      </c>
      <c r="M85" s="36" t="n">
        <v>3.65235826718192</v>
      </c>
      <c r="N85" s="36" t="n">
        <v>2.07645439039877</v>
      </c>
      <c r="O85" s="36" t="n">
        <f aca="false">SQRT(M85^2+N85^2)</f>
        <v>4.20135498943596</v>
      </c>
      <c r="P85" s="55" t="n">
        <f aca="false">IF(J85="","",MAX(0,J85-1.96*O85/100))</f>
        <v>0.323873988861155</v>
      </c>
      <c r="Q85" s="55" t="n">
        <f aca="false">IF(J85="","",MIN(1,J85+1.96*O85/100))</f>
        <v>0.488567104447045</v>
      </c>
      <c r="R85" s="32" t="str">
        <f aca="false">IF(L85="","",IF(ABS(L85)&lt;=O85,"Yes","No"))</f>
        <v>Yes</v>
      </c>
      <c r="S85" s="32" t="str">
        <f aca="false">IF(L85="","",IF(ABS(L85)&lt;=1.96*O85,"Yes","No"))</f>
        <v>Yes</v>
      </c>
      <c r="T85" s="54" t="n">
        <f aca="false">IF(D85="","",ROUND(SQRT(((D85+G85)*O85/100)^2+(J85*(D85+G85)*0.09173)^2),0))</f>
        <v>60</v>
      </c>
      <c r="U85" s="32"/>
    </row>
    <row r="86" customFormat="false" ht="15" hidden="false" customHeight="false" outlineLevel="0" collapsed="false">
      <c r="A86" s="32" t="s">
        <v>188</v>
      </c>
      <c r="B86" s="32" t="s">
        <v>180</v>
      </c>
      <c r="C86" s="32" t="s">
        <v>129</v>
      </c>
      <c r="D86" s="54" t="n">
        <v>1009</v>
      </c>
      <c r="E86" s="54" t="n">
        <v>1041</v>
      </c>
      <c r="F86" s="65" t="n">
        <f aca="false">IF(E86="","",D86-E86)</f>
        <v>-32</v>
      </c>
      <c r="G86" s="54" t="n">
        <v>2067</v>
      </c>
      <c r="H86" s="54" t="n">
        <v>2088</v>
      </c>
      <c r="I86" s="65" t="n">
        <f aca="false">IF(H86="","",G86-H86)</f>
        <v>-21</v>
      </c>
      <c r="J86" s="55" t="n">
        <f aca="false">IF(OR(D86="",D86+G86=0),"",D86/(D86+G86))</f>
        <v>0.328023407022107</v>
      </c>
      <c r="K86" s="55" t="n">
        <f aca="false">IF(E86="","",E86/(E86+H86))</f>
        <v>0.332694151486098</v>
      </c>
      <c r="L86" s="66" t="n">
        <f aca="false">IF(OR(K86="",J86=""),"",(J86-K86)*100)</f>
        <v>-0.467074446399118</v>
      </c>
      <c r="M86" s="36" t="n">
        <v>2.37002691403454</v>
      </c>
      <c r="N86" s="36" t="n">
        <v>2.07645439039877</v>
      </c>
      <c r="O86" s="36" t="n">
        <f aca="false">SQRT(M86^2+N86^2)</f>
        <v>3.15098245134028</v>
      </c>
      <c r="P86" s="55" t="n">
        <f aca="false">IF(J86="","",MAX(0,J86-1.96*O86/100))</f>
        <v>0.266264150975837</v>
      </c>
      <c r="Q86" s="55" t="n">
        <f aca="false">IF(J86="","",MIN(1,J86+1.96*O86/100))</f>
        <v>0.389782663068376</v>
      </c>
      <c r="R86" s="32" t="str">
        <f aca="false">IF(L86="","",IF(ABS(L86)&lt;=O86,"Yes","No"))</f>
        <v>Yes</v>
      </c>
      <c r="S86" s="32" t="str">
        <f aca="false">IF(L86="","",IF(ABS(L86)&lt;=1.96*O86,"Yes","No"))</f>
        <v>Yes</v>
      </c>
      <c r="T86" s="54" t="n">
        <f aca="false">IF(D86="","",ROUND(SQRT(((D86+G86)*O86/100)^2+(J86*(D86+G86)*0.07048)^2),0))</f>
        <v>120</v>
      </c>
      <c r="U86" s="32"/>
    </row>
    <row r="87" customFormat="false" ht="15" hidden="false" customHeight="false" outlineLevel="0" collapsed="false">
      <c r="A87" s="32" t="s">
        <v>188</v>
      </c>
      <c r="B87" s="32" t="s">
        <v>220</v>
      </c>
      <c r="C87" s="32" t="s">
        <v>129</v>
      </c>
      <c r="D87" s="54" t="n">
        <v>258</v>
      </c>
      <c r="E87" s="54" t="n">
        <v>281</v>
      </c>
      <c r="F87" s="65" t="n">
        <f aca="false">IF(E87="","",D87-E87)</f>
        <v>-23</v>
      </c>
      <c r="G87" s="54" t="n">
        <v>349</v>
      </c>
      <c r="H87" s="54" t="n">
        <v>310</v>
      </c>
      <c r="I87" s="65" t="n">
        <f aca="false">IF(H87="","",G87-H87)</f>
        <v>39</v>
      </c>
      <c r="J87" s="55" t="n">
        <f aca="false">IF(OR(D87="",D87+G87=0),"",D87/(D87+G87))</f>
        <v>0.42504118616145</v>
      </c>
      <c r="K87" s="55" t="n">
        <f aca="false">IF(E87="","",E87/(E87+H87))</f>
        <v>0.475465313028765</v>
      </c>
      <c r="L87" s="66" t="n">
        <f aca="false">IF(OR(K87="",J87=""),"",(J87-K87)*100)</f>
        <v>-5.04241268673151</v>
      </c>
      <c r="M87" s="36" t="n">
        <v>3.65235826718192</v>
      </c>
      <c r="N87" s="36" t="n">
        <v>2.07645439039877</v>
      </c>
      <c r="O87" s="36" t="n">
        <f aca="false">SQRT(M87^2+N87^2)</f>
        <v>4.20135498943596</v>
      </c>
      <c r="P87" s="55" t="n">
        <f aca="false">IF(J87="","",MAX(0,J87-1.96*O87/100))</f>
        <v>0.342694628368505</v>
      </c>
      <c r="Q87" s="55" t="n">
        <f aca="false">IF(J87="","",MIN(1,J87+1.96*O87/100))</f>
        <v>0.507387743954395</v>
      </c>
      <c r="R87" s="32" t="str">
        <f aca="false">IF(L87="","",IF(ABS(L87)&lt;=O87,"Yes","No"))</f>
        <v>No</v>
      </c>
      <c r="S87" s="32" t="str">
        <f aca="false">IF(L87="","",IF(ABS(L87)&lt;=1.96*O87,"Yes","No"))</f>
        <v>Yes</v>
      </c>
      <c r="T87" s="54" t="n">
        <f aca="false">IF(D87="","",ROUND(SQRT(((D87+G87)*O87/100)^2+(J87*(D87+G87)*0.09173)^2),0))</f>
        <v>35</v>
      </c>
      <c r="U87" s="32"/>
    </row>
    <row r="88" customFormat="false" ht="15" hidden="false" customHeight="false" outlineLevel="0" collapsed="false">
      <c r="A88" s="32" t="s">
        <v>188</v>
      </c>
      <c r="B88" s="32" t="s">
        <v>221</v>
      </c>
      <c r="C88" s="32" t="s">
        <v>129</v>
      </c>
      <c r="D88" s="54" t="n">
        <v>1737</v>
      </c>
      <c r="E88" s="54" t="n">
        <v>1847</v>
      </c>
      <c r="F88" s="65" t="n">
        <f aca="false">IF(E88="","",D88-E88)</f>
        <v>-110</v>
      </c>
      <c r="G88" s="54" t="n">
        <v>2452</v>
      </c>
      <c r="H88" s="54" t="n">
        <v>2401</v>
      </c>
      <c r="I88" s="65" t="n">
        <f aca="false">IF(H88="","",G88-H88)</f>
        <v>51</v>
      </c>
      <c r="J88" s="55" t="n">
        <f aca="false">IF(OR(D88="",D88+G88=0),"",D88/(D88+G88))</f>
        <v>0.414657436142277</v>
      </c>
      <c r="K88" s="55" t="n">
        <f aca="false">IF(E88="","",E88/(E88+H88))</f>
        <v>0.434792843691149</v>
      </c>
      <c r="L88" s="66" t="n">
        <f aca="false">IF(OR(K88="",J88=""),"",(J88-K88)*100)</f>
        <v>-2.01354075488714</v>
      </c>
      <c r="M88" s="36" t="n">
        <v>1.86802980554935</v>
      </c>
      <c r="N88" s="36" t="n">
        <v>2.07645439039877</v>
      </c>
      <c r="O88" s="36" t="n">
        <f aca="false">SQRT(M88^2+N88^2)</f>
        <v>2.79306251090574</v>
      </c>
      <c r="P88" s="55" t="n">
        <f aca="false">IF(J88="","",MAX(0,J88-1.96*O88/100))</f>
        <v>0.359913410928525</v>
      </c>
      <c r="Q88" s="55" t="n">
        <f aca="false">IF(J88="","",MIN(1,J88+1.96*O88/100))</f>
        <v>0.46940146135603</v>
      </c>
      <c r="R88" s="32" t="str">
        <f aca="false">IF(L88="","",IF(ABS(L88)&lt;=O88,"Yes","No"))</f>
        <v>Yes</v>
      </c>
      <c r="S88" s="32" t="str">
        <f aca="false">IF(L88="","",IF(ABS(L88)&lt;=1.96*O88,"Yes","No"))</f>
        <v>Yes</v>
      </c>
      <c r="T88" s="54" t="n">
        <f aca="false">IF(D88="","",ROUND(SQRT(((D88+G88)*O88/100)^2+(J88*(D88+G88)*0.06406)^2),0))</f>
        <v>161</v>
      </c>
      <c r="U88" s="32"/>
    </row>
    <row r="89" customFormat="false" ht="15" hidden="false" customHeight="false" outlineLevel="0" collapsed="false">
      <c r="A89" s="32" t="s">
        <v>188</v>
      </c>
      <c r="B89" s="32" t="s">
        <v>222</v>
      </c>
      <c r="C89" s="32" t="s">
        <v>129</v>
      </c>
      <c r="D89" s="54" t="n">
        <v>1866</v>
      </c>
      <c r="E89" s="54" t="n">
        <v>1897</v>
      </c>
      <c r="F89" s="65" t="n">
        <f aca="false">IF(E89="","",D89-E89)</f>
        <v>-31</v>
      </c>
      <c r="G89" s="54" t="n">
        <v>1540</v>
      </c>
      <c r="H89" s="54" t="n">
        <v>1538</v>
      </c>
      <c r="I89" s="65" t="n">
        <f aca="false">IF(H89="","",G89-H89)</f>
        <v>2</v>
      </c>
      <c r="J89" s="55" t="n">
        <f aca="false">IF(OR(D89="",D89+G89=0),"",D89/(D89+G89))</f>
        <v>0.547856723429243</v>
      </c>
      <c r="K89" s="55" t="n">
        <f aca="false">IF(E89="","",E89/(E89+H89))</f>
        <v>0.552256186317322</v>
      </c>
      <c r="L89" s="66" t="n">
        <f aca="false">IF(OR(K89="",J89=""),"",(J89-K89)*100)</f>
        <v>-0.439946288807913</v>
      </c>
      <c r="M89" s="36" t="n">
        <v>2.37002691403454</v>
      </c>
      <c r="N89" s="36" t="n">
        <v>2.07645439039877</v>
      </c>
      <c r="O89" s="36" t="n">
        <f aca="false">SQRT(M89^2+N89^2)</f>
        <v>3.15098245134028</v>
      </c>
      <c r="P89" s="55" t="n">
        <f aca="false">IF(J89="","",MAX(0,J89-1.96*O89/100))</f>
        <v>0.486097467382973</v>
      </c>
      <c r="Q89" s="55" t="n">
        <f aca="false">IF(J89="","",MIN(1,J89+1.96*O89/100))</f>
        <v>0.609615979475512</v>
      </c>
      <c r="R89" s="32" t="str">
        <f aca="false">IF(L89="","",IF(ABS(L89)&lt;=O89,"Yes","No"))</f>
        <v>Yes</v>
      </c>
      <c r="S89" s="32" t="str">
        <f aca="false">IF(L89="","",IF(ABS(L89)&lt;=1.96*O89,"Yes","No"))</f>
        <v>Yes</v>
      </c>
      <c r="T89" s="54" t="n">
        <f aca="false">IF(D89="","",ROUND(SQRT(((D89+G89)*O89/100)^2+(J89*(D89+G89)*0.07048)^2),0))</f>
        <v>170</v>
      </c>
      <c r="U89" s="32"/>
    </row>
    <row r="90" customFormat="false" ht="15" hidden="false" customHeight="false" outlineLevel="0" collapsed="false">
      <c r="A90" s="32" t="s">
        <v>188</v>
      </c>
      <c r="B90" s="32" t="s">
        <v>223</v>
      </c>
      <c r="C90" s="32" t="s">
        <v>129</v>
      </c>
      <c r="D90" s="54" t="n">
        <v>630</v>
      </c>
      <c r="E90" s="54" t="n">
        <v>634</v>
      </c>
      <c r="F90" s="65" t="n">
        <f aca="false">IF(E90="","",D90-E90)</f>
        <v>-4</v>
      </c>
      <c r="G90" s="54" t="n">
        <v>896</v>
      </c>
      <c r="H90" s="54" t="n">
        <v>856</v>
      </c>
      <c r="I90" s="65" t="n">
        <f aca="false">IF(H90="","",G90-H90)</f>
        <v>40</v>
      </c>
      <c r="J90" s="55" t="n">
        <f aca="false">IF(OR(D90="",D90+G90=0),"",D90/(D90+G90))</f>
        <v>0.412844036697248</v>
      </c>
      <c r="K90" s="55" t="n">
        <f aca="false">IF(E90="","",E90/(E90+H90))</f>
        <v>0.425503355704698</v>
      </c>
      <c r="L90" s="66" t="n">
        <f aca="false">IF(OR(K90="",J90=""),"",(J90-K90)*100)</f>
        <v>-1.26593190074503</v>
      </c>
      <c r="M90" s="36" t="n">
        <v>3.65235826718192</v>
      </c>
      <c r="N90" s="36" t="n">
        <v>2.07645439039877</v>
      </c>
      <c r="O90" s="36" t="n">
        <f aca="false">SQRT(M90^2+N90^2)</f>
        <v>4.20135498943596</v>
      </c>
      <c r="P90" s="55" t="n">
        <f aca="false">IF(J90="","",MAX(0,J90-1.96*O90/100))</f>
        <v>0.330497478904303</v>
      </c>
      <c r="Q90" s="55" t="n">
        <f aca="false">IF(J90="","",MIN(1,J90+1.96*O90/100))</f>
        <v>0.495190594490193</v>
      </c>
      <c r="R90" s="32" t="str">
        <f aca="false">IF(L90="","",IF(ABS(L90)&lt;=O90,"Yes","No"))</f>
        <v>Yes</v>
      </c>
      <c r="S90" s="32" t="str">
        <f aca="false">IF(L90="","",IF(ABS(L90)&lt;=1.96*O90,"Yes","No"))</f>
        <v>Yes</v>
      </c>
      <c r="T90" s="54" t="n">
        <f aca="false">IF(D90="","",ROUND(SQRT(((D90+G90)*O90/100)^2+(J90*(D90+G90)*0.09173)^2),0))</f>
        <v>86</v>
      </c>
      <c r="U90" s="32"/>
    </row>
    <row r="92" customFormat="false" ht="15" hidden="false" customHeight="false" outlineLevel="0" collapsed="false">
      <c r="A92" s="20" t="s">
        <v>351</v>
      </c>
      <c r="B92" s="67"/>
      <c r="C92" s="67"/>
      <c r="D92" s="68" t="n">
        <f aca="false">SUMIF(E2:E90,"&lt;&gt;",D2:D90)</f>
        <v>196808</v>
      </c>
      <c r="E92" s="68" t="n">
        <f aca="false">SUM(E2:E90)</f>
        <v>199626</v>
      </c>
      <c r="F92" s="69" t="n">
        <f aca="false">D92-E92</f>
        <v>-2818</v>
      </c>
      <c r="G92" s="68" t="n">
        <f aca="false">SUMIF(H2:H90,"&lt;&gt;",G2:G90)</f>
        <v>204315</v>
      </c>
      <c r="H92" s="68" t="n">
        <f aca="false">SUM(H2:H90)</f>
        <v>203688</v>
      </c>
      <c r="I92" s="69" t="n">
        <f aca="false">G92-H92</f>
        <v>627</v>
      </c>
      <c r="J92" s="70" t="n">
        <f aca="false">D92/(D92+G92)</f>
        <v>0.49064252112195</v>
      </c>
      <c r="K92" s="70" t="n">
        <f aca="false">E92/(E92+H92)</f>
        <v>0.49496422142549</v>
      </c>
      <c r="L92" s="71" t="n">
        <f aca="false">(J92-K92)*100</f>
        <v>-0.432170030353968</v>
      </c>
      <c r="M92" s="72" t="n">
        <v>0</v>
      </c>
      <c r="N92" s="72" t="n">
        <v>2.07645439039877</v>
      </c>
      <c r="O92" s="72" t="n">
        <f aca="false">SQRT(M92^2+N92^2)</f>
        <v>2.07645439039877</v>
      </c>
      <c r="P92" s="70" t="n">
        <f aca="false">J92-1.96*O92/100</f>
        <v>0.449944015070134</v>
      </c>
      <c r="Q92" s="70" t="n">
        <f aca="false">J92+1.96*O92/100</f>
        <v>0.531341027173766</v>
      </c>
      <c r="R92" s="67" t="str">
        <f aca="false">IF(ABS(L92)&lt;=O92,"Yes","No")</f>
        <v>Yes</v>
      </c>
      <c r="S92" s="67" t="str">
        <f aca="false">IF(ABS(L92)&lt;=1.96*O92,"Yes","No")</f>
        <v>Yes</v>
      </c>
      <c r="T92" s="68" t="n">
        <f aca="false">ROUND(SQRT(((D92+G92)*O92/100)^2+(J92*(D92+G92)*0.05028)^2),0)</f>
        <v>12934</v>
      </c>
    </row>
    <row r="93" customFormat="false" ht="15" hidden="false" customHeight="false" outlineLevel="0" collapsed="false">
      <c r="A93" s="20" t="s">
        <v>352</v>
      </c>
      <c r="B93" s="67"/>
      <c r="C93" s="67"/>
      <c r="D93" s="68" t="n">
        <f aca="false">SUM(D2:D90)</f>
        <v>196808</v>
      </c>
      <c r="E93" s="68"/>
      <c r="F93" s="69"/>
      <c r="G93" s="68" t="n">
        <f aca="false">SUM(G2:G90)</f>
        <v>204315</v>
      </c>
      <c r="H93" s="68"/>
      <c r="I93" s="69"/>
      <c r="J93" s="70" t="n">
        <f aca="false">D93/(D93+G93)</f>
        <v>0.49064252112195</v>
      </c>
      <c r="K93" s="70"/>
      <c r="L93" s="71"/>
      <c r="M93" s="72"/>
      <c r="N93" s="72"/>
      <c r="O93" s="72"/>
      <c r="P93" s="70"/>
      <c r="Q93" s="70"/>
      <c r="R93" s="67"/>
      <c r="S93" s="67"/>
      <c r="T93" s="68"/>
    </row>
    <row r="95" customFormat="false" ht="15" hidden="false" customHeight="false" outlineLevel="0" collapsed="false">
      <c r="A95" s="2" t="s">
        <v>353</v>
      </c>
      <c r="F95" s="73" t="n">
        <f aca="false">(SUMIF(F2:F90,"&gt;0")-SUMIF(F2:F90,"&lt;0"))/COUNT(F2:F90)</f>
        <v>71.9101123595506</v>
      </c>
    </row>
    <row r="96" customFormat="false" ht="15" hidden="false" customHeight="false" outlineLevel="0" collapsed="false">
      <c r="A96" s="2" t="s">
        <v>354</v>
      </c>
      <c r="F96" s="73" t="n">
        <f aca="false">(SUMIF(I2:I90,"&gt;0")-SUMIF(I2:I90,"&lt;0"))/COUNT(I2:I90)</f>
        <v>59.1573033707865</v>
      </c>
    </row>
    <row r="97" customFormat="false" ht="15" hidden="false" customHeight="false" outlineLevel="0" collapsed="false">
      <c r="A97" s="2" t="s">
        <v>355</v>
      </c>
      <c r="F97" s="74" t="n">
        <f aca="false">(SUMIF(L2:L90,"&gt;0")-SUMIF(L2:L90,"&lt;0"))/COUNT(L2:L90)</f>
        <v>1.5312742425537</v>
      </c>
    </row>
    <row r="98" customFormat="false" ht="15" hidden="false" customHeight="false" outlineLevel="0" collapsed="false">
      <c r="A98" s="5" t="s">
        <v>356</v>
      </c>
      <c r="F98" s="75" t="n">
        <f aca="false">SQRT(SUMSQ(L2:L90)/COUNT(L2:L90))</f>
        <v>2.00806028824963</v>
      </c>
    </row>
    <row r="99" customFormat="false" ht="15" hidden="false" customHeight="false" outlineLevel="0" collapsed="false">
      <c r="A99" s="5" t="s">
        <v>357</v>
      </c>
      <c r="F99" s="76" t="n">
        <f aca="false">L92</f>
        <v>-0.432170030353968</v>
      </c>
    </row>
    <row r="100" customFormat="false" ht="15" hidden="false" customHeight="false" outlineLevel="0" collapsed="false">
      <c r="A100" s="5" t="s">
        <v>358</v>
      </c>
      <c r="F100" s="75" t="n">
        <f aca="false">SQRT((SUMSQ(L2:L90)-2*L92*SUM(L2:L90)+COUNT(L2:L90)*L92^2)/COUNT(L2:L90))</f>
        <v>1.89280412335361</v>
      </c>
    </row>
    <row r="101" customFormat="false" ht="15" hidden="false" customHeight="false" outlineLevel="0" collapsed="false">
      <c r="A101" s="2" t="s">
        <v>359</v>
      </c>
      <c r="F101" s="77" t="n">
        <f aca="false">D92/E92-1</f>
        <v>-0.014116397663631</v>
      </c>
    </row>
    <row r="102" customFormat="false" ht="15" hidden="false" customHeight="false" outlineLevel="0" collapsed="false">
      <c r="A102" s="5" t="s">
        <v>360</v>
      </c>
      <c r="F102" s="78" t="n">
        <f aca="false">G92/H92-1</f>
        <v>0.00307823730411227</v>
      </c>
    </row>
    <row r="103" customFormat="false" ht="15" hidden="false" customHeight="false" outlineLevel="0" collapsed="false">
      <c r="A103" s="2" t="s">
        <v>361</v>
      </c>
      <c r="F103" s="77" t="n">
        <f aca="false">(D92+G92)/(E92+H92)-1</f>
        <v>-0.00543249180539229</v>
      </c>
    </row>
    <row r="104" customFormat="false" ht="15" hidden="false" customHeight="false" outlineLevel="0" collapsed="false">
      <c r="A104" s="2" t="s">
        <v>362</v>
      </c>
      <c r="F104" s="74" t="n">
        <f aca="false">AVERAGE(O2:O90)</f>
        <v>3.38439343931594</v>
      </c>
    </row>
    <row r="105" customFormat="false" ht="15" hidden="false" customHeight="false" outlineLevel="0" collapsed="false">
      <c r="A105" s="5" t="s">
        <v>363</v>
      </c>
      <c r="F105" s="79" t="n">
        <f aca="false">COUNTIF(R2:R90,"Yes")/(COUNTIF(R2:R90,"Yes")+COUNTIF(R2:R90,"No"))</f>
        <v>0.932584269662921</v>
      </c>
    </row>
    <row r="106" customFormat="false" ht="15" hidden="false" customHeight="false" outlineLevel="0" collapsed="false">
      <c r="A106" s="5" t="s">
        <v>364</v>
      </c>
      <c r="F106" s="79" t="n">
        <f aca="false">COUNTIF(S2:S90,"Yes")/(COUNTIF(S2:S90,"Yes")+COUNTIF(S2:S90,"No"))</f>
        <v>1</v>
      </c>
    </row>
    <row r="107" customFormat="false" ht="15" hidden="false" customHeight="false" outlineLevel="0" collapsed="false">
      <c r="A107" s="2" t="s">
        <v>365</v>
      </c>
      <c r="F107" s="80" t="n">
        <f aca="false">COUNTIFS(L2:L90,"&gt;=-3",L2:L90,"&lt;=3")/COUNT(L2:L90)</f>
        <v>0.853932584269663</v>
      </c>
    </row>
    <row r="108" customFormat="false" ht="15" hidden="false" customHeight="false" outlineLevel="0" collapsed="false">
      <c r="A108" s="2" t="s">
        <v>366</v>
      </c>
      <c r="F108" s="81" t="n">
        <f aca="false">COUNT(E2:E90)</f>
        <v>89</v>
      </c>
    </row>
    <row r="109" customFormat="false" ht="15" hidden="false" customHeight="false" outlineLevel="0" collapsed="false">
      <c r="A109" s="2" t="s">
        <v>367</v>
      </c>
      <c r="F109" s="81" t="n">
        <f aca="false">COUNTA(A2:A90)</f>
        <v>89</v>
      </c>
    </row>
    <row r="111" customFormat="false" ht="15" hidden="false" customHeight="false" outlineLevel="0" collapsed="false">
      <c r="U111" s="5" t="s">
        <v>104</v>
      </c>
    </row>
    <row r="112" customFormat="false" ht="28.35" hidden="false" customHeight="false" outlineLevel="0" collapsed="false">
      <c r="U112" s="64" t="s">
        <v>368</v>
      </c>
    </row>
    <row r="113" customFormat="false" ht="15" hidden="false" customHeight="false" outlineLevel="0" collapsed="false">
      <c r="U113" s="64" t="s">
        <v>369</v>
      </c>
    </row>
    <row r="114" customFormat="false" ht="55.2" hidden="false" customHeight="false" outlineLevel="0" collapsed="false">
      <c r="U114" s="64" t="s">
        <v>377</v>
      </c>
    </row>
    <row r="115" customFormat="false" ht="15" hidden="false" customHeight="false" outlineLevel="0" collapsed="false">
      <c r="U115" s="64" t="s">
        <v>371</v>
      </c>
    </row>
    <row r="116" customFormat="false" ht="28.35" hidden="false" customHeight="false" outlineLevel="0" collapsed="false">
      <c r="U116" s="64" t="s">
        <v>372</v>
      </c>
    </row>
    <row r="117" customFormat="false" ht="28.35" hidden="false" customHeight="false" outlineLevel="0" collapsed="false">
      <c r="U117" s="64" t="s">
        <v>373</v>
      </c>
    </row>
    <row r="118" customFormat="false" ht="28.35" hidden="false" customHeight="false" outlineLevel="0" collapsed="false">
      <c r="U118" s="64" t="s">
        <v>374</v>
      </c>
    </row>
    <row r="119" customFormat="false" ht="41.75" hidden="false" customHeight="false" outlineLevel="0" collapsed="false">
      <c r="U119" s="64" t="s">
        <v>375</v>
      </c>
    </row>
    <row r="120" customFormat="false" ht="15" hidden="false" customHeight="false" outlineLevel="0" collapsed="false">
      <c r="U120" s="64" t="s">
        <v>376</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77</v>
      </c>
      <c r="B1" s="8" t="s">
        <v>78</v>
      </c>
      <c r="C1" s="8" t="s">
        <v>79</v>
      </c>
      <c r="D1" s="8" t="s">
        <v>334</v>
      </c>
      <c r="E1" s="8" t="s">
        <v>335</v>
      </c>
      <c r="F1" s="8" t="s">
        <v>336</v>
      </c>
      <c r="G1" s="8" t="s">
        <v>337</v>
      </c>
      <c r="H1" s="8" t="s">
        <v>338</v>
      </c>
      <c r="I1" s="8" t="s">
        <v>339</v>
      </c>
      <c r="J1" s="8" t="s">
        <v>340</v>
      </c>
      <c r="K1" s="8" t="s">
        <v>341</v>
      </c>
      <c r="L1" s="8" t="s">
        <v>342</v>
      </c>
      <c r="M1" s="8" t="s">
        <v>343</v>
      </c>
      <c r="N1" s="8" t="s">
        <v>344</v>
      </c>
      <c r="O1" s="8" t="s">
        <v>107</v>
      </c>
      <c r="P1" s="8" t="s">
        <v>345</v>
      </c>
      <c r="Q1" s="8" t="s">
        <v>346</v>
      </c>
      <c r="R1" s="8" t="s">
        <v>347</v>
      </c>
      <c r="S1" s="8" t="s">
        <v>348</v>
      </c>
      <c r="T1" s="8" t="s">
        <v>349</v>
      </c>
      <c r="U1" s="8" t="s">
        <v>350</v>
      </c>
    </row>
    <row r="2" customFormat="false" ht="15" hidden="false" customHeight="false" outlineLevel="0" collapsed="false">
      <c r="A2" s="32" t="s">
        <v>127</v>
      </c>
      <c r="B2" s="32" t="s">
        <v>128</v>
      </c>
      <c r="C2" s="32" t="s">
        <v>129</v>
      </c>
      <c r="D2" s="54" t="n">
        <v>150</v>
      </c>
      <c r="E2" s="54" t="n">
        <v>181</v>
      </c>
      <c r="F2" s="65" t="n">
        <f aca="false">IF(E2="","",D2-E2)</f>
        <v>-31</v>
      </c>
      <c r="G2" s="54" t="n">
        <v>288</v>
      </c>
      <c r="H2" s="54" t="n">
        <v>285</v>
      </c>
      <c r="I2" s="65" t="n">
        <f aca="false">IF(H2="","",G2-H2)</f>
        <v>3</v>
      </c>
      <c r="J2" s="55" t="n">
        <f aca="false">IF(OR(D2="",D2+G2=0),"",D2/(D2+G2))</f>
        <v>0.342465753424658</v>
      </c>
      <c r="K2" s="55" t="n">
        <f aca="false">IF(E2="","",E2/(E2+H2))</f>
        <v>0.388412017167382</v>
      </c>
      <c r="L2" s="66" t="n">
        <f aca="false">IF(OR(K2="",J2=""),"",(J2-K2)*100)</f>
        <v>-4.59462637427245</v>
      </c>
      <c r="M2" s="36" t="n">
        <v>3.74498218247512</v>
      </c>
      <c r="N2" s="36" t="n">
        <v>2.07636327875789</v>
      </c>
      <c r="O2" s="36" t="n">
        <f aca="false">SQRT(M2^2+N2^2)</f>
        <v>4.28207613342294</v>
      </c>
      <c r="P2" s="55" t="n">
        <f aca="false">IF(J2="","",MAX(0,J2-1.96*O2/100))</f>
        <v>0.258537061209568</v>
      </c>
      <c r="Q2" s="55" t="n">
        <f aca="false">IF(J2="","",MIN(1,J2+1.96*O2/100))</f>
        <v>0.426394445639747</v>
      </c>
      <c r="R2" s="32" t="str">
        <f aca="false">IF(L2="","",IF(ABS(L2)&lt;=O2,"Yes","No"))</f>
        <v>No</v>
      </c>
      <c r="S2" s="32" t="str">
        <f aca="false">IF(L2="","",IF(ABS(L2)&lt;=1.96*O2,"Yes","No"))</f>
        <v>Yes</v>
      </c>
      <c r="T2" s="54" t="n">
        <f aca="false">IF(D2="","",ROUND(SQRT(((D2+G2)*O2/100)^2+(J2*(D2+G2)*0.09173)^2),0))</f>
        <v>23</v>
      </c>
      <c r="U2" s="32"/>
    </row>
    <row r="3" customFormat="false" ht="15" hidden="false" customHeight="false" outlineLevel="0" collapsed="false">
      <c r="A3" s="32" t="s">
        <v>127</v>
      </c>
      <c r="B3" s="32" t="s">
        <v>133</v>
      </c>
      <c r="C3" s="32" t="s">
        <v>129</v>
      </c>
      <c r="D3" s="54" t="n">
        <v>98</v>
      </c>
      <c r="E3" s="54" t="n">
        <v>118</v>
      </c>
      <c r="F3" s="65" t="n">
        <f aca="false">IF(E3="","",D3-E3)</f>
        <v>-20</v>
      </c>
      <c r="G3" s="54" t="n">
        <v>306</v>
      </c>
      <c r="H3" s="54" t="n">
        <v>300</v>
      </c>
      <c r="I3" s="65" t="n">
        <f aca="false">IF(H3="","",G3-H3)</f>
        <v>6</v>
      </c>
      <c r="J3" s="55" t="n">
        <f aca="false">IF(OR(D3="",D3+G3=0),"",D3/(D3+G3))</f>
        <v>0.242574257425743</v>
      </c>
      <c r="K3" s="55" t="n">
        <f aca="false">IF(E3="","",E3/(E3+H3))</f>
        <v>0.282296650717703</v>
      </c>
      <c r="L3" s="66" t="n">
        <f aca="false">IF(OR(K3="",J3=""),"",(J3-K3)*100)</f>
        <v>-3.97223932919608</v>
      </c>
      <c r="M3" s="36" t="n">
        <v>3.74498218247512</v>
      </c>
      <c r="N3" s="36" t="n">
        <v>2.07636327875789</v>
      </c>
      <c r="O3" s="36" t="n">
        <f aca="false">SQRT(M3^2+N3^2)</f>
        <v>4.28207613342294</v>
      </c>
      <c r="P3" s="55" t="n">
        <f aca="false">IF(J3="","",MAX(0,J3-1.96*O3/100))</f>
        <v>0.158645565210653</v>
      </c>
      <c r="Q3" s="55" t="n">
        <f aca="false">IF(J3="","",MIN(1,J3+1.96*O3/100))</f>
        <v>0.326502949640832</v>
      </c>
      <c r="R3" s="32" t="str">
        <f aca="false">IF(L3="","",IF(ABS(L3)&lt;=O3,"Yes","No"))</f>
        <v>Yes</v>
      </c>
      <c r="S3" s="32" t="str">
        <f aca="false">IF(L3="","",IF(ABS(L3)&lt;=1.96*O3,"Yes","No"))</f>
        <v>Yes</v>
      </c>
      <c r="T3" s="54" t="n">
        <f aca="false">IF(D3="","",ROUND(SQRT(((D3+G3)*O3/100)^2+(J3*(D3+G3)*0.09173)^2),0))</f>
        <v>19</v>
      </c>
      <c r="U3" s="32"/>
    </row>
    <row r="4" customFormat="false" ht="15" hidden="false" customHeight="false" outlineLevel="0" collapsed="false">
      <c r="A4" s="32" t="s">
        <v>127</v>
      </c>
      <c r="B4" s="32" t="s">
        <v>134</v>
      </c>
      <c r="C4" s="32" t="s">
        <v>129</v>
      </c>
      <c r="D4" s="54" t="n">
        <v>128</v>
      </c>
      <c r="E4" s="54" t="n">
        <v>144</v>
      </c>
      <c r="F4" s="65" t="n">
        <f aca="false">IF(E4="","",D4-E4)</f>
        <v>-16</v>
      </c>
      <c r="G4" s="54" t="n">
        <v>275</v>
      </c>
      <c r="H4" s="54" t="n">
        <v>310</v>
      </c>
      <c r="I4" s="65" t="n">
        <f aca="false">IF(H4="","",G4-H4)</f>
        <v>-35</v>
      </c>
      <c r="J4" s="55" t="n">
        <f aca="false">IF(OR(D4="",D4+G4=0),"",D4/(D4+G4))</f>
        <v>0.317617866004963</v>
      </c>
      <c r="K4" s="55" t="n">
        <f aca="false">IF(E4="","",E4/(E4+H4))</f>
        <v>0.317180616740088</v>
      </c>
      <c r="L4" s="66" t="n">
        <f aca="false">IF(OR(K4="",J4=""),"",(J4-K4)*100)</f>
        <v>0.0437249264874651</v>
      </c>
      <c r="M4" s="36" t="n">
        <v>3.74498218247512</v>
      </c>
      <c r="N4" s="36" t="n">
        <v>2.07636327875789</v>
      </c>
      <c r="O4" s="36" t="n">
        <f aca="false">SQRT(M4^2+N4^2)</f>
        <v>4.28207613342294</v>
      </c>
      <c r="P4" s="55" t="n">
        <f aca="false">IF(J4="","",MAX(0,J4-1.96*O4/100))</f>
        <v>0.233689173789873</v>
      </c>
      <c r="Q4" s="55" t="n">
        <f aca="false">IF(J4="","",MIN(1,J4+1.96*O4/100))</f>
        <v>0.401546558220052</v>
      </c>
      <c r="R4" s="32" t="str">
        <f aca="false">IF(L4="","",IF(ABS(L4)&lt;=O4,"Yes","No"))</f>
        <v>Yes</v>
      </c>
      <c r="S4" s="32" t="str">
        <f aca="false">IF(L4="","",IF(ABS(L4)&lt;=1.96*O4,"Yes","No"))</f>
        <v>Yes</v>
      </c>
      <c r="T4" s="54" t="n">
        <f aca="false">IF(D4="","",ROUND(SQRT(((D4+G4)*O4/100)^2+(J4*(D4+G4)*0.09173)^2),0))</f>
        <v>21</v>
      </c>
      <c r="U4" s="32"/>
    </row>
    <row r="5" customFormat="false" ht="15" hidden="false" customHeight="false" outlineLevel="0" collapsed="false">
      <c r="A5" s="32" t="s">
        <v>127</v>
      </c>
      <c r="B5" s="32" t="s">
        <v>135</v>
      </c>
      <c r="C5" s="32" t="s">
        <v>129</v>
      </c>
      <c r="D5" s="54" t="n">
        <v>389</v>
      </c>
      <c r="E5" s="54" t="n">
        <v>438</v>
      </c>
      <c r="F5" s="65" t="n">
        <f aca="false">IF(E5="","",D5-E5)</f>
        <v>-49</v>
      </c>
      <c r="G5" s="54" t="n">
        <v>1186</v>
      </c>
      <c r="H5" s="54" t="n">
        <v>1253</v>
      </c>
      <c r="I5" s="65" t="n">
        <f aca="false">IF(H5="","",G5-H5)</f>
        <v>-67</v>
      </c>
      <c r="J5" s="55" t="n">
        <f aca="false">IF(OR(D5="",D5+G5=0),"",D5/(D5+G5))</f>
        <v>0.246984126984127</v>
      </c>
      <c r="K5" s="55" t="n">
        <f aca="false">IF(E5="","",E5/(E5+H5))</f>
        <v>0.259018332347723</v>
      </c>
      <c r="L5" s="66" t="n">
        <f aca="false">IF(OR(K5="",J5=""),"",(J5-K5)*100)</f>
        <v>-1.20342053635963</v>
      </c>
      <c r="M5" s="36" t="n">
        <v>2.54563009906548</v>
      </c>
      <c r="N5" s="36" t="n">
        <v>2.07636327875789</v>
      </c>
      <c r="O5" s="36" t="n">
        <f aca="false">SQRT(M5^2+N5^2)</f>
        <v>3.28504445428709</v>
      </c>
      <c r="P5" s="55" t="n">
        <f aca="false">IF(J5="","",MAX(0,J5-1.96*O5/100))</f>
        <v>0.1825972556801</v>
      </c>
      <c r="Q5" s="55" t="n">
        <f aca="false">IF(J5="","",MIN(1,J5+1.96*O5/100))</f>
        <v>0.311370998288154</v>
      </c>
      <c r="R5" s="32" t="str">
        <f aca="false">IF(L5="","",IF(ABS(L5)&lt;=O5,"Yes","No"))</f>
        <v>Yes</v>
      </c>
      <c r="S5" s="32" t="str">
        <f aca="false">IF(L5="","",IF(ABS(L5)&lt;=1.96*O5,"Yes","No"))</f>
        <v>Yes</v>
      </c>
      <c r="T5" s="54" t="n">
        <f aca="false">IF(D5="","",ROUND(SQRT(((D5+G5)*O5/100)^2+(J5*(D5+G5)*0.07048)^2),0))</f>
        <v>59</v>
      </c>
      <c r="U5" s="32"/>
    </row>
    <row r="6" customFormat="false" ht="15" hidden="false" customHeight="false" outlineLevel="0" collapsed="false">
      <c r="A6" s="32" t="s">
        <v>127</v>
      </c>
      <c r="B6" s="32" t="s">
        <v>137</v>
      </c>
      <c r="C6" s="32" t="s">
        <v>129</v>
      </c>
      <c r="D6" s="54" t="n">
        <v>37</v>
      </c>
      <c r="E6" s="54" t="n">
        <v>38</v>
      </c>
      <c r="F6" s="65" t="n">
        <f aca="false">IF(E6="","",D6-E6)</f>
        <v>-1</v>
      </c>
      <c r="G6" s="54" t="n">
        <v>75</v>
      </c>
      <c r="H6" s="54" t="n">
        <v>78</v>
      </c>
      <c r="I6" s="65" t="n">
        <f aca="false">IF(H6="","",G6-H6)</f>
        <v>-3</v>
      </c>
      <c r="J6" s="55" t="n">
        <f aca="false">IF(OR(D6="",D6+G6=0),"",D6/(D6+G6))</f>
        <v>0.330357142857143</v>
      </c>
      <c r="K6" s="55" t="n">
        <f aca="false">IF(E6="","",E6/(E6+H6))</f>
        <v>0.327586206896552</v>
      </c>
      <c r="L6" s="66" t="n">
        <f aca="false">IF(OR(K6="",J6=""),"",(J6-K6)*100)</f>
        <v>0.277093596059114</v>
      </c>
      <c r="M6" s="36" t="n">
        <v>3.74498218247512</v>
      </c>
      <c r="N6" s="36" t="n">
        <v>2.07636327875789</v>
      </c>
      <c r="O6" s="36" t="n">
        <f aca="false">SQRT(M6^2+N6^2)</f>
        <v>4.28207613342294</v>
      </c>
      <c r="P6" s="55" t="n">
        <f aca="false">IF(J6="","",MAX(0,J6-1.96*O6/100))</f>
        <v>0.246428450642053</v>
      </c>
      <c r="Q6" s="55" t="n">
        <f aca="false">IF(J6="","",MIN(1,J6+1.96*O6/100))</f>
        <v>0.414285835072232</v>
      </c>
      <c r="R6" s="32" t="str">
        <f aca="false">IF(L6="","",IF(ABS(L6)&lt;=O6,"Yes","No"))</f>
        <v>Yes</v>
      </c>
      <c r="S6" s="32" t="str">
        <f aca="false">IF(L6="","",IF(ABS(L6)&lt;=1.96*O6,"Yes","No"))</f>
        <v>Yes</v>
      </c>
      <c r="T6" s="54" t="n">
        <f aca="false">IF(D6="","",ROUND(SQRT(((D6+G6)*O6/100)^2+(J6*(D6+G6)*0.09173)^2),0))</f>
        <v>6</v>
      </c>
      <c r="U6" s="32"/>
    </row>
    <row r="7" customFormat="false" ht="15" hidden="false" customHeight="false" outlineLevel="0" collapsed="false">
      <c r="A7" s="32" t="s">
        <v>127</v>
      </c>
      <c r="B7" s="32" t="s">
        <v>138</v>
      </c>
      <c r="C7" s="32" t="s">
        <v>129</v>
      </c>
      <c r="D7" s="54" t="n">
        <v>607</v>
      </c>
      <c r="E7" s="54" t="n">
        <v>708</v>
      </c>
      <c r="F7" s="65" t="n">
        <f aca="false">IF(E7="","",D7-E7)</f>
        <v>-101</v>
      </c>
      <c r="G7" s="54" t="n">
        <v>1825</v>
      </c>
      <c r="H7" s="54" t="n">
        <v>1846</v>
      </c>
      <c r="I7" s="65" t="n">
        <f aca="false">IF(H7="","",G7-H7)</f>
        <v>-21</v>
      </c>
      <c r="J7" s="55" t="n">
        <f aca="false">IF(OR(D7="",D7+G7=0),"",D7/(D7+G7))</f>
        <v>0.249588815789474</v>
      </c>
      <c r="K7" s="55" t="n">
        <f aca="false">IF(E7="","",E7/(E7+H7))</f>
        <v>0.277212216131558</v>
      </c>
      <c r="L7" s="66" t="n">
        <f aca="false">IF(OR(K7="",J7=""),"",(J7-K7)*100)</f>
        <v>-2.76234003420847</v>
      </c>
      <c r="M7" s="36" t="n">
        <v>2.54563009906548</v>
      </c>
      <c r="N7" s="36" t="n">
        <v>2.07636327875789</v>
      </c>
      <c r="O7" s="36" t="n">
        <f aca="false">SQRT(M7^2+N7^2)</f>
        <v>3.28504445428709</v>
      </c>
      <c r="P7" s="55" t="n">
        <f aca="false">IF(J7="","",MAX(0,J7-1.96*O7/100))</f>
        <v>0.185201944485447</v>
      </c>
      <c r="Q7" s="55" t="n">
        <f aca="false">IF(J7="","",MIN(1,J7+1.96*O7/100))</f>
        <v>0.313975687093501</v>
      </c>
      <c r="R7" s="32" t="str">
        <f aca="false">IF(L7="","",IF(ABS(L7)&lt;=O7,"Yes","No"))</f>
        <v>Yes</v>
      </c>
      <c r="S7" s="32" t="str">
        <f aca="false">IF(L7="","",IF(ABS(L7)&lt;=1.96*O7,"Yes","No"))</f>
        <v>Yes</v>
      </c>
      <c r="T7" s="54" t="n">
        <f aca="false">IF(D7="","",ROUND(SQRT(((D7+G7)*O7/100)^2+(J7*(D7+G7)*0.07048)^2),0))</f>
        <v>91</v>
      </c>
      <c r="U7" s="32"/>
    </row>
    <row r="8" customFormat="false" ht="15" hidden="false" customHeight="false" outlineLevel="0" collapsed="false">
      <c r="A8" s="32" t="s">
        <v>127</v>
      </c>
      <c r="B8" s="32" t="s">
        <v>139</v>
      </c>
      <c r="C8" s="32" t="s">
        <v>129</v>
      </c>
      <c r="D8" s="54" t="n">
        <v>1088</v>
      </c>
      <c r="E8" s="54" t="n">
        <v>1104</v>
      </c>
      <c r="F8" s="65" t="n">
        <f aca="false">IF(E8="","",D8-E8)</f>
        <v>-16</v>
      </c>
      <c r="G8" s="54" t="n">
        <v>1337</v>
      </c>
      <c r="H8" s="54" t="n">
        <v>1481</v>
      </c>
      <c r="I8" s="65" t="n">
        <f aca="false">IF(H8="","",G8-H8)</f>
        <v>-144</v>
      </c>
      <c r="J8" s="55" t="n">
        <f aca="false">IF(OR(D8="",D8+G8=0),"",D8/(D8+G8))</f>
        <v>0.448659793814433</v>
      </c>
      <c r="K8" s="55" t="n">
        <f aca="false">IF(E8="","",E8/(E8+H8))</f>
        <v>0.427079303675048</v>
      </c>
      <c r="L8" s="66" t="n">
        <f aca="false">IF(OR(K8="",J8=""),"",(J8-K8)*100)</f>
        <v>2.15804901393846</v>
      </c>
      <c r="M8" s="36" t="n">
        <v>2.54563009906548</v>
      </c>
      <c r="N8" s="36" t="n">
        <v>2.07636327875789</v>
      </c>
      <c r="O8" s="36" t="n">
        <f aca="false">SQRT(M8^2+N8^2)</f>
        <v>3.28504445428709</v>
      </c>
      <c r="P8" s="55" t="n">
        <f aca="false">IF(J8="","",MAX(0,J8-1.96*O8/100))</f>
        <v>0.384272922510406</v>
      </c>
      <c r="Q8" s="55" t="n">
        <f aca="false">IF(J8="","",MIN(1,J8+1.96*O8/100))</f>
        <v>0.51304666511846</v>
      </c>
      <c r="R8" s="32" t="str">
        <f aca="false">IF(L8="","",IF(ABS(L8)&lt;=O8,"Yes","No"))</f>
        <v>Yes</v>
      </c>
      <c r="S8" s="32" t="str">
        <f aca="false">IF(L8="","",IF(ABS(L8)&lt;=1.96*O8,"Yes","No"))</f>
        <v>Yes</v>
      </c>
      <c r="T8" s="54" t="n">
        <f aca="false">IF(D8="","",ROUND(SQRT(((D8+G8)*O8/100)^2+(J8*(D8+G8)*0.07048)^2),0))</f>
        <v>111</v>
      </c>
      <c r="U8" s="32"/>
    </row>
    <row r="9" customFormat="false" ht="15" hidden="false" customHeight="false" outlineLevel="0" collapsed="false">
      <c r="A9" s="32" t="s">
        <v>127</v>
      </c>
      <c r="B9" s="32" t="s">
        <v>140</v>
      </c>
      <c r="C9" s="32" t="s">
        <v>129</v>
      </c>
      <c r="D9" s="54" t="n">
        <v>322</v>
      </c>
      <c r="E9" s="54" t="n">
        <v>351</v>
      </c>
      <c r="F9" s="65" t="n">
        <f aca="false">IF(E9="","",D9-E9)</f>
        <v>-29</v>
      </c>
      <c r="G9" s="54" t="n">
        <v>714</v>
      </c>
      <c r="H9" s="54" t="n">
        <v>697</v>
      </c>
      <c r="I9" s="65" t="n">
        <f aca="false">IF(H9="","",G9-H9)</f>
        <v>17</v>
      </c>
      <c r="J9" s="55" t="n">
        <f aca="false">IF(OR(D9="",D9+G9=0),"",D9/(D9+G9))</f>
        <v>0.310810810810811</v>
      </c>
      <c r="K9" s="55" t="n">
        <f aca="false">IF(E9="","",E9/(E9+H9))</f>
        <v>0.334923664122137</v>
      </c>
      <c r="L9" s="66" t="n">
        <f aca="false">IF(OR(K9="",J9=""),"",(J9-K9)*100)</f>
        <v>-2.41128533113266</v>
      </c>
      <c r="M9" s="36" t="n">
        <v>3.74498218247512</v>
      </c>
      <c r="N9" s="36" t="n">
        <v>2.07636327875789</v>
      </c>
      <c r="O9" s="36" t="n">
        <f aca="false">SQRT(M9^2+N9^2)</f>
        <v>4.28207613342294</v>
      </c>
      <c r="P9" s="55" t="n">
        <f aca="false">IF(J9="","",MAX(0,J9-1.96*O9/100))</f>
        <v>0.226882118595721</v>
      </c>
      <c r="Q9" s="55" t="n">
        <f aca="false">IF(J9="","",MIN(1,J9+1.96*O9/100))</f>
        <v>0.3947395030259</v>
      </c>
      <c r="R9" s="32" t="str">
        <f aca="false">IF(L9="","",IF(ABS(L9)&lt;=O9,"Yes","No"))</f>
        <v>Yes</v>
      </c>
      <c r="S9" s="32" t="str">
        <f aca="false">IF(L9="","",IF(ABS(L9)&lt;=1.96*O9,"Yes","No"))</f>
        <v>Yes</v>
      </c>
      <c r="T9" s="54" t="n">
        <f aca="false">IF(D9="","",ROUND(SQRT(((D9+G9)*O9/100)^2+(J9*(D9+G9)*0.09173)^2),0))</f>
        <v>53</v>
      </c>
      <c r="U9" s="32"/>
    </row>
    <row r="10" customFormat="false" ht="15" hidden="false" customHeight="false" outlineLevel="0" collapsed="false">
      <c r="A10" s="32" t="s">
        <v>127</v>
      </c>
      <c r="B10" s="32" t="s">
        <v>141</v>
      </c>
      <c r="C10" s="32" t="s">
        <v>129</v>
      </c>
      <c r="D10" s="54" t="n">
        <v>565</v>
      </c>
      <c r="E10" s="54" t="n">
        <v>575</v>
      </c>
      <c r="F10" s="65" t="n">
        <f aca="false">IF(E10="","",D10-E10)</f>
        <v>-10</v>
      </c>
      <c r="G10" s="54" t="n">
        <v>844</v>
      </c>
      <c r="H10" s="54" t="n">
        <v>880</v>
      </c>
      <c r="I10" s="65" t="n">
        <f aca="false">IF(H10="","",G10-H10)</f>
        <v>-36</v>
      </c>
      <c r="J10" s="55" t="n">
        <f aca="false">IF(OR(D10="",D10+G10=0),"",D10/(D10+G10))</f>
        <v>0.400993612491128</v>
      </c>
      <c r="K10" s="55" t="n">
        <f aca="false">IF(E10="","",E10/(E10+H10))</f>
        <v>0.395189003436426</v>
      </c>
      <c r="L10" s="66" t="n">
        <f aca="false">IF(OR(K10="",J10=""),"",(J10-K10)*100)</f>
        <v>0.580460905470237</v>
      </c>
      <c r="M10" s="36" t="n">
        <v>3.74498218247512</v>
      </c>
      <c r="N10" s="36" t="n">
        <v>2.07636327875789</v>
      </c>
      <c r="O10" s="36" t="n">
        <f aca="false">SQRT(M10^2+N10^2)</f>
        <v>4.28207613342294</v>
      </c>
      <c r="P10" s="55" t="n">
        <f aca="false">IF(J10="","",MAX(0,J10-1.96*O10/100))</f>
        <v>0.317064920276039</v>
      </c>
      <c r="Q10" s="55" t="n">
        <f aca="false">IF(J10="","",MIN(1,J10+1.96*O10/100))</f>
        <v>0.484922304706218</v>
      </c>
      <c r="R10" s="32" t="str">
        <f aca="false">IF(L10="","",IF(ABS(L10)&lt;=O10,"Yes","No"))</f>
        <v>Yes</v>
      </c>
      <c r="S10" s="32" t="str">
        <f aca="false">IF(L10="","",IF(ABS(L10)&lt;=1.96*O10,"Yes","No"))</f>
        <v>Yes</v>
      </c>
      <c r="T10" s="54" t="n">
        <f aca="false">IF(D10="","",ROUND(SQRT(((D10+G10)*O10/100)^2+(J10*(D10+G10)*0.09173)^2),0))</f>
        <v>80</v>
      </c>
      <c r="U10" s="32"/>
    </row>
    <row r="11" customFormat="false" ht="15" hidden="false" customHeight="false" outlineLevel="0" collapsed="false">
      <c r="A11" s="32" t="s">
        <v>127</v>
      </c>
      <c r="B11" s="32" t="s">
        <v>142</v>
      </c>
      <c r="C11" s="32" t="s">
        <v>129</v>
      </c>
      <c r="D11" s="54" t="n">
        <v>39</v>
      </c>
      <c r="E11" s="54" t="n">
        <v>38</v>
      </c>
      <c r="F11" s="65" t="n">
        <f aca="false">IF(E11="","",D11-E11)</f>
        <v>1</v>
      </c>
      <c r="G11" s="54" t="n">
        <v>100</v>
      </c>
      <c r="H11" s="54" t="n">
        <v>107</v>
      </c>
      <c r="I11" s="65" t="n">
        <f aca="false">IF(H11="","",G11-H11)</f>
        <v>-7</v>
      </c>
      <c r="J11" s="55" t="n">
        <f aca="false">IF(OR(D11="",D11+G11=0),"",D11/(D11+G11))</f>
        <v>0.280575539568345</v>
      </c>
      <c r="K11" s="55" t="n">
        <f aca="false">IF(E11="","",E11/(E11+H11))</f>
        <v>0.262068965517241</v>
      </c>
      <c r="L11" s="66" t="n">
        <f aca="false">IF(OR(K11="",J11=""),"",(J11-K11)*100)</f>
        <v>1.85065740511039</v>
      </c>
      <c r="M11" s="36" t="n">
        <v>3.74498218247512</v>
      </c>
      <c r="N11" s="36" t="n">
        <v>2.07636327875789</v>
      </c>
      <c r="O11" s="36" t="n">
        <f aca="false">SQRT(M11^2+N11^2)</f>
        <v>4.28207613342294</v>
      </c>
      <c r="P11" s="55" t="n">
        <f aca="false">IF(J11="","",MAX(0,J11-1.96*O11/100))</f>
        <v>0.196646847353256</v>
      </c>
      <c r="Q11" s="55" t="n">
        <f aca="false">IF(J11="","",MIN(1,J11+1.96*O11/100))</f>
        <v>0.364504231783435</v>
      </c>
      <c r="R11" s="32" t="str">
        <f aca="false">IF(L11="","",IF(ABS(L11)&lt;=O11,"Yes","No"))</f>
        <v>Yes</v>
      </c>
      <c r="S11" s="32" t="str">
        <f aca="false">IF(L11="","",IF(ABS(L11)&lt;=1.96*O11,"Yes","No"))</f>
        <v>Yes</v>
      </c>
      <c r="T11" s="54" t="n">
        <f aca="false">IF(D11="","",ROUND(SQRT(((D11+G11)*O11/100)^2+(J11*(D11+G11)*0.09173)^2),0))</f>
        <v>7</v>
      </c>
      <c r="U11" s="32"/>
    </row>
    <row r="12" customFormat="false" ht="15" hidden="false" customHeight="false" outlineLevel="0" collapsed="false">
      <c r="A12" s="32" t="s">
        <v>127</v>
      </c>
      <c r="B12" s="32" t="s">
        <v>143</v>
      </c>
      <c r="C12" s="32" t="s">
        <v>129</v>
      </c>
      <c r="D12" s="54" t="n">
        <v>47</v>
      </c>
      <c r="E12" s="54" t="n">
        <v>58</v>
      </c>
      <c r="F12" s="65" t="n">
        <f aca="false">IF(E12="","",D12-E12)</f>
        <v>-11</v>
      </c>
      <c r="G12" s="54" t="n">
        <v>217</v>
      </c>
      <c r="H12" s="54" t="n">
        <v>216</v>
      </c>
      <c r="I12" s="65" t="n">
        <f aca="false">IF(H12="","",G12-H12)</f>
        <v>1</v>
      </c>
      <c r="J12" s="55" t="n">
        <f aca="false">IF(OR(D12="",D12+G12=0),"",D12/(D12+G12))</f>
        <v>0.178030303030303</v>
      </c>
      <c r="K12" s="55" t="n">
        <f aca="false">IF(E12="","",E12/(E12+H12))</f>
        <v>0.211678832116788</v>
      </c>
      <c r="L12" s="66" t="n">
        <f aca="false">IF(OR(K12="",J12=""),"",(J12-K12)*100)</f>
        <v>-3.36485290864853</v>
      </c>
      <c r="M12" s="36" t="n">
        <v>3.74498218247512</v>
      </c>
      <c r="N12" s="36" t="n">
        <v>2.07636327875789</v>
      </c>
      <c r="O12" s="36" t="n">
        <f aca="false">SQRT(M12^2+N12^2)</f>
        <v>4.28207613342294</v>
      </c>
      <c r="P12" s="55" t="n">
        <f aca="false">IF(J12="","",MAX(0,J12-1.96*O12/100))</f>
        <v>0.0941016108152134</v>
      </c>
      <c r="Q12" s="55" t="n">
        <f aca="false">IF(J12="","",MIN(1,J12+1.96*O12/100))</f>
        <v>0.261958995245393</v>
      </c>
      <c r="R12" s="32" t="str">
        <f aca="false">IF(L12="","",IF(ABS(L12)&lt;=O12,"Yes","No"))</f>
        <v>Yes</v>
      </c>
      <c r="S12" s="32" t="str">
        <f aca="false">IF(L12="","",IF(ABS(L12)&lt;=1.96*O12,"Yes","No"))</f>
        <v>Yes</v>
      </c>
      <c r="T12" s="54" t="n">
        <f aca="false">IF(D12="","",ROUND(SQRT(((D12+G12)*O12/100)^2+(J12*(D12+G12)*0.09173)^2),0))</f>
        <v>12</v>
      </c>
      <c r="U12" s="32"/>
    </row>
    <row r="13" customFormat="false" ht="15" hidden="false" customHeight="false" outlineLevel="0" collapsed="false">
      <c r="A13" s="32" t="s">
        <v>127</v>
      </c>
      <c r="B13" s="32" t="s">
        <v>144</v>
      </c>
      <c r="C13" s="32" t="s">
        <v>129</v>
      </c>
      <c r="D13" s="54" t="n">
        <v>884</v>
      </c>
      <c r="E13" s="54" t="n">
        <v>944</v>
      </c>
      <c r="F13" s="65" t="n">
        <f aca="false">IF(E13="","",D13-E13)</f>
        <v>-60</v>
      </c>
      <c r="G13" s="54" t="n">
        <v>1380</v>
      </c>
      <c r="H13" s="54" t="n">
        <v>1486</v>
      </c>
      <c r="I13" s="65" t="n">
        <f aca="false">IF(H13="","",G13-H13)</f>
        <v>-106</v>
      </c>
      <c r="J13" s="55" t="n">
        <f aca="false">IF(OR(D13="",D13+G13=0),"",D13/(D13+G13))</f>
        <v>0.390459363957597</v>
      </c>
      <c r="K13" s="55" t="n">
        <f aca="false">IF(E13="","",E13/(E13+H13))</f>
        <v>0.388477366255144</v>
      </c>
      <c r="L13" s="66" t="n">
        <f aca="false">IF(OR(K13="",J13=""),"",(J13-K13)*100)</f>
        <v>0.198199770245316</v>
      </c>
      <c r="M13" s="36" t="n">
        <v>2.54563009906548</v>
      </c>
      <c r="N13" s="36" t="n">
        <v>2.07636327875789</v>
      </c>
      <c r="O13" s="36" t="n">
        <f aca="false">SQRT(M13^2+N13^2)</f>
        <v>3.28504445428709</v>
      </c>
      <c r="P13" s="55" t="n">
        <f aca="false">IF(J13="","",MAX(0,J13-1.96*O13/100))</f>
        <v>0.32607249265357</v>
      </c>
      <c r="Q13" s="55" t="n">
        <f aca="false">IF(J13="","",MIN(1,J13+1.96*O13/100))</f>
        <v>0.454846235261624</v>
      </c>
      <c r="R13" s="32" t="str">
        <f aca="false">IF(L13="","",IF(ABS(L13)&lt;=O13,"Yes","No"))</f>
        <v>Yes</v>
      </c>
      <c r="S13" s="32" t="str">
        <f aca="false">IF(L13="","",IF(ABS(L13)&lt;=1.96*O13,"Yes","No"))</f>
        <v>Yes</v>
      </c>
      <c r="T13" s="54" t="n">
        <f aca="false">IF(D13="","",ROUND(SQRT(((D13+G13)*O13/100)^2+(J13*(D13+G13)*0.07048)^2),0))</f>
        <v>97</v>
      </c>
      <c r="U13" s="32"/>
    </row>
    <row r="14" customFormat="false" ht="15" hidden="false" customHeight="false" outlineLevel="0" collapsed="false">
      <c r="A14" s="32" t="s">
        <v>127</v>
      </c>
      <c r="B14" s="32" t="s">
        <v>145</v>
      </c>
      <c r="C14" s="32" t="s">
        <v>129</v>
      </c>
      <c r="D14" s="54" t="n">
        <v>479</v>
      </c>
      <c r="E14" s="54" t="n">
        <v>515</v>
      </c>
      <c r="F14" s="65" t="n">
        <f aca="false">IF(E14="","",D14-E14)</f>
        <v>-36</v>
      </c>
      <c r="G14" s="54" t="n">
        <v>1202</v>
      </c>
      <c r="H14" s="54" t="n">
        <v>1293</v>
      </c>
      <c r="I14" s="65" t="n">
        <f aca="false">IF(H14="","",G14-H14)</f>
        <v>-91</v>
      </c>
      <c r="J14" s="55" t="n">
        <f aca="false">IF(OR(D14="",D14+G14=0),"",D14/(D14+G14))</f>
        <v>0.284949434860202</v>
      </c>
      <c r="K14" s="55" t="n">
        <f aca="false">IF(E14="","",E14/(E14+H14))</f>
        <v>0.284845132743363</v>
      </c>
      <c r="L14" s="66" t="n">
        <f aca="false">IF(OR(K14="",J14=""),"",(J14-K14)*100)</f>
        <v>0.0104302116839428</v>
      </c>
      <c r="M14" s="36" t="n">
        <v>2.54563009906548</v>
      </c>
      <c r="N14" s="36" t="n">
        <v>2.07636327875789</v>
      </c>
      <c r="O14" s="36" t="n">
        <f aca="false">SQRT(M14^2+N14^2)</f>
        <v>3.28504445428709</v>
      </c>
      <c r="P14" s="55" t="n">
        <f aca="false">IF(J14="","",MAX(0,J14-1.96*O14/100))</f>
        <v>0.220562563556175</v>
      </c>
      <c r="Q14" s="55" t="n">
        <f aca="false">IF(J14="","",MIN(1,J14+1.96*O14/100))</f>
        <v>0.349336306164229</v>
      </c>
      <c r="R14" s="32" t="str">
        <f aca="false">IF(L14="","",IF(ABS(L14)&lt;=O14,"Yes","No"))</f>
        <v>Yes</v>
      </c>
      <c r="S14" s="32" t="str">
        <f aca="false">IF(L14="","",IF(ABS(L14)&lt;=1.96*O14,"Yes","No"))</f>
        <v>Yes</v>
      </c>
      <c r="T14" s="54" t="n">
        <f aca="false">IF(D14="","",ROUND(SQRT(((D14+G14)*O14/100)^2+(J14*(D14+G14)*0.07048)^2),0))</f>
        <v>65</v>
      </c>
      <c r="U14" s="32"/>
    </row>
    <row r="15" customFormat="false" ht="15" hidden="false" customHeight="false" outlineLevel="0" collapsed="false">
      <c r="A15" s="32" t="s">
        <v>127</v>
      </c>
      <c r="B15" s="32" t="s">
        <v>146</v>
      </c>
      <c r="C15" s="32" t="s">
        <v>129</v>
      </c>
      <c r="D15" s="54" t="n">
        <v>600</v>
      </c>
      <c r="E15" s="54" t="n">
        <v>694</v>
      </c>
      <c r="F15" s="65" t="n">
        <f aca="false">IF(E15="","",D15-E15)</f>
        <v>-94</v>
      </c>
      <c r="G15" s="54" t="n">
        <v>1589</v>
      </c>
      <c r="H15" s="54" t="n">
        <v>1695</v>
      </c>
      <c r="I15" s="65" t="n">
        <f aca="false">IF(H15="","",G15-H15)</f>
        <v>-106</v>
      </c>
      <c r="J15" s="55" t="n">
        <f aca="false">IF(OR(D15="",D15+G15=0),"",D15/(D15+G15))</f>
        <v>0.274097761534947</v>
      </c>
      <c r="K15" s="55" t="n">
        <f aca="false">IF(E15="","",E15/(E15+H15))</f>
        <v>0.290498116366681</v>
      </c>
      <c r="L15" s="66" t="n">
        <f aca="false">IF(OR(K15="",J15=""),"",(J15-K15)*100)</f>
        <v>-1.64003548317331</v>
      </c>
      <c r="M15" s="36" t="n">
        <v>2.54563009906548</v>
      </c>
      <c r="N15" s="36" t="n">
        <v>2.07636327875789</v>
      </c>
      <c r="O15" s="36" t="n">
        <f aca="false">SQRT(M15^2+N15^2)</f>
        <v>3.28504445428709</v>
      </c>
      <c r="P15" s="55" t="n">
        <f aca="false">IF(J15="","",MAX(0,J15-1.96*O15/100))</f>
        <v>0.209710890230921</v>
      </c>
      <c r="Q15" s="55" t="n">
        <f aca="false">IF(J15="","",MIN(1,J15+1.96*O15/100))</f>
        <v>0.338484632838974</v>
      </c>
      <c r="R15" s="32" t="str">
        <f aca="false">IF(L15="","",IF(ABS(L15)&lt;=O15,"Yes","No"))</f>
        <v>Yes</v>
      </c>
      <c r="S15" s="32" t="str">
        <f aca="false">IF(L15="","",IF(ABS(L15)&lt;=1.96*O15,"Yes","No"))</f>
        <v>Yes</v>
      </c>
      <c r="T15" s="54" t="n">
        <f aca="false">IF(D15="","",ROUND(SQRT(((D15+G15)*O15/100)^2+(J15*(D15+G15)*0.07048)^2),0))</f>
        <v>83</v>
      </c>
      <c r="U15" s="32"/>
    </row>
    <row r="16" customFormat="false" ht="15" hidden="false" customHeight="false" outlineLevel="0" collapsed="false">
      <c r="A16" s="32" t="s">
        <v>127</v>
      </c>
      <c r="B16" s="32" t="s">
        <v>147</v>
      </c>
      <c r="C16" s="32" t="s">
        <v>129</v>
      </c>
      <c r="D16" s="54" t="n">
        <v>562</v>
      </c>
      <c r="E16" s="54" t="n">
        <v>601</v>
      </c>
      <c r="F16" s="65" t="n">
        <f aca="false">IF(E16="","",D16-E16)</f>
        <v>-39</v>
      </c>
      <c r="G16" s="54" t="n">
        <v>894</v>
      </c>
      <c r="H16" s="54" t="n">
        <v>955</v>
      </c>
      <c r="I16" s="65" t="n">
        <f aca="false">IF(H16="","",G16-H16)</f>
        <v>-61</v>
      </c>
      <c r="J16" s="55" t="n">
        <f aca="false">IF(OR(D16="",D16+G16=0),"",D16/(D16+G16))</f>
        <v>0.385989010989011</v>
      </c>
      <c r="K16" s="55" t="n">
        <f aca="false">IF(E16="","",E16/(E16+H16))</f>
        <v>0.386246786632391</v>
      </c>
      <c r="L16" s="66" t="n">
        <f aca="false">IF(OR(K16="",J16=""),"",(J16-K16)*100)</f>
        <v>-0.0257775643379754</v>
      </c>
      <c r="M16" s="36" t="n">
        <v>3.74498218247512</v>
      </c>
      <c r="N16" s="36" t="n">
        <v>2.07636327875789</v>
      </c>
      <c r="O16" s="36" t="n">
        <f aca="false">SQRT(M16^2+N16^2)</f>
        <v>4.28207613342294</v>
      </c>
      <c r="P16" s="55" t="n">
        <f aca="false">IF(J16="","",MAX(0,J16-1.96*O16/100))</f>
        <v>0.302060318773921</v>
      </c>
      <c r="Q16" s="55" t="n">
        <f aca="false">IF(J16="","",MIN(1,J16+1.96*O16/100))</f>
        <v>0.469917703204101</v>
      </c>
      <c r="R16" s="32" t="str">
        <f aca="false">IF(L16="","",IF(ABS(L16)&lt;=O16,"Yes","No"))</f>
        <v>Yes</v>
      </c>
      <c r="S16" s="32" t="str">
        <f aca="false">IF(L16="","",IF(ABS(L16)&lt;=1.96*O16,"Yes","No"))</f>
        <v>Yes</v>
      </c>
      <c r="T16" s="54" t="n">
        <f aca="false">IF(D16="","",ROUND(SQRT(((D16+G16)*O16/100)^2+(J16*(D16+G16)*0.09173)^2),0))</f>
        <v>81</v>
      </c>
      <c r="U16" s="32"/>
    </row>
    <row r="17" customFormat="false" ht="15" hidden="false" customHeight="false" outlineLevel="0" collapsed="false">
      <c r="A17" s="32" t="s">
        <v>127</v>
      </c>
      <c r="B17" s="32" t="s">
        <v>148</v>
      </c>
      <c r="C17" s="32" t="s">
        <v>129</v>
      </c>
      <c r="D17" s="54" t="n">
        <v>104</v>
      </c>
      <c r="E17" s="54" t="n">
        <v>134</v>
      </c>
      <c r="F17" s="65" t="n">
        <f aca="false">IF(E17="","",D17-E17)</f>
        <v>-30</v>
      </c>
      <c r="G17" s="54" t="n">
        <v>491</v>
      </c>
      <c r="H17" s="54" t="n">
        <v>505</v>
      </c>
      <c r="I17" s="65" t="n">
        <f aca="false">IF(H17="","",G17-H17)</f>
        <v>-14</v>
      </c>
      <c r="J17" s="55" t="n">
        <f aca="false">IF(OR(D17="",D17+G17=0),"",D17/(D17+G17))</f>
        <v>0.174789915966387</v>
      </c>
      <c r="K17" s="55" t="n">
        <f aca="false">IF(E17="","",E17/(E17+H17))</f>
        <v>0.209702660406886</v>
      </c>
      <c r="L17" s="66" t="n">
        <f aca="false">IF(OR(K17="",J17=""),"",(J17-K17)*100)</f>
        <v>-3.49127444404992</v>
      </c>
      <c r="M17" s="36" t="n">
        <v>3.74498218247512</v>
      </c>
      <c r="N17" s="36" t="n">
        <v>2.07636327875789</v>
      </c>
      <c r="O17" s="36" t="n">
        <f aca="false">SQRT(M17^2+N17^2)</f>
        <v>4.28207613342294</v>
      </c>
      <c r="P17" s="55" t="n">
        <f aca="false">IF(J17="","",MAX(0,J17-1.96*O17/100))</f>
        <v>0.090861223751297</v>
      </c>
      <c r="Q17" s="55" t="n">
        <f aca="false">IF(J17="","",MIN(1,J17+1.96*O17/100))</f>
        <v>0.258718608181476</v>
      </c>
      <c r="R17" s="32" t="str">
        <f aca="false">IF(L17="","",IF(ABS(L17)&lt;=O17,"Yes","No"))</f>
        <v>Yes</v>
      </c>
      <c r="S17" s="32" t="str">
        <f aca="false">IF(L17="","",IF(ABS(L17)&lt;=1.96*O17,"Yes","No"))</f>
        <v>Yes</v>
      </c>
      <c r="T17" s="54" t="n">
        <f aca="false">IF(D17="","",ROUND(SQRT(((D17+G17)*O17/100)^2+(J17*(D17+G17)*0.09173)^2),0))</f>
        <v>27</v>
      </c>
      <c r="U17" s="32"/>
    </row>
    <row r="18" customFormat="false" ht="15" hidden="false" customHeight="false" outlineLevel="0" collapsed="false">
      <c r="A18" s="32" t="s">
        <v>127</v>
      </c>
      <c r="B18" s="32" t="s">
        <v>149</v>
      </c>
      <c r="C18" s="32" t="s">
        <v>129</v>
      </c>
      <c r="D18" s="54" t="n">
        <v>891</v>
      </c>
      <c r="E18" s="54" t="n">
        <v>981</v>
      </c>
      <c r="F18" s="65" t="n">
        <f aca="false">IF(E18="","",D18-E18)</f>
        <v>-90</v>
      </c>
      <c r="G18" s="54" t="n">
        <v>1669</v>
      </c>
      <c r="H18" s="54" t="n">
        <v>1740</v>
      </c>
      <c r="I18" s="65" t="n">
        <f aca="false">IF(H18="","",G18-H18)</f>
        <v>-71</v>
      </c>
      <c r="J18" s="55" t="n">
        <f aca="false">IF(OR(D18="",D18+G18=0),"",D18/(D18+G18))</f>
        <v>0.348046875</v>
      </c>
      <c r="K18" s="55" t="n">
        <f aca="false">IF(E18="","",E18/(E18+H18))</f>
        <v>0.360529217199559</v>
      </c>
      <c r="L18" s="66" t="n">
        <f aca="false">IF(OR(K18="",J18=""),"",(J18-K18)*100)</f>
        <v>-1.2482342199559</v>
      </c>
      <c r="M18" s="36" t="n">
        <v>2.54563009906548</v>
      </c>
      <c r="N18" s="36" t="n">
        <v>2.07636327875789</v>
      </c>
      <c r="O18" s="36" t="n">
        <f aca="false">SQRT(M18^2+N18^2)</f>
        <v>3.28504445428709</v>
      </c>
      <c r="P18" s="55" t="n">
        <f aca="false">IF(J18="","",MAX(0,J18-1.96*O18/100))</f>
        <v>0.283660003695973</v>
      </c>
      <c r="Q18" s="55" t="n">
        <f aca="false">IF(J18="","",MIN(1,J18+1.96*O18/100))</f>
        <v>0.412433746304027</v>
      </c>
      <c r="R18" s="32" t="str">
        <f aca="false">IF(L18="","",IF(ABS(L18)&lt;=O18,"Yes","No"))</f>
        <v>Yes</v>
      </c>
      <c r="S18" s="32" t="str">
        <f aca="false">IF(L18="","",IF(ABS(L18)&lt;=1.96*O18,"Yes","No"))</f>
        <v>Yes</v>
      </c>
      <c r="T18" s="54" t="n">
        <f aca="false">IF(D18="","",ROUND(SQRT(((D18+G18)*O18/100)^2+(J18*(D18+G18)*0.07048)^2),0))</f>
        <v>105</v>
      </c>
      <c r="U18" s="32"/>
    </row>
    <row r="19" customFormat="false" ht="15" hidden="false" customHeight="false" outlineLevel="0" collapsed="false">
      <c r="A19" s="32" t="s">
        <v>127</v>
      </c>
      <c r="B19" s="32" t="s">
        <v>150</v>
      </c>
      <c r="C19" s="32" t="s">
        <v>129</v>
      </c>
      <c r="D19" s="54" t="n">
        <v>52</v>
      </c>
      <c r="E19" s="54" t="n">
        <v>74</v>
      </c>
      <c r="F19" s="65" t="n">
        <f aca="false">IF(E19="","",D19-E19)</f>
        <v>-22</v>
      </c>
      <c r="G19" s="54" t="n">
        <v>163</v>
      </c>
      <c r="H19" s="54" t="n">
        <v>162</v>
      </c>
      <c r="I19" s="65" t="n">
        <f aca="false">IF(H19="","",G19-H19)</f>
        <v>1</v>
      </c>
      <c r="J19" s="55" t="n">
        <f aca="false">IF(OR(D19="",D19+G19=0),"",D19/(D19+G19))</f>
        <v>0.241860465116279</v>
      </c>
      <c r="K19" s="55" t="n">
        <f aca="false">IF(E19="","",E19/(E19+H19))</f>
        <v>0.313559322033898</v>
      </c>
      <c r="L19" s="66" t="n">
        <f aca="false">IF(OR(K19="",J19=""),"",(J19-K19)*100)</f>
        <v>-7.16988569176192</v>
      </c>
      <c r="M19" s="36" t="n">
        <v>3.74498218247512</v>
      </c>
      <c r="N19" s="36" t="n">
        <v>2.07636327875789</v>
      </c>
      <c r="O19" s="36" t="n">
        <f aca="false">SQRT(M19^2+N19^2)</f>
        <v>4.28207613342294</v>
      </c>
      <c r="P19" s="55" t="n">
        <f aca="false">IF(J19="","",MAX(0,J19-1.96*O19/100))</f>
        <v>0.157931772901189</v>
      </c>
      <c r="Q19" s="55" t="n">
        <f aca="false">IF(J19="","",MIN(1,J19+1.96*O19/100))</f>
        <v>0.325789157331369</v>
      </c>
      <c r="R19" s="32" t="str">
        <f aca="false">IF(L19="","",IF(ABS(L19)&lt;=O19,"Yes","No"))</f>
        <v>No</v>
      </c>
      <c r="S19" s="32" t="str">
        <f aca="false">IF(L19="","",IF(ABS(L19)&lt;=1.96*O19,"Yes","No"))</f>
        <v>Yes</v>
      </c>
      <c r="T19" s="54" t="n">
        <f aca="false">IF(D19="","",ROUND(SQRT(((D19+G19)*O19/100)^2+(J19*(D19+G19)*0.09173)^2),0))</f>
        <v>10</v>
      </c>
      <c r="U19" s="32"/>
    </row>
    <row r="20" customFormat="false" ht="15" hidden="false" customHeight="false" outlineLevel="0" collapsed="false">
      <c r="A20" s="32" t="s">
        <v>127</v>
      </c>
      <c r="B20" s="32" t="s">
        <v>151</v>
      </c>
      <c r="C20" s="32" t="s">
        <v>129</v>
      </c>
      <c r="D20" s="54" t="n">
        <v>1774</v>
      </c>
      <c r="E20" s="54" t="n">
        <v>2047</v>
      </c>
      <c r="F20" s="65" t="n">
        <f aca="false">IF(E20="","",D20-E20)</f>
        <v>-273</v>
      </c>
      <c r="G20" s="54" t="n">
        <v>3459</v>
      </c>
      <c r="H20" s="54" t="n">
        <v>3702</v>
      </c>
      <c r="I20" s="65" t="n">
        <f aca="false">IF(H20="","",G20-H20)</f>
        <v>-243</v>
      </c>
      <c r="J20" s="55" t="n">
        <f aca="false">IF(OR(D20="",D20+G20=0),"",D20/(D20+G20))</f>
        <v>0.339002484234665</v>
      </c>
      <c r="K20" s="55" t="n">
        <f aca="false">IF(E20="","",E20/(E20+H20))</f>
        <v>0.356061923812837</v>
      </c>
      <c r="L20" s="66" t="n">
        <f aca="false">IF(OR(K20="",J20=""),"",(J20-K20)*100)</f>
        <v>-1.70594395781724</v>
      </c>
      <c r="M20" s="36" t="n">
        <v>1.81924294984712</v>
      </c>
      <c r="N20" s="36" t="n">
        <v>2.07636327875789</v>
      </c>
      <c r="O20" s="36" t="n">
        <f aca="false">SQRT(M20^2+N20^2)</f>
        <v>2.7606030819266</v>
      </c>
      <c r="P20" s="55" t="n">
        <f aca="false">IF(J20="","",MAX(0,J20-1.96*O20/100))</f>
        <v>0.284894663828903</v>
      </c>
      <c r="Q20" s="55" t="n">
        <f aca="false">IF(J20="","",MIN(1,J20+1.96*O20/100))</f>
        <v>0.393110304640426</v>
      </c>
      <c r="R20" s="32" t="str">
        <f aca="false">IF(L20="","",IF(ABS(L20)&lt;=O20,"Yes","No"))</f>
        <v>Yes</v>
      </c>
      <c r="S20" s="32" t="str">
        <f aca="false">IF(L20="","",IF(ABS(L20)&lt;=1.96*O20,"Yes","No"))</f>
        <v>Yes</v>
      </c>
      <c r="T20" s="54" t="n">
        <f aca="false">IF(D20="","",ROUND(SQRT(((D20+G20)*O20/100)^2+(J20*(D20+G20)*0.06406)^2),0))</f>
        <v>184</v>
      </c>
      <c r="U20" s="32"/>
    </row>
    <row r="21" customFormat="false" ht="15" hidden="false" customHeight="false" outlineLevel="0" collapsed="false">
      <c r="A21" s="32" t="s">
        <v>127</v>
      </c>
      <c r="B21" s="32" t="s">
        <v>153</v>
      </c>
      <c r="C21" s="32" t="s">
        <v>129</v>
      </c>
      <c r="D21" s="54" t="n">
        <v>641</v>
      </c>
      <c r="E21" s="54" t="n">
        <v>660</v>
      </c>
      <c r="F21" s="65" t="n">
        <f aca="false">IF(E21="","",D21-E21)</f>
        <v>-19</v>
      </c>
      <c r="G21" s="54" t="n">
        <v>897</v>
      </c>
      <c r="H21" s="54" t="n">
        <v>913</v>
      </c>
      <c r="I21" s="65" t="n">
        <f aca="false">IF(H21="","",G21-H21)</f>
        <v>-16</v>
      </c>
      <c r="J21" s="55" t="n">
        <f aca="false">IF(OR(D21="",D21+G21=0),"",D21/(D21+G21))</f>
        <v>0.416775032509753</v>
      </c>
      <c r="K21" s="55" t="n">
        <f aca="false">IF(E21="","",E21/(E21+H21))</f>
        <v>0.41958041958042</v>
      </c>
      <c r="L21" s="66" t="n">
        <f aca="false">IF(OR(K21="",J21=""),"",(J21-K21)*100)</f>
        <v>-0.280538707066663</v>
      </c>
      <c r="M21" s="36" t="n">
        <v>3.74498218247512</v>
      </c>
      <c r="N21" s="36" t="n">
        <v>2.07636327875789</v>
      </c>
      <c r="O21" s="36" t="n">
        <f aca="false">SQRT(M21^2+N21^2)</f>
        <v>4.28207613342294</v>
      </c>
      <c r="P21" s="55" t="n">
        <f aca="false">IF(J21="","",MAX(0,J21-1.96*O21/100))</f>
        <v>0.332846340294663</v>
      </c>
      <c r="Q21" s="55" t="n">
        <f aca="false">IF(J21="","",MIN(1,J21+1.96*O21/100))</f>
        <v>0.500703724724843</v>
      </c>
      <c r="R21" s="32" t="str">
        <f aca="false">IF(L21="","",IF(ABS(L21)&lt;=O21,"Yes","No"))</f>
        <v>Yes</v>
      </c>
      <c r="S21" s="32" t="str">
        <f aca="false">IF(L21="","",IF(ABS(L21)&lt;=1.96*O21,"Yes","No"))</f>
        <v>Yes</v>
      </c>
      <c r="T21" s="54" t="n">
        <f aca="false">IF(D21="","",ROUND(SQRT(((D21+G21)*O21/100)^2+(J21*(D21+G21)*0.09173)^2),0))</f>
        <v>88</v>
      </c>
      <c r="U21" s="32"/>
    </row>
    <row r="22" customFormat="false" ht="15" hidden="false" customHeight="false" outlineLevel="0" collapsed="false">
      <c r="A22" s="32" t="s">
        <v>127</v>
      </c>
      <c r="B22" s="32" t="s">
        <v>154</v>
      </c>
      <c r="C22" s="32" t="s">
        <v>129</v>
      </c>
      <c r="D22" s="54" t="n">
        <v>664</v>
      </c>
      <c r="E22" s="54" t="n">
        <v>802</v>
      </c>
      <c r="F22" s="65" t="n">
        <f aca="false">IF(E22="","",D22-E22)</f>
        <v>-138</v>
      </c>
      <c r="G22" s="54" t="n">
        <v>1980</v>
      </c>
      <c r="H22" s="54" t="n">
        <v>1955</v>
      </c>
      <c r="I22" s="65" t="n">
        <f aca="false">IF(H22="","",G22-H22)</f>
        <v>25</v>
      </c>
      <c r="J22" s="55" t="n">
        <f aca="false">IF(OR(D22="",D22+G22=0),"",D22/(D22+G22))</f>
        <v>0.251134644478064</v>
      </c>
      <c r="K22" s="55" t="n">
        <f aca="false">IF(E22="","",E22/(E22+H22))</f>
        <v>0.290895901342038</v>
      </c>
      <c r="L22" s="66" t="n">
        <f aca="false">IF(OR(K22="",J22=""),"",(J22-K22)*100)</f>
        <v>-3.97612568639749</v>
      </c>
      <c r="M22" s="36" t="n">
        <v>2.54563009906548</v>
      </c>
      <c r="N22" s="36" t="n">
        <v>2.07636327875789</v>
      </c>
      <c r="O22" s="36" t="n">
        <f aca="false">SQRT(M22^2+N22^2)</f>
        <v>3.28504445428709</v>
      </c>
      <c r="P22" s="55" t="n">
        <f aca="false">IF(J22="","",MAX(0,J22-1.96*O22/100))</f>
        <v>0.186747773174037</v>
      </c>
      <c r="Q22" s="55" t="n">
        <f aca="false">IF(J22="","",MIN(1,J22+1.96*O22/100))</f>
        <v>0.31552151578209</v>
      </c>
      <c r="R22" s="32" t="str">
        <f aca="false">IF(L22="","",IF(ABS(L22)&lt;=O22,"Yes","No"))</f>
        <v>No</v>
      </c>
      <c r="S22" s="32" t="str">
        <f aca="false">IF(L22="","",IF(ABS(L22)&lt;=1.96*O22,"Yes","No"))</f>
        <v>Yes</v>
      </c>
      <c r="T22" s="54" t="n">
        <f aca="false">IF(D22="","",ROUND(SQRT(((D22+G22)*O22/100)^2+(J22*(D22+G22)*0.07048)^2),0))</f>
        <v>99</v>
      </c>
      <c r="U22" s="32"/>
    </row>
    <row r="23" customFormat="false" ht="15" hidden="false" customHeight="false" outlineLevel="0" collapsed="false">
      <c r="A23" s="32" t="s">
        <v>127</v>
      </c>
      <c r="B23" s="32" t="s">
        <v>155</v>
      </c>
      <c r="C23" s="32" t="s">
        <v>129</v>
      </c>
      <c r="D23" s="54" t="n">
        <v>305</v>
      </c>
      <c r="E23" s="54" t="n">
        <v>351</v>
      </c>
      <c r="F23" s="65" t="n">
        <f aca="false">IF(E23="","",D23-E23)</f>
        <v>-46</v>
      </c>
      <c r="G23" s="54" t="n">
        <v>884</v>
      </c>
      <c r="H23" s="54" t="n">
        <v>849</v>
      </c>
      <c r="I23" s="65" t="n">
        <f aca="false">IF(H23="","",G23-H23)</f>
        <v>35</v>
      </c>
      <c r="J23" s="55" t="n">
        <f aca="false">IF(OR(D23="",D23+G23=0),"",D23/(D23+G23))</f>
        <v>0.256518082422204</v>
      </c>
      <c r="K23" s="55" t="n">
        <f aca="false">IF(E23="","",E23/(E23+H23))</f>
        <v>0.2925</v>
      </c>
      <c r="L23" s="66" t="n">
        <f aca="false">IF(OR(K23="",J23=""),"",(J23-K23)*100)</f>
        <v>-3.59819175777965</v>
      </c>
      <c r="M23" s="36" t="n">
        <v>3.74498218247512</v>
      </c>
      <c r="N23" s="36" t="n">
        <v>2.07636327875789</v>
      </c>
      <c r="O23" s="36" t="n">
        <f aca="false">SQRT(M23^2+N23^2)</f>
        <v>4.28207613342294</v>
      </c>
      <c r="P23" s="55" t="n">
        <f aca="false">IF(J23="","",MAX(0,J23-1.96*O23/100))</f>
        <v>0.172589390207114</v>
      </c>
      <c r="Q23" s="55" t="n">
        <f aca="false">IF(J23="","",MIN(1,J23+1.96*O23/100))</f>
        <v>0.340446774637293</v>
      </c>
      <c r="R23" s="32" t="str">
        <f aca="false">IF(L23="","",IF(ABS(L23)&lt;=O23,"Yes","No"))</f>
        <v>Yes</v>
      </c>
      <c r="S23" s="32" t="str">
        <f aca="false">IF(L23="","",IF(ABS(L23)&lt;=1.96*O23,"Yes","No"))</f>
        <v>Yes</v>
      </c>
      <c r="T23" s="54" t="n">
        <f aca="false">IF(D23="","",ROUND(SQRT(((D23+G23)*O23/100)^2+(J23*(D23+G23)*0.09173)^2),0))</f>
        <v>58</v>
      </c>
      <c r="U23" s="32"/>
    </row>
    <row r="24" customFormat="false" ht="15" hidden="false" customHeight="false" outlineLevel="0" collapsed="false">
      <c r="A24" s="32" t="s">
        <v>127</v>
      </c>
      <c r="B24" s="32" t="s">
        <v>156</v>
      </c>
      <c r="C24" s="32" t="s">
        <v>129</v>
      </c>
      <c r="D24" s="54" t="n">
        <v>55</v>
      </c>
      <c r="E24" s="54" t="n">
        <v>58</v>
      </c>
      <c r="F24" s="65" t="n">
        <f aca="false">IF(E24="","",D24-E24)</f>
        <v>-3</v>
      </c>
      <c r="G24" s="54" t="n">
        <v>88</v>
      </c>
      <c r="H24" s="54" t="n">
        <v>105</v>
      </c>
      <c r="I24" s="65" t="n">
        <f aca="false">IF(H24="","",G24-H24)</f>
        <v>-17</v>
      </c>
      <c r="J24" s="55" t="n">
        <f aca="false">IF(OR(D24="",D24+G24=0),"",D24/(D24+G24))</f>
        <v>0.384615384615385</v>
      </c>
      <c r="K24" s="55" t="n">
        <f aca="false">IF(E24="","",E24/(E24+H24))</f>
        <v>0.355828220858896</v>
      </c>
      <c r="L24" s="66" t="n">
        <f aca="false">IF(OR(K24="",J24=""),"",(J24-K24)*100)</f>
        <v>2.87871637564889</v>
      </c>
      <c r="M24" s="36" t="n">
        <v>3.74498218247512</v>
      </c>
      <c r="N24" s="36" t="n">
        <v>2.07636327875789</v>
      </c>
      <c r="O24" s="36" t="n">
        <f aca="false">SQRT(M24^2+N24^2)</f>
        <v>4.28207613342294</v>
      </c>
      <c r="P24" s="55" t="n">
        <f aca="false">IF(J24="","",MAX(0,J24-1.96*O24/100))</f>
        <v>0.300686692400295</v>
      </c>
      <c r="Q24" s="55" t="n">
        <f aca="false">IF(J24="","",MIN(1,J24+1.96*O24/100))</f>
        <v>0.468544076830474</v>
      </c>
      <c r="R24" s="32" t="str">
        <f aca="false">IF(L24="","",IF(ABS(L24)&lt;=O24,"Yes","No"))</f>
        <v>Yes</v>
      </c>
      <c r="S24" s="32" t="str">
        <f aca="false">IF(L24="","",IF(ABS(L24)&lt;=1.96*O24,"Yes","No"))</f>
        <v>Yes</v>
      </c>
      <c r="T24" s="54" t="n">
        <f aca="false">IF(D24="","",ROUND(SQRT(((D24+G24)*O24/100)^2+(J24*(D24+G24)*0.09173)^2),0))</f>
        <v>8</v>
      </c>
      <c r="U24" s="32"/>
    </row>
    <row r="25" customFormat="false" ht="15" hidden="false" customHeight="false" outlineLevel="0" collapsed="false">
      <c r="A25" s="32" t="s">
        <v>157</v>
      </c>
      <c r="B25" s="32" t="s">
        <v>158</v>
      </c>
      <c r="C25" s="32" t="s">
        <v>129</v>
      </c>
      <c r="D25" s="54" t="n">
        <v>662</v>
      </c>
      <c r="E25" s="54" t="n">
        <v>601</v>
      </c>
      <c r="F25" s="65" t="n">
        <f aca="false">IF(E25="","",D25-E25)</f>
        <v>61</v>
      </c>
      <c r="G25" s="54" t="n">
        <v>752</v>
      </c>
      <c r="H25" s="54" t="n">
        <v>766</v>
      </c>
      <c r="I25" s="65" t="n">
        <f aca="false">IF(H25="","",G25-H25)</f>
        <v>-14</v>
      </c>
      <c r="J25" s="55" t="n">
        <f aca="false">IF(OR(D25="",D25+G25=0),"",D25/(D25+G25))</f>
        <v>0.468175388967468</v>
      </c>
      <c r="K25" s="55" t="n">
        <f aca="false">IF(E25="","",E25/(E25+H25))</f>
        <v>0.439648866130212</v>
      </c>
      <c r="L25" s="66" t="n">
        <f aca="false">IF(OR(K25="",J25=""),"",(J25-K25)*100)</f>
        <v>2.8526522837256</v>
      </c>
      <c r="M25" s="36" t="n">
        <v>3.74498218247512</v>
      </c>
      <c r="N25" s="36" t="n">
        <v>2.07636327875789</v>
      </c>
      <c r="O25" s="36" t="n">
        <f aca="false">SQRT(M25^2+N25^2)</f>
        <v>4.28207613342294</v>
      </c>
      <c r="P25" s="55" t="n">
        <f aca="false">IF(J25="","",MAX(0,J25-1.96*O25/100))</f>
        <v>0.384246696752379</v>
      </c>
      <c r="Q25" s="55" t="n">
        <f aca="false">IF(J25="","",MIN(1,J25+1.96*O25/100))</f>
        <v>0.552104081182558</v>
      </c>
      <c r="R25" s="32" t="str">
        <f aca="false">IF(L25="","",IF(ABS(L25)&lt;=O25,"Yes","No"))</f>
        <v>Yes</v>
      </c>
      <c r="S25" s="32" t="str">
        <f aca="false">IF(L25="","",IF(ABS(L25)&lt;=1.96*O25,"Yes","No"))</f>
        <v>Yes</v>
      </c>
      <c r="T25" s="54" t="n">
        <f aca="false">IF(D25="","",ROUND(SQRT(((D25+G25)*O25/100)^2+(J25*(D25+G25)*0.09173)^2),0))</f>
        <v>86</v>
      </c>
      <c r="U25" s="32"/>
    </row>
    <row r="26" customFormat="false" ht="15" hidden="false" customHeight="false" outlineLevel="0" collapsed="false">
      <c r="A26" s="32" t="s">
        <v>157</v>
      </c>
      <c r="B26" s="32" t="s">
        <v>159</v>
      </c>
      <c r="C26" s="32" t="s">
        <v>129</v>
      </c>
      <c r="D26" s="54" t="n">
        <v>28192</v>
      </c>
      <c r="E26" s="54" t="n">
        <v>26568</v>
      </c>
      <c r="F26" s="65" t="n">
        <f aca="false">IF(E26="","",D26-E26)</f>
        <v>1624</v>
      </c>
      <c r="G26" s="54" t="n">
        <v>13493</v>
      </c>
      <c r="H26" s="54" t="n">
        <v>14583</v>
      </c>
      <c r="I26" s="65" t="n">
        <f aca="false">IF(H26="","",G26-H26)</f>
        <v>-1090</v>
      </c>
      <c r="J26" s="55" t="n">
        <f aca="false">IF(OR(D26="",D26+G26=0),"",D26/(D26+G26))</f>
        <v>0.676310423413698</v>
      </c>
      <c r="K26" s="55" t="n">
        <f aca="false">IF(E26="","",E26/(E26+H26))</f>
        <v>0.645622220602172</v>
      </c>
      <c r="L26" s="66" t="n">
        <f aca="false">IF(OR(K26="",J26=""),"",(J26-K26)*100)</f>
        <v>3.06882028115255</v>
      </c>
      <c r="M26" s="36" t="n">
        <v>1.81924294984712</v>
      </c>
      <c r="N26" s="36" t="n">
        <v>2.07636327875789</v>
      </c>
      <c r="O26" s="36" t="n">
        <f aca="false">SQRT(M26^2+N26^2)</f>
        <v>2.7606030819266</v>
      </c>
      <c r="P26" s="55" t="n">
        <f aca="false">IF(J26="","",MAX(0,J26-1.96*O26/100))</f>
        <v>0.622202603007937</v>
      </c>
      <c r="Q26" s="55" t="n">
        <f aca="false">IF(J26="","",MIN(1,J26+1.96*O26/100))</f>
        <v>0.730418243819459</v>
      </c>
      <c r="R26" s="32" t="str">
        <f aca="false">IF(L26="","",IF(ABS(L26)&lt;=O26,"Yes","No"))</f>
        <v>No</v>
      </c>
      <c r="S26" s="32" t="str">
        <f aca="false">IF(L26="","",IF(ABS(L26)&lt;=1.96*O26,"Yes","No"))</f>
        <v>Yes</v>
      </c>
      <c r="T26" s="54" t="n">
        <f aca="false">IF(D26="","",ROUND(SQRT(((D26+G26)*O26/100)^2+(J26*(D26+G26)*0.06406)^2),0))</f>
        <v>2141</v>
      </c>
      <c r="U26" s="32"/>
    </row>
    <row r="27" customFormat="false" ht="15" hidden="false" customHeight="false" outlineLevel="0" collapsed="false">
      <c r="A27" s="32" t="s">
        <v>157</v>
      </c>
      <c r="B27" s="32" t="s">
        <v>160</v>
      </c>
      <c r="C27" s="32" t="s">
        <v>129</v>
      </c>
      <c r="D27" s="54" t="n">
        <v>6831</v>
      </c>
      <c r="E27" s="54" t="n">
        <v>6612</v>
      </c>
      <c r="F27" s="65" t="n">
        <f aca="false">IF(E27="","",D27-E27)</f>
        <v>219</v>
      </c>
      <c r="G27" s="54" t="n">
        <v>3809</v>
      </c>
      <c r="H27" s="54" t="n">
        <v>3834</v>
      </c>
      <c r="I27" s="65" t="n">
        <f aca="false">IF(H27="","",G27-H27)</f>
        <v>-25</v>
      </c>
      <c r="J27" s="55" t="n">
        <f aca="false">IF(OR(D27="",D27+G27=0),"",D27/(D27+G27))</f>
        <v>0.642011278195489</v>
      </c>
      <c r="K27" s="55" t="n">
        <f aca="false">IF(E27="","",E27/(E27+H27))</f>
        <v>0.632969557725445</v>
      </c>
      <c r="L27" s="66" t="n">
        <f aca="false">IF(OR(K27="",J27=""),"",(J27-K27)*100)</f>
        <v>0.904172047004359</v>
      </c>
      <c r="M27" s="36" t="n">
        <v>1.81924294984712</v>
      </c>
      <c r="N27" s="36" t="n">
        <v>2.07636327875789</v>
      </c>
      <c r="O27" s="36" t="n">
        <f aca="false">SQRT(M27^2+N27^2)</f>
        <v>2.7606030819266</v>
      </c>
      <c r="P27" s="55" t="n">
        <f aca="false">IF(J27="","",MAX(0,J27-1.96*O27/100))</f>
        <v>0.587903457789727</v>
      </c>
      <c r="Q27" s="55" t="n">
        <f aca="false">IF(J27="","",MIN(1,J27+1.96*O27/100))</f>
        <v>0.69611909860125</v>
      </c>
      <c r="R27" s="32" t="str">
        <f aca="false">IF(L27="","",IF(ABS(L27)&lt;=O27,"Yes","No"))</f>
        <v>Yes</v>
      </c>
      <c r="S27" s="32" t="str">
        <f aca="false">IF(L27="","",IF(ABS(L27)&lt;=1.96*O27,"Yes","No"))</f>
        <v>Yes</v>
      </c>
      <c r="T27" s="54" t="n">
        <f aca="false">IF(D27="","",ROUND(SQRT(((D27+G27)*O27/100)^2+(J27*(D27+G27)*0.06406)^2),0))</f>
        <v>527</v>
      </c>
      <c r="U27" s="32"/>
    </row>
    <row r="28" customFormat="false" ht="15" hidden="false" customHeight="false" outlineLevel="0" collapsed="false">
      <c r="A28" s="32" t="s">
        <v>157</v>
      </c>
      <c r="B28" s="32" t="s">
        <v>161</v>
      </c>
      <c r="C28" s="32" t="s">
        <v>129</v>
      </c>
      <c r="D28" s="54" t="n">
        <v>1595</v>
      </c>
      <c r="E28" s="54" t="n">
        <v>1560</v>
      </c>
      <c r="F28" s="65" t="n">
        <f aca="false">IF(E28="","",D28-E28)</f>
        <v>35</v>
      </c>
      <c r="G28" s="54" t="n">
        <v>1491</v>
      </c>
      <c r="H28" s="54" t="n">
        <v>1491</v>
      </c>
      <c r="I28" s="65" t="n">
        <f aca="false">IF(H28="","",G28-H28)</f>
        <v>0</v>
      </c>
      <c r="J28" s="55" t="n">
        <f aca="false">IF(OR(D28="",D28+G28=0),"",D28/(D28+G28))</f>
        <v>0.516850291639663</v>
      </c>
      <c r="K28" s="55" t="n">
        <f aca="false">IF(E28="","",E28/(E28+H28))</f>
        <v>0.511307767944936</v>
      </c>
      <c r="L28" s="66" t="n">
        <f aca="false">IF(OR(K28="",J28=""),"",(J28-K28)*100)</f>
        <v>0.554252369472696</v>
      </c>
      <c r="M28" s="36" t="n">
        <v>2.54563009906548</v>
      </c>
      <c r="N28" s="36" t="n">
        <v>2.07636327875789</v>
      </c>
      <c r="O28" s="36" t="n">
        <f aca="false">SQRT(M28^2+N28^2)</f>
        <v>3.28504445428709</v>
      </c>
      <c r="P28" s="55" t="n">
        <f aca="false">IF(J28="","",MAX(0,J28-1.96*O28/100))</f>
        <v>0.452463420335636</v>
      </c>
      <c r="Q28" s="55" t="n">
        <f aca="false">IF(J28="","",MIN(1,J28+1.96*O28/100))</f>
        <v>0.58123716294369</v>
      </c>
      <c r="R28" s="32" t="str">
        <f aca="false">IF(L28="","",IF(ABS(L28)&lt;=O28,"Yes","No"))</f>
        <v>Yes</v>
      </c>
      <c r="S28" s="32" t="str">
        <f aca="false">IF(L28="","",IF(ABS(L28)&lt;=1.96*O28,"Yes","No"))</f>
        <v>Yes</v>
      </c>
      <c r="T28" s="54" t="n">
        <f aca="false">IF(D28="","",ROUND(SQRT(((D28+G28)*O28/100)^2+(J28*(D28+G28)*0.07048)^2),0))</f>
        <v>151</v>
      </c>
      <c r="U28" s="32"/>
    </row>
    <row r="29" customFormat="false" ht="15" hidden="false" customHeight="false" outlineLevel="0" collapsed="false">
      <c r="A29" s="32" t="s">
        <v>157</v>
      </c>
      <c r="B29" s="32" t="s">
        <v>162</v>
      </c>
      <c r="C29" s="32" t="s">
        <v>129</v>
      </c>
      <c r="D29" s="54" t="n">
        <v>737</v>
      </c>
      <c r="E29" s="54" t="n">
        <v>735</v>
      </c>
      <c r="F29" s="65" t="n">
        <f aca="false">IF(E29="","",D29-E29)</f>
        <v>2</v>
      </c>
      <c r="G29" s="54" t="n">
        <v>834</v>
      </c>
      <c r="H29" s="54" t="n">
        <v>804</v>
      </c>
      <c r="I29" s="65" t="n">
        <f aca="false">IF(H29="","",G29-H29)</f>
        <v>30</v>
      </c>
      <c r="J29" s="55" t="n">
        <f aca="false">IF(OR(D29="",D29+G29=0),"",D29/(D29+G29))</f>
        <v>0.469127943984723</v>
      </c>
      <c r="K29" s="55" t="n">
        <f aca="false">IF(E29="","",E29/(E29+H29))</f>
        <v>0.477582846003899</v>
      </c>
      <c r="L29" s="66" t="n">
        <f aca="false">IF(OR(K29="",J29=""),"",(J29-K29)*100)</f>
        <v>-0.845490201917548</v>
      </c>
      <c r="M29" s="36" t="n">
        <v>2.54563009906548</v>
      </c>
      <c r="N29" s="36" t="n">
        <v>2.07636327875789</v>
      </c>
      <c r="O29" s="36" t="n">
        <f aca="false">SQRT(M29^2+N29^2)</f>
        <v>3.28504445428709</v>
      </c>
      <c r="P29" s="55" t="n">
        <f aca="false">IF(J29="","",MAX(0,J29-1.96*O29/100))</f>
        <v>0.404741072680696</v>
      </c>
      <c r="Q29" s="55" t="n">
        <f aca="false">IF(J29="","",MIN(1,J29+1.96*O29/100))</f>
        <v>0.53351481528875</v>
      </c>
      <c r="R29" s="32" t="str">
        <f aca="false">IF(L29="","",IF(ABS(L29)&lt;=O29,"Yes","No"))</f>
        <v>Yes</v>
      </c>
      <c r="S29" s="32" t="str">
        <f aca="false">IF(L29="","",IF(ABS(L29)&lt;=1.96*O29,"Yes","No"))</f>
        <v>Yes</v>
      </c>
      <c r="T29" s="54" t="n">
        <f aca="false">IF(D29="","",ROUND(SQRT(((D29+G29)*O29/100)^2+(J29*(D29+G29)*0.07048)^2),0))</f>
        <v>73</v>
      </c>
      <c r="U29" s="32"/>
    </row>
    <row r="30" customFormat="false" ht="15" hidden="false" customHeight="false" outlineLevel="0" collapsed="false">
      <c r="A30" s="32" t="s">
        <v>157</v>
      </c>
      <c r="B30" s="32" t="s">
        <v>163</v>
      </c>
      <c r="C30" s="32" t="s">
        <v>129</v>
      </c>
      <c r="D30" s="54" t="n">
        <v>943</v>
      </c>
      <c r="E30" s="54" t="n">
        <v>899</v>
      </c>
      <c r="F30" s="65" t="n">
        <f aca="false">IF(E30="","",D30-E30)</f>
        <v>44</v>
      </c>
      <c r="G30" s="54" t="n">
        <v>894</v>
      </c>
      <c r="H30" s="54" t="n">
        <v>898</v>
      </c>
      <c r="I30" s="65" t="n">
        <f aca="false">IF(H30="","",G30-H30)</f>
        <v>-4</v>
      </c>
      <c r="J30" s="55" t="n">
        <f aca="false">IF(OR(D30="",D30+G30=0),"",D30/(D30+G30))</f>
        <v>0.513336962438759</v>
      </c>
      <c r="K30" s="55" t="n">
        <f aca="false">IF(E30="","",E30/(E30+H30))</f>
        <v>0.500278241513634</v>
      </c>
      <c r="L30" s="66" t="n">
        <f aca="false">IF(OR(K30="",J30=""),"",(J30-K30)*100)</f>
        <v>1.30587209251249</v>
      </c>
      <c r="M30" s="36" t="n">
        <v>2.54563009906548</v>
      </c>
      <c r="N30" s="36" t="n">
        <v>2.07636327875789</v>
      </c>
      <c r="O30" s="36" t="n">
        <f aca="false">SQRT(M30^2+N30^2)</f>
        <v>3.28504445428709</v>
      </c>
      <c r="P30" s="55" t="n">
        <f aca="false">IF(J30="","",MAX(0,J30-1.96*O30/100))</f>
        <v>0.448950091134732</v>
      </c>
      <c r="Q30" s="55" t="n">
        <f aca="false">IF(J30="","",MIN(1,J30+1.96*O30/100))</f>
        <v>0.577723833742786</v>
      </c>
      <c r="R30" s="32" t="str">
        <f aca="false">IF(L30="","",IF(ABS(L30)&lt;=O30,"Yes","No"))</f>
        <v>Yes</v>
      </c>
      <c r="S30" s="32" t="str">
        <f aca="false">IF(L30="","",IF(ABS(L30)&lt;=1.96*O30,"Yes","No"))</f>
        <v>Yes</v>
      </c>
      <c r="T30" s="54" t="n">
        <f aca="false">IF(D30="","",ROUND(SQRT(((D30+G30)*O30/100)^2+(J30*(D30+G30)*0.07048)^2),0))</f>
        <v>90</v>
      </c>
      <c r="U30" s="32"/>
    </row>
    <row r="31" customFormat="false" ht="15" hidden="false" customHeight="false" outlineLevel="0" collapsed="false">
      <c r="A31" s="32" t="s">
        <v>157</v>
      </c>
      <c r="B31" s="32" t="s">
        <v>164</v>
      </c>
      <c r="C31" s="32" t="s">
        <v>129</v>
      </c>
      <c r="D31" s="54" t="n">
        <v>3608</v>
      </c>
      <c r="E31" s="54" t="n">
        <v>3663</v>
      </c>
      <c r="F31" s="65" t="n">
        <f aca="false">IF(E31="","",D31-E31)</f>
        <v>-55</v>
      </c>
      <c r="G31" s="54" t="n">
        <v>3250</v>
      </c>
      <c r="H31" s="54" t="n">
        <v>3236</v>
      </c>
      <c r="I31" s="65" t="n">
        <f aca="false">IF(H31="","",G31-H31)</f>
        <v>14</v>
      </c>
      <c r="J31" s="55" t="n">
        <f aca="false">IF(OR(D31="",D31+G31=0),"",D31/(D31+G31))</f>
        <v>0.52610090405366</v>
      </c>
      <c r="K31" s="55" t="n">
        <f aca="false">IF(E31="","",E31/(E31+H31))</f>
        <v>0.530946513987535</v>
      </c>
      <c r="L31" s="66" t="n">
        <f aca="false">IF(OR(K31="",J31=""),"",(J31-K31)*100)</f>
        <v>-0.484560993387451</v>
      </c>
      <c r="M31" s="36" t="n">
        <v>1.81924294984712</v>
      </c>
      <c r="N31" s="36" t="n">
        <v>2.07636327875789</v>
      </c>
      <c r="O31" s="36" t="n">
        <f aca="false">SQRT(M31^2+N31^2)</f>
        <v>2.7606030819266</v>
      </c>
      <c r="P31" s="55" t="n">
        <f aca="false">IF(J31="","",MAX(0,J31-1.96*O31/100))</f>
        <v>0.471993083647899</v>
      </c>
      <c r="Q31" s="55" t="n">
        <f aca="false">IF(J31="","",MIN(1,J31+1.96*O31/100))</f>
        <v>0.580208724459421</v>
      </c>
      <c r="R31" s="32" t="str">
        <f aca="false">IF(L31="","",IF(ABS(L31)&lt;=O31,"Yes","No"))</f>
        <v>Yes</v>
      </c>
      <c r="S31" s="32" t="str">
        <f aca="false">IF(L31="","",IF(ABS(L31)&lt;=1.96*O31,"Yes","No"))</f>
        <v>Yes</v>
      </c>
      <c r="T31" s="54" t="n">
        <f aca="false">IF(D31="","",ROUND(SQRT(((D31+G31)*O31/100)^2+(J31*(D31+G31)*0.06406)^2),0))</f>
        <v>299</v>
      </c>
      <c r="U31" s="32"/>
    </row>
    <row r="32" customFormat="false" ht="15" hidden="false" customHeight="false" outlineLevel="0" collapsed="false">
      <c r="A32" s="32" t="s">
        <v>157</v>
      </c>
      <c r="B32" s="32" t="s">
        <v>165</v>
      </c>
      <c r="C32" s="32" t="s">
        <v>129</v>
      </c>
      <c r="D32" s="54" t="n">
        <v>1575</v>
      </c>
      <c r="E32" s="54" t="n">
        <v>1433</v>
      </c>
      <c r="F32" s="65" t="n">
        <f aca="false">IF(E32="","",D32-E32)</f>
        <v>142</v>
      </c>
      <c r="G32" s="54" t="n">
        <v>766</v>
      </c>
      <c r="H32" s="54" t="n">
        <v>793</v>
      </c>
      <c r="I32" s="65" t="n">
        <f aca="false">IF(H32="","",G32-H32)</f>
        <v>-27</v>
      </c>
      <c r="J32" s="55" t="n">
        <f aca="false">IF(OR(D32="",D32+G32=0),"",D32/(D32+G32))</f>
        <v>0.672789406236651</v>
      </c>
      <c r="K32" s="55" t="n">
        <f aca="false">IF(E32="","",E32/(E32+H32))</f>
        <v>0.643755615453729</v>
      </c>
      <c r="L32" s="66" t="n">
        <f aca="false">IF(OR(K32="",J32=""),"",(J32-K32)*100)</f>
        <v>2.90337907829223</v>
      </c>
      <c r="M32" s="36" t="n">
        <v>2.54563009906548</v>
      </c>
      <c r="N32" s="36" t="n">
        <v>2.07636327875789</v>
      </c>
      <c r="O32" s="36" t="n">
        <f aca="false">SQRT(M32^2+N32^2)</f>
        <v>3.28504445428709</v>
      </c>
      <c r="P32" s="55" t="n">
        <f aca="false">IF(J32="","",MAX(0,J32-1.96*O32/100))</f>
        <v>0.608402534932624</v>
      </c>
      <c r="Q32" s="55" t="n">
        <f aca="false">IF(J32="","",MIN(1,J32+1.96*O32/100))</f>
        <v>0.737176277540678</v>
      </c>
      <c r="R32" s="32" t="str">
        <f aca="false">IF(L32="","",IF(ABS(L32)&lt;=O32,"Yes","No"))</f>
        <v>Yes</v>
      </c>
      <c r="S32" s="32" t="str">
        <f aca="false">IF(L32="","",IF(ABS(L32)&lt;=1.96*O32,"Yes","No"))</f>
        <v>Yes</v>
      </c>
      <c r="T32" s="54" t="n">
        <f aca="false">IF(D32="","",ROUND(SQRT(((D32+G32)*O32/100)^2+(J32*(D32+G32)*0.07048)^2),0))</f>
        <v>135</v>
      </c>
      <c r="U32" s="32"/>
    </row>
    <row r="33" customFormat="false" ht="15" hidden="false" customHeight="false" outlineLevel="0" collapsed="false">
      <c r="A33" s="32" t="s">
        <v>157</v>
      </c>
      <c r="B33" s="32" t="s">
        <v>166</v>
      </c>
      <c r="C33" s="32" t="s">
        <v>129</v>
      </c>
      <c r="D33" s="54" t="n">
        <v>397</v>
      </c>
      <c r="E33" s="54" t="n">
        <v>379</v>
      </c>
      <c r="F33" s="65" t="n">
        <f aca="false">IF(E33="","",D33-E33)</f>
        <v>18</v>
      </c>
      <c r="G33" s="54" t="n">
        <v>342</v>
      </c>
      <c r="H33" s="54" t="n">
        <v>330</v>
      </c>
      <c r="I33" s="65" t="n">
        <f aca="false">IF(H33="","",G33-H33)</f>
        <v>12</v>
      </c>
      <c r="J33" s="55" t="n">
        <f aca="false">IF(OR(D33="",D33+G33=0),"",D33/(D33+G33))</f>
        <v>0.537212449255751</v>
      </c>
      <c r="K33" s="55" t="n">
        <f aca="false">IF(E33="","",E33/(E33+H33))</f>
        <v>0.534555712270804</v>
      </c>
      <c r="L33" s="66" t="n">
        <f aca="false">IF(OR(K33="",J33=""),"",(J33-K33)*100)</f>
        <v>0.265673698494717</v>
      </c>
      <c r="M33" s="36" t="n">
        <v>3.74498218247512</v>
      </c>
      <c r="N33" s="36" t="n">
        <v>2.07636327875789</v>
      </c>
      <c r="O33" s="36" t="n">
        <f aca="false">SQRT(M33^2+N33^2)</f>
        <v>4.28207613342294</v>
      </c>
      <c r="P33" s="55" t="n">
        <f aca="false">IF(J33="","",MAX(0,J33-1.96*O33/100))</f>
        <v>0.453283757040662</v>
      </c>
      <c r="Q33" s="55" t="n">
        <f aca="false">IF(J33="","",MIN(1,J33+1.96*O33/100))</f>
        <v>0.621141141470841</v>
      </c>
      <c r="R33" s="32" t="str">
        <f aca="false">IF(L33="","",IF(ABS(L33)&lt;=O33,"Yes","No"))</f>
        <v>Yes</v>
      </c>
      <c r="S33" s="32" t="str">
        <f aca="false">IF(L33="","",IF(ABS(L33)&lt;=1.96*O33,"Yes","No"))</f>
        <v>Yes</v>
      </c>
      <c r="T33" s="54" t="n">
        <f aca="false">IF(D33="","",ROUND(SQRT(((D33+G33)*O33/100)^2+(J33*(D33+G33)*0.09173)^2),0))</f>
        <v>48</v>
      </c>
      <c r="U33" s="32"/>
    </row>
    <row r="34" customFormat="false" ht="15" hidden="false" customHeight="false" outlineLevel="0" collapsed="false">
      <c r="A34" s="32" t="s">
        <v>157</v>
      </c>
      <c r="B34" s="32" t="s">
        <v>167</v>
      </c>
      <c r="C34" s="32" t="s">
        <v>129</v>
      </c>
      <c r="D34" s="54" t="n">
        <v>595</v>
      </c>
      <c r="E34" s="54" t="n">
        <v>654</v>
      </c>
      <c r="F34" s="65" t="n">
        <f aca="false">IF(E34="","",D34-E34)</f>
        <v>-59</v>
      </c>
      <c r="G34" s="54" t="n">
        <v>1459</v>
      </c>
      <c r="H34" s="54" t="n">
        <v>1439</v>
      </c>
      <c r="I34" s="65" t="n">
        <f aca="false">IF(H34="","",G34-H34)</f>
        <v>20</v>
      </c>
      <c r="J34" s="55" t="n">
        <f aca="false">IF(OR(D34="",D34+G34=0),"",D34/(D34+G34))</f>
        <v>0.289678675754625</v>
      </c>
      <c r="K34" s="55" t="n">
        <f aca="false">IF(E34="","",E34/(E34+H34))</f>
        <v>0.312470138557095</v>
      </c>
      <c r="L34" s="66" t="n">
        <f aca="false">IF(OR(K34="",J34=""),"",(J34-K34)*100)</f>
        <v>-2.279146280247</v>
      </c>
      <c r="M34" s="36" t="n">
        <v>2.54563009906548</v>
      </c>
      <c r="N34" s="36" t="n">
        <v>2.07636327875789</v>
      </c>
      <c r="O34" s="36" t="n">
        <f aca="false">SQRT(M34^2+N34^2)</f>
        <v>3.28504445428709</v>
      </c>
      <c r="P34" s="55" t="n">
        <f aca="false">IF(J34="","",MAX(0,J34-1.96*O34/100))</f>
        <v>0.225291804450598</v>
      </c>
      <c r="Q34" s="55" t="n">
        <f aca="false">IF(J34="","",MIN(1,J34+1.96*O34/100))</f>
        <v>0.354065547058652</v>
      </c>
      <c r="R34" s="32" t="str">
        <f aca="false">IF(L34="","",IF(ABS(L34)&lt;=O34,"Yes","No"))</f>
        <v>Yes</v>
      </c>
      <c r="S34" s="32" t="str">
        <f aca="false">IF(L34="","",IF(ABS(L34)&lt;=1.96*O34,"Yes","No"))</f>
        <v>Yes</v>
      </c>
      <c r="T34" s="54" t="n">
        <f aca="false">IF(D34="","",ROUND(SQRT(((D34+G34)*O34/100)^2+(J34*(D34+G34)*0.07048)^2),0))</f>
        <v>79</v>
      </c>
      <c r="U34" s="32"/>
    </row>
    <row r="35" customFormat="false" ht="15" hidden="false" customHeight="false" outlineLevel="0" collapsed="false">
      <c r="A35" s="32" t="s">
        <v>157</v>
      </c>
      <c r="B35" s="32" t="s">
        <v>168</v>
      </c>
      <c r="C35" s="32" t="s">
        <v>129</v>
      </c>
      <c r="D35" s="54" t="n">
        <v>10130</v>
      </c>
      <c r="E35" s="54" t="n">
        <v>10021</v>
      </c>
      <c r="F35" s="65" t="n">
        <f aca="false">IF(E35="","",D35-E35)</f>
        <v>109</v>
      </c>
      <c r="G35" s="54" t="n">
        <v>10306</v>
      </c>
      <c r="H35" s="54" t="n">
        <v>10199</v>
      </c>
      <c r="I35" s="65" t="n">
        <f aca="false">IF(H35="","",G35-H35)</f>
        <v>107</v>
      </c>
      <c r="J35" s="55" t="n">
        <f aca="false">IF(OR(D35="",D35+G35=0),"",D35/(D35+G35))</f>
        <v>0.495693873556469</v>
      </c>
      <c r="K35" s="55" t="n">
        <f aca="false">IF(E35="","",E35/(E35+H35))</f>
        <v>0.495598417408506</v>
      </c>
      <c r="L35" s="66" t="n">
        <f aca="false">IF(OR(K35="",J35=""),"",(J35-K35)*100)</f>
        <v>0.00954561479625804</v>
      </c>
      <c r="M35" s="36" t="n">
        <v>1.81924294984712</v>
      </c>
      <c r="N35" s="36" t="n">
        <v>2.07636327875789</v>
      </c>
      <c r="O35" s="36" t="n">
        <f aca="false">SQRT(M35^2+N35^2)</f>
        <v>2.7606030819266</v>
      </c>
      <c r="P35" s="55" t="n">
        <f aca="false">IF(J35="","",MAX(0,J35-1.96*O35/100))</f>
        <v>0.441586053150708</v>
      </c>
      <c r="Q35" s="55" t="n">
        <f aca="false">IF(J35="","",MIN(1,J35+1.96*O35/100))</f>
        <v>0.54980169396223</v>
      </c>
      <c r="R35" s="32" t="str">
        <f aca="false">IF(L35="","",IF(ABS(L35)&lt;=O35,"Yes","No"))</f>
        <v>Yes</v>
      </c>
      <c r="S35" s="32" t="str">
        <f aca="false">IF(L35="","",IF(ABS(L35)&lt;=1.96*O35,"Yes","No"))</f>
        <v>Yes</v>
      </c>
      <c r="T35" s="54" t="n">
        <f aca="false">IF(D35="","",ROUND(SQRT(((D35+G35)*O35/100)^2+(J35*(D35+G35)*0.06406)^2),0))</f>
        <v>860</v>
      </c>
      <c r="U35" s="32"/>
    </row>
    <row r="36" customFormat="false" ht="15" hidden="false" customHeight="false" outlineLevel="0" collapsed="false">
      <c r="A36" s="32" t="s">
        <v>157</v>
      </c>
      <c r="B36" s="32" t="s">
        <v>169</v>
      </c>
      <c r="C36" s="32" t="s">
        <v>129</v>
      </c>
      <c r="D36" s="54" t="n">
        <v>893</v>
      </c>
      <c r="E36" s="54" t="n">
        <v>985</v>
      </c>
      <c r="F36" s="65" t="n">
        <f aca="false">IF(E36="","",D36-E36)</f>
        <v>-92</v>
      </c>
      <c r="G36" s="54" t="n">
        <v>1708</v>
      </c>
      <c r="H36" s="54" t="n">
        <v>1586</v>
      </c>
      <c r="I36" s="65" t="n">
        <f aca="false">IF(H36="","",G36-H36)</f>
        <v>122</v>
      </c>
      <c r="J36" s="55" t="n">
        <f aca="false">IF(OR(D36="",D36+G36=0),"",D36/(D36+G36))</f>
        <v>0.343329488658208</v>
      </c>
      <c r="K36" s="55" t="n">
        <f aca="false">IF(E36="","",E36/(E36+H36))</f>
        <v>0.383119408790354</v>
      </c>
      <c r="L36" s="66" t="n">
        <f aca="false">IF(OR(K36="",J36=""),"",(J36-K36)*100)</f>
        <v>-3.97899201321456</v>
      </c>
      <c r="M36" s="36" t="n">
        <v>2.54563009906548</v>
      </c>
      <c r="N36" s="36" t="n">
        <v>2.07636327875789</v>
      </c>
      <c r="O36" s="36" t="n">
        <f aca="false">SQRT(M36^2+N36^2)</f>
        <v>3.28504445428709</v>
      </c>
      <c r="P36" s="55" t="n">
        <f aca="false">IF(J36="","",MAX(0,J36-1.96*O36/100))</f>
        <v>0.278942617354181</v>
      </c>
      <c r="Q36" s="55" t="n">
        <f aca="false">IF(J36="","",MIN(1,J36+1.96*O36/100))</f>
        <v>0.407716359962235</v>
      </c>
      <c r="R36" s="32" t="str">
        <f aca="false">IF(L36="","",IF(ABS(L36)&lt;=O36,"Yes","No"))</f>
        <v>No</v>
      </c>
      <c r="S36" s="32" t="str">
        <f aca="false">IF(L36="","",IF(ABS(L36)&lt;=1.96*O36,"Yes","No"))</f>
        <v>Yes</v>
      </c>
      <c r="T36" s="54" t="n">
        <f aca="false">IF(D36="","",ROUND(SQRT(((D36+G36)*O36/100)^2+(J36*(D36+G36)*0.07048)^2),0))</f>
        <v>106</v>
      </c>
      <c r="U36" s="32"/>
    </row>
    <row r="37" customFormat="false" ht="15" hidden="false" customHeight="false" outlineLevel="0" collapsed="false">
      <c r="A37" s="32" t="s">
        <v>157</v>
      </c>
      <c r="B37" s="32" t="s">
        <v>170</v>
      </c>
      <c r="C37" s="32" t="s">
        <v>129</v>
      </c>
      <c r="D37" s="54" t="n">
        <v>514</v>
      </c>
      <c r="E37" s="54" t="n">
        <v>543</v>
      </c>
      <c r="F37" s="65" t="n">
        <f aca="false">IF(E37="","",D37-E37)</f>
        <v>-29</v>
      </c>
      <c r="G37" s="54" t="n">
        <v>1049</v>
      </c>
      <c r="H37" s="54" t="n">
        <v>990</v>
      </c>
      <c r="I37" s="65" t="n">
        <f aca="false">IF(H37="","",G37-H37)</f>
        <v>59</v>
      </c>
      <c r="J37" s="55" t="n">
        <f aca="false">IF(OR(D37="",D37+G37=0),"",D37/(D37+G37))</f>
        <v>0.328854766474728</v>
      </c>
      <c r="K37" s="55" t="n">
        <f aca="false">IF(E37="","",E37/(E37+H37))</f>
        <v>0.354207436399217</v>
      </c>
      <c r="L37" s="66" t="n">
        <f aca="false">IF(OR(K37="",J37=""),"",(J37-K37)*100)</f>
        <v>-2.53526699244891</v>
      </c>
      <c r="M37" s="36" t="n">
        <v>2.54563009906548</v>
      </c>
      <c r="N37" s="36" t="n">
        <v>2.07636327875789</v>
      </c>
      <c r="O37" s="36" t="n">
        <f aca="false">SQRT(M37^2+N37^2)</f>
        <v>3.28504445428709</v>
      </c>
      <c r="P37" s="55" t="n">
        <f aca="false">IF(J37="","",MAX(0,J37-1.96*O37/100))</f>
        <v>0.264467895170701</v>
      </c>
      <c r="Q37" s="55" t="n">
        <f aca="false">IF(J37="","",MIN(1,J37+1.96*O37/100))</f>
        <v>0.393241637778755</v>
      </c>
      <c r="R37" s="32" t="str">
        <f aca="false">IF(L37="","",IF(ABS(L37)&lt;=O37,"Yes","No"))</f>
        <v>Yes</v>
      </c>
      <c r="S37" s="32" t="str">
        <f aca="false">IF(L37="","",IF(ABS(L37)&lt;=1.96*O37,"Yes","No"))</f>
        <v>Yes</v>
      </c>
      <c r="T37" s="54" t="n">
        <f aca="false">IF(D37="","",ROUND(SQRT(((D37+G37)*O37/100)^2+(J37*(D37+G37)*0.07048)^2),0))</f>
        <v>63</v>
      </c>
      <c r="U37" s="32"/>
    </row>
    <row r="38" customFormat="false" ht="15" hidden="false" customHeight="false" outlineLevel="0" collapsed="false">
      <c r="A38" s="32" t="s">
        <v>157</v>
      </c>
      <c r="B38" s="32" t="s">
        <v>171</v>
      </c>
      <c r="C38" s="32" t="s">
        <v>129</v>
      </c>
      <c r="D38" s="54" t="n">
        <v>792</v>
      </c>
      <c r="E38" s="54" t="n">
        <v>850</v>
      </c>
      <c r="F38" s="65" t="n">
        <f aca="false">IF(E38="","",D38-E38)</f>
        <v>-58</v>
      </c>
      <c r="G38" s="54" t="n">
        <v>1907</v>
      </c>
      <c r="H38" s="54" t="n">
        <v>1856</v>
      </c>
      <c r="I38" s="65" t="n">
        <f aca="false">IF(H38="","",G38-H38)</f>
        <v>51</v>
      </c>
      <c r="J38" s="55" t="n">
        <f aca="false">IF(OR(D38="",D38+G38=0),"",D38/(D38+G38))</f>
        <v>0.293442015561319</v>
      </c>
      <c r="K38" s="55" t="n">
        <f aca="false">IF(E38="","",E38/(E38+H38))</f>
        <v>0.314116777531412</v>
      </c>
      <c r="L38" s="66" t="n">
        <f aca="false">IF(OR(K38="",J38=""),"",(J38-K38)*100)</f>
        <v>-2.06747619700927</v>
      </c>
      <c r="M38" s="36" t="n">
        <v>2.54563009906548</v>
      </c>
      <c r="N38" s="36" t="n">
        <v>2.07636327875789</v>
      </c>
      <c r="O38" s="36" t="n">
        <f aca="false">SQRT(M38^2+N38^2)</f>
        <v>3.28504445428709</v>
      </c>
      <c r="P38" s="55" t="n">
        <f aca="false">IF(J38="","",MAX(0,J38-1.96*O38/100))</f>
        <v>0.229055144257292</v>
      </c>
      <c r="Q38" s="55" t="n">
        <f aca="false">IF(J38="","",MIN(1,J38+1.96*O38/100))</f>
        <v>0.357828886865346</v>
      </c>
      <c r="R38" s="32" t="str">
        <f aca="false">IF(L38="","",IF(ABS(L38)&lt;=O38,"Yes","No"))</f>
        <v>Yes</v>
      </c>
      <c r="S38" s="32" t="str">
        <f aca="false">IF(L38="","",IF(ABS(L38)&lt;=1.96*O38,"Yes","No"))</f>
        <v>Yes</v>
      </c>
      <c r="T38" s="54" t="n">
        <f aca="false">IF(D38="","",ROUND(SQRT(((D38+G38)*O38/100)^2+(J38*(D38+G38)*0.07048)^2),0))</f>
        <v>105</v>
      </c>
      <c r="U38" s="32"/>
    </row>
    <row r="39" customFormat="false" ht="15" hidden="false" customHeight="false" outlineLevel="0" collapsed="false">
      <c r="A39" s="32" t="s">
        <v>157</v>
      </c>
      <c r="B39" s="32" t="s">
        <v>172</v>
      </c>
      <c r="C39" s="32" t="s">
        <v>129</v>
      </c>
      <c r="D39" s="54" t="n">
        <v>980</v>
      </c>
      <c r="E39" s="54" t="n">
        <v>980</v>
      </c>
      <c r="F39" s="65" t="n">
        <f aca="false">IF(E39="","",D39-E39)</f>
        <v>0</v>
      </c>
      <c r="G39" s="54" t="n">
        <v>913</v>
      </c>
      <c r="H39" s="54" t="n">
        <v>872</v>
      </c>
      <c r="I39" s="65" t="n">
        <f aca="false">IF(H39="","",G39-H39)</f>
        <v>41</v>
      </c>
      <c r="J39" s="55" t="n">
        <f aca="false">IF(OR(D39="",D39+G39=0),"",D39/(D39+G39))</f>
        <v>0.51769677760169</v>
      </c>
      <c r="K39" s="55" t="n">
        <f aca="false">IF(E39="","",E39/(E39+H39))</f>
        <v>0.529157667386609</v>
      </c>
      <c r="L39" s="66" t="n">
        <f aca="false">IF(OR(K39="",J39=""),"",(J39-K39)*100)</f>
        <v>-1.14608897849187</v>
      </c>
      <c r="M39" s="36" t="n">
        <v>2.54563009906548</v>
      </c>
      <c r="N39" s="36" t="n">
        <v>2.07636327875789</v>
      </c>
      <c r="O39" s="36" t="n">
        <f aca="false">SQRT(M39^2+N39^2)</f>
        <v>3.28504445428709</v>
      </c>
      <c r="P39" s="55" t="n">
        <f aca="false">IF(J39="","",MAX(0,J39-1.96*O39/100))</f>
        <v>0.453309906297664</v>
      </c>
      <c r="Q39" s="55" t="n">
        <f aca="false">IF(J39="","",MIN(1,J39+1.96*O39/100))</f>
        <v>0.582083648905717</v>
      </c>
      <c r="R39" s="32" t="str">
        <f aca="false">IF(L39="","",IF(ABS(L39)&lt;=O39,"Yes","No"))</f>
        <v>Yes</v>
      </c>
      <c r="S39" s="32" t="str">
        <f aca="false">IF(L39="","",IF(ABS(L39)&lt;=1.96*O39,"Yes","No"))</f>
        <v>Yes</v>
      </c>
      <c r="T39" s="54" t="n">
        <f aca="false">IF(D39="","",ROUND(SQRT(((D39+G39)*O39/100)^2+(J39*(D39+G39)*0.07048)^2),0))</f>
        <v>93</v>
      </c>
      <c r="U39" s="32"/>
    </row>
    <row r="40" customFormat="false" ht="15" hidden="false" customHeight="false" outlineLevel="0" collapsed="false">
      <c r="A40" s="32" t="s">
        <v>157</v>
      </c>
      <c r="B40" s="32" t="s">
        <v>173</v>
      </c>
      <c r="C40" s="32" t="s">
        <v>129</v>
      </c>
      <c r="D40" s="54" t="n">
        <v>3930</v>
      </c>
      <c r="E40" s="54" t="n">
        <v>4022</v>
      </c>
      <c r="F40" s="65" t="n">
        <f aca="false">IF(E40="","",D40-E40)</f>
        <v>-92</v>
      </c>
      <c r="G40" s="54" t="n">
        <v>6107</v>
      </c>
      <c r="H40" s="54" t="n">
        <v>5915</v>
      </c>
      <c r="I40" s="65" t="n">
        <f aca="false">IF(H40="","",G40-H40)</f>
        <v>192</v>
      </c>
      <c r="J40" s="55" t="n">
        <f aca="false">IF(OR(D40="",D40+G40=0),"",D40/(D40+G40))</f>
        <v>0.391551260336754</v>
      </c>
      <c r="K40" s="55" t="n">
        <f aca="false">IF(E40="","",E40/(E40+H40))</f>
        <v>0.404749924524504</v>
      </c>
      <c r="L40" s="66" t="n">
        <f aca="false">IF(OR(K40="",J40=""),"",(J40-K40)*100)</f>
        <v>-1.31986641877503</v>
      </c>
      <c r="M40" s="36" t="n">
        <v>1.81924294984712</v>
      </c>
      <c r="N40" s="36" t="n">
        <v>2.07636327875789</v>
      </c>
      <c r="O40" s="36" t="n">
        <f aca="false">SQRT(M40^2+N40^2)</f>
        <v>2.7606030819266</v>
      </c>
      <c r="P40" s="55" t="n">
        <f aca="false">IF(J40="","",MAX(0,J40-1.96*O40/100))</f>
        <v>0.337443439930993</v>
      </c>
      <c r="Q40" s="55" t="n">
        <f aca="false">IF(J40="","",MIN(1,J40+1.96*O40/100))</f>
        <v>0.445659080742515</v>
      </c>
      <c r="R40" s="32" t="str">
        <f aca="false">IF(L40="","",IF(ABS(L40)&lt;=O40,"Yes","No"))</f>
        <v>Yes</v>
      </c>
      <c r="S40" s="32" t="str">
        <f aca="false">IF(L40="","",IF(ABS(L40)&lt;=1.96*O40,"Yes","No"))</f>
        <v>Yes</v>
      </c>
      <c r="T40" s="54" t="n">
        <f aca="false">IF(D40="","",ROUND(SQRT(((D40+G40)*O40/100)^2+(J40*(D40+G40)*0.06406)^2),0))</f>
        <v>374</v>
      </c>
      <c r="U40" s="32"/>
    </row>
    <row r="41" customFormat="false" ht="15" hidden="false" customHeight="false" outlineLevel="0" collapsed="false">
      <c r="A41" s="32" t="s">
        <v>157</v>
      </c>
      <c r="B41" s="32" t="s">
        <v>174</v>
      </c>
      <c r="C41" s="32" t="s">
        <v>129</v>
      </c>
      <c r="D41" s="54" t="n">
        <v>3967</v>
      </c>
      <c r="E41" s="54" t="n">
        <v>4010</v>
      </c>
      <c r="F41" s="65" t="n">
        <f aca="false">IF(E41="","",D41-E41)</f>
        <v>-43</v>
      </c>
      <c r="G41" s="54" t="n">
        <v>4199</v>
      </c>
      <c r="H41" s="54" t="n">
        <v>4104</v>
      </c>
      <c r="I41" s="65" t="n">
        <f aca="false">IF(H41="","",G41-H41)</f>
        <v>95</v>
      </c>
      <c r="J41" s="55" t="n">
        <f aca="false">IF(OR(D41="",D41+G41=0),"",D41/(D41+G41))</f>
        <v>0.485794758755817</v>
      </c>
      <c r="K41" s="55" t="n">
        <f aca="false">IF(E41="","",E41/(E41+H41))</f>
        <v>0.494207542519103</v>
      </c>
      <c r="L41" s="66" t="n">
        <f aca="false">IF(OR(K41="",J41=""),"",(J41-K41)*100)</f>
        <v>-0.841278376328597</v>
      </c>
      <c r="M41" s="36" t="n">
        <v>1.81924294984712</v>
      </c>
      <c r="N41" s="36" t="n">
        <v>2.07636327875789</v>
      </c>
      <c r="O41" s="36" t="n">
        <f aca="false">SQRT(M41^2+N41^2)</f>
        <v>2.7606030819266</v>
      </c>
      <c r="P41" s="55" t="n">
        <f aca="false">IF(J41="","",MAX(0,J41-1.96*O41/100))</f>
        <v>0.431686938350055</v>
      </c>
      <c r="Q41" s="55" t="n">
        <f aca="false">IF(J41="","",MIN(1,J41+1.96*O41/100))</f>
        <v>0.539902579161578</v>
      </c>
      <c r="R41" s="32" t="str">
        <f aca="false">IF(L41="","",IF(ABS(L41)&lt;=O41,"Yes","No"))</f>
        <v>Yes</v>
      </c>
      <c r="S41" s="32" t="str">
        <f aca="false">IF(L41="","",IF(ABS(L41)&lt;=1.96*O41,"Yes","No"))</f>
        <v>Yes</v>
      </c>
      <c r="T41" s="54" t="n">
        <f aca="false">IF(D41="","",ROUND(SQRT(((D41+G41)*O41/100)^2+(J41*(D41+G41)*0.06406)^2),0))</f>
        <v>340</v>
      </c>
      <c r="U41" s="32"/>
    </row>
    <row r="42" customFormat="false" ht="15" hidden="false" customHeight="false" outlineLevel="0" collapsed="false">
      <c r="A42" s="32" t="s">
        <v>157</v>
      </c>
      <c r="B42" s="32" t="s">
        <v>175</v>
      </c>
      <c r="C42" s="32" t="s">
        <v>129</v>
      </c>
      <c r="D42" s="54" t="n">
        <v>813</v>
      </c>
      <c r="E42" s="54" t="n">
        <v>800</v>
      </c>
      <c r="F42" s="65" t="n">
        <f aca="false">IF(E42="","",D42-E42)</f>
        <v>13</v>
      </c>
      <c r="G42" s="54" t="n">
        <v>1185</v>
      </c>
      <c r="H42" s="54" t="n">
        <v>1156</v>
      </c>
      <c r="I42" s="65" t="n">
        <f aca="false">IF(H42="","",G42-H42)</f>
        <v>29</v>
      </c>
      <c r="J42" s="55" t="n">
        <f aca="false">IF(OR(D42="",D42+G42=0),"",D42/(D42+G42))</f>
        <v>0.406906906906907</v>
      </c>
      <c r="K42" s="55" t="n">
        <f aca="false">IF(E42="","",E42/(E42+H42))</f>
        <v>0.408997955010225</v>
      </c>
      <c r="L42" s="66" t="n">
        <f aca="false">IF(OR(K42="",J42=""),"",(J42-K42)*100)</f>
        <v>-0.209104810331806</v>
      </c>
      <c r="M42" s="36" t="n">
        <v>2.54563009906548</v>
      </c>
      <c r="N42" s="36" t="n">
        <v>2.07636327875789</v>
      </c>
      <c r="O42" s="36" t="n">
        <f aca="false">SQRT(M42^2+N42^2)</f>
        <v>3.28504445428709</v>
      </c>
      <c r="P42" s="55" t="n">
        <f aca="false">IF(J42="","",MAX(0,J42-1.96*O42/100))</f>
        <v>0.34252003560288</v>
      </c>
      <c r="Q42" s="55" t="n">
        <f aca="false">IF(J42="","",MIN(1,J42+1.96*O42/100))</f>
        <v>0.471293778210934</v>
      </c>
      <c r="R42" s="32" t="str">
        <f aca="false">IF(L42="","",IF(ABS(L42)&lt;=O42,"Yes","No"))</f>
        <v>Yes</v>
      </c>
      <c r="S42" s="32" t="str">
        <f aca="false">IF(L42="","",IF(ABS(L42)&lt;=1.96*O42,"Yes","No"))</f>
        <v>Yes</v>
      </c>
      <c r="T42" s="54" t="n">
        <f aca="false">IF(D42="","",ROUND(SQRT(((D42+G42)*O42/100)^2+(J42*(D42+G42)*0.07048)^2),0))</f>
        <v>87</v>
      </c>
      <c r="U42" s="32"/>
    </row>
    <row r="43" customFormat="false" ht="15" hidden="false" customHeight="false" outlineLevel="0" collapsed="false">
      <c r="A43" s="32" t="s">
        <v>157</v>
      </c>
      <c r="B43" s="32" t="s">
        <v>176</v>
      </c>
      <c r="C43" s="32" t="s">
        <v>129</v>
      </c>
      <c r="D43" s="54" t="n">
        <v>6902</v>
      </c>
      <c r="E43" s="54" t="n">
        <v>7019</v>
      </c>
      <c r="F43" s="65" t="n">
        <f aca="false">IF(E43="","",D43-E43)</f>
        <v>-117</v>
      </c>
      <c r="G43" s="54" t="n">
        <v>6296</v>
      </c>
      <c r="H43" s="54" t="n">
        <v>6110</v>
      </c>
      <c r="I43" s="65" t="n">
        <f aca="false">IF(H43="","",G43-H43)</f>
        <v>186</v>
      </c>
      <c r="J43" s="55" t="n">
        <f aca="false">IF(OR(D43="",D43+G43=0),"",D43/(D43+G43))</f>
        <v>0.522958023943022</v>
      </c>
      <c r="K43" s="55" t="n">
        <f aca="false">IF(E43="","",E43/(E43+H43))</f>
        <v>0.534618021174499</v>
      </c>
      <c r="L43" s="66" t="n">
        <f aca="false">IF(OR(K43="",J43=""),"",(J43-K43)*100)</f>
        <v>-1.16599972314775</v>
      </c>
      <c r="M43" s="36" t="n">
        <v>1.81924294984712</v>
      </c>
      <c r="N43" s="36" t="n">
        <v>2.07636327875789</v>
      </c>
      <c r="O43" s="36" t="n">
        <f aca="false">SQRT(M43^2+N43^2)</f>
        <v>2.7606030819266</v>
      </c>
      <c r="P43" s="55" t="n">
        <f aca="false">IF(J43="","",MAX(0,J43-1.96*O43/100))</f>
        <v>0.46885020353726</v>
      </c>
      <c r="Q43" s="55" t="n">
        <f aca="false">IF(J43="","",MIN(1,J43+1.96*O43/100))</f>
        <v>0.577065844348783</v>
      </c>
      <c r="R43" s="32" t="str">
        <f aca="false">IF(L43="","",IF(ABS(L43)&lt;=O43,"Yes","No"))</f>
        <v>Yes</v>
      </c>
      <c r="S43" s="32" t="str">
        <f aca="false">IF(L43="","",IF(ABS(L43)&lt;=1.96*O43,"Yes","No"))</f>
        <v>Yes</v>
      </c>
      <c r="T43" s="54" t="n">
        <f aca="false">IF(D43="","",ROUND(SQRT(((D43+G43)*O43/100)^2+(J43*(D43+G43)*0.06406)^2),0))</f>
        <v>573</v>
      </c>
      <c r="U43" s="32"/>
    </row>
    <row r="44" customFormat="false" ht="15" hidden="false" customHeight="false" outlineLevel="0" collapsed="false">
      <c r="A44" s="32" t="s">
        <v>157</v>
      </c>
      <c r="B44" s="32" t="s">
        <v>177</v>
      </c>
      <c r="C44" s="32" t="s">
        <v>129</v>
      </c>
      <c r="D44" s="54" t="n">
        <v>8196</v>
      </c>
      <c r="E44" s="54" t="n">
        <v>8020</v>
      </c>
      <c r="F44" s="65" t="n">
        <f aca="false">IF(E44="","",D44-E44)</f>
        <v>176</v>
      </c>
      <c r="G44" s="54" t="n">
        <v>7764</v>
      </c>
      <c r="H44" s="54" t="n">
        <v>7607</v>
      </c>
      <c r="I44" s="65" t="n">
        <f aca="false">IF(H44="","",G44-H44)</f>
        <v>157</v>
      </c>
      <c r="J44" s="55" t="n">
        <f aca="false">IF(OR(D44="",D44+G44=0),"",D44/(D44+G44))</f>
        <v>0.513533834586466</v>
      </c>
      <c r="K44" s="55" t="n">
        <f aca="false">IF(E44="","",E44/(E44+H44))</f>
        <v>0.513214308568503</v>
      </c>
      <c r="L44" s="66" t="n">
        <f aca="false">IF(OR(K44="",J44=""),"",(J44-K44)*100)</f>
        <v>0.0319526017962923</v>
      </c>
      <c r="M44" s="36" t="n">
        <v>1.81924294984712</v>
      </c>
      <c r="N44" s="36" t="n">
        <v>2.07636327875789</v>
      </c>
      <c r="O44" s="36" t="n">
        <f aca="false">SQRT(M44^2+N44^2)</f>
        <v>2.7606030819266</v>
      </c>
      <c r="P44" s="55" t="n">
        <f aca="false">IF(J44="","",MAX(0,J44-1.96*O44/100))</f>
        <v>0.459426014180705</v>
      </c>
      <c r="Q44" s="55" t="n">
        <f aca="false">IF(J44="","",MIN(1,J44+1.96*O44/100))</f>
        <v>0.567641654992228</v>
      </c>
      <c r="R44" s="32" t="str">
        <f aca="false">IF(L44="","",IF(ABS(L44)&lt;=O44,"Yes","No"))</f>
        <v>Yes</v>
      </c>
      <c r="S44" s="32" t="str">
        <f aca="false">IF(L44="","",IF(ABS(L44)&lt;=1.96*O44,"Yes","No"))</f>
        <v>Yes</v>
      </c>
      <c r="T44" s="54" t="n">
        <f aca="false">IF(D44="","",ROUND(SQRT(((D44+G44)*O44/100)^2+(J44*(D44+G44)*0.06406)^2),0))</f>
        <v>685</v>
      </c>
      <c r="U44" s="32"/>
    </row>
    <row r="45" customFormat="false" ht="15" hidden="false" customHeight="false" outlineLevel="0" collapsed="false">
      <c r="A45" s="32" t="s">
        <v>157</v>
      </c>
      <c r="B45" s="32" t="s">
        <v>178</v>
      </c>
      <c r="C45" s="32" t="s">
        <v>129</v>
      </c>
      <c r="D45" s="54" t="n">
        <v>2237</v>
      </c>
      <c r="E45" s="54" t="n">
        <v>2380</v>
      </c>
      <c r="F45" s="65" t="n">
        <f aca="false">IF(E45="","",D45-E45)</f>
        <v>-143</v>
      </c>
      <c r="G45" s="54" t="n">
        <v>3217</v>
      </c>
      <c r="H45" s="54" t="n">
        <v>3135</v>
      </c>
      <c r="I45" s="65" t="n">
        <f aca="false">IF(H45="","",G45-H45)</f>
        <v>82</v>
      </c>
      <c r="J45" s="55" t="n">
        <f aca="false">IF(OR(D45="",D45+G45=0),"",D45/(D45+G45))</f>
        <v>0.41015768243491</v>
      </c>
      <c r="K45" s="55" t="n">
        <f aca="false">IF(E45="","",E45/(E45+H45))</f>
        <v>0.43155031731641</v>
      </c>
      <c r="L45" s="66" t="n">
        <f aca="false">IF(OR(K45="",J45=""),"",(J45-K45)*100)</f>
        <v>-2.13926348814997</v>
      </c>
      <c r="M45" s="36" t="n">
        <v>1.81924294984712</v>
      </c>
      <c r="N45" s="36" t="n">
        <v>2.07636327875789</v>
      </c>
      <c r="O45" s="36" t="n">
        <f aca="false">SQRT(M45^2+N45^2)</f>
        <v>2.7606030819266</v>
      </c>
      <c r="P45" s="55" t="n">
        <f aca="false">IF(J45="","",MAX(0,J45-1.96*O45/100))</f>
        <v>0.356049862029149</v>
      </c>
      <c r="Q45" s="55" t="n">
        <f aca="false">IF(J45="","",MIN(1,J45+1.96*O45/100))</f>
        <v>0.464265502840672</v>
      </c>
      <c r="R45" s="32" t="str">
        <f aca="false">IF(L45="","",IF(ABS(L45)&lt;=O45,"Yes","No"))</f>
        <v>Yes</v>
      </c>
      <c r="S45" s="32" t="str">
        <f aca="false">IF(L45="","",IF(ABS(L45)&lt;=1.96*O45,"Yes","No"))</f>
        <v>Yes</v>
      </c>
      <c r="T45" s="54" t="n">
        <f aca="false">IF(D45="","",ROUND(SQRT(((D45+G45)*O45/100)^2+(J45*(D45+G45)*0.06406)^2),0))</f>
        <v>208</v>
      </c>
      <c r="U45" s="32"/>
    </row>
    <row r="46" customFormat="false" ht="15" hidden="false" customHeight="false" outlineLevel="0" collapsed="false">
      <c r="A46" s="32" t="s">
        <v>157</v>
      </c>
      <c r="B46" s="32" t="s">
        <v>179</v>
      </c>
      <c r="C46" s="32" t="s">
        <v>129</v>
      </c>
      <c r="D46" s="54" t="n">
        <v>5230</v>
      </c>
      <c r="E46" s="54" t="n">
        <v>5462</v>
      </c>
      <c r="F46" s="65" t="n">
        <f aca="false">IF(E46="","",D46-E46)</f>
        <v>-232</v>
      </c>
      <c r="G46" s="54" t="n">
        <v>5956</v>
      </c>
      <c r="H46" s="54" t="n">
        <v>5740</v>
      </c>
      <c r="I46" s="65" t="n">
        <f aca="false">IF(H46="","",G46-H46)</f>
        <v>216</v>
      </c>
      <c r="J46" s="55" t="n">
        <f aca="false">IF(OR(D46="",D46+G46=0),"",D46/(D46+G46))</f>
        <v>0.467548721616306</v>
      </c>
      <c r="K46" s="55" t="n">
        <f aca="false">IF(E46="","",E46/(E46+H46))</f>
        <v>0.487591501517586</v>
      </c>
      <c r="L46" s="66" t="n">
        <f aca="false">IF(OR(K46="",J46=""),"",(J46-K46)*100)</f>
        <v>-2.004277990128</v>
      </c>
      <c r="M46" s="36" t="n">
        <v>1.81924294984712</v>
      </c>
      <c r="N46" s="36" t="n">
        <v>2.07636327875789</v>
      </c>
      <c r="O46" s="36" t="n">
        <f aca="false">SQRT(M46^2+N46^2)</f>
        <v>2.7606030819266</v>
      </c>
      <c r="P46" s="55" t="n">
        <f aca="false">IF(J46="","",MAX(0,J46-1.96*O46/100))</f>
        <v>0.413440901210545</v>
      </c>
      <c r="Q46" s="55" t="n">
        <f aca="false">IF(J46="","",MIN(1,J46+1.96*O46/100))</f>
        <v>0.521656542022068</v>
      </c>
      <c r="R46" s="32" t="str">
        <f aca="false">IF(L46="","",IF(ABS(L46)&lt;=O46,"Yes","No"))</f>
        <v>Yes</v>
      </c>
      <c r="S46" s="32" t="str">
        <f aca="false">IF(L46="","",IF(ABS(L46)&lt;=1.96*O46,"Yes","No"))</f>
        <v>Yes</v>
      </c>
      <c r="T46" s="54" t="n">
        <f aca="false">IF(D46="","",ROUND(SQRT(((D46+G46)*O46/100)^2+(J46*(D46+G46)*0.06406)^2),0))</f>
        <v>456</v>
      </c>
      <c r="U46" s="32"/>
    </row>
    <row r="47" customFormat="false" ht="15" hidden="false" customHeight="false" outlineLevel="0" collapsed="false">
      <c r="A47" s="32" t="s">
        <v>157</v>
      </c>
      <c r="B47" s="32" t="s">
        <v>180</v>
      </c>
      <c r="C47" s="32" t="s">
        <v>129</v>
      </c>
      <c r="D47" s="54" t="n">
        <v>1240</v>
      </c>
      <c r="E47" s="54" t="n">
        <v>1266</v>
      </c>
      <c r="F47" s="65" t="n">
        <f aca="false">IF(E47="","",D47-E47)</f>
        <v>-26</v>
      </c>
      <c r="G47" s="54" t="n">
        <v>2693</v>
      </c>
      <c r="H47" s="54" t="n">
        <v>2669</v>
      </c>
      <c r="I47" s="65" t="n">
        <f aca="false">IF(H47="","",G47-H47)</f>
        <v>24</v>
      </c>
      <c r="J47" s="55" t="n">
        <f aca="false">IF(OR(D47="",D47+G47=0),"",D47/(D47+G47))</f>
        <v>0.315280956013222</v>
      </c>
      <c r="K47" s="55" t="n">
        <f aca="false">IF(E47="","",E47/(E47+H47))</f>
        <v>0.321728081321474</v>
      </c>
      <c r="L47" s="66" t="n">
        <f aca="false">IF(OR(K47="",J47=""),"",(J47-K47)*100)</f>
        <v>-0.644712530825248</v>
      </c>
      <c r="M47" s="36" t="n">
        <v>1.81924294984712</v>
      </c>
      <c r="N47" s="36" t="n">
        <v>2.07636327875789</v>
      </c>
      <c r="O47" s="36" t="n">
        <f aca="false">SQRT(M47^2+N47^2)</f>
        <v>2.7606030819266</v>
      </c>
      <c r="P47" s="55" t="n">
        <f aca="false">IF(J47="","",MAX(0,J47-1.96*O47/100))</f>
        <v>0.26117313560746</v>
      </c>
      <c r="Q47" s="55" t="n">
        <f aca="false">IF(J47="","",MIN(1,J47+1.96*O47/100))</f>
        <v>0.369388776418983</v>
      </c>
      <c r="R47" s="32" t="str">
        <f aca="false">IF(L47="","",IF(ABS(L47)&lt;=O47,"Yes","No"))</f>
        <v>Yes</v>
      </c>
      <c r="S47" s="32" t="str">
        <f aca="false">IF(L47="","",IF(ABS(L47)&lt;=1.96*O47,"Yes","No"))</f>
        <v>Yes</v>
      </c>
      <c r="T47" s="54" t="n">
        <f aca="false">IF(D47="","",ROUND(SQRT(((D47+G47)*O47/100)^2+(J47*(D47+G47)*0.06406)^2),0))</f>
        <v>135</v>
      </c>
      <c r="U47" s="32"/>
    </row>
    <row r="48" customFormat="false" ht="15" hidden="false" customHeight="false" outlineLevel="0" collapsed="false">
      <c r="A48" s="32" t="s">
        <v>157</v>
      </c>
      <c r="B48" s="32" t="s">
        <v>181</v>
      </c>
      <c r="C48" s="32" t="s">
        <v>129</v>
      </c>
      <c r="D48" s="54" t="n">
        <v>1112</v>
      </c>
      <c r="E48" s="54" t="n">
        <v>1172</v>
      </c>
      <c r="F48" s="65" t="n">
        <f aca="false">IF(E48="","",D48-E48)</f>
        <v>-60</v>
      </c>
      <c r="G48" s="54" t="n">
        <v>2266</v>
      </c>
      <c r="H48" s="54" t="n">
        <v>2201</v>
      </c>
      <c r="I48" s="65" t="n">
        <f aca="false">IF(H48="","",G48-H48)</f>
        <v>65</v>
      </c>
      <c r="J48" s="55" t="n">
        <f aca="false">IF(OR(D48="",D48+G48=0),"",D48/(D48+G48))</f>
        <v>0.329188869153345</v>
      </c>
      <c r="K48" s="55" t="n">
        <f aca="false">IF(E48="","",E48/(E48+H48))</f>
        <v>0.347465164541951</v>
      </c>
      <c r="L48" s="66" t="n">
        <f aca="false">IF(OR(K48="",J48=""),"",(J48-K48)*100)</f>
        <v>-1.82762953886056</v>
      </c>
      <c r="M48" s="36" t="n">
        <v>2.54563009906548</v>
      </c>
      <c r="N48" s="36" t="n">
        <v>2.07636327875789</v>
      </c>
      <c r="O48" s="36" t="n">
        <f aca="false">SQRT(M48^2+N48^2)</f>
        <v>3.28504445428709</v>
      </c>
      <c r="P48" s="55" t="n">
        <f aca="false">IF(J48="","",MAX(0,J48-1.96*O48/100))</f>
        <v>0.264801997849318</v>
      </c>
      <c r="Q48" s="55" t="n">
        <f aca="false">IF(J48="","",MIN(1,J48+1.96*O48/100))</f>
        <v>0.393575740457372</v>
      </c>
      <c r="R48" s="32" t="str">
        <f aca="false">IF(L48="","",IF(ABS(L48)&lt;=O48,"Yes","No"))</f>
        <v>Yes</v>
      </c>
      <c r="S48" s="32" t="str">
        <f aca="false">IF(L48="","",IF(ABS(L48)&lt;=1.96*O48,"Yes","No"))</f>
        <v>Yes</v>
      </c>
      <c r="T48" s="54" t="n">
        <f aca="false">IF(D48="","",ROUND(SQRT(((D48+G48)*O48/100)^2+(J48*(D48+G48)*0.07048)^2),0))</f>
        <v>136</v>
      </c>
      <c r="U48" s="32"/>
    </row>
    <row r="49" customFormat="false" ht="15" hidden="false" customHeight="false" outlineLevel="0" collapsed="false">
      <c r="A49" s="32" t="s">
        <v>157</v>
      </c>
      <c r="B49" s="32" t="s">
        <v>182</v>
      </c>
      <c r="C49" s="32" t="s">
        <v>129</v>
      </c>
      <c r="D49" s="54" t="n">
        <v>7451</v>
      </c>
      <c r="E49" s="54" t="n">
        <v>7383</v>
      </c>
      <c r="F49" s="65" t="n">
        <f aca="false">IF(E49="","",D49-E49)</f>
        <v>68</v>
      </c>
      <c r="G49" s="54" t="n">
        <v>7029</v>
      </c>
      <c r="H49" s="54" t="n">
        <v>7036</v>
      </c>
      <c r="I49" s="65" t="n">
        <f aca="false">IF(H49="","",G49-H49)</f>
        <v>-7</v>
      </c>
      <c r="J49" s="55" t="n">
        <f aca="false">IF(OR(D49="",D49+G49=0),"",D49/(D49+G49))</f>
        <v>0.51457182320442</v>
      </c>
      <c r="K49" s="55" t="n">
        <f aca="false">IF(E49="","",E49/(E49+H49))</f>
        <v>0.51203273458631</v>
      </c>
      <c r="L49" s="66" t="n">
        <f aca="false">IF(OR(K49="",J49=""),"",(J49-K49)*100)</f>
        <v>0.253908861811014</v>
      </c>
      <c r="M49" s="36" t="n">
        <v>1.81924294984712</v>
      </c>
      <c r="N49" s="36" t="n">
        <v>2.07636327875789</v>
      </c>
      <c r="O49" s="36" t="n">
        <f aca="false">SQRT(M49^2+N49^2)</f>
        <v>2.7606030819266</v>
      </c>
      <c r="P49" s="55" t="n">
        <f aca="false">IF(J49="","",MAX(0,J49-1.96*O49/100))</f>
        <v>0.460464002798658</v>
      </c>
      <c r="Q49" s="55" t="n">
        <f aca="false">IF(J49="","",MIN(1,J49+1.96*O49/100))</f>
        <v>0.568679643610181</v>
      </c>
      <c r="R49" s="32" t="str">
        <f aca="false">IF(L49="","",IF(ABS(L49)&lt;=O49,"Yes","No"))</f>
        <v>Yes</v>
      </c>
      <c r="S49" s="32" t="str">
        <f aca="false">IF(L49="","",IF(ABS(L49)&lt;=1.96*O49,"Yes","No"))</f>
        <v>Yes</v>
      </c>
      <c r="T49" s="54" t="n">
        <f aca="false">IF(D49="","",ROUND(SQRT(((D49+G49)*O49/100)^2+(J49*(D49+G49)*0.06406)^2),0))</f>
        <v>623</v>
      </c>
      <c r="U49" s="32"/>
    </row>
    <row r="50" customFormat="false" ht="15" hidden="false" customHeight="false" outlineLevel="0" collapsed="false">
      <c r="A50" s="32" t="s">
        <v>183</v>
      </c>
      <c r="B50" s="32" t="s">
        <v>184</v>
      </c>
      <c r="C50" s="32" t="s">
        <v>129</v>
      </c>
      <c r="D50" s="54" t="n">
        <v>410</v>
      </c>
      <c r="E50" s="54" t="n">
        <v>471</v>
      </c>
      <c r="F50" s="65" t="n">
        <f aca="false">IF(E50="","",D50-E50)</f>
        <v>-61</v>
      </c>
      <c r="G50" s="54" t="n">
        <v>1134</v>
      </c>
      <c r="H50" s="54" t="n">
        <v>1124</v>
      </c>
      <c r="I50" s="65" t="n">
        <f aca="false">IF(H50="","",G50-H50)</f>
        <v>10</v>
      </c>
      <c r="J50" s="55" t="n">
        <f aca="false">IF(OR(D50="",D50+G50=0),"",D50/(D50+G50))</f>
        <v>0.265544041450777</v>
      </c>
      <c r="K50" s="55" t="n">
        <f aca="false">IF(E50="","",E50/(E50+H50))</f>
        <v>0.295297805642633</v>
      </c>
      <c r="L50" s="66" t="n">
        <f aca="false">IF(OR(K50="",J50=""),"",(J50-K50)*100)</f>
        <v>-2.9753764191856</v>
      </c>
      <c r="M50" s="36" t="n">
        <v>3.74498218247512</v>
      </c>
      <c r="N50" s="36" t="n">
        <v>2.07636327875789</v>
      </c>
      <c r="O50" s="36" t="n">
        <f aca="false">SQRT(M50^2+N50^2)</f>
        <v>4.28207613342294</v>
      </c>
      <c r="P50" s="55" t="n">
        <f aca="false">IF(J50="","",MAX(0,J50-1.96*O50/100))</f>
        <v>0.181615349235688</v>
      </c>
      <c r="Q50" s="55" t="n">
        <f aca="false">IF(J50="","",MIN(1,J50+1.96*O50/100))</f>
        <v>0.349472733665867</v>
      </c>
      <c r="R50" s="32" t="str">
        <f aca="false">IF(L50="","",IF(ABS(L50)&lt;=O50,"Yes","No"))</f>
        <v>Yes</v>
      </c>
      <c r="S50" s="32" t="str">
        <f aca="false">IF(L50="","",IF(ABS(L50)&lt;=1.96*O50,"Yes","No"))</f>
        <v>Yes</v>
      </c>
      <c r="T50" s="54" t="n">
        <f aca="false">IF(D50="","",ROUND(SQRT(((D50+G50)*O50/100)^2+(J50*(D50+G50)*0.09173)^2),0))</f>
        <v>76</v>
      </c>
      <c r="U50" s="32"/>
    </row>
    <row r="51" customFormat="false" ht="15" hidden="false" customHeight="false" outlineLevel="0" collapsed="false">
      <c r="A51" s="32" t="s">
        <v>183</v>
      </c>
      <c r="B51" s="32" t="s">
        <v>186</v>
      </c>
      <c r="C51" s="32" t="s">
        <v>129</v>
      </c>
      <c r="D51" s="54" t="n">
        <v>1297</v>
      </c>
      <c r="E51" s="54" t="n">
        <v>1414</v>
      </c>
      <c r="F51" s="65" t="n">
        <f aca="false">IF(E51="","",D51-E51)</f>
        <v>-117</v>
      </c>
      <c r="G51" s="54" t="n">
        <v>2872</v>
      </c>
      <c r="H51" s="54" t="n">
        <v>2894</v>
      </c>
      <c r="I51" s="65" t="n">
        <f aca="false">IF(H51="","",G51-H51)</f>
        <v>-22</v>
      </c>
      <c r="J51" s="55" t="n">
        <f aca="false">IF(OR(D51="",D51+G51=0),"",D51/(D51+G51))</f>
        <v>0.311105780762773</v>
      </c>
      <c r="K51" s="55" t="n">
        <f aca="false">IF(E51="","",E51/(E51+H51))</f>
        <v>0.328226555246054</v>
      </c>
      <c r="L51" s="66" t="n">
        <f aca="false">IF(OR(K51="",J51=""),"",(J51-K51)*100)</f>
        <v>-1.7120774483281</v>
      </c>
      <c r="M51" s="36" t="n">
        <v>1.81924294984712</v>
      </c>
      <c r="N51" s="36" t="n">
        <v>2.07636327875789</v>
      </c>
      <c r="O51" s="36" t="n">
        <f aca="false">SQRT(M51^2+N51^2)</f>
        <v>2.7606030819266</v>
      </c>
      <c r="P51" s="55" t="n">
        <f aca="false">IF(J51="","",MAX(0,J51-1.96*O51/100))</f>
        <v>0.256997960357011</v>
      </c>
      <c r="Q51" s="55" t="n">
        <f aca="false">IF(J51="","",MIN(1,J51+1.96*O51/100))</f>
        <v>0.365213601168534</v>
      </c>
      <c r="R51" s="32" t="str">
        <f aca="false">IF(L51="","",IF(ABS(L51)&lt;=O51,"Yes","No"))</f>
        <v>Yes</v>
      </c>
      <c r="S51" s="32" t="str">
        <f aca="false">IF(L51="","",IF(ABS(L51)&lt;=1.96*O51,"Yes","No"))</f>
        <v>Yes</v>
      </c>
      <c r="T51" s="54" t="n">
        <f aca="false">IF(D51="","",ROUND(SQRT(((D51+G51)*O51/100)^2+(J51*(D51+G51)*0.06406)^2),0))</f>
        <v>142</v>
      </c>
      <c r="U51" s="32"/>
    </row>
    <row r="52" customFormat="false" ht="15" hidden="false" customHeight="false" outlineLevel="0" collapsed="false">
      <c r="A52" s="32" t="s">
        <v>183</v>
      </c>
      <c r="B52" s="32" t="s">
        <v>187</v>
      </c>
      <c r="C52" s="32" t="s">
        <v>129</v>
      </c>
      <c r="D52" s="54" t="n">
        <v>416</v>
      </c>
      <c r="E52" s="54" t="n">
        <v>521</v>
      </c>
      <c r="F52" s="65" t="n">
        <f aca="false">IF(E52="","",D52-E52)</f>
        <v>-105</v>
      </c>
      <c r="G52" s="54" t="n">
        <v>894</v>
      </c>
      <c r="H52" s="54" t="n">
        <v>997</v>
      </c>
      <c r="I52" s="65" t="n">
        <f aca="false">IF(H52="","",G52-H52)</f>
        <v>-103</v>
      </c>
      <c r="J52" s="55" t="n">
        <f aca="false">IF(OR(D52="",D52+G52=0),"",D52/(D52+G52))</f>
        <v>0.317557251908397</v>
      </c>
      <c r="K52" s="55" t="n">
        <f aca="false">IF(E52="","",E52/(E52+H52))</f>
        <v>0.343214756258235</v>
      </c>
      <c r="L52" s="66" t="n">
        <f aca="false">IF(OR(K52="",J52=""),"",(J52-K52)*100)</f>
        <v>-2.56575043498375</v>
      </c>
      <c r="M52" s="36" t="n">
        <v>3.74498218247512</v>
      </c>
      <c r="N52" s="36" t="n">
        <v>2.07636327875789</v>
      </c>
      <c r="O52" s="36" t="n">
        <f aca="false">SQRT(M52^2+N52^2)</f>
        <v>4.28207613342294</v>
      </c>
      <c r="P52" s="55" t="n">
        <f aca="false">IF(J52="","",MAX(0,J52-1.96*O52/100))</f>
        <v>0.233628559693307</v>
      </c>
      <c r="Q52" s="55" t="n">
        <f aca="false">IF(J52="","",MIN(1,J52+1.96*O52/100))</f>
        <v>0.401485944123487</v>
      </c>
      <c r="R52" s="32" t="str">
        <f aca="false">IF(L52="","",IF(ABS(L52)&lt;=O52,"Yes","No"))</f>
        <v>Yes</v>
      </c>
      <c r="S52" s="32" t="str">
        <f aca="false">IF(L52="","",IF(ABS(L52)&lt;=1.96*O52,"Yes","No"))</f>
        <v>Yes</v>
      </c>
      <c r="T52" s="54" t="n">
        <f aca="false">IF(D52="","",ROUND(SQRT(((D52+G52)*O52/100)^2+(J52*(D52+G52)*0.09173)^2),0))</f>
        <v>68</v>
      </c>
      <c r="U52" s="32"/>
    </row>
    <row r="53" customFormat="false" ht="15" hidden="false" customHeight="false" outlineLevel="0" collapsed="false">
      <c r="A53" s="32" t="s">
        <v>188</v>
      </c>
      <c r="B53" s="32" t="s">
        <v>189</v>
      </c>
      <c r="C53" s="32" t="s">
        <v>129</v>
      </c>
      <c r="D53" s="54" t="n">
        <v>1433</v>
      </c>
      <c r="E53" s="54" t="n">
        <v>1511</v>
      </c>
      <c r="F53" s="65" t="n">
        <f aca="false">IF(E53="","",D53-E53)</f>
        <v>-78</v>
      </c>
      <c r="G53" s="54" t="n">
        <v>2031</v>
      </c>
      <c r="H53" s="54" t="n">
        <v>2018</v>
      </c>
      <c r="I53" s="65" t="n">
        <f aca="false">IF(H53="","",G53-H53)</f>
        <v>13</v>
      </c>
      <c r="J53" s="55" t="n">
        <f aca="false">IF(OR(D53="",D53+G53=0),"",D53/(D53+G53))</f>
        <v>0.413683602771363</v>
      </c>
      <c r="K53" s="55" t="n">
        <f aca="false">IF(E53="","",E53/(E53+H53))</f>
        <v>0.428166619438935</v>
      </c>
      <c r="L53" s="66" t="n">
        <f aca="false">IF(OR(K53="",J53=""),"",(J53-K53)*100)</f>
        <v>-1.4483016667572</v>
      </c>
      <c r="M53" s="36" t="n">
        <v>2.54563009906548</v>
      </c>
      <c r="N53" s="36" t="n">
        <v>2.07636327875789</v>
      </c>
      <c r="O53" s="36" t="n">
        <f aca="false">SQRT(M53^2+N53^2)</f>
        <v>3.28504445428709</v>
      </c>
      <c r="P53" s="55" t="n">
        <f aca="false">IF(J53="","",MAX(0,J53-1.96*O53/100))</f>
        <v>0.349296731467336</v>
      </c>
      <c r="Q53" s="55" t="n">
        <f aca="false">IF(J53="","",MIN(1,J53+1.96*O53/100))</f>
        <v>0.47807047407539</v>
      </c>
      <c r="R53" s="32" t="str">
        <f aca="false">IF(L53="","",IF(ABS(L53)&lt;=O53,"Yes","No"))</f>
        <v>Yes</v>
      </c>
      <c r="S53" s="32" t="str">
        <f aca="false">IF(L53="","",IF(ABS(L53)&lt;=1.96*O53,"Yes","No"))</f>
        <v>Yes</v>
      </c>
      <c r="T53" s="54" t="n">
        <f aca="false">IF(D53="","",ROUND(SQRT(((D53+G53)*O53/100)^2+(J53*(D53+G53)*0.07048)^2),0))</f>
        <v>152</v>
      </c>
      <c r="U53" s="32"/>
    </row>
    <row r="54" customFormat="false" ht="15" hidden="false" customHeight="false" outlineLevel="0" collapsed="false">
      <c r="A54" s="32" t="s">
        <v>188</v>
      </c>
      <c r="B54" s="32" t="s">
        <v>190</v>
      </c>
      <c r="C54" s="32" t="s">
        <v>129</v>
      </c>
      <c r="D54" s="54" t="n">
        <v>937</v>
      </c>
      <c r="E54" s="54" t="n">
        <v>959</v>
      </c>
      <c r="F54" s="65" t="n">
        <f aca="false">IF(E54="","",D54-E54)</f>
        <v>-22</v>
      </c>
      <c r="G54" s="54" t="n">
        <v>1399</v>
      </c>
      <c r="H54" s="54" t="n">
        <v>1364</v>
      </c>
      <c r="I54" s="65" t="n">
        <f aca="false">IF(H54="","",G54-H54)</f>
        <v>35</v>
      </c>
      <c r="J54" s="55" t="n">
        <f aca="false">IF(OR(D54="",D54+G54=0),"",D54/(D54+G54))</f>
        <v>0.40111301369863</v>
      </c>
      <c r="K54" s="55" t="n">
        <f aca="false">IF(E54="","",E54/(E54+H54))</f>
        <v>0.412828239345674</v>
      </c>
      <c r="L54" s="66" t="n">
        <f aca="false">IF(OR(K54="",J54=""),"",(J54-K54)*100)</f>
        <v>-1.17152256470436</v>
      </c>
      <c r="M54" s="36" t="n">
        <v>2.54563009906548</v>
      </c>
      <c r="N54" s="36" t="n">
        <v>2.07636327875789</v>
      </c>
      <c r="O54" s="36" t="n">
        <f aca="false">SQRT(M54^2+N54^2)</f>
        <v>3.28504445428709</v>
      </c>
      <c r="P54" s="55" t="n">
        <f aca="false">IF(J54="","",MAX(0,J54-1.96*O54/100))</f>
        <v>0.336726142394603</v>
      </c>
      <c r="Q54" s="55" t="n">
        <f aca="false">IF(J54="","",MIN(1,J54+1.96*O54/100))</f>
        <v>0.465499885002657</v>
      </c>
      <c r="R54" s="32" t="str">
        <f aca="false">IF(L54="","",IF(ABS(L54)&lt;=O54,"Yes","No"))</f>
        <v>Yes</v>
      </c>
      <c r="S54" s="32" t="str">
        <f aca="false">IF(L54="","",IF(ABS(L54)&lt;=1.96*O54,"Yes","No"))</f>
        <v>Yes</v>
      </c>
      <c r="T54" s="54" t="n">
        <f aca="false">IF(D54="","",ROUND(SQRT(((D54+G54)*O54/100)^2+(J54*(D54+G54)*0.07048)^2),0))</f>
        <v>101</v>
      </c>
      <c r="U54" s="32"/>
    </row>
    <row r="55" customFormat="false" ht="15" hidden="false" customHeight="false" outlineLevel="0" collapsed="false">
      <c r="A55" s="32" t="s">
        <v>188</v>
      </c>
      <c r="B55" s="32" t="s">
        <v>191</v>
      </c>
      <c r="C55" s="32" t="s">
        <v>129</v>
      </c>
      <c r="D55" s="54" t="n">
        <v>593</v>
      </c>
      <c r="E55" s="54" t="n">
        <v>623</v>
      </c>
      <c r="F55" s="65" t="n">
        <f aca="false">IF(E55="","",D55-E55)</f>
        <v>-30</v>
      </c>
      <c r="G55" s="54" t="n">
        <v>777</v>
      </c>
      <c r="H55" s="54" t="n">
        <v>726</v>
      </c>
      <c r="I55" s="65" t="n">
        <f aca="false">IF(H55="","",G55-H55)</f>
        <v>51</v>
      </c>
      <c r="J55" s="55" t="n">
        <f aca="false">IF(OR(D55="",D55+G55=0),"",D55/(D55+G55))</f>
        <v>0.432846715328467</v>
      </c>
      <c r="K55" s="55" t="n">
        <f aca="false">IF(E55="","",E55/(E55+H55))</f>
        <v>0.46182357301705</v>
      </c>
      <c r="L55" s="66" t="n">
        <f aca="false">IF(OR(K55="",J55=""),"",(J55-K55)*100)</f>
        <v>-2.89768576885825</v>
      </c>
      <c r="M55" s="36" t="n">
        <v>3.74498218247512</v>
      </c>
      <c r="N55" s="36" t="n">
        <v>2.07636327875789</v>
      </c>
      <c r="O55" s="36" t="n">
        <f aca="false">SQRT(M55^2+N55^2)</f>
        <v>4.28207613342294</v>
      </c>
      <c r="P55" s="55" t="n">
        <f aca="false">IF(J55="","",MAX(0,J55-1.96*O55/100))</f>
        <v>0.348918023113378</v>
      </c>
      <c r="Q55" s="55" t="n">
        <f aca="false">IF(J55="","",MIN(1,J55+1.96*O55/100))</f>
        <v>0.516775407543557</v>
      </c>
      <c r="R55" s="32" t="str">
        <f aca="false">IF(L55="","",IF(ABS(L55)&lt;=O55,"Yes","No"))</f>
        <v>Yes</v>
      </c>
      <c r="S55" s="32" t="str">
        <f aca="false">IF(L55="","",IF(ABS(L55)&lt;=1.96*O55,"Yes","No"))</f>
        <v>Yes</v>
      </c>
      <c r="T55" s="54" t="n">
        <f aca="false">IF(D55="","",ROUND(SQRT(((D55+G55)*O55/100)^2+(J55*(D55+G55)*0.09173)^2),0))</f>
        <v>80</v>
      </c>
      <c r="U55" s="32"/>
    </row>
    <row r="56" customFormat="false" ht="15" hidden="false" customHeight="false" outlineLevel="0" collapsed="false">
      <c r="A56" s="32" t="s">
        <v>188</v>
      </c>
      <c r="B56" s="32" t="s">
        <v>160</v>
      </c>
      <c r="C56" s="32" t="s">
        <v>129</v>
      </c>
      <c r="D56" s="54" t="n">
        <v>17242</v>
      </c>
      <c r="E56" s="54" t="n">
        <v>17416</v>
      </c>
      <c r="F56" s="65" t="n">
        <f aca="false">IF(E56="","",D56-E56)</f>
        <v>-174</v>
      </c>
      <c r="G56" s="54" t="n">
        <v>8341</v>
      </c>
      <c r="H56" s="54" t="n">
        <v>8640</v>
      </c>
      <c r="I56" s="65" t="n">
        <f aca="false">IF(H56="","",G56-H56)</f>
        <v>-299</v>
      </c>
      <c r="J56" s="55" t="n">
        <f aca="false">IF(OR(D56="",D56+G56=0),"",D56/(D56+G56))</f>
        <v>0.673963178673338</v>
      </c>
      <c r="K56" s="55" t="n">
        <f aca="false">IF(E56="","",E56/(E56+H56))</f>
        <v>0.668406509057415</v>
      </c>
      <c r="L56" s="66" t="n">
        <f aca="false">IF(OR(K56="",J56=""),"",(J56-K56)*100)</f>
        <v>0.555666961592294</v>
      </c>
      <c r="M56" s="36" t="n">
        <v>1.81924294984712</v>
      </c>
      <c r="N56" s="36" t="n">
        <v>2.07636327875789</v>
      </c>
      <c r="O56" s="36" t="n">
        <f aca="false">SQRT(M56^2+N56^2)</f>
        <v>2.7606030819266</v>
      </c>
      <c r="P56" s="55" t="n">
        <f aca="false">IF(J56="","",MAX(0,J56-1.96*O56/100))</f>
        <v>0.619855358267576</v>
      </c>
      <c r="Q56" s="55" t="n">
        <f aca="false">IF(J56="","",MIN(1,J56+1.96*O56/100))</f>
        <v>0.728070999079099</v>
      </c>
      <c r="R56" s="32" t="str">
        <f aca="false">IF(L56="","",IF(ABS(L56)&lt;=O56,"Yes","No"))</f>
        <v>Yes</v>
      </c>
      <c r="S56" s="32" t="str">
        <f aca="false">IF(L56="","",IF(ABS(L56)&lt;=1.96*O56,"Yes","No"))</f>
        <v>Yes</v>
      </c>
      <c r="T56" s="54" t="n">
        <f aca="false">IF(D56="","",ROUND(SQRT(((D56+G56)*O56/100)^2+(J56*(D56+G56)*0.06406)^2),0))</f>
        <v>1311</v>
      </c>
      <c r="U56" s="32"/>
    </row>
    <row r="57" customFormat="false" ht="15" hidden="false" customHeight="false" outlineLevel="0" collapsed="false">
      <c r="A57" s="32" t="s">
        <v>188</v>
      </c>
      <c r="B57" s="32" t="s">
        <v>192</v>
      </c>
      <c r="C57" s="32" t="s">
        <v>129</v>
      </c>
      <c r="D57" s="54" t="n">
        <v>8189</v>
      </c>
      <c r="E57" s="54" t="n">
        <v>8595</v>
      </c>
      <c r="F57" s="65" t="n">
        <f aca="false">IF(E57="","",D57-E57)</f>
        <v>-406</v>
      </c>
      <c r="G57" s="54" t="n">
        <v>7744</v>
      </c>
      <c r="H57" s="54" t="n">
        <v>7440</v>
      </c>
      <c r="I57" s="65" t="n">
        <f aca="false">IF(H57="","",G57-H57)</f>
        <v>304</v>
      </c>
      <c r="J57" s="55" t="n">
        <f aca="false">IF(OR(D57="",D57+G57=0),"",D57/(D57+G57))</f>
        <v>0.51396472729555</v>
      </c>
      <c r="K57" s="55" t="n">
        <f aca="false">IF(E57="","",E57/(E57+H57))</f>
        <v>0.536014967259121</v>
      </c>
      <c r="L57" s="66" t="n">
        <f aca="false">IF(OR(K57="",J57=""),"",(J57-K57)*100)</f>
        <v>-2.20502399635706</v>
      </c>
      <c r="M57" s="36" t="n">
        <v>1.81924294984712</v>
      </c>
      <c r="N57" s="36" t="n">
        <v>2.07636327875789</v>
      </c>
      <c r="O57" s="36" t="n">
        <f aca="false">SQRT(M57^2+N57^2)</f>
        <v>2.7606030819266</v>
      </c>
      <c r="P57" s="55" t="n">
        <f aca="false">IF(J57="","",MAX(0,J57-1.96*O57/100))</f>
        <v>0.459856906889789</v>
      </c>
      <c r="Q57" s="55" t="n">
        <f aca="false">IF(J57="","",MIN(1,J57+1.96*O57/100))</f>
        <v>0.568072547701312</v>
      </c>
      <c r="R57" s="32" t="str">
        <f aca="false">IF(L57="","",IF(ABS(L57)&lt;=O57,"Yes","No"))</f>
        <v>Yes</v>
      </c>
      <c r="S57" s="32" t="str">
        <f aca="false">IF(L57="","",IF(ABS(L57)&lt;=1.96*O57,"Yes","No"))</f>
        <v>Yes</v>
      </c>
      <c r="T57" s="54" t="n">
        <f aca="false">IF(D57="","",ROUND(SQRT(((D57+G57)*O57/100)^2+(J57*(D57+G57)*0.06406)^2),0))</f>
        <v>685</v>
      </c>
      <c r="U57" s="32"/>
    </row>
    <row r="58" customFormat="false" ht="15" hidden="false" customHeight="false" outlineLevel="0" collapsed="false">
      <c r="A58" s="32" t="s">
        <v>188</v>
      </c>
      <c r="B58" s="32" t="s">
        <v>193</v>
      </c>
      <c r="C58" s="32" t="s">
        <v>129</v>
      </c>
      <c r="D58" s="54" t="n">
        <v>1958</v>
      </c>
      <c r="E58" s="54" t="n">
        <v>2169</v>
      </c>
      <c r="F58" s="65" t="n">
        <f aca="false">IF(E58="","",D58-E58)</f>
        <v>-211</v>
      </c>
      <c r="G58" s="54" t="n">
        <v>3657</v>
      </c>
      <c r="H58" s="54" t="n">
        <v>3459</v>
      </c>
      <c r="I58" s="65" t="n">
        <f aca="false">IF(H58="","",G58-H58)</f>
        <v>198</v>
      </c>
      <c r="J58" s="55" t="n">
        <f aca="false">IF(OR(D58="",D58+G58=0),"",D58/(D58+G58))</f>
        <v>0.348708815672306</v>
      </c>
      <c r="K58" s="55" t="n">
        <f aca="false">IF(E58="","",E58/(E58+H58))</f>
        <v>0.385394456289979</v>
      </c>
      <c r="L58" s="66" t="n">
        <f aca="false">IF(OR(K58="",J58=""),"",(J58-K58)*100)</f>
        <v>-3.66856406176724</v>
      </c>
      <c r="M58" s="36" t="n">
        <v>1.81924294984712</v>
      </c>
      <c r="N58" s="36" t="n">
        <v>2.07636327875789</v>
      </c>
      <c r="O58" s="36" t="n">
        <f aca="false">SQRT(M58^2+N58^2)</f>
        <v>2.7606030819266</v>
      </c>
      <c r="P58" s="55" t="n">
        <f aca="false">IF(J58="","",MAX(0,J58-1.96*O58/100))</f>
        <v>0.294600995266545</v>
      </c>
      <c r="Q58" s="55" t="n">
        <f aca="false">IF(J58="","",MIN(1,J58+1.96*O58/100))</f>
        <v>0.402816636078068</v>
      </c>
      <c r="R58" s="32" t="str">
        <f aca="false">IF(L58="","",IF(ABS(L58)&lt;=O58,"Yes","No"))</f>
        <v>No</v>
      </c>
      <c r="S58" s="32" t="str">
        <f aca="false">IF(L58="","",IF(ABS(L58)&lt;=1.96*O58,"Yes","No"))</f>
        <v>Yes</v>
      </c>
      <c r="T58" s="54" t="n">
        <f aca="false">IF(D58="","",ROUND(SQRT(((D58+G58)*O58/100)^2+(J58*(D58+G58)*0.06406)^2),0))</f>
        <v>199</v>
      </c>
      <c r="U58" s="32"/>
    </row>
    <row r="59" customFormat="false" ht="15" hidden="false" customHeight="false" outlineLevel="0" collapsed="false">
      <c r="A59" s="32" t="s">
        <v>188</v>
      </c>
      <c r="B59" s="32" t="s">
        <v>194</v>
      </c>
      <c r="C59" s="32" t="s">
        <v>129</v>
      </c>
      <c r="D59" s="54" t="n">
        <v>41</v>
      </c>
      <c r="E59" s="54" t="n">
        <v>40</v>
      </c>
      <c r="F59" s="65" t="n">
        <f aca="false">IF(E59="","",D59-E59)</f>
        <v>1</v>
      </c>
      <c r="G59" s="54" t="n">
        <v>80</v>
      </c>
      <c r="H59" s="54" t="n">
        <v>83</v>
      </c>
      <c r="I59" s="65" t="n">
        <f aca="false">IF(H59="","",G59-H59)</f>
        <v>-3</v>
      </c>
      <c r="J59" s="55" t="n">
        <f aca="false">IF(OR(D59="",D59+G59=0),"",D59/(D59+G59))</f>
        <v>0.338842975206612</v>
      </c>
      <c r="K59" s="55" t="n">
        <f aca="false">IF(E59="","",E59/(E59+H59))</f>
        <v>0.32520325203252</v>
      </c>
      <c r="L59" s="66" t="n">
        <f aca="false">IF(OR(K59="",J59=""),"",(J59-K59)*100)</f>
        <v>1.36397231740912</v>
      </c>
      <c r="M59" s="36" t="n">
        <v>3.74498218247512</v>
      </c>
      <c r="N59" s="36" t="n">
        <v>2.07636327875789</v>
      </c>
      <c r="O59" s="36" t="n">
        <f aca="false">SQRT(M59^2+N59^2)</f>
        <v>4.28207613342294</v>
      </c>
      <c r="P59" s="55" t="n">
        <f aca="false">IF(J59="","",MAX(0,J59-1.96*O59/100))</f>
        <v>0.254914282991522</v>
      </c>
      <c r="Q59" s="55" t="n">
        <f aca="false">IF(J59="","",MIN(1,J59+1.96*O59/100))</f>
        <v>0.422771667421701</v>
      </c>
      <c r="R59" s="32" t="str">
        <f aca="false">IF(L59="","",IF(ABS(L59)&lt;=O59,"Yes","No"))</f>
        <v>Yes</v>
      </c>
      <c r="S59" s="32" t="str">
        <f aca="false">IF(L59="","",IF(ABS(L59)&lt;=1.96*O59,"Yes","No"))</f>
        <v>Yes</v>
      </c>
      <c r="T59" s="54" t="n">
        <f aca="false">IF(D59="","",ROUND(SQRT(((D59+G59)*O59/100)^2+(J59*(D59+G59)*0.09173)^2),0))</f>
        <v>6</v>
      </c>
      <c r="U59" s="32"/>
    </row>
    <row r="60" customFormat="false" ht="15" hidden="false" customHeight="false" outlineLevel="0" collapsed="false">
      <c r="A60" s="32" t="s">
        <v>188</v>
      </c>
      <c r="B60" s="32" t="s">
        <v>195</v>
      </c>
      <c r="C60" s="32" t="s">
        <v>129</v>
      </c>
      <c r="D60" s="54" t="n">
        <v>1391</v>
      </c>
      <c r="E60" s="54" t="n">
        <v>1484</v>
      </c>
      <c r="F60" s="65" t="n">
        <f aca="false">IF(E60="","",D60-E60)</f>
        <v>-93</v>
      </c>
      <c r="G60" s="54" t="n">
        <v>1978</v>
      </c>
      <c r="H60" s="54" t="n">
        <v>1959</v>
      </c>
      <c r="I60" s="65" t="n">
        <f aca="false">IF(H60="","",G60-H60)</f>
        <v>19</v>
      </c>
      <c r="J60" s="55" t="n">
        <f aca="false">IF(OR(D60="",D60+G60=0),"",D60/(D60+G60))</f>
        <v>0.412882160878599</v>
      </c>
      <c r="K60" s="55" t="n">
        <f aca="false">IF(E60="","",E60/(E60+H60))</f>
        <v>0.431019459773453</v>
      </c>
      <c r="L60" s="66" t="n">
        <f aca="false">IF(OR(K60="",J60=""),"",(J60-K60)*100)</f>
        <v>-1.81372988948544</v>
      </c>
      <c r="M60" s="36" t="n">
        <v>2.54563009906548</v>
      </c>
      <c r="N60" s="36" t="n">
        <v>2.07636327875789</v>
      </c>
      <c r="O60" s="36" t="n">
        <f aca="false">SQRT(M60^2+N60^2)</f>
        <v>3.28504445428709</v>
      </c>
      <c r="P60" s="55" t="n">
        <f aca="false">IF(J60="","",MAX(0,J60-1.96*O60/100))</f>
        <v>0.348495289574572</v>
      </c>
      <c r="Q60" s="55" t="n">
        <f aca="false">IF(J60="","",MIN(1,J60+1.96*O60/100))</f>
        <v>0.477269032182626</v>
      </c>
      <c r="R60" s="32" t="str">
        <f aca="false">IF(L60="","",IF(ABS(L60)&lt;=O60,"Yes","No"))</f>
        <v>Yes</v>
      </c>
      <c r="S60" s="32" t="str">
        <f aca="false">IF(L60="","",IF(ABS(L60)&lt;=1.96*O60,"Yes","No"))</f>
        <v>Yes</v>
      </c>
      <c r="T60" s="54" t="n">
        <f aca="false">IF(D60="","",ROUND(SQRT(((D60+G60)*O60/100)^2+(J60*(D60+G60)*0.07048)^2),0))</f>
        <v>148</v>
      </c>
      <c r="U60" s="32"/>
    </row>
    <row r="61" customFormat="false" ht="15" hidden="false" customHeight="false" outlineLevel="0" collapsed="false">
      <c r="A61" s="32" t="s">
        <v>188</v>
      </c>
      <c r="B61" s="32" t="s">
        <v>196</v>
      </c>
      <c r="C61" s="32" t="s">
        <v>129</v>
      </c>
      <c r="D61" s="54" t="n">
        <v>179</v>
      </c>
      <c r="E61" s="54" t="n">
        <v>217</v>
      </c>
      <c r="F61" s="65" t="n">
        <f aca="false">IF(E61="","",D61-E61)</f>
        <v>-38</v>
      </c>
      <c r="G61" s="54" t="n">
        <v>332</v>
      </c>
      <c r="H61" s="54" t="n">
        <v>309</v>
      </c>
      <c r="I61" s="65" t="n">
        <f aca="false">IF(H61="","",G61-H61)</f>
        <v>23</v>
      </c>
      <c r="J61" s="55" t="n">
        <f aca="false">IF(OR(D61="",D61+G61=0),"",D61/(D61+G61))</f>
        <v>0.350293542074364</v>
      </c>
      <c r="K61" s="55" t="n">
        <f aca="false">IF(E61="","",E61/(E61+H61))</f>
        <v>0.41254752851711</v>
      </c>
      <c r="L61" s="66" t="n">
        <f aca="false">IF(OR(K61="",J61=""),"",(J61-K61)*100)</f>
        <v>-6.22539864427463</v>
      </c>
      <c r="M61" s="36" t="n">
        <v>3.74498218247512</v>
      </c>
      <c r="N61" s="36" t="n">
        <v>2.07636327875789</v>
      </c>
      <c r="O61" s="36" t="n">
        <f aca="false">SQRT(M61^2+N61^2)</f>
        <v>4.28207613342294</v>
      </c>
      <c r="P61" s="55" t="n">
        <f aca="false">IF(J61="","",MAX(0,J61-1.96*O61/100))</f>
        <v>0.266364849859274</v>
      </c>
      <c r="Q61" s="55" t="n">
        <f aca="false">IF(J61="","",MIN(1,J61+1.96*O61/100))</f>
        <v>0.434222234289454</v>
      </c>
      <c r="R61" s="32" t="str">
        <f aca="false">IF(L61="","",IF(ABS(L61)&lt;=O61,"Yes","No"))</f>
        <v>No</v>
      </c>
      <c r="S61" s="32" t="str">
        <f aca="false">IF(L61="","",IF(ABS(L61)&lt;=1.96*O61,"Yes","No"))</f>
        <v>Yes</v>
      </c>
      <c r="T61" s="54" t="n">
        <f aca="false">IF(D61="","",ROUND(SQRT(((D61+G61)*O61/100)^2+(J61*(D61+G61)*0.09173)^2),0))</f>
        <v>27</v>
      </c>
      <c r="U61" s="32"/>
    </row>
    <row r="62" customFormat="false" ht="15" hidden="false" customHeight="false" outlineLevel="0" collapsed="false">
      <c r="A62" s="32" t="s">
        <v>188</v>
      </c>
      <c r="B62" s="32" t="s">
        <v>197</v>
      </c>
      <c r="C62" s="32" t="s">
        <v>129</v>
      </c>
      <c r="D62" s="54" t="n">
        <v>7216</v>
      </c>
      <c r="E62" s="54" t="n">
        <v>7604</v>
      </c>
      <c r="F62" s="65" t="n">
        <f aca="false">IF(E62="","",D62-E62)</f>
        <v>-388</v>
      </c>
      <c r="G62" s="54" t="n">
        <v>3315</v>
      </c>
      <c r="H62" s="54" t="n">
        <v>3303</v>
      </c>
      <c r="I62" s="65" t="n">
        <f aca="false">IF(H62="","",G62-H62)</f>
        <v>12</v>
      </c>
      <c r="J62" s="55" t="n">
        <f aca="false">IF(OR(D62="",D62+G62=0),"",D62/(D62+G62))</f>
        <v>0.685215079289716</v>
      </c>
      <c r="K62" s="55" t="n">
        <f aca="false">IF(E62="","",E62/(E62+H62))</f>
        <v>0.697166957000092</v>
      </c>
      <c r="L62" s="66" t="n">
        <f aca="false">IF(OR(K62="",J62=""),"",(J62-K62)*100)</f>
        <v>-1.19518777103756</v>
      </c>
      <c r="M62" s="36" t="n">
        <v>1.81924294984712</v>
      </c>
      <c r="N62" s="36" t="n">
        <v>2.07636327875789</v>
      </c>
      <c r="O62" s="36" t="n">
        <f aca="false">SQRT(M62^2+N62^2)</f>
        <v>2.7606030819266</v>
      </c>
      <c r="P62" s="55" t="n">
        <f aca="false">IF(J62="","",MAX(0,J62-1.96*O62/100))</f>
        <v>0.631107258883955</v>
      </c>
      <c r="Q62" s="55" t="n">
        <f aca="false">IF(J62="","",MIN(1,J62+1.96*O62/100))</f>
        <v>0.739322899695478</v>
      </c>
      <c r="R62" s="32" t="str">
        <f aca="false">IF(L62="","",IF(ABS(L62)&lt;=O62,"Yes","No"))</f>
        <v>Yes</v>
      </c>
      <c r="S62" s="32" t="str">
        <f aca="false">IF(L62="","",IF(ABS(L62)&lt;=1.96*O62,"Yes","No"))</f>
        <v>Yes</v>
      </c>
      <c r="T62" s="54" t="n">
        <f aca="false">IF(D62="","",ROUND(SQRT(((D62+G62)*O62/100)^2+(J62*(D62+G62)*0.06406)^2),0))</f>
        <v>546</v>
      </c>
      <c r="U62" s="32"/>
    </row>
    <row r="63" customFormat="false" ht="15" hidden="false" customHeight="false" outlineLevel="0" collapsed="false">
      <c r="A63" s="32" t="s">
        <v>188</v>
      </c>
      <c r="B63" s="32" t="s">
        <v>198</v>
      </c>
      <c r="C63" s="32" t="s">
        <v>129</v>
      </c>
      <c r="D63" s="54" t="n">
        <v>5246</v>
      </c>
      <c r="E63" s="54" t="n">
        <v>5358</v>
      </c>
      <c r="F63" s="65" t="n">
        <f aca="false">IF(E63="","",D63-E63)</f>
        <v>-112</v>
      </c>
      <c r="G63" s="54" t="n">
        <v>5033</v>
      </c>
      <c r="H63" s="54" t="n">
        <v>5027</v>
      </c>
      <c r="I63" s="65" t="n">
        <f aca="false">IF(H63="","",G63-H63)</f>
        <v>6</v>
      </c>
      <c r="J63" s="55" t="n">
        <f aca="false">IF(OR(D63="",D63+G63=0),"",D63/(D63+G63))</f>
        <v>0.510360930051562</v>
      </c>
      <c r="K63" s="55" t="n">
        <f aca="false">IF(E63="","",E63/(E63+H63))</f>
        <v>0.515936446798267</v>
      </c>
      <c r="L63" s="66" t="n">
        <f aca="false">IF(OR(K63="",J63=""),"",(J63-K63)*100)</f>
        <v>-0.557551674670531</v>
      </c>
      <c r="M63" s="36" t="n">
        <v>1.81924294984712</v>
      </c>
      <c r="N63" s="36" t="n">
        <v>2.07636327875789</v>
      </c>
      <c r="O63" s="36" t="n">
        <f aca="false">SQRT(M63^2+N63^2)</f>
        <v>2.7606030819266</v>
      </c>
      <c r="P63" s="55" t="n">
        <f aca="false">IF(J63="","",MAX(0,J63-1.96*O63/100))</f>
        <v>0.4562531096458</v>
      </c>
      <c r="Q63" s="55" t="n">
        <f aca="false">IF(J63="","",MIN(1,J63+1.96*O63/100))</f>
        <v>0.564468750457323</v>
      </c>
      <c r="R63" s="32" t="str">
        <f aca="false">IF(L63="","",IF(ABS(L63)&lt;=O63,"Yes","No"))</f>
        <v>Yes</v>
      </c>
      <c r="S63" s="32" t="str">
        <f aca="false">IF(L63="","",IF(ABS(L63)&lt;=1.96*O63,"Yes","No"))</f>
        <v>Yes</v>
      </c>
      <c r="T63" s="54" t="n">
        <f aca="false">IF(D63="","",ROUND(SQRT(((D63+G63)*O63/100)^2+(J63*(D63+G63)*0.06406)^2),0))</f>
        <v>440</v>
      </c>
      <c r="U63" s="32"/>
    </row>
    <row r="64" customFormat="false" ht="15" hidden="false" customHeight="false" outlineLevel="0" collapsed="false">
      <c r="A64" s="32" t="s">
        <v>188</v>
      </c>
      <c r="B64" s="32" t="s">
        <v>199</v>
      </c>
      <c r="C64" s="32" t="s">
        <v>129</v>
      </c>
      <c r="D64" s="54" t="n">
        <v>738</v>
      </c>
      <c r="E64" s="54" t="n">
        <v>714</v>
      </c>
      <c r="F64" s="65" t="n">
        <f aca="false">IF(E64="","",D64-E64)</f>
        <v>24</v>
      </c>
      <c r="G64" s="54" t="n">
        <v>527</v>
      </c>
      <c r="H64" s="54" t="n">
        <v>484</v>
      </c>
      <c r="I64" s="65" t="n">
        <f aca="false">IF(H64="","",G64-H64)</f>
        <v>43</v>
      </c>
      <c r="J64" s="55" t="n">
        <f aca="false">IF(OR(D64="",D64+G64=0),"",D64/(D64+G64))</f>
        <v>0.583399209486166</v>
      </c>
      <c r="K64" s="55" t="n">
        <f aca="false">IF(E64="","",E64/(E64+H64))</f>
        <v>0.595993322203673</v>
      </c>
      <c r="L64" s="66" t="n">
        <f aca="false">IF(OR(K64="",J64=""),"",(J64-K64)*100)</f>
        <v>-1.25941127175068</v>
      </c>
      <c r="M64" s="36" t="n">
        <v>3.74498218247512</v>
      </c>
      <c r="N64" s="36" t="n">
        <v>2.07636327875789</v>
      </c>
      <c r="O64" s="36" t="n">
        <f aca="false">SQRT(M64^2+N64^2)</f>
        <v>4.28207613342294</v>
      </c>
      <c r="P64" s="55" t="n">
        <f aca="false">IF(J64="","",MAX(0,J64-1.96*O64/100))</f>
        <v>0.499470517271076</v>
      </c>
      <c r="Q64" s="55" t="n">
        <f aca="false">IF(J64="","",MIN(1,J64+1.96*O64/100))</f>
        <v>0.667327901701256</v>
      </c>
      <c r="R64" s="32" t="str">
        <f aca="false">IF(L64="","",IF(ABS(L64)&lt;=O64,"Yes","No"))</f>
        <v>Yes</v>
      </c>
      <c r="S64" s="32" t="str">
        <f aca="false">IF(L64="","",IF(ABS(L64)&lt;=1.96*O64,"Yes","No"))</f>
        <v>Yes</v>
      </c>
      <c r="T64" s="54" t="n">
        <f aca="false">IF(D64="","",ROUND(SQRT(((D64+G64)*O64/100)^2+(J64*(D64+G64)*0.09173)^2),0))</f>
        <v>87</v>
      </c>
      <c r="U64" s="32"/>
    </row>
    <row r="65" customFormat="false" ht="15" hidden="false" customHeight="false" outlineLevel="0" collapsed="false">
      <c r="A65" s="32" t="s">
        <v>188</v>
      </c>
      <c r="B65" s="32" t="s">
        <v>200</v>
      </c>
      <c r="C65" s="32" t="s">
        <v>129</v>
      </c>
      <c r="D65" s="54" t="n">
        <v>100</v>
      </c>
      <c r="E65" s="54" t="n">
        <v>109</v>
      </c>
      <c r="F65" s="65" t="n">
        <f aca="false">IF(E65="","",D65-E65)</f>
        <v>-9</v>
      </c>
      <c r="G65" s="54" t="n">
        <v>105</v>
      </c>
      <c r="H65" s="54" t="n">
        <v>97</v>
      </c>
      <c r="I65" s="65" t="n">
        <f aca="false">IF(H65="","",G65-H65)</f>
        <v>8</v>
      </c>
      <c r="J65" s="55" t="n">
        <f aca="false">IF(OR(D65="",D65+G65=0),"",D65/(D65+G65))</f>
        <v>0.487804878048781</v>
      </c>
      <c r="K65" s="55" t="n">
        <f aca="false">IF(E65="","",E65/(E65+H65))</f>
        <v>0.529126213592233</v>
      </c>
      <c r="L65" s="66" t="n">
        <f aca="false">IF(OR(K65="",J65=""),"",(J65-K65)*100)</f>
        <v>-4.13213355434525</v>
      </c>
      <c r="M65" s="36" t="n">
        <v>3.74498218247512</v>
      </c>
      <c r="N65" s="36" t="n">
        <v>2.07636327875789</v>
      </c>
      <c r="O65" s="36" t="n">
        <f aca="false">SQRT(M65^2+N65^2)</f>
        <v>4.28207613342294</v>
      </c>
      <c r="P65" s="55" t="n">
        <f aca="false">IF(J65="","",MAX(0,J65-1.96*O65/100))</f>
        <v>0.403876185833691</v>
      </c>
      <c r="Q65" s="55" t="n">
        <f aca="false">IF(J65="","",MIN(1,J65+1.96*O65/100))</f>
        <v>0.57173357026387</v>
      </c>
      <c r="R65" s="32" t="str">
        <f aca="false">IF(L65="","",IF(ABS(L65)&lt;=O65,"Yes","No"))</f>
        <v>Yes</v>
      </c>
      <c r="S65" s="32" t="str">
        <f aca="false">IF(L65="","",IF(ABS(L65)&lt;=1.96*O65,"Yes","No"))</f>
        <v>Yes</v>
      </c>
      <c r="T65" s="54" t="n">
        <f aca="false">IF(D65="","",ROUND(SQRT(((D65+G65)*O65/100)^2+(J65*(D65+G65)*0.09173)^2),0))</f>
        <v>13</v>
      </c>
      <c r="U65" s="32"/>
    </row>
    <row r="66" customFormat="false" ht="15" hidden="false" customHeight="false" outlineLevel="0" collapsed="false">
      <c r="A66" s="32" t="s">
        <v>188</v>
      </c>
      <c r="B66" s="32" t="s">
        <v>166</v>
      </c>
      <c r="C66" s="32" t="s">
        <v>129</v>
      </c>
      <c r="D66" s="54" t="n">
        <v>4126</v>
      </c>
      <c r="E66" s="54" t="n">
        <v>4341</v>
      </c>
      <c r="F66" s="65" t="n">
        <f aca="false">IF(E66="","",D66-E66)</f>
        <v>-215</v>
      </c>
      <c r="G66" s="54" t="n">
        <v>3823</v>
      </c>
      <c r="H66" s="54" t="n">
        <v>3620</v>
      </c>
      <c r="I66" s="65" t="n">
        <f aca="false">IF(H66="","",G66-H66)</f>
        <v>203</v>
      </c>
      <c r="J66" s="55" t="n">
        <f aca="false">IF(OR(D66="",D66+G66=0),"",D66/(D66+G66))</f>
        <v>0.519059001132218</v>
      </c>
      <c r="K66" s="55" t="n">
        <f aca="false">IF(E66="","",E66/(E66+H66))</f>
        <v>0.545283255872378</v>
      </c>
      <c r="L66" s="66" t="n">
        <f aca="false">IF(OR(K66="",J66=""),"",(J66-K66)*100)</f>
        <v>-2.62242547401599</v>
      </c>
      <c r="M66" s="36" t="n">
        <v>1.81924294984712</v>
      </c>
      <c r="N66" s="36" t="n">
        <v>2.07636327875789</v>
      </c>
      <c r="O66" s="36" t="n">
        <f aca="false">SQRT(M66^2+N66^2)</f>
        <v>2.7606030819266</v>
      </c>
      <c r="P66" s="55" t="n">
        <f aca="false">IF(J66="","",MAX(0,J66-1.96*O66/100))</f>
        <v>0.464951180726457</v>
      </c>
      <c r="Q66" s="55" t="n">
        <f aca="false">IF(J66="","",MIN(1,J66+1.96*O66/100))</f>
        <v>0.573166821537979</v>
      </c>
      <c r="R66" s="32" t="str">
        <f aca="false">IF(L66="","",IF(ABS(L66)&lt;=O66,"Yes","No"))</f>
        <v>Yes</v>
      </c>
      <c r="S66" s="32" t="str">
        <f aca="false">IF(L66="","",IF(ABS(L66)&lt;=1.96*O66,"Yes","No"))</f>
        <v>Yes</v>
      </c>
      <c r="T66" s="54" t="n">
        <f aca="false">IF(D66="","",ROUND(SQRT(((D66+G66)*O66/100)^2+(J66*(D66+G66)*0.06406)^2),0))</f>
        <v>344</v>
      </c>
      <c r="U66" s="32"/>
    </row>
    <row r="67" customFormat="false" ht="15" hidden="false" customHeight="false" outlineLevel="0" collapsed="false">
      <c r="A67" s="32" t="s">
        <v>188</v>
      </c>
      <c r="B67" s="32" t="s">
        <v>201</v>
      </c>
      <c r="C67" s="32" t="s">
        <v>129</v>
      </c>
      <c r="D67" s="54" t="n">
        <v>1712</v>
      </c>
      <c r="E67" s="54" t="n">
        <v>1726</v>
      </c>
      <c r="F67" s="65" t="n">
        <f aca="false">IF(E67="","",D67-E67)</f>
        <v>-14</v>
      </c>
      <c r="G67" s="54" t="n">
        <v>1647</v>
      </c>
      <c r="H67" s="54" t="n">
        <v>1685</v>
      </c>
      <c r="I67" s="65" t="n">
        <f aca="false">IF(H67="","",G67-H67)</f>
        <v>-38</v>
      </c>
      <c r="J67" s="55" t="n">
        <f aca="false">IF(OR(D67="",D67+G67=0),"",D67/(D67+G67))</f>
        <v>0.509675498660316</v>
      </c>
      <c r="K67" s="55" t="n">
        <f aca="false">IF(E67="","",E67/(E67+H67))</f>
        <v>0.506009967751393</v>
      </c>
      <c r="L67" s="66" t="n">
        <f aca="false">IF(OR(K67="",J67=""),"",(J67-K67)*100)</f>
        <v>0.366553090892308</v>
      </c>
      <c r="M67" s="36" t="n">
        <v>2.54563009906548</v>
      </c>
      <c r="N67" s="36" t="n">
        <v>2.07636327875789</v>
      </c>
      <c r="O67" s="36" t="n">
        <f aca="false">SQRT(M67^2+N67^2)</f>
        <v>3.28504445428709</v>
      </c>
      <c r="P67" s="55" t="n">
        <f aca="false">IF(J67="","",MAX(0,J67-1.96*O67/100))</f>
        <v>0.445288627356289</v>
      </c>
      <c r="Q67" s="55" t="n">
        <f aca="false">IF(J67="","",MIN(1,J67+1.96*O67/100))</f>
        <v>0.574062369964343</v>
      </c>
      <c r="R67" s="32" t="str">
        <f aca="false">IF(L67="","",IF(ABS(L67)&lt;=O67,"Yes","No"))</f>
        <v>Yes</v>
      </c>
      <c r="S67" s="32" t="str">
        <f aca="false">IF(L67="","",IF(ABS(L67)&lt;=1.96*O67,"Yes","No"))</f>
        <v>Yes</v>
      </c>
      <c r="T67" s="54" t="n">
        <f aca="false">IF(D67="","",ROUND(SQRT(((D67+G67)*O67/100)^2+(J67*(D67+G67)*0.07048)^2),0))</f>
        <v>164</v>
      </c>
      <c r="U67" s="32"/>
    </row>
    <row r="68" customFormat="false" ht="15" hidden="false" customHeight="false" outlineLevel="0" collapsed="false">
      <c r="A68" s="32" t="s">
        <v>188</v>
      </c>
      <c r="B68" s="32" t="s">
        <v>202</v>
      </c>
      <c r="C68" s="32" t="s">
        <v>129</v>
      </c>
      <c r="D68" s="54" t="n">
        <v>2133</v>
      </c>
      <c r="E68" s="54" t="n">
        <v>2244</v>
      </c>
      <c r="F68" s="65" t="n">
        <f aca="false">IF(E68="","",D68-E68)</f>
        <v>-111</v>
      </c>
      <c r="G68" s="54" t="n">
        <v>4516</v>
      </c>
      <c r="H68" s="54" t="n">
        <v>4439</v>
      </c>
      <c r="I68" s="65" t="n">
        <f aca="false">IF(H68="","",G68-H68)</f>
        <v>77</v>
      </c>
      <c r="J68" s="55" t="n">
        <f aca="false">IF(OR(D68="",D68+G68=0),"",D68/(D68+G68))</f>
        <v>0.320800120318845</v>
      </c>
      <c r="K68" s="55" t="n">
        <f aca="false">IF(E68="","",E68/(E68+H68))</f>
        <v>0.335777345503516</v>
      </c>
      <c r="L68" s="66" t="n">
        <f aca="false">IF(OR(K68="",J68=""),"",(J68-K68)*100)</f>
        <v>-1.49772251846715</v>
      </c>
      <c r="M68" s="36" t="n">
        <v>1.81924294984712</v>
      </c>
      <c r="N68" s="36" t="n">
        <v>2.07636327875789</v>
      </c>
      <c r="O68" s="36" t="n">
        <f aca="false">SQRT(M68^2+N68^2)</f>
        <v>2.7606030819266</v>
      </c>
      <c r="P68" s="55" t="n">
        <f aca="false">IF(J68="","",MAX(0,J68-1.96*O68/100))</f>
        <v>0.266692299913084</v>
      </c>
      <c r="Q68" s="55" t="n">
        <f aca="false">IF(J68="","",MIN(1,J68+1.96*O68/100))</f>
        <v>0.374907940724606</v>
      </c>
      <c r="R68" s="32" t="str">
        <f aca="false">IF(L68="","",IF(ABS(L68)&lt;=O68,"Yes","No"))</f>
        <v>Yes</v>
      </c>
      <c r="S68" s="32" t="str">
        <f aca="false">IF(L68="","",IF(ABS(L68)&lt;=1.96*O68,"Yes","No"))</f>
        <v>Yes</v>
      </c>
      <c r="T68" s="54" t="n">
        <f aca="false">IF(D68="","",ROUND(SQRT(((D68+G68)*O68/100)^2+(J68*(D68+G68)*0.06406)^2),0))</f>
        <v>229</v>
      </c>
      <c r="U68" s="32"/>
    </row>
    <row r="69" customFormat="false" ht="15" hidden="false" customHeight="false" outlineLevel="0" collapsed="false">
      <c r="A69" s="32" t="s">
        <v>188</v>
      </c>
      <c r="B69" s="32" t="s">
        <v>203</v>
      </c>
      <c r="C69" s="32" t="s">
        <v>129</v>
      </c>
      <c r="D69" s="54" t="n">
        <v>571</v>
      </c>
      <c r="E69" s="54" t="n">
        <v>625</v>
      </c>
      <c r="F69" s="65" t="n">
        <f aca="false">IF(E69="","",D69-E69)</f>
        <v>-54</v>
      </c>
      <c r="G69" s="54" t="n">
        <v>1220</v>
      </c>
      <c r="H69" s="54" t="n">
        <v>1214</v>
      </c>
      <c r="I69" s="65" t="n">
        <f aca="false">IF(H69="","",G69-H69)</f>
        <v>6</v>
      </c>
      <c r="J69" s="55" t="n">
        <f aca="false">IF(OR(D69="",D69+G69=0),"",D69/(D69+G69))</f>
        <v>0.318816303740927</v>
      </c>
      <c r="K69" s="55" t="n">
        <f aca="false">IF(E69="","",E69/(E69+H69))</f>
        <v>0.339858618814573</v>
      </c>
      <c r="L69" s="66" t="n">
        <f aca="false">IF(OR(K69="",J69=""),"",(J69-K69)*100)</f>
        <v>-2.10423150736463</v>
      </c>
      <c r="M69" s="36" t="n">
        <v>2.54563009906548</v>
      </c>
      <c r="N69" s="36" t="n">
        <v>2.07636327875789</v>
      </c>
      <c r="O69" s="36" t="n">
        <f aca="false">SQRT(M69^2+N69^2)</f>
        <v>3.28504445428709</v>
      </c>
      <c r="P69" s="55" t="n">
        <f aca="false">IF(J69="","",MAX(0,J69-1.96*O69/100))</f>
        <v>0.2544294324369</v>
      </c>
      <c r="Q69" s="55" t="n">
        <f aca="false">IF(J69="","",MIN(1,J69+1.96*O69/100))</f>
        <v>0.383203175044954</v>
      </c>
      <c r="R69" s="32" t="str">
        <f aca="false">IF(L69="","",IF(ABS(L69)&lt;=O69,"Yes","No"))</f>
        <v>Yes</v>
      </c>
      <c r="S69" s="32" t="str">
        <f aca="false">IF(L69="","",IF(ABS(L69)&lt;=1.96*O69,"Yes","No"))</f>
        <v>Yes</v>
      </c>
      <c r="T69" s="54" t="n">
        <f aca="false">IF(D69="","",ROUND(SQRT(((D69+G69)*O69/100)^2+(J69*(D69+G69)*0.07048)^2),0))</f>
        <v>71</v>
      </c>
      <c r="U69" s="32"/>
    </row>
    <row r="70" customFormat="false" ht="15" hidden="false" customHeight="false" outlineLevel="0" collapsed="false">
      <c r="A70" s="32" t="s">
        <v>188</v>
      </c>
      <c r="B70" s="32" t="s">
        <v>204</v>
      </c>
      <c r="C70" s="32" t="s">
        <v>129</v>
      </c>
      <c r="D70" s="54" t="n">
        <v>1870</v>
      </c>
      <c r="E70" s="54" t="n">
        <v>2047</v>
      </c>
      <c r="F70" s="65" t="n">
        <f aca="false">IF(E70="","",D70-E70)</f>
        <v>-177</v>
      </c>
      <c r="G70" s="54" t="n">
        <v>2685</v>
      </c>
      <c r="H70" s="54" t="n">
        <v>2499</v>
      </c>
      <c r="I70" s="65" t="n">
        <f aca="false">IF(H70="","",G70-H70)</f>
        <v>186</v>
      </c>
      <c r="J70" s="55" t="n">
        <f aca="false">IF(OR(D70="",D70+G70=0),"",D70/(D70+G70))</f>
        <v>0.410537870472009</v>
      </c>
      <c r="K70" s="55" t="n">
        <f aca="false">IF(E70="","",E70/(E70+H70))</f>
        <v>0.450285965684118</v>
      </c>
      <c r="L70" s="66" t="n">
        <f aca="false">IF(OR(K70="",J70=""),"",(J70-K70)*100)</f>
        <v>-3.97480952121091</v>
      </c>
      <c r="M70" s="36" t="n">
        <v>1.81924294984712</v>
      </c>
      <c r="N70" s="36" t="n">
        <v>2.07636327875789</v>
      </c>
      <c r="O70" s="36" t="n">
        <f aca="false">SQRT(M70^2+N70^2)</f>
        <v>2.7606030819266</v>
      </c>
      <c r="P70" s="55" t="n">
        <f aca="false">IF(J70="","",MAX(0,J70-1.96*O70/100))</f>
        <v>0.356430050066247</v>
      </c>
      <c r="Q70" s="55" t="n">
        <f aca="false">IF(J70="","",MIN(1,J70+1.96*O70/100))</f>
        <v>0.46464569087777</v>
      </c>
      <c r="R70" s="32" t="str">
        <f aca="false">IF(L70="","",IF(ABS(L70)&lt;=O70,"Yes","No"))</f>
        <v>No</v>
      </c>
      <c r="S70" s="32" t="str">
        <f aca="false">IF(L70="","",IF(ABS(L70)&lt;=1.96*O70,"Yes","No"))</f>
        <v>Yes</v>
      </c>
      <c r="T70" s="54" t="n">
        <f aca="false">IF(D70="","",ROUND(SQRT(((D70+G70)*O70/100)^2+(J70*(D70+G70)*0.06406)^2),0))</f>
        <v>174</v>
      </c>
      <c r="U70" s="32"/>
    </row>
    <row r="71" customFormat="false" ht="15" hidden="false" customHeight="false" outlineLevel="0" collapsed="false">
      <c r="A71" s="32" t="s">
        <v>188</v>
      </c>
      <c r="B71" s="32" t="s">
        <v>205</v>
      </c>
      <c r="C71" s="32" t="s">
        <v>129</v>
      </c>
      <c r="D71" s="54" t="n">
        <v>3370</v>
      </c>
      <c r="E71" s="54" t="n">
        <v>3457</v>
      </c>
      <c r="F71" s="65" t="n">
        <f aca="false">IF(E71="","",D71-E71)</f>
        <v>-87</v>
      </c>
      <c r="G71" s="54" t="n">
        <v>3853</v>
      </c>
      <c r="H71" s="54" t="n">
        <v>3805</v>
      </c>
      <c r="I71" s="65" t="n">
        <f aca="false">IF(H71="","",G71-H71)</f>
        <v>48</v>
      </c>
      <c r="J71" s="55" t="n">
        <f aca="false">IF(OR(D71="",D71+G71=0),"",D71/(D71+G71))</f>
        <v>0.466565139138862</v>
      </c>
      <c r="K71" s="55" t="n">
        <f aca="false">IF(E71="","",E71/(E71+H71))</f>
        <v>0.476039658496282</v>
      </c>
      <c r="L71" s="66" t="n">
        <f aca="false">IF(OR(K71="",J71=""),"",(J71-K71)*100)</f>
        <v>-0.947451935742</v>
      </c>
      <c r="M71" s="36" t="n">
        <v>1.81924294984712</v>
      </c>
      <c r="N71" s="36" t="n">
        <v>2.07636327875789</v>
      </c>
      <c r="O71" s="36" t="n">
        <f aca="false">SQRT(M71^2+N71^2)</f>
        <v>2.7606030819266</v>
      </c>
      <c r="P71" s="55" t="n">
        <f aca="false">IF(J71="","",MAX(0,J71-1.96*O71/100))</f>
        <v>0.412457318733101</v>
      </c>
      <c r="Q71" s="55" t="n">
        <f aca="false">IF(J71="","",MIN(1,J71+1.96*O71/100))</f>
        <v>0.520672959544623</v>
      </c>
      <c r="R71" s="32" t="str">
        <f aca="false">IF(L71="","",IF(ABS(L71)&lt;=O71,"Yes","No"))</f>
        <v>Yes</v>
      </c>
      <c r="S71" s="32" t="str">
        <f aca="false">IF(L71="","",IF(ABS(L71)&lt;=1.96*O71,"Yes","No"))</f>
        <v>Yes</v>
      </c>
      <c r="T71" s="54" t="n">
        <f aca="false">IF(D71="","",ROUND(SQRT(((D71+G71)*O71/100)^2+(J71*(D71+G71)*0.06406)^2),0))</f>
        <v>294</v>
      </c>
      <c r="U71" s="32"/>
    </row>
    <row r="72" customFormat="false" ht="15" hidden="false" customHeight="false" outlineLevel="0" collapsed="false">
      <c r="A72" s="32" t="s">
        <v>188</v>
      </c>
      <c r="B72" s="32" t="s">
        <v>206</v>
      </c>
      <c r="C72" s="32" t="s">
        <v>129</v>
      </c>
      <c r="D72" s="54" t="n">
        <v>1876</v>
      </c>
      <c r="E72" s="54" t="n">
        <v>2006</v>
      </c>
      <c r="F72" s="65" t="n">
        <f aca="false">IF(E72="","",D72-E72)</f>
        <v>-130</v>
      </c>
      <c r="G72" s="54" t="n">
        <v>4071</v>
      </c>
      <c r="H72" s="54" t="n">
        <v>4057</v>
      </c>
      <c r="I72" s="65" t="n">
        <f aca="false">IF(H72="","",G72-H72)</f>
        <v>14</v>
      </c>
      <c r="J72" s="55" t="n">
        <f aca="false">IF(OR(D72="",D72+G72=0),"",D72/(D72+G72))</f>
        <v>0.315453169665378</v>
      </c>
      <c r="K72" s="55" t="n">
        <f aca="false">IF(E72="","",E72/(E72+H72))</f>
        <v>0.330859310572324</v>
      </c>
      <c r="L72" s="66" t="n">
        <f aca="false">IF(OR(K72="",J72=""),"",(J72-K72)*100)</f>
        <v>-1.54061409069464</v>
      </c>
      <c r="M72" s="36" t="n">
        <v>1.81924294984712</v>
      </c>
      <c r="N72" s="36" t="n">
        <v>2.07636327875789</v>
      </c>
      <c r="O72" s="36" t="n">
        <f aca="false">SQRT(M72^2+N72^2)</f>
        <v>2.7606030819266</v>
      </c>
      <c r="P72" s="55" t="n">
        <f aca="false">IF(J72="","",MAX(0,J72-1.96*O72/100))</f>
        <v>0.261345349259616</v>
      </c>
      <c r="Q72" s="55" t="n">
        <f aca="false">IF(J72="","",MIN(1,J72+1.96*O72/100))</f>
        <v>0.369560990071139</v>
      </c>
      <c r="R72" s="32" t="str">
        <f aca="false">IF(L72="","",IF(ABS(L72)&lt;=O72,"Yes","No"))</f>
        <v>Yes</v>
      </c>
      <c r="S72" s="32" t="str">
        <f aca="false">IF(L72="","",IF(ABS(L72)&lt;=1.96*O72,"Yes","No"))</f>
        <v>Yes</v>
      </c>
      <c r="T72" s="54" t="n">
        <f aca="false">IF(D72="","",ROUND(SQRT(((D72+G72)*O72/100)^2+(J72*(D72+G72)*0.06406)^2),0))</f>
        <v>203</v>
      </c>
      <c r="U72" s="32"/>
    </row>
    <row r="73" customFormat="false" ht="15" hidden="false" customHeight="false" outlineLevel="0" collapsed="false">
      <c r="A73" s="32" t="s">
        <v>188</v>
      </c>
      <c r="B73" s="32" t="s">
        <v>207</v>
      </c>
      <c r="C73" s="32" t="s">
        <v>129</v>
      </c>
      <c r="D73" s="54" t="n">
        <v>1557</v>
      </c>
      <c r="E73" s="54" t="n">
        <v>1596</v>
      </c>
      <c r="F73" s="65" t="n">
        <f aca="false">IF(E73="","",D73-E73)</f>
        <v>-39</v>
      </c>
      <c r="G73" s="54" t="n">
        <v>1610</v>
      </c>
      <c r="H73" s="54" t="n">
        <v>1664</v>
      </c>
      <c r="I73" s="65" t="n">
        <f aca="false">IF(H73="","",G73-H73)</f>
        <v>-54</v>
      </c>
      <c r="J73" s="55" t="n">
        <f aca="false">IF(OR(D73="",D73+G73=0),"",D73/(D73+G73))</f>
        <v>0.49163245974108</v>
      </c>
      <c r="K73" s="55" t="n">
        <f aca="false">IF(E73="","",E73/(E73+H73))</f>
        <v>0.489570552147239</v>
      </c>
      <c r="L73" s="66" t="n">
        <f aca="false">IF(OR(K73="",J73=""),"",(J73-K73)*100)</f>
        <v>0.206190759384062</v>
      </c>
      <c r="M73" s="36" t="n">
        <v>2.54563009906548</v>
      </c>
      <c r="N73" s="36" t="n">
        <v>2.07636327875789</v>
      </c>
      <c r="O73" s="36" t="n">
        <f aca="false">SQRT(M73^2+N73^2)</f>
        <v>3.28504445428709</v>
      </c>
      <c r="P73" s="55" t="n">
        <f aca="false">IF(J73="","",MAX(0,J73-1.96*O73/100))</f>
        <v>0.427245588437053</v>
      </c>
      <c r="Q73" s="55" t="n">
        <f aca="false">IF(J73="","",MIN(1,J73+1.96*O73/100))</f>
        <v>0.556019331045107</v>
      </c>
      <c r="R73" s="32" t="str">
        <f aca="false">IF(L73="","",IF(ABS(L73)&lt;=O73,"Yes","No"))</f>
        <v>Yes</v>
      </c>
      <c r="S73" s="32" t="str">
        <f aca="false">IF(L73="","",IF(ABS(L73)&lt;=1.96*O73,"Yes","No"))</f>
        <v>Yes</v>
      </c>
      <c r="T73" s="54" t="n">
        <f aca="false">IF(D73="","",ROUND(SQRT(((D73+G73)*O73/100)^2+(J73*(D73+G73)*0.07048)^2),0))</f>
        <v>151</v>
      </c>
      <c r="U73" s="32"/>
    </row>
    <row r="74" customFormat="false" ht="15" hidden="false" customHeight="false" outlineLevel="0" collapsed="false">
      <c r="A74" s="32" t="s">
        <v>188</v>
      </c>
      <c r="B74" s="32" t="s">
        <v>208</v>
      </c>
      <c r="C74" s="32" t="s">
        <v>129</v>
      </c>
      <c r="D74" s="54" t="n">
        <v>855</v>
      </c>
      <c r="E74" s="54" t="n">
        <v>847</v>
      </c>
      <c r="F74" s="65" t="n">
        <f aca="false">IF(E74="","",D74-E74)</f>
        <v>8</v>
      </c>
      <c r="G74" s="54" t="n">
        <v>920</v>
      </c>
      <c r="H74" s="54" t="n">
        <v>889</v>
      </c>
      <c r="I74" s="65" t="n">
        <f aca="false">IF(H74="","",G74-H74)</f>
        <v>31</v>
      </c>
      <c r="J74" s="55" t="n">
        <f aca="false">IF(OR(D74="",D74+G74=0),"",D74/(D74+G74))</f>
        <v>0.48169014084507</v>
      </c>
      <c r="K74" s="55" t="n">
        <f aca="false">IF(E74="","",E74/(E74+H74))</f>
        <v>0.487903225806452</v>
      </c>
      <c r="L74" s="66" t="n">
        <f aca="false">IF(OR(K74="",J74=""),"",(J74-K74)*100)</f>
        <v>-0.621308496138118</v>
      </c>
      <c r="M74" s="36" t="n">
        <v>2.54563009906548</v>
      </c>
      <c r="N74" s="36" t="n">
        <v>2.07636327875789</v>
      </c>
      <c r="O74" s="36" t="n">
        <f aca="false">SQRT(M74^2+N74^2)</f>
        <v>3.28504445428709</v>
      </c>
      <c r="P74" s="55" t="n">
        <f aca="false">IF(J74="","",MAX(0,J74-1.96*O74/100))</f>
        <v>0.417303269541044</v>
      </c>
      <c r="Q74" s="55" t="n">
        <f aca="false">IF(J74="","",MIN(1,J74+1.96*O74/100))</f>
        <v>0.546077012149097</v>
      </c>
      <c r="R74" s="32" t="str">
        <f aca="false">IF(L74="","",IF(ABS(L74)&lt;=O74,"Yes","No"))</f>
        <v>Yes</v>
      </c>
      <c r="S74" s="32" t="str">
        <f aca="false">IF(L74="","",IF(ABS(L74)&lt;=1.96*O74,"Yes","No"))</f>
        <v>Yes</v>
      </c>
      <c r="T74" s="54" t="n">
        <f aca="false">IF(D74="","",ROUND(SQRT(((D74+G74)*O74/100)^2+(J74*(D74+G74)*0.07048)^2),0))</f>
        <v>84</v>
      </c>
      <c r="U74" s="32"/>
    </row>
    <row r="75" customFormat="false" ht="15" hidden="false" customHeight="false" outlineLevel="0" collapsed="false">
      <c r="A75" s="32" t="s">
        <v>188</v>
      </c>
      <c r="B75" s="32" t="s">
        <v>209</v>
      </c>
      <c r="C75" s="32" t="s">
        <v>129</v>
      </c>
      <c r="D75" s="54" t="n">
        <v>2693</v>
      </c>
      <c r="E75" s="54" t="n">
        <v>2573</v>
      </c>
      <c r="F75" s="65" t="n">
        <f aca="false">IF(E75="","",D75-E75)</f>
        <v>120</v>
      </c>
      <c r="G75" s="54" t="n">
        <v>3011</v>
      </c>
      <c r="H75" s="54" t="n">
        <v>3023</v>
      </c>
      <c r="I75" s="65" t="n">
        <f aca="false">IF(H75="","",G75-H75)</f>
        <v>-12</v>
      </c>
      <c r="J75" s="55" t="n">
        <f aca="false">IF(OR(D75="",D75+G75=0),"",D75/(D75+G75))</f>
        <v>0.472124824684432</v>
      </c>
      <c r="K75" s="55" t="n">
        <f aca="false">IF(E75="","",E75/(E75+H75))</f>
        <v>0.459792709077913</v>
      </c>
      <c r="L75" s="66" t="n">
        <f aca="false">IF(OR(K75="",J75=""),"",(J75-K75)*100)</f>
        <v>1.23321156065191</v>
      </c>
      <c r="M75" s="36" t="n">
        <v>1.81924294984712</v>
      </c>
      <c r="N75" s="36" t="n">
        <v>2.07636327875789</v>
      </c>
      <c r="O75" s="36" t="n">
        <f aca="false">SQRT(M75^2+N75^2)</f>
        <v>2.7606030819266</v>
      </c>
      <c r="P75" s="55" t="n">
        <f aca="false">IF(J75="","",MAX(0,J75-1.96*O75/100))</f>
        <v>0.418017004278671</v>
      </c>
      <c r="Q75" s="55" t="n">
        <f aca="false">IF(J75="","",MIN(1,J75+1.96*O75/100))</f>
        <v>0.526232645090193</v>
      </c>
      <c r="R75" s="32" t="str">
        <f aca="false">IF(L75="","",IF(ABS(L75)&lt;=O75,"Yes","No"))</f>
        <v>Yes</v>
      </c>
      <c r="S75" s="32" t="str">
        <f aca="false">IF(L75="","",IF(ABS(L75)&lt;=1.96*O75,"Yes","No"))</f>
        <v>Yes</v>
      </c>
      <c r="T75" s="54" t="n">
        <f aca="false">IF(D75="","",ROUND(SQRT(((D75+G75)*O75/100)^2+(J75*(D75+G75)*0.06406)^2),0))</f>
        <v>234</v>
      </c>
      <c r="U75" s="32"/>
    </row>
    <row r="76" customFormat="false" ht="15" hidden="false" customHeight="false" outlineLevel="0" collapsed="false">
      <c r="A76" s="32" t="s">
        <v>188</v>
      </c>
      <c r="B76" s="32" t="s">
        <v>210</v>
      </c>
      <c r="C76" s="32" t="s">
        <v>129</v>
      </c>
      <c r="D76" s="54" t="n">
        <v>6967</v>
      </c>
      <c r="E76" s="54" t="n">
        <v>6974</v>
      </c>
      <c r="F76" s="65" t="n">
        <f aca="false">IF(E76="","",D76-E76)</f>
        <v>-7</v>
      </c>
      <c r="G76" s="54" t="n">
        <v>6827</v>
      </c>
      <c r="H76" s="54" t="n">
        <v>6736</v>
      </c>
      <c r="I76" s="65" t="n">
        <f aca="false">IF(H76="","",G76-H76)</f>
        <v>91</v>
      </c>
      <c r="J76" s="55" t="n">
        <f aca="false">IF(OR(D76="",D76+G76=0),"",D76/(D76+G76))</f>
        <v>0.505074670146441</v>
      </c>
      <c r="K76" s="55" t="n">
        <f aca="false">IF(E76="","",E76/(E76+H76))</f>
        <v>0.508679795769511</v>
      </c>
      <c r="L76" s="66" t="n">
        <f aca="false">IF(OR(K76="",J76=""),"",(J76-K76)*100)</f>
        <v>-0.36051256230708</v>
      </c>
      <c r="M76" s="36" t="n">
        <v>1.81924294984712</v>
      </c>
      <c r="N76" s="36" t="n">
        <v>2.07636327875789</v>
      </c>
      <c r="O76" s="36" t="n">
        <f aca="false">SQRT(M76^2+N76^2)</f>
        <v>2.7606030819266</v>
      </c>
      <c r="P76" s="55" t="n">
        <f aca="false">IF(J76="","",MAX(0,J76-1.96*O76/100))</f>
        <v>0.450966849740679</v>
      </c>
      <c r="Q76" s="55" t="n">
        <f aca="false">IF(J76="","",MIN(1,J76+1.96*O76/100))</f>
        <v>0.559182490552202</v>
      </c>
      <c r="R76" s="32" t="str">
        <f aca="false">IF(L76="","",IF(ABS(L76)&lt;=O76,"Yes","No"))</f>
        <v>Yes</v>
      </c>
      <c r="S76" s="32" t="str">
        <f aca="false">IF(L76="","",IF(ABS(L76)&lt;=1.96*O76,"Yes","No"))</f>
        <v>Yes</v>
      </c>
      <c r="T76" s="54" t="n">
        <f aca="false">IF(D76="","",ROUND(SQRT(((D76+G76)*O76/100)^2+(J76*(D76+G76)*0.06406)^2),0))</f>
        <v>587</v>
      </c>
      <c r="U76" s="32"/>
    </row>
    <row r="77" customFormat="false" ht="15" hidden="false" customHeight="false" outlineLevel="0" collapsed="false">
      <c r="A77" s="32" t="s">
        <v>188</v>
      </c>
      <c r="B77" s="32" t="s">
        <v>211</v>
      </c>
      <c r="C77" s="32" t="s">
        <v>129</v>
      </c>
      <c r="D77" s="54" t="n">
        <v>662</v>
      </c>
      <c r="E77" s="54" t="n">
        <v>703</v>
      </c>
      <c r="F77" s="65" t="n">
        <f aca="false">IF(E77="","",D77-E77)</f>
        <v>-41</v>
      </c>
      <c r="G77" s="54" t="n">
        <v>1183</v>
      </c>
      <c r="H77" s="54" t="n">
        <v>1180</v>
      </c>
      <c r="I77" s="65" t="n">
        <f aca="false">IF(H77="","",G77-H77)</f>
        <v>3</v>
      </c>
      <c r="J77" s="55" t="n">
        <f aca="false">IF(OR(D77="",D77+G77=0),"",D77/(D77+G77))</f>
        <v>0.358807588075881</v>
      </c>
      <c r="K77" s="55" t="n">
        <f aca="false">IF(E77="","",E77/(E77+H77))</f>
        <v>0.373340414232608</v>
      </c>
      <c r="L77" s="66" t="n">
        <f aca="false">IF(OR(K77="",J77=""),"",(J77-K77)*100)</f>
        <v>-1.45328261567268</v>
      </c>
      <c r="M77" s="36" t="n">
        <v>2.54563009906548</v>
      </c>
      <c r="N77" s="36" t="n">
        <v>2.07636327875789</v>
      </c>
      <c r="O77" s="36" t="n">
        <f aca="false">SQRT(M77^2+N77^2)</f>
        <v>3.28504445428709</v>
      </c>
      <c r="P77" s="55" t="n">
        <f aca="false">IF(J77="","",MAX(0,J77-1.96*O77/100))</f>
        <v>0.294420716771854</v>
      </c>
      <c r="Q77" s="55" t="n">
        <f aca="false">IF(J77="","",MIN(1,J77+1.96*O77/100))</f>
        <v>0.423194459379908</v>
      </c>
      <c r="R77" s="32" t="str">
        <f aca="false">IF(L77="","",IF(ABS(L77)&lt;=O77,"Yes","No"))</f>
        <v>Yes</v>
      </c>
      <c r="S77" s="32" t="str">
        <f aca="false">IF(L77="","",IF(ABS(L77)&lt;=1.96*O77,"Yes","No"))</f>
        <v>Yes</v>
      </c>
      <c r="T77" s="54" t="n">
        <f aca="false">IF(D77="","",ROUND(SQRT(((D77+G77)*O77/100)^2+(J77*(D77+G77)*0.07048)^2),0))</f>
        <v>76</v>
      </c>
      <c r="U77" s="32"/>
    </row>
    <row r="78" customFormat="false" ht="15" hidden="false" customHeight="false" outlineLevel="0" collapsed="false">
      <c r="A78" s="32" t="s">
        <v>188</v>
      </c>
      <c r="B78" s="32" t="s">
        <v>212</v>
      </c>
      <c r="C78" s="32" t="s">
        <v>129</v>
      </c>
      <c r="D78" s="54" t="n">
        <v>1248</v>
      </c>
      <c r="E78" s="54" t="n">
        <v>1361</v>
      </c>
      <c r="F78" s="65" t="n">
        <f aca="false">IF(E78="","",D78-E78)</f>
        <v>-113</v>
      </c>
      <c r="G78" s="54" t="n">
        <v>2702</v>
      </c>
      <c r="H78" s="54" t="n">
        <v>2561</v>
      </c>
      <c r="I78" s="65" t="n">
        <f aca="false">IF(H78="","",G78-H78)</f>
        <v>141</v>
      </c>
      <c r="J78" s="55" t="n">
        <f aca="false">IF(OR(D78="",D78+G78=0),"",D78/(D78+G78))</f>
        <v>0.315949367088608</v>
      </c>
      <c r="K78" s="55" t="n">
        <f aca="false">IF(E78="","",E78/(E78+H78))</f>
        <v>0.347016828148904</v>
      </c>
      <c r="L78" s="66" t="n">
        <f aca="false">IF(OR(K78="",J78=""),"",(J78-K78)*100)</f>
        <v>-3.1067461060296</v>
      </c>
      <c r="M78" s="36" t="n">
        <v>1.81924294984712</v>
      </c>
      <c r="N78" s="36" t="n">
        <v>2.07636327875789</v>
      </c>
      <c r="O78" s="36" t="n">
        <f aca="false">SQRT(M78^2+N78^2)</f>
        <v>2.7606030819266</v>
      </c>
      <c r="P78" s="55" t="n">
        <f aca="false">IF(J78="","",MAX(0,J78-1.96*O78/100))</f>
        <v>0.261841546682846</v>
      </c>
      <c r="Q78" s="55" t="n">
        <f aca="false">IF(J78="","",MIN(1,J78+1.96*O78/100))</f>
        <v>0.370057187494369</v>
      </c>
      <c r="R78" s="32" t="str">
        <f aca="false">IF(L78="","",IF(ABS(L78)&lt;=O78,"Yes","No"))</f>
        <v>No</v>
      </c>
      <c r="S78" s="32" t="str">
        <f aca="false">IF(L78="","",IF(ABS(L78)&lt;=1.96*O78,"Yes","No"))</f>
        <v>Yes</v>
      </c>
      <c r="T78" s="54" t="n">
        <f aca="false">IF(D78="","",ROUND(SQRT(((D78+G78)*O78/100)^2+(J78*(D78+G78)*0.06406)^2),0))</f>
        <v>135</v>
      </c>
      <c r="U78" s="32"/>
    </row>
    <row r="79" customFormat="false" ht="15" hidden="false" customHeight="false" outlineLevel="0" collapsed="false">
      <c r="A79" s="32" t="s">
        <v>188</v>
      </c>
      <c r="B79" s="32" t="s">
        <v>213</v>
      </c>
      <c r="C79" s="32" t="s">
        <v>129</v>
      </c>
      <c r="D79" s="54" t="n">
        <v>75</v>
      </c>
      <c r="E79" s="54" t="n">
        <v>92</v>
      </c>
      <c r="F79" s="65" t="n">
        <f aca="false">IF(E79="","",D79-E79)</f>
        <v>-17</v>
      </c>
      <c r="G79" s="54" t="n">
        <v>174</v>
      </c>
      <c r="H79" s="54" t="n">
        <v>167</v>
      </c>
      <c r="I79" s="65" t="n">
        <f aca="false">IF(H79="","",G79-H79)</f>
        <v>7</v>
      </c>
      <c r="J79" s="55" t="n">
        <f aca="false">IF(OR(D79="",D79+G79=0),"",D79/(D79+G79))</f>
        <v>0.301204819277108</v>
      </c>
      <c r="K79" s="55" t="n">
        <f aca="false">IF(E79="","",E79/(E79+H79))</f>
        <v>0.355212355212355</v>
      </c>
      <c r="L79" s="66" t="n">
        <f aca="false">IF(OR(K79="",J79=""),"",(J79-K79)*100)</f>
        <v>-5.40075359352468</v>
      </c>
      <c r="M79" s="36" t="n">
        <v>3.74498218247512</v>
      </c>
      <c r="N79" s="36" t="n">
        <v>2.07636327875789</v>
      </c>
      <c r="O79" s="36" t="n">
        <f aca="false">SQRT(M79^2+N79^2)</f>
        <v>4.28207613342294</v>
      </c>
      <c r="P79" s="55" t="n">
        <f aca="false">IF(J79="","",MAX(0,J79-1.96*O79/100))</f>
        <v>0.217276127062019</v>
      </c>
      <c r="Q79" s="55" t="n">
        <f aca="false">IF(J79="","",MIN(1,J79+1.96*O79/100))</f>
        <v>0.385133511492198</v>
      </c>
      <c r="R79" s="32" t="str">
        <f aca="false">IF(L79="","",IF(ABS(L79)&lt;=O79,"Yes","No"))</f>
        <v>No</v>
      </c>
      <c r="S79" s="32" t="str">
        <f aca="false">IF(L79="","",IF(ABS(L79)&lt;=1.96*O79,"Yes","No"))</f>
        <v>Yes</v>
      </c>
      <c r="T79" s="54" t="n">
        <f aca="false">IF(D79="","",ROUND(SQRT(((D79+G79)*O79/100)^2+(J79*(D79+G79)*0.09173)^2),0))</f>
        <v>13</v>
      </c>
      <c r="U79" s="32"/>
    </row>
    <row r="80" customFormat="false" ht="15" hidden="false" customHeight="false" outlineLevel="0" collapsed="false">
      <c r="A80" s="32" t="s">
        <v>188</v>
      </c>
      <c r="B80" s="32" t="s">
        <v>214</v>
      </c>
      <c r="C80" s="32" t="s">
        <v>129</v>
      </c>
      <c r="D80" s="54" t="n">
        <v>325</v>
      </c>
      <c r="E80" s="54" t="n">
        <v>335</v>
      </c>
      <c r="F80" s="65" t="n">
        <f aca="false">IF(E80="","",D80-E80)</f>
        <v>-10</v>
      </c>
      <c r="G80" s="54" t="n">
        <v>607</v>
      </c>
      <c r="H80" s="54" t="n">
        <v>581</v>
      </c>
      <c r="I80" s="65" t="n">
        <f aca="false">IF(H80="","",G80-H80)</f>
        <v>26</v>
      </c>
      <c r="J80" s="55" t="n">
        <f aca="false">IF(OR(D80="",D80+G80=0),"",D80/(D80+G80))</f>
        <v>0.348712446351931</v>
      </c>
      <c r="K80" s="55" t="n">
        <f aca="false">IF(E80="","",E80/(E80+H80))</f>
        <v>0.365720524017467</v>
      </c>
      <c r="L80" s="66" t="n">
        <f aca="false">IF(OR(K80="",J80=""),"",(J80-K80)*100)</f>
        <v>-1.70080776655359</v>
      </c>
      <c r="M80" s="36" t="n">
        <v>3.74498218247512</v>
      </c>
      <c r="N80" s="36" t="n">
        <v>2.07636327875789</v>
      </c>
      <c r="O80" s="36" t="n">
        <f aca="false">SQRT(M80^2+N80^2)</f>
        <v>4.28207613342294</v>
      </c>
      <c r="P80" s="55" t="n">
        <f aca="false">IF(J80="","",MAX(0,J80-1.96*O80/100))</f>
        <v>0.264783754136842</v>
      </c>
      <c r="Q80" s="55" t="n">
        <f aca="false">IF(J80="","",MIN(1,J80+1.96*O80/100))</f>
        <v>0.432641138567021</v>
      </c>
      <c r="R80" s="32" t="str">
        <f aca="false">IF(L80="","",IF(ABS(L80)&lt;=O80,"Yes","No"))</f>
        <v>Yes</v>
      </c>
      <c r="S80" s="32" t="str">
        <f aca="false">IF(L80="","",IF(ABS(L80)&lt;=1.96*O80,"Yes","No"))</f>
        <v>Yes</v>
      </c>
      <c r="T80" s="54" t="n">
        <f aca="false">IF(D80="","",ROUND(SQRT(((D80+G80)*O80/100)^2+(J80*(D80+G80)*0.09173)^2),0))</f>
        <v>50</v>
      </c>
      <c r="U80" s="32"/>
    </row>
    <row r="81" customFormat="false" ht="15" hidden="false" customHeight="false" outlineLevel="0" collapsed="false">
      <c r="A81" s="32" t="s">
        <v>188</v>
      </c>
      <c r="B81" s="32" t="s">
        <v>215</v>
      </c>
      <c r="C81" s="32" t="s">
        <v>129</v>
      </c>
      <c r="D81" s="54" t="n">
        <v>202</v>
      </c>
      <c r="E81" s="54" t="n">
        <v>210</v>
      </c>
      <c r="F81" s="65" t="n">
        <f aca="false">IF(E81="","",D81-E81)</f>
        <v>-8</v>
      </c>
      <c r="G81" s="54" t="n">
        <v>312</v>
      </c>
      <c r="H81" s="54" t="n">
        <v>309</v>
      </c>
      <c r="I81" s="65" t="n">
        <f aca="false">IF(H81="","",G81-H81)</f>
        <v>3</v>
      </c>
      <c r="J81" s="55" t="n">
        <f aca="false">IF(OR(D81="",D81+G81=0),"",D81/(D81+G81))</f>
        <v>0.392996108949416</v>
      </c>
      <c r="K81" s="55" t="n">
        <f aca="false">IF(E81="","",E81/(E81+H81))</f>
        <v>0.404624277456647</v>
      </c>
      <c r="L81" s="66" t="n">
        <f aca="false">IF(OR(K81="",J81=""),"",(J81-K81)*100)</f>
        <v>-1.16281685072311</v>
      </c>
      <c r="M81" s="36" t="n">
        <v>3.74498218247512</v>
      </c>
      <c r="N81" s="36" t="n">
        <v>2.07636327875789</v>
      </c>
      <c r="O81" s="36" t="n">
        <f aca="false">SQRT(M81^2+N81^2)</f>
        <v>4.28207613342294</v>
      </c>
      <c r="P81" s="55" t="n">
        <f aca="false">IF(J81="","",MAX(0,J81-1.96*O81/100))</f>
        <v>0.309067416734327</v>
      </c>
      <c r="Q81" s="55" t="n">
        <f aca="false">IF(J81="","",MIN(1,J81+1.96*O81/100))</f>
        <v>0.476924801164506</v>
      </c>
      <c r="R81" s="32" t="str">
        <f aca="false">IF(L81="","",IF(ABS(L81)&lt;=O81,"Yes","No"))</f>
        <v>Yes</v>
      </c>
      <c r="S81" s="32" t="str">
        <f aca="false">IF(L81="","",IF(ABS(L81)&lt;=1.96*O81,"Yes","No"))</f>
        <v>Yes</v>
      </c>
      <c r="T81" s="54" t="n">
        <f aca="false">IF(D81="","",ROUND(SQRT(((D81+G81)*O81/100)^2+(J81*(D81+G81)*0.09173)^2),0))</f>
        <v>29</v>
      </c>
      <c r="U81" s="32"/>
    </row>
    <row r="82" customFormat="false" ht="15" hidden="false" customHeight="false" outlineLevel="0" collapsed="false">
      <c r="A82" s="32" t="s">
        <v>188</v>
      </c>
      <c r="B82" s="32" t="s">
        <v>216</v>
      </c>
      <c r="C82" s="32" t="s">
        <v>129</v>
      </c>
      <c r="D82" s="54" t="n">
        <v>311</v>
      </c>
      <c r="E82" s="54" t="n">
        <v>331</v>
      </c>
      <c r="F82" s="65" t="n">
        <f aca="false">IF(E82="","",D82-E82)</f>
        <v>-20</v>
      </c>
      <c r="G82" s="54" t="n">
        <v>461</v>
      </c>
      <c r="H82" s="54" t="n">
        <v>458</v>
      </c>
      <c r="I82" s="65" t="n">
        <f aca="false">IF(H82="","",G82-H82)</f>
        <v>3</v>
      </c>
      <c r="J82" s="55" t="n">
        <f aca="false">IF(OR(D82="",D82+G82=0),"",D82/(D82+G82))</f>
        <v>0.402849740932643</v>
      </c>
      <c r="K82" s="55" t="n">
        <f aca="false">IF(E82="","",E82/(E82+H82))</f>
        <v>0.419518377693283</v>
      </c>
      <c r="L82" s="66" t="n">
        <f aca="false">IF(OR(K82="",J82=""),"",(J82-K82)*100)</f>
        <v>-1.66686367606402</v>
      </c>
      <c r="M82" s="36" t="n">
        <v>3.74498218247512</v>
      </c>
      <c r="N82" s="36" t="n">
        <v>2.07636327875789</v>
      </c>
      <c r="O82" s="36" t="n">
        <f aca="false">SQRT(M82^2+N82^2)</f>
        <v>4.28207613342294</v>
      </c>
      <c r="P82" s="55" t="n">
        <f aca="false">IF(J82="","",MAX(0,J82-1.96*O82/100))</f>
        <v>0.318921048717553</v>
      </c>
      <c r="Q82" s="55" t="n">
        <f aca="false">IF(J82="","",MIN(1,J82+1.96*O82/100))</f>
        <v>0.486778433147732</v>
      </c>
      <c r="R82" s="32" t="str">
        <f aca="false">IF(L82="","",IF(ABS(L82)&lt;=O82,"Yes","No"))</f>
        <v>Yes</v>
      </c>
      <c r="S82" s="32" t="str">
        <f aca="false">IF(L82="","",IF(ABS(L82)&lt;=1.96*O82,"Yes","No"))</f>
        <v>Yes</v>
      </c>
      <c r="T82" s="54" t="n">
        <f aca="false">IF(D82="","",ROUND(SQRT(((D82+G82)*O82/100)^2+(J82*(D82+G82)*0.09173)^2),0))</f>
        <v>44</v>
      </c>
      <c r="U82" s="32"/>
    </row>
    <row r="83" customFormat="false" ht="15" hidden="false" customHeight="false" outlineLevel="0" collapsed="false">
      <c r="A83" s="32" t="s">
        <v>188</v>
      </c>
      <c r="B83" s="32" t="s">
        <v>217</v>
      </c>
      <c r="C83" s="32" t="s">
        <v>129</v>
      </c>
      <c r="D83" s="54" t="n">
        <v>1116</v>
      </c>
      <c r="E83" s="54" t="n">
        <v>1242</v>
      </c>
      <c r="F83" s="65" t="n">
        <f aca="false">IF(E83="","",D83-E83)</f>
        <v>-126</v>
      </c>
      <c r="G83" s="54" t="n">
        <v>2742</v>
      </c>
      <c r="H83" s="54" t="n">
        <v>2716</v>
      </c>
      <c r="I83" s="65" t="n">
        <f aca="false">IF(H83="","",G83-H83)</f>
        <v>26</v>
      </c>
      <c r="J83" s="55" t="n">
        <f aca="false">IF(OR(D83="",D83+G83=0),"",D83/(D83+G83))</f>
        <v>0.289269051321929</v>
      </c>
      <c r="K83" s="55" t="n">
        <f aca="false">IF(E83="","",E83/(E83+H83))</f>
        <v>0.313794845881759</v>
      </c>
      <c r="L83" s="66" t="n">
        <f aca="false">IF(OR(K83="",J83=""),"",(J83-K83)*100)</f>
        <v>-2.452579455983</v>
      </c>
      <c r="M83" s="36" t="n">
        <v>1.81924294984712</v>
      </c>
      <c r="N83" s="36" t="n">
        <v>2.07636327875789</v>
      </c>
      <c r="O83" s="36" t="n">
        <f aca="false">SQRT(M83^2+N83^2)</f>
        <v>2.7606030819266</v>
      </c>
      <c r="P83" s="55" t="n">
        <f aca="false">IF(J83="","",MAX(0,J83-1.96*O83/100))</f>
        <v>0.235161230916167</v>
      </c>
      <c r="Q83" s="55" t="n">
        <f aca="false">IF(J83="","",MIN(1,J83+1.96*O83/100))</f>
        <v>0.34337687172769</v>
      </c>
      <c r="R83" s="32" t="str">
        <f aca="false">IF(L83="","",IF(ABS(L83)&lt;=O83,"Yes","No"))</f>
        <v>Yes</v>
      </c>
      <c r="S83" s="32" t="str">
        <f aca="false">IF(L83="","",IF(ABS(L83)&lt;=1.96*O83,"Yes","No"))</f>
        <v>Yes</v>
      </c>
      <c r="T83" s="54" t="n">
        <f aca="false">IF(D83="","",ROUND(SQRT(((D83+G83)*O83/100)^2+(J83*(D83+G83)*0.06406)^2),0))</f>
        <v>128</v>
      </c>
      <c r="U83" s="32"/>
    </row>
    <row r="84" customFormat="false" ht="15" hidden="false" customHeight="false" outlineLevel="0" collapsed="false">
      <c r="A84" s="32" t="s">
        <v>188</v>
      </c>
      <c r="B84" s="32" t="s">
        <v>218</v>
      </c>
      <c r="C84" s="32" t="s">
        <v>129</v>
      </c>
      <c r="D84" s="54" t="n">
        <v>1886</v>
      </c>
      <c r="E84" s="54" t="n">
        <v>1964</v>
      </c>
      <c r="F84" s="65" t="n">
        <f aca="false">IF(E84="","",D84-E84)</f>
        <v>-78</v>
      </c>
      <c r="G84" s="54" t="n">
        <v>2183</v>
      </c>
      <c r="H84" s="54" t="n">
        <v>2147</v>
      </c>
      <c r="I84" s="65" t="n">
        <f aca="false">IF(H84="","",G84-H84)</f>
        <v>36</v>
      </c>
      <c r="J84" s="55" t="n">
        <f aca="false">IF(OR(D84="",D84+G84=0),"",D84/(D84+G84))</f>
        <v>0.463504546571639</v>
      </c>
      <c r="K84" s="55" t="n">
        <f aca="false">IF(E84="","",E84/(E84+H84))</f>
        <v>0.477742641693019</v>
      </c>
      <c r="L84" s="66" t="n">
        <f aca="false">IF(OR(K84="",J84=""),"",(J84-K84)*100)</f>
        <v>-1.42380951213795</v>
      </c>
      <c r="M84" s="36" t="n">
        <v>1.81924294984712</v>
      </c>
      <c r="N84" s="36" t="n">
        <v>2.07636327875789</v>
      </c>
      <c r="O84" s="36" t="n">
        <f aca="false">SQRT(M84^2+N84^2)</f>
        <v>2.7606030819266</v>
      </c>
      <c r="P84" s="55" t="n">
        <f aca="false">IF(J84="","",MAX(0,J84-1.96*O84/100))</f>
        <v>0.409396726165878</v>
      </c>
      <c r="Q84" s="55" t="n">
        <f aca="false">IF(J84="","",MIN(1,J84+1.96*O84/100))</f>
        <v>0.517612366977401</v>
      </c>
      <c r="R84" s="32" t="str">
        <f aca="false">IF(L84="","",IF(ABS(L84)&lt;=O84,"Yes","No"))</f>
        <v>Yes</v>
      </c>
      <c r="S84" s="32" t="str">
        <f aca="false">IF(L84="","",IF(ABS(L84)&lt;=1.96*O84,"Yes","No"))</f>
        <v>Yes</v>
      </c>
      <c r="T84" s="54" t="n">
        <f aca="false">IF(D84="","",ROUND(SQRT(((D84+G84)*O84/100)^2+(J84*(D84+G84)*0.06406)^2),0))</f>
        <v>165</v>
      </c>
      <c r="U84" s="32"/>
    </row>
    <row r="85" customFormat="false" ht="15" hidden="false" customHeight="false" outlineLevel="0" collapsed="false">
      <c r="A85" s="32" t="s">
        <v>188</v>
      </c>
      <c r="B85" s="32" t="s">
        <v>219</v>
      </c>
      <c r="C85" s="32" t="s">
        <v>129</v>
      </c>
      <c r="D85" s="54" t="n">
        <v>412</v>
      </c>
      <c r="E85" s="54" t="n">
        <v>416</v>
      </c>
      <c r="F85" s="65" t="n">
        <f aca="false">IF(E85="","",D85-E85)</f>
        <v>-4</v>
      </c>
      <c r="G85" s="54" t="n">
        <v>649</v>
      </c>
      <c r="H85" s="54" t="n">
        <v>658</v>
      </c>
      <c r="I85" s="65" t="n">
        <f aca="false">IF(H85="","",G85-H85)</f>
        <v>-9</v>
      </c>
      <c r="J85" s="55" t="n">
        <f aca="false">IF(OR(D85="",D85+G85=0),"",D85/(D85+G85))</f>
        <v>0.388312912346843</v>
      </c>
      <c r="K85" s="55" t="n">
        <f aca="false">IF(E85="","",E85/(E85+H85))</f>
        <v>0.387337057728119</v>
      </c>
      <c r="L85" s="66" t="n">
        <f aca="false">IF(OR(K85="",J85=""),"",(J85-K85)*100)</f>
        <v>0.097585461872346</v>
      </c>
      <c r="M85" s="36" t="n">
        <v>3.74498218247512</v>
      </c>
      <c r="N85" s="36" t="n">
        <v>2.07636327875789</v>
      </c>
      <c r="O85" s="36" t="n">
        <f aca="false">SQRT(M85^2+N85^2)</f>
        <v>4.28207613342294</v>
      </c>
      <c r="P85" s="55" t="n">
        <f aca="false">IF(J85="","",MAX(0,J85-1.96*O85/100))</f>
        <v>0.304384220131753</v>
      </c>
      <c r="Q85" s="55" t="n">
        <f aca="false">IF(J85="","",MIN(1,J85+1.96*O85/100))</f>
        <v>0.472241604561932</v>
      </c>
      <c r="R85" s="32" t="str">
        <f aca="false">IF(L85="","",IF(ABS(L85)&lt;=O85,"Yes","No"))</f>
        <v>Yes</v>
      </c>
      <c r="S85" s="32" t="str">
        <f aca="false">IF(L85="","",IF(ABS(L85)&lt;=1.96*O85,"Yes","No"))</f>
        <v>Yes</v>
      </c>
      <c r="T85" s="54" t="n">
        <f aca="false">IF(D85="","",ROUND(SQRT(((D85+G85)*O85/100)^2+(J85*(D85+G85)*0.09173)^2),0))</f>
        <v>59</v>
      </c>
      <c r="U85" s="32"/>
    </row>
    <row r="86" customFormat="false" ht="15" hidden="false" customHeight="false" outlineLevel="0" collapsed="false">
      <c r="A86" s="32" t="s">
        <v>188</v>
      </c>
      <c r="B86" s="32" t="s">
        <v>180</v>
      </c>
      <c r="C86" s="32" t="s">
        <v>129</v>
      </c>
      <c r="D86" s="54" t="n">
        <v>985</v>
      </c>
      <c r="E86" s="54" t="n">
        <v>1041</v>
      </c>
      <c r="F86" s="65" t="n">
        <f aca="false">IF(E86="","",D86-E86)</f>
        <v>-56</v>
      </c>
      <c r="G86" s="54" t="n">
        <v>2091</v>
      </c>
      <c r="H86" s="54" t="n">
        <v>2088</v>
      </c>
      <c r="I86" s="65" t="n">
        <f aca="false">IF(H86="","",G86-H86)</f>
        <v>3</v>
      </c>
      <c r="J86" s="55" t="n">
        <f aca="false">IF(OR(D86="",D86+G86=0),"",D86/(D86+G86))</f>
        <v>0.320221066319896</v>
      </c>
      <c r="K86" s="55" t="n">
        <f aca="false">IF(E86="","",E86/(E86+H86))</f>
        <v>0.332694151486098</v>
      </c>
      <c r="L86" s="66" t="n">
        <f aca="false">IF(OR(K86="",J86=""),"",(J86-K86)*100)</f>
        <v>-1.24730851662019</v>
      </c>
      <c r="M86" s="36" t="n">
        <v>2.54563009906548</v>
      </c>
      <c r="N86" s="36" t="n">
        <v>2.07636327875789</v>
      </c>
      <c r="O86" s="36" t="n">
        <f aca="false">SQRT(M86^2+N86^2)</f>
        <v>3.28504445428709</v>
      </c>
      <c r="P86" s="55" t="n">
        <f aca="false">IF(J86="","",MAX(0,J86-1.96*O86/100))</f>
        <v>0.255834195015869</v>
      </c>
      <c r="Q86" s="55" t="n">
        <f aca="false">IF(J86="","",MIN(1,J86+1.96*O86/100))</f>
        <v>0.384607937623923</v>
      </c>
      <c r="R86" s="32" t="str">
        <f aca="false">IF(L86="","",IF(ABS(L86)&lt;=O86,"Yes","No"))</f>
        <v>Yes</v>
      </c>
      <c r="S86" s="32" t="str">
        <f aca="false">IF(L86="","",IF(ABS(L86)&lt;=1.96*O86,"Yes","No"))</f>
        <v>Yes</v>
      </c>
      <c r="T86" s="54" t="n">
        <f aca="false">IF(D86="","",ROUND(SQRT(((D86+G86)*O86/100)^2+(J86*(D86+G86)*0.07048)^2),0))</f>
        <v>123</v>
      </c>
      <c r="U86" s="32"/>
    </row>
    <row r="87" customFormat="false" ht="15" hidden="false" customHeight="false" outlineLevel="0" collapsed="false">
      <c r="A87" s="32" t="s">
        <v>188</v>
      </c>
      <c r="B87" s="32" t="s">
        <v>220</v>
      </c>
      <c r="C87" s="32" t="s">
        <v>129</v>
      </c>
      <c r="D87" s="54" t="n">
        <v>254</v>
      </c>
      <c r="E87" s="54" t="n">
        <v>281</v>
      </c>
      <c r="F87" s="65" t="n">
        <f aca="false">IF(E87="","",D87-E87)</f>
        <v>-27</v>
      </c>
      <c r="G87" s="54" t="n">
        <v>353</v>
      </c>
      <c r="H87" s="54" t="n">
        <v>310</v>
      </c>
      <c r="I87" s="65" t="n">
        <f aca="false">IF(H87="","",G87-H87)</f>
        <v>43</v>
      </c>
      <c r="J87" s="55" t="n">
        <f aca="false">IF(OR(D87="",D87+G87=0),"",D87/(D87+G87))</f>
        <v>0.418451400329489</v>
      </c>
      <c r="K87" s="55" t="n">
        <f aca="false">IF(E87="","",E87/(E87+H87))</f>
        <v>0.475465313028765</v>
      </c>
      <c r="L87" s="66" t="n">
        <f aca="false">IF(OR(K87="",J87=""),"",(J87-K87)*100)</f>
        <v>-5.70139126992755</v>
      </c>
      <c r="M87" s="36" t="n">
        <v>3.74498218247512</v>
      </c>
      <c r="N87" s="36" t="n">
        <v>2.07636327875789</v>
      </c>
      <c r="O87" s="36" t="n">
        <f aca="false">SQRT(M87^2+N87^2)</f>
        <v>4.28207613342294</v>
      </c>
      <c r="P87" s="55" t="n">
        <f aca="false">IF(J87="","",MAX(0,J87-1.96*O87/100))</f>
        <v>0.3345227081144</v>
      </c>
      <c r="Q87" s="55" t="n">
        <f aca="false">IF(J87="","",MIN(1,J87+1.96*O87/100))</f>
        <v>0.502380092544579</v>
      </c>
      <c r="R87" s="32" t="str">
        <f aca="false">IF(L87="","",IF(ABS(L87)&lt;=O87,"Yes","No"))</f>
        <v>No</v>
      </c>
      <c r="S87" s="32" t="str">
        <f aca="false">IF(L87="","",IF(ABS(L87)&lt;=1.96*O87,"Yes","No"))</f>
        <v>Yes</v>
      </c>
      <c r="T87" s="54" t="n">
        <f aca="false">IF(D87="","",ROUND(SQRT(((D87+G87)*O87/100)^2+(J87*(D87+G87)*0.09173)^2),0))</f>
        <v>35</v>
      </c>
      <c r="U87" s="32"/>
    </row>
    <row r="88" customFormat="false" ht="15" hidden="false" customHeight="false" outlineLevel="0" collapsed="false">
      <c r="A88" s="32" t="s">
        <v>188</v>
      </c>
      <c r="B88" s="32" t="s">
        <v>221</v>
      </c>
      <c r="C88" s="32" t="s">
        <v>129</v>
      </c>
      <c r="D88" s="54" t="n">
        <v>1729</v>
      </c>
      <c r="E88" s="54" t="n">
        <v>1847</v>
      </c>
      <c r="F88" s="65" t="n">
        <f aca="false">IF(E88="","",D88-E88)</f>
        <v>-118</v>
      </c>
      <c r="G88" s="54" t="n">
        <v>2460</v>
      </c>
      <c r="H88" s="54" t="n">
        <v>2401</v>
      </c>
      <c r="I88" s="65" t="n">
        <f aca="false">IF(H88="","",G88-H88)</f>
        <v>59</v>
      </c>
      <c r="J88" s="55" t="n">
        <f aca="false">IF(OR(D88="",D88+G88=0),"",D88/(D88+G88))</f>
        <v>0.412747672475531</v>
      </c>
      <c r="K88" s="55" t="n">
        <f aca="false">IF(E88="","",E88/(E88+H88))</f>
        <v>0.434792843691149</v>
      </c>
      <c r="L88" s="66" t="n">
        <f aca="false">IF(OR(K88="",J88=""),"",(J88-K88)*100)</f>
        <v>-2.20451712156176</v>
      </c>
      <c r="M88" s="36" t="n">
        <v>1.81924294984712</v>
      </c>
      <c r="N88" s="36" t="n">
        <v>2.07636327875789</v>
      </c>
      <c r="O88" s="36" t="n">
        <f aca="false">SQRT(M88^2+N88^2)</f>
        <v>2.7606030819266</v>
      </c>
      <c r="P88" s="55" t="n">
        <f aca="false">IF(J88="","",MAX(0,J88-1.96*O88/100))</f>
        <v>0.35863985206977</v>
      </c>
      <c r="Q88" s="55" t="n">
        <f aca="false">IF(J88="","",MIN(1,J88+1.96*O88/100))</f>
        <v>0.466855492881293</v>
      </c>
      <c r="R88" s="32" t="str">
        <f aca="false">IF(L88="","",IF(ABS(L88)&lt;=O88,"Yes","No"))</f>
        <v>Yes</v>
      </c>
      <c r="S88" s="32" t="str">
        <f aca="false">IF(L88="","",IF(ABS(L88)&lt;=1.96*O88,"Yes","No"))</f>
        <v>Yes</v>
      </c>
      <c r="T88" s="54" t="n">
        <f aca="false">IF(D88="","",ROUND(SQRT(((D88+G88)*O88/100)^2+(J88*(D88+G88)*0.06406)^2),0))</f>
        <v>160</v>
      </c>
      <c r="U88" s="32"/>
    </row>
    <row r="89" customFormat="false" ht="15" hidden="false" customHeight="false" outlineLevel="0" collapsed="false">
      <c r="A89" s="32" t="s">
        <v>188</v>
      </c>
      <c r="B89" s="32" t="s">
        <v>222</v>
      </c>
      <c r="C89" s="32" t="s">
        <v>129</v>
      </c>
      <c r="D89" s="54" t="n">
        <v>1873</v>
      </c>
      <c r="E89" s="54" t="n">
        <v>1897</v>
      </c>
      <c r="F89" s="65" t="n">
        <f aca="false">IF(E89="","",D89-E89)</f>
        <v>-24</v>
      </c>
      <c r="G89" s="54" t="n">
        <v>1533</v>
      </c>
      <c r="H89" s="54" t="n">
        <v>1538</v>
      </c>
      <c r="I89" s="65" t="n">
        <f aca="false">IF(H89="","",G89-H89)</f>
        <v>-5</v>
      </c>
      <c r="J89" s="55" t="n">
        <f aca="false">IF(OR(D89="",D89+G89=0),"",D89/(D89+G89))</f>
        <v>0.549911920140928</v>
      </c>
      <c r="K89" s="55" t="n">
        <f aca="false">IF(E89="","",E89/(E89+H89))</f>
        <v>0.552256186317322</v>
      </c>
      <c r="L89" s="66" t="n">
        <f aca="false">IF(OR(K89="",J89=""),"",(J89-K89)*100)</f>
        <v>-0.234426617639383</v>
      </c>
      <c r="M89" s="36" t="n">
        <v>2.54563009906548</v>
      </c>
      <c r="N89" s="36" t="n">
        <v>2.07636327875789</v>
      </c>
      <c r="O89" s="36" t="n">
        <f aca="false">SQRT(M89^2+N89^2)</f>
        <v>3.28504445428709</v>
      </c>
      <c r="P89" s="55" t="n">
        <f aca="false">IF(J89="","",MAX(0,J89-1.96*O89/100))</f>
        <v>0.485525048836901</v>
      </c>
      <c r="Q89" s="55" t="n">
        <f aca="false">IF(J89="","",MIN(1,J89+1.96*O89/100))</f>
        <v>0.614298791444955</v>
      </c>
      <c r="R89" s="32" t="str">
        <f aca="false">IF(L89="","",IF(ABS(L89)&lt;=O89,"Yes","No"))</f>
        <v>Yes</v>
      </c>
      <c r="S89" s="32" t="str">
        <f aca="false">IF(L89="","",IF(ABS(L89)&lt;=1.96*O89,"Yes","No"))</f>
        <v>Yes</v>
      </c>
      <c r="T89" s="54" t="n">
        <f aca="false">IF(D89="","",ROUND(SQRT(((D89+G89)*O89/100)^2+(J89*(D89+G89)*0.07048)^2),0))</f>
        <v>173</v>
      </c>
      <c r="U89" s="32"/>
    </row>
    <row r="90" customFormat="false" ht="15" hidden="false" customHeight="false" outlineLevel="0" collapsed="false">
      <c r="A90" s="32" t="s">
        <v>188</v>
      </c>
      <c r="B90" s="32" t="s">
        <v>223</v>
      </c>
      <c r="C90" s="32" t="s">
        <v>129</v>
      </c>
      <c r="D90" s="54" t="n">
        <v>611</v>
      </c>
      <c r="E90" s="54" t="n">
        <v>634</v>
      </c>
      <c r="F90" s="65" t="n">
        <f aca="false">IF(E90="","",D90-E90)</f>
        <v>-23</v>
      </c>
      <c r="G90" s="54" t="n">
        <v>915</v>
      </c>
      <c r="H90" s="54" t="n">
        <v>856</v>
      </c>
      <c r="I90" s="65" t="n">
        <f aca="false">IF(H90="","",G90-H90)</f>
        <v>59</v>
      </c>
      <c r="J90" s="55" t="n">
        <f aca="false">IF(OR(D90="",D90+G90=0),"",D90/(D90+G90))</f>
        <v>0.400393184796855</v>
      </c>
      <c r="K90" s="55" t="n">
        <f aca="false">IF(E90="","",E90/(E90+H90))</f>
        <v>0.425503355704698</v>
      </c>
      <c r="L90" s="66" t="n">
        <f aca="false">IF(OR(K90="",J90=""),"",(J90-K90)*100)</f>
        <v>-2.51101709078435</v>
      </c>
      <c r="M90" s="36" t="n">
        <v>3.74498218247512</v>
      </c>
      <c r="N90" s="36" t="n">
        <v>2.07636327875789</v>
      </c>
      <c r="O90" s="36" t="n">
        <f aca="false">SQRT(M90^2+N90^2)</f>
        <v>4.28207613342294</v>
      </c>
      <c r="P90" s="55" t="n">
        <f aca="false">IF(J90="","",MAX(0,J90-1.96*O90/100))</f>
        <v>0.316464492581765</v>
      </c>
      <c r="Q90" s="55" t="n">
        <f aca="false">IF(J90="","",MIN(1,J90+1.96*O90/100))</f>
        <v>0.484321877011944</v>
      </c>
      <c r="R90" s="32" t="str">
        <f aca="false">IF(L90="","",IF(ABS(L90)&lt;=O90,"Yes","No"))</f>
        <v>Yes</v>
      </c>
      <c r="S90" s="32" t="str">
        <f aca="false">IF(L90="","",IF(ABS(L90)&lt;=1.96*O90,"Yes","No"))</f>
        <v>Yes</v>
      </c>
      <c r="T90" s="54" t="n">
        <f aca="false">IF(D90="","",ROUND(SQRT(((D90+G90)*O90/100)^2+(J90*(D90+G90)*0.09173)^2),0))</f>
        <v>86</v>
      </c>
      <c r="U90" s="32"/>
    </row>
    <row r="92" customFormat="false" ht="15" hidden="false" customHeight="false" outlineLevel="0" collapsed="false">
      <c r="A92" s="20" t="s">
        <v>351</v>
      </c>
      <c r="B92" s="67"/>
      <c r="C92" s="67"/>
      <c r="D92" s="68" t="n">
        <f aca="false">SUMIF(E2:E90,"&lt;&gt;",D2:D90)</f>
        <v>196808</v>
      </c>
      <c r="E92" s="68" t="n">
        <f aca="false">SUM(E2:E90)</f>
        <v>199626</v>
      </c>
      <c r="F92" s="69" t="n">
        <f aca="false">D92-E92</f>
        <v>-2818</v>
      </c>
      <c r="G92" s="68" t="n">
        <f aca="false">SUMIF(H2:H90,"&lt;&gt;",G2:G90)</f>
        <v>204315</v>
      </c>
      <c r="H92" s="68" t="n">
        <f aca="false">SUM(H2:H90)</f>
        <v>203688</v>
      </c>
      <c r="I92" s="69" t="n">
        <f aca="false">G92-H92</f>
        <v>627</v>
      </c>
      <c r="J92" s="70" t="n">
        <f aca="false">D92/(D92+G92)</f>
        <v>0.49064252112195</v>
      </c>
      <c r="K92" s="70" t="n">
        <f aca="false">E92/(E92+H92)</f>
        <v>0.49496422142549</v>
      </c>
      <c r="L92" s="71" t="n">
        <f aca="false">(J92-K92)*100</f>
        <v>-0.432170030353968</v>
      </c>
      <c r="M92" s="72" t="n">
        <v>0</v>
      </c>
      <c r="N92" s="72" t="n">
        <v>2.07636327875789</v>
      </c>
      <c r="O92" s="72" t="n">
        <f aca="false">SQRT(M92^2+N92^2)</f>
        <v>2.07636327875789</v>
      </c>
      <c r="P92" s="70" t="n">
        <f aca="false">J92-1.96*O92/100</f>
        <v>0.449945800858295</v>
      </c>
      <c r="Q92" s="70" t="n">
        <f aca="false">J92+1.96*O92/100</f>
        <v>0.531339241385605</v>
      </c>
      <c r="R92" s="67" t="str">
        <f aca="false">IF(ABS(L92)&lt;=O92,"Yes","No")</f>
        <v>Yes</v>
      </c>
      <c r="S92" s="67" t="str">
        <f aca="false">IF(ABS(L92)&lt;=1.96*O92,"Yes","No")</f>
        <v>Yes</v>
      </c>
      <c r="T92" s="68" t="n">
        <f aca="false">ROUND(SQRT(((D92+G92)*O92/100)^2+(J92*(D92+G92)*0.05028)^2),0)</f>
        <v>12934</v>
      </c>
    </row>
    <row r="93" customFormat="false" ht="15" hidden="false" customHeight="false" outlineLevel="0" collapsed="false">
      <c r="A93" s="20" t="s">
        <v>352</v>
      </c>
      <c r="B93" s="67"/>
      <c r="C93" s="67"/>
      <c r="D93" s="68" t="n">
        <f aca="false">SUM(D2:D90)</f>
        <v>196808</v>
      </c>
      <c r="E93" s="68"/>
      <c r="F93" s="69"/>
      <c r="G93" s="68" t="n">
        <f aca="false">SUM(G2:G90)</f>
        <v>204315</v>
      </c>
      <c r="H93" s="68"/>
      <c r="I93" s="69"/>
      <c r="J93" s="70" t="n">
        <f aca="false">D93/(D93+G93)</f>
        <v>0.49064252112195</v>
      </c>
      <c r="K93" s="70"/>
      <c r="L93" s="71"/>
      <c r="M93" s="72"/>
      <c r="N93" s="72"/>
      <c r="O93" s="72"/>
      <c r="P93" s="70"/>
      <c r="Q93" s="70"/>
      <c r="R93" s="67"/>
      <c r="S93" s="67"/>
      <c r="T93" s="68"/>
    </row>
    <row r="95" customFormat="false" ht="15" hidden="false" customHeight="false" outlineLevel="0" collapsed="false">
      <c r="A95" s="2" t="s">
        <v>353</v>
      </c>
      <c r="F95" s="73" t="n">
        <f aca="false">(SUMIF(F2:F90,"&gt;0")-SUMIF(F2:F90,"&lt;0"))/COUNT(F2:F90)</f>
        <v>91.5505617977528</v>
      </c>
    </row>
    <row r="96" customFormat="false" ht="15" hidden="false" customHeight="false" outlineLevel="0" collapsed="false">
      <c r="A96" s="2" t="s">
        <v>354</v>
      </c>
      <c r="F96" s="73" t="n">
        <f aca="false">(SUMIF(I2:I90,"&gt;0")-SUMIF(I2:I90,"&lt;0"))/COUNT(I2:I90)</f>
        <v>68.8426966292135</v>
      </c>
    </row>
    <row r="97" customFormat="false" ht="15" hidden="false" customHeight="false" outlineLevel="0" collapsed="false">
      <c r="A97" s="2" t="s">
        <v>355</v>
      </c>
      <c r="F97" s="74" t="n">
        <f aca="false">(SUMIF(L2:L90,"&gt;0")-SUMIF(L2:L90,"&lt;0"))/COUNT(L2:L90)</f>
        <v>1.87267167764712</v>
      </c>
    </row>
    <row r="98" customFormat="false" ht="15" hidden="false" customHeight="false" outlineLevel="0" collapsed="false">
      <c r="A98" s="5" t="s">
        <v>356</v>
      </c>
      <c r="F98" s="75" t="n">
        <f aca="false">SQRT(SUMSQ(L2:L90)/COUNT(L2:L90))</f>
        <v>2.38900635777241</v>
      </c>
    </row>
    <row r="99" customFormat="false" ht="15" hidden="false" customHeight="false" outlineLevel="0" collapsed="false">
      <c r="A99" s="5" t="s">
        <v>357</v>
      </c>
      <c r="F99" s="76" t="n">
        <f aca="false">L92</f>
        <v>-0.432170030353968</v>
      </c>
    </row>
    <row r="100" customFormat="false" ht="15" hidden="false" customHeight="false" outlineLevel="0" collapsed="false">
      <c r="A100" s="5" t="s">
        <v>358</v>
      </c>
      <c r="F100" s="75" t="n">
        <f aca="false">SQRT((SUMSQ(L2:L90)-2*L92*SUM(L2:L90)+COUNT(L2:L90)*L92^2)/COUNT(L2:L90))</f>
        <v>2.17740436983742</v>
      </c>
    </row>
    <row r="101" customFormat="false" ht="15" hidden="false" customHeight="false" outlineLevel="0" collapsed="false">
      <c r="A101" s="2" t="s">
        <v>359</v>
      </c>
      <c r="F101" s="77" t="n">
        <f aca="false">D92/E92-1</f>
        <v>-0.014116397663631</v>
      </c>
    </row>
    <row r="102" customFormat="false" ht="15" hidden="false" customHeight="false" outlineLevel="0" collapsed="false">
      <c r="A102" s="5" t="s">
        <v>360</v>
      </c>
      <c r="F102" s="78" t="n">
        <f aca="false">G92/H92-1</f>
        <v>0.00307823730411227</v>
      </c>
    </row>
    <row r="103" customFormat="false" ht="15" hidden="false" customHeight="false" outlineLevel="0" collapsed="false">
      <c r="A103" s="2" t="s">
        <v>361</v>
      </c>
      <c r="F103" s="77" t="n">
        <f aca="false">(D92+G92)/(E92+H92)-1</f>
        <v>-0.00543249180539229</v>
      </c>
    </row>
    <row r="104" customFormat="false" ht="15" hidden="false" customHeight="false" outlineLevel="0" collapsed="false">
      <c r="A104" s="2" t="s">
        <v>362</v>
      </c>
      <c r="F104" s="74" t="n">
        <f aca="false">AVERAGE(O2:O90)</f>
        <v>3.44434455769451</v>
      </c>
    </row>
    <row r="105" customFormat="false" ht="15" hidden="false" customHeight="false" outlineLevel="0" collapsed="false">
      <c r="A105" s="5" t="s">
        <v>363</v>
      </c>
      <c r="F105" s="79" t="n">
        <f aca="false">COUNTIF(R2:R90,"Yes")/(COUNTIF(R2:R90,"Yes")+COUNTIF(R2:R90,"No"))</f>
        <v>0.876404494382023</v>
      </c>
    </row>
    <row r="106" customFormat="false" ht="15" hidden="false" customHeight="false" outlineLevel="0" collapsed="false">
      <c r="A106" s="5" t="s">
        <v>364</v>
      </c>
      <c r="F106" s="79" t="n">
        <f aca="false">COUNTIF(S2:S90,"Yes")/(COUNTIF(S2:S90,"Yes")+COUNTIF(S2:S90,"No"))</f>
        <v>1</v>
      </c>
    </row>
    <row r="107" customFormat="false" ht="15" hidden="false" customHeight="false" outlineLevel="0" collapsed="false">
      <c r="A107" s="2" t="s">
        <v>365</v>
      </c>
      <c r="F107" s="80" t="n">
        <f aca="false">COUNTIFS(L2:L90,"&gt;=-3",L2:L90,"&lt;=3")/COUNT(L2:L90)</f>
        <v>0.820224719101124</v>
      </c>
    </row>
    <row r="108" customFormat="false" ht="15" hidden="false" customHeight="false" outlineLevel="0" collapsed="false">
      <c r="A108" s="2" t="s">
        <v>366</v>
      </c>
      <c r="F108" s="81" t="n">
        <f aca="false">COUNT(E2:E90)</f>
        <v>89</v>
      </c>
    </row>
    <row r="109" customFormat="false" ht="15" hidden="false" customHeight="false" outlineLevel="0" collapsed="false">
      <c r="A109" s="2" t="s">
        <v>367</v>
      </c>
      <c r="F109" s="81" t="n">
        <f aca="false">COUNTA(A2:A90)</f>
        <v>89</v>
      </c>
    </row>
    <row r="111" customFormat="false" ht="15" hidden="false" customHeight="false" outlineLevel="0" collapsed="false">
      <c r="U111" s="5" t="s">
        <v>104</v>
      </c>
    </row>
    <row r="112" customFormat="false" ht="28.35" hidden="false" customHeight="false" outlineLevel="0" collapsed="false">
      <c r="U112" s="64" t="s">
        <v>368</v>
      </c>
    </row>
    <row r="113" customFormat="false" ht="15" hidden="false" customHeight="false" outlineLevel="0" collapsed="false">
      <c r="U113" s="64" t="s">
        <v>369</v>
      </c>
    </row>
    <row r="114" customFormat="false" ht="41.75" hidden="false" customHeight="false" outlineLevel="0" collapsed="false">
      <c r="U114" s="64" t="s">
        <v>378</v>
      </c>
    </row>
    <row r="115" customFormat="false" ht="15" hidden="false" customHeight="false" outlineLevel="0" collapsed="false">
      <c r="U115" s="64" t="s">
        <v>371</v>
      </c>
    </row>
    <row r="116" customFormat="false" ht="28.35" hidden="false" customHeight="false" outlineLevel="0" collapsed="false">
      <c r="U116" s="64" t="s">
        <v>372</v>
      </c>
    </row>
    <row r="117" customFormat="false" ht="28.35" hidden="false" customHeight="false" outlineLevel="0" collapsed="false">
      <c r="U117" s="64" t="s">
        <v>373</v>
      </c>
    </row>
    <row r="118" customFormat="false" ht="28.35" hidden="false" customHeight="false" outlineLevel="0" collapsed="false">
      <c r="U118" s="64" t="s">
        <v>374</v>
      </c>
    </row>
    <row r="119" customFormat="false" ht="41.75" hidden="false" customHeight="false" outlineLevel="0" collapsed="false">
      <c r="U119" s="64" t="s">
        <v>375</v>
      </c>
    </row>
    <row r="120" customFormat="false" ht="15" hidden="false" customHeight="false" outlineLevel="0" collapsed="false">
      <c r="U120" s="64" t="s">
        <v>376</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77</v>
      </c>
      <c r="B1" s="8" t="s">
        <v>78</v>
      </c>
      <c r="C1" s="8" t="s">
        <v>79</v>
      </c>
      <c r="D1" s="8" t="s">
        <v>334</v>
      </c>
      <c r="E1" s="8" t="s">
        <v>335</v>
      </c>
      <c r="F1" s="8" t="s">
        <v>336</v>
      </c>
      <c r="G1" s="8" t="s">
        <v>379</v>
      </c>
      <c r="H1" s="8" t="s">
        <v>338</v>
      </c>
      <c r="I1" s="8" t="s">
        <v>339</v>
      </c>
      <c r="J1" s="8" t="s">
        <v>340</v>
      </c>
      <c r="K1" s="8" t="s">
        <v>341</v>
      </c>
      <c r="L1" s="8" t="s">
        <v>342</v>
      </c>
      <c r="M1" s="8" t="s">
        <v>380</v>
      </c>
      <c r="N1" s="8" t="s">
        <v>381</v>
      </c>
      <c r="O1" s="8" t="s">
        <v>107</v>
      </c>
      <c r="P1" s="8" t="s">
        <v>345</v>
      </c>
      <c r="Q1" s="8" t="s">
        <v>346</v>
      </c>
      <c r="R1" s="8" t="s">
        <v>347</v>
      </c>
      <c r="S1" s="8" t="s">
        <v>348</v>
      </c>
      <c r="T1" s="8" t="s">
        <v>349</v>
      </c>
      <c r="U1" s="8" t="s">
        <v>350</v>
      </c>
    </row>
    <row r="2" customFormat="false" ht="15" hidden="false" customHeight="false" outlineLevel="0" collapsed="false">
      <c r="A2" s="32" t="s">
        <v>127</v>
      </c>
      <c r="B2" s="32" t="s">
        <v>128</v>
      </c>
      <c r="C2" s="32" t="s">
        <v>129</v>
      </c>
      <c r="D2" s="54" t="n">
        <v>128</v>
      </c>
      <c r="E2" s="54" t="n">
        <v>137</v>
      </c>
      <c r="F2" s="65" t="n">
        <f aca="false">IF(E2="","",D2-E2)</f>
        <v>-9</v>
      </c>
      <c r="G2" s="54" t="n">
        <v>217</v>
      </c>
      <c r="H2" s="54" t="n">
        <v>249</v>
      </c>
      <c r="I2" s="65" t="n">
        <f aca="false">IF(H2="","",G2-H2)</f>
        <v>-32</v>
      </c>
      <c r="J2" s="55" t="n">
        <f aca="false">IF(OR(D2="",D2+G2=0),"",D2/(D2+G2))</f>
        <v>0.371014492753623</v>
      </c>
      <c r="K2" s="55" t="n">
        <f aca="false">IF(E2="","",E2/(E2+H2))</f>
        <v>0.354922279792746</v>
      </c>
      <c r="L2" s="66" t="n">
        <f aca="false">IF(OR(K2="",J2=""),"",(J2-K2)*100)</f>
        <v>1.60922129608771</v>
      </c>
      <c r="M2" s="36" t="n">
        <v>3.73284536268536</v>
      </c>
      <c r="N2" s="36" t="n">
        <v>2.06095577224995</v>
      </c>
      <c r="O2" s="36" t="n">
        <f aca="false">SQRT(M2^2+N2^2)</f>
        <v>4.26399732608874</v>
      </c>
      <c r="P2" s="55" t="n">
        <f aca="false">IF(J2="","",MAX(0,J2-1.96*O2/100))</f>
        <v>0.287440145162284</v>
      </c>
      <c r="Q2" s="55" t="n">
        <f aca="false">IF(J2="","",MIN(1,J2+1.96*O2/100))</f>
        <v>0.454588840344963</v>
      </c>
      <c r="R2" s="32" t="str">
        <f aca="false">IF(L2="","",IF(ABS(L2)&lt;=O2,"Yes","No"))</f>
        <v>Yes</v>
      </c>
      <c r="S2" s="32" t="str">
        <f aca="false">IF(L2="","",IF(ABS(L2)&lt;=1.96*O2,"Yes","No"))</f>
        <v>Yes</v>
      </c>
      <c r="T2" s="54" t="n">
        <f aca="false">IF(D2="","",ROUND(SQRT(((D2+G2)*O2/100)^2+(J2*(D2+G2)*0.07872)^2),0))</f>
        <v>18</v>
      </c>
      <c r="U2" s="32"/>
    </row>
    <row r="3" customFormat="false" ht="15" hidden="false" customHeight="false" outlineLevel="0" collapsed="false">
      <c r="A3" s="32" t="s">
        <v>127</v>
      </c>
      <c r="B3" s="32" t="s">
        <v>133</v>
      </c>
      <c r="C3" s="32" t="s">
        <v>129</v>
      </c>
      <c r="D3" s="54" t="n">
        <v>75</v>
      </c>
      <c r="E3" s="54" t="n">
        <v>84</v>
      </c>
      <c r="F3" s="65" t="n">
        <f aca="false">IF(E3="","",D3-E3)</f>
        <v>-9</v>
      </c>
      <c r="G3" s="54" t="n">
        <v>203</v>
      </c>
      <c r="H3" s="54" t="n">
        <v>230</v>
      </c>
      <c r="I3" s="65" t="n">
        <f aca="false">IF(H3="","",G3-H3)</f>
        <v>-27</v>
      </c>
      <c r="J3" s="55" t="n">
        <f aca="false">IF(OR(D3="",D3+G3=0),"",D3/(D3+G3))</f>
        <v>0.269784172661871</v>
      </c>
      <c r="K3" s="55" t="n">
        <f aca="false">IF(E3="","",E3/(E3+H3))</f>
        <v>0.267515923566879</v>
      </c>
      <c r="L3" s="66" t="n">
        <f aca="false">IF(OR(K3="",J3=""),"",(J3-K3)*100)</f>
        <v>0.226824909499151</v>
      </c>
      <c r="M3" s="36" t="n">
        <v>3.73284536268536</v>
      </c>
      <c r="N3" s="36" t="n">
        <v>2.06095577224995</v>
      </c>
      <c r="O3" s="36" t="n">
        <f aca="false">SQRT(M3^2+N3^2)</f>
        <v>4.26399732608874</v>
      </c>
      <c r="P3" s="55" t="n">
        <f aca="false">IF(J3="","",MAX(0,J3-1.96*O3/100))</f>
        <v>0.186209825070531</v>
      </c>
      <c r="Q3" s="55" t="n">
        <f aca="false">IF(J3="","",MIN(1,J3+1.96*O3/100))</f>
        <v>0.35335852025321</v>
      </c>
      <c r="R3" s="32" t="str">
        <f aca="false">IF(L3="","",IF(ABS(L3)&lt;=O3,"Yes","No"))</f>
        <v>Yes</v>
      </c>
      <c r="S3" s="32" t="str">
        <f aca="false">IF(L3="","",IF(ABS(L3)&lt;=1.96*O3,"Yes","No"))</f>
        <v>Yes</v>
      </c>
      <c r="T3" s="54" t="n">
        <f aca="false">IF(D3="","",ROUND(SQRT(((D3+G3)*O3/100)^2+(J3*(D3+G3)*0.07872)^2),0))</f>
        <v>13</v>
      </c>
      <c r="U3" s="32"/>
    </row>
    <row r="4" customFormat="false" ht="15" hidden="false" customHeight="false" outlineLevel="0" collapsed="false">
      <c r="A4" s="32" t="s">
        <v>127</v>
      </c>
      <c r="B4" s="32" t="s">
        <v>134</v>
      </c>
      <c r="C4" s="32" t="s">
        <v>129</v>
      </c>
      <c r="D4" s="54" t="n">
        <v>85</v>
      </c>
      <c r="E4" s="54" t="n">
        <v>125</v>
      </c>
      <c r="F4" s="65" t="n">
        <f aca="false">IF(E4="","",D4-E4)</f>
        <v>-40</v>
      </c>
      <c r="G4" s="54" t="n">
        <v>203</v>
      </c>
      <c r="H4" s="54" t="n">
        <v>223</v>
      </c>
      <c r="I4" s="65" t="n">
        <f aca="false">IF(H4="","",G4-H4)</f>
        <v>-20</v>
      </c>
      <c r="J4" s="55" t="n">
        <f aca="false">IF(OR(D4="",D4+G4=0),"",D4/(D4+G4))</f>
        <v>0.295138888888889</v>
      </c>
      <c r="K4" s="55" t="n">
        <f aca="false">IF(E4="","",E4/(E4+H4))</f>
        <v>0.359195402298851</v>
      </c>
      <c r="L4" s="66" t="n">
        <f aca="false">IF(OR(K4="",J4=""),"",(J4-K4)*100)</f>
        <v>-6.40565134099617</v>
      </c>
      <c r="M4" s="36" t="n">
        <v>3.73284536268536</v>
      </c>
      <c r="N4" s="36" t="n">
        <v>2.06095577224995</v>
      </c>
      <c r="O4" s="36" t="n">
        <f aca="false">SQRT(M4^2+N4^2)</f>
        <v>4.26399732608874</v>
      </c>
      <c r="P4" s="55" t="n">
        <f aca="false">IF(J4="","",MAX(0,J4-1.96*O4/100))</f>
        <v>0.21156454129755</v>
      </c>
      <c r="Q4" s="55" t="n">
        <f aca="false">IF(J4="","",MIN(1,J4+1.96*O4/100))</f>
        <v>0.378713236480228</v>
      </c>
      <c r="R4" s="32" t="str">
        <f aca="false">IF(L4="","",IF(ABS(L4)&lt;=O4,"Yes","No"))</f>
        <v>No</v>
      </c>
      <c r="S4" s="32" t="str">
        <f aca="false">IF(L4="","",IF(ABS(L4)&lt;=1.96*O4,"Yes","No"))</f>
        <v>Yes</v>
      </c>
      <c r="T4" s="54" t="n">
        <f aca="false">IF(D4="","",ROUND(SQRT(((D4+G4)*O4/100)^2+(J4*(D4+G4)*0.07872)^2),0))</f>
        <v>14</v>
      </c>
      <c r="U4" s="32"/>
    </row>
    <row r="5" customFormat="false" ht="15" hidden="false" customHeight="false" outlineLevel="0" collapsed="false">
      <c r="A5" s="32" t="s">
        <v>127</v>
      </c>
      <c r="B5" s="32" t="s">
        <v>135</v>
      </c>
      <c r="C5" s="32" t="s">
        <v>129</v>
      </c>
      <c r="D5" s="54" t="n">
        <v>299</v>
      </c>
      <c r="E5" s="54" t="n">
        <v>372</v>
      </c>
      <c r="F5" s="65" t="n">
        <f aca="false">IF(E5="","",D5-E5)</f>
        <v>-73</v>
      </c>
      <c r="G5" s="54" t="n">
        <v>832</v>
      </c>
      <c r="H5" s="54" t="n">
        <v>925</v>
      </c>
      <c r="I5" s="65" t="n">
        <f aca="false">IF(H5="","",G5-H5)</f>
        <v>-93</v>
      </c>
      <c r="J5" s="55" t="n">
        <f aca="false">IF(OR(D5="",D5+G5=0),"",D5/(D5+G5))</f>
        <v>0.264367816091954</v>
      </c>
      <c r="K5" s="55" t="n">
        <f aca="false">IF(E5="","",E5/(E5+H5))</f>
        <v>0.286815728604472</v>
      </c>
      <c r="L5" s="66" t="n">
        <f aca="false">IF(OR(K5="",J5=""),"",(J5-K5)*100)</f>
        <v>-2.24479125125178</v>
      </c>
      <c r="M5" s="36" t="n">
        <v>2.07973649938125</v>
      </c>
      <c r="N5" s="36" t="n">
        <v>2.06095577224995</v>
      </c>
      <c r="O5" s="36" t="n">
        <f aca="false">SQRT(M5^2+N5^2)</f>
        <v>2.92794170058574</v>
      </c>
      <c r="P5" s="55" t="n">
        <f aca="false">IF(J5="","",MAX(0,J5-1.96*O5/100))</f>
        <v>0.206980158760474</v>
      </c>
      <c r="Q5" s="55" t="n">
        <f aca="false">IF(J5="","",MIN(1,J5+1.96*O5/100))</f>
        <v>0.321755473423435</v>
      </c>
      <c r="R5" s="32" t="str">
        <f aca="false">IF(L5="","",IF(ABS(L5)&lt;=O5,"Yes","No"))</f>
        <v>Yes</v>
      </c>
      <c r="S5" s="32" t="str">
        <f aca="false">IF(L5="","",IF(ABS(L5)&lt;=1.96*O5,"Yes","No"))</f>
        <v>Yes</v>
      </c>
      <c r="T5" s="54" t="n">
        <f aca="false">IF(D5="","",ROUND(SQRT(((D5+G5)*O5/100)^2+(J5*(D5+G5)*0.05883)^2),0))</f>
        <v>37</v>
      </c>
      <c r="U5" s="32"/>
    </row>
    <row r="6" customFormat="false" ht="15" hidden="false" customHeight="false" outlineLevel="0" collapsed="false">
      <c r="A6" s="32" t="s">
        <v>127</v>
      </c>
      <c r="B6" s="32" t="s">
        <v>137</v>
      </c>
      <c r="C6" s="32" t="s">
        <v>129</v>
      </c>
      <c r="D6" s="54" t="n">
        <v>30</v>
      </c>
      <c r="E6" s="54" t="n">
        <v>33</v>
      </c>
      <c r="F6" s="65" t="n">
        <f aca="false">IF(E6="","",D6-E6)</f>
        <v>-3</v>
      </c>
      <c r="G6" s="54" t="n">
        <v>46</v>
      </c>
      <c r="H6" s="54" t="n">
        <v>61</v>
      </c>
      <c r="I6" s="65" t="n">
        <f aca="false">IF(H6="","",G6-H6)</f>
        <v>-15</v>
      </c>
      <c r="J6" s="55" t="n">
        <f aca="false">IF(OR(D6="",D6+G6=0),"",D6/(D6+G6))</f>
        <v>0.394736842105263</v>
      </c>
      <c r="K6" s="55" t="n">
        <f aca="false">IF(E6="","",E6/(E6+H6))</f>
        <v>0.351063829787234</v>
      </c>
      <c r="L6" s="66" t="n">
        <f aca="false">IF(OR(K6="",J6=""),"",(J6-K6)*100)</f>
        <v>4.36730123180291</v>
      </c>
      <c r="M6" s="36" t="n">
        <v>3.73284536268536</v>
      </c>
      <c r="N6" s="36" t="n">
        <v>2.06095577224995</v>
      </c>
      <c r="O6" s="36" t="n">
        <f aca="false">SQRT(M6^2+N6^2)</f>
        <v>4.26399732608874</v>
      </c>
      <c r="P6" s="55" t="n">
        <f aca="false">IF(J6="","",MAX(0,J6-1.96*O6/100))</f>
        <v>0.311162494513924</v>
      </c>
      <c r="Q6" s="55" t="n">
        <f aca="false">IF(J6="","",MIN(1,J6+1.96*O6/100))</f>
        <v>0.478311189696603</v>
      </c>
      <c r="R6" s="32" t="str">
        <f aca="false">IF(L6="","",IF(ABS(L6)&lt;=O6,"Yes","No"))</f>
        <v>No</v>
      </c>
      <c r="S6" s="32" t="str">
        <f aca="false">IF(L6="","",IF(ABS(L6)&lt;=1.96*O6,"Yes","No"))</f>
        <v>Yes</v>
      </c>
      <c r="T6" s="54" t="n">
        <f aca="false">IF(D6="","",ROUND(SQRT(((D6+G6)*O6/100)^2+(J6*(D6+G6)*0.07872)^2),0))</f>
        <v>4</v>
      </c>
      <c r="U6" s="32"/>
    </row>
    <row r="7" customFormat="false" ht="15" hidden="false" customHeight="false" outlineLevel="0" collapsed="false">
      <c r="A7" s="32" t="s">
        <v>127</v>
      </c>
      <c r="B7" s="32" t="s">
        <v>138</v>
      </c>
      <c r="C7" s="32" t="s">
        <v>129</v>
      </c>
      <c r="D7" s="54" t="n">
        <v>463</v>
      </c>
      <c r="E7" s="54" t="n">
        <v>560</v>
      </c>
      <c r="F7" s="65" t="n">
        <f aca="false">IF(E7="","",D7-E7)</f>
        <v>-97</v>
      </c>
      <c r="G7" s="54" t="n">
        <v>1266</v>
      </c>
      <c r="H7" s="54" t="n">
        <v>1398</v>
      </c>
      <c r="I7" s="65" t="n">
        <f aca="false">IF(H7="","",G7-H7)</f>
        <v>-132</v>
      </c>
      <c r="J7" s="55" t="n">
        <f aca="false">IF(OR(D7="",D7+G7=0),"",D7/(D7+G7))</f>
        <v>0.267784846732215</v>
      </c>
      <c r="K7" s="55" t="n">
        <f aca="false">IF(E7="","",E7/(E7+H7))</f>
        <v>0.286006128702758</v>
      </c>
      <c r="L7" s="66" t="n">
        <f aca="false">IF(OR(K7="",J7=""),"",(J7-K7)*100)</f>
        <v>-1.82212819705428</v>
      </c>
      <c r="M7" s="36" t="n">
        <v>2.07973649938125</v>
      </c>
      <c r="N7" s="36" t="n">
        <v>2.06095577224995</v>
      </c>
      <c r="O7" s="36" t="n">
        <f aca="false">SQRT(M7^2+N7^2)</f>
        <v>2.92794170058574</v>
      </c>
      <c r="P7" s="55" t="n">
        <f aca="false">IF(J7="","",MAX(0,J7-1.96*O7/100))</f>
        <v>0.210397189400735</v>
      </c>
      <c r="Q7" s="55" t="n">
        <f aca="false">IF(J7="","",MIN(1,J7+1.96*O7/100))</f>
        <v>0.325172504063696</v>
      </c>
      <c r="R7" s="32" t="str">
        <f aca="false">IF(L7="","",IF(ABS(L7)&lt;=O7,"Yes","No"))</f>
        <v>Yes</v>
      </c>
      <c r="S7" s="32" t="str">
        <f aca="false">IF(L7="","",IF(ABS(L7)&lt;=1.96*O7,"Yes","No"))</f>
        <v>Yes</v>
      </c>
      <c r="T7" s="54" t="n">
        <f aca="false">IF(D7="","",ROUND(SQRT(((D7+G7)*O7/100)^2+(J7*(D7+G7)*0.05883)^2),0))</f>
        <v>57</v>
      </c>
      <c r="U7" s="32"/>
    </row>
    <row r="8" customFormat="false" ht="15" hidden="false" customHeight="false" outlineLevel="0" collapsed="false">
      <c r="A8" s="32" t="s">
        <v>127</v>
      </c>
      <c r="B8" s="32" t="s">
        <v>139</v>
      </c>
      <c r="C8" s="32" t="s">
        <v>129</v>
      </c>
      <c r="D8" s="54" t="n">
        <v>781</v>
      </c>
      <c r="E8" s="54" t="n">
        <v>979</v>
      </c>
      <c r="F8" s="65" t="n">
        <f aca="false">IF(E8="","",D8-E8)</f>
        <v>-198</v>
      </c>
      <c r="G8" s="54" t="n">
        <v>1070</v>
      </c>
      <c r="H8" s="54" t="n">
        <v>1157</v>
      </c>
      <c r="I8" s="65" t="n">
        <f aca="false">IF(H8="","",G8-H8)</f>
        <v>-87</v>
      </c>
      <c r="J8" s="55" t="n">
        <f aca="false">IF(OR(D8="",D8+G8=0),"",D8/(D8+G8))</f>
        <v>0.421934089681253</v>
      </c>
      <c r="K8" s="55" t="n">
        <f aca="false">IF(E8="","",E8/(E8+H8))</f>
        <v>0.458333333333333</v>
      </c>
      <c r="L8" s="66" t="n">
        <f aca="false">IF(OR(K8="",J8=""),"",(J8-K8)*100)</f>
        <v>-3.63992436520799</v>
      </c>
      <c r="M8" s="36" t="n">
        <v>2.07973649938125</v>
      </c>
      <c r="N8" s="36" t="n">
        <v>2.06095577224995</v>
      </c>
      <c r="O8" s="36" t="n">
        <f aca="false">SQRT(M8^2+N8^2)</f>
        <v>2.92794170058574</v>
      </c>
      <c r="P8" s="55" t="n">
        <f aca="false">IF(J8="","",MAX(0,J8-1.96*O8/100))</f>
        <v>0.364546432349773</v>
      </c>
      <c r="Q8" s="55" t="n">
        <f aca="false">IF(J8="","",MIN(1,J8+1.96*O8/100))</f>
        <v>0.479321747012734</v>
      </c>
      <c r="R8" s="32" t="str">
        <f aca="false">IF(L8="","",IF(ABS(L8)&lt;=O8,"Yes","No"))</f>
        <v>No</v>
      </c>
      <c r="S8" s="32" t="str">
        <f aca="false">IF(L8="","",IF(ABS(L8)&lt;=1.96*O8,"Yes","No"))</f>
        <v>Yes</v>
      </c>
      <c r="T8" s="54" t="n">
        <f aca="false">IF(D8="","",ROUND(SQRT(((D8+G8)*O8/100)^2+(J8*(D8+G8)*0.05883)^2),0))</f>
        <v>71</v>
      </c>
      <c r="U8" s="32"/>
    </row>
    <row r="9" customFormat="false" ht="15" hidden="false" customHeight="false" outlineLevel="0" collapsed="false">
      <c r="A9" s="32" t="s">
        <v>127</v>
      </c>
      <c r="B9" s="32" t="s">
        <v>140</v>
      </c>
      <c r="C9" s="32" t="s">
        <v>129</v>
      </c>
      <c r="D9" s="54" t="n">
        <v>251</v>
      </c>
      <c r="E9" s="54" t="n">
        <v>277</v>
      </c>
      <c r="F9" s="65" t="n">
        <f aca="false">IF(E9="","",D9-E9)</f>
        <v>-26</v>
      </c>
      <c r="G9" s="54" t="n">
        <v>558</v>
      </c>
      <c r="H9" s="54" t="n">
        <v>560</v>
      </c>
      <c r="I9" s="65" t="n">
        <f aca="false">IF(H9="","",G9-H9)</f>
        <v>-2</v>
      </c>
      <c r="J9" s="55" t="n">
        <f aca="false">IF(OR(D9="",D9+G9=0),"",D9/(D9+G9))</f>
        <v>0.310259579728059</v>
      </c>
      <c r="K9" s="55" t="n">
        <f aca="false">IF(E9="","",E9/(E9+H9))</f>
        <v>0.330943847072879</v>
      </c>
      <c r="L9" s="66" t="n">
        <f aca="false">IF(OR(K9="",J9=""),"",(J9-K9)*100)</f>
        <v>-2.068426734482</v>
      </c>
      <c r="M9" s="36" t="n">
        <v>3.73284536268536</v>
      </c>
      <c r="N9" s="36" t="n">
        <v>2.06095577224995</v>
      </c>
      <c r="O9" s="36" t="n">
        <f aca="false">SQRT(M9^2+N9^2)</f>
        <v>4.26399732608874</v>
      </c>
      <c r="P9" s="55" t="n">
        <f aca="false">IF(J9="","",MAX(0,J9-1.96*O9/100))</f>
        <v>0.22668523213672</v>
      </c>
      <c r="Q9" s="55" t="n">
        <f aca="false">IF(J9="","",MIN(1,J9+1.96*O9/100))</f>
        <v>0.393833927319399</v>
      </c>
      <c r="R9" s="32" t="str">
        <f aca="false">IF(L9="","",IF(ABS(L9)&lt;=O9,"Yes","No"))</f>
        <v>Yes</v>
      </c>
      <c r="S9" s="32" t="str">
        <f aca="false">IF(L9="","",IF(ABS(L9)&lt;=1.96*O9,"Yes","No"))</f>
        <v>Yes</v>
      </c>
      <c r="T9" s="54" t="n">
        <f aca="false">IF(D9="","",ROUND(SQRT(((D9+G9)*O9/100)^2+(J9*(D9+G9)*0.07872)^2),0))</f>
        <v>40</v>
      </c>
      <c r="U9" s="32"/>
    </row>
    <row r="10" customFormat="false" ht="15" hidden="false" customHeight="false" outlineLevel="0" collapsed="false">
      <c r="A10" s="32" t="s">
        <v>127</v>
      </c>
      <c r="B10" s="32" t="s">
        <v>141</v>
      </c>
      <c r="C10" s="32" t="s">
        <v>129</v>
      </c>
      <c r="D10" s="54" t="n">
        <v>389</v>
      </c>
      <c r="E10" s="54" t="n">
        <v>420</v>
      </c>
      <c r="F10" s="65" t="n">
        <f aca="false">IF(E10="","",D10-E10)</f>
        <v>-31</v>
      </c>
      <c r="G10" s="54" t="n">
        <v>522</v>
      </c>
      <c r="H10" s="54" t="n">
        <v>580</v>
      </c>
      <c r="I10" s="65" t="n">
        <f aca="false">IF(H10="","",G10-H10)</f>
        <v>-58</v>
      </c>
      <c r="J10" s="55" t="n">
        <f aca="false">IF(OR(D10="",D10+G10=0),"",D10/(D10+G10))</f>
        <v>0.427003293084523</v>
      </c>
      <c r="K10" s="55" t="n">
        <f aca="false">IF(E10="","",E10/(E10+H10))</f>
        <v>0.42</v>
      </c>
      <c r="L10" s="66" t="n">
        <f aca="false">IF(OR(K10="",J10=""),"",(J10-K10)*100)</f>
        <v>0.700329308452252</v>
      </c>
      <c r="M10" s="36" t="n">
        <v>3.73284536268536</v>
      </c>
      <c r="N10" s="36" t="n">
        <v>2.06095577224995</v>
      </c>
      <c r="O10" s="36" t="n">
        <f aca="false">SQRT(M10^2+N10^2)</f>
        <v>4.26399732608874</v>
      </c>
      <c r="P10" s="55" t="n">
        <f aca="false">IF(J10="","",MAX(0,J10-1.96*O10/100))</f>
        <v>0.343428945493183</v>
      </c>
      <c r="Q10" s="55" t="n">
        <f aca="false">IF(J10="","",MIN(1,J10+1.96*O10/100))</f>
        <v>0.510577640675862</v>
      </c>
      <c r="R10" s="32" t="str">
        <f aca="false">IF(L10="","",IF(ABS(L10)&lt;=O10,"Yes","No"))</f>
        <v>Yes</v>
      </c>
      <c r="S10" s="32" t="str">
        <f aca="false">IF(L10="","",IF(ABS(L10)&lt;=1.96*O10,"Yes","No"))</f>
        <v>Yes</v>
      </c>
      <c r="T10" s="54" t="n">
        <f aca="false">IF(D10="","",ROUND(SQRT(((D10+G10)*O10/100)^2+(J10*(D10+G10)*0.07872)^2),0))</f>
        <v>49</v>
      </c>
      <c r="U10" s="32"/>
    </row>
    <row r="11" customFormat="false" ht="15" hidden="false" customHeight="false" outlineLevel="0" collapsed="false">
      <c r="A11" s="32" t="s">
        <v>127</v>
      </c>
      <c r="B11" s="32" t="s">
        <v>142</v>
      </c>
      <c r="C11" s="32" t="s">
        <v>129</v>
      </c>
      <c r="D11" s="54" t="n">
        <v>25</v>
      </c>
      <c r="E11" s="54" t="n">
        <v>36</v>
      </c>
      <c r="F11" s="65" t="n">
        <f aca="false">IF(E11="","",D11-E11)</f>
        <v>-11</v>
      </c>
      <c r="G11" s="54" t="n">
        <v>66</v>
      </c>
      <c r="H11" s="54" t="n">
        <v>79</v>
      </c>
      <c r="I11" s="65" t="n">
        <f aca="false">IF(H11="","",G11-H11)</f>
        <v>-13</v>
      </c>
      <c r="J11" s="55" t="n">
        <f aca="false">IF(OR(D11="",D11+G11=0),"",D11/(D11+G11))</f>
        <v>0.274725274725275</v>
      </c>
      <c r="K11" s="55" t="n">
        <f aca="false">IF(E11="","",E11/(E11+H11))</f>
        <v>0.31304347826087</v>
      </c>
      <c r="L11" s="66" t="n">
        <f aca="false">IF(OR(K11="",J11=""),"",(J11-K11)*100)</f>
        <v>-3.83182035355948</v>
      </c>
      <c r="M11" s="36" t="n">
        <v>3.73284536268536</v>
      </c>
      <c r="N11" s="36" t="n">
        <v>2.06095577224995</v>
      </c>
      <c r="O11" s="36" t="n">
        <f aca="false">SQRT(M11^2+N11^2)</f>
        <v>4.26399732608874</v>
      </c>
      <c r="P11" s="55" t="n">
        <f aca="false">IF(J11="","",MAX(0,J11-1.96*O11/100))</f>
        <v>0.191150927133935</v>
      </c>
      <c r="Q11" s="55" t="n">
        <f aca="false">IF(J11="","",MIN(1,J11+1.96*O11/100))</f>
        <v>0.358299622316614</v>
      </c>
      <c r="R11" s="32" t="str">
        <f aca="false">IF(L11="","",IF(ABS(L11)&lt;=O11,"Yes","No"))</f>
        <v>Yes</v>
      </c>
      <c r="S11" s="32" t="str">
        <f aca="false">IF(L11="","",IF(ABS(L11)&lt;=1.96*O11,"Yes","No"))</f>
        <v>Yes</v>
      </c>
      <c r="T11" s="54" t="n">
        <f aca="false">IF(D11="","",ROUND(SQRT(((D11+G11)*O11/100)^2+(J11*(D11+G11)*0.07872)^2),0))</f>
        <v>4</v>
      </c>
      <c r="U11" s="32"/>
    </row>
    <row r="12" customFormat="false" ht="15" hidden="false" customHeight="false" outlineLevel="0" collapsed="false">
      <c r="A12" s="32" t="s">
        <v>127</v>
      </c>
      <c r="B12" s="32" t="s">
        <v>143</v>
      </c>
      <c r="C12" s="32" t="s">
        <v>129</v>
      </c>
      <c r="D12" s="54" t="n">
        <v>49</v>
      </c>
      <c r="E12" s="54" t="n">
        <v>52</v>
      </c>
      <c r="F12" s="65" t="n">
        <f aca="false">IF(E12="","",D12-E12)</f>
        <v>-3</v>
      </c>
      <c r="G12" s="54" t="n">
        <v>150</v>
      </c>
      <c r="H12" s="54" t="n">
        <v>189</v>
      </c>
      <c r="I12" s="65" t="n">
        <f aca="false">IF(H12="","",G12-H12)</f>
        <v>-39</v>
      </c>
      <c r="J12" s="55" t="n">
        <f aca="false">IF(OR(D12="",D12+G12=0),"",D12/(D12+G12))</f>
        <v>0.246231155778894</v>
      </c>
      <c r="K12" s="55" t="n">
        <f aca="false">IF(E12="","",E12/(E12+H12))</f>
        <v>0.215767634854772</v>
      </c>
      <c r="L12" s="66" t="n">
        <f aca="false">IF(OR(K12="",J12=""),"",(J12-K12)*100)</f>
        <v>3.04635209241227</v>
      </c>
      <c r="M12" s="36" t="n">
        <v>3.73284536268536</v>
      </c>
      <c r="N12" s="36" t="n">
        <v>2.06095577224995</v>
      </c>
      <c r="O12" s="36" t="n">
        <f aca="false">SQRT(M12^2+N12^2)</f>
        <v>4.26399732608874</v>
      </c>
      <c r="P12" s="55" t="n">
        <f aca="false">IF(J12="","",MAX(0,J12-1.96*O12/100))</f>
        <v>0.162656808187555</v>
      </c>
      <c r="Q12" s="55" t="n">
        <f aca="false">IF(J12="","",MIN(1,J12+1.96*O12/100))</f>
        <v>0.329805503370234</v>
      </c>
      <c r="R12" s="32" t="str">
        <f aca="false">IF(L12="","",IF(ABS(L12)&lt;=O12,"Yes","No"))</f>
        <v>Yes</v>
      </c>
      <c r="S12" s="32" t="str">
        <f aca="false">IF(L12="","",IF(ABS(L12)&lt;=1.96*O12,"Yes","No"))</f>
        <v>Yes</v>
      </c>
      <c r="T12" s="54" t="n">
        <f aca="false">IF(D12="","",ROUND(SQRT(((D12+G12)*O12/100)^2+(J12*(D12+G12)*0.07872)^2),0))</f>
        <v>9</v>
      </c>
      <c r="U12" s="32"/>
    </row>
    <row r="13" customFormat="false" ht="15" hidden="false" customHeight="false" outlineLevel="0" collapsed="false">
      <c r="A13" s="32" t="s">
        <v>127</v>
      </c>
      <c r="B13" s="32" t="s">
        <v>144</v>
      </c>
      <c r="C13" s="32" t="s">
        <v>129</v>
      </c>
      <c r="D13" s="54" t="n">
        <v>598</v>
      </c>
      <c r="E13" s="54" t="n">
        <v>719</v>
      </c>
      <c r="F13" s="65" t="n">
        <f aca="false">IF(E13="","",D13-E13)</f>
        <v>-121</v>
      </c>
      <c r="G13" s="54" t="n">
        <v>878</v>
      </c>
      <c r="H13" s="54" t="n">
        <v>948</v>
      </c>
      <c r="I13" s="65" t="n">
        <f aca="false">IF(H13="","",G13-H13)</f>
        <v>-70</v>
      </c>
      <c r="J13" s="55" t="n">
        <f aca="false">IF(OR(D13="",D13+G13=0),"",D13/(D13+G13))</f>
        <v>0.405149051490515</v>
      </c>
      <c r="K13" s="55" t="n">
        <f aca="false">IF(E13="","",E13/(E13+H13))</f>
        <v>0.43131373725255</v>
      </c>
      <c r="L13" s="66" t="n">
        <f aca="false">IF(OR(K13="",J13=""),"",(J13-K13)*100)</f>
        <v>-2.61646857620346</v>
      </c>
      <c r="M13" s="36" t="n">
        <v>2.07973649938125</v>
      </c>
      <c r="N13" s="36" t="n">
        <v>2.06095577224995</v>
      </c>
      <c r="O13" s="36" t="n">
        <f aca="false">SQRT(M13^2+N13^2)</f>
        <v>2.92794170058574</v>
      </c>
      <c r="P13" s="55" t="n">
        <f aca="false">IF(J13="","",MAX(0,J13-1.96*O13/100))</f>
        <v>0.347761394159034</v>
      </c>
      <c r="Q13" s="55" t="n">
        <f aca="false">IF(J13="","",MIN(1,J13+1.96*O13/100))</f>
        <v>0.462536708821995</v>
      </c>
      <c r="R13" s="32" t="str">
        <f aca="false">IF(L13="","",IF(ABS(L13)&lt;=O13,"Yes","No"))</f>
        <v>Yes</v>
      </c>
      <c r="S13" s="32" t="str">
        <f aca="false">IF(L13="","",IF(ABS(L13)&lt;=1.96*O13,"Yes","No"))</f>
        <v>Yes</v>
      </c>
      <c r="T13" s="54" t="n">
        <f aca="false">IF(D13="","",ROUND(SQRT(((D13+G13)*O13/100)^2+(J13*(D13+G13)*0.05883)^2),0))</f>
        <v>56</v>
      </c>
      <c r="U13" s="32"/>
    </row>
    <row r="14" customFormat="false" ht="15" hidden="false" customHeight="false" outlineLevel="0" collapsed="false">
      <c r="A14" s="32" t="s">
        <v>127</v>
      </c>
      <c r="B14" s="32" t="s">
        <v>145</v>
      </c>
      <c r="C14" s="32" t="s">
        <v>129</v>
      </c>
      <c r="D14" s="54" t="n">
        <v>368</v>
      </c>
      <c r="E14" s="54" t="n">
        <v>430</v>
      </c>
      <c r="F14" s="65" t="n">
        <f aca="false">IF(E14="","",D14-E14)</f>
        <v>-62</v>
      </c>
      <c r="G14" s="54" t="n">
        <v>788</v>
      </c>
      <c r="H14" s="54" t="n">
        <v>916</v>
      </c>
      <c r="I14" s="65" t="n">
        <f aca="false">IF(H14="","",G14-H14)</f>
        <v>-128</v>
      </c>
      <c r="J14" s="55" t="n">
        <f aca="false">IF(OR(D14="",D14+G14=0),"",D14/(D14+G14))</f>
        <v>0.318339100346021</v>
      </c>
      <c r="K14" s="55" t="n">
        <f aca="false">IF(E14="","",E14/(E14+H14))</f>
        <v>0.319465081723626</v>
      </c>
      <c r="L14" s="66" t="n">
        <f aca="false">IF(OR(K14="",J14=""),"",(J14-K14)*100)</f>
        <v>-0.112598137760478</v>
      </c>
      <c r="M14" s="36" t="n">
        <v>2.07973649938125</v>
      </c>
      <c r="N14" s="36" t="n">
        <v>2.06095577224995</v>
      </c>
      <c r="O14" s="36" t="n">
        <f aca="false">SQRT(M14^2+N14^2)</f>
        <v>2.92794170058574</v>
      </c>
      <c r="P14" s="55" t="n">
        <f aca="false">IF(J14="","",MAX(0,J14-1.96*O14/100))</f>
        <v>0.26095144301454</v>
      </c>
      <c r="Q14" s="55" t="n">
        <f aca="false">IF(J14="","",MIN(1,J14+1.96*O14/100))</f>
        <v>0.375726757677501</v>
      </c>
      <c r="R14" s="32" t="str">
        <f aca="false">IF(L14="","",IF(ABS(L14)&lt;=O14,"Yes","No"))</f>
        <v>Yes</v>
      </c>
      <c r="S14" s="32" t="str">
        <f aca="false">IF(L14="","",IF(ABS(L14)&lt;=1.96*O14,"Yes","No"))</f>
        <v>Yes</v>
      </c>
      <c r="T14" s="54" t="n">
        <f aca="false">IF(D14="","",ROUND(SQRT(((D14+G14)*O14/100)^2+(J14*(D14+G14)*0.05883)^2),0))</f>
        <v>40</v>
      </c>
      <c r="U14" s="32"/>
    </row>
    <row r="15" customFormat="false" ht="15" hidden="false" customHeight="false" outlineLevel="0" collapsed="false">
      <c r="A15" s="32" t="s">
        <v>127</v>
      </c>
      <c r="B15" s="32" t="s">
        <v>146</v>
      </c>
      <c r="C15" s="32" t="s">
        <v>129</v>
      </c>
      <c r="D15" s="54" t="n">
        <v>419</v>
      </c>
      <c r="E15" s="54" t="n">
        <v>546</v>
      </c>
      <c r="F15" s="65" t="n">
        <f aca="false">IF(E15="","",D15-E15)</f>
        <v>-127</v>
      </c>
      <c r="G15" s="54" t="n">
        <v>1140</v>
      </c>
      <c r="H15" s="54" t="n">
        <v>1227</v>
      </c>
      <c r="I15" s="65" t="n">
        <f aca="false">IF(H15="","",G15-H15)</f>
        <v>-87</v>
      </c>
      <c r="J15" s="55" t="n">
        <f aca="false">IF(OR(D15="",D15+G15=0),"",D15/(D15+G15))</f>
        <v>0.268762026940346</v>
      </c>
      <c r="K15" s="55" t="n">
        <f aca="false">IF(E15="","",E15/(E15+H15))</f>
        <v>0.307952622673435</v>
      </c>
      <c r="L15" s="66" t="n">
        <f aca="false">IF(OR(K15="",J15=""),"",(J15-K15)*100)</f>
        <v>-3.91905957330885</v>
      </c>
      <c r="M15" s="36" t="n">
        <v>2.07973649938125</v>
      </c>
      <c r="N15" s="36" t="n">
        <v>2.06095577224995</v>
      </c>
      <c r="O15" s="36" t="n">
        <f aca="false">SQRT(M15^2+N15^2)</f>
        <v>2.92794170058574</v>
      </c>
      <c r="P15" s="55" t="n">
        <f aca="false">IF(J15="","",MAX(0,J15-1.96*O15/100))</f>
        <v>0.211374369608866</v>
      </c>
      <c r="Q15" s="55" t="n">
        <f aca="false">IF(J15="","",MIN(1,J15+1.96*O15/100))</f>
        <v>0.326149684271827</v>
      </c>
      <c r="R15" s="32" t="str">
        <f aca="false">IF(L15="","",IF(ABS(L15)&lt;=O15,"Yes","No"))</f>
        <v>No</v>
      </c>
      <c r="S15" s="32" t="str">
        <f aca="false">IF(L15="","",IF(ABS(L15)&lt;=1.96*O15,"Yes","No"))</f>
        <v>Yes</v>
      </c>
      <c r="T15" s="54" t="n">
        <f aca="false">IF(D15="","",ROUND(SQRT(((D15+G15)*O15/100)^2+(J15*(D15+G15)*0.05883)^2),0))</f>
        <v>52</v>
      </c>
      <c r="U15" s="32"/>
    </row>
    <row r="16" customFormat="false" ht="15" hidden="false" customHeight="false" outlineLevel="0" collapsed="false">
      <c r="A16" s="32" t="s">
        <v>127</v>
      </c>
      <c r="B16" s="32" t="s">
        <v>147</v>
      </c>
      <c r="C16" s="32" t="s">
        <v>129</v>
      </c>
      <c r="D16" s="54" t="n">
        <v>403</v>
      </c>
      <c r="E16" s="54" t="n">
        <v>488</v>
      </c>
      <c r="F16" s="65" t="n">
        <f aca="false">IF(E16="","",D16-E16)</f>
        <v>-85</v>
      </c>
      <c r="G16" s="54" t="n">
        <v>620</v>
      </c>
      <c r="H16" s="54" t="n">
        <v>706</v>
      </c>
      <c r="I16" s="65" t="n">
        <f aca="false">IF(H16="","",G16-H16)</f>
        <v>-86</v>
      </c>
      <c r="J16" s="55" t="n">
        <f aca="false">IF(OR(D16="",D16+G16=0),"",D16/(D16+G16))</f>
        <v>0.393939393939394</v>
      </c>
      <c r="K16" s="55" t="n">
        <f aca="false">IF(E16="","",E16/(E16+H16))</f>
        <v>0.408710217755444</v>
      </c>
      <c r="L16" s="66" t="n">
        <f aca="false">IF(OR(K16="",J16=""),"",(J16-K16)*100)</f>
        <v>-1.47708238160499</v>
      </c>
      <c r="M16" s="36" t="n">
        <v>3.73284536268536</v>
      </c>
      <c r="N16" s="36" t="n">
        <v>2.06095577224995</v>
      </c>
      <c r="O16" s="36" t="n">
        <f aca="false">SQRT(M16^2+N16^2)</f>
        <v>4.26399732608874</v>
      </c>
      <c r="P16" s="55" t="n">
        <f aca="false">IF(J16="","",MAX(0,J16-1.96*O16/100))</f>
        <v>0.310365046348055</v>
      </c>
      <c r="Q16" s="55" t="n">
        <f aca="false">IF(J16="","",MIN(1,J16+1.96*O16/100))</f>
        <v>0.477513741530733</v>
      </c>
      <c r="R16" s="32" t="str">
        <f aca="false">IF(L16="","",IF(ABS(L16)&lt;=O16,"Yes","No"))</f>
        <v>Yes</v>
      </c>
      <c r="S16" s="32" t="str">
        <f aca="false">IF(L16="","",IF(ABS(L16)&lt;=1.96*O16,"Yes","No"))</f>
        <v>Yes</v>
      </c>
      <c r="T16" s="54" t="n">
        <f aca="false">IF(D16="","",ROUND(SQRT(((D16+G16)*O16/100)^2+(J16*(D16+G16)*0.07872)^2),0))</f>
        <v>54</v>
      </c>
      <c r="U16" s="32"/>
    </row>
    <row r="17" customFormat="false" ht="15" hidden="false" customHeight="false" outlineLevel="0" collapsed="false">
      <c r="A17" s="32" t="s">
        <v>127</v>
      </c>
      <c r="B17" s="32" t="s">
        <v>148</v>
      </c>
      <c r="C17" s="32" t="s">
        <v>129</v>
      </c>
      <c r="D17" s="54" t="n">
        <v>120</v>
      </c>
      <c r="E17" s="54" t="n">
        <v>96</v>
      </c>
      <c r="F17" s="65" t="n">
        <f aca="false">IF(E17="","",D17-E17)</f>
        <v>24</v>
      </c>
      <c r="G17" s="54" t="n">
        <v>372</v>
      </c>
      <c r="H17" s="54" t="n">
        <v>444</v>
      </c>
      <c r="I17" s="65" t="n">
        <f aca="false">IF(H17="","",G17-H17)</f>
        <v>-72</v>
      </c>
      <c r="J17" s="55" t="n">
        <f aca="false">IF(OR(D17="",D17+G17=0),"",D17/(D17+G17))</f>
        <v>0.24390243902439</v>
      </c>
      <c r="K17" s="55" t="n">
        <f aca="false">IF(E17="","",E17/(E17+H17))</f>
        <v>0.177777777777778</v>
      </c>
      <c r="L17" s="66" t="n">
        <f aca="false">IF(OR(K17="",J17=""),"",(J17-K17)*100)</f>
        <v>6.61246612466125</v>
      </c>
      <c r="M17" s="36" t="n">
        <v>3.73284536268536</v>
      </c>
      <c r="N17" s="36" t="n">
        <v>2.06095577224995</v>
      </c>
      <c r="O17" s="36" t="n">
        <f aca="false">SQRT(M17^2+N17^2)</f>
        <v>4.26399732608874</v>
      </c>
      <c r="P17" s="55" t="n">
        <f aca="false">IF(J17="","",MAX(0,J17-1.96*O17/100))</f>
        <v>0.160328091433051</v>
      </c>
      <c r="Q17" s="55" t="n">
        <f aca="false">IF(J17="","",MIN(1,J17+1.96*O17/100))</f>
        <v>0.32747678661573</v>
      </c>
      <c r="R17" s="32" t="str">
        <f aca="false">IF(L17="","",IF(ABS(L17)&lt;=O17,"Yes","No"))</f>
        <v>No</v>
      </c>
      <c r="S17" s="32" t="str">
        <f aca="false">IF(L17="","",IF(ABS(L17)&lt;=1.96*O17,"Yes","No"))</f>
        <v>Yes</v>
      </c>
      <c r="T17" s="54" t="n">
        <f aca="false">IF(D17="","",ROUND(SQRT(((D17+G17)*O17/100)^2+(J17*(D17+G17)*0.07872)^2),0))</f>
        <v>23</v>
      </c>
      <c r="U17" s="32"/>
    </row>
    <row r="18" customFormat="false" ht="15" hidden="false" customHeight="false" outlineLevel="0" collapsed="false">
      <c r="A18" s="32" t="s">
        <v>127</v>
      </c>
      <c r="B18" s="32" t="s">
        <v>149</v>
      </c>
      <c r="C18" s="32" t="s">
        <v>129</v>
      </c>
      <c r="D18" s="54" t="n">
        <v>646</v>
      </c>
      <c r="E18" s="54" t="n">
        <v>737</v>
      </c>
      <c r="F18" s="65" t="n">
        <f aca="false">IF(E18="","",D18-E18)</f>
        <v>-91</v>
      </c>
      <c r="G18" s="54" t="n">
        <v>1088</v>
      </c>
      <c r="H18" s="54" t="n">
        <v>1172</v>
      </c>
      <c r="I18" s="65" t="n">
        <f aca="false">IF(H18="","",G18-H18)</f>
        <v>-84</v>
      </c>
      <c r="J18" s="55" t="n">
        <f aca="false">IF(OR(D18="",D18+G18=0),"",D18/(D18+G18))</f>
        <v>0.372549019607843</v>
      </c>
      <c r="K18" s="55" t="n">
        <f aca="false">IF(E18="","",E18/(E18+H18))</f>
        <v>0.386066003143007</v>
      </c>
      <c r="L18" s="66" t="n">
        <f aca="false">IF(OR(K18="",J18=""),"",(J18-K18)*100)</f>
        <v>-1.35169835351637</v>
      </c>
      <c r="M18" s="36" t="n">
        <v>2.07973649938125</v>
      </c>
      <c r="N18" s="36" t="n">
        <v>2.06095577224995</v>
      </c>
      <c r="O18" s="36" t="n">
        <f aca="false">SQRT(M18^2+N18^2)</f>
        <v>2.92794170058574</v>
      </c>
      <c r="P18" s="55" t="n">
        <f aca="false">IF(J18="","",MAX(0,J18-1.96*O18/100))</f>
        <v>0.315161362276363</v>
      </c>
      <c r="Q18" s="55" t="n">
        <f aca="false">IF(J18="","",MIN(1,J18+1.96*O18/100))</f>
        <v>0.429936676939324</v>
      </c>
      <c r="R18" s="32" t="str">
        <f aca="false">IF(L18="","",IF(ABS(L18)&lt;=O18,"Yes","No"))</f>
        <v>Yes</v>
      </c>
      <c r="S18" s="32" t="str">
        <f aca="false">IF(L18="","",IF(ABS(L18)&lt;=1.96*O18,"Yes","No"))</f>
        <v>Yes</v>
      </c>
      <c r="T18" s="54" t="n">
        <f aca="false">IF(D18="","",ROUND(SQRT(((D18+G18)*O18/100)^2+(J18*(D18+G18)*0.05883)^2),0))</f>
        <v>63</v>
      </c>
      <c r="U18" s="32"/>
    </row>
    <row r="19" customFormat="false" ht="15" hidden="false" customHeight="false" outlineLevel="0" collapsed="false">
      <c r="A19" s="32" t="s">
        <v>127</v>
      </c>
      <c r="B19" s="32" t="s">
        <v>150</v>
      </c>
      <c r="C19" s="32" t="s">
        <v>129</v>
      </c>
      <c r="D19" s="54" t="n">
        <v>49</v>
      </c>
      <c r="E19" s="54" t="n">
        <v>51</v>
      </c>
      <c r="F19" s="65" t="n">
        <f aca="false">IF(E19="","",D19-E19)</f>
        <v>-2</v>
      </c>
      <c r="G19" s="54" t="n">
        <v>126</v>
      </c>
      <c r="H19" s="54" t="n">
        <v>136</v>
      </c>
      <c r="I19" s="65" t="n">
        <f aca="false">IF(H19="","",G19-H19)</f>
        <v>-10</v>
      </c>
      <c r="J19" s="55" t="n">
        <f aca="false">IF(OR(D19="",D19+G19=0),"",D19/(D19+G19))</f>
        <v>0.28</v>
      </c>
      <c r="K19" s="55" t="n">
        <f aca="false">IF(E19="","",E19/(E19+H19))</f>
        <v>0.272727272727273</v>
      </c>
      <c r="L19" s="66" t="n">
        <f aca="false">IF(OR(K19="",J19=""),"",(J19-K19)*100)</f>
        <v>0.727272727272732</v>
      </c>
      <c r="M19" s="36" t="n">
        <v>3.73284536268536</v>
      </c>
      <c r="N19" s="36" t="n">
        <v>2.06095577224995</v>
      </c>
      <c r="O19" s="36" t="n">
        <f aca="false">SQRT(M19^2+N19^2)</f>
        <v>4.26399732608874</v>
      </c>
      <c r="P19" s="55" t="n">
        <f aca="false">IF(J19="","",MAX(0,J19-1.96*O19/100))</f>
        <v>0.196425652408661</v>
      </c>
      <c r="Q19" s="55" t="n">
        <f aca="false">IF(J19="","",MIN(1,J19+1.96*O19/100))</f>
        <v>0.363574347591339</v>
      </c>
      <c r="R19" s="32" t="str">
        <f aca="false">IF(L19="","",IF(ABS(L19)&lt;=O19,"Yes","No"))</f>
        <v>Yes</v>
      </c>
      <c r="S19" s="32" t="str">
        <f aca="false">IF(L19="","",IF(ABS(L19)&lt;=1.96*O19,"Yes","No"))</f>
        <v>Yes</v>
      </c>
      <c r="T19" s="54" t="n">
        <f aca="false">IF(D19="","",ROUND(SQRT(((D19+G19)*O19/100)^2+(J19*(D19+G19)*0.07872)^2),0))</f>
        <v>8</v>
      </c>
      <c r="U19" s="32"/>
    </row>
    <row r="20" customFormat="false" ht="15" hidden="false" customHeight="false" outlineLevel="0" collapsed="false">
      <c r="A20" s="32" t="s">
        <v>127</v>
      </c>
      <c r="B20" s="32" t="s">
        <v>151</v>
      </c>
      <c r="C20" s="32" t="s">
        <v>129</v>
      </c>
      <c r="D20" s="54" t="n">
        <v>1385</v>
      </c>
      <c r="E20" s="54" t="n">
        <v>1574</v>
      </c>
      <c r="F20" s="65" t="n">
        <f aca="false">IF(E20="","",D20-E20)</f>
        <v>-189</v>
      </c>
      <c r="G20" s="54" t="n">
        <v>2259</v>
      </c>
      <c r="H20" s="54" t="n">
        <v>2750</v>
      </c>
      <c r="I20" s="65" t="n">
        <f aca="false">IF(H20="","",G20-H20)</f>
        <v>-491</v>
      </c>
      <c r="J20" s="55" t="n">
        <f aca="false">IF(OR(D20="",D20+G20=0),"",D20/(D20+G20))</f>
        <v>0.380076838638858</v>
      </c>
      <c r="K20" s="55" t="n">
        <f aca="false">IF(E20="","",E20/(E20+H20))</f>
        <v>0.364014801110083</v>
      </c>
      <c r="L20" s="66" t="n">
        <f aca="false">IF(OR(K20="",J20=""),"",(J20-K20)*100)</f>
        <v>1.60620375287751</v>
      </c>
      <c r="M20" s="36" t="n">
        <v>1.91944964897593</v>
      </c>
      <c r="N20" s="36" t="n">
        <v>2.06095577224995</v>
      </c>
      <c r="O20" s="36" t="n">
        <f aca="false">SQRT(M20^2+N20^2)</f>
        <v>2.81634970309516</v>
      </c>
      <c r="P20" s="55" t="n">
        <f aca="false">IF(J20="","",MAX(0,J20-1.96*O20/100))</f>
        <v>0.324876384458193</v>
      </c>
      <c r="Q20" s="55" t="n">
        <f aca="false">IF(J20="","",MIN(1,J20+1.96*O20/100))</f>
        <v>0.435277292819524</v>
      </c>
      <c r="R20" s="32" t="str">
        <f aca="false">IF(L20="","",IF(ABS(L20)&lt;=O20,"Yes","No"))</f>
        <v>Yes</v>
      </c>
      <c r="S20" s="32" t="str">
        <f aca="false">IF(L20="","",IF(ABS(L20)&lt;=1.96*O20,"Yes","No"))</f>
        <v>Yes</v>
      </c>
      <c r="T20" s="54" t="n">
        <f aca="false">IF(D20="","",ROUND(SQRT(((D20+G20)*O20/100)^2+(J20*(D20+G20)*0.04942)^2),0))</f>
        <v>123</v>
      </c>
      <c r="U20" s="32"/>
    </row>
    <row r="21" customFormat="false" ht="15" hidden="false" customHeight="false" outlineLevel="0" collapsed="false">
      <c r="A21" s="32" t="s">
        <v>127</v>
      </c>
      <c r="B21" s="32" t="s">
        <v>153</v>
      </c>
      <c r="C21" s="32" t="s">
        <v>129</v>
      </c>
      <c r="D21" s="54" t="n">
        <v>483</v>
      </c>
      <c r="E21" s="54" t="n">
        <v>557</v>
      </c>
      <c r="F21" s="65" t="n">
        <f aca="false">IF(E21="","",D21-E21)</f>
        <v>-74</v>
      </c>
      <c r="G21" s="54" t="n">
        <v>661</v>
      </c>
      <c r="H21" s="54" t="n">
        <v>678</v>
      </c>
      <c r="I21" s="65" t="n">
        <f aca="false">IF(H21="","",G21-H21)</f>
        <v>-17</v>
      </c>
      <c r="J21" s="55" t="n">
        <f aca="false">IF(OR(D21="",D21+G21=0),"",D21/(D21+G21))</f>
        <v>0.422202797202797</v>
      </c>
      <c r="K21" s="55" t="n">
        <f aca="false">IF(E21="","",E21/(E21+H21))</f>
        <v>0.451012145748988</v>
      </c>
      <c r="L21" s="66" t="n">
        <f aca="false">IF(OR(K21="",J21=""),"",(J21-K21)*100)</f>
        <v>-2.88093485461907</v>
      </c>
      <c r="M21" s="36" t="n">
        <v>2.07973649938125</v>
      </c>
      <c r="N21" s="36" t="n">
        <v>2.06095577224995</v>
      </c>
      <c r="O21" s="36" t="n">
        <f aca="false">SQRT(M21^2+N21^2)</f>
        <v>2.92794170058574</v>
      </c>
      <c r="P21" s="55" t="n">
        <f aca="false">IF(J21="","",MAX(0,J21-1.96*O21/100))</f>
        <v>0.364815139871317</v>
      </c>
      <c r="Q21" s="55" t="n">
        <f aca="false">IF(J21="","",MIN(1,J21+1.96*O21/100))</f>
        <v>0.479590454534278</v>
      </c>
      <c r="R21" s="32" t="str">
        <f aca="false">IF(L21="","",IF(ABS(L21)&lt;=O21,"Yes","No"))</f>
        <v>Yes</v>
      </c>
      <c r="S21" s="32" t="str">
        <f aca="false">IF(L21="","",IF(ABS(L21)&lt;=1.96*O21,"Yes","No"))</f>
        <v>Yes</v>
      </c>
      <c r="T21" s="54" t="n">
        <f aca="false">IF(D21="","",ROUND(SQRT(((D21+G21)*O21/100)^2+(J21*(D21+G21)*0.05883)^2),0))</f>
        <v>44</v>
      </c>
      <c r="U21" s="32"/>
    </row>
    <row r="22" customFormat="false" ht="15" hidden="false" customHeight="false" outlineLevel="0" collapsed="false">
      <c r="A22" s="32" t="s">
        <v>127</v>
      </c>
      <c r="B22" s="32" t="s">
        <v>154</v>
      </c>
      <c r="C22" s="32" t="s">
        <v>129</v>
      </c>
      <c r="D22" s="54" t="n">
        <v>534</v>
      </c>
      <c r="E22" s="54" t="n">
        <v>625</v>
      </c>
      <c r="F22" s="65" t="n">
        <f aca="false">IF(E22="","",D22-E22)</f>
        <v>-91</v>
      </c>
      <c r="G22" s="54" t="n">
        <v>1313</v>
      </c>
      <c r="H22" s="54" t="n">
        <v>1506</v>
      </c>
      <c r="I22" s="65" t="n">
        <f aca="false">IF(H22="","",G22-H22)</f>
        <v>-193</v>
      </c>
      <c r="J22" s="55" t="n">
        <f aca="false">IF(OR(D22="",D22+G22=0),"",D22/(D22+G22))</f>
        <v>0.289117487818083</v>
      </c>
      <c r="K22" s="55" t="n">
        <f aca="false">IF(E22="","",E22/(E22+H22))</f>
        <v>0.293289535429376</v>
      </c>
      <c r="L22" s="66" t="n">
        <f aca="false">IF(OR(K22="",J22=""),"",(J22-K22)*100)</f>
        <v>-0.417204761129247</v>
      </c>
      <c r="M22" s="36" t="n">
        <v>2.07973649938125</v>
      </c>
      <c r="N22" s="36" t="n">
        <v>2.06095577224995</v>
      </c>
      <c r="O22" s="36" t="n">
        <f aca="false">SQRT(M22^2+N22^2)</f>
        <v>2.92794170058574</v>
      </c>
      <c r="P22" s="55" t="n">
        <f aca="false">IF(J22="","",MAX(0,J22-1.96*O22/100))</f>
        <v>0.231729830486603</v>
      </c>
      <c r="Q22" s="55" t="n">
        <f aca="false">IF(J22="","",MIN(1,J22+1.96*O22/100))</f>
        <v>0.346505145149564</v>
      </c>
      <c r="R22" s="32" t="str">
        <f aca="false">IF(L22="","",IF(ABS(L22)&lt;=O22,"Yes","No"))</f>
        <v>Yes</v>
      </c>
      <c r="S22" s="32" t="str">
        <f aca="false">IF(L22="","",IF(ABS(L22)&lt;=1.96*O22,"Yes","No"))</f>
        <v>Yes</v>
      </c>
      <c r="T22" s="54" t="n">
        <f aca="false">IF(D22="","",ROUND(SQRT(((D22+G22)*O22/100)^2+(J22*(D22+G22)*0.05883)^2),0))</f>
        <v>63</v>
      </c>
      <c r="U22" s="32"/>
    </row>
    <row r="23" customFormat="false" ht="15" hidden="false" customHeight="false" outlineLevel="0" collapsed="false">
      <c r="A23" s="32" t="s">
        <v>127</v>
      </c>
      <c r="B23" s="32" t="s">
        <v>155</v>
      </c>
      <c r="C23" s="32" t="s">
        <v>129</v>
      </c>
      <c r="D23" s="54" t="n">
        <v>236</v>
      </c>
      <c r="E23" s="54" t="n">
        <v>245</v>
      </c>
      <c r="F23" s="65" t="n">
        <f aca="false">IF(E23="","",D23-E23)</f>
        <v>-9</v>
      </c>
      <c r="G23" s="54" t="n">
        <v>614</v>
      </c>
      <c r="H23" s="54" t="n">
        <v>656</v>
      </c>
      <c r="I23" s="65" t="n">
        <f aca="false">IF(H23="","",G23-H23)</f>
        <v>-42</v>
      </c>
      <c r="J23" s="55" t="n">
        <f aca="false">IF(OR(D23="",D23+G23=0),"",D23/(D23+G23))</f>
        <v>0.277647058823529</v>
      </c>
      <c r="K23" s="55" t="n">
        <f aca="false">IF(E23="","",E23/(E23+H23))</f>
        <v>0.271920088790233</v>
      </c>
      <c r="L23" s="66" t="n">
        <f aca="false">IF(OR(K23="",J23=""),"",(J23-K23)*100)</f>
        <v>0.572697003329636</v>
      </c>
      <c r="M23" s="36" t="n">
        <v>3.73284536268536</v>
      </c>
      <c r="N23" s="36" t="n">
        <v>2.06095577224995</v>
      </c>
      <c r="O23" s="36" t="n">
        <f aca="false">SQRT(M23^2+N23^2)</f>
        <v>4.26399732608874</v>
      </c>
      <c r="P23" s="55" t="n">
        <f aca="false">IF(J23="","",MAX(0,J23-1.96*O23/100))</f>
        <v>0.19407271123219</v>
      </c>
      <c r="Q23" s="55" t="n">
        <f aca="false">IF(J23="","",MIN(1,J23+1.96*O23/100))</f>
        <v>0.361221406414869</v>
      </c>
      <c r="R23" s="32" t="str">
        <f aca="false">IF(L23="","",IF(ABS(L23)&lt;=O23,"Yes","No"))</f>
        <v>Yes</v>
      </c>
      <c r="S23" s="32" t="str">
        <f aca="false">IF(L23="","",IF(ABS(L23)&lt;=1.96*O23,"Yes","No"))</f>
        <v>Yes</v>
      </c>
      <c r="T23" s="54" t="n">
        <f aca="false">IF(D23="","",ROUND(SQRT(((D23+G23)*O23/100)^2+(J23*(D23+G23)*0.07872)^2),0))</f>
        <v>41</v>
      </c>
      <c r="U23" s="32"/>
    </row>
    <row r="24" customFormat="false" ht="15" hidden="false" customHeight="false" outlineLevel="0" collapsed="false">
      <c r="A24" s="32" t="s">
        <v>127</v>
      </c>
      <c r="B24" s="32" t="s">
        <v>156</v>
      </c>
      <c r="C24" s="32" t="s">
        <v>129</v>
      </c>
      <c r="D24" s="54" t="n">
        <v>38</v>
      </c>
      <c r="E24" s="54" t="n">
        <v>46</v>
      </c>
      <c r="F24" s="65" t="n">
        <f aca="false">IF(E24="","",D24-E24)</f>
        <v>-8</v>
      </c>
      <c r="G24" s="54" t="n">
        <v>54</v>
      </c>
      <c r="H24" s="54" t="n">
        <v>54</v>
      </c>
      <c r="I24" s="65" t="n">
        <f aca="false">IF(H24="","",G24-H24)</f>
        <v>0</v>
      </c>
      <c r="J24" s="55" t="n">
        <f aca="false">IF(OR(D24="",D24+G24=0),"",D24/(D24+G24))</f>
        <v>0.41304347826087</v>
      </c>
      <c r="K24" s="55" t="n">
        <f aca="false">IF(E24="","",E24/(E24+H24))</f>
        <v>0.46</v>
      </c>
      <c r="L24" s="66" t="n">
        <f aca="false">IF(OR(K24="",J24=""),"",(J24-K24)*100)</f>
        <v>-4.69565217391305</v>
      </c>
      <c r="M24" s="36" t="n">
        <v>3.73284536268536</v>
      </c>
      <c r="N24" s="36" t="n">
        <v>2.06095577224995</v>
      </c>
      <c r="O24" s="36" t="n">
        <f aca="false">SQRT(M24^2+N24^2)</f>
        <v>4.26399732608874</v>
      </c>
      <c r="P24" s="55" t="n">
        <f aca="false">IF(J24="","",MAX(0,J24-1.96*O24/100))</f>
        <v>0.32946913066953</v>
      </c>
      <c r="Q24" s="55" t="n">
        <f aca="false">IF(J24="","",MIN(1,J24+1.96*O24/100))</f>
        <v>0.496617825852209</v>
      </c>
      <c r="R24" s="32" t="str">
        <f aca="false">IF(L24="","",IF(ABS(L24)&lt;=O24,"Yes","No"))</f>
        <v>No</v>
      </c>
      <c r="S24" s="32" t="str">
        <f aca="false">IF(L24="","",IF(ABS(L24)&lt;=1.96*O24,"Yes","No"))</f>
        <v>Yes</v>
      </c>
      <c r="T24" s="54" t="n">
        <f aca="false">IF(D24="","",ROUND(SQRT(((D24+G24)*O24/100)^2+(J24*(D24+G24)*0.07872)^2),0))</f>
        <v>5</v>
      </c>
      <c r="U24" s="32"/>
    </row>
    <row r="25" customFormat="false" ht="15" hidden="false" customHeight="false" outlineLevel="0" collapsed="false">
      <c r="A25" s="32" t="s">
        <v>157</v>
      </c>
      <c r="B25" s="32" t="s">
        <v>158</v>
      </c>
      <c r="C25" s="32" t="s">
        <v>129</v>
      </c>
      <c r="D25" s="54" t="n">
        <v>466</v>
      </c>
      <c r="E25" s="54" t="n">
        <v>494</v>
      </c>
      <c r="F25" s="65" t="n">
        <f aca="false">IF(E25="","",D25-E25)</f>
        <v>-28</v>
      </c>
      <c r="G25" s="54" t="n">
        <v>460</v>
      </c>
      <c r="H25" s="54" t="n">
        <v>519</v>
      </c>
      <c r="I25" s="65" t="n">
        <f aca="false">IF(H25="","",G25-H25)</f>
        <v>-59</v>
      </c>
      <c r="J25" s="55" t="n">
        <f aca="false">IF(OR(D25="",D25+G25=0),"",D25/(D25+G25))</f>
        <v>0.503239740820734</v>
      </c>
      <c r="K25" s="55" t="n">
        <f aca="false">IF(E25="","",E25/(E25+H25))</f>
        <v>0.487660414610069</v>
      </c>
      <c r="L25" s="66" t="n">
        <f aca="false">IF(OR(K25="",J25=""),"",(J25-K25)*100)</f>
        <v>1.55793262106652</v>
      </c>
      <c r="M25" s="36" t="n">
        <v>3.73284536268536</v>
      </c>
      <c r="N25" s="36" t="n">
        <v>2.06095577224995</v>
      </c>
      <c r="O25" s="36" t="n">
        <f aca="false">SQRT(M25^2+N25^2)</f>
        <v>4.26399732608874</v>
      </c>
      <c r="P25" s="55" t="n">
        <f aca="false">IF(J25="","",MAX(0,J25-1.96*O25/100))</f>
        <v>0.419665393229395</v>
      </c>
      <c r="Q25" s="55" t="n">
        <f aca="false">IF(J25="","",MIN(1,J25+1.96*O25/100))</f>
        <v>0.586814088412074</v>
      </c>
      <c r="R25" s="32" t="str">
        <f aca="false">IF(L25="","",IF(ABS(L25)&lt;=O25,"Yes","No"))</f>
        <v>Yes</v>
      </c>
      <c r="S25" s="32" t="str">
        <f aca="false">IF(L25="","",IF(ABS(L25)&lt;=1.96*O25,"Yes","No"))</f>
        <v>Yes</v>
      </c>
      <c r="T25" s="54" t="n">
        <f aca="false">IF(D25="","",ROUND(SQRT(((D25+G25)*O25/100)^2+(J25*(D25+G25)*0.07872)^2),0))</f>
        <v>54</v>
      </c>
      <c r="U25" s="32"/>
    </row>
    <row r="26" customFormat="false" ht="15" hidden="false" customHeight="false" outlineLevel="0" collapsed="false">
      <c r="A26" s="32" t="s">
        <v>157</v>
      </c>
      <c r="B26" s="32" t="s">
        <v>159</v>
      </c>
      <c r="C26" s="32" t="s">
        <v>129</v>
      </c>
      <c r="D26" s="54" t="n">
        <v>17627</v>
      </c>
      <c r="E26" s="54" t="n">
        <v>16965</v>
      </c>
      <c r="F26" s="65" t="n">
        <f aca="false">IF(E26="","",D26-E26)</f>
        <v>662</v>
      </c>
      <c r="G26" s="54" t="n">
        <v>9176</v>
      </c>
      <c r="H26" s="54" t="n">
        <v>7936</v>
      </c>
      <c r="I26" s="65" t="n">
        <f aca="false">IF(H26="","",G26-H26)</f>
        <v>1240</v>
      </c>
      <c r="J26" s="55" t="n">
        <f aca="false">IF(OR(D26="",D26+G26=0),"",D26/(D26+G26))</f>
        <v>0.657650263030258</v>
      </c>
      <c r="K26" s="55" t="n">
        <f aca="false">IF(E26="","",E26/(E26+H26))</f>
        <v>0.681297939841773</v>
      </c>
      <c r="L26" s="66" t="n">
        <f aca="false">IF(OR(K26="",J26=""),"",(J26-K26)*100)</f>
        <v>-2.36476768115157</v>
      </c>
      <c r="M26" s="36" t="n">
        <v>1.91944964897593</v>
      </c>
      <c r="N26" s="36" t="n">
        <v>2.06095577224995</v>
      </c>
      <c r="O26" s="36" t="n">
        <f aca="false">SQRT(M26^2+N26^2)</f>
        <v>2.81634970309516</v>
      </c>
      <c r="P26" s="55" t="n">
        <f aca="false">IF(J26="","",MAX(0,J26-1.96*O26/100))</f>
        <v>0.602449808849593</v>
      </c>
      <c r="Q26" s="55" t="n">
        <f aca="false">IF(J26="","",MIN(1,J26+1.96*O26/100))</f>
        <v>0.712850717210923</v>
      </c>
      <c r="R26" s="32" t="str">
        <f aca="false">IF(L26="","",IF(ABS(L26)&lt;=O26,"Yes","No"))</f>
        <v>Yes</v>
      </c>
      <c r="S26" s="32" t="str">
        <f aca="false">IF(L26="","",IF(ABS(L26)&lt;=1.96*O26,"Yes","No"))</f>
        <v>Yes</v>
      </c>
      <c r="T26" s="54" t="n">
        <f aca="false">IF(D26="","",ROUND(SQRT(((D26+G26)*O26/100)^2+(J26*(D26+G26)*0.04942)^2),0))</f>
        <v>1153</v>
      </c>
      <c r="U26" s="32"/>
    </row>
    <row r="27" customFormat="false" ht="15" hidden="false" customHeight="false" outlineLevel="0" collapsed="false">
      <c r="A27" s="32" t="s">
        <v>157</v>
      </c>
      <c r="B27" s="32" t="s">
        <v>160</v>
      </c>
      <c r="C27" s="32" t="s">
        <v>129</v>
      </c>
      <c r="D27" s="54" t="n">
        <v>4854</v>
      </c>
      <c r="E27" s="54" t="n">
        <v>5186</v>
      </c>
      <c r="F27" s="65" t="n">
        <f aca="false">IF(E27="","",D27-E27)</f>
        <v>-332</v>
      </c>
      <c r="G27" s="54" t="n">
        <v>2660</v>
      </c>
      <c r="H27" s="54" t="n">
        <v>2705</v>
      </c>
      <c r="I27" s="65" t="n">
        <f aca="false">IF(H27="","",G27-H27)</f>
        <v>-45</v>
      </c>
      <c r="J27" s="55" t="n">
        <f aca="false">IF(OR(D27="",D27+G27=0),"",D27/(D27+G27))</f>
        <v>0.64599414426404</v>
      </c>
      <c r="K27" s="55" t="n">
        <f aca="false">IF(E27="","",E27/(E27+H27))</f>
        <v>0.657204410087441</v>
      </c>
      <c r="L27" s="66" t="n">
        <f aca="false">IF(OR(K27="",J27=""),"",(J27-K27)*100)</f>
        <v>-1.12102658234009</v>
      </c>
      <c r="M27" s="36" t="n">
        <v>1.91944964897593</v>
      </c>
      <c r="N27" s="36" t="n">
        <v>2.06095577224995</v>
      </c>
      <c r="O27" s="36" t="n">
        <f aca="false">SQRT(M27^2+N27^2)</f>
        <v>2.81634970309516</v>
      </c>
      <c r="P27" s="55" t="n">
        <f aca="false">IF(J27="","",MAX(0,J27-1.96*O27/100))</f>
        <v>0.590793690083375</v>
      </c>
      <c r="Q27" s="55" t="n">
        <f aca="false">IF(J27="","",MIN(1,J27+1.96*O27/100))</f>
        <v>0.701194598444706</v>
      </c>
      <c r="R27" s="32" t="str">
        <f aca="false">IF(L27="","",IF(ABS(L27)&lt;=O27,"Yes","No"))</f>
        <v>Yes</v>
      </c>
      <c r="S27" s="32" t="str">
        <f aca="false">IF(L27="","",IF(ABS(L27)&lt;=1.96*O27,"Yes","No"))</f>
        <v>Yes</v>
      </c>
      <c r="T27" s="54" t="n">
        <f aca="false">IF(D27="","",ROUND(SQRT(((D27+G27)*O27/100)^2+(J27*(D27+G27)*0.04942)^2),0))</f>
        <v>320</v>
      </c>
      <c r="U27" s="32"/>
    </row>
    <row r="28" customFormat="false" ht="15" hidden="false" customHeight="false" outlineLevel="0" collapsed="false">
      <c r="A28" s="32" t="s">
        <v>157</v>
      </c>
      <c r="B28" s="32" t="s">
        <v>161</v>
      </c>
      <c r="C28" s="32" t="s">
        <v>129</v>
      </c>
      <c r="D28" s="54" t="n">
        <v>1113</v>
      </c>
      <c r="E28" s="54" t="n">
        <v>1135</v>
      </c>
      <c r="F28" s="65" t="n">
        <f aca="false">IF(E28="","",D28-E28)</f>
        <v>-22</v>
      </c>
      <c r="G28" s="54" t="n">
        <v>930</v>
      </c>
      <c r="H28" s="54" t="n">
        <v>975</v>
      </c>
      <c r="I28" s="65" t="n">
        <f aca="false">IF(H28="","",G28-H28)</f>
        <v>-45</v>
      </c>
      <c r="J28" s="55" t="n">
        <f aca="false">IF(OR(D28="",D28+G28=0),"",D28/(D28+G28))</f>
        <v>0.544787077826725</v>
      </c>
      <c r="K28" s="55" t="n">
        <f aca="false">IF(E28="","",E28/(E28+H28))</f>
        <v>0.537914691943128</v>
      </c>
      <c r="L28" s="66" t="n">
        <f aca="false">IF(OR(K28="",J28=""),"",(J28-K28)*100)</f>
        <v>0.687238588359751</v>
      </c>
      <c r="M28" s="36" t="n">
        <v>2.07973649938125</v>
      </c>
      <c r="N28" s="36" t="n">
        <v>2.06095577224995</v>
      </c>
      <c r="O28" s="36" t="n">
        <f aca="false">SQRT(M28^2+N28^2)</f>
        <v>2.92794170058574</v>
      </c>
      <c r="P28" s="55" t="n">
        <f aca="false">IF(J28="","",MAX(0,J28-1.96*O28/100))</f>
        <v>0.487399420495245</v>
      </c>
      <c r="Q28" s="55" t="n">
        <f aca="false">IF(J28="","",MIN(1,J28+1.96*O28/100))</f>
        <v>0.602174735158206</v>
      </c>
      <c r="R28" s="32" t="str">
        <f aca="false">IF(L28="","",IF(ABS(L28)&lt;=O28,"Yes","No"))</f>
        <v>Yes</v>
      </c>
      <c r="S28" s="32" t="str">
        <f aca="false">IF(L28="","",IF(ABS(L28)&lt;=1.96*O28,"Yes","No"))</f>
        <v>Yes</v>
      </c>
      <c r="T28" s="54" t="n">
        <f aca="false">IF(D28="","",ROUND(SQRT(((D28+G28)*O28/100)^2+(J28*(D28+G28)*0.05883)^2),0))</f>
        <v>89</v>
      </c>
      <c r="U28" s="32"/>
    </row>
    <row r="29" customFormat="false" ht="15" hidden="false" customHeight="false" outlineLevel="0" collapsed="false">
      <c r="A29" s="32" t="s">
        <v>157</v>
      </c>
      <c r="B29" s="32" t="s">
        <v>162</v>
      </c>
      <c r="C29" s="32" t="s">
        <v>129</v>
      </c>
      <c r="D29" s="54" t="n">
        <v>532</v>
      </c>
      <c r="E29" s="54" t="n">
        <v>621</v>
      </c>
      <c r="F29" s="65" t="n">
        <f aca="false">IF(E29="","",D29-E29)</f>
        <v>-89</v>
      </c>
      <c r="G29" s="54" t="n">
        <v>555</v>
      </c>
      <c r="H29" s="54" t="n">
        <v>598</v>
      </c>
      <c r="I29" s="65" t="n">
        <f aca="false">IF(H29="","",G29-H29)</f>
        <v>-43</v>
      </c>
      <c r="J29" s="55" t="n">
        <f aca="false">IF(OR(D29="",D29+G29=0),"",D29/(D29+G29))</f>
        <v>0.489420423183073</v>
      </c>
      <c r="K29" s="55" t="n">
        <f aca="false">IF(E29="","",E29/(E29+H29))</f>
        <v>0.509433962264151</v>
      </c>
      <c r="L29" s="66" t="n">
        <f aca="false">IF(OR(K29="",J29=""),"",(J29-K29)*100)</f>
        <v>-2.00135390810783</v>
      </c>
      <c r="M29" s="36" t="n">
        <v>3.73284536268536</v>
      </c>
      <c r="N29" s="36" t="n">
        <v>2.06095577224995</v>
      </c>
      <c r="O29" s="36" t="n">
        <f aca="false">SQRT(M29^2+N29^2)</f>
        <v>4.26399732608874</v>
      </c>
      <c r="P29" s="55" t="n">
        <f aca="false">IF(J29="","",MAX(0,J29-1.96*O29/100))</f>
        <v>0.405846075591733</v>
      </c>
      <c r="Q29" s="55" t="n">
        <f aca="false">IF(J29="","",MIN(1,J29+1.96*O29/100))</f>
        <v>0.572994770774412</v>
      </c>
      <c r="R29" s="32" t="str">
        <f aca="false">IF(L29="","",IF(ABS(L29)&lt;=O29,"Yes","No"))</f>
        <v>Yes</v>
      </c>
      <c r="S29" s="32" t="str">
        <f aca="false">IF(L29="","",IF(ABS(L29)&lt;=1.96*O29,"Yes","No"))</f>
        <v>Yes</v>
      </c>
      <c r="T29" s="54" t="n">
        <f aca="false">IF(D29="","",ROUND(SQRT(((D29+G29)*O29/100)^2+(J29*(D29+G29)*0.07872)^2),0))</f>
        <v>62</v>
      </c>
      <c r="U29" s="32"/>
    </row>
    <row r="30" customFormat="false" ht="15" hidden="false" customHeight="false" outlineLevel="0" collapsed="false">
      <c r="A30" s="32" t="s">
        <v>157</v>
      </c>
      <c r="B30" s="32" t="s">
        <v>163</v>
      </c>
      <c r="C30" s="32" t="s">
        <v>129</v>
      </c>
      <c r="D30" s="54" t="n">
        <v>672</v>
      </c>
      <c r="E30" s="54" t="n">
        <v>691</v>
      </c>
      <c r="F30" s="65" t="n">
        <f aca="false">IF(E30="","",D30-E30)</f>
        <v>-19</v>
      </c>
      <c r="G30" s="54" t="n">
        <v>586</v>
      </c>
      <c r="H30" s="54" t="n">
        <v>606</v>
      </c>
      <c r="I30" s="65" t="n">
        <f aca="false">IF(H30="","",G30-H30)</f>
        <v>-20</v>
      </c>
      <c r="J30" s="55" t="n">
        <f aca="false">IF(OR(D30="",D30+G30=0),"",D30/(D30+G30))</f>
        <v>0.534181240063593</v>
      </c>
      <c r="K30" s="55" t="n">
        <f aca="false">IF(E30="","",E30/(E30+H30))</f>
        <v>0.532767925983038</v>
      </c>
      <c r="L30" s="66" t="n">
        <f aca="false">IF(OR(K30="",J30=""),"",(J30-K30)*100)</f>
        <v>0.141331408055523</v>
      </c>
      <c r="M30" s="36" t="n">
        <v>2.07973649938125</v>
      </c>
      <c r="N30" s="36" t="n">
        <v>2.06095577224995</v>
      </c>
      <c r="O30" s="36" t="n">
        <f aca="false">SQRT(M30^2+N30^2)</f>
        <v>2.92794170058574</v>
      </c>
      <c r="P30" s="55" t="n">
        <f aca="false">IF(J30="","",MAX(0,J30-1.96*O30/100))</f>
        <v>0.476793582732113</v>
      </c>
      <c r="Q30" s="55" t="n">
        <f aca="false">IF(J30="","",MIN(1,J30+1.96*O30/100))</f>
        <v>0.591568897395074</v>
      </c>
      <c r="R30" s="32" t="str">
        <f aca="false">IF(L30="","",IF(ABS(L30)&lt;=O30,"Yes","No"))</f>
        <v>Yes</v>
      </c>
      <c r="S30" s="32" t="str">
        <f aca="false">IF(L30="","",IF(ABS(L30)&lt;=1.96*O30,"Yes","No"))</f>
        <v>Yes</v>
      </c>
      <c r="T30" s="54" t="n">
        <f aca="false">IF(D30="","",ROUND(SQRT(((D30+G30)*O30/100)^2+(J30*(D30+G30)*0.05883)^2),0))</f>
        <v>54</v>
      </c>
      <c r="U30" s="32"/>
    </row>
    <row r="31" customFormat="false" ht="15" hidden="false" customHeight="false" outlineLevel="0" collapsed="false">
      <c r="A31" s="32" t="s">
        <v>157</v>
      </c>
      <c r="B31" s="32" t="s">
        <v>164</v>
      </c>
      <c r="C31" s="32" t="s">
        <v>129</v>
      </c>
      <c r="D31" s="54" t="n">
        <v>2560</v>
      </c>
      <c r="E31" s="54" t="n">
        <v>2834</v>
      </c>
      <c r="F31" s="65" t="n">
        <f aca="false">IF(E31="","",D31-E31)</f>
        <v>-274</v>
      </c>
      <c r="G31" s="54" t="n">
        <v>2153</v>
      </c>
      <c r="H31" s="54" t="n">
        <v>2250</v>
      </c>
      <c r="I31" s="65" t="n">
        <f aca="false">IF(H31="","",G31-H31)</f>
        <v>-97</v>
      </c>
      <c r="J31" s="55" t="n">
        <f aca="false">IF(OR(D31="",D31+G31=0),"",D31/(D31+G31))</f>
        <v>0.543178442605559</v>
      </c>
      <c r="K31" s="55" t="n">
        <f aca="false">IF(E31="","",E31/(E31+H31))</f>
        <v>0.557435090479937</v>
      </c>
      <c r="L31" s="66" t="n">
        <f aca="false">IF(OR(K31="",J31=""),"",(J31-K31)*100)</f>
        <v>-1.4256647874378</v>
      </c>
      <c r="M31" s="36" t="n">
        <v>1.91944964897593</v>
      </c>
      <c r="N31" s="36" t="n">
        <v>2.06095577224995</v>
      </c>
      <c r="O31" s="36" t="n">
        <f aca="false">SQRT(M31^2+N31^2)</f>
        <v>2.81634970309516</v>
      </c>
      <c r="P31" s="55" t="n">
        <f aca="false">IF(J31="","",MAX(0,J31-1.96*O31/100))</f>
        <v>0.487977988424894</v>
      </c>
      <c r="Q31" s="55" t="n">
        <f aca="false">IF(J31="","",MIN(1,J31+1.96*O31/100))</f>
        <v>0.598378896786224</v>
      </c>
      <c r="R31" s="32" t="str">
        <f aca="false">IF(L31="","",IF(ABS(L31)&lt;=O31,"Yes","No"))</f>
        <v>Yes</v>
      </c>
      <c r="S31" s="32" t="str">
        <f aca="false">IF(L31="","",IF(ABS(L31)&lt;=1.96*O31,"Yes","No"))</f>
        <v>Yes</v>
      </c>
      <c r="T31" s="54" t="n">
        <f aca="false">IF(D31="","",ROUND(SQRT(((D31+G31)*O31/100)^2+(J31*(D31+G31)*0.04942)^2),0))</f>
        <v>183</v>
      </c>
      <c r="U31" s="32"/>
    </row>
    <row r="32" customFormat="false" ht="15" hidden="false" customHeight="false" outlineLevel="0" collapsed="false">
      <c r="A32" s="32" t="s">
        <v>157</v>
      </c>
      <c r="B32" s="32" t="s">
        <v>165</v>
      </c>
      <c r="C32" s="32" t="s">
        <v>129</v>
      </c>
      <c r="D32" s="54" t="n">
        <v>1050</v>
      </c>
      <c r="E32" s="54" t="n">
        <v>1070</v>
      </c>
      <c r="F32" s="65" t="n">
        <f aca="false">IF(E32="","",D32-E32)</f>
        <v>-20</v>
      </c>
      <c r="G32" s="54" t="n">
        <v>565</v>
      </c>
      <c r="H32" s="54" t="n">
        <v>479</v>
      </c>
      <c r="I32" s="65" t="n">
        <f aca="false">IF(H32="","",G32-H32)</f>
        <v>86</v>
      </c>
      <c r="J32" s="55" t="n">
        <f aca="false">IF(OR(D32="",D32+G32=0),"",D32/(D32+G32))</f>
        <v>0.65015479876161</v>
      </c>
      <c r="K32" s="55" t="n">
        <f aca="false">IF(E32="","",E32/(E32+H32))</f>
        <v>0.690768237572628</v>
      </c>
      <c r="L32" s="66" t="n">
        <f aca="false">IF(OR(K32="",J32=""),"",(J32-K32)*100)</f>
        <v>-4.06134388110177</v>
      </c>
      <c r="M32" s="36" t="n">
        <v>2.07973649938125</v>
      </c>
      <c r="N32" s="36" t="n">
        <v>2.06095577224995</v>
      </c>
      <c r="O32" s="36" t="n">
        <f aca="false">SQRT(M32^2+N32^2)</f>
        <v>2.92794170058574</v>
      </c>
      <c r="P32" s="55" t="n">
        <f aca="false">IF(J32="","",MAX(0,J32-1.96*O32/100))</f>
        <v>0.592767141430129</v>
      </c>
      <c r="Q32" s="55" t="n">
        <f aca="false">IF(J32="","",MIN(1,J32+1.96*O32/100))</f>
        <v>0.70754245609309</v>
      </c>
      <c r="R32" s="32" t="str">
        <f aca="false">IF(L32="","",IF(ABS(L32)&lt;=O32,"Yes","No"))</f>
        <v>No</v>
      </c>
      <c r="S32" s="32" t="str">
        <f aca="false">IF(L32="","",IF(ABS(L32)&lt;=1.96*O32,"Yes","No"))</f>
        <v>Yes</v>
      </c>
      <c r="T32" s="54" t="n">
        <f aca="false">IF(D32="","",ROUND(SQRT(((D32+G32)*O32/100)^2+(J32*(D32+G32)*0.05883)^2),0))</f>
        <v>78</v>
      </c>
      <c r="U32" s="32"/>
    </row>
    <row r="33" customFormat="false" ht="15" hidden="false" customHeight="false" outlineLevel="0" collapsed="false">
      <c r="A33" s="32" t="s">
        <v>157</v>
      </c>
      <c r="B33" s="32" t="s">
        <v>166</v>
      </c>
      <c r="C33" s="32" t="s">
        <v>129</v>
      </c>
      <c r="D33" s="54" t="n">
        <v>276</v>
      </c>
      <c r="E33" s="54" t="n">
        <v>262</v>
      </c>
      <c r="F33" s="65" t="n">
        <f aca="false">IF(E33="","",D33-E33)</f>
        <v>14</v>
      </c>
      <c r="G33" s="54" t="n">
        <v>213</v>
      </c>
      <c r="H33" s="54" t="n">
        <v>205</v>
      </c>
      <c r="I33" s="65" t="n">
        <f aca="false">IF(H33="","",G33-H33)</f>
        <v>8</v>
      </c>
      <c r="J33" s="55" t="n">
        <f aca="false">IF(OR(D33="",D33+G33=0),"",D33/(D33+G33))</f>
        <v>0.56441717791411</v>
      </c>
      <c r="K33" s="55" t="n">
        <f aca="false">IF(E33="","",E33/(E33+H33))</f>
        <v>0.561027837259101</v>
      </c>
      <c r="L33" s="66" t="n">
        <f aca="false">IF(OR(K33="",J33=""),"",(J33-K33)*100)</f>
        <v>0.338934065500973</v>
      </c>
      <c r="M33" s="36" t="n">
        <v>3.73284536268536</v>
      </c>
      <c r="N33" s="36" t="n">
        <v>2.06095577224995</v>
      </c>
      <c r="O33" s="36" t="n">
        <f aca="false">SQRT(M33^2+N33^2)</f>
        <v>4.26399732608874</v>
      </c>
      <c r="P33" s="55" t="n">
        <f aca="false">IF(J33="","",MAX(0,J33-1.96*O33/100))</f>
        <v>0.480842830322771</v>
      </c>
      <c r="Q33" s="55" t="n">
        <f aca="false">IF(J33="","",MIN(1,J33+1.96*O33/100))</f>
        <v>0.64799152550545</v>
      </c>
      <c r="R33" s="32" t="str">
        <f aca="false">IF(L33="","",IF(ABS(L33)&lt;=O33,"Yes","No"))</f>
        <v>Yes</v>
      </c>
      <c r="S33" s="32" t="str">
        <f aca="false">IF(L33="","",IF(ABS(L33)&lt;=1.96*O33,"Yes","No"))</f>
        <v>Yes</v>
      </c>
      <c r="T33" s="54" t="n">
        <f aca="false">IF(D33="","",ROUND(SQRT(((D33+G33)*O33/100)^2+(J33*(D33+G33)*0.07872)^2),0))</f>
        <v>30</v>
      </c>
      <c r="U33" s="32"/>
    </row>
    <row r="34" customFormat="false" ht="15" hidden="false" customHeight="false" outlineLevel="0" collapsed="false">
      <c r="A34" s="32" t="s">
        <v>157</v>
      </c>
      <c r="B34" s="32" t="s">
        <v>167</v>
      </c>
      <c r="C34" s="32" t="s">
        <v>129</v>
      </c>
      <c r="D34" s="54" t="n">
        <v>475</v>
      </c>
      <c r="E34" s="54" t="n">
        <v>532</v>
      </c>
      <c r="F34" s="65" t="n">
        <f aca="false">IF(E34="","",D34-E34)</f>
        <v>-57</v>
      </c>
      <c r="G34" s="54" t="n">
        <v>998</v>
      </c>
      <c r="H34" s="54" t="n">
        <v>1068</v>
      </c>
      <c r="I34" s="65" t="n">
        <f aca="false">IF(H34="","",G34-H34)</f>
        <v>-70</v>
      </c>
      <c r="J34" s="55" t="n">
        <f aca="false">IF(OR(D34="",D34+G34=0),"",D34/(D34+G34))</f>
        <v>0.322471147318398</v>
      </c>
      <c r="K34" s="55" t="n">
        <f aca="false">IF(E34="","",E34/(E34+H34))</f>
        <v>0.3325</v>
      </c>
      <c r="L34" s="66" t="n">
        <f aca="false">IF(OR(K34="",J34=""),"",(J34-K34)*100)</f>
        <v>-1.00288526816022</v>
      </c>
      <c r="M34" s="36" t="n">
        <v>2.07973649938125</v>
      </c>
      <c r="N34" s="36" t="n">
        <v>2.06095577224995</v>
      </c>
      <c r="O34" s="36" t="n">
        <f aca="false">SQRT(M34^2+N34^2)</f>
        <v>2.92794170058574</v>
      </c>
      <c r="P34" s="55" t="n">
        <f aca="false">IF(J34="","",MAX(0,J34-1.96*O34/100))</f>
        <v>0.265083489986917</v>
      </c>
      <c r="Q34" s="55" t="n">
        <f aca="false">IF(J34="","",MIN(1,J34+1.96*O34/100))</f>
        <v>0.379858804649878</v>
      </c>
      <c r="R34" s="32" t="str">
        <f aca="false">IF(L34="","",IF(ABS(L34)&lt;=O34,"Yes","No"))</f>
        <v>Yes</v>
      </c>
      <c r="S34" s="32" t="str">
        <f aca="false">IF(L34="","",IF(ABS(L34)&lt;=1.96*O34,"Yes","No"))</f>
        <v>Yes</v>
      </c>
      <c r="T34" s="54" t="n">
        <f aca="false">IF(D34="","",ROUND(SQRT(((D34+G34)*O34/100)^2+(J34*(D34+G34)*0.05883)^2),0))</f>
        <v>51</v>
      </c>
      <c r="U34" s="32"/>
    </row>
    <row r="35" customFormat="false" ht="15" hidden="false" customHeight="false" outlineLevel="0" collapsed="false">
      <c r="A35" s="32" t="s">
        <v>157</v>
      </c>
      <c r="B35" s="32" t="s">
        <v>168</v>
      </c>
      <c r="C35" s="32" t="s">
        <v>129</v>
      </c>
      <c r="D35" s="54" t="n">
        <v>7802</v>
      </c>
      <c r="E35" s="54" t="n">
        <v>8358</v>
      </c>
      <c r="F35" s="65" t="n">
        <f aca="false">IF(E35="","",D35-E35)</f>
        <v>-556</v>
      </c>
      <c r="G35" s="54" t="n">
        <v>7260</v>
      </c>
      <c r="H35" s="54" t="n">
        <v>7595</v>
      </c>
      <c r="I35" s="65" t="n">
        <f aca="false">IF(H35="","",G35-H35)</f>
        <v>-335</v>
      </c>
      <c r="J35" s="55" t="n">
        <f aca="false">IF(OR(D35="",D35+G35=0),"",D35/(D35+G35))</f>
        <v>0.517992298499535</v>
      </c>
      <c r="K35" s="55" t="n">
        <f aca="false">IF(E35="","",E35/(E35+H35))</f>
        <v>0.523913997367266</v>
      </c>
      <c r="L35" s="66" t="n">
        <f aca="false">IF(OR(K35="",J35=""),"",(J35-K35)*100)</f>
        <v>-0.592169886773108</v>
      </c>
      <c r="M35" s="36" t="n">
        <v>1.91944964897593</v>
      </c>
      <c r="N35" s="36" t="n">
        <v>2.06095577224995</v>
      </c>
      <c r="O35" s="36" t="n">
        <f aca="false">SQRT(M35^2+N35^2)</f>
        <v>2.81634970309516</v>
      </c>
      <c r="P35" s="55" t="n">
        <f aca="false">IF(J35="","",MAX(0,J35-1.96*O35/100))</f>
        <v>0.46279184431887</v>
      </c>
      <c r="Q35" s="55" t="n">
        <f aca="false">IF(J35="","",MIN(1,J35+1.96*O35/100))</f>
        <v>0.5731927526802</v>
      </c>
      <c r="R35" s="32" t="str">
        <f aca="false">IF(L35="","",IF(ABS(L35)&lt;=O35,"Yes","No"))</f>
        <v>Yes</v>
      </c>
      <c r="S35" s="32" t="str">
        <f aca="false">IF(L35="","",IF(ABS(L35)&lt;=1.96*O35,"Yes","No"))</f>
        <v>Yes</v>
      </c>
      <c r="T35" s="54" t="n">
        <f aca="false">IF(D35="","",ROUND(SQRT(((D35+G35)*O35/100)^2+(J35*(D35+G35)*0.04942)^2),0))</f>
        <v>573</v>
      </c>
      <c r="U35" s="32"/>
    </row>
    <row r="36" customFormat="false" ht="15" hidden="false" customHeight="false" outlineLevel="0" collapsed="false">
      <c r="A36" s="32" t="s">
        <v>157</v>
      </c>
      <c r="B36" s="32" t="s">
        <v>169</v>
      </c>
      <c r="C36" s="32" t="s">
        <v>129</v>
      </c>
      <c r="D36" s="54" t="n">
        <v>739</v>
      </c>
      <c r="E36" s="54" t="n">
        <v>850</v>
      </c>
      <c r="F36" s="65" t="n">
        <f aca="false">IF(E36="","",D36-E36)</f>
        <v>-111</v>
      </c>
      <c r="G36" s="54" t="n">
        <v>1273</v>
      </c>
      <c r="H36" s="54" t="n">
        <v>1311</v>
      </c>
      <c r="I36" s="65" t="n">
        <f aca="false">IF(H36="","",G36-H36)</f>
        <v>-38</v>
      </c>
      <c r="J36" s="55" t="n">
        <f aca="false">IF(OR(D36="",D36+G36=0),"",D36/(D36+G36))</f>
        <v>0.367296222664016</v>
      </c>
      <c r="K36" s="55" t="n">
        <f aca="false">IF(E36="","",E36/(E36+H36))</f>
        <v>0.39333641832485</v>
      </c>
      <c r="L36" s="66" t="n">
        <f aca="false">IF(OR(K36="",J36=""),"",(J36-K36)*100)</f>
        <v>-2.60401956608337</v>
      </c>
      <c r="M36" s="36" t="n">
        <v>2.07973649938125</v>
      </c>
      <c r="N36" s="36" t="n">
        <v>2.06095577224995</v>
      </c>
      <c r="O36" s="36" t="n">
        <f aca="false">SQRT(M36^2+N36^2)</f>
        <v>2.92794170058574</v>
      </c>
      <c r="P36" s="55" t="n">
        <f aca="false">IF(J36="","",MAX(0,J36-1.96*O36/100))</f>
        <v>0.309908565332535</v>
      </c>
      <c r="Q36" s="55" t="n">
        <f aca="false">IF(J36="","",MIN(1,J36+1.96*O36/100))</f>
        <v>0.424683879995496</v>
      </c>
      <c r="R36" s="32" t="str">
        <f aca="false">IF(L36="","",IF(ABS(L36)&lt;=O36,"Yes","No"))</f>
        <v>Yes</v>
      </c>
      <c r="S36" s="32" t="str">
        <f aca="false">IF(L36="","",IF(ABS(L36)&lt;=1.96*O36,"Yes","No"))</f>
        <v>Yes</v>
      </c>
      <c r="T36" s="54" t="n">
        <f aca="false">IF(D36="","",ROUND(SQRT(((D36+G36)*O36/100)^2+(J36*(D36+G36)*0.05883)^2),0))</f>
        <v>73</v>
      </c>
      <c r="U36" s="32"/>
    </row>
    <row r="37" customFormat="false" ht="15" hidden="false" customHeight="false" outlineLevel="0" collapsed="false">
      <c r="A37" s="32" t="s">
        <v>157</v>
      </c>
      <c r="B37" s="32" t="s">
        <v>170</v>
      </c>
      <c r="C37" s="32" t="s">
        <v>129</v>
      </c>
      <c r="D37" s="54" t="n">
        <v>418</v>
      </c>
      <c r="E37" s="54" t="n">
        <v>457</v>
      </c>
      <c r="F37" s="65" t="n">
        <f aca="false">IF(E37="","",D37-E37)</f>
        <v>-39</v>
      </c>
      <c r="G37" s="54" t="n">
        <v>760</v>
      </c>
      <c r="H37" s="54" t="n">
        <v>760</v>
      </c>
      <c r="I37" s="65" t="n">
        <f aca="false">IF(H37="","",G37-H37)</f>
        <v>0</v>
      </c>
      <c r="J37" s="55" t="n">
        <f aca="false">IF(OR(D37="",D37+G37=0),"",D37/(D37+G37))</f>
        <v>0.354838709677419</v>
      </c>
      <c r="K37" s="55" t="n">
        <f aca="false">IF(E37="","",E37/(E37+H37))</f>
        <v>0.375513557929334</v>
      </c>
      <c r="L37" s="66" t="n">
        <f aca="false">IF(OR(K37="",J37=""),"",(J37-K37)*100)</f>
        <v>-2.06748482519151</v>
      </c>
      <c r="M37" s="36" t="n">
        <v>2.07973649938125</v>
      </c>
      <c r="N37" s="36" t="n">
        <v>2.06095577224995</v>
      </c>
      <c r="O37" s="36" t="n">
        <f aca="false">SQRT(M37^2+N37^2)</f>
        <v>2.92794170058574</v>
      </c>
      <c r="P37" s="55" t="n">
        <f aca="false">IF(J37="","",MAX(0,J37-1.96*O37/100))</f>
        <v>0.297451052345939</v>
      </c>
      <c r="Q37" s="55" t="n">
        <f aca="false">IF(J37="","",MIN(1,J37+1.96*O37/100))</f>
        <v>0.4122263670089</v>
      </c>
      <c r="R37" s="32" t="str">
        <f aca="false">IF(L37="","",IF(ABS(L37)&lt;=O37,"Yes","No"))</f>
        <v>Yes</v>
      </c>
      <c r="S37" s="32" t="str">
        <f aca="false">IF(L37="","",IF(ABS(L37)&lt;=1.96*O37,"Yes","No"))</f>
        <v>Yes</v>
      </c>
      <c r="T37" s="54" t="n">
        <f aca="false">IF(D37="","",ROUND(SQRT(((D37+G37)*O37/100)^2+(J37*(D37+G37)*0.05883)^2),0))</f>
        <v>42</v>
      </c>
      <c r="U37" s="32"/>
    </row>
    <row r="38" customFormat="false" ht="15" hidden="false" customHeight="false" outlineLevel="0" collapsed="false">
      <c r="A38" s="32" t="s">
        <v>157</v>
      </c>
      <c r="B38" s="32" t="s">
        <v>171</v>
      </c>
      <c r="C38" s="32" t="s">
        <v>129</v>
      </c>
      <c r="D38" s="54" t="n">
        <v>649</v>
      </c>
      <c r="E38" s="54" t="n">
        <v>719</v>
      </c>
      <c r="F38" s="65" t="n">
        <f aca="false">IF(E38="","",D38-E38)</f>
        <v>-70</v>
      </c>
      <c r="G38" s="54" t="n">
        <v>1343</v>
      </c>
      <c r="H38" s="54" t="n">
        <v>1434</v>
      </c>
      <c r="I38" s="65" t="n">
        <f aca="false">IF(H38="","",G38-H38)</f>
        <v>-91</v>
      </c>
      <c r="J38" s="55" t="n">
        <f aca="false">IF(OR(D38="",D38+G38=0),"",D38/(D38+G38))</f>
        <v>0.325803212851406</v>
      </c>
      <c r="K38" s="55" t="n">
        <f aca="false">IF(E38="","",E38/(E38+H38))</f>
        <v>0.333952624245239</v>
      </c>
      <c r="L38" s="66" t="n">
        <f aca="false">IF(OR(K38="",J38=""),"",(J38-K38)*100)</f>
        <v>-0.814941139383357</v>
      </c>
      <c r="M38" s="36" t="n">
        <v>2.07973649938125</v>
      </c>
      <c r="N38" s="36" t="n">
        <v>2.06095577224995</v>
      </c>
      <c r="O38" s="36" t="n">
        <f aca="false">SQRT(M38^2+N38^2)</f>
        <v>2.92794170058574</v>
      </c>
      <c r="P38" s="55" t="n">
        <f aca="false">IF(J38="","",MAX(0,J38-1.96*O38/100))</f>
        <v>0.268415555519925</v>
      </c>
      <c r="Q38" s="55" t="n">
        <f aca="false">IF(J38="","",MIN(1,J38+1.96*O38/100))</f>
        <v>0.383190870182886</v>
      </c>
      <c r="R38" s="32" t="str">
        <f aca="false">IF(L38="","",IF(ABS(L38)&lt;=O38,"Yes","No"))</f>
        <v>Yes</v>
      </c>
      <c r="S38" s="32" t="str">
        <f aca="false">IF(L38="","",IF(ABS(L38)&lt;=1.96*O38,"Yes","No"))</f>
        <v>Yes</v>
      </c>
      <c r="T38" s="54" t="n">
        <f aca="false">IF(D38="","",ROUND(SQRT(((D38+G38)*O38/100)^2+(J38*(D38+G38)*0.05883)^2),0))</f>
        <v>70</v>
      </c>
      <c r="U38" s="32"/>
    </row>
    <row r="39" customFormat="false" ht="15" hidden="false" customHeight="false" outlineLevel="0" collapsed="false">
      <c r="A39" s="32" t="s">
        <v>157</v>
      </c>
      <c r="B39" s="32" t="s">
        <v>172</v>
      </c>
      <c r="C39" s="32" t="s">
        <v>129</v>
      </c>
      <c r="D39" s="54" t="n">
        <v>720</v>
      </c>
      <c r="E39" s="54" t="n">
        <v>788</v>
      </c>
      <c r="F39" s="65" t="n">
        <f aca="false">IF(E39="","",D39-E39)</f>
        <v>-68</v>
      </c>
      <c r="G39" s="54" t="n">
        <v>625</v>
      </c>
      <c r="H39" s="54" t="n">
        <v>628</v>
      </c>
      <c r="I39" s="65" t="n">
        <f aca="false">IF(H39="","",G39-H39)</f>
        <v>-3</v>
      </c>
      <c r="J39" s="55" t="n">
        <f aca="false">IF(OR(D39="",D39+G39=0),"",D39/(D39+G39))</f>
        <v>0.535315985130112</v>
      </c>
      <c r="K39" s="55" t="n">
        <f aca="false">IF(E39="","",E39/(E39+H39))</f>
        <v>0.556497175141243</v>
      </c>
      <c r="L39" s="66" t="n">
        <f aca="false">IF(OR(K39="",J39=""),"",(J39-K39)*100)</f>
        <v>-2.11811900111315</v>
      </c>
      <c r="M39" s="36" t="n">
        <v>2.07973649938125</v>
      </c>
      <c r="N39" s="36" t="n">
        <v>2.06095577224995</v>
      </c>
      <c r="O39" s="36" t="n">
        <f aca="false">SQRT(M39^2+N39^2)</f>
        <v>2.92794170058574</v>
      </c>
      <c r="P39" s="55" t="n">
        <f aca="false">IF(J39="","",MAX(0,J39-1.96*O39/100))</f>
        <v>0.477928327798631</v>
      </c>
      <c r="Q39" s="55" t="n">
        <f aca="false">IF(J39="","",MIN(1,J39+1.96*O39/100))</f>
        <v>0.592703642461592</v>
      </c>
      <c r="R39" s="32" t="str">
        <f aca="false">IF(L39="","",IF(ABS(L39)&lt;=O39,"Yes","No"))</f>
        <v>Yes</v>
      </c>
      <c r="S39" s="32" t="str">
        <f aca="false">IF(L39="","",IF(ABS(L39)&lt;=1.96*O39,"Yes","No"))</f>
        <v>Yes</v>
      </c>
      <c r="T39" s="54" t="n">
        <f aca="false">IF(D39="","",ROUND(SQRT(((D39+G39)*O39/100)^2+(J39*(D39+G39)*0.05883)^2),0))</f>
        <v>58</v>
      </c>
      <c r="U39" s="32"/>
    </row>
    <row r="40" customFormat="false" ht="15" hidden="false" customHeight="false" outlineLevel="0" collapsed="false">
      <c r="A40" s="32" t="s">
        <v>157</v>
      </c>
      <c r="B40" s="32" t="s">
        <v>173</v>
      </c>
      <c r="C40" s="32" t="s">
        <v>129</v>
      </c>
      <c r="D40" s="54" t="n">
        <v>2865</v>
      </c>
      <c r="E40" s="54" t="n">
        <v>3255</v>
      </c>
      <c r="F40" s="65" t="n">
        <f aca="false">IF(E40="","",D40-E40)</f>
        <v>-390</v>
      </c>
      <c r="G40" s="54" t="n">
        <v>4153</v>
      </c>
      <c r="H40" s="54" t="n">
        <v>4462</v>
      </c>
      <c r="I40" s="65" t="n">
        <f aca="false">IF(H40="","",G40-H40)</f>
        <v>-309</v>
      </c>
      <c r="J40" s="55" t="n">
        <f aca="false">IF(OR(D40="",D40+G40=0),"",D40/(D40+G40))</f>
        <v>0.408235964662297</v>
      </c>
      <c r="K40" s="55" t="n">
        <f aca="false">IF(E40="","",E40/(E40+H40))</f>
        <v>0.421796034728521</v>
      </c>
      <c r="L40" s="66" t="n">
        <f aca="false">IF(OR(K40="",J40=""),"",(J40-K40)*100)</f>
        <v>-1.35600700662245</v>
      </c>
      <c r="M40" s="36" t="n">
        <v>1.91944964897593</v>
      </c>
      <c r="N40" s="36" t="n">
        <v>2.06095577224995</v>
      </c>
      <c r="O40" s="36" t="n">
        <f aca="false">SQRT(M40^2+N40^2)</f>
        <v>2.81634970309516</v>
      </c>
      <c r="P40" s="55" t="n">
        <f aca="false">IF(J40="","",MAX(0,J40-1.96*O40/100))</f>
        <v>0.353035510481632</v>
      </c>
      <c r="Q40" s="55" t="n">
        <f aca="false">IF(J40="","",MIN(1,J40+1.96*O40/100))</f>
        <v>0.463436418842962</v>
      </c>
      <c r="R40" s="32" t="str">
        <f aca="false">IF(L40="","",IF(ABS(L40)&lt;=O40,"Yes","No"))</f>
        <v>Yes</v>
      </c>
      <c r="S40" s="32" t="str">
        <f aca="false">IF(L40="","",IF(ABS(L40)&lt;=1.96*O40,"Yes","No"))</f>
        <v>Yes</v>
      </c>
      <c r="T40" s="54" t="n">
        <f aca="false">IF(D40="","",ROUND(SQRT(((D40+G40)*O40/100)^2+(J40*(D40+G40)*0.04942)^2),0))</f>
        <v>243</v>
      </c>
      <c r="U40" s="32"/>
    </row>
    <row r="41" customFormat="false" ht="15" hidden="false" customHeight="false" outlineLevel="0" collapsed="false">
      <c r="A41" s="32" t="s">
        <v>157</v>
      </c>
      <c r="B41" s="32" t="s">
        <v>174</v>
      </c>
      <c r="C41" s="32" t="s">
        <v>129</v>
      </c>
      <c r="D41" s="54" t="n">
        <v>3132</v>
      </c>
      <c r="E41" s="54" t="n">
        <v>3239</v>
      </c>
      <c r="F41" s="65" t="n">
        <f aca="false">IF(E41="","",D41-E41)</f>
        <v>-107</v>
      </c>
      <c r="G41" s="54" t="n">
        <v>2891</v>
      </c>
      <c r="H41" s="54" t="n">
        <v>3129</v>
      </c>
      <c r="I41" s="65" t="n">
        <f aca="false">IF(H41="","",G41-H41)</f>
        <v>-238</v>
      </c>
      <c r="J41" s="55" t="n">
        <f aca="false">IF(OR(D41="",D41+G41=0),"",D41/(D41+G41))</f>
        <v>0.5200066412087</v>
      </c>
      <c r="K41" s="55" t="n">
        <f aca="false">IF(E41="","",E41/(E41+H41))</f>
        <v>0.508636934673367</v>
      </c>
      <c r="L41" s="66" t="n">
        <f aca="false">IF(OR(K41="",J41=""),"",(J41-K41)*100)</f>
        <v>1.13697065353332</v>
      </c>
      <c r="M41" s="36" t="n">
        <v>1.91944964897593</v>
      </c>
      <c r="N41" s="36" t="n">
        <v>2.06095577224995</v>
      </c>
      <c r="O41" s="36" t="n">
        <f aca="false">SQRT(M41^2+N41^2)</f>
        <v>2.81634970309516</v>
      </c>
      <c r="P41" s="55" t="n">
        <f aca="false">IF(J41="","",MAX(0,J41-1.96*O41/100))</f>
        <v>0.464806187028035</v>
      </c>
      <c r="Q41" s="55" t="n">
        <f aca="false">IF(J41="","",MIN(1,J41+1.96*O41/100))</f>
        <v>0.575207095389365</v>
      </c>
      <c r="R41" s="32" t="str">
        <f aca="false">IF(L41="","",IF(ABS(L41)&lt;=O41,"Yes","No"))</f>
        <v>Yes</v>
      </c>
      <c r="S41" s="32" t="str">
        <f aca="false">IF(L41="","",IF(ABS(L41)&lt;=1.96*O41,"Yes","No"))</f>
        <v>Yes</v>
      </c>
      <c r="T41" s="54" t="n">
        <f aca="false">IF(D41="","",ROUND(SQRT(((D41+G41)*O41/100)^2+(J41*(D41+G41)*0.04942)^2),0))</f>
        <v>230</v>
      </c>
      <c r="U41" s="32"/>
    </row>
    <row r="42" customFormat="false" ht="15" hidden="false" customHeight="false" outlineLevel="0" collapsed="false">
      <c r="A42" s="32" t="s">
        <v>157</v>
      </c>
      <c r="B42" s="32" t="s">
        <v>175</v>
      </c>
      <c r="C42" s="32" t="s">
        <v>129</v>
      </c>
      <c r="D42" s="54" t="n">
        <v>547</v>
      </c>
      <c r="E42" s="54" t="n">
        <v>611</v>
      </c>
      <c r="F42" s="65" t="n">
        <f aca="false">IF(E42="","",D42-E42)</f>
        <v>-64</v>
      </c>
      <c r="G42" s="54" t="n">
        <v>766</v>
      </c>
      <c r="H42" s="54" t="n">
        <v>740</v>
      </c>
      <c r="I42" s="65" t="n">
        <f aca="false">IF(H42="","",G42-H42)</f>
        <v>26</v>
      </c>
      <c r="J42" s="55" t="n">
        <f aca="false">IF(OR(D42="",D42+G42=0),"",D42/(D42+G42))</f>
        <v>0.416603198781417</v>
      </c>
      <c r="K42" s="55" t="n">
        <f aca="false">IF(E42="","",E42/(E42+H42))</f>
        <v>0.452257586972613</v>
      </c>
      <c r="L42" s="66" t="n">
        <f aca="false">IF(OR(K42="",J42=""),"",(J42-K42)*100)</f>
        <v>-3.56543881911963</v>
      </c>
      <c r="M42" s="36" t="n">
        <v>2.07973649938125</v>
      </c>
      <c r="N42" s="36" t="n">
        <v>2.06095577224995</v>
      </c>
      <c r="O42" s="36" t="n">
        <f aca="false">SQRT(M42^2+N42^2)</f>
        <v>2.92794170058574</v>
      </c>
      <c r="P42" s="55" t="n">
        <f aca="false">IF(J42="","",MAX(0,J42-1.96*O42/100))</f>
        <v>0.359215541449936</v>
      </c>
      <c r="Q42" s="55" t="n">
        <f aca="false">IF(J42="","",MIN(1,J42+1.96*O42/100))</f>
        <v>0.473990856112897</v>
      </c>
      <c r="R42" s="32" t="str">
        <f aca="false">IF(L42="","",IF(ABS(L42)&lt;=O42,"Yes","No"))</f>
        <v>No</v>
      </c>
      <c r="S42" s="32" t="str">
        <f aca="false">IF(L42="","",IF(ABS(L42)&lt;=1.96*O42,"Yes","No"))</f>
        <v>Yes</v>
      </c>
      <c r="T42" s="54" t="n">
        <f aca="false">IF(D42="","",ROUND(SQRT(((D42+G42)*O42/100)^2+(J42*(D42+G42)*0.05883)^2),0))</f>
        <v>50</v>
      </c>
      <c r="U42" s="32"/>
    </row>
    <row r="43" customFormat="false" ht="15" hidden="false" customHeight="false" outlineLevel="0" collapsed="false">
      <c r="A43" s="32" t="s">
        <v>157</v>
      </c>
      <c r="B43" s="32" t="s">
        <v>176</v>
      </c>
      <c r="C43" s="32" t="s">
        <v>129</v>
      </c>
      <c r="D43" s="54" t="n">
        <v>5249</v>
      </c>
      <c r="E43" s="54" t="n">
        <v>5699</v>
      </c>
      <c r="F43" s="65" t="n">
        <f aca="false">IF(E43="","",D43-E43)</f>
        <v>-450</v>
      </c>
      <c r="G43" s="54" t="n">
        <v>4410</v>
      </c>
      <c r="H43" s="54" t="n">
        <v>4420</v>
      </c>
      <c r="I43" s="65" t="n">
        <f aca="false">IF(H43="","",G43-H43)</f>
        <v>-10</v>
      </c>
      <c r="J43" s="55" t="n">
        <f aca="false">IF(OR(D43="",D43+G43=0),"",D43/(D43+G43))</f>
        <v>0.543430996997619</v>
      </c>
      <c r="K43" s="55" t="n">
        <f aca="false">IF(E43="","",E43/(E43+H43))</f>
        <v>0.563197944460915</v>
      </c>
      <c r="L43" s="66" t="n">
        <f aca="false">IF(OR(K43="",J43=""),"",(J43-K43)*100)</f>
        <v>-1.97669474632963</v>
      </c>
      <c r="M43" s="36" t="n">
        <v>1.91944964897593</v>
      </c>
      <c r="N43" s="36" t="n">
        <v>2.06095577224995</v>
      </c>
      <c r="O43" s="36" t="n">
        <f aca="false">SQRT(M43^2+N43^2)</f>
        <v>2.81634970309516</v>
      </c>
      <c r="P43" s="55" t="n">
        <f aca="false">IF(J43="","",MAX(0,J43-1.96*O43/100))</f>
        <v>0.488230542816954</v>
      </c>
      <c r="Q43" s="55" t="n">
        <f aca="false">IF(J43="","",MIN(1,J43+1.96*O43/100))</f>
        <v>0.598631451178284</v>
      </c>
      <c r="R43" s="32" t="str">
        <f aca="false">IF(L43="","",IF(ABS(L43)&lt;=O43,"Yes","No"))</f>
        <v>Yes</v>
      </c>
      <c r="S43" s="32" t="str">
        <f aca="false">IF(L43="","",IF(ABS(L43)&lt;=1.96*O43,"Yes","No"))</f>
        <v>Yes</v>
      </c>
      <c r="T43" s="54" t="n">
        <f aca="false">IF(D43="","",ROUND(SQRT(((D43+G43)*O43/100)^2+(J43*(D43+G43)*0.04942)^2),0))</f>
        <v>376</v>
      </c>
      <c r="U43" s="32"/>
    </row>
    <row r="44" customFormat="false" ht="15" hidden="false" customHeight="false" outlineLevel="0" collapsed="false">
      <c r="A44" s="32" t="s">
        <v>157</v>
      </c>
      <c r="B44" s="32" t="s">
        <v>177</v>
      </c>
      <c r="C44" s="32" t="s">
        <v>129</v>
      </c>
      <c r="D44" s="54" t="n">
        <v>5783</v>
      </c>
      <c r="E44" s="54" t="n">
        <v>6009</v>
      </c>
      <c r="F44" s="65" t="n">
        <f aca="false">IF(E44="","",D44-E44)</f>
        <v>-226</v>
      </c>
      <c r="G44" s="54" t="n">
        <v>5018</v>
      </c>
      <c r="H44" s="54" t="n">
        <v>5257</v>
      </c>
      <c r="I44" s="65" t="n">
        <f aca="false">IF(H44="","",G44-H44)</f>
        <v>-239</v>
      </c>
      <c r="J44" s="55" t="n">
        <f aca="false">IF(OR(D44="",D44+G44=0),"",D44/(D44+G44))</f>
        <v>0.535413387649292</v>
      </c>
      <c r="K44" s="55" t="n">
        <f aca="false">IF(E44="","",E44/(E44+H44))</f>
        <v>0.533374755902716</v>
      </c>
      <c r="L44" s="66" t="n">
        <f aca="false">IF(OR(K44="",J44=""),"",(J44-K44)*100)</f>
        <v>0.203863174657559</v>
      </c>
      <c r="M44" s="36" t="n">
        <v>1.91944964897593</v>
      </c>
      <c r="N44" s="36" t="n">
        <v>2.06095577224995</v>
      </c>
      <c r="O44" s="36" t="n">
        <f aca="false">SQRT(M44^2+N44^2)</f>
        <v>2.81634970309516</v>
      </c>
      <c r="P44" s="55" t="n">
        <f aca="false">IF(J44="","",MAX(0,J44-1.96*O44/100))</f>
        <v>0.480212933468627</v>
      </c>
      <c r="Q44" s="55" t="n">
        <f aca="false">IF(J44="","",MIN(1,J44+1.96*O44/100))</f>
        <v>0.590613841829957</v>
      </c>
      <c r="R44" s="32" t="str">
        <f aca="false">IF(L44="","",IF(ABS(L44)&lt;=O44,"Yes","No"))</f>
        <v>Yes</v>
      </c>
      <c r="S44" s="32" t="str">
        <f aca="false">IF(L44="","",IF(ABS(L44)&lt;=1.96*O44,"Yes","No"))</f>
        <v>Yes</v>
      </c>
      <c r="T44" s="54" t="n">
        <f aca="false">IF(D44="","",ROUND(SQRT(((D44+G44)*O44/100)^2+(J44*(D44+G44)*0.04942)^2),0))</f>
        <v>417</v>
      </c>
      <c r="U44" s="32"/>
    </row>
    <row r="45" customFormat="false" ht="15" hidden="false" customHeight="false" outlineLevel="0" collapsed="false">
      <c r="A45" s="32" t="s">
        <v>157</v>
      </c>
      <c r="B45" s="32" t="s">
        <v>178</v>
      </c>
      <c r="C45" s="32" t="s">
        <v>129</v>
      </c>
      <c r="D45" s="54" t="n">
        <v>1735</v>
      </c>
      <c r="E45" s="54" t="n">
        <v>2032</v>
      </c>
      <c r="F45" s="65" t="n">
        <f aca="false">IF(E45="","",D45-E45)</f>
        <v>-297</v>
      </c>
      <c r="G45" s="54" t="n">
        <v>2401</v>
      </c>
      <c r="H45" s="54" t="n">
        <v>2450</v>
      </c>
      <c r="I45" s="65" t="n">
        <f aca="false">IF(H45="","",G45-H45)</f>
        <v>-49</v>
      </c>
      <c r="J45" s="55" t="n">
        <f aca="false">IF(OR(D45="",D45+G45=0),"",D45/(D45+G45))</f>
        <v>0.419487427466151</v>
      </c>
      <c r="K45" s="55" t="n">
        <f aca="false">IF(E45="","",E45/(E45+H45))</f>
        <v>0.453369031682285</v>
      </c>
      <c r="L45" s="66" t="n">
        <f aca="false">IF(OR(K45="",J45=""),"",(J45-K45)*100)</f>
        <v>-3.38816042161338</v>
      </c>
      <c r="M45" s="36" t="n">
        <v>1.91944964897593</v>
      </c>
      <c r="N45" s="36" t="n">
        <v>2.06095577224995</v>
      </c>
      <c r="O45" s="36" t="n">
        <f aca="false">SQRT(M45^2+N45^2)</f>
        <v>2.81634970309516</v>
      </c>
      <c r="P45" s="55" t="n">
        <f aca="false">IF(J45="","",MAX(0,J45-1.96*O45/100))</f>
        <v>0.364286973285486</v>
      </c>
      <c r="Q45" s="55" t="n">
        <f aca="false">IF(J45="","",MIN(1,J45+1.96*O45/100))</f>
        <v>0.474687881646816</v>
      </c>
      <c r="R45" s="32" t="str">
        <f aca="false">IF(L45="","",IF(ABS(L45)&lt;=O45,"Yes","No"))</f>
        <v>No</v>
      </c>
      <c r="S45" s="32" t="str">
        <f aca="false">IF(L45="","",IF(ABS(L45)&lt;=1.96*O45,"Yes","No"))</f>
        <v>Yes</v>
      </c>
      <c r="T45" s="54" t="n">
        <f aca="false">IF(D45="","",ROUND(SQRT(((D45+G45)*O45/100)^2+(J45*(D45+G45)*0.04942)^2),0))</f>
        <v>145</v>
      </c>
      <c r="U45" s="32"/>
    </row>
    <row r="46" customFormat="false" ht="15" hidden="false" customHeight="false" outlineLevel="0" collapsed="false">
      <c r="A46" s="32" t="s">
        <v>157</v>
      </c>
      <c r="B46" s="32" t="s">
        <v>179</v>
      </c>
      <c r="C46" s="32" t="s">
        <v>129</v>
      </c>
      <c r="D46" s="54" t="n">
        <v>3918</v>
      </c>
      <c r="E46" s="54" t="n">
        <v>4406</v>
      </c>
      <c r="F46" s="65" t="n">
        <f aca="false">IF(E46="","",D46-E46)</f>
        <v>-488</v>
      </c>
      <c r="G46" s="54" t="n">
        <v>4171</v>
      </c>
      <c r="H46" s="54" t="n">
        <v>4369</v>
      </c>
      <c r="I46" s="65" t="n">
        <f aca="false">IF(H46="","",G46-H46)</f>
        <v>-198</v>
      </c>
      <c r="J46" s="55" t="n">
        <f aca="false">IF(OR(D46="",D46+G46=0),"",D46/(D46+G46))</f>
        <v>0.484361478551119</v>
      </c>
      <c r="K46" s="55" t="n">
        <f aca="false">IF(E46="","",E46/(E46+H46))</f>
        <v>0.502108262108262</v>
      </c>
      <c r="L46" s="66" t="n">
        <f aca="false">IF(OR(K46="",J46=""),"",(J46-K46)*100)</f>
        <v>-1.77467835571433</v>
      </c>
      <c r="M46" s="36" t="n">
        <v>1.91944964897593</v>
      </c>
      <c r="N46" s="36" t="n">
        <v>2.06095577224995</v>
      </c>
      <c r="O46" s="36" t="n">
        <f aca="false">SQRT(M46^2+N46^2)</f>
        <v>2.81634970309516</v>
      </c>
      <c r="P46" s="55" t="n">
        <f aca="false">IF(J46="","",MAX(0,J46-1.96*O46/100))</f>
        <v>0.429161024370454</v>
      </c>
      <c r="Q46" s="55" t="n">
        <f aca="false">IF(J46="","",MIN(1,J46+1.96*O46/100))</f>
        <v>0.539561932731784</v>
      </c>
      <c r="R46" s="32" t="str">
        <f aca="false">IF(L46="","",IF(ABS(L46)&lt;=O46,"Yes","No"))</f>
        <v>Yes</v>
      </c>
      <c r="S46" s="32" t="str">
        <f aca="false">IF(L46="","",IF(ABS(L46)&lt;=1.96*O46,"Yes","No"))</f>
        <v>Yes</v>
      </c>
      <c r="T46" s="54" t="n">
        <f aca="false">IF(D46="","",ROUND(SQRT(((D46+G46)*O46/100)^2+(J46*(D46+G46)*0.04942)^2),0))</f>
        <v>299</v>
      </c>
      <c r="U46" s="32"/>
    </row>
    <row r="47" customFormat="false" ht="15" hidden="false" customHeight="false" outlineLevel="0" collapsed="false">
      <c r="A47" s="32" t="s">
        <v>157</v>
      </c>
      <c r="B47" s="32" t="s">
        <v>180</v>
      </c>
      <c r="C47" s="32" t="s">
        <v>129</v>
      </c>
      <c r="D47" s="54" t="n">
        <v>886</v>
      </c>
      <c r="E47" s="54" t="n">
        <v>1054</v>
      </c>
      <c r="F47" s="65" t="n">
        <f aca="false">IF(E47="","",D47-E47)</f>
        <v>-168</v>
      </c>
      <c r="G47" s="54" t="n">
        <v>1767</v>
      </c>
      <c r="H47" s="54" t="n">
        <v>1952</v>
      </c>
      <c r="I47" s="65" t="n">
        <f aca="false">IF(H47="","",G47-H47)</f>
        <v>-185</v>
      </c>
      <c r="J47" s="55" t="n">
        <f aca="false">IF(OR(D47="",D47+G47=0),"",D47/(D47+G47))</f>
        <v>0.333961552958914</v>
      </c>
      <c r="K47" s="55" t="n">
        <f aca="false">IF(E47="","",E47/(E47+H47))</f>
        <v>0.350632069194943</v>
      </c>
      <c r="L47" s="66" t="n">
        <f aca="false">IF(OR(K47="",J47=""),"",(J47-K47)*100)</f>
        <v>-1.6670516236029</v>
      </c>
      <c r="M47" s="36" t="n">
        <v>1.91944964897593</v>
      </c>
      <c r="N47" s="36" t="n">
        <v>2.06095577224995</v>
      </c>
      <c r="O47" s="36" t="n">
        <f aca="false">SQRT(M47^2+N47^2)</f>
        <v>2.81634970309516</v>
      </c>
      <c r="P47" s="55" t="n">
        <f aca="false">IF(J47="","",MAX(0,J47-1.96*O47/100))</f>
        <v>0.278761098778249</v>
      </c>
      <c r="Q47" s="55" t="n">
        <f aca="false">IF(J47="","",MIN(1,J47+1.96*O47/100))</f>
        <v>0.38916200713958</v>
      </c>
      <c r="R47" s="32" t="str">
        <f aca="false">IF(L47="","",IF(ABS(L47)&lt;=O47,"Yes","No"))</f>
        <v>Yes</v>
      </c>
      <c r="S47" s="32" t="str">
        <f aca="false">IF(L47="","",IF(ABS(L47)&lt;=1.96*O47,"Yes","No"))</f>
        <v>Yes</v>
      </c>
      <c r="T47" s="54" t="n">
        <f aca="false">IF(D47="","",ROUND(SQRT(((D47+G47)*O47/100)^2+(J47*(D47+G47)*0.04942)^2),0))</f>
        <v>87</v>
      </c>
      <c r="U47" s="32"/>
    </row>
    <row r="48" customFormat="false" ht="15" hidden="false" customHeight="false" outlineLevel="0" collapsed="false">
      <c r="A48" s="32" t="s">
        <v>157</v>
      </c>
      <c r="B48" s="32" t="s">
        <v>181</v>
      </c>
      <c r="C48" s="32" t="s">
        <v>129</v>
      </c>
      <c r="D48" s="54" t="n">
        <v>848</v>
      </c>
      <c r="E48" s="54" t="n">
        <v>981</v>
      </c>
      <c r="F48" s="65" t="n">
        <f aca="false">IF(E48="","",D48-E48)</f>
        <v>-133</v>
      </c>
      <c r="G48" s="54" t="n">
        <v>1681</v>
      </c>
      <c r="H48" s="54" t="n">
        <v>1711</v>
      </c>
      <c r="I48" s="65" t="n">
        <f aca="false">IF(H48="","",G48-H48)</f>
        <v>-30</v>
      </c>
      <c r="J48" s="55" t="n">
        <f aca="false">IF(OR(D48="",D48+G48=0),"",D48/(D48+G48))</f>
        <v>0.335310399367339</v>
      </c>
      <c r="K48" s="55" t="n">
        <f aca="false">IF(E48="","",E48/(E48+H48))</f>
        <v>0.364413075780089</v>
      </c>
      <c r="L48" s="66" t="n">
        <f aca="false">IF(OR(K48="",J48=""),"",(J48-K48)*100)</f>
        <v>-2.91026764127503</v>
      </c>
      <c r="M48" s="36" t="n">
        <v>2.07973649938125</v>
      </c>
      <c r="N48" s="36" t="n">
        <v>2.06095577224995</v>
      </c>
      <c r="O48" s="36" t="n">
        <f aca="false">SQRT(M48^2+N48^2)</f>
        <v>2.92794170058574</v>
      </c>
      <c r="P48" s="55" t="n">
        <f aca="false">IF(J48="","",MAX(0,J48-1.96*O48/100))</f>
        <v>0.277922742035858</v>
      </c>
      <c r="Q48" s="55" t="n">
        <f aca="false">IF(J48="","",MIN(1,J48+1.96*O48/100))</f>
        <v>0.392698056698819</v>
      </c>
      <c r="R48" s="32" t="str">
        <f aca="false">IF(L48="","",IF(ABS(L48)&lt;=O48,"Yes","No"))</f>
        <v>Yes</v>
      </c>
      <c r="S48" s="32" t="str">
        <f aca="false">IF(L48="","",IF(ABS(L48)&lt;=1.96*O48,"Yes","No"))</f>
        <v>Yes</v>
      </c>
      <c r="T48" s="54" t="n">
        <f aca="false">IF(D48="","",ROUND(SQRT(((D48+G48)*O48/100)^2+(J48*(D48+G48)*0.05883)^2),0))</f>
        <v>89</v>
      </c>
      <c r="U48" s="32"/>
    </row>
    <row r="49" customFormat="false" ht="15" hidden="false" customHeight="false" outlineLevel="0" collapsed="false">
      <c r="A49" s="32" t="s">
        <v>157</v>
      </c>
      <c r="B49" s="32" t="s">
        <v>182</v>
      </c>
      <c r="C49" s="32" t="s">
        <v>129</v>
      </c>
      <c r="D49" s="54" t="n">
        <v>5368</v>
      </c>
      <c r="E49" s="54" t="n">
        <v>5508</v>
      </c>
      <c r="F49" s="65" t="n">
        <f aca="false">IF(E49="","",D49-E49)</f>
        <v>-140</v>
      </c>
      <c r="G49" s="54" t="n">
        <v>4492</v>
      </c>
      <c r="H49" s="54" t="n">
        <v>4784</v>
      </c>
      <c r="I49" s="65" t="n">
        <f aca="false">IF(H49="","",G49-H49)</f>
        <v>-292</v>
      </c>
      <c r="J49" s="55" t="n">
        <f aca="false">IF(OR(D49="",D49+G49=0),"",D49/(D49+G49))</f>
        <v>0.544421906693712</v>
      </c>
      <c r="K49" s="55" t="n">
        <f aca="false">IF(E49="","",E49/(E49+H49))</f>
        <v>0.535172949863972</v>
      </c>
      <c r="L49" s="66" t="n">
        <f aca="false">IF(OR(K49="",J49=""),"",(J49-K49)*100)</f>
        <v>0.924895682973992</v>
      </c>
      <c r="M49" s="36" t="n">
        <v>1.91944964897593</v>
      </c>
      <c r="N49" s="36" t="n">
        <v>2.06095577224995</v>
      </c>
      <c r="O49" s="36" t="n">
        <f aca="false">SQRT(M49^2+N49^2)</f>
        <v>2.81634970309516</v>
      </c>
      <c r="P49" s="55" t="n">
        <f aca="false">IF(J49="","",MAX(0,J49-1.96*O49/100))</f>
        <v>0.489221452513047</v>
      </c>
      <c r="Q49" s="55" t="n">
        <f aca="false">IF(J49="","",MIN(1,J49+1.96*O49/100))</f>
        <v>0.599622360874377</v>
      </c>
      <c r="R49" s="32" t="str">
        <f aca="false">IF(L49="","",IF(ABS(L49)&lt;=O49,"Yes","No"))</f>
        <v>Yes</v>
      </c>
      <c r="S49" s="32" t="str">
        <f aca="false">IF(L49="","",IF(ABS(L49)&lt;=1.96*O49,"Yes","No"))</f>
        <v>Yes</v>
      </c>
      <c r="T49" s="54" t="n">
        <f aca="false">IF(D49="","",ROUND(SQRT(((D49+G49)*O49/100)^2+(J49*(D49+G49)*0.04942)^2),0))</f>
        <v>384</v>
      </c>
      <c r="U49" s="32"/>
    </row>
    <row r="50" customFormat="false" ht="15" hidden="false" customHeight="false" outlineLevel="0" collapsed="false">
      <c r="A50" s="32" t="s">
        <v>183</v>
      </c>
      <c r="B50" s="32" t="s">
        <v>184</v>
      </c>
      <c r="C50" s="32" t="s">
        <v>129</v>
      </c>
      <c r="D50" s="54" t="n">
        <v>363</v>
      </c>
      <c r="E50" s="54" t="n">
        <v>361</v>
      </c>
      <c r="F50" s="65" t="n">
        <f aca="false">IF(E50="","",D50-E50)</f>
        <v>2</v>
      </c>
      <c r="G50" s="54" t="n">
        <v>685</v>
      </c>
      <c r="H50" s="54" t="n">
        <v>824</v>
      </c>
      <c r="I50" s="65" t="n">
        <f aca="false">IF(H50="","",G50-H50)</f>
        <v>-139</v>
      </c>
      <c r="J50" s="55" t="n">
        <f aca="false">IF(OR(D50="",D50+G50=0),"",D50/(D50+G50))</f>
        <v>0.346374045801527</v>
      </c>
      <c r="K50" s="55" t="n">
        <f aca="false">IF(E50="","",E50/(E50+H50))</f>
        <v>0.30464135021097</v>
      </c>
      <c r="L50" s="66" t="n">
        <f aca="false">IF(OR(K50="",J50=""),"",(J50-K50)*100)</f>
        <v>4.17326955905563</v>
      </c>
      <c r="M50" s="36" t="n">
        <v>3.73284536268536</v>
      </c>
      <c r="N50" s="36" t="n">
        <v>2.06095577224995</v>
      </c>
      <c r="O50" s="36" t="n">
        <f aca="false">SQRT(M50^2+N50^2)</f>
        <v>4.26399732608874</v>
      </c>
      <c r="P50" s="55" t="n">
        <f aca="false">IF(J50="","",MAX(0,J50-1.96*O50/100))</f>
        <v>0.262799698210187</v>
      </c>
      <c r="Q50" s="55" t="n">
        <f aca="false">IF(J50="","",MIN(1,J50+1.96*O50/100))</f>
        <v>0.429948393392866</v>
      </c>
      <c r="R50" s="32" t="str">
        <f aca="false">IF(L50="","",IF(ABS(L50)&lt;=O50,"Yes","No"))</f>
        <v>Yes</v>
      </c>
      <c r="S50" s="32" t="str">
        <f aca="false">IF(L50="","",IF(ABS(L50)&lt;=1.96*O50,"Yes","No"))</f>
        <v>Yes</v>
      </c>
      <c r="T50" s="54" t="n">
        <f aca="false">IF(D50="","",ROUND(SQRT(((D50+G50)*O50/100)^2+(J50*(D50+G50)*0.07872)^2),0))</f>
        <v>53</v>
      </c>
      <c r="U50" s="32"/>
    </row>
    <row r="51" customFormat="false" ht="15" hidden="false" customHeight="false" outlineLevel="0" collapsed="false">
      <c r="A51" s="32" t="s">
        <v>183</v>
      </c>
      <c r="B51" s="32" t="s">
        <v>186</v>
      </c>
      <c r="C51" s="32" t="s">
        <v>129</v>
      </c>
      <c r="D51" s="54" t="n">
        <v>1008</v>
      </c>
      <c r="E51" s="54" t="n">
        <v>1021</v>
      </c>
      <c r="F51" s="65" t="n">
        <f aca="false">IF(E51="","",D51-E51)</f>
        <v>-13</v>
      </c>
      <c r="G51" s="54" t="n">
        <v>1780</v>
      </c>
      <c r="H51" s="54" t="n">
        <v>1984</v>
      </c>
      <c r="I51" s="65" t="n">
        <f aca="false">IF(H51="","",G51-H51)</f>
        <v>-204</v>
      </c>
      <c r="J51" s="55" t="n">
        <f aca="false">IF(OR(D51="",D51+G51=0),"",D51/(D51+G51))</f>
        <v>0.36154949784792</v>
      </c>
      <c r="K51" s="55" t="n">
        <f aca="false">IF(E51="","",E51/(E51+H51))</f>
        <v>0.339767054908486</v>
      </c>
      <c r="L51" s="66" t="n">
        <f aca="false">IF(OR(K51="",J51=""),"",(J51-K51)*100)</f>
        <v>2.17824429394338</v>
      </c>
      <c r="M51" s="36" t="n">
        <v>1.91944964897593</v>
      </c>
      <c r="N51" s="36" t="n">
        <v>2.06095577224995</v>
      </c>
      <c r="O51" s="36" t="n">
        <f aca="false">SQRT(M51^2+N51^2)</f>
        <v>2.81634970309516</v>
      </c>
      <c r="P51" s="55" t="n">
        <f aca="false">IF(J51="","",MAX(0,J51-1.96*O51/100))</f>
        <v>0.306349043667255</v>
      </c>
      <c r="Q51" s="55" t="n">
        <f aca="false">IF(J51="","",MIN(1,J51+1.96*O51/100))</f>
        <v>0.416749952028585</v>
      </c>
      <c r="R51" s="32" t="str">
        <f aca="false">IF(L51="","",IF(ABS(L51)&lt;=O51,"Yes","No"))</f>
        <v>Yes</v>
      </c>
      <c r="S51" s="32" t="str">
        <f aca="false">IF(L51="","",IF(ABS(L51)&lt;=1.96*O51,"Yes","No"))</f>
        <v>Yes</v>
      </c>
      <c r="T51" s="54" t="n">
        <f aca="false">IF(D51="","",ROUND(SQRT(((D51+G51)*O51/100)^2+(J51*(D51+G51)*0.04942)^2),0))</f>
        <v>93</v>
      </c>
      <c r="U51" s="32"/>
    </row>
    <row r="52" customFormat="false" ht="15" hidden="false" customHeight="false" outlineLevel="0" collapsed="false">
      <c r="A52" s="32" t="s">
        <v>183</v>
      </c>
      <c r="B52" s="32" t="s">
        <v>187</v>
      </c>
      <c r="C52" s="32" t="s">
        <v>129</v>
      </c>
      <c r="D52" s="54" t="n">
        <v>333</v>
      </c>
      <c r="E52" s="54" t="n">
        <v>380</v>
      </c>
      <c r="F52" s="65" t="n">
        <f aca="false">IF(E52="","",D52-E52)</f>
        <v>-47</v>
      </c>
      <c r="G52" s="54" t="n">
        <v>531</v>
      </c>
      <c r="H52" s="54" t="n">
        <v>732</v>
      </c>
      <c r="I52" s="65" t="n">
        <f aca="false">IF(H52="","",G52-H52)</f>
        <v>-201</v>
      </c>
      <c r="J52" s="55" t="n">
        <f aca="false">IF(OR(D52="",D52+G52=0),"",D52/(D52+G52))</f>
        <v>0.385416666666667</v>
      </c>
      <c r="K52" s="55" t="n">
        <f aca="false">IF(E52="","",E52/(E52+H52))</f>
        <v>0.341726618705036</v>
      </c>
      <c r="L52" s="66" t="n">
        <f aca="false">IF(OR(K52="",J52=""),"",(J52-K52)*100)</f>
        <v>4.36900479616307</v>
      </c>
      <c r="M52" s="36" t="n">
        <v>3.73284536268536</v>
      </c>
      <c r="N52" s="36" t="n">
        <v>2.06095577224995</v>
      </c>
      <c r="O52" s="36" t="n">
        <f aca="false">SQRT(M52^2+N52^2)</f>
        <v>4.26399732608874</v>
      </c>
      <c r="P52" s="55" t="n">
        <f aca="false">IF(J52="","",MAX(0,J52-1.96*O52/100))</f>
        <v>0.301842319075327</v>
      </c>
      <c r="Q52" s="55" t="n">
        <f aca="false">IF(J52="","",MIN(1,J52+1.96*O52/100))</f>
        <v>0.468991014258006</v>
      </c>
      <c r="R52" s="32" t="str">
        <f aca="false">IF(L52="","",IF(ABS(L52)&lt;=O52,"Yes","No"))</f>
        <v>No</v>
      </c>
      <c r="S52" s="32" t="str">
        <f aca="false">IF(L52="","",IF(ABS(L52)&lt;=1.96*O52,"Yes","No"))</f>
        <v>Yes</v>
      </c>
      <c r="T52" s="54" t="n">
        <f aca="false">IF(D52="","",ROUND(SQRT(((D52+G52)*O52/100)^2+(J52*(D52+G52)*0.07872)^2),0))</f>
        <v>45</v>
      </c>
      <c r="U52" s="32"/>
    </row>
    <row r="53" customFormat="false" ht="15" hidden="false" customHeight="false" outlineLevel="0" collapsed="false">
      <c r="A53" s="32" t="s">
        <v>188</v>
      </c>
      <c r="B53" s="32" t="s">
        <v>189</v>
      </c>
      <c r="C53" s="32" t="s">
        <v>129</v>
      </c>
      <c r="D53" s="54" t="n">
        <v>999</v>
      </c>
      <c r="E53" s="54" t="n">
        <v>1174</v>
      </c>
      <c r="F53" s="65" t="n">
        <f aca="false">IF(E53="","",D53-E53)</f>
        <v>-175</v>
      </c>
      <c r="G53" s="54" t="n">
        <v>1348</v>
      </c>
      <c r="H53" s="54" t="n">
        <v>1426</v>
      </c>
      <c r="I53" s="65" t="n">
        <f aca="false">IF(H53="","",G53-H53)</f>
        <v>-78</v>
      </c>
      <c r="J53" s="55" t="n">
        <f aca="false">IF(OR(D53="",D53+G53=0),"",D53/(D53+G53))</f>
        <v>0.425649765658287</v>
      </c>
      <c r="K53" s="55" t="n">
        <f aca="false">IF(E53="","",E53/(E53+H53))</f>
        <v>0.451538461538462</v>
      </c>
      <c r="L53" s="66" t="n">
        <f aca="false">IF(OR(K53="",J53=""),"",(J53-K53)*100)</f>
        <v>-2.58886958801744</v>
      </c>
      <c r="M53" s="36" t="n">
        <v>2.07973649938125</v>
      </c>
      <c r="N53" s="36" t="n">
        <v>2.06095577224995</v>
      </c>
      <c r="O53" s="36" t="n">
        <f aca="false">SQRT(M53^2+N53^2)</f>
        <v>2.92794170058574</v>
      </c>
      <c r="P53" s="55" t="n">
        <f aca="false">IF(J53="","",MAX(0,J53-1.96*O53/100))</f>
        <v>0.368262108326807</v>
      </c>
      <c r="Q53" s="55" t="n">
        <f aca="false">IF(J53="","",MIN(1,J53+1.96*O53/100))</f>
        <v>0.483037422989768</v>
      </c>
      <c r="R53" s="32" t="str">
        <f aca="false">IF(L53="","",IF(ABS(L53)&lt;=O53,"Yes","No"))</f>
        <v>Yes</v>
      </c>
      <c r="S53" s="32" t="str">
        <f aca="false">IF(L53="","",IF(ABS(L53)&lt;=1.96*O53,"Yes","No"))</f>
        <v>Yes</v>
      </c>
      <c r="T53" s="54" t="n">
        <f aca="false">IF(D53="","",ROUND(SQRT(((D53+G53)*O53/100)^2+(J53*(D53+G53)*0.05883)^2),0))</f>
        <v>90</v>
      </c>
      <c r="U53" s="32"/>
    </row>
    <row r="54" customFormat="false" ht="15" hidden="false" customHeight="false" outlineLevel="0" collapsed="false">
      <c r="A54" s="32" t="s">
        <v>188</v>
      </c>
      <c r="B54" s="32" t="s">
        <v>190</v>
      </c>
      <c r="C54" s="32" t="s">
        <v>129</v>
      </c>
      <c r="D54" s="54" t="n">
        <v>663</v>
      </c>
      <c r="E54" s="54" t="n">
        <v>729</v>
      </c>
      <c r="F54" s="65" t="n">
        <f aca="false">IF(E54="","",D54-E54)</f>
        <v>-66</v>
      </c>
      <c r="G54" s="54" t="n">
        <v>911</v>
      </c>
      <c r="H54" s="54" t="n">
        <v>928</v>
      </c>
      <c r="I54" s="65" t="n">
        <f aca="false">IF(H54="","",G54-H54)</f>
        <v>-17</v>
      </c>
      <c r="J54" s="55" t="n">
        <f aca="false">IF(OR(D54="",D54+G54=0),"",D54/(D54+G54))</f>
        <v>0.421219822109276</v>
      </c>
      <c r="K54" s="55" t="n">
        <f aca="false">IF(E54="","",E54/(E54+H54))</f>
        <v>0.43995171997586</v>
      </c>
      <c r="L54" s="66" t="n">
        <f aca="false">IF(OR(K54="",J54=""),"",(J54-K54)*100)</f>
        <v>-1.87318978665842</v>
      </c>
      <c r="M54" s="36" t="n">
        <v>2.07973649938125</v>
      </c>
      <c r="N54" s="36" t="n">
        <v>2.06095577224995</v>
      </c>
      <c r="O54" s="36" t="n">
        <f aca="false">SQRT(M54^2+N54^2)</f>
        <v>2.92794170058574</v>
      </c>
      <c r="P54" s="55" t="n">
        <f aca="false">IF(J54="","",MAX(0,J54-1.96*O54/100))</f>
        <v>0.363832164777795</v>
      </c>
      <c r="Q54" s="55" t="n">
        <f aca="false">IF(J54="","",MIN(1,J54+1.96*O54/100))</f>
        <v>0.478607479440756</v>
      </c>
      <c r="R54" s="32" t="str">
        <f aca="false">IF(L54="","",IF(ABS(L54)&lt;=O54,"Yes","No"))</f>
        <v>Yes</v>
      </c>
      <c r="S54" s="32" t="str">
        <f aca="false">IF(L54="","",IF(ABS(L54)&lt;=1.96*O54,"Yes","No"))</f>
        <v>Yes</v>
      </c>
      <c r="T54" s="54" t="n">
        <f aca="false">IF(D54="","",ROUND(SQRT(((D54+G54)*O54/100)^2+(J54*(D54+G54)*0.05883)^2),0))</f>
        <v>60</v>
      </c>
      <c r="U54" s="32"/>
    </row>
    <row r="55" customFormat="false" ht="15" hidden="false" customHeight="false" outlineLevel="0" collapsed="false">
      <c r="A55" s="32" t="s">
        <v>188</v>
      </c>
      <c r="B55" s="32" t="s">
        <v>191</v>
      </c>
      <c r="C55" s="32" t="s">
        <v>129</v>
      </c>
      <c r="D55" s="54" t="n">
        <v>423</v>
      </c>
      <c r="E55" s="54" t="n">
        <v>441</v>
      </c>
      <c r="F55" s="65" t="n">
        <f aca="false">IF(E55="","",D55-E55)</f>
        <v>-18</v>
      </c>
      <c r="G55" s="54" t="n">
        <v>451</v>
      </c>
      <c r="H55" s="54" t="n">
        <v>513</v>
      </c>
      <c r="I55" s="65" t="n">
        <f aca="false">IF(H55="","",G55-H55)</f>
        <v>-62</v>
      </c>
      <c r="J55" s="55" t="n">
        <f aca="false">IF(OR(D55="",D55+G55=0),"",D55/(D55+G55))</f>
        <v>0.483981693363844</v>
      </c>
      <c r="K55" s="55" t="n">
        <f aca="false">IF(E55="","",E55/(E55+H55))</f>
        <v>0.462264150943396</v>
      </c>
      <c r="L55" s="66" t="n">
        <f aca="false">IF(OR(K55="",J55=""),"",(J55-K55)*100)</f>
        <v>2.17175424204482</v>
      </c>
      <c r="M55" s="36" t="n">
        <v>3.73284536268536</v>
      </c>
      <c r="N55" s="36" t="n">
        <v>2.06095577224995</v>
      </c>
      <c r="O55" s="36" t="n">
        <f aca="false">SQRT(M55^2+N55^2)</f>
        <v>4.26399732608874</v>
      </c>
      <c r="P55" s="55" t="n">
        <f aca="false">IF(J55="","",MAX(0,J55-1.96*O55/100))</f>
        <v>0.400407345772505</v>
      </c>
      <c r="Q55" s="55" t="n">
        <f aca="false">IF(J55="","",MIN(1,J55+1.96*O55/100))</f>
        <v>0.567556040955184</v>
      </c>
      <c r="R55" s="32" t="str">
        <f aca="false">IF(L55="","",IF(ABS(L55)&lt;=O55,"Yes","No"))</f>
        <v>Yes</v>
      </c>
      <c r="S55" s="32" t="str">
        <f aca="false">IF(L55="","",IF(ABS(L55)&lt;=1.96*O55,"Yes","No"))</f>
        <v>Yes</v>
      </c>
      <c r="T55" s="54" t="n">
        <f aca="false">IF(D55="","",ROUND(SQRT(((D55+G55)*O55/100)^2+(J55*(D55+G55)*0.07872)^2),0))</f>
        <v>50</v>
      </c>
      <c r="U55" s="32"/>
    </row>
    <row r="56" customFormat="false" ht="15" hidden="false" customHeight="false" outlineLevel="0" collapsed="false">
      <c r="A56" s="32" t="s">
        <v>188</v>
      </c>
      <c r="B56" s="32" t="s">
        <v>160</v>
      </c>
      <c r="C56" s="32" t="s">
        <v>129</v>
      </c>
      <c r="D56" s="54" t="n">
        <v>11622</v>
      </c>
      <c r="E56" s="54" t="n">
        <v>12402</v>
      </c>
      <c r="F56" s="65" t="n">
        <f aca="false">IF(E56="","",D56-E56)</f>
        <v>-780</v>
      </c>
      <c r="G56" s="54" t="n">
        <v>6046</v>
      </c>
      <c r="H56" s="54" t="n">
        <v>5692</v>
      </c>
      <c r="I56" s="65" t="n">
        <f aca="false">IF(H56="","",G56-H56)</f>
        <v>354</v>
      </c>
      <c r="J56" s="55" t="n">
        <f aca="false">IF(OR(D56="",D56+G56=0),"",D56/(D56+G56))</f>
        <v>0.65779941136518</v>
      </c>
      <c r="K56" s="55" t="n">
        <f aca="false">IF(E56="","",E56/(E56+H56))</f>
        <v>0.685420581408202</v>
      </c>
      <c r="L56" s="66" t="n">
        <f aca="false">IF(OR(K56="",J56=""),"",(J56-K56)*100)</f>
        <v>-2.76211700430217</v>
      </c>
      <c r="M56" s="36" t="n">
        <v>1.91944964897593</v>
      </c>
      <c r="N56" s="36" t="n">
        <v>2.06095577224995</v>
      </c>
      <c r="O56" s="36" t="n">
        <f aca="false">SQRT(M56^2+N56^2)</f>
        <v>2.81634970309516</v>
      </c>
      <c r="P56" s="55" t="n">
        <f aca="false">IF(J56="","",MAX(0,J56-1.96*O56/100))</f>
        <v>0.602598957184515</v>
      </c>
      <c r="Q56" s="55" t="n">
        <f aca="false">IF(J56="","",MIN(1,J56+1.96*O56/100))</f>
        <v>0.712999865545845</v>
      </c>
      <c r="R56" s="32" t="str">
        <f aca="false">IF(L56="","",IF(ABS(L56)&lt;=O56,"Yes","No"))</f>
        <v>Yes</v>
      </c>
      <c r="S56" s="32" t="str">
        <f aca="false">IF(L56="","",IF(ABS(L56)&lt;=1.96*O56,"Yes","No"))</f>
        <v>Yes</v>
      </c>
      <c r="T56" s="54" t="n">
        <f aca="false">IF(D56="","",ROUND(SQRT(((D56+G56)*O56/100)^2+(J56*(D56+G56)*0.04942)^2),0))</f>
        <v>760</v>
      </c>
      <c r="U56" s="32"/>
    </row>
    <row r="57" customFormat="false" ht="15" hidden="false" customHeight="false" outlineLevel="0" collapsed="false">
      <c r="A57" s="32" t="s">
        <v>188</v>
      </c>
      <c r="B57" s="32" t="s">
        <v>192</v>
      </c>
      <c r="C57" s="32" t="s">
        <v>129</v>
      </c>
      <c r="D57" s="54" t="n">
        <v>6066</v>
      </c>
      <c r="E57" s="54" t="n">
        <v>6681</v>
      </c>
      <c r="F57" s="65" t="n">
        <f aca="false">IF(E57="","",D57-E57)</f>
        <v>-615</v>
      </c>
      <c r="G57" s="54" t="n">
        <v>5135</v>
      </c>
      <c r="H57" s="54" t="n">
        <v>5562</v>
      </c>
      <c r="I57" s="65" t="n">
        <f aca="false">IF(H57="","",G57-H57)</f>
        <v>-427</v>
      </c>
      <c r="J57" s="55" t="n">
        <f aca="false">IF(OR(D57="",D57+G57=0),"",D57/(D57+G57))</f>
        <v>0.541558789393804</v>
      </c>
      <c r="K57" s="55" t="n">
        <f aca="false">IF(E57="","",E57/(E57+H57))</f>
        <v>0.545699583435433</v>
      </c>
      <c r="L57" s="66" t="n">
        <f aca="false">IF(OR(K57="",J57=""),"",(J57-K57)*100)</f>
        <v>-0.414079404162837</v>
      </c>
      <c r="M57" s="36" t="n">
        <v>1.91944964897593</v>
      </c>
      <c r="N57" s="36" t="n">
        <v>2.06095577224995</v>
      </c>
      <c r="O57" s="36" t="n">
        <f aca="false">SQRT(M57^2+N57^2)</f>
        <v>2.81634970309516</v>
      </c>
      <c r="P57" s="55" t="n">
        <f aca="false">IF(J57="","",MAX(0,J57-1.96*O57/100))</f>
        <v>0.486358335213139</v>
      </c>
      <c r="Q57" s="55" t="n">
        <f aca="false">IF(J57="","",MIN(1,J57+1.96*O57/100))</f>
        <v>0.596759243574469</v>
      </c>
      <c r="R57" s="32" t="str">
        <f aca="false">IF(L57="","",IF(ABS(L57)&lt;=O57,"Yes","No"))</f>
        <v>Yes</v>
      </c>
      <c r="S57" s="32" t="str">
        <f aca="false">IF(L57="","",IF(ABS(L57)&lt;=1.96*O57,"Yes","No"))</f>
        <v>Yes</v>
      </c>
      <c r="T57" s="54" t="n">
        <f aca="false">IF(D57="","",ROUND(SQRT(((D57+G57)*O57/100)^2+(J57*(D57+G57)*0.04942)^2),0))</f>
        <v>435</v>
      </c>
      <c r="U57" s="32"/>
    </row>
    <row r="58" customFormat="false" ht="15" hidden="false" customHeight="false" outlineLevel="0" collapsed="false">
      <c r="A58" s="32" t="s">
        <v>188</v>
      </c>
      <c r="B58" s="32" t="s">
        <v>193</v>
      </c>
      <c r="C58" s="32" t="s">
        <v>129</v>
      </c>
      <c r="D58" s="54" t="n">
        <v>1478</v>
      </c>
      <c r="E58" s="54" t="n">
        <v>1737</v>
      </c>
      <c r="F58" s="65" t="n">
        <f aca="false">IF(E58="","",D58-E58)</f>
        <v>-259</v>
      </c>
      <c r="G58" s="54" t="n">
        <v>2364</v>
      </c>
      <c r="H58" s="54" t="n">
        <v>2662</v>
      </c>
      <c r="I58" s="65" t="n">
        <f aca="false">IF(H58="","",G58-H58)</f>
        <v>-298</v>
      </c>
      <c r="J58" s="55" t="n">
        <f aca="false">IF(OR(D58="",D58+G58=0),"",D58/(D58+G58))</f>
        <v>0.384695471108798</v>
      </c>
      <c r="K58" s="55" t="n">
        <f aca="false">IF(E58="","",E58/(E58+H58))</f>
        <v>0.394862468742896</v>
      </c>
      <c r="L58" s="66" t="n">
        <f aca="false">IF(OR(K58="",J58=""),"",(J58-K58)*100)</f>
        <v>-1.01669976340986</v>
      </c>
      <c r="M58" s="36" t="n">
        <v>1.91944964897593</v>
      </c>
      <c r="N58" s="36" t="n">
        <v>2.06095577224995</v>
      </c>
      <c r="O58" s="36" t="n">
        <f aca="false">SQRT(M58^2+N58^2)</f>
        <v>2.81634970309516</v>
      </c>
      <c r="P58" s="55" t="n">
        <f aca="false">IF(J58="","",MAX(0,J58-1.96*O58/100))</f>
        <v>0.329495016928132</v>
      </c>
      <c r="Q58" s="55" t="n">
        <f aca="false">IF(J58="","",MIN(1,J58+1.96*O58/100))</f>
        <v>0.439895925289463</v>
      </c>
      <c r="R58" s="32" t="str">
        <f aca="false">IF(L58="","",IF(ABS(L58)&lt;=O58,"Yes","No"))</f>
        <v>Yes</v>
      </c>
      <c r="S58" s="32" t="str">
        <f aca="false">IF(L58="","",IF(ABS(L58)&lt;=1.96*O58,"Yes","No"))</f>
        <v>Yes</v>
      </c>
      <c r="T58" s="54" t="n">
        <f aca="false">IF(D58="","",ROUND(SQRT(((D58+G58)*O58/100)^2+(J58*(D58+G58)*0.04942)^2),0))</f>
        <v>131</v>
      </c>
      <c r="U58" s="32"/>
    </row>
    <row r="59" customFormat="false" ht="15" hidden="false" customHeight="false" outlineLevel="0" collapsed="false">
      <c r="A59" s="32" t="s">
        <v>188</v>
      </c>
      <c r="B59" s="32" t="s">
        <v>194</v>
      </c>
      <c r="C59" s="32" t="s">
        <v>129</v>
      </c>
      <c r="D59" s="54" t="n">
        <v>24</v>
      </c>
      <c r="E59" s="54" t="n">
        <v>31</v>
      </c>
      <c r="F59" s="65" t="n">
        <f aca="false">IF(E59="","",D59-E59)</f>
        <v>-7</v>
      </c>
      <c r="G59" s="54" t="n">
        <v>44</v>
      </c>
      <c r="H59" s="54" t="n">
        <v>55</v>
      </c>
      <c r="I59" s="65" t="n">
        <f aca="false">IF(H59="","",G59-H59)</f>
        <v>-11</v>
      </c>
      <c r="J59" s="55" t="n">
        <f aca="false">IF(OR(D59="",D59+G59=0),"",D59/(D59+G59))</f>
        <v>0.352941176470588</v>
      </c>
      <c r="K59" s="55" t="n">
        <f aca="false">IF(E59="","",E59/(E59+H59))</f>
        <v>0.36046511627907</v>
      </c>
      <c r="L59" s="66" t="n">
        <f aca="false">IF(OR(K59="",J59=""),"",(J59-K59)*100)</f>
        <v>-0.752393980848148</v>
      </c>
      <c r="M59" s="36" t="n">
        <v>3.73284536268536</v>
      </c>
      <c r="N59" s="36" t="n">
        <v>2.06095577224995</v>
      </c>
      <c r="O59" s="36" t="n">
        <f aca="false">SQRT(M59^2+N59^2)</f>
        <v>4.26399732608874</v>
      </c>
      <c r="P59" s="55" t="n">
        <f aca="false">IF(J59="","",MAX(0,J59-1.96*O59/100))</f>
        <v>0.269366828879249</v>
      </c>
      <c r="Q59" s="55" t="n">
        <f aca="false">IF(J59="","",MIN(1,J59+1.96*O59/100))</f>
        <v>0.436515524061928</v>
      </c>
      <c r="R59" s="32" t="str">
        <f aca="false">IF(L59="","",IF(ABS(L59)&lt;=O59,"Yes","No"))</f>
        <v>Yes</v>
      </c>
      <c r="S59" s="32" t="str">
        <f aca="false">IF(L59="","",IF(ABS(L59)&lt;=1.96*O59,"Yes","No"))</f>
        <v>Yes</v>
      </c>
      <c r="T59" s="54" t="n">
        <f aca="false">IF(D59="","",ROUND(SQRT(((D59+G59)*O59/100)^2+(J59*(D59+G59)*0.07872)^2),0))</f>
        <v>3</v>
      </c>
      <c r="U59" s="32"/>
    </row>
    <row r="60" customFormat="false" ht="15" hidden="false" customHeight="false" outlineLevel="0" collapsed="false">
      <c r="A60" s="32" t="s">
        <v>188</v>
      </c>
      <c r="B60" s="32" t="s">
        <v>195</v>
      </c>
      <c r="C60" s="32" t="s">
        <v>129</v>
      </c>
      <c r="D60" s="54" t="n">
        <v>932</v>
      </c>
      <c r="E60" s="54" t="n">
        <v>1109</v>
      </c>
      <c r="F60" s="65" t="n">
        <f aca="false">IF(E60="","",D60-E60)</f>
        <v>-177</v>
      </c>
      <c r="G60" s="54" t="n">
        <v>1331</v>
      </c>
      <c r="H60" s="54" t="n">
        <v>1408</v>
      </c>
      <c r="I60" s="65" t="n">
        <f aca="false">IF(H60="","",G60-H60)</f>
        <v>-77</v>
      </c>
      <c r="J60" s="55" t="n">
        <f aca="false">IF(OR(D60="",D60+G60=0),"",D60/(D60+G60))</f>
        <v>0.411842686699072</v>
      </c>
      <c r="K60" s="55" t="n">
        <f aca="false">IF(E60="","",E60/(E60+H60))</f>
        <v>0.440603893524037</v>
      </c>
      <c r="L60" s="66" t="n">
        <f aca="false">IF(OR(K60="",J60=""),"",(J60-K60)*100)</f>
        <v>-2.87612068249645</v>
      </c>
      <c r="M60" s="36" t="n">
        <v>2.07973649938125</v>
      </c>
      <c r="N60" s="36" t="n">
        <v>2.06095577224995</v>
      </c>
      <c r="O60" s="36" t="n">
        <f aca="false">SQRT(M60^2+N60^2)</f>
        <v>2.92794170058574</v>
      </c>
      <c r="P60" s="55" t="n">
        <f aca="false">IF(J60="","",MAX(0,J60-1.96*O60/100))</f>
        <v>0.354455029367592</v>
      </c>
      <c r="Q60" s="55" t="n">
        <f aca="false">IF(J60="","",MIN(1,J60+1.96*O60/100))</f>
        <v>0.469230344030553</v>
      </c>
      <c r="R60" s="32" t="str">
        <f aca="false">IF(L60="","",IF(ABS(L60)&lt;=O60,"Yes","No"))</f>
        <v>Yes</v>
      </c>
      <c r="S60" s="32" t="str">
        <f aca="false">IF(L60="","",IF(ABS(L60)&lt;=1.96*O60,"Yes","No"))</f>
        <v>Yes</v>
      </c>
      <c r="T60" s="54" t="n">
        <f aca="false">IF(D60="","",ROUND(SQRT(((D60+G60)*O60/100)^2+(J60*(D60+G60)*0.05883)^2),0))</f>
        <v>86</v>
      </c>
      <c r="U60" s="32"/>
    </row>
    <row r="61" customFormat="false" ht="15" hidden="false" customHeight="false" outlineLevel="0" collapsed="false">
      <c r="A61" s="32" t="s">
        <v>188</v>
      </c>
      <c r="B61" s="32" t="s">
        <v>196</v>
      </c>
      <c r="C61" s="32" t="s">
        <v>129</v>
      </c>
      <c r="D61" s="54" t="n">
        <v>127</v>
      </c>
      <c r="E61" s="54" t="n">
        <v>137</v>
      </c>
      <c r="F61" s="65" t="n">
        <f aca="false">IF(E61="","",D61-E61)</f>
        <v>-10</v>
      </c>
      <c r="G61" s="54" t="n">
        <v>221</v>
      </c>
      <c r="H61" s="54" t="n">
        <v>214</v>
      </c>
      <c r="I61" s="65" t="n">
        <f aca="false">IF(H61="","",G61-H61)</f>
        <v>7</v>
      </c>
      <c r="J61" s="55" t="n">
        <f aca="false">IF(OR(D61="",D61+G61=0),"",D61/(D61+G61))</f>
        <v>0.364942528735632</v>
      </c>
      <c r="K61" s="55" t="n">
        <f aca="false">IF(E61="","",E61/(E61+H61))</f>
        <v>0.39031339031339</v>
      </c>
      <c r="L61" s="66" t="n">
        <f aca="false">IF(OR(K61="",J61=""),"",(J61-K61)*100)</f>
        <v>-2.53708615777581</v>
      </c>
      <c r="M61" s="36" t="n">
        <v>3.73284536268536</v>
      </c>
      <c r="N61" s="36" t="n">
        <v>2.06095577224995</v>
      </c>
      <c r="O61" s="36" t="n">
        <f aca="false">SQRT(M61^2+N61^2)</f>
        <v>4.26399732608874</v>
      </c>
      <c r="P61" s="55" t="n">
        <f aca="false">IF(J61="","",MAX(0,J61-1.96*O61/100))</f>
        <v>0.281368181144293</v>
      </c>
      <c r="Q61" s="55" t="n">
        <f aca="false">IF(J61="","",MIN(1,J61+1.96*O61/100))</f>
        <v>0.448516876326972</v>
      </c>
      <c r="R61" s="32" t="str">
        <f aca="false">IF(L61="","",IF(ABS(L61)&lt;=O61,"Yes","No"))</f>
        <v>Yes</v>
      </c>
      <c r="S61" s="32" t="str">
        <f aca="false">IF(L61="","",IF(ABS(L61)&lt;=1.96*O61,"Yes","No"))</f>
        <v>Yes</v>
      </c>
      <c r="T61" s="54" t="n">
        <f aca="false">IF(D61="","",ROUND(SQRT(((D61+G61)*O61/100)^2+(J61*(D61+G61)*0.07872)^2),0))</f>
        <v>18</v>
      </c>
      <c r="U61" s="32"/>
    </row>
    <row r="62" customFormat="false" ht="15" hidden="false" customHeight="false" outlineLevel="0" collapsed="false">
      <c r="A62" s="32" t="s">
        <v>188</v>
      </c>
      <c r="B62" s="32" t="s">
        <v>197</v>
      </c>
      <c r="C62" s="32" t="s">
        <v>129</v>
      </c>
      <c r="D62" s="54" t="n">
        <v>4574</v>
      </c>
      <c r="E62" s="54" t="n">
        <v>5210</v>
      </c>
      <c r="F62" s="65" t="n">
        <f aca="false">IF(E62="","",D62-E62)</f>
        <v>-636</v>
      </c>
      <c r="G62" s="54" t="n">
        <v>2376</v>
      </c>
      <c r="H62" s="54" t="n">
        <v>1883</v>
      </c>
      <c r="I62" s="65" t="n">
        <f aca="false">IF(H62="","",G62-H62)</f>
        <v>493</v>
      </c>
      <c r="J62" s="55" t="n">
        <f aca="false">IF(OR(D62="",D62+G62=0),"",D62/(D62+G62))</f>
        <v>0.658129496402878</v>
      </c>
      <c r="K62" s="55" t="n">
        <f aca="false">IF(E62="","",E62/(E62+H62))</f>
        <v>0.734526998449175</v>
      </c>
      <c r="L62" s="66" t="n">
        <f aca="false">IF(OR(K62="",J62=""),"",(J62-K62)*100)</f>
        <v>-7.63975020462976</v>
      </c>
      <c r="M62" s="36" t="n">
        <v>1.91944964897593</v>
      </c>
      <c r="N62" s="36" t="n">
        <v>2.06095577224995</v>
      </c>
      <c r="O62" s="36" t="n">
        <f aca="false">SQRT(M62^2+N62^2)</f>
        <v>2.81634970309516</v>
      </c>
      <c r="P62" s="55" t="n">
        <f aca="false">IF(J62="","",MAX(0,J62-1.96*O62/100))</f>
        <v>0.602929042222212</v>
      </c>
      <c r="Q62" s="55" t="n">
        <f aca="false">IF(J62="","",MIN(1,J62+1.96*O62/100))</f>
        <v>0.713329950583543</v>
      </c>
      <c r="R62" s="32" t="str">
        <f aca="false">IF(L62="","",IF(ABS(L62)&lt;=O62,"Yes","No"))</f>
        <v>No</v>
      </c>
      <c r="S62" s="32" t="str">
        <f aca="false">IF(L62="","",IF(ABS(L62)&lt;=1.96*O62,"Yes","No"))</f>
        <v>No</v>
      </c>
      <c r="T62" s="54" t="n">
        <f aca="false">IF(D62="","",ROUND(SQRT(((D62+G62)*O62/100)^2+(J62*(D62+G62)*0.04942)^2),0))</f>
        <v>299</v>
      </c>
      <c r="U62" s="32"/>
    </row>
    <row r="63" customFormat="false" ht="15" hidden="false" customHeight="false" outlineLevel="0" collapsed="false">
      <c r="A63" s="32" t="s">
        <v>188</v>
      </c>
      <c r="B63" s="32" t="s">
        <v>198</v>
      </c>
      <c r="C63" s="32" t="s">
        <v>129</v>
      </c>
      <c r="D63" s="54" t="n">
        <v>3908</v>
      </c>
      <c r="E63" s="54" t="n">
        <v>4158</v>
      </c>
      <c r="F63" s="65" t="n">
        <f aca="false">IF(E63="","",D63-E63)</f>
        <v>-250</v>
      </c>
      <c r="G63" s="54" t="n">
        <v>3347</v>
      </c>
      <c r="H63" s="54" t="n">
        <v>3782</v>
      </c>
      <c r="I63" s="65" t="n">
        <f aca="false">IF(H63="","",G63-H63)</f>
        <v>-435</v>
      </c>
      <c r="J63" s="55" t="n">
        <f aca="false">IF(OR(D63="",D63+G63=0),"",D63/(D63+G63))</f>
        <v>0.538662991040662</v>
      </c>
      <c r="K63" s="55" t="n">
        <f aca="false">IF(E63="","",E63/(E63+H63))</f>
        <v>0.52367758186398</v>
      </c>
      <c r="L63" s="66" t="n">
        <f aca="false">IF(OR(K63="",J63=""),"",(J63-K63)*100)</f>
        <v>1.49854091766818</v>
      </c>
      <c r="M63" s="36" t="n">
        <v>1.91944964897593</v>
      </c>
      <c r="N63" s="36" t="n">
        <v>2.06095577224995</v>
      </c>
      <c r="O63" s="36" t="n">
        <f aca="false">SQRT(M63^2+N63^2)</f>
        <v>2.81634970309516</v>
      </c>
      <c r="P63" s="55" t="n">
        <f aca="false">IF(J63="","",MAX(0,J63-1.96*O63/100))</f>
        <v>0.483462536859996</v>
      </c>
      <c r="Q63" s="55" t="n">
        <f aca="false">IF(J63="","",MIN(1,J63+1.96*O63/100))</f>
        <v>0.593863445221327</v>
      </c>
      <c r="R63" s="32" t="str">
        <f aca="false">IF(L63="","",IF(ABS(L63)&lt;=O63,"Yes","No"))</f>
        <v>Yes</v>
      </c>
      <c r="S63" s="32" t="str">
        <f aca="false">IF(L63="","",IF(ABS(L63)&lt;=1.96*O63,"Yes","No"))</f>
        <v>Yes</v>
      </c>
      <c r="T63" s="54" t="n">
        <f aca="false">IF(D63="","",ROUND(SQRT(((D63+G63)*O63/100)^2+(J63*(D63+G63)*0.04942)^2),0))</f>
        <v>281</v>
      </c>
      <c r="U63" s="32"/>
    </row>
    <row r="64" customFormat="false" ht="15" hidden="false" customHeight="false" outlineLevel="0" collapsed="false">
      <c r="A64" s="32" t="s">
        <v>188</v>
      </c>
      <c r="B64" s="32" t="s">
        <v>199</v>
      </c>
      <c r="C64" s="32" t="s">
        <v>129</v>
      </c>
      <c r="D64" s="54" t="n">
        <v>532</v>
      </c>
      <c r="E64" s="54" t="n">
        <v>480</v>
      </c>
      <c r="F64" s="65" t="n">
        <f aca="false">IF(E64="","",D64-E64)</f>
        <v>52</v>
      </c>
      <c r="G64" s="54" t="n">
        <v>299</v>
      </c>
      <c r="H64" s="54" t="n">
        <v>330</v>
      </c>
      <c r="I64" s="65" t="n">
        <f aca="false">IF(H64="","",G64-H64)</f>
        <v>-31</v>
      </c>
      <c r="J64" s="55" t="n">
        <f aca="false">IF(OR(D64="",D64+G64=0),"",D64/(D64+G64))</f>
        <v>0.640192539109507</v>
      </c>
      <c r="K64" s="55" t="n">
        <f aca="false">IF(E64="","",E64/(E64+H64))</f>
        <v>0.592592592592593</v>
      </c>
      <c r="L64" s="66" t="n">
        <f aca="false">IF(OR(K64="",J64=""),"",(J64-K64)*100)</f>
        <v>4.7599946516914</v>
      </c>
      <c r="M64" s="36" t="n">
        <v>3.73284536268536</v>
      </c>
      <c r="N64" s="36" t="n">
        <v>2.06095577224995</v>
      </c>
      <c r="O64" s="36" t="n">
        <f aca="false">SQRT(M64^2+N64^2)</f>
        <v>4.26399732608874</v>
      </c>
      <c r="P64" s="55" t="n">
        <f aca="false">IF(J64="","",MAX(0,J64-1.96*O64/100))</f>
        <v>0.556618191518167</v>
      </c>
      <c r="Q64" s="55" t="n">
        <f aca="false">IF(J64="","",MIN(1,J64+1.96*O64/100))</f>
        <v>0.723766886700846</v>
      </c>
      <c r="R64" s="32" t="str">
        <f aca="false">IF(L64="","",IF(ABS(L64)&lt;=O64,"Yes","No"))</f>
        <v>No</v>
      </c>
      <c r="S64" s="32" t="str">
        <f aca="false">IF(L64="","",IF(ABS(L64)&lt;=1.96*O64,"Yes","No"))</f>
        <v>Yes</v>
      </c>
      <c r="T64" s="54" t="n">
        <f aca="false">IF(D64="","",ROUND(SQRT(((D64+G64)*O64/100)^2+(J64*(D64+G64)*0.07872)^2),0))</f>
        <v>55</v>
      </c>
      <c r="U64" s="32"/>
    </row>
    <row r="65" customFormat="false" ht="15" hidden="false" customHeight="false" outlineLevel="0" collapsed="false">
      <c r="A65" s="32" t="s">
        <v>188</v>
      </c>
      <c r="B65" s="32" t="s">
        <v>200</v>
      </c>
      <c r="C65" s="32" t="s">
        <v>129</v>
      </c>
      <c r="D65" s="54" t="n">
        <v>69</v>
      </c>
      <c r="E65" s="54" t="n">
        <v>72</v>
      </c>
      <c r="F65" s="65" t="n">
        <f aca="false">IF(E65="","",D65-E65)</f>
        <v>-3</v>
      </c>
      <c r="G65" s="54" t="n">
        <v>59</v>
      </c>
      <c r="H65" s="54" t="n">
        <v>69</v>
      </c>
      <c r="I65" s="65" t="n">
        <f aca="false">IF(H65="","",G65-H65)</f>
        <v>-10</v>
      </c>
      <c r="J65" s="55" t="n">
        <f aca="false">IF(OR(D65="",D65+G65=0),"",D65/(D65+G65))</f>
        <v>0.5390625</v>
      </c>
      <c r="K65" s="55" t="n">
        <f aca="false">IF(E65="","",E65/(E65+H65))</f>
        <v>0.51063829787234</v>
      </c>
      <c r="L65" s="66" t="n">
        <f aca="false">IF(OR(K65="",J65=""),"",(J65-K65)*100)</f>
        <v>2.84242021276596</v>
      </c>
      <c r="M65" s="36" t="n">
        <v>3.73284536268536</v>
      </c>
      <c r="N65" s="36" t="n">
        <v>2.06095577224995</v>
      </c>
      <c r="O65" s="36" t="n">
        <f aca="false">SQRT(M65^2+N65^2)</f>
        <v>4.26399732608874</v>
      </c>
      <c r="P65" s="55" t="n">
        <f aca="false">IF(J65="","",MAX(0,J65-1.96*O65/100))</f>
        <v>0.455488152408661</v>
      </c>
      <c r="Q65" s="55" t="n">
        <f aca="false">IF(J65="","",MIN(1,J65+1.96*O65/100))</f>
        <v>0.622636847591339</v>
      </c>
      <c r="R65" s="32" t="str">
        <f aca="false">IF(L65="","",IF(ABS(L65)&lt;=O65,"Yes","No"))</f>
        <v>Yes</v>
      </c>
      <c r="S65" s="32" t="str">
        <f aca="false">IF(L65="","",IF(ABS(L65)&lt;=1.96*O65,"Yes","No"))</f>
        <v>Yes</v>
      </c>
      <c r="T65" s="54" t="n">
        <f aca="false">IF(D65="","",ROUND(SQRT(((D65+G65)*O65/100)^2+(J65*(D65+G65)*0.07872)^2),0))</f>
        <v>8</v>
      </c>
      <c r="U65" s="32"/>
    </row>
    <row r="66" customFormat="false" ht="15" hidden="false" customHeight="false" outlineLevel="0" collapsed="false">
      <c r="A66" s="32" t="s">
        <v>188</v>
      </c>
      <c r="B66" s="32" t="s">
        <v>166</v>
      </c>
      <c r="C66" s="32" t="s">
        <v>129</v>
      </c>
      <c r="D66" s="54" t="n">
        <v>3260</v>
      </c>
      <c r="E66" s="54" t="n">
        <v>3570</v>
      </c>
      <c r="F66" s="65" t="n">
        <f aca="false">IF(E66="","",D66-E66)</f>
        <v>-310</v>
      </c>
      <c r="G66" s="54" t="n">
        <v>2744</v>
      </c>
      <c r="H66" s="54" t="n">
        <v>2883</v>
      </c>
      <c r="I66" s="65" t="n">
        <f aca="false">IF(H66="","",G66-H66)</f>
        <v>-139</v>
      </c>
      <c r="J66" s="55" t="n">
        <f aca="false">IF(OR(D66="",D66+G66=0),"",D66/(D66+G66))</f>
        <v>0.542971352431712</v>
      </c>
      <c r="K66" s="55" t="n">
        <f aca="false">IF(E66="","",E66/(E66+H66))</f>
        <v>0.553231055323106</v>
      </c>
      <c r="L66" s="66" t="n">
        <f aca="false">IF(OR(K66="",J66=""),"",(J66-K66)*100)</f>
        <v>-1.02597028913933</v>
      </c>
      <c r="M66" s="36" t="n">
        <v>1.91944964897593</v>
      </c>
      <c r="N66" s="36" t="n">
        <v>2.06095577224995</v>
      </c>
      <c r="O66" s="36" t="n">
        <f aca="false">SQRT(M66^2+N66^2)</f>
        <v>2.81634970309516</v>
      </c>
      <c r="P66" s="55" t="n">
        <f aca="false">IF(J66="","",MAX(0,J66-1.96*O66/100))</f>
        <v>0.487770898251047</v>
      </c>
      <c r="Q66" s="55" t="n">
        <f aca="false">IF(J66="","",MIN(1,J66+1.96*O66/100))</f>
        <v>0.598171806612377</v>
      </c>
      <c r="R66" s="32" t="str">
        <f aca="false">IF(L66="","",IF(ABS(L66)&lt;=O66,"Yes","No"))</f>
        <v>Yes</v>
      </c>
      <c r="S66" s="32" t="str">
        <f aca="false">IF(L66="","",IF(ABS(L66)&lt;=1.96*O66,"Yes","No"))</f>
        <v>Yes</v>
      </c>
      <c r="T66" s="54" t="n">
        <f aca="false">IF(D66="","",ROUND(SQRT(((D66+G66)*O66/100)^2+(J66*(D66+G66)*0.04942)^2),0))</f>
        <v>234</v>
      </c>
      <c r="U66" s="32"/>
    </row>
    <row r="67" customFormat="false" ht="15" hidden="false" customHeight="false" outlineLevel="0" collapsed="false">
      <c r="A67" s="32" t="s">
        <v>188</v>
      </c>
      <c r="B67" s="32" t="s">
        <v>201</v>
      </c>
      <c r="C67" s="32" t="s">
        <v>129</v>
      </c>
      <c r="D67" s="54" t="n">
        <v>1301</v>
      </c>
      <c r="E67" s="54" t="n">
        <v>1372</v>
      </c>
      <c r="F67" s="65" t="n">
        <f aca="false">IF(E67="","",D67-E67)</f>
        <v>-71</v>
      </c>
      <c r="G67" s="54" t="n">
        <v>1122</v>
      </c>
      <c r="H67" s="54" t="n">
        <v>1201</v>
      </c>
      <c r="I67" s="65" t="n">
        <f aca="false">IF(H67="","",G67-H67)</f>
        <v>-79</v>
      </c>
      <c r="J67" s="55" t="n">
        <f aca="false">IF(OR(D67="",D67+G67=0),"",D67/(D67+G67))</f>
        <v>0.536937680561288</v>
      </c>
      <c r="K67" s="55" t="n">
        <f aca="false">IF(E67="","",E67/(E67+H67))</f>
        <v>0.53322969296541</v>
      </c>
      <c r="L67" s="66" t="n">
        <f aca="false">IF(OR(K67="",J67=""),"",(J67-K67)*100)</f>
        <v>0.370798759587765</v>
      </c>
      <c r="M67" s="36" t="n">
        <v>2.07973649938125</v>
      </c>
      <c r="N67" s="36" t="n">
        <v>2.06095577224995</v>
      </c>
      <c r="O67" s="36" t="n">
        <f aca="false">SQRT(M67^2+N67^2)</f>
        <v>2.92794170058574</v>
      </c>
      <c r="P67" s="55" t="n">
        <f aca="false">IF(J67="","",MAX(0,J67-1.96*O67/100))</f>
        <v>0.479550023229807</v>
      </c>
      <c r="Q67" s="55" t="n">
        <f aca="false">IF(J67="","",MIN(1,J67+1.96*O67/100))</f>
        <v>0.594325337892768</v>
      </c>
      <c r="R67" s="32" t="str">
        <f aca="false">IF(L67="","",IF(ABS(L67)&lt;=O67,"Yes","No"))</f>
        <v>Yes</v>
      </c>
      <c r="S67" s="32" t="str">
        <f aca="false">IF(L67="","",IF(ABS(L67)&lt;=1.96*O67,"Yes","No"))</f>
        <v>Yes</v>
      </c>
      <c r="T67" s="54" t="n">
        <f aca="false">IF(D67="","",ROUND(SQRT(((D67+G67)*O67/100)^2+(J67*(D67+G67)*0.05883)^2),0))</f>
        <v>104</v>
      </c>
      <c r="U67" s="32"/>
    </row>
    <row r="68" customFormat="false" ht="15" hidden="false" customHeight="false" outlineLevel="0" collapsed="false">
      <c r="A68" s="32" t="s">
        <v>188</v>
      </c>
      <c r="B68" s="32" t="s">
        <v>202</v>
      </c>
      <c r="C68" s="32" t="s">
        <v>129</v>
      </c>
      <c r="D68" s="54" t="n">
        <v>1588</v>
      </c>
      <c r="E68" s="54" t="n">
        <v>1803</v>
      </c>
      <c r="F68" s="65" t="n">
        <f aca="false">IF(E68="","",D68-E68)</f>
        <v>-215</v>
      </c>
      <c r="G68" s="54" t="n">
        <v>3001</v>
      </c>
      <c r="H68" s="54" t="n">
        <v>3303</v>
      </c>
      <c r="I68" s="65" t="n">
        <f aca="false">IF(H68="","",G68-H68)</f>
        <v>-302</v>
      </c>
      <c r="J68" s="55" t="n">
        <f aca="false">IF(OR(D68="",D68+G68=0),"",D68/(D68+G68))</f>
        <v>0.346044889954238</v>
      </c>
      <c r="K68" s="55" t="n">
        <f aca="false">IF(E68="","",E68/(E68+H68))</f>
        <v>0.353113983548766</v>
      </c>
      <c r="L68" s="66" t="n">
        <f aca="false">IF(OR(K68="",J68=""),"",(J68-K68)*100)</f>
        <v>-0.706909359452779</v>
      </c>
      <c r="M68" s="36" t="n">
        <v>1.91944964897593</v>
      </c>
      <c r="N68" s="36" t="n">
        <v>2.06095577224995</v>
      </c>
      <c r="O68" s="36" t="n">
        <f aca="false">SQRT(M68^2+N68^2)</f>
        <v>2.81634970309516</v>
      </c>
      <c r="P68" s="55" t="n">
        <f aca="false">IF(J68="","",MAX(0,J68-1.96*O68/100))</f>
        <v>0.290844435773573</v>
      </c>
      <c r="Q68" s="55" t="n">
        <f aca="false">IF(J68="","",MIN(1,J68+1.96*O68/100))</f>
        <v>0.401245344134904</v>
      </c>
      <c r="R68" s="32" t="str">
        <f aca="false">IF(L68="","",IF(ABS(L68)&lt;=O68,"Yes","No"))</f>
        <v>Yes</v>
      </c>
      <c r="S68" s="32" t="str">
        <f aca="false">IF(L68="","",IF(ABS(L68)&lt;=1.96*O68,"Yes","No"))</f>
        <v>Yes</v>
      </c>
      <c r="T68" s="54" t="n">
        <f aca="false">IF(D68="","",ROUND(SQRT(((D68+G68)*O68/100)^2+(J68*(D68+G68)*0.04942)^2),0))</f>
        <v>151</v>
      </c>
      <c r="U68" s="32"/>
    </row>
    <row r="69" customFormat="false" ht="15" hidden="false" customHeight="false" outlineLevel="0" collapsed="false">
      <c r="A69" s="32" t="s">
        <v>188</v>
      </c>
      <c r="B69" s="32" t="s">
        <v>203</v>
      </c>
      <c r="C69" s="32" t="s">
        <v>129</v>
      </c>
      <c r="D69" s="54" t="n">
        <v>420</v>
      </c>
      <c r="E69" s="54" t="n">
        <v>511</v>
      </c>
      <c r="F69" s="65" t="n">
        <f aca="false">IF(E69="","",D69-E69)</f>
        <v>-91</v>
      </c>
      <c r="G69" s="54" t="n">
        <v>790</v>
      </c>
      <c r="H69" s="54" t="n">
        <v>889</v>
      </c>
      <c r="I69" s="65" t="n">
        <f aca="false">IF(H69="","",G69-H69)</f>
        <v>-99</v>
      </c>
      <c r="J69" s="55" t="n">
        <f aca="false">IF(OR(D69="",D69+G69=0),"",D69/(D69+G69))</f>
        <v>0.347107438016529</v>
      </c>
      <c r="K69" s="55" t="n">
        <f aca="false">IF(E69="","",E69/(E69+H69))</f>
        <v>0.365</v>
      </c>
      <c r="L69" s="66" t="n">
        <f aca="false">IF(OR(K69="",J69=""),"",(J69-K69)*100)</f>
        <v>-1.78925619834711</v>
      </c>
      <c r="M69" s="36" t="n">
        <v>2.07973649938125</v>
      </c>
      <c r="N69" s="36" t="n">
        <v>2.06095577224995</v>
      </c>
      <c r="O69" s="36" t="n">
        <f aca="false">SQRT(M69^2+N69^2)</f>
        <v>2.92794170058574</v>
      </c>
      <c r="P69" s="55" t="n">
        <f aca="false">IF(J69="","",MAX(0,J69-1.96*O69/100))</f>
        <v>0.289719780685048</v>
      </c>
      <c r="Q69" s="55" t="n">
        <f aca="false">IF(J69="","",MIN(1,J69+1.96*O69/100))</f>
        <v>0.40449509534801</v>
      </c>
      <c r="R69" s="32" t="str">
        <f aca="false">IF(L69="","",IF(ABS(L69)&lt;=O69,"Yes","No"))</f>
        <v>Yes</v>
      </c>
      <c r="S69" s="32" t="str">
        <f aca="false">IF(L69="","",IF(ABS(L69)&lt;=1.96*O69,"Yes","No"))</f>
        <v>Yes</v>
      </c>
      <c r="T69" s="54" t="n">
        <f aca="false">IF(D69="","",ROUND(SQRT(((D69+G69)*O69/100)^2+(J69*(D69+G69)*0.05883)^2),0))</f>
        <v>43</v>
      </c>
      <c r="U69" s="32"/>
    </row>
    <row r="70" customFormat="false" ht="15" hidden="false" customHeight="false" outlineLevel="0" collapsed="false">
      <c r="A70" s="32" t="s">
        <v>188</v>
      </c>
      <c r="B70" s="32" t="s">
        <v>204</v>
      </c>
      <c r="C70" s="32" t="s">
        <v>129</v>
      </c>
      <c r="D70" s="54" t="n">
        <v>1414</v>
      </c>
      <c r="E70" s="54" t="n">
        <v>1632</v>
      </c>
      <c r="F70" s="65" t="n">
        <f aca="false">IF(E70="","",D70-E70)</f>
        <v>-218</v>
      </c>
      <c r="G70" s="54" t="n">
        <v>1932</v>
      </c>
      <c r="H70" s="54" t="n">
        <v>2067</v>
      </c>
      <c r="I70" s="65" t="n">
        <f aca="false">IF(H70="","",G70-H70)</f>
        <v>-135</v>
      </c>
      <c r="J70" s="55" t="n">
        <f aca="false">IF(OR(D70="",D70+G70=0),"",D70/(D70+G70))</f>
        <v>0.422594142259414</v>
      </c>
      <c r="K70" s="55" t="n">
        <f aca="false">IF(E70="","",E70/(E70+H70))</f>
        <v>0.441200324412003</v>
      </c>
      <c r="L70" s="66" t="n">
        <f aca="false">IF(OR(K70="",J70=""),"",(J70-K70)*100)</f>
        <v>-1.8606182152589</v>
      </c>
      <c r="M70" s="36" t="n">
        <v>1.91944964897593</v>
      </c>
      <c r="N70" s="36" t="n">
        <v>2.06095577224995</v>
      </c>
      <c r="O70" s="36" t="n">
        <f aca="false">SQRT(M70^2+N70^2)</f>
        <v>2.81634970309516</v>
      </c>
      <c r="P70" s="55" t="n">
        <f aca="false">IF(J70="","",MAX(0,J70-1.96*O70/100))</f>
        <v>0.367393688078749</v>
      </c>
      <c r="Q70" s="55" t="n">
        <f aca="false">IF(J70="","",MIN(1,J70+1.96*O70/100))</f>
        <v>0.477794596440079</v>
      </c>
      <c r="R70" s="32" t="str">
        <f aca="false">IF(L70="","",IF(ABS(L70)&lt;=O70,"Yes","No"))</f>
        <v>Yes</v>
      </c>
      <c r="S70" s="32" t="str">
        <f aca="false">IF(L70="","",IF(ABS(L70)&lt;=1.96*O70,"Yes","No"))</f>
        <v>Yes</v>
      </c>
      <c r="T70" s="54" t="n">
        <f aca="false">IF(D70="","",ROUND(SQRT(((D70+G70)*O70/100)^2+(J70*(D70+G70)*0.04942)^2),0))</f>
        <v>117</v>
      </c>
      <c r="U70" s="32"/>
    </row>
    <row r="71" customFormat="false" ht="15" hidden="false" customHeight="false" outlineLevel="0" collapsed="false">
      <c r="A71" s="32" t="s">
        <v>188</v>
      </c>
      <c r="B71" s="32" t="s">
        <v>205</v>
      </c>
      <c r="C71" s="32" t="s">
        <v>129</v>
      </c>
      <c r="D71" s="54" t="n">
        <v>2643</v>
      </c>
      <c r="E71" s="54" t="n">
        <v>2919</v>
      </c>
      <c r="F71" s="65" t="n">
        <f aca="false">IF(E71="","",D71-E71)</f>
        <v>-276</v>
      </c>
      <c r="G71" s="54" t="n">
        <v>2811</v>
      </c>
      <c r="H71" s="54" t="n">
        <v>3008</v>
      </c>
      <c r="I71" s="65" t="n">
        <f aca="false">IF(H71="","",G71-H71)</f>
        <v>-197</v>
      </c>
      <c r="J71" s="55" t="n">
        <f aca="false">IF(OR(D71="",D71+G71=0),"",D71/(D71+G71))</f>
        <v>0.484598459845985</v>
      </c>
      <c r="K71" s="55" t="n">
        <f aca="false">IF(E71="","",E71/(E71+H71))</f>
        <v>0.492491985827569</v>
      </c>
      <c r="L71" s="66" t="n">
        <f aca="false">IF(OR(K71="",J71=""),"",(J71-K71)*100)</f>
        <v>-0.789352598158416</v>
      </c>
      <c r="M71" s="36" t="n">
        <v>1.91944964897593</v>
      </c>
      <c r="N71" s="36" t="n">
        <v>2.06095577224995</v>
      </c>
      <c r="O71" s="36" t="n">
        <f aca="false">SQRT(M71^2+N71^2)</f>
        <v>2.81634970309516</v>
      </c>
      <c r="P71" s="55" t="n">
        <f aca="false">IF(J71="","",MAX(0,J71-1.96*O71/100))</f>
        <v>0.429398005665319</v>
      </c>
      <c r="Q71" s="55" t="n">
        <f aca="false">IF(J71="","",MIN(1,J71+1.96*O71/100))</f>
        <v>0.53979891402665</v>
      </c>
      <c r="R71" s="32" t="str">
        <f aca="false">IF(L71="","",IF(ABS(L71)&lt;=O71,"Yes","No"))</f>
        <v>Yes</v>
      </c>
      <c r="S71" s="32" t="str">
        <f aca="false">IF(L71="","",IF(ABS(L71)&lt;=1.96*O71,"Yes","No"))</f>
        <v>Yes</v>
      </c>
      <c r="T71" s="54" t="n">
        <f aca="false">IF(D71="","",ROUND(SQRT(((D71+G71)*O71/100)^2+(J71*(D71+G71)*0.04942)^2),0))</f>
        <v>202</v>
      </c>
      <c r="U71" s="32"/>
    </row>
    <row r="72" customFormat="false" ht="15" hidden="false" customHeight="false" outlineLevel="0" collapsed="false">
      <c r="A72" s="32" t="s">
        <v>188</v>
      </c>
      <c r="B72" s="32" t="s">
        <v>206</v>
      </c>
      <c r="C72" s="32" t="s">
        <v>129</v>
      </c>
      <c r="D72" s="54" t="n">
        <v>1437</v>
      </c>
      <c r="E72" s="54" t="n">
        <v>1661</v>
      </c>
      <c r="F72" s="65" t="n">
        <f aca="false">IF(E72="","",D72-E72)</f>
        <v>-224</v>
      </c>
      <c r="G72" s="54" t="n">
        <v>2837</v>
      </c>
      <c r="H72" s="54" t="n">
        <v>3091</v>
      </c>
      <c r="I72" s="65" t="n">
        <f aca="false">IF(H72="","",G72-H72)</f>
        <v>-254</v>
      </c>
      <c r="J72" s="55" t="n">
        <f aca="false">IF(OR(D72="",D72+G72=0),"",D72/(D72+G72))</f>
        <v>0.336218998596163</v>
      </c>
      <c r="K72" s="55" t="n">
        <f aca="false">IF(E72="","",E72/(E72+H72))</f>
        <v>0.349537037037037</v>
      </c>
      <c r="L72" s="66" t="n">
        <f aca="false">IF(OR(K72="",J72=""),"",(J72-K72)*100)</f>
        <v>-1.33180384408742</v>
      </c>
      <c r="M72" s="36" t="n">
        <v>1.91944964897593</v>
      </c>
      <c r="N72" s="36" t="n">
        <v>2.06095577224995</v>
      </c>
      <c r="O72" s="36" t="n">
        <f aca="false">SQRT(M72^2+N72^2)</f>
        <v>2.81634970309516</v>
      </c>
      <c r="P72" s="55" t="n">
        <f aca="false">IF(J72="","",MAX(0,J72-1.96*O72/100))</f>
        <v>0.281018544415498</v>
      </c>
      <c r="Q72" s="55" t="n">
        <f aca="false">IF(J72="","",MIN(1,J72+1.96*O72/100))</f>
        <v>0.391419452776828</v>
      </c>
      <c r="R72" s="32" t="str">
        <f aca="false">IF(L72="","",IF(ABS(L72)&lt;=O72,"Yes","No"))</f>
        <v>Yes</v>
      </c>
      <c r="S72" s="32" t="str">
        <f aca="false">IF(L72="","",IF(ABS(L72)&lt;=1.96*O72,"Yes","No"))</f>
        <v>Yes</v>
      </c>
      <c r="T72" s="54" t="n">
        <f aca="false">IF(D72="","",ROUND(SQRT(((D72+G72)*O72/100)^2+(J72*(D72+G72)*0.04942)^2),0))</f>
        <v>140</v>
      </c>
      <c r="U72" s="32"/>
    </row>
    <row r="73" customFormat="false" ht="15" hidden="false" customHeight="false" outlineLevel="0" collapsed="false">
      <c r="A73" s="32" t="s">
        <v>188</v>
      </c>
      <c r="B73" s="32" t="s">
        <v>207</v>
      </c>
      <c r="C73" s="32" t="s">
        <v>129</v>
      </c>
      <c r="D73" s="54" t="n">
        <v>1133</v>
      </c>
      <c r="E73" s="54" t="n">
        <v>1272</v>
      </c>
      <c r="F73" s="65" t="n">
        <f aca="false">IF(E73="","",D73-E73)</f>
        <v>-139</v>
      </c>
      <c r="G73" s="54" t="n">
        <v>1093</v>
      </c>
      <c r="H73" s="54" t="n">
        <v>1188</v>
      </c>
      <c r="I73" s="65" t="n">
        <f aca="false">IF(H73="","",G73-H73)</f>
        <v>-95</v>
      </c>
      <c r="J73" s="55" t="n">
        <f aca="false">IF(OR(D73="",D73+G73=0),"",D73/(D73+G73))</f>
        <v>0.508984725965858</v>
      </c>
      <c r="K73" s="55" t="n">
        <f aca="false">IF(E73="","",E73/(E73+H73))</f>
        <v>0.517073170731707</v>
      </c>
      <c r="L73" s="66" t="n">
        <f aca="false">IF(OR(K73="",J73=""),"",(J73-K73)*100)</f>
        <v>-0.808844476584925</v>
      </c>
      <c r="M73" s="36" t="n">
        <v>2.07973649938125</v>
      </c>
      <c r="N73" s="36" t="n">
        <v>2.06095577224995</v>
      </c>
      <c r="O73" s="36" t="n">
        <f aca="false">SQRT(M73^2+N73^2)</f>
        <v>2.92794170058574</v>
      </c>
      <c r="P73" s="55" t="n">
        <f aca="false">IF(J73="","",MAX(0,J73-1.96*O73/100))</f>
        <v>0.451597068634378</v>
      </c>
      <c r="Q73" s="55" t="n">
        <f aca="false">IF(J73="","",MIN(1,J73+1.96*O73/100))</f>
        <v>0.566372383297339</v>
      </c>
      <c r="R73" s="32" t="str">
        <f aca="false">IF(L73="","",IF(ABS(L73)&lt;=O73,"Yes","No"))</f>
        <v>Yes</v>
      </c>
      <c r="S73" s="32" t="str">
        <f aca="false">IF(L73="","",IF(ABS(L73)&lt;=1.96*O73,"Yes","No"))</f>
        <v>Yes</v>
      </c>
      <c r="T73" s="54" t="n">
        <f aca="false">IF(D73="","",ROUND(SQRT(((D73+G73)*O73/100)^2+(J73*(D73+G73)*0.05883)^2),0))</f>
        <v>93</v>
      </c>
      <c r="U73" s="32"/>
    </row>
    <row r="74" customFormat="false" ht="15" hidden="false" customHeight="false" outlineLevel="0" collapsed="false">
      <c r="A74" s="32" t="s">
        <v>188</v>
      </c>
      <c r="B74" s="32" t="s">
        <v>208</v>
      </c>
      <c r="C74" s="32" t="s">
        <v>129</v>
      </c>
      <c r="D74" s="54" t="n">
        <v>584</v>
      </c>
      <c r="E74" s="54" t="n">
        <v>644</v>
      </c>
      <c r="F74" s="65" t="n">
        <f aca="false">IF(E74="","",D74-E74)</f>
        <v>-60</v>
      </c>
      <c r="G74" s="54" t="n">
        <v>593</v>
      </c>
      <c r="H74" s="54" t="n">
        <v>634</v>
      </c>
      <c r="I74" s="65" t="n">
        <f aca="false">IF(H74="","",G74-H74)</f>
        <v>-41</v>
      </c>
      <c r="J74" s="55" t="n">
        <f aca="false">IF(OR(D74="",D74+G74=0),"",D74/(D74+G74))</f>
        <v>0.496176720475786</v>
      </c>
      <c r="K74" s="55" t="n">
        <f aca="false">IF(E74="","",E74/(E74+H74))</f>
        <v>0.503912363067293</v>
      </c>
      <c r="L74" s="66" t="n">
        <f aca="false">IF(OR(K74="",J74=""),"",(J74-K74)*100)</f>
        <v>-0.773564259150672</v>
      </c>
      <c r="M74" s="36" t="n">
        <v>2.07973649938125</v>
      </c>
      <c r="N74" s="36" t="n">
        <v>2.06095577224995</v>
      </c>
      <c r="O74" s="36" t="n">
        <f aca="false">SQRT(M74^2+N74^2)</f>
        <v>2.92794170058574</v>
      </c>
      <c r="P74" s="55" t="n">
        <f aca="false">IF(J74="","",MAX(0,J74-1.96*O74/100))</f>
        <v>0.438789063144305</v>
      </c>
      <c r="Q74" s="55" t="n">
        <f aca="false">IF(J74="","",MIN(1,J74+1.96*O74/100))</f>
        <v>0.553564377807266</v>
      </c>
      <c r="R74" s="32" t="str">
        <f aca="false">IF(L74="","",IF(ABS(L74)&lt;=O74,"Yes","No"))</f>
        <v>Yes</v>
      </c>
      <c r="S74" s="32" t="str">
        <f aca="false">IF(L74="","",IF(ABS(L74)&lt;=1.96*O74,"Yes","No"))</f>
        <v>Yes</v>
      </c>
      <c r="T74" s="54" t="n">
        <f aca="false">IF(D74="","",ROUND(SQRT(((D74+G74)*O74/100)^2+(J74*(D74+G74)*0.05883)^2),0))</f>
        <v>49</v>
      </c>
      <c r="U74" s="32"/>
    </row>
    <row r="75" customFormat="false" ht="15" hidden="false" customHeight="false" outlineLevel="0" collapsed="false">
      <c r="A75" s="32" t="s">
        <v>188</v>
      </c>
      <c r="B75" s="32" t="s">
        <v>209</v>
      </c>
      <c r="C75" s="32" t="s">
        <v>129</v>
      </c>
      <c r="D75" s="54" t="n">
        <v>1783</v>
      </c>
      <c r="E75" s="54" t="n">
        <v>1957</v>
      </c>
      <c r="F75" s="65" t="n">
        <f aca="false">IF(E75="","",D75-E75)</f>
        <v>-174</v>
      </c>
      <c r="G75" s="54" t="n">
        <v>1846</v>
      </c>
      <c r="H75" s="54" t="n">
        <v>1970</v>
      </c>
      <c r="I75" s="65" t="n">
        <f aca="false">IF(H75="","",G75-H75)</f>
        <v>-124</v>
      </c>
      <c r="J75" s="55" t="n">
        <f aca="false">IF(OR(D75="",D75+G75=0),"",D75/(D75+G75))</f>
        <v>0.491319922843759</v>
      </c>
      <c r="K75" s="55" t="n">
        <f aca="false">IF(E75="","",E75/(E75+H75))</f>
        <v>0.49834479246244</v>
      </c>
      <c r="L75" s="66" t="n">
        <f aca="false">IF(OR(K75="",J75=""),"",(J75-K75)*100)</f>
        <v>-0.702486961868087</v>
      </c>
      <c r="M75" s="36" t="n">
        <v>1.91944964897593</v>
      </c>
      <c r="N75" s="36" t="n">
        <v>2.06095577224995</v>
      </c>
      <c r="O75" s="36" t="n">
        <f aca="false">SQRT(M75^2+N75^2)</f>
        <v>2.81634970309516</v>
      </c>
      <c r="P75" s="55" t="n">
        <f aca="false">IF(J75="","",MAX(0,J75-1.96*O75/100))</f>
        <v>0.436119468663094</v>
      </c>
      <c r="Q75" s="55" t="n">
        <f aca="false">IF(J75="","",MIN(1,J75+1.96*O75/100))</f>
        <v>0.546520377024424</v>
      </c>
      <c r="R75" s="32" t="str">
        <f aca="false">IF(L75="","",IF(ABS(L75)&lt;=O75,"Yes","No"))</f>
        <v>Yes</v>
      </c>
      <c r="S75" s="32" t="str">
        <f aca="false">IF(L75="","",IF(ABS(L75)&lt;=1.96*O75,"Yes","No"))</f>
        <v>Yes</v>
      </c>
      <c r="T75" s="54" t="n">
        <f aca="false">IF(D75="","",ROUND(SQRT(((D75+G75)*O75/100)^2+(J75*(D75+G75)*0.04942)^2),0))</f>
        <v>135</v>
      </c>
      <c r="U75" s="32"/>
    </row>
    <row r="76" customFormat="false" ht="15" hidden="false" customHeight="false" outlineLevel="0" collapsed="false">
      <c r="A76" s="32" t="s">
        <v>188</v>
      </c>
      <c r="B76" s="32" t="s">
        <v>210</v>
      </c>
      <c r="C76" s="32" t="s">
        <v>129</v>
      </c>
      <c r="D76" s="54" t="n">
        <v>5163</v>
      </c>
      <c r="E76" s="54" t="n">
        <v>5403</v>
      </c>
      <c r="F76" s="65" t="n">
        <f aca="false">IF(E76="","",D76-E76)</f>
        <v>-240</v>
      </c>
      <c r="G76" s="54" t="n">
        <v>4514</v>
      </c>
      <c r="H76" s="54" t="n">
        <v>4910</v>
      </c>
      <c r="I76" s="65" t="n">
        <f aca="false">IF(H76="","",G76-H76)</f>
        <v>-396</v>
      </c>
      <c r="J76" s="55" t="n">
        <f aca="false">IF(OR(D76="",D76+G76=0),"",D76/(D76+G76))</f>
        <v>0.533533119768523</v>
      </c>
      <c r="K76" s="55" t="n">
        <f aca="false">IF(E76="","",E76/(E76+H76))</f>
        <v>0.523901871424416</v>
      </c>
      <c r="L76" s="66" t="n">
        <f aca="false">IF(OR(K76="",J76=""),"",(J76-K76)*100)</f>
        <v>0.963124834410756</v>
      </c>
      <c r="M76" s="36" t="n">
        <v>1.91944964897593</v>
      </c>
      <c r="N76" s="36" t="n">
        <v>2.06095577224995</v>
      </c>
      <c r="O76" s="36" t="n">
        <f aca="false">SQRT(M76^2+N76^2)</f>
        <v>2.81634970309516</v>
      </c>
      <c r="P76" s="55" t="n">
        <f aca="false">IF(J76="","",MAX(0,J76-1.96*O76/100))</f>
        <v>0.478332665587858</v>
      </c>
      <c r="Q76" s="55" t="n">
        <f aca="false">IF(J76="","",MIN(1,J76+1.96*O76/100))</f>
        <v>0.588733573949189</v>
      </c>
      <c r="R76" s="32" t="str">
        <f aca="false">IF(L76="","",IF(ABS(L76)&lt;=O76,"Yes","No"))</f>
        <v>Yes</v>
      </c>
      <c r="S76" s="32" t="str">
        <f aca="false">IF(L76="","",IF(ABS(L76)&lt;=1.96*O76,"Yes","No"))</f>
        <v>Yes</v>
      </c>
      <c r="T76" s="54" t="n">
        <f aca="false">IF(D76="","",ROUND(SQRT(((D76+G76)*O76/100)^2+(J76*(D76+G76)*0.04942)^2),0))</f>
        <v>373</v>
      </c>
      <c r="U76" s="32"/>
    </row>
    <row r="77" customFormat="false" ht="15" hidden="false" customHeight="false" outlineLevel="0" collapsed="false">
      <c r="A77" s="32" t="s">
        <v>188</v>
      </c>
      <c r="B77" s="32" t="s">
        <v>211</v>
      </c>
      <c r="C77" s="32" t="s">
        <v>129</v>
      </c>
      <c r="D77" s="54" t="n">
        <v>480</v>
      </c>
      <c r="E77" s="54" t="n">
        <v>511</v>
      </c>
      <c r="F77" s="65" t="n">
        <f aca="false">IF(E77="","",D77-E77)</f>
        <v>-31</v>
      </c>
      <c r="G77" s="54" t="n">
        <v>725</v>
      </c>
      <c r="H77" s="54" t="n">
        <v>778</v>
      </c>
      <c r="I77" s="65" t="n">
        <f aca="false">IF(H77="","",G77-H77)</f>
        <v>-53</v>
      </c>
      <c r="J77" s="55" t="n">
        <f aca="false">IF(OR(D77="",D77+G77=0),"",D77/(D77+G77))</f>
        <v>0.398340248962656</v>
      </c>
      <c r="K77" s="55" t="n">
        <f aca="false">IF(E77="","",E77/(E77+H77))</f>
        <v>0.396431342125679</v>
      </c>
      <c r="L77" s="66" t="n">
        <f aca="false">IF(OR(K77="",J77=""),"",(J77-K77)*100)</f>
        <v>0.190890683697675</v>
      </c>
      <c r="M77" s="36" t="n">
        <v>2.07973649938125</v>
      </c>
      <c r="N77" s="36" t="n">
        <v>2.06095577224995</v>
      </c>
      <c r="O77" s="36" t="n">
        <f aca="false">SQRT(M77^2+N77^2)</f>
        <v>2.92794170058574</v>
      </c>
      <c r="P77" s="55" t="n">
        <f aca="false">IF(J77="","",MAX(0,J77-1.96*O77/100))</f>
        <v>0.340952591631175</v>
      </c>
      <c r="Q77" s="55" t="n">
        <f aca="false">IF(J77="","",MIN(1,J77+1.96*O77/100))</f>
        <v>0.455727906294136</v>
      </c>
      <c r="R77" s="32" t="str">
        <f aca="false">IF(L77="","",IF(ABS(L77)&lt;=O77,"Yes","No"))</f>
        <v>Yes</v>
      </c>
      <c r="S77" s="32" t="str">
        <f aca="false">IF(L77="","",IF(ABS(L77)&lt;=1.96*O77,"Yes","No"))</f>
        <v>Yes</v>
      </c>
      <c r="T77" s="54" t="n">
        <f aca="false">IF(D77="","",ROUND(SQRT(((D77+G77)*O77/100)^2+(J77*(D77+G77)*0.05883)^2),0))</f>
        <v>45</v>
      </c>
      <c r="U77" s="32"/>
    </row>
    <row r="78" customFormat="false" ht="15" hidden="false" customHeight="false" outlineLevel="0" collapsed="false">
      <c r="A78" s="32" t="s">
        <v>188</v>
      </c>
      <c r="B78" s="32" t="s">
        <v>212</v>
      </c>
      <c r="C78" s="32" t="s">
        <v>129</v>
      </c>
      <c r="D78" s="54" t="n">
        <v>987</v>
      </c>
      <c r="E78" s="54" t="n">
        <v>1076</v>
      </c>
      <c r="F78" s="65" t="n">
        <f aca="false">IF(E78="","",D78-E78)</f>
        <v>-89</v>
      </c>
      <c r="G78" s="54" t="n">
        <v>1763</v>
      </c>
      <c r="H78" s="54" t="n">
        <v>1998</v>
      </c>
      <c r="I78" s="65" t="n">
        <f aca="false">IF(H78="","",G78-H78)</f>
        <v>-235</v>
      </c>
      <c r="J78" s="55" t="n">
        <f aca="false">IF(OR(D78="",D78+G78=0),"",D78/(D78+G78))</f>
        <v>0.358909090909091</v>
      </c>
      <c r="K78" s="55" t="n">
        <f aca="false">IF(E78="","",E78/(E78+H78))</f>
        <v>0.350032530904359</v>
      </c>
      <c r="L78" s="66" t="n">
        <f aca="false">IF(OR(K78="",J78=""),"",(J78-K78)*100)</f>
        <v>0.887656000473175</v>
      </c>
      <c r="M78" s="36" t="n">
        <v>1.91944964897593</v>
      </c>
      <c r="N78" s="36" t="n">
        <v>2.06095577224995</v>
      </c>
      <c r="O78" s="36" t="n">
        <f aca="false">SQRT(M78^2+N78^2)</f>
        <v>2.81634970309516</v>
      </c>
      <c r="P78" s="55" t="n">
        <f aca="false">IF(J78="","",MAX(0,J78-1.96*O78/100))</f>
        <v>0.303708636728426</v>
      </c>
      <c r="Q78" s="55" t="n">
        <f aca="false">IF(J78="","",MIN(1,J78+1.96*O78/100))</f>
        <v>0.414109545089756</v>
      </c>
      <c r="R78" s="32" t="str">
        <f aca="false">IF(L78="","",IF(ABS(L78)&lt;=O78,"Yes","No"))</f>
        <v>Yes</v>
      </c>
      <c r="S78" s="32" t="str">
        <f aca="false">IF(L78="","",IF(ABS(L78)&lt;=1.96*O78,"Yes","No"))</f>
        <v>Yes</v>
      </c>
      <c r="T78" s="54" t="n">
        <f aca="false">IF(D78="","",ROUND(SQRT(((D78+G78)*O78/100)^2+(J78*(D78+G78)*0.04942)^2),0))</f>
        <v>92</v>
      </c>
      <c r="U78" s="32"/>
    </row>
    <row r="79" customFormat="false" ht="15" hidden="false" customHeight="false" outlineLevel="0" collapsed="false">
      <c r="A79" s="32" t="s">
        <v>188</v>
      </c>
      <c r="B79" s="32" t="s">
        <v>213</v>
      </c>
      <c r="C79" s="32" t="s">
        <v>129</v>
      </c>
      <c r="D79" s="54" t="n">
        <v>59</v>
      </c>
      <c r="E79" s="54" t="n">
        <v>65</v>
      </c>
      <c r="F79" s="65" t="n">
        <f aca="false">IF(E79="","",D79-E79)</f>
        <v>-6</v>
      </c>
      <c r="G79" s="54" t="n">
        <v>119</v>
      </c>
      <c r="H79" s="54" t="n">
        <v>129</v>
      </c>
      <c r="I79" s="65" t="n">
        <f aca="false">IF(H79="","",G79-H79)</f>
        <v>-10</v>
      </c>
      <c r="J79" s="55" t="n">
        <f aca="false">IF(OR(D79="",D79+G79=0),"",D79/(D79+G79))</f>
        <v>0.331460674157303</v>
      </c>
      <c r="K79" s="55" t="n">
        <f aca="false">IF(E79="","",E79/(E79+H79))</f>
        <v>0.335051546391753</v>
      </c>
      <c r="L79" s="66" t="n">
        <f aca="false">IF(OR(K79="",J79=""),"",(J79-K79)*100)</f>
        <v>-0.359087223444921</v>
      </c>
      <c r="M79" s="36" t="n">
        <v>3.73284536268536</v>
      </c>
      <c r="N79" s="36" t="n">
        <v>2.06095577224995</v>
      </c>
      <c r="O79" s="36" t="n">
        <f aca="false">SQRT(M79^2+N79^2)</f>
        <v>4.26399732608874</v>
      </c>
      <c r="P79" s="55" t="n">
        <f aca="false">IF(J79="","",MAX(0,J79-1.96*O79/100))</f>
        <v>0.247886326565964</v>
      </c>
      <c r="Q79" s="55" t="n">
        <f aca="false">IF(J79="","",MIN(1,J79+1.96*O79/100))</f>
        <v>0.415035021748643</v>
      </c>
      <c r="R79" s="32" t="str">
        <f aca="false">IF(L79="","",IF(ABS(L79)&lt;=O79,"Yes","No"))</f>
        <v>Yes</v>
      </c>
      <c r="S79" s="32" t="str">
        <f aca="false">IF(L79="","",IF(ABS(L79)&lt;=1.96*O79,"Yes","No"))</f>
        <v>Yes</v>
      </c>
      <c r="T79" s="54" t="n">
        <f aca="false">IF(D79="","",ROUND(SQRT(((D79+G79)*O79/100)^2+(J79*(D79+G79)*0.07872)^2),0))</f>
        <v>9</v>
      </c>
      <c r="U79" s="32"/>
    </row>
    <row r="80" customFormat="false" ht="15" hidden="false" customHeight="false" outlineLevel="0" collapsed="false">
      <c r="A80" s="32" t="s">
        <v>188</v>
      </c>
      <c r="B80" s="32" t="s">
        <v>214</v>
      </c>
      <c r="C80" s="32" t="s">
        <v>129</v>
      </c>
      <c r="D80" s="54" t="n">
        <v>254</v>
      </c>
      <c r="E80" s="54" t="n">
        <v>258</v>
      </c>
      <c r="F80" s="65" t="n">
        <f aca="false">IF(E80="","",D80-E80)</f>
        <v>-4</v>
      </c>
      <c r="G80" s="54" t="n">
        <v>401</v>
      </c>
      <c r="H80" s="54" t="n">
        <v>418</v>
      </c>
      <c r="I80" s="65" t="n">
        <f aca="false">IF(H80="","",G80-H80)</f>
        <v>-17</v>
      </c>
      <c r="J80" s="55" t="n">
        <f aca="false">IF(OR(D80="",D80+G80=0),"",D80/(D80+G80))</f>
        <v>0.387786259541985</v>
      </c>
      <c r="K80" s="55" t="n">
        <f aca="false">IF(E80="","",E80/(E80+H80))</f>
        <v>0.381656804733728</v>
      </c>
      <c r="L80" s="66" t="n">
        <f aca="false">IF(OR(K80="",J80=""),"",(J80-K80)*100)</f>
        <v>0.612945480825694</v>
      </c>
      <c r="M80" s="36" t="n">
        <v>3.73284536268536</v>
      </c>
      <c r="N80" s="36" t="n">
        <v>2.06095577224995</v>
      </c>
      <c r="O80" s="36" t="n">
        <f aca="false">SQRT(M80^2+N80^2)</f>
        <v>4.26399732608874</v>
      </c>
      <c r="P80" s="55" t="n">
        <f aca="false">IF(J80="","",MAX(0,J80-1.96*O80/100))</f>
        <v>0.304211911950645</v>
      </c>
      <c r="Q80" s="55" t="n">
        <f aca="false">IF(J80="","",MIN(1,J80+1.96*O80/100))</f>
        <v>0.471360607133324</v>
      </c>
      <c r="R80" s="32" t="str">
        <f aca="false">IF(L80="","",IF(ABS(L80)&lt;=O80,"Yes","No"))</f>
        <v>Yes</v>
      </c>
      <c r="S80" s="32" t="str">
        <f aca="false">IF(L80="","",IF(ABS(L80)&lt;=1.96*O80,"Yes","No"))</f>
        <v>Yes</v>
      </c>
      <c r="T80" s="54" t="n">
        <f aca="false">IF(D80="","",ROUND(SQRT(((D80+G80)*O80/100)^2+(J80*(D80+G80)*0.07872)^2),0))</f>
        <v>34</v>
      </c>
      <c r="U80" s="32"/>
    </row>
    <row r="81" customFormat="false" ht="15" hidden="false" customHeight="false" outlineLevel="0" collapsed="false">
      <c r="A81" s="32" t="s">
        <v>188</v>
      </c>
      <c r="B81" s="32" t="s">
        <v>215</v>
      </c>
      <c r="C81" s="32" t="s">
        <v>129</v>
      </c>
      <c r="D81" s="54" t="n">
        <v>137</v>
      </c>
      <c r="E81" s="54" t="n">
        <v>160</v>
      </c>
      <c r="F81" s="65" t="n">
        <f aca="false">IF(E81="","",D81-E81)</f>
        <v>-23</v>
      </c>
      <c r="G81" s="54" t="n">
        <v>197</v>
      </c>
      <c r="H81" s="54" t="n">
        <v>227</v>
      </c>
      <c r="I81" s="65" t="n">
        <f aca="false">IF(H81="","",G81-H81)</f>
        <v>-30</v>
      </c>
      <c r="J81" s="55" t="n">
        <f aca="false">IF(OR(D81="",D81+G81=0),"",D81/(D81+G81))</f>
        <v>0.410179640718563</v>
      </c>
      <c r="K81" s="55" t="n">
        <f aca="false">IF(E81="","",E81/(E81+H81))</f>
        <v>0.41343669250646</v>
      </c>
      <c r="L81" s="66" t="n">
        <f aca="false">IF(OR(K81="",J81=""),"",(J81-K81)*100)</f>
        <v>-0.325705178789704</v>
      </c>
      <c r="M81" s="36" t="n">
        <v>3.73284536268536</v>
      </c>
      <c r="N81" s="36" t="n">
        <v>2.06095577224995</v>
      </c>
      <c r="O81" s="36" t="n">
        <f aca="false">SQRT(M81^2+N81^2)</f>
        <v>4.26399732608874</v>
      </c>
      <c r="P81" s="55" t="n">
        <f aca="false">IF(J81="","",MAX(0,J81-1.96*O81/100))</f>
        <v>0.326605293127224</v>
      </c>
      <c r="Q81" s="55" t="n">
        <f aca="false">IF(J81="","",MIN(1,J81+1.96*O81/100))</f>
        <v>0.493753988309902</v>
      </c>
      <c r="R81" s="32" t="str">
        <f aca="false">IF(L81="","",IF(ABS(L81)&lt;=O81,"Yes","No"))</f>
        <v>Yes</v>
      </c>
      <c r="S81" s="32" t="str">
        <f aca="false">IF(L81="","",IF(ABS(L81)&lt;=1.96*O81,"Yes","No"))</f>
        <v>Yes</v>
      </c>
      <c r="T81" s="54" t="n">
        <f aca="false">IF(D81="","",ROUND(SQRT(((D81+G81)*O81/100)^2+(J81*(D81+G81)*0.07872)^2),0))</f>
        <v>18</v>
      </c>
      <c r="U81" s="32"/>
    </row>
    <row r="82" customFormat="false" ht="15" hidden="false" customHeight="false" outlineLevel="0" collapsed="false">
      <c r="A82" s="32" t="s">
        <v>188</v>
      </c>
      <c r="B82" s="32" t="s">
        <v>216</v>
      </c>
      <c r="C82" s="32" t="s">
        <v>129</v>
      </c>
      <c r="D82" s="54" t="n">
        <v>219</v>
      </c>
      <c r="E82" s="54" t="n">
        <v>243</v>
      </c>
      <c r="F82" s="65" t="n">
        <f aca="false">IF(E82="","",D82-E82)</f>
        <v>-24</v>
      </c>
      <c r="G82" s="54" t="n">
        <v>304</v>
      </c>
      <c r="H82" s="54" t="n">
        <v>318</v>
      </c>
      <c r="I82" s="65" t="n">
        <f aca="false">IF(H82="","",G82-H82)</f>
        <v>-14</v>
      </c>
      <c r="J82" s="55" t="n">
        <f aca="false">IF(OR(D82="",D82+G82=0),"",D82/(D82+G82))</f>
        <v>0.418738049713193</v>
      </c>
      <c r="K82" s="55" t="n">
        <f aca="false">IF(E82="","",E82/(E82+H82))</f>
        <v>0.433155080213904</v>
      </c>
      <c r="L82" s="66" t="n">
        <f aca="false">IF(OR(K82="",J82=""),"",(J82-K82)*100)</f>
        <v>-1.44170305007106</v>
      </c>
      <c r="M82" s="36" t="n">
        <v>3.73284536268536</v>
      </c>
      <c r="N82" s="36" t="n">
        <v>2.06095577224995</v>
      </c>
      <c r="O82" s="36" t="n">
        <f aca="false">SQRT(M82^2+N82^2)</f>
        <v>4.26399732608874</v>
      </c>
      <c r="P82" s="55" t="n">
        <f aca="false">IF(J82="","",MAX(0,J82-1.96*O82/100))</f>
        <v>0.335163702121854</v>
      </c>
      <c r="Q82" s="55" t="n">
        <f aca="false">IF(J82="","",MIN(1,J82+1.96*O82/100))</f>
        <v>0.502312397304533</v>
      </c>
      <c r="R82" s="32" t="str">
        <f aca="false">IF(L82="","",IF(ABS(L82)&lt;=O82,"Yes","No"))</f>
        <v>Yes</v>
      </c>
      <c r="S82" s="32" t="str">
        <f aca="false">IF(L82="","",IF(ABS(L82)&lt;=1.96*O82,"Yes","No"))</f>
        <v>Yes</v>
      </c>
      <c r="T82" s="54" t="n">
        <f aca="false">IF(D82="","",ROUND(SQRT(((D82+G82)*O82/100)^2+(J82*(D82+G82)*0.07872)^2),0))</f>
        <v>28</v>
      </c>
      <c r="U82" s="32"/>
    </row>
    <row r="83" customFormat="false" ht="15" hidden="false" customHeight="false" outlineLevel="0" collapsed="false">
      <c r="A83" s="32" t="s">
        <v>188</v>
      </c>
      <c r="B83" s="32" t="s">
        <v>217</v>
      </c>
      <c r="C83" s="32" t="s">
        <v>129</v>
      </c>
      <c r="D83" s="54" t="n">
        <v>954</v>
      </c>
      <c r="E83" s="54" t="n">
        <v>1030</v>
      </c>
      <c r="F83" s="65" t="n">
        <f aca="false">IF(E83="","",D83-E83)</f>
        <v>-76</v>
      </c>
      <c r="G83" s="54" t="n">
        <v>1893</v>
      </c>
      <c r="H83" s="54" t="n">
        <v>2095</v>
      </c>
      <c r="I83" s="65" t="n">
        <f aca="false">IF(H83="","",G83-H83)</f>
        <v>-202</v>
      </c>
      <c r="J83" s="55" t="n">
        <f aca="false">IF(OR(D83="",D83+G83=0),"",D83/(D83+G83))</f>
        <v>0.33508956796628</v>
      </c>
      <c r="K83" s="55" t="n">
        <f aca="false">IF(E83="","",E83/(E83+H83))</f>
        <v>0.3296</v>
      </c>
      <c r="L83" s="66" t="n">
        <f aca="false">IF(OR(K83="",J83=""),"",(J83-K83)*100)</f>
        <v>0.548956796628031</v>
      </c>
      <c r="M83" s="36" t="n">
        <v>1.91944964897593</v>
      </c>
      <c r="N83" s="36" t="n">
        <v>2.06095577224995</v>
      </c>
      <c r="O83" s="36" t="n">
        <f aca="false">SQRT(M83^2+N83^2)</f>
        <v>2.81634970309516</v>
      </c>
      <c r="P83" s="55" t="n">
        <f aca="false">IF(J83="","",MAX(0,J83-1.96*O83/100))</f>
        <v>0.279889113785615</v>
      </c>
      <c r="Q83" s="55" t="n">
        <f aca="false">IF(J83="","",MIN(1,J83+1.96*O83/100))</f>
        <v>0.390290022146945</v>
      </c>
      <c r="R83" s="32" t="str">
        <f aca="false">IF(L83="","",IF(ABS(L83)&lt;=O83,"Yes","No"))</f>
        <v>Yes</v>
      </c>
      <c r="S83" s="32" t="str">
        <f aca="false">IF(L83="","",IF(ABS(L83)&lt;=1.96*O83,"Yes","No"))</f>
        <v>Yes</v>
      </c>
      <c r="T83" s="54" t="n">
        <f aca="false">IF(D83="","",ROUND(SQRT(((D83+G83)*O83/100)^2+(J83*(D83+G83)*0.04942)^2),0))</f>
        <v>93</v>
      </c>
      <c r="U83" s="32"/>
    </row>
    <row r="84" customFormat="false" ht="15" hidden="false" customHeight="false" outlineLevel="0" collapsed="false">
      <c r="A84" s="32" t="s">
        <v>188</v>
      </c>
      <c r="B84" s="32" t="s">
        <v>218</v>
      </c>
      <c r="C84" s="32" t="s">
        <v>129</v>
      </c>
      <c r="D84" s="54" t="n">
        <v>1368</v>
      </c>
      <c r="E84" s="54" t="n">
        <v>1575</v>
      </c>
      <c r="F84" s="65" t="n">
        <f aca="false">IF(E84="","",D84-E84)</f>
        <v>-207</v>
      </c>
      <c r="G84" s="54" t="n">
        <v>1419</v>
      </c>
      <c r="H84" s="54" t="n">
        <v>1588</v>
      </c>
      <c r="I84" s="65" t="n">
        <f aca="false">IF(H84="","",G84-H84)</f>
        <v>-169</v>
      </c>
      <c r="J84" s="55" t="n">
        <f aca="false">IF(OR(D84="",D84+G84=0),"",D84/(D84+G84))</f>
        <v>0.490850376749193</v>
      </c>
      <c r="K84" s="55" t="n">
        <f aca="false">IF(E84="","",E84/(E84+H84))</f>
        <v>0.497944988934556</v>
      </c>
      <c r="L84" s="66" t="n">
        <f aca="false">IF(OR(K84="",J84=""),"",(J84-K84)*100)</f>
        <v>-0.709461218536311</v>
      </c>
      <c r="M84" s="36" t="n">
        <v>1.91944964897593</v>
      </c>
      <c r="N84" s="36" t="n">
        <v>2.06095577224995</v>
      </c>
      <c r="O84" s="36" t="n">
        <f aca="false">SQRT(M84^2+N84^2)</f>
        <v>2.81634970309516</v>
      </c>
      <c r="P84" s="55" t="n">
        <f aca="false">IF(J84="","",MAX(0,J84-1.96*O84/100))</f>
        <v>0.435649922568528</v>
      </c>
      <c r="Q84" s="55" t="n">
        <f aca="false">IF(J84="","",MIN(1,J84+1.96*O84/100))</f>
        <v>0.546050830929858</v>
      </c>
      <c r="R84" s="32" t="str">
        <f aca="false">IF(L84="","",IF(ABS(L84)&lt;=O84,"Yes","No"))</f>
        <v>Yes</v>
      </c>
      <c r="S84" s="32" t="str">
        <f aca="false">IF(L84="","",IF(ABS(L84)&lt;=1.96*O84,"Yes","No"))</f>
        <v>Yes</v>
      </c>
      <c r="T84" s="54" t="n">
        <f aca="false">IF(D84="","",ROUND(SQRT(((D84+G84)*O84/100)^2+(J84*(D84+G84)*0.04942)^2),0))</f>
        <v>104</v>
      </c>
      <c r="U84" s="32"/>
    </row>
    <row r="85" customFormat="false" ht="15" hidden="false" customHeight="false" outlineLevel="0" collapsed="false">
      <c r="A85" s="32" t="s">
        <v>188</v>
      </c>
      <c r="B85" s="32" t="s">
        <v>219</v>
      </c>
      <c r="C85" s="32" t="s">
        <v>129</v>
      </c>
      <c r="D85" s="54" t="n">
        <v>266</v>
      </c>
      <c r="E85" s="54" t="n">
        <v>305</v>
      </c>
      <c r="F85" s="65" t="n">
        <f aca="false">IF(E85="","",D85-E85)</f>
        <v>-39</v>
      </c>
      <c r="G85" s="54" t="n">
        <v>400</v>
      </c>
      <c r="H85" s="54" t="n">
        <v>419</v>
      </c>
      <c r="I85" s="65" t="n">
        <f aca="false">IF(H85="","",G85-H85)</f>
        <v>-19</v>
      </c>
      <c r="J85" s="55" t="n">
        <f aca="false">IF(OR(D85="",D85+G85=0),"",D85/(D85+G85))</f>
        <v>0.399399399399399</v>
      </c>
      <c r="K85" s="55" t="n">
        <f aca="false">IF(E85="","",E85/(E85+H85))</f>
        <v>0.421270718232044</v>
      </c>
      <c r="L85" s="66" t="n">
        <f aca="false">IF(OR(K85="",J85=""),"",(J85-K85)*100)</f>
        <v>-2.18713188326448</v>
      </c>
      <c r="M85" s="36" t="n">
        <v>3.73284536268536</v>
      </c>
      <c r="N85" s="36" t="n">
        <v>2.06095577224995</v>
      </c>
      <c r="O85" s="36" t="n">
        <f aca="false">SQRT(M85^2+N85^2)</f>
        <v>4.26399732608874</v>
      </c>
      <c r="P85" s="55" t="n">
        <f aca="false">IF(J85="","",MAX(0,J85-1.96*O85/100))</f>
        <v>0.31582505180806</v>
      </c>
      <c r="Q85" s="55" t="n">
        <f aca="false">IF(J85="","",MIN(1,J85+1.96*O85/100))</f>
        <v>0.482973746990739</v>
      </c>
      <c r="R85" s="32" t="str">
        <f aca="false">IF(L85="","",IF(ABS(L85)&lt;=O85,"Yes","No"))</f>
        <v>Yes</v>
      </c>
      <c r="S85" s="32" t="str">
        <f aca="false">IF(L85="","",IF(ABS(L85)&lt;=1.96*O85,"Yes","No"))</f>
        <v>Yes</v>
      </c>
      <c r="T85" s="54" t="n">
        <f aca="false">IF(D85="","",ROUND(SQRT(((D85+G85)*O85/100)^2+(J85*(D85+G85)*0.07872)^2),0))</f>
        <v>35</v>
      </c>
      <c r="U85" s="32"/>
    </row>
    <row r="86" customFormat="false" ht="15" hidden="false" customHeight="false" outlineLevel="0" collapsed="false">
      <c r="A86" s="32" t="s">
        <v>188</v>
      </c>
      <c r="B86" s="32" t="s">
        <v>180</v>
      </c>
      <c r="C86" s="32" t="s">
        <v>129</v>
      </c>
      <c r="D86" s="54" t="n">
        <v>723</v>
      </c>
      <c r="E86" s="54" t="n">
        <v>840</v>
      </c>
      <c r="F86" s="65" t="n">
        <f aca="false">IF(E86="","",D86-E86)</f>
        <v>-117</v>
      </c>
      <c r="G86" s="54" t="n">
        <v>1316</v>
      </c>
      <c r="H86" s="54" t="n">
        <v>1533</v>
      </c>
      <c r="I86" s="65" t="n">
        <f aca="false">IF(H86="","",G86-H86)</f>
        <v>-217</v>
      </c>
      <c r="J86" s="55" t="n">
        <f aca="false">IF(OR(D86="",D86+G86=0),"",D86/(D86+G86))</f>
        <v>0.354585581167239</v>
      </c>
      <c r="K86" s="55" t="n">
        <f aca="false">IF(E86="","",E86/(E86+H86))</f>
        <v>0.353982300884956</v>
      </c>
      <c r="L86" s="66" t="n">
        <f aca="false">IF(OR(K86="",J86=""),"",(J86-K86)*100)</f>
        <v>0.060328028228307</v>
      </c>
      <c r="M86" s="36" t="n">
        <v>2.07973649938125</v>
      </c>
      <c r="N86" s="36" t="n">
        <v>2.06095577224995</v>
      </c>
      <c r="O86" s="36" t="n">
        <f aca="false">SQRT(M86^2+N86^2)</f>
        <v>2.92794170058574</v>
      </c>
      <c r="P86" s="55" t="n">
        <f aca="false">IF(J86="","",MAX(0,J86-1.96*O86/100))</f>
        <v>0.297197923835758</v>
      </c>
      <c r="Q86" s="55" t="n">
        <f aca="false">IF(J86="","",MIN(1,J86+1.96*O86/100))</f>
        <v>0.411973238498719</v>
      </c>
      <c r="R86" s="32" t="str">
        <f aca="false">IF(L86="","",IF(ABS(L86)&lt;=O86,"Yes","No"))</f>
        <v>Yes</v>
      </c>
      <c r="S86" s="32" t="str">
        <f aca="false">IF(L86="","",IF(ABS(L86)&lt;=1.96*O86,"Yes","No"))</f>
        <v>Yes</v>
      </c>
      <c r="T86" s="54" t="n">
        <f aca="false">IF(D86="","",ROUND(SQRT(((D86+G86)*O86/100)^2+(J86*(D86+G86)*0.05883)^2),0))</f>
        <v>73</v>
      </c>
      <c r="U86" s="32"/>
    </row>
    <row r="87" customFormat="false" ht="15" hidden="false" customHeight="false" outlineLevel="0" collapsed="false">
      <c r="A87" s="32" t="s">
        <v>188</v>
      </c>
      <c r="B87" s="32" t="s">
        <v>220</v>
      </c>
      <c r="C87" s="32" t="s">
        <v>129</v>
      </c>
      <c r="D87" s="54" t="n">
        <v>175</v>
      </c>
      <c r="E87" s="54" t="n">
        <v>199</v>
      </c>
      <c r="F87" s="65" t="n">
        <f aca="false">IF(E87="","",D87-E87)</f>
        <v>-24</v>
      </c>
      <c r="G87" s="54" t="n">
        <v>193</v>
      </c>
      <c r="H87" s="54" t="n">
        <v>215</v>
      </c>
      <c r="I87" s="65" t="n">
        <f aca="false">IF(H87="","",G87-H87)</f>
        <v>-22</v>
      </c>
      <c r="J87" s="55" t="n">
        <f aca="false">IF(OR(D87="",D87+G87=0),"",D87/(D87+G87))</f>
        <v>0.47554347826087</v>
      </c>
      <c r="K87" s="55" t="n">
        <f aca="false">IF(E87="","",E87/(E87+H87))</f>
        <v>0.480676328502416</v>
      </c>
      <c r="L87" s="66" t="n">
        <f aca="false">IF(OR(K87="",J87=""),"",(J87-K87)*100)</f>
        <v>-0.513285024154592</v>
      </c>
      <c r="M87" s="36" t="n">
        <v>3.73284536268536</v>
      </c>
      <c r="N87" s="36" t="n">
        <v>2.06095577224995</v>
      </c>
      <c r="O87" s="36" t="n">
        <f aca="false">SQRT(M87^2+N87^2)</f>
        <v>4.26399732608874</v>
      </c>
      <c r="P87" s="55" t="n">
        <f aca="false">IF(J87="","",MAX(0,J87-1.96*O87/100))</f>
        <v>0.39196913066953</v>
      </c>
      <c r="Q87" s="55" t="n">
        <f aca="false">IF(J87="","",MIN(1,J87+1.96*O87/100))</f>
        <v>0.559117825852209</v>
      </c>
      <c r="R87" s="32" t="str">
        <f aca="false">IF(L87="","",IF(ABS(L87)&lt;=O87,"Yes","No"))</f>
        <v>Yes</v>
      </c>
      <c r="S87" s="32" t="str">
        <f aca="false">IF(L87="","",IF(ABS(L87)&lt;=1.96*O87,"Yes","No"))</f>
        <v>Yes</v>
      </c>
      <c r="T87" s="54" t="n">
        <f aca="false">IF(D87="","",ROUND(SQRT(((D87+G87)*O87/100)^2+(J87*(D87+G87)*0.07872)^2),0))</f>
        <v>21</v>
      </c>
      <c r="U87" s="32"/>
    </row>
    <row r="88" customFormat="false" ht="15" hidden="false" customHeight="false" outlineLevel="0" collapsed="false">
      <c r="A88" s="32" t="s">
        <v>188</v>
      </c>
      <c r="B88" s="32" t="s">
        <v>221</v>
      </c>
      <c r="C88" s="32" t="s">
        <v>129</v>
      </c>
      <c r="D88" s="54" t="n">
        <v>1307</v>
      </c>
      <c r="E88" s="54" t="n">
        <v>1456</v>
      </c>
      <c r="F88" s="65" t="n">
        <f aca="false">IF(E88="","",D88-E88)</f>
        <v>-149</v>
      </c>
      <c r="G88" s="54" t="n">
        <v>1744</v>
      </c>
      <c r="H88" s="54" t="n">
        <v>1860</v>
      </c>
      <c r="I88" s="65" t="n">
        <f aca="false">IF(H88="","",G88-H88)</f>
        <v>-116</v>
      </c>
      <c r="J88" s="55" t="n">
        <f aca="false">IF(OR(D88="",D88+G88=0),"",D88/(D88+G88))</f>
        <v>0.428384136348738</v>
      </c>
      <c r="K88" s="55" t="n">
        <f aca="false">IF(E88="","",E88/(E88+H88))</f>
        <v>0.439083232810615</v>
      </c>
      <c r="L88" s="66" t="n">
        <f aca="false">IF(OR(K88="",J88=""),"",(J88-K88)*100)</f>
        <v>-1.06990964618771</v>
      </c>
      <c r="M88" s="36" t="n">
        <v>1.91944964897593</v>
      </c>
      <c r="N88" s="36" t="n">
        <v>2.06095577224995</v>
      </c>
      <c r="O88" s="36" t="n">
        <f aca="false">SQRT(M88^2+N88^2)</f>
        <v>2.81634970309516</v>
      </c>
      <c r="P88" s="55" t="n">
        <f aca="false">IF(J88="","",MAX(0,J88-1.96*O88/100))</f>
        <v>0.373183682168073</v>
      </c>
      <c r="Q88" s="55" t="n">
        <f aca="false">IF(J88="","",MIN(1,J88+1.96*O88/100))</f>
        <v>0.483584590529403</v>
      </c>
      <c r="R88" s="32" t="str">
        <f aca="false">IF(L88="","",IF(ABS(L88)&lt;=O88,"Yes","No"))</f>
        <v>Yes</v>
      </c>
      <c r="S88" s="32" t="str">
        <f aca="false">IF(L88="","",IF(ABS(L88)&lt;=1.96*O88,"Yes","No"))</f>
        <v>Yes</v>
      </c>
      <c r="T88" s="54" t="n">
        <f aca="false">IF(D88="","",ROUND(SQRT(((D88+G88)*O88/100)^2+(J88*(D88+G88)*0.04942)^2),0))</f>
        <v>107</v>
      </c>
      <c r="U88" s="32"/>
    </row>
    <row r="89" customFormat="false" ht="15" hidden="false" customHeight="false" outlineLevel="0" collapsed="false">
      <c r="A89" s="32" t="s">
        <v>188</v>
      </c>
      <c r="B89" s="32" t="s">
        <v>222</v>
      </c>
      <c r="C89" s="32" t="s">
        <v>129</v>
      </c>
      <c r="D89" s="54" t="n">
        <v>1212</v>
      </c>
      <c r="E89" s="54" t="n">
        <v>1340</v>
      </c>
      <c r="F89" s="65" t="n">
        <f aca="false">IF(E89="","",D89-E89)</f>
        <v>-128</v>
      </c>
      <c r="G89" s="54" t="n">
        <v>916</v>
      </c>
      <c r="H89" s="54" t="n">
        <v>953</v>
      </c>
      <c r="I89" s="65" t="n">
        <f aca="false">IF(H89="","",G89-H89)</f>
        <v>-37</v>
      </c>
      <c r="J89" s="55" t="n">
        <f aca="false">IF(OR(D89="",D89+G89=0),"",D89/(D89+G89))</f>
        <v>0.569548872180451</v>
      </c>
      <c r="K89" s="55" t="n">
        <f aca="false">IF(E89="","",E89/(E89+H89))</f>
        <v>0.584387265590929</v>
      </c>
      <c r="L89" s="66" t="n">
        <f aca="false">IF(OR(K89="",J89=""),"",(J89-K89)*100)</f>
        <v>-1.48383934104778</v>
      </c>
      <c r="M89" s="36" t="n">
        <v>2.07973649938125</v>
      </c>
      <c r="N89" s="36" t="n">
        <v>2.06095577224995</v>
      </c>
      <c r="O89" s="36" t="n">
        <f aca="false">SQRT(M89^2+N89^2)</f>
        <v>2.92794170058574</v>
      </c>
      <c r="P89" s="55" t="n">
        <f aca="false">IF(J89="","",MAX(0,J89-1.96*O89/100))</f>
        <v>0.512161214848971</v>
      </c>
      <c r="Q89" s="55" t="n">
        <f aca="false">IF(J89="","",MIN(1,J89+1.96*O89/100))</f>
        <v>0.626936529511932</v>
      </c>
      <c r="R89" s="32" t="str">
        <f aca="false">IF(L89="","",IF(ABS(L89)&lt;=O89,"Yes","No"))</f>
        <v>Yes</v>
      </c>
      <c r="S89" s="32" t="str">
        <f aca="false">IF(L89="","",IF(ABS(L89)&lt;=1.96*O89,"Yes","No"))</f>
        <v>Yes</v>
      </c>
      <c r="T89" s="54" t="n">
        <f aca="false">IF(D89="","",ROUND(SQRT(((D89+G89)*O89/100)^2+(J89*(D89+G89)*0.05883)^2),0))</f>
        <v>95</v>
      </c>
      <c r="U89" s="32"/>
    </row>
    <row r="90" customFormat="false" ht="15" hidden="false" customHeight="false" outlineLevel="0" collapsed="false">
      <c r="A90" s="32" t="s">
        <v>188</v>
      </c>
      <c r="B90" s="32" t="s">
        <v>223</v>
      </c>
      <c r="C90" s="32" t="s">
        <v>129</v>
      </c>
      <c r="D90" s="54" t="n">
        <v>405</v>
      </c>
      <c r="E90" s="54" t="n">
        <v>494</v>
      </c>
      <c r="F90" s="65" t="n">
        <f aca="false">IF(E90="","",D90-E90)</f>
        <v>-89</v>
      </c>
      <c r="G90" s="54" t="n">
        <v>562</v>
      </c>
      <c r="H90" s="54" t="n">
        <v>601</v>
      </c>
      <c r="I90" s="65" t="n">
        <f aca="false">IF(H90="","",G90-H90)</f>
        <v>-39</v>
      </c>
      <c r="J90" s="55" t="n">
        <f aca="false">IF(OR(D90="",D90+G90=0),"",D90/(D90+G90))</f>
        <v>0.418821096173733</v>
      </c>
      <c r="K90" s="55" t="n">
        <f aca="false">IF(E90="","",E90/(E90+H90))</f>
        <v>0.451141552511416</v>
      </c>
      <c r="L90" s="66" t="n">
        <f aca="false">IF(OR(K90="",J90=""),"",(J90-K90)*100)</f>
        <v>-3.23204563376823</v>
      </c>
      <c r="M90" s="36" t="n">
        <v>3.73284536268536</v>
      </c>
      <c r="N90" s="36" t="n">
        <v>2.06095577224995</v>
      </c>
      <c r="O90" s="36" t="n">
        <f aca="false">SQRT(M90^2+N90^2)</f>
        <v>4.26399732608874</v>
      </c>
      <c r="P90" s="55" t="n">
        <f aca="false">IF(J90="","",MAX(0,J90-1.96*O90/100))</f>
        <v>0.335246748582394</v>
      </c>
      <c r="Q90" s="55" t="n">
        <f aca="false">IF(J90="","",MIN(1,J90+1.96*O90/100))</f>
        <v>0.502395443765073</v>
      </c>
      <c r="R90" s="32" t="str">
        <f aca="false">IF(L90="","",IF(ABS(L90)&lt;=O90,"Yes","No"))</f>
        <v>Yes</v>
      </c>
      <c r="S90" s="32" t="str">
        <f aca="false">IF(L90="","",IF(ABS(L90)&lt;=1.96*O90,"Yes","No"))</f>
        <v>Yes</v>
      </c>
      <c r="T90" s="54" t="n">
        <f aca="false">IF(D90="","",ROUND(SQRT(((D90+G90)*O90/100)^2+(J90*(D90+G90)*0.07872)^2),0))</f>
        <v>52</v>
      </c>
      <c r="U90" s="32"/>
    </row>
    <row r="92" customFormat="false" ht="15" hidden="false" customHeight="false" outlineLevel="0" collapsed="false">
      <c r="A92" s="20" t="s">
        <v>351</v>
      </c>
      <c r="B92" s="67"/>
      <c r="C92" s="67"/>
      <c r="D92" s="68" t="n">
        <f aca="false">SUMIF(E2:E90,"&lt;&gt;",D2:D90)</f>
        <v>140531</v>
      </c>
      <c r="E92" s="68" t="n">
        <f aca="false">SUM(E2:E90)</f>
        <v>151364</v>
      </c>
      <c r="F92" s="69" t="n">
        <f aca="false">D92-E92</f>
        <v>-10833</v>
      </c>
      <c r="G92" s="68" t="n">
        <f aca="false">SUMIF(H2:H90,"&lt;&gt;",G2:G90)</f>
        <v>138516</v>
      </c>
      <c r="H92" s="68" t="n">
        <f aca="false">SUM(H2:H90)</f>
        <v>145527</v>
      </c>
      <c r="I92" s="69" t="n">
        <f aca="false">G92-H92</f>
        <v>-7011</v>
      </c>
      <c r="J92" s="70" t="n">
        <f aca="false">D92/(D92+G92)</f>
        <v>0.503610502890194</v>
      </c>
      <c r="K92" s="70" t="n">
        <f aca="false">E92/(E92+H92)</f>
        <v>0.509830207045683</v>
      </c>
      <c r="L92" s="71" t="n">
        <f aca="false">(J92-K92)*100</f>
        <v>-0.621970415548923</v>
      </c>
      <c r="M92" s="72" t="n">
        <v>0</v>
      </c>
      <c r="N92" s="72" t="n">
        <v>2.06095577224995</v>
      </c>
      <c r="O92" s="72" t="n">
        <f aca="false">SQRT(M92^2+N92^2)</f>
        <v>2.06095577224995</v>
      </c>
      <c r="P92" s="70" t="n">
        <f aca="false">J92-1.96*O92/100</f>
        <v>0.463215769754095</v>
      </c>
      <c r="Q92" s="70" t="n">
        <f aca="false">J92+1.96*O92/100</f>
        <v>0.544005236026293</v>
      </c>
      <c r="R92" s="67" t="str">
        <f aca="false">IF(ABS(L92)&lt;=O92,"Yes","No")</f>
        <v>Yes</v>
      </c>
      <c r="S92" s="67" t="str">
        <f aca="false">IF(ABS(L92)&lt;=1.96*O92,"Yes","No")</f>
        <v>Yes</v>
      </c>
      <c r="T92" s="68" t="n">
        <f aca="false">ROUND(SQRT(((D92+G92)*O92/100)^2+(J92*(D92+G92)*0.03653)^2),0)</f>
        <v>7709</v>
      </c>
    </row>
    <row r="93" customFormat="false" ht="15" hidden="false" customHeight="false" outlineLevel="0" collapsed="false">
      <c r="A93" s="20" t="s">
        <v>352</v>
      </c>
      <c r="B93" s="67"/>
      <c r="C93" s="67"/>
      <c r="D93" s="68" t="n">
        <f aca="false">SUM(D2:D90)</f>
        <v>140531</v>
      </c>
      <c r="E93" s="68"/>
      <c r="F93" s="69"/>
      <c r="G93" s="68" t="n">
        <f aca="false">SUM(G2:G90)</f>
        <v>138516</v>
      </c>
      <c r="H93" s="68"/>
      <c r="I93" s="69"/>
      <c r="J93" s="70" t="n">
        <f aca="false">D93/(D93+G93)</f>
        <v>0.503610502890194</v>
      </c>
      <c r="K93" s="70"/>
      <c r="L93" s="71"/>
      <c r="M93" s="72"/>
      <c r="N93" s="72"/>
      <c r="O93" s="72"/>
      <c r="P93" s="70"/>
      <c r="Q93" s="70"/>
      <c r="R93" s="67"/>
      <c r="S93" s="67"/>
      <c r="T93" s="68"/>
    </row>
    <row r="95" customFormat="false" ht="15" hidden="false" customHeight="false" outlineLevel="0" collapsed="false">
      <c r="A95" s="2" t="s">
        <v>353</v>
      </c>
      <c r="F95" s="73" t="n">
        <f aca="false">(SUMIF(F2:F90,"&gt;0")-SUMIF(F2:F90,"&lt;0"))/COUNT(F2:F90)</f>
        <v>138.662921348315</v>
      </c>
    </row>
    <row r="96" customFormat="false" ht="15" hidden="false" customHeight="false" outlineLevel="0" collapsed="false">
      <c r="A96" s="2" t="s">
        <v>354</v>
      </c>
      <c r="F96" s="73" t="n">
        <f aca="false">(SUMIF(I2:I90,"&gt;0")-SUMIF(I2:I90,"&lt;0"))/COUNT(I2:I90)</f>
        <v>128.52808988764</v>
      </c>
    </row>
    <row r="97" customFormat="false" ht="15" hidden="false" customHeight="false" outlineLevel="0" collapsed="false">
      <c r="A97" s="2" t="s">
        <v>355</v>
      </c>
      <c r="F97" s="74" t="n">
        <f aca="false">(SUMIF(L2:L90,"&gt;0")-SUMIF(L2:L90,"&lt;0"))/COUNT(L2:L90)</f>
        <v>1.88712989962998</v>
      </c>
    </row>
    <row r="98" customFormat="false" ht="15" hidden="false" customHeight="false" outlineLevel="0" collapsed="false">
      <c r="A98" s="5" t="s">
        <v>356</v>
      </c>
      <c r="F98" s="75" t="n">
        <f aca="false">SQRT(SUMSQ(L2:L90)/COUNT(L2:L90))</f>
        <v>2.42116504352421</v>
      </c>
    </row>
    <row r="99" customFormat="false" ht="15" hidden="false" customHeight="false" outlineLevel="0" collapsed="false">
      <c r="A99" s="5" t="s">
        <v>357</v>
      </c>
      <c r="F99" s="76" t="n">
        <f aca="false">L92</f>
        <v>-0.621970415548923</v>
      </c>
    </row>
    <row r="100" customFormat="false" ht="15" hidden="false" customHeight="false" outlineLevel="0" collapsed="false">
      <c r="A100" s="5" t="s">
        <v>358</v>
      </c>
      <c r="F100" s="75" t="n">
        <f aca="false">SQRT((SUMSQ(L2:L90)-2*L92*SUM(L2:L90)+COUNT(L2:L90)*L92^2)/COUNT(L2:L90))</f>
        <v>2.3025093018574</v>
      </c>
    </row>
    <row r="101" customFormat="false" ht="15" hidden="false" customHeight="false" outlineLevel="0" collapsed="false">
      <c r="A101" s="2" t="s">
        <v>359</v>
      </c>
      <c r="F101" s="77" t="n">
        <f aca="false">D92/E92-1</f>
        <v>-0.0715691974313575</v>
      </c>
    </row>
    <row r="102" customFormat="false" ht="15" hidden="false" customHeight="false" outlineLevel="0" collapsed="false">
      <c r="A102" s="5" t="s">
        <v>360</v>
      </c>
      <c r="F102" s="78" t="n">
        <f aca="false">G92/H92-1</f>
        <v>-0.0481766270176668</v>
      </c>
    </row>
    <row r="103" customFormat="false" ht="15" hidden="false" customHeight="false" outlineLevel="0" collapsed="false">
      <c r="A103" s="2" t="s">
        <v>361</v>
      </c>
      <c r="F103" s="77" t="n">
        <f aca="false">(D92+G92)/(E92+H92)-1</f>
        <v>-0.0601028660350095</v>
      </c>
    </row>
    <row r="104" customFormat="false" ht="15" hidden="false" customHeight="false" outlineLevel="0" collapsed="false">
      <c r="A104" s="2" t="s">
        <v>362</v>
      </c>
      <c r="F104" s="74" t="n">
        <f aca="false">AVERAGE(O2:O90)</f>
        <v>3.34068224935397</v>
      </c>
    </row>
    <row r="105" customFormat="false" ht="15" hidden="false" customHeight="false" outlineLevel="0" collapsed="false">
      <c r="A105" s="5" t="s">
        <v>363</v>
      </c>
      <c r="F105" s="79" t="n">
        <f aca="false">COUNTIF(R2:R90,"Yes")/(COUNTIF(R2:R90,"Yes")+COUNTIF(R2:R90,"No"))</f>
        <v>0.865168539325843</v>
      </c>
    </row>
    <row r="106" customFormat="false" ht="15" hidden="false" customHeight="false" outlineLevel="0" collapsed="false">
      <c r="A106" s="5" t="s">
        <v>364</v>
      </c>
      <c r="F106" s="79" t="n">
        <f aca="false">COUNTIF(S2:S90,"Yes")/(COUNTIF(S2:S90,"Yes")+COUNTIF(S2:S90,"No"))</f>
        <v>0.98876404494382</v>
      </c>
    </row>
    <row r="107" customFormat="false" ht="15" hidden="false" customHeight="false" outlineLevel="0" collapsed="false">
      <c r="A107" s="2" t="s">
        <v>365</v>
      </c>
      <c r="F107" s="80" t="n">
        <f aca="false">COUNTIFS(L2:L90,"&gt;=-3",L2:L90,"&lt;=3")/COUNT(L2:L90)</f>
        <v>0.820224719101124</v>
      </c>
    </row>
    <row r="108" customFormat="false" ht="15" hidden="false" customHeight="false" outlineLevel="0" collapsed="false">
      <c r="A108" s="2" t="s">
        <v>382</v>
      </c>
      <c r="F108" s="81" t="n">
        <f aca="false">COUNT(E2:E90)</f>
        <v>89</v>
      </c>
    </row>
    <row r="109" customFormat="false" ht="15" hidden="false" customHeight="false" outlineLevel="0" collapsed="false">
      <c r="A109" s="2" t="s">
        <v>367</v>
      </c>
      <c r="F109" s="81" t="n">
        <f aca="false">COUNTA(A2:A90)</f>
        <v>89</v>
      </c>
    </row>
    <row r="111" customFormat="false" ht="15" hidden="false" customHeight="false" outlineLevel="0" collapsed="false">
      <c r="U111" s="5" t="s">
        <v>104</v>
      </c>
    </row>
    <row r="112" customFormat="false" ht="28.35" hidden="false" customHeight="false" outlineLevel="0" collapsed="false">
      <c r="U112" s="64" t="s">
        <v>383</v>
      </c>
    </row>
    <row r="113" customFormat="false" ht="15" hidden="false" customHeight="false" outlineLevel="0" collapsed="false">
      <c r="U113" s="64" t="s">
        <v>369</v>
      </c>
    </row>
    <row r="114" customFormat="false" ht="15" hidden="false" customHeight="false" outlineLevel="0" collapsed="false">
      <c r="U114" s="64" t="s">
        <v>384</v>
      </c>
    </row>
    <row r="115" customFormat="false" ht="15" hidden="false" customHeight="false" outlineLevel="0" collapsed="false">
      <c r="U115" s="64" t="s">
        <v>385</v>
      </c>
    </row>
    <row r="116" customFormat="false" ht="28.35" hidden="false" customHeight="false" outlineLevel="0" collapsed="false">
      <c r="U116" s="64" t="s">
        <v>386</v>
      </c>
    </row>
    <row r="117" customFormat="false" ht="28.35" hidden="false" customHeight="false" outlineLevel="0" collapsed="false">
      <c r="U117" s="64" t="s">
        <v>387</v>
      </c>
    </row>
    <row r="118" customFormat="false" ht="28.35" hidden="false" customHeight="false" outlineLevel="0" collapsed="false">
      <c r="U118" s="64" t="s">
        <v>374</v>
      </c>
    </row>
    <row r="119" customFormat="false" ht="41.75" hidden="false" customHeight="false" outlineLevel="0" collapsed="false">
      <c r="U119" s="64" t="s">
        <v>388</v>
      </c>
    </row>
    <row r="120" customFormat="false" ht="15" hidden="false" customHeight="false" outlineLevel="0" collapsed="false">
      <c r="U120" s="64" t="s">
        <v>389</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77</v>
      </c>
      <c r="B1" s="8" t="s">
        <v>78</v>
      </c>
      <c r="C1" s="8" t="s">
        <v>79</v>
      </c>
      <c r="D1" s="8" t="s">
        <v>334</v>
      </c>
      <c r="E1" s="8" t="s">
        <v>335</v>
      </c>
      <c r="F1" s="8" t="s">
        <v>336</v>
      </c>
      <c r="G1" s="8" t="s">
        <v>379</v>
      </c>
      <c r="H1" s="8" t="s">
        <v>338</v>
      </c>
      <c r="I1" s="8" t="s">
        <v>339</v>
      </c>
      <c r="J1" s="8" t="s">
        <v>340</v>
      </c>
      <c r="K1" s="8" t="s">
        <v>341</v>
      </c>
      <c r="L1" s="8" t="s">
        <v>342</v>
      </c>
      <c r="M1" s="8" t="s">
        <v>380</v>
      </c>
      <c r="N1" s="8" t="s">
        <v>381</v>
      </c>
      <c r="O1" s="8" t="s">
        <v>107</v>
      </c>
      <c r="P1" s="8" t="s">
        <v>345</v>
      </c>
      <c r="Q1" s="8" t="s">
        <v>346</v>
      </c>
      <c r="R1" s="8" t="s">
        <v>347</v>
      </c>
      <c r="S1" s="8" t="s">
        <v>348</v>
      </c>
      <c r="T1" s="8" t="s">
        <v>349</v>
      </c>
      <c r="U1" s="8" t="s">
        <v>350</v>
      </c>
    </row>
    <row r="2" customFormat="false" ht="15" hidden="false" customHeight="false" outlineLevel="0" collapsed="false">
      <c r="A2" s="32" t="s">
        <v>127</v>
      </c>
      <c r="B2" s="32" t="s">
        <v>128</v>
      </c>
      <c r="C2" s="32" t="s">
        <v>129</v>
      </c>
      <c r="D2" s="54" t="n">
        <v>123</v>
      </c>
      <c r="E2" s="54" t="n">
        <v>137</v>
      </c>
      <c r="F2" s="65" t="n">
        <f aca="false">IF(E2="","",D2-E2)</f>
        <v>-14</v>
      </c>
      <c r="G2" s="54" t="n">
        <v>222</v>
      </c>
      <c r="H2" s="54" t="n">
        <v>249</v>
      </c>
      <c r="I2" s="65" t="n">
        <f aca="false">IF(H2="","",G2-H2)</f>
        <v>-27</v>
      </c>
      <c r="J2" s="55" t="n">
        <f aca="false">IF(OR(D2="",D2+G2=0),"",D2/(D2+G2))</f>
        <v>0.356521739130435</v>
      </c>
      <c r="K2" s="55" t="n">
        <f aca="false">IF(E2="","",E2/(E2+H2))</f>
        <v>0.354922279792746</v>
      </c>
      <c r="L2" s="66" t="n">
        <f aca="false">IF(OR(K2="",J2=""),"",(J2-K2)*100)</f>
        <v>0.159945933768868</v>
      </c>
      <c r="M2" s="36" t="n">
        <v>3.67164034925888</v>
      </c>
      <c r="N2" s="36" t="n">
        <v>2.06051271468277</v>
      </c>
      <c r="O2" s="36" t="n">
        <f aca="false">SQRT(M2^2+N2^2)</f>
        <v>4.21030349282272</v>
      </c>
      <c r="P2" s="55" t="n">
        <f aca="false">IF(J2="","",MAX(0,J2-1.96*O2/100))</f>
        <v>0.273999790671109</v>
      </c>
      <c r="Q2" s="55" t="n">
        <f aca="false">IF(J2="","",MIN(1,J2+1.96*O2/100))</f>
        <v>0.43904368758976</v>
      </c>
      <c r="R2" s="32" t="str">
        <f aca="false">IF(L2="","",IF(ABS(L2)&lt;=O2,"Yes","No"))</f>
        <v>Yes</v>
      </c>
      <c r="S2" s="32" t="str">
        <f aca="false">IF(L2="","",IF(ABS(L2)&lt;=1.96*O2,"Yes","No"))</f>
        <v>Yes</v>
      </c>
      <c r="T2" s="54" t="n">
        <f aca="false">IF(D2="","",ROUND(SQRT(((D2+G2)*O2/100)^2+(J2*(D2+G2)*0.07872)^2),0))</f>
        <v>17</v>
      </c>
      <c r="U2" s="32"/>
    </row>
    <row r="3" customFormat="false" ht="15" hidden="false" customHeight="false" outlineLevel="0" collapsed="false">
      <c r="A3" s="32" t="s">
        <v>127</v>
      </c>
      <c r="B3" s="32" t="s">
        <v>133</v>
      </c>
      <c r="C3" s="32" t="s">
        <v>129</v>
      </c>
      <c r="D3" s="54" t="n">
        <v>75</v>
      </c>
      <c r="E3" s="54" t="n">
        <v>84</v>
      </c>
      <c r="F3" s="65" t="n">
        <f aca="false">IF(E3="","",D3-E3)</f>
        <v>-9</v>
      </c>
      <c r="G3" s="54" t="n">
        <v>203</v>
      </c>
      <c r="H3" s="54" t="n">
        <v>230</v>
      </c>
      <c r="I3" s="65" t="n">
        <f aca="false">IF(H3="","",G3-H3)</f>
        <v>-27</v>
      </c>
      <c r="J3" s="55" t="n">
        <f aca="false">IF(OR(D3="",D3+G3=0),"",D3/(D3+G3))</f>
        <v>0.269784172661871</v>
      </c>
      <c r="K3" s="55" t="n">
        <f aca="false">IF(E3="","",E3/(E3+H3))</f>
        <v>0.267515923566879</v>
      </c>
      <c r="L3" s="66" t="n">
        <f aca="false">IF(OR(K3="",J3=""),"",(J3-K3)*100)</f>
        <v>0.226824909499151</v>
      </c>
      <c r="M3" s="36" t="n">
        <v>3.67164034925888</v>
      </c>
      <c r="N3" s="36" t="n">
        <v>2.06051271468277</v>
      </c>
      <c r="O3" s="36" t="n">
        <f aca="false">SQRT(M3^2+N3^2)</f>
        <v>4.21030349282272</v>
      </c>
      <c r="P3" s="55" t="n">
        <f aca="false">IF(J3="","",MAX(0,J3-1.96*O3/100))</f>
        <v>0.187262224202545</v>
      </c>
      <c r="Q3" s="55" t="n">
        <f aca="false">IF(J3="","",MIN(1,J3+1.96*O3/100))</f>
        <v>0.352306121121196</v>
      </c>
      <c r="R3" s="32" t="str">
        <f aca="false">IF(L3="","",IF(ABS(L3)&lt;=O3,"Yes","No"))</f>
        <v>Yes</v>
      </c>
      <c r="S3" s="32" t="str">
        <f aca="false">IF(L3="","",IF(ABS(L3)&lt;=1.96*O3,"Yes","No"))</f>
        <v>Yes</v>
      </c>
      <c r="T3" s="54" t="n">
        <f aca="false">IF(D3="","",ROUND(SQRT(((D3+G3)*O3/100)^2+(J3*(D3+G3)*0.07872)^2),0))</f>
        <v>13</v>
      </c>
      <c r="U3" s="32"/>
    </row>
    <row r="4" customFormat="false" ht="15" hidden="false" customHeight="false" outlineLevel="0" collapsed="false">
      <c r="A4" s="32" t="s">
        <v>127</v>
      </c>
      <c r="B4" s="32" t="s">
        <v>134</v>
      </c>
      <c r="C4" s="32" t="s">
        <v>129</v>
      </c>
      <c r="D4" s="54" t="n">
        <v>84</v>
      </c>
      <c r="E4" s="54" t="n">
        <v>125</v>
      </c>
      <c r="F4" s="65" t="n">
        <f aca="false">IF(E4="","",D4-E4)</f>
        <v>-41</v>
      </c>
      <c r="G4" s="54" t="n">
        <v>204</v>
      </c>
      <c r="H4" s="54" t="n">
        <v>223</v>
      </c>
      <c r="I4" s="65" t="n">
        <f aca="false">IF(H4="","",G4-H4)</f>
        <v>-19</v>
      </c>
      <c r="J4" s="55" t="n">
        <f aca="false">IF(OR(D4="",D4+G4=0),"",D4/(D4+G4))</f>
        <v>0.291666666666667</v>
      </c>
      <c r="K4" s="55" t="n">
        <f aca="false">IF(E4="","",E4/(E4+H4))</f>
        <v>0.359195402298851</v>
      </c>
      <c r="L4" s="66" t="n">
        <f aca="false">IF(OR(K4="",J4=""),"",(J4-K4)*100)</f>
        <v>-6.75287356321839</v>
      </c>
      <c r="M4" s="36" t="n">
        <v>3.67164034925888</v>
      </c>
      <c r="N4" s="36" t="n">
        <v>2.06051271468277</v>
      </c>
      <c r="O4" s="36" t="n">
        <f aca="false">SQRT(M4^2+N4^2)</f>
        <v>4.21030349282272</v>
      </c>
      <c r="P4" s="55" t="n">
        <f aca="false">IF(J4="","",MAX(0,J4-1.96*O4/100))</f>
        <v>0.209144718207341</v>
      </c>
      <c r="Q4" s="55" t="n">
        <f aca="false">IF(J4="","",MIN(1,J4+1.96*O4/100))</f>
        <v>0.374188615125992</v>
      </c>
      <c r="R4" s="32" t="str">
        <f aca="false">IF(L4="","",IF(ABS(L4)&lt;=O4,"Yes","No"))</f>
        <v>No</v>
      </c>
      <c r="S4" s="32" t="str">
        <f aca="false">IF(L4="","",IF(ABS(L4)&lt;=1.96*O4,"Yes","No"))</f>
        <v>Yes</v>
      </c>
      <c r="T4" s="54" t="n">
        <f aca="false">IF(D4="","",ROUND(SQRT(((D4+G4)*O4/100)^2+(J4*(D4+G4)*0.07872)^2),0))</f>
        <v>14</v>
      </c>
      <c r="U4" s="32"/>
    </row>
    <row r="5" customFormat="false" ht="15" hidden="false" customHeight="false" outlineLevel="0" collapsed="false">
      <c r="A5" s="32" t="s">
        <v>127</v>
      </c>
      <c r="B5" s="32" t="s">
        <v>135</v>
      </c>
      <c r="C5" s="32" t="s">
        <v>129</v>
      </c>
      <c r="D5" s="54" t="n">
        <v>312</v>
      </c>
      <c r="E5" s="54" t="n">
        <v>372</v>
      </c>
      <c r="F5" s="65" t="n">
        <f aca="false">IF(E5="","",D5-E5)</f>
        <v>-60</v>
      </c>
      <c r="G5" s="54" t="n">
        <v>819</v>
      </c>
      <c r="H5" s="54" t="n">
        <v>925</v>
      </c>
      <c r="I5" s="65" t="n">
        <f aca="false">IF(H5="","",G5-H5)</f>
        <v>-106</v>
      </c>
      <c r="J5" s="55" t="n">
        <f aca="false">IF(OR(D5="",D5+G5=0),"",D5/(D5+G5))</f>
        <v>0.275862068965517</v>
      </c>
      <c r="K5" s="55" t="n">
        <f aca="false">IF(E5="","",E5/(E5+H5))</f>
        <v>0.286815728604472</v>
      </c>
      <c r="L5" s="66" t="n">
        <f aca="false">IF(OR(K5="",J5=""),"",(J5-K5)*100)</f>
        <v>-1.09536596389546</v>
      </c>
      <c r="M5" s="36" t="n">
        <v>2.25210547370435</v>
      </c>
      <c r="N5" s="36" t="n">
        <v>2.06051271468277</v>
      </c>
      <c r="O5" s="36" t="n">
        <f aca="false">SQRT(M5^2+N5^2)</f>
        <v>3.0524894286563</v>
      </c>
      <c r="P5" s="55" t="n">
        <f aca="false">IF(J5="","",MAX(0,J5-1.96*O5/100))</f>
        <v>0.216033276163854</v>
      </c>
      <c r="Q5" s="55" t="n">
        <f aca="false">IF(J5="","",MIN(1,J5+1.96*O5/100))</f>
        <v>0.335690861767181</v>
      </c>
      <c r="R5" s="32" t="str">
        <f aca="false">IF(L5="","",IF(ABS(L5)&lt;=O5,"Yes","No"))</f>
        <v>Yes</v>
      </c>
      <c r="S5" s="32" t="str">
        <f aca="false">IF(L5="","",IF(ABS(L5)&lt;=1.96*O5,"Yes","No"))</f>
        <v>Yes</v>
      </c>
      <c r="T5" s="54" t="n">
        <f aca="false">IF(D5="","",ROUND(SQRT(((D5+G5)*O5/100)^2+(J5*(D5+G5)*0.05883)^2),0))</f>
        <v>39</v>
      </c>
      <c r="U5" s="32"/>
    </row>
    <row r="6" customFormat="false" ht="15" hidden="false" customHeight="false" outlineLevel="0" collapsed="false">
      <c r="A6" s="32" t="s">
        <v>127</v>
      </c>
      <c r="B6" s="32" t="s">
        <v>137</v>
      </c>
      <c r="C6" s="32" t="s">
        <v>129</v>
      </c>
      <c r="D6" s="54" t="n">
        <v>30</v>
      </c>
      <c r="E6" s="54" t="n">
        <v>33</v>
      </c>
      <c r="F6" s="65" t="n">
        <f aca="false">IF(E6="","",D6-E6)</f>
        <v>-3</v>
      </c>
      <c r="G6" s="54" t="n">
        <v>46</v>
      </c>
      <c r="H6" s="54" t="n">
        <v>61</v>
      </c>
      <c r="I6" s="65" t="n">
        <f aca="false">IF(H6="","",G6-H6)</f>
        <v>-15</v>
      </c>
      <c r="J6" s="55" t="n">
        <f aca="false">IF(OR(D6="",D6+G6=0),"",D6/(D6+G6))</f>
        <v>0.394736842105263</v>
      </c>
      <c r="K6" s="55" t="n">
        <f aca="false">IF(E6="","",E6/(E6+H6))</f>
        <v>0.351063829787234</v>
      </c>
      <c r="L6" s="66" t="n">
        <f aca="false">IF(OR(K6="",J6=""),"",(J6-K6)*100)</f>
        <v>4.36730123180291</v>
      </c>
      <c r="M6" s="36" t="n">
        <v>3.67164034925888</v>
      </c>
      <c r="N6" s="36" t="n">
        <v>2.06051271468277</v>
      </c>
      <c r="O6" s="36" t="n">
        <f aca="false">SQRT(M6^2+N6^2)</f>
        <v>4.21030349282272</v>
      </c>
      <c r="P6" s="55" t="n">
        <f aca="false">IF(J6="","",MAX(0,J6-1.96*O6/100))</f>
        <v>0.312214893645938</v>
      </c>
      <c r="Q6" s="55" t="n">
        <f aca="false">IF(J6="","",MIN(1,J6+1.96*O6/100))</f>
        <v>0.477258790564589</v>
      </c>
      <c r="R6" s="32" t="str">
        <f aca="false">IF(L6="","",IF(ABS(L6)&lt;=O6,"Yes","No"))</f>
        <v>No</v>
      </c>
      <c r="S6" s="32" t="str">
        <f aca="false">IF(L6="","",IF(ABS(L6)&lt;=1.96*O6,"Yes","No"))</f>
        <v>Yes</v>
      </c>
      <c r="T6" s="54" t="n">
        <f aca="false">IF(D6="","",ROUND(SQRT(((D6+G6)*O6/100)^2+(J6*(D6+G6)*0.07872)^2),0))</f>
        <v>4</v>
      </c>
      <c r="U6" s="32"/>
    </row>
    <row r="7" customFormat="false" ht="15" hidden="false" customHeight="false" outlineLevel="0" collapsed="false">
      <c r="A7" s="32" t="s">
        <v>127</v>
      </c>
      <c r="B7" s="32" t="s">
        <v>138</v>
      </c>
      <c r="C7" s="32" t="s">
        <v>129</v>
      </c>
      <c r="D7" s="54" t="n">
        <v>471</v>
      </c>
      <c r="E7" s="54" t="n">
        <v>560</v>
      </c>
      <c r="F7" s="65" t="n">
        <f aca="false">IF(E7="","",D7-E7)</f>
        <v>-89</v>
      </c>
      <c r="G7" s="54" t="n">
        <v>1258</v>
      </c>
      <c r="H7" s="54" t="n">
        <v>1398</v>
      </c>
      <c r="I7" s="65" t="n">
        <f aca="false">IF(H7="","",G7-H7)</f>
        <v>-140</v>
      </c>
      <c r="J7" s="55" t="n">
        <f aca="false">IF(OR(D7="",D7+G7=0),"",D7/(D7+G7))</f>
        <v>0.272411798727588</v>
      </c>
      <c r="K7" s="55" t="n">
        <f aca="false">IF(E7="","",E7/(E7+H7))</f>
        <v>0.286006128702758</v>
      </c>
      <c r="L7" s="66" t="n">
        <f aca="false">IF(OR(K7="",J7=""),"",(J7-K7)*100)</f>
        <v>-1.35943299751697</v>
      </c>
      <c r="M7" s="36" t="n">
        <v>2.25210547370435</v>
      </c>
      <c r="N7" s="36" t="n">
        <v>2.06051271468277</v>
      </c>
      <c r="O7" s="36" t="n">
        <f aca="false">SQRT(M7^2+N7^2)</f>
        <v>3.0524894286563</v>
      </c>
      <c r="P7" s="55" t="n">
        <f aca="false">IF(J7="","",MAX(0,J7-1.96*O7/100))</f>
        <v>0.212583005925925</v>
      </c>
      <c r="Q7" s="55" t="n">
        <f aca="false">IF(J7="","",MIN(1,J7+1.96*O7/100))</f>
        <v>0.332240591529252</v>
      </c>
      <c r="R7" s="32" t="str">
        <f aca="false">IF(L7="","",IF(ABS(L7)&lt;=O7,"Yes","No"))</f>
        <v>Yes</v>
      </c>
      <c r="S7" s="32" t="str">
        <f aca="false">IF(L7="","",IF(ABS(L7)&lt;=1.96*O7,"Yes","No"))</f>
        <v>Yes</v>
      </c>
      <c r="T7" s="54" t="n">
        <f aca="false">IF(D7="","",ROUND(SQRT(((D7+G7)*O7/100)^2+(J7*(D7+G7)*0.05883)^2),0))</f>
        <v>60</v>
      </c>
      <c r="U7" s="32"/>
    </row>
    <row r="8" customFormat="false" ht="15" hidden="false" customHeight="false" outlineLevel="0" collapsed="false">
      <c r="A8" s="32" t="s">
        <v>127</v>
      </c>
      <c r="B8" s="32" t="s">
        <v>139</v>
      </c>
      <c r="C8" s="32" t="s">
        <v>129</v>
      </c>
      <c r="D8" s="54" t="n">
        <v>769</v>
      </c>
      <c r="E8" s="54" t="n">
        <v>979</v>
      </c>
      <c r="F8" s="65" t="n">
        <f aca="false">IF(E8="","",D8-E8)</f>
        <v>-210</v>
      </c>
      <c r="G8" s="54" t="n">
        <v>1082</v>
      </c>
      <c r="H8" s="54" t="n">
        <v>1157</v>
      </c>
      <c r="I8" s="65" t="n">
        <f aca="false">IF(H8="","",G8-H8)</f>
        <v>-75</v>
      </c>
      <c r="J8" s="55" t="n">
        <f aca="false">IF(OR(D8="",D8+G8=0),"",D8/(D8+G8))</f>
        <v>0.415451107509454</v>
      </c>
      <c r="K8" s="55" t="n">
        <f aca="false">IF(E8="","",E8/(E8+H8))</f>
        <v>0.458333333333333</v>
      </c>
      <c r="L8" s="66" t="n">
        <f aca="false">IF(OR(K8="",J8=""),"",(J8-K8)*100)</f>
        <v>-4.2882225823879</v>
      </c>
      <c r="M8" s="36" t="n">
        <v>2.25210547370435</v>
      </c>
      <c r="N8" s="36" t="n">
        <v>2.06051271468277</v>
      </c>
      <c r="O8" s="36" t="n">
        <f aca="false">SQRT(M8^2+N8^2)</f>
        <v>3.0524894286563</v>
      </c>
      <c r="P8" s="55" t="n">
        <f aca="false">IF(J8="","",MAX(0,J8-1.96*O8/100))</f>
        <v>0.355622314707791</v>
      </c>
      <c r="Q8" s="55" t="n">
        <f aca="false">IF(J8="","",MIN(1,J8+1.96*O8/100))</f>
        <v>0.475279900311118</v>
      </c>
      <c r="R8" s="32" t="str">
        <f aca="false">IF(L8="","",IF(ABS(L8)&lt;=O8,"Yes","No"))</f>
        <v>No</v>
      </c>
      <c r="S8" s="32" t="str">
        <f aca="false">IF(L8="","",IF(ABS(L8)&lt;=1.96*O8,"Yes","No"))</f>
        <v>Yes</v>
      </c>
      <c r="T8" s="54" t="n">
        <f aca="false">IF(D8="","",ROUND(SQRT(((D8+G8)*O8/100)^2+(J8*(D8+G8)*0.05883)^2),0))</f>
        <v>72</v>
      </c>
      <c r="U8" s="32"/>
    </row>
    <row r="9" customFormat="false" ht="15" hidden="false" customHeight="false" outlineLevel="0" collapsed="false">
      <c r="A9" s="32" t="s">
        <v>127</v>
      </c>
      <c r="B9" s="32" t="s">
        <v>140</v>
      </c>
      <c r="C9" s="32" t="s">
        <v>129</v>
      </c>
      <c r="D9" s="54" t="n">
        <v>256</v>
      </c>
      <c r="E9" s="54" t="n">
        <v>277</v>
      </c>
      <c r="F9" s="65" t="n">
        <f aca="false">IF(E9="","",D9-E9)</f>
        <v>-21</v>
      </c>
      <c r="G9" s="54" t="n">
        <v>553</v>
      </c>
      <c r="H9" s="54" t="n">
        <v>560</v>
      </c>
      <c r="I9" s="65" t="n">
        <f aca="false">IF(H9="","",G9-H9)</f>
        <v>-7</v>
      </c>
      <c r="J9" s="55" t="n">
        <f aca="false">IF(OR(D9="",D9+G9=0),"",D9/(D9+G9))</f>
        <v>0.316440049443758</v>
      </c>
      <c r="K9" s="55" t="n">
        <f aca="false">IF(E9="","",E9/(E9+H9))</f>
        <v>0.330943847072879</v>
      </c>
      <c r="L9" s="66" t="n">
        <f aca="false">IF(OR(K9="",J9=""),"",(J9-K9)*100)</f>
        <v>-1.45037976291216</v>
      </c>
      <c r="M9" s="36" t="n">
        <v>3.67164034925888</v>
      </c>
      <c r="N9" s="36" t="n">
        <v>2.06051271468277</v>
      </c>
      <c r="O9" s="36" t="n">
        <f aca="false">SQRT(M9^2+N9^2)</f>
        <v>4.21030349282272</v>
      </c>
      <c r="P9" s="55" t="n">
        <f aca="false">IF(J9="","",MAX(0,J9-1.96*O9/100))</f>
        <v>0.233918100984432</v>
      </c>
      <c r="Q9" s="55" t="n">
        <f aca="false">IF(J9="","",MIN(1,J9+1.96*O9/100))</f>
        <v>0.398961997903083</v>
      </c>
      <c r="R9" s="32" t="str">
        <f aca="false">IF(L9="","",IF(ABS(L9)&lt;=O9,"Yes","No"))</f>
        <v>Yes</v>
      </c>
      <c r="S9" s="32" t="str">
        <f aca="false">IF(L9="","",IF(ABS(L9)&lt;=1.96*O9,"Yes","No"))</f>
        <v>Yes</v>
      </c>
      <c r="T9" s="54" t="n">
        <f aca="false">IF(D9="","",ROUND(SQRT(((D9+G9)*O9/100)^2+(J9*(D9+G9)*0.07872)^2),0))</f>
        <v>40</v>
      </c>
      <c r="U9" s="32"/>
    </row>
    <row r="10" customFormat="false" ht="15" hidden="false" customHeight="false" outlineLevel="0" collapsed="false">
      <c r="A10" s="32" t="s">
        <v>127</v>
      </c>
      <c r="B10" s="32" t="s">
        <v>141</v>
      </c>
      <c r="C10" s="32" t="s">
        <v>129</v>
      </c>
      <c r="D10" s="54" t="n">
        <v>384</v>
      </c>
      <c r="E10" s="54" t="n">
        <v>420</v>
      </c>
      <c r="F10" s="65" t="n">
        <f aca="false">IF(E10="","",D10-E10)</f>
        <v>-36</v>
      </c>
      <c r="G10" s="54" t="n">
        <v>527</v>
      </c>
      <c r="H10" s="54" t="n">
        <v>580</v>
      </c>
      <c r="I10" s="65" t="n">
        <f aca="false">IF(H10="","",G10-H10)</f>
        <v>-53</v>
      </c>
      <c r="J10" s="55" t="n">
        <f aca="false">IF(OR(D10="",D10+G10=0),"",D10/(D10+G10))</f>
        <v>0.421514818880351</v>
      </c>
      <c r="K10" s="55" t="n">
        <f aca="false">IF(E10="","",E10/(E10+H10))</f>
        <v>0.42</v>
      </c>
      <c r="L10" s="66" t="n">
        <f aca="false">IF(OR(K10="",J10=""),"",(J10-K10)*100)</f>
        <v>0.151481888035127</v>
      </c>
      <c r="M10" s="36" t="n">
        <v>3.67164034925888</v>
      </c>
      <c r="N10" s="36" t="n">
        <v>2.06051271468277</v>
      </c>
      <c r="O10" s="36" t="n">
        <f aca="false">SQRT(M10^2+N10^2)</f>
        <v>4.21030349282272</v>
      </c>
      <c r="P10" s="55" t="n">
        <f aca="false">IF(J10="","",MAX(0,J10-1.96*O10/100))</f>
        <v>0.338992870421026</v>
      </c>
      <c r="Q10" s="55" t="n">
        <f aca="false">IF(J10="","",MIN(1,J10+1.96*O10/100))</f>
        <v>0.504036767339677</v>
      </c>
      <c r="R10" s="32" t="str">
        <f aca="false">IF(L10="","",IF(ABS(L10)&lt;=O10,"Yes","No"))</f>
        <v>Yes</v>
      </c>
      <c r="S10" s="32" t="str">
        <f aca="false">IF(L10="","",IF(ABS(L10)&lt;=1.96*O10,"Yes","No"))</f>
        <v>Yes</v>
      </c>
      <c r="T10" s="54" t="n">
        <f aca="false">IF(D10="","",ROUND(SQRT(((D10+G10)*O10/100)^2+(J10*(D10+G10)*0.07872)^2),0))</f>
        <v>49</v>
      </c>
      <c r="U10" s="32"/>
    </row>
    <row r="11" customFormat="false" ht="15" hidden="false" customHeight="false" outlineLevel="0" collapsed="false">
      <c r="A11" s="32" t="s">
        <v>127</v>
      </c>
      <c r="B11" s="32" t="s">
        <v>142</v>
      </c>
      <c r="C11" s="32" t="s">
        <v>129</v>
      </c>
      <c r="D11" s="54" t="n">
        <v>26</v>
      </c>
      <c r="E11" s="54" t="n">
        <v>36</v>
      </c>
      <c r="F11" s="65" t="n">
        <f aca="false">IF(E11="","",D11-E11)</f>
        <v>-10</v>
      </c>
      <c r="G11" s="54" t="n">
        <v>65</v>
      </c>
      <c r="H11" s="54" t="n">
        <v>79</v>
      </c>
      <c r="I11" s="65" t="n">
        <f aca="false">IF(H11="","",G11-H11)</f>
        <v>-14</v>
      </c>
      <c r="J11" s="55" t="n">
        <f aca="false">IF(OR(D11="",D11+G11=0),"",D11/(D11+G11))</f>
        <v>0.285714285714286</v>
      </c>
      <c r="K11" s="55" t="n">
        <f aca="false">IF(E11="","",E11/(E11+H11))</f>
        <v>0.31304347826087</v>
      </c>
      <c r="L11" s="66" t="n">
        <f aca="false">IF(OR(K11="",J11=""),"",(J11-K11)*100)</f>
        <v>-2.73291925465839</v>
      </c>
      <c r="M11" s="36" t="n">
        <v>3.67164034925888</v>
      </c>
      <c r="N11" s="36" t="n">
        <v>2.06051271468277</v>
      </c>
      <c r="O11" s="36" t="n">
        <f aca="false">SQRT(M11^2+N11^2)</f>
        <v>4.21030349282272</v>
      </c>
      <c r="P11" s="55" t="n">
        <f aca="false">IF(J11="","",MAX(0,J11-1.96*O11/100))</f>
        <v>0.20319233725496</v>
      </c>
      <c r="Q11" s="55" t="n">
        <f aca="false">IF(J11="","",MIN(1,J11+1.96*O11/100))</f>
        <v>0.368236234173611</v>
      </c>
      <c r="R11" s="32" t="str">
        <f aca="false">IF(L11="","",IF(ABS(L11)&lt;=O11,"Yes","No"))</f>
        <v>Yes</v>
      </c>
      <c r="S11" s="32" t="str">
        <f aca="false">IF(L11="","",IF(ABS(L11)&lt;=1.96*O11,"Yes","No"))</f>
        <v>Yes</v>
      </c>
      <c r="T11" s="54" t="n">
        <f aca="false">IF(D11="","",ROUND(SQRT(((D11+G11)*O11/100)^2+(J11*(D11+G11)*0.07872)^2),0))</f>
        <v>4</v>
      </c>
      <c r="U11" s="32"/>
    </row>
    <row r="12" customFormat="false" ht="15" hidden="false" customHeight="false" outlineLevel="0" collapsed="false">
      <c r="A12" s="32" t="s">
        <v>127</v>
      </c>
      <c r="B12" s="32" t="s">
        <v>143</v>
      </c>
      <c r="C12" s="32" t="s">
        <v>129</v>
      </c>
      <c r="D12" s="54" t="n">
        <v>41</v>
      </c>
      <c r="E12" s="54" t="n">
        <v>52</v>
      </c>
      <c r="F12" s="65" t="n">
        <f aca="false">IF(E12="","",D12-E12)</f>
        <v>-11</v>
      </c>
      <c r="G12" s="54" t="n">
        <v>158</v>
      </c>
      <c r="H12" s="54" t="n">
        <v>189</v>
      </c>
      <c r="I12" s="65" t="n">
        <f aca="false">IF(H12="","",G12-H12)</f>
        <v>-31</v>
      </c>
      <c r="J12" s="55" t="n">
        <f aca="false">IF(OR(D12="",D12+G12=0),"",D12/(D12+G12))</f>
        <v>0.206030150753769</v>
      </c>
      <c r="K12" s="55" t="n">
        <f aca="false">IF(E12="","",E12/(E12+H12))</f>
        <v>0.215767634854772</v>
      </c>
      <c r="L12" s="66" t="n">
        <f aca="false">IF(OR(K12="",J12=""),"",(J12-K12)*100)</f>
        <v>-0.973748410100295</v>
      </c>
      <c r="M12" s="36" t="n">
        <v>3.67164034925888</v>
      </c>
      <c r="N12" s="36" t="n">
        <v>2.06051271468277</v>
      </c>
      <c r="O12" s="36" t="n">
        <f aca="false">SQRT(M12^2+N12^2)</f>
        <v>4.21030349282272</v>
      </c>
      <c r="P12" s="55" t="n">
        <f aca="false">IF(J12="","",MAX(0,J12-1.96*O12/100))</f>
        <v>0.123508202294444</v>
      </c>
      <c r="Q12" s="55" t="n">
        <f aca="false">IF(J12="","",MIN(1,J12+1.96*O12/100))</f>
        <v>0.288552099213094</v>
      </c>
      <c r="R12" s="32" t="str">
        <f aca="false">IF(L12="","",IF(ABS(L12)&lt;=O12,"Yes","No"))</f>
        <v>Yes</v>
      </c>
      <c r="S12" s="32" t="str">
        <f aca="false">IF(L12="","",IF(ABS(L12)&lt;=1.96*O12,"Yes","No"))</f>
        <v>Yes</v>
      </c>
      <c r="T12" s="54" t="n">
        <f aca="false">IF(D12="","",ROUND(SQRT(((D12+G12)*O12/100)^2+(J12*(D12+G12)*0.07872)^2),0))</f>
        <v>9</v>
      </c>
      <c r="U12" s="32"/>
    </row>
    <row r="13" customFormat="false" ht="15" hidden="false" customHeight="false" outlineLevel="0" collapsed="false">
      <c r="A13" s="32" t="s">
        <v>127</v>
      </c>
      <c r="B13" s="32" t="s">
        <v>144</v>
      </c>
      <c r="C13" s="32" t="s">
        <v>129</v>
      </c>
      <c r="D13" s="54" t="n">
        <v>590</v>
      </c>
      <c r="E13" s="54" t="n">
        <v>719</v>
      </c>
      <c r="F13" s="65" t="n">
        <f aca="false">IF(E13="","",D13-E13)</f>
        <v>-129</v>
      </c>
      <c r="G13" s="54" t="n">
        <v>886</v>
      </c>
      <c r="H13" s="54" t="n">
        <v>948</v>
      </c>
      <c r="I13" s="65" t="n">
        <f aca="false">IF(H13="","",G13-H13)</f>
        <v>-62</v>
      </c>
      <c r="J13" s="55" t="n">
        <f aca="false">IF(OR(D13="",D13+G13=0),"",D13/(D13+G13))</f>
        <v>0.399728997289973</v>
      </c>
      <c r="K13" s="55" t="n">
        <f aca="false">IF(E13="","",E13/(E13+H13))</f>
        <v>0.43131373725255</v>
      </c>
      <c r="L13" s="66" t="n">
        <f aca="false">IF(OR(K13="",J13=""),"",(J13-K13)*100)</f>
        <v>-3.15847399625766</v>
      </c>
      <c r="M13" s="36" t="n">
        <v>2.25210547370435</v>
      </c>
      <c r="N13" s="36" t="n">
        <v>2.06051271468277</v>
      </c>
      <c r="O13" s="36" t="n">
        <f aca="false">SQRT(M13^2+N13^2)</f>
        <v>3.0524894286563</v>
      </c>
      <c r="P13" s="55" t="n">
        <f aca="false">IF(J13="","",MAX(0,J13-1.96*O13/100))</f>
        <v>0.33990020448831</v>
      </c>
      <c r="Q13" s="55" t="n">
        <f aca="false">IF(J13="","",MIN(1,J13+1.96*O13/100))</f>
        <v>0.459557790091636</v>
      </c>
      <c r="R13" s="32" t="str">
        <f aca="false">IF(L13="","",IF(ABS(L13)&lt;=O13,"Yes","No"))</f>
        <v>No</v>
      </c>
      <c r="S13" s="32" t="str">
        <f aca="false">IF(L13="","",IF(ABS(L13)&lt;=1.96*O13,"Yes","No"))</f>
        <v>Yes</v>
      </c>
      <c r="T13" s="54" t="n">
        <f aca="false">IF(D13="","",ROUND(SQRT(((D13+G13)*O13/100)^2+(J13*(D13+G13)*0.05883)^2),0))</f>
        <v>57</v>
      </c>
      <c r="U13" s="32"/>
    </row>
    <row r="14" customFormat="false" ht="15" hidden="false" customHeight="false" outlineLevel="0" collapsed="false">
      <c r="A14" s="32" t="s">
        <v>127</v>
      </c>
      <c r="B14" s="32" t="s">
        <v>145</v>
      </c>
      <c r="C14" s="32" t="s">
        <v>129</v>
      </c>
      <c r="D14" s="54" t="n">
        <v>367</v>
      </c>
      <c r="E14" s="54" t="n">
        <v>430</v>
      </c>
      <c r="F14" s="65" t="n">
        <f aca="false">IF(E14="","",D14-E14)</f>
        <v>-63</v>
      </c>
      <c r="G14" s="54" t="n">
        <v>789</v>
      </c>
      <c r="H14" s="54" t="n">
        <v>916</v>
      </c>
      <c r="I14" s="65" t="n">
        <f aca="false">IF(H14="","",G14-H14)</f>
        <v>-127</v>
      </c>
      <c r="J14" s="55" t="n">
        <f aca="false">IF(OR(D14="",D14+G14=0),"",D14/(D14+G14))</f>
        <v>0.317474048442907</v>
      </c>
      <c r="K14" s="55" t="n">
        <f aca="false">IF(E14="","",E14/(E14+H14))</f>
        <v>0.319465081723626</v>
      </c>
      <c r="L14" s="66" t="n">
        <f aca="false">IF(OR(K14="",J14=""),"",(J14-K14)*100)</f>
        <v>-0.199103328071898</v>
      </c>
      <c r="M14" s="36" t="n">
        <v>2.25210547370435</v>
      </c>
      <c r="N14" s="36" t="n">
        <v>2.06051271468277</v>
      </c>
      <c r="O14" s="36" t="n">
        <f aca="false">SQRT(M14^2+N14^2)</f>
        <v>3.0524894286563</v>
      </c>
      <c r="P14" s="55" t="n">
        <f aca="false">IF(J14="","",MAX(0,J14-1.96*O14/100))</f>
        <v>0.257645255641243</v>
      </c>
      <c r="Q14" s="55" t="n">
        <f aca="false">IF(J14="","",MIN(1,J14+1.96*O14/100))</f>
        <v>0.37730284124457</v>
      </c>
      <c r="R14" s="32" t="str">
        <f aca="false">IF(L14="","",IF(ABS(L14)&lt;=O14,"Yes","No"))</f>
        <v>Yes</v>
      </c>
      <c r="S14" s="32" t="str">
        <f aca="false">IF(L14="","",IF(ABS(L14)&lt;=1.96*O14,"Yes","No"))</f>
        <v>Yes</v>
      </c>
      <c r="T14" s="54" t="n">
        <f aca="false">IF(D14="","",ROUND(SQRT(((D14+G14)*O14/100)^2+(J14*(D14+G14)*0.05883)^2),0))</f>
        <v>41</v>
      </c>
      <c r="U14" s="32"/>
    </row>
    <row r="15" customFormat="false" ht="15" hidden="false" customHeight="false" outlineLevel="0" collapsed="false">
      <c r="A15" s="32" t="s">
        <v>127</v>
      </c>
      <c r="B15" s="32" t="s">
        <v>146</v>
      </c>
      <c r="C15" s="32" t="s">
        <v>129</v>
      </c>
      <c r="D15" s="54" t="n">
        <v>421</v>
      </c>
      <c r="E15" s="54" t="n">
        <v>546</v>
      </c>
      <c r="F15" s="65" t="n">
        <f aca="false">IF(E15="","",D15-E15)</f>
        <v>-125</v>
      </c>
      <c r="G15" s="54" t="n">
        <v>1138</v>
      </c>
      <c r="H15" s="54" t="n">
        <v>1227</v>
      </c>
      <c r="I15" s="65" t="n">
        <f aca="false">IF(H15="","",G15-H15)</f>
        <v>-89</v>
      </c>
      <c r="J15" s="55" t="n">
        <f aca="false">IF(OR(D15="",D15+G15=0),"",D15/(D15+G15))</f>
        <v>0.270044900577293</v>
      </c>
      <c r="K15" s="55" t="n">
        <f aca="false">IF(E15="","",E15/(E15+H15))</f>
        <v>0.307952622673435</v>
      </c>
      <c r="L15" s="66" t="n">
        <f aca="false">IF(OR(K15="",J15=""),"",(J15-K15)*100)</f>
        <v>-3.79077220961417</v>
      </c>
      <c r="M15" s="36" t="n">
        <v>2.25210547370435</v>
      </c>
      <c r="N15" s="36" t="n">
        <v>2.06051271468277</v>
      </c>
      <c r="O15" s="36" t="n">
        <f aca="false">SQRT(M15^2+N15^2)</f>
        <v>3.0524894286563</v>
      </c>
      <c r="P15" s="55" t="n">
        <f aca="false">IF(J15="","",MAX(0,J15-1.96*O15/100))</f>
        <v>0.21021610777563</v>
      </c>
      <c r="Q15" s="55" t="n">
        <f aca="false">IF(J15="","",MIN(1,J15+1.96*O15/100))</f>
        <v>0.329873693378957</v>
      </c>
      <c r="R15" s="32" t="str">
        <f aca="false">IF(L15="","",IF(ABS(L15)&lt;=O15,"Yes","No"))</f>
        <v>No</v>
      </c>
      <c r="S15" s="32" t="str">
        <f aca="false">IF(L15="","",IF(ABS(L15)&lt;=1.96*O15,"Yes","No"))</f>
        <v>Yes</v>
      </c>
      <c r="T15" s="54" t="n">
        <f aca="false">IF(D15="","",ROUND(SQRT(((D15+G15)*O15/100)^2+(J15*(D15+G15)*0.05883)^2),0))</f>
        <v>54</v>
      </c>
      <c r="U15" s="32"/>
    </row>
    <row r="16" customFormat="false" ht="15" hidden="false" customHeight="false" outlineLevel="0" collapsed="false">
      <c r="A16" s="32" t="s">
        <v>127</v>
      </c>
      <c r="B16" s="32" t="s">
        <v>147</v>
      </c>
      <c r="C16" s="32" t="s">
        <v>129</v>
      </c>
      <c r="D16" s="54" t="n">
        <v>398</v>
      </c>
      <c r="E16" s="54" t="n">
        <v>488</v>
      </c>
      <c r="F16" s="65" t="n">
        <f aca="false">IF(E16="","",D16-E16)</f>
        <v>-90</v>
      </c>
      <c r="G16" s="54" t="n">
        <v>625</v>
      </c>
      <c r="H16" s="54" t="n">
        <v>706</v>
      </c>
      <c r="I16" s="65" t="n">
        <f aca="false">IF(H16="","",G16-H16)</f>
        <v>-81</v>
      </c>
      <c r="J16" s="55" t="n">
        <f aca="false">IF(OR(D16="",D16+G16=0),"",D16/(D16+G16))</f>
        <v>0.389051808406647</v>
      </c>
      <c r="K16" s="55" t="n">
        <f aca="false">IF(E16="","",E16/(E16+H16))</f>
        <v>0.408710217755444</v>
      </c>
      <c r="L16" s="66" t="n">
        <f aca="false">IF(OR(K16="",J16=""),"",(J16-K16)*100)</f>
        <v>-1.96584093487968</v>
      </c>
      <c r="M16" s="36" t="n">
        <v>3.67164034925888</v>
      </c>
      <c r="N16" s="36" t="n">
        <v>2.06051271468277</v>
      </c>
      <c r="O16" s="36" t="n">
        <f aca="false">SQRT(M16^2+N16^2)</f>
        <v>4.21030349282272</v>
      </c>
      <c r="P16" s="55" t="n">
        <f aca="false">IF(J16="","",MAX(0,J16-1.96*O16/100))</f>
        <v>0.306529859947322</v>
      </c>
      <c r="Q16" s="55" t="n">
        <f aca="false">IF(J16="","",MIN(1,J16+1.96*O16/100))</f>
        <v>0.471573756865972</v>
      </c>
      <c r="R16" s="32" t="str">
        <f aca="false">IF(L16="","",IF(ABS(L16)&lt;=O16,"Yes","No"))</f>
        <v>Yes</v>
      </c>
      <c r="S16" s="32" t="str">
        <f aca="false">IF(L16="","",IF(ABS(L16)&lt;=1.96*O16,"Yes","No"))</f>
        <v>Yes</v>
      </c>
      <c r="T16" s="54" t="n">
        <f aca="false">IF(D16="","",ROUND(SQRT(((D16+G16)*O16/100)^2+(J16*(D16+G16)*0.07872)^2),0))</f>
        <v>53</v>
      </c>
      <c r="U16" s="32"/>
    </row>
    <row r="17" customFormat="false" ht="15" hidden="false" customHeight="false" outlineLevel="0" collapsed="false">
      <c r="A17" s="32" t="s">
        <v>127</v>
      </c>
      <c r="B17" s="32" t="s">
        <v>148</v>
      </c>
      <c r="C17" s="32" t="s">
        <v>129</v>
      </c>
      <c r="D17" s="54" t="n">
        <v>98</v>
      </c>
      <c r="E17" s="54" t="n">
        <v>96</v>
      </c>
      <c r="F17" s="65" t="n">
        <f aca="false">IF(E17="","",D17-E17)</f>
        <v>2</v>
      </c>
      <c r="G17" s="54" t="n">
        <v>394</v>
      </c>
      <c r="H17" s="54" t="n">
        <v>444</v>
      </c>
      <c r="I17" s="65" t="n">
        <f aca="false">IF(H17="","",G17-H17)</f>
        <v>-50</v>
      </c>
      <c r="J17" s="55" t="n">
        <f aca="false">IF(OR(D17="",D17+G17=0),"",D17/(D17+G17))</f>
        <v>0.199186991869919</v>
      </c>
      <c r="K17" s="55" t="n">
        <f aca="false">IF(E17="","",E17/(E17+H17))</f>
        <v>0.177777777777778</v>
      </c>
      <c r="L17" s="66" t="n">
        <f aca="false">IF(OR(K17="",J17=""),"",(J17-K17)*100)</f>
        <v>2.14092140921409</v>
      </c>
      <c r="M17" s="36" t="n">
        <v>3.67164034925888</v>
      </c>
      <c r="N17" s="36" t="n">
        <v>2.06051271468277</v>
      </c>
      <c r="O17" s="36" t="n">
        <f aca="false">SQRT(M17^2+N17^2)</f>
        <v>4.21030349282272</v>
      </c>
      <c r="P17" s="55" t="n">
        <f aca="false">IF(J17="","",MAX(0,J17-1.96*O17/100))</f>
        <v>0.116665043410593</v>
      </c>
      <c r="Q17" s="55" t="n">
        <f aca="false">IF(J17="","",MIN(1,J17+1.96*O17/100))</f>
        <v>0.281708940329244</v>
      </c>
      <c r="R17" s="32" t="str">
        <f aca="false">IF(L17="","",IF(ABS(L17)&lt;=O17,"Yes","No"))</f>
        <v>Yes</v>
      </c>
      <c r="S17" s="32" t="str">
        <f aca="false">IF(L17="","",IF(ABS(L17)&lt;=1.96*O17,"Yes","No"))</f>
        <v>Yes</v>
      </c>
      <c r="T17" s="54" t="n">
        <f aca="false">IF(D17="","",ROUND(SQRT(((D17+G17)*O17/100)^2+(J17*(D17+G17)*0.07872)^2),0))</f>
        <v>22</v>
      </c>
      <c r="U17" s="32"/>
    </row>
    <row r="18" customFormat="false" ht="15" hidden="false" customHeight="false" outlineLevel="0" collapsed="false">
      <c r="A18" s="32" t="s">
        <v>127</v>
      </c>
      <c r="B18" s="32" t="s">
        <v>149</v>
      </c>
      <c r="C18" s="32" t="s">
        <v>129</v>
      </c>
      <c r="D18" s="54" t="n">
        <v>628</v>
      </c>
      <c r="E18" s="54" t="n">
        <v>737</v>
      </c>
      <c r="F18" s="65" t="n">
        <f aca="false">IF(E18="","",D18-E18)</f>
        <v>-109</v>
      </c>
      <c r="G18" s="54" t="n">
        <v>1106</v>
      </c>
      <c r="H18" s="54" t="n">
        <v>1172</v>
      </c>
      <c r="I18" s="65" t="n">
        <f aca="false">IF(H18="","",G18-H18)</f>
        <v>-66</v>
      </c>
      <c r="J18" s="55" t="n">
        <f aca="false">IF(OR(D18="",D18+G18=0),"",D18/(D18+G18))</f>
        <v>0.362168396770473</v>
      </c>
      <c r="K18" s="55" t="n">
        <f aca="false">IF(E18="","",E18/(E18+H18))</f>
        <v>0.386066003143007</v>
      </c>
      <c r="L18" s="66" t="n">
        <f aca="false">IF(OR(K18="",J18=""),"",(J18-K18)*100)</f>
        <v>-2.38976063725339</v>
      </c>
      <c r="M18" s="36" t="n">
        <v>2.25210547370435</v>
      </c>
      <c r="N18" s="36" t="n">
        <v>2.06051271468277</v>
      </c>
      <c r="O18" s="36" t="n">
        <f aca="false">SQRT(M18^2+N18^2)</f>
        <v>3.0524894286563</v>
      </c>
      <c r="P18" s="55" t="n">
        <f aca="false">IF(J18="","",MAX(0,J18-1.96*O18/100))</f>
        <v>0.30233960396881</v>
      </c>
      <c r="Q18" s="55" t="n">
        <f aca="false">IF(J18="","",MIN(1,J18+1.96*O18/100))</f>
        <v>0.421997189572136</v>
      </c>
      <c r="R18" s="32" t="str">
        <f aca="false">IF(L18="","",IF(ABS(L18)&lt;=O18,"Yes","No"))</f>
        <v>Yes</v>
      </c>
      <c r="S18" s="32" t="str">
        <f aca="false">IF(L18="","",IF(ABS(L18)&lt;=1.96*O18,"Yes","No"))</f>
        <v>Yes</v>
      </c>
      <c r="T18" s="54" t="n">
        <f aca="false">IF(D18="","",ROUND(SQRT(((D18+G18)*O18/100)^2+(J18*(D18+G18)*0.05883)^2),0))</f>
        <v>65</v>
      </c>
      <c r="U18" s="32"/>
    </row>
    <row r="19" customFormat="false" ht="15" hidden="false" customHeight="false" outlineLevel="0" collapsed="false">
      <c r="A19" s="32" t="s">
        <v>127</v>
      </c>
      <c r="B19" s="32" t="s">
        <v>150</v>
      </c>
      <c r="C19" s="32" t="s">
        <v>129</v>
      </c>
      <c r="D19" s="54" t="n">
        <v>48</v>
      </c>
      <c r="E19" s="54" t="n">
        <v>51</v>
      </c>
      <c r="F19" s="65" t="n">
        <f aca="false">IF(E19="","",D19-E19)</f>
        <v>-3</v>
      </c>
      <c r="G19" s="54" t="n">
        <v>127</v>
      </c>
      <c r="H19" s="54" t="n">
        <v>136</v>
      </c>
      <c r="I19" s="65" t="n">
        <f aca="false">IF(H19="","",G19-H19)</f>
        <v>-9</v>
      </c>
      <c r="J19" s="55" t="n">
        <f aca="false">IF(OR(D19="",D19+G19=0),"",D19/(D19+G19))</f>
        <v>0.274285714285714</v>
      </c>
      <c r="K19" s="55" t="n">
        <f aca="false">IF(E19="","",E19/(E19+H19))</f>
        <v>0.272727272727273</v>
      </c>
      <c r="L19" s="66" t="n">
        <f aca="false">IF(OR(K19="",J19=""),"",(J19-K19)*100)</f>
        <v>0.155844155844159</v>
      </c>
      <c r="M19" s="36" t="n">
        <v>3.67164034925888</v>
      </c>
      <c r="N19" s="36" t="n">
        <v>2.06051271468277</v>
      </c>
      <c r="O19" s="36" t="n">
        <f aca="false">SQRT(M19^2+N19^2)</f>
        <v>4.21030349282272</v>
      </c>
      <c r="P19" s="55" t="n">
        <f aca="false">IF(J19="","",MAX(0,J19-1.96*O19/100))</f>
        <v>0.191763765826389</v>
      </c>
      <c r="Q19" s="55" t="n">
        <f aca="false">IF(J19="","",MIN(1,J19+1.96*O19/100))</f>
        <v>0.35680766274504</v>
      </c>
      <c r="R19" s="32" t="str">
        <f aca="false">IF(L19="","",IF(ABS(L19)&lt;=O19,"Yes","No"))</f>
        <v>Yes</v>
      </c>
      <c r="S19" s="32" t="str">
        <f aca="false">IF(L19="","",IF(ABS(L19)&lt;=1.96*O19,"Yes","No"))</f>
        <v>Yes</v>
      </c>
      <c r="T19" s="54" t="n">
        <f aca="false">IF(D19="","",ROUND(SQRT(((D19+G19)*O19/100)^2+(J19*(D19+G19)*0.07872)^2),0))</f>
        <v>8</v>
      </c>
      <c r="U19" s="32"/>
    </row>
    <row r="20" customFormat="false" ht="15" hidden="false" customHeight="false" outlineLevel="0" collapsed="false">
      <c r="A20" s="32" t="s">
        <v>127</v>
      </c>
      <c r="B20" s="32" t="s">
        <v>151</v>
      </c>
      <c r="C20" s="32" t="s">
        <v>129</v>
      </c>
      <c r="D20" s="54" t="n">
        <v>1369</v>
      </c>
      <c r="E20" s="54" t="n">
        <v>1574</v>
      </c>
      <c r="F20" s="65" t="n">
        <f aca="false">IF(E20="","",D20-E20)</f>
        <v>-205</v>
      </c>
      <c r="G20" s="54" t="n">
        <v>2275</v>
      </c>
      <c r="H20" s="54" t="n">
        <v>2750</v>
      </c>
      <c r="I20" s="65" t="n">
        <f aca="false">IF(H20="","",G20-H20)</f>
        <v>-475</v>
      </c>
      <c r="J20" s="55" t="n">
        <f aca="false">IF(OR(D20="",D20+G20=0),"",D20/(D20+G20))</f>
        <v>0.375686059275521</v>
      </c>
      <c r="K20" s="55" t="n">
        <f aca="false">IF(E20="","",E20/(E20+H20))</f>
        <v>0.364014801110083</v>
      </c>
      <c r="L20" s="66" t="n">
        <f aca="false">IF(OR(K20="",J20=""),"",(J20-K20)*100)</f>
        <v>1.16712581654381</v>
      </c>
      <c r="M20" s="36" t="n">
        <v>1.81014346209639</v>
      </c>
      <c r="N20" s="36" t="n">
        <v>2.06051271468277</v>
      </c>
      <c r="O20" s="36" t="n">
        <f aca="false">SQRT(M20^2+N20^2)</f>
        <v>2.74268700378655</v>
      </c>
      <c r="P20" s="55" t="n">
        <f aca="false">IF(J20="","",MAX(0,J20-1.96*O20/100))</f>
        <v>0.321929394001305</v>
      </c>
      <c r="Q20" s="55" t="n">
        <f aca="false">IF(J20="","",MIN(1,J20+1.96*O20/100))</f>
        <v>0.429442724549738</v>
      </c>
      <c r="R20" s="32" t="str">
        <f aca="false">IF(L20="","",IF(ABS(L20)&lt;=O20,"Yes","No"))</f>
        <v>Yes</v>
      </c>
      <c r="S20" s="32" t="str">
        <f aca="false">IF(L20="","",IF(ABS(L20)&lt;=1.96*O20,"Yes","No"))</f>
        <v>Yes</v>
      </c>
      <c r="T20" s="54" t="n">
        <f aca="false">IF(D20="","",ROUND(SQRT(((D20+G20)*O20/100)^2+(J20*(D20+G20)*0.04942)^2),0))</f>
        <v>121</v>
      </c>
      <c r="U20" s="32"/>
    </row>
    <row r="21" customFormat="false" ht="15" hidden="false" customHeight="false" outlineLevel="0" collapsed="false">
      <c r="A21" s="32" t="s">
        <v>127</v>
      </c>
      <c r="B21" s="32" t="s">
        <v>153</v>
      </c>
      <c r="C21" s="32" t="s">
        <v>129</v>
      </c>
      <c r="D21" s="54" t="n">
        <v>480</v>
      </c>
      <c r="E21" s="54" t="n">
        <v>557</v>
      </c>
      <c r="F21" s="65" t="n">
        <f aca="false">IF(E21="","",D21-E21)</f>
        <v>-77</v>
      </c>
      <c r="G21" s="54" t="n">
        <v>664</v>
      </c>
      <c r="H21" s="54" t="n">
        <v>678</v>
      </c>
      <c r="I21" s="65" t="n">
        <f aca="false">IF(H21="","",G21-H21)</f>
        <v>-14</v>
      </c>
      <c r="J21" s="55" t="n">
        <f aca="false">IF(OR(D21="",D21+G21=0),"",D21/(D21+G21))</f>
        <v>0.41958041958042</v>
      </c>
      <c r="K21" s="55" t="n">
        <f aca="false">IF(E21="","",E21/(E21+H21))</f>
        <v>0.451012145748988</v>
      </c>
      <c r="L21" s="66" t="n">
        <f aca="false">IF(OR(K21="",J21=""),"",(J21-K21)*100)</f>
        <v>-3.14317261685683</v>
      </c>
      <c r="M21" s="36" t="n">
        <v>2.25210547370435</v>
      </c>
      <c r="N21" s="36" t="n">
        <v>2.06051271468277</v>
      </c>
      <c r="O21" s="36" t="n">
        <f aca="false">SQRT(M21^2+N21^2)</f>
        <v>3.0524894286563</v>
      </c>
      <c r="P21" s="55" t="n">
        <f aca="false">IF(J21="","",MAX(0,J21-1.96*O21/100))</f>
        <v>0.359751626778756</v>
      </c>
      <c r="Q21" s="55" t="n">
        <f aca="false">IF(J21="","",MIN(1,J21+1.96*O21/100))</f>
        <v>0.479409212382083</v>
      </c>
      <c r="R21" s="32" t="str">
        <f aca="false">IF(L21="","",IF(ABS(L21)&lt;=O21,"Yes","No"))</f>
        <v>No</v>
      </c>
      <c r="S21" s="32" t="str">
        <f aca="false">IF(L21="","",IF(ABS(L21)&lt;=1.96*O21,"Yes","No"))</f>
        <v>Yes</v>
      </c>
      <c r="T21" s="54" t="n">
        <f aca="false">IF(D21="","",ROUND(SQRT(((D21+G21)*O21/100)^2+(J21*(D21+G21)*0.05883)^2),0))</f>
        <v>45</v>
      </c>
      <c r="U21" s="32"/>
    </row>
    <row r="22" customFormat="false" ht="15" hidden="false" customHeight="false" outlineLevel="0" collapsed="false">
      <c r="A22" s="32" t="s">
        <v>127</v>
      </c>
      <c r="B22" s="32" t="s">
        <v>154</v>
      </c>
      <c r="C22" s="32" t="s">
        <v>129</v>
      </c>
      <c r="D22" s="54" t="n">
        <v>517</v>
      </c>
      <c r="E22" s="54" t="n">
        <v>625</v>
      </c>
      <c r="F22" s="65" t="n">
        <f aca="false">IF(E22="","",D22-E22)</f>
        <v>-108</v>
      </c>
      <c r="G22" s="54" t="n">
        <v>1330</v>
      </c>
      <c r="H22" s="54" t="n">
        <v>1506</v>
      </c>
      <c r="I22" s="65" t="n">
        <f aca="false">IF(H22="","",G22-H22)</f>
        <v>-176</v>
      </c>
      <c r="J22" s="55" t="n">
        <f aca="false">IF(OR(D22="",D22+G22=0),"",D22/(D22+G22))</f>
        <v>0.279913373037358</v>
      </c>
      <c r="K22" s="55" t="n">
        <f aca="false">IF(E22="","",E22/(E22+H22))</f>
        <v>0.293289535429376</v>
      </c>
      <c r="L22" s="66" t="n">
        <f aca="false">IF(OR(K22="",J22=""),"",(J22-K22)*100)</f>
        <v>-1.3376162392018</v>
      </c>
      <c r="M22" s="36" t="n">
        <v>2.25210547370435</v>
      </c>
      <c r="N22" s="36" t="n">
        <v>2.06051271468277</v>
      </c>
      <c r="O22" s="36" t="n">
        <f aca="false">SQRT(M22^2+N22^2)</f>
        <v>3.0524894286563</v>
      </c>
      <c r="P22" s="55" t="n">
        <f aca="false">IF(J22="","",MAX(0,J22-1.96*O22/100))</f>
        <v>0.220084580235695</v>
      </c>
      <c r="Q22" s="55" t="n">
        <f aca="false">IF(J22="","",MIN(1,J22+1.96*O22/100))</f>
        <v>0.339742165839021</v>
      </c>
      <c r="R22" s="32" t="str">
        <f aca="false">IF(L22="","",IF(ABS(L22)&lt;=O22,"Yes","No"))</f>
        <v>Yes</v>
      </c>
      <c r="S22" s="32" t="str">
        <f aca="false">IF(L22="","",IF(ABS(L22)&lt;=1.96*O22,"Yes","No"))</f>
        <v>Yes</v>
      </c>
      <c r="T22" s="54" t="n">
        <f aca="false">IF(D22="","",ROUND(SQRT(((D22+G22)*O22/100)^2+(J22*(D22+G22)*0.05883)^2),0))</f>
        <v>64</v>
      </c>
      <c r="U22" s="32"/>
    </row>
    <row r="23" customFormat="false" ht="15" hidden="false" customHeight="false" outlineLevel="0" collapsed="false">
      <c r="A23" s="32" t="s">
        <v>127</v>
      </c>
      <c r="B23" s="32" t="s">
        <v>155</v>
      </c>
      <c r="C23" s="32" t="s">
        <v>129</v>
      </c>
      <c r="D23" s="54" t="n">
        <v>232</v>
      </c>
      <c r="E23" s="54" t="n">
        <v>245</v>
      </c>
      <c r="F23" s="65" t="n">
        <f aca="false">IF(E23="","",D23-E23)</f>
        <v>-13</v>
      </c>
      <c r="G23" s="54" t="n">
        <v>618</v>
      </c>
      <c r="H23" s="54" t="n">
        <v>656</v>
      </c>
      <c r="I23" s="65" t="n">
        <f aca="false">IF(H23="","",G23-H23)</f>
        <v>-38</v>
      </c>
      <c r="J23" s="55" t="n">
        <f aca="false">IF(OR(D23="",D23+G23=0),"",D23/(D23+G23))</f>
        <v>0.272941176470588</v>
      </c>
      <c r="K23" s="55" t="n">
        <f aca="false">IF(E23="","",E23/(E23+H23))</f>
        <v>0.271920088790233</v>
      </c>
      <c r="L23" s="66" t="n">
        <f aca="false">IF(OR(K23="",J23=""),"",(J23-K23)*100)</f>
        <v>0.102108768035519</v>
      </c>
      <c r="M23" s="36" t="n">
        <v>3.67164034925888</v>
      </c>
      <c r="N23" s="36" t="n">
        <v>2.06051271468277</v>
      </c>
      <c r="O23" s="36" t="n">
        <f aca="false">SQRT(M23^2+N23^2)</f>
        <v>4.21030349282272</v>
      </c>
      <c r="P23" s="55" t="n">
        <f aca="false">IF(J23="","",MAX(0,J23-1.96*O23/100))</f>
        <v>0.190419228011263</v>
      </c>
      <c r="Q23" s="55" t="n">
        <f aca="false">IF(J23="","",MIN(1,J23+1.96*O23/100))</f>
        <v>0.355463124929914</v>
      </c>
      <c r="R23" s="32" t="str">
        <f aca="false">IF(L23="","",IF(ABS(L23)&lt;=O23,"Yes","No"))</f>
        <v>Yes</v>
      </c>
      <c r="S23" s="32" t="str">
        <f aca="false">IF(L23="","",IF(ABS(L23)&lt;=1.96*O23,"Yes","No"))</f>
        <v>Yes</v>
      </c>
      <c r="T23" s="54" t="n">
        <f aca="false">IF(D23="","",ROUND(SQRT(((D23+G23)*O23/100)^2+(J23*(D23+G23)*0.07872)^2),0))</f>
        <v>40</v>
      </c>
      <c r="U23" s="32"/>
    </row>
    <row r="24" customFormat="false" ht="15" hidden="false" customHeight="false" outlineLevel="0" collapsed="false">
      <c r="A24" s="32" t="s">
        <v>127</v>
      </c>
      <c r="B24" s="32" t="s">
        <v>156</v>
      </c>
      <c r="C24" s="32" t="s">
        <v>129</v>
      </c>
      <c r="D24" s="54" t="n">
        <v>38</v>
      </c>
      <c r="E24" s="54" t="n">
        <v>46</v>
      </c>
      <c r="F24" s="65" t="n">
        <f aca="false">IF(E24="","",D24-E24)</f>
        <v>-8</v>
      </c>
      <c r="G24" s="54" t="n">
        <v>54</v>
      </c>
      <c r="H24" s="54" t="n">
        <v>54</v>
      </c>
      <c r="I24" s="65" t="n">
        <f aca="false">IF(H24="","",G24-H24)</f>
        <v>0</v>
      </c>
      <c r="J24" s="55" t="n">
        <f aca="false">IF(OR(D24="",D24+G24=0),"",D24/(D24+G24))</f>
        <v>0.41304347826087</v>
      </c>
      <c r="K24" s="55" t="n">
        <f aca="false">IF(E24="","",E24/(E24+H24))</f>
        <v>0.46</v>
      </c>
      <c r="L24" s="66" t="n">
        <f aca="false">IF(OR(K24="",J24=""),"",(J24-K24)*100)</f>
        <v>-4.69565217391305</v>
      </c>
      <c r="M24" s="36" t="n">
        <v>3.67164034925888</v>
      </c>
      <c r="N24" s="36" t="n">
        <v>2.06051271468277</v>
      </c>
      <c r="O24" s="36" t="n">
        <f aca="false">SQRT(M24^2+N24^2)</f>
        <v>4.21030349282272</v>
      </c>
      <c r="P24" s="55" t="n">
        <f aca="false">IF(J24="","",MAX(0,J24-1.96*O24/100))</f>
        <v>0.330521529801544</v>
      </c>
      <c r="Q24" s="55" t="n">
        <f aca="false">IF(J24="","",MIN(1,J24+1.96*O24/100))</f>
        <v>0.495565426720195</v>
      </c>
      <c r="R24" s="32" t="str">
        <f aca="false">IF(L24="","",IF(ABS(L24)&lt;=O24,"Yes","No"))</f>
        <v>No</v>
      </c>
      <c r="S24" s="32" t="str">
        <f aca="false">IF(L24="","",IF(ABS(L24)&lt;=1.96*O24,"Yes","No"))</f>
        <v>Yes</v>
      </c>
      <c r="T24" s="54" t="n">
        <f aca="false">IF(D24="","",ROUND(SQRT(((D24+G24)*O24/100)^2+(J24*(D24+G24)*0.07872)^2),0))</f>
        <v>5</v>
      </c>
      <c r="U24" s="32"/>
    </row>
    <row r="25" customFormat="false" ht="15" hidden="false" customHeight="false" outlineLevel="0" collapsed="false">
      <c r="A25" s="32" t="s">
        <v>157</v>
      </c>
      <c r="B25" s="32" t="s">
        <v>158</v>
      </c>
      <c r="C25" s="32" t="s">
        <v>129</v>
      </c>
      <c r="D25" s="54" t="n">
        <v>454</v>
      </c>
      <c r="E25" s="54" t="n">
        <v>494</v>
      </c>
      <c r="F25" s="65" t="n">
        <f aca="false">IF(E25="","",D25-E25)</f>
        <v>-40</v>
      </c>
      <c r="G25" s="54" t="n">
        <v>472</v>
      </c>
      <c r="H25" s="54" t="n">
        <v>519</v>
      </c>
      <c r="I25" s="65" t="n">
        <f aca="false">IF(H25="","",G25-H25)</f>
        <v>-47</v>
      </c>
      <c r="J25" s="55" t="n">
        <f aca="false">IF(OR(D25="",D25+G25=0),"",D25/(D25+G25))</f>
        <v>0.490280777537797</v>
      </c>
      <c r="K25" s="55" t="n">
        <f aca="false">IF(E25="","",E25/(E25+H25))</f>
        <v>0.487660414610069</v>
      </c>
      <c r="L25" s="66" t="n">
        <f aca="false">IF(OR(K25="",J25=""),"",(J25-K25)*100)</f>
        <v>0.262036292772788</v>
      </c>
      <c r="M25" s="36" t="n">
        <v>3.67164034925888</v>
      </c>
      <c r="N25" s="36" t="n">
        <v>2.06051271468277</v>
      </c>
      <c r="O25" s="36" t="n">
        <f aca="false">SQRT(M25^2+N25^2)</f>
        <v>4.21030349282272</v>
      </c>
      <c r="P25" s="55" t="n">
        <f aca="false">IF(J25="","",MAX(0,J25-1.96*O25/100))</f>
        <v>0.407758829078472</v>
      </c>
      <c r="Q25" s="55" t="n">
        <f aca="false">IF(J25="","",MIN(1,J25+1.96*O25/100))</f>
        <v>0.572802725997122</v>
      </c>
      <c r="R25" s="32" t="str">
        <f aca="false">IF(L25="","",IF(ABS(L25)&lt;=O25,"Yes","No"))</f>
        <v>Yes</v>
      </c>
      <c r="S25" s="32" t="str">
        <f aca="false">IF(L25="","",IF(ABS(L25)&lt;=1.96*O25,"Yes","No"))</f>
        <v>Yes</v>
      </c>
      <c r="T25" s="54" t="n">
        <f aca="false">IF(D25="","",ROUND(SQRT(((D25+G25)*O25/100)^2+(J25*(D25+G25)*0.07872)^2),0))</f>
        <v>53</v>
      </c>
      <c r="U25" s="32"/>
    </row>
    <row r="26" customFormat="false" ht="15" hidden="false" customHeight="false" outlineLevel="0" collapsed="false">
      <c r="A26" s="32" t="s">
        <v>157</v>
      </c>
      <c r="B26" s="32" t="s">
        <v>159</v>
      </c>
      <c r="C26" s="32" t="s">
        <v>129</v>
      </c>
      <c r="D26" s="54" t="n">
        <v>18597</v>
      </c>
      <c r="E26" s="54" t="n">
        <v>16965</v>
      </c>
      <c r="F26" s="65" t="n">
        <f aca="false">IF(E26="","",D26-E26)</f>
        <v>1632</v>
      </c>
      <c r="G26" s="54" t="n">
        <v>8206</v>
      </c>
      <c r="H26" s="54" t="n">
        <v>7936</v>
      </c>
      <c r="I26" s="65" t="n">
        <f aca="false">IF(H26="","",G26-H26)</f>
        <v>270</v>
      </c>
      <c r="J26" s="55" t="n">
        <f aca="false">IF(OR(D26="",D26+G26=0),"",D26/(D26+G26))</f>
        <v>0.693840241763982</v>
      </c>
      <c r="K26" s="55" t="n">
        <f aca="false">IF(E26="","",E26/(E26+H26))</f>
        <v>0.681297939841773</v>
      </c>
      <c r="L26" s="66" t="n">
        <f aca="false">IF(OR(K26="",J26=""),"",(J26-K26)*100)</f>
        <v>1.25423019222082</v>
      </c>
      <c r="M26" s="36" t="n">
        <v>1.81014346209639</v>
      </c>
      <c r="N26" s="36" t="n">
        <v>2.06051271468277</v>
      </c>
      <c r="O26" s="36" t="n">
        <f aca="false">SQRT(M26^2+N26^2)</f>
        <v>2.74268700378655</v>
      </c>
      <c r="P26" s="55" t="n">
        <f aca="false">IF(J26="","",MAX(0,J26-1.96*O26/100))</f>
        <v>0.640083576489765</v>
      </c>
      <c r="Q26" s="55" t="n">
        <f aca="false">IF(J26="","",MIN(1,J26+1.96*O26/100))</f>
        <v>0.747596907038198</v>
      </c>
      <c r="R26" s="32" t="str">
        <f aca="false">IF(L26="","",IF(ABS(L26)&lt;=O26,"Yes","No"))</f>
        <v>Yes</v>
      </c>
      <c r="S26" s="32" t="str">
        <f aca="false">IF(L26="","",IF(ABS(L26)&lt;=1.96*O26,"Yes","No"))</f>
        <v>Yes</v>
      </c>
      <c r="T26" s="54" t="n">
        <f aca="false">IF(D26="","",ROUND(SQRT(((D26+G26)*O26/100)^2+(J26*(D26+G26)*0.04942)^2),0))</f>
        <v>1177</v>
      </c>
      <c r="U26" s="32"/>
    </row>
    <row r="27" customFormat="false" ht="15" hidden="false" customHeight="false" outlineLevel="0" collapsed="false">
      <c r="A27" s="32" t="s">
        <v>157</v>
      </c>
      <c r="B27" s="32" t="s">
        <v>160</v>
      </c>
      <c r="C27" s="32" t="s">
        <v>129</v>
      </c>
      <c r="D27" s="54" t="n">
        <v>4797</v>
      </c>
      <c r="E27" s="54" t="n">
        <v>5186</v>
      </c>
      <c r="F27" s="65" t="n">
        <f aca="false">IF(E27="","",D27-E27)</f>
        <v>-389</v>
      </c>
      <c r="G27" s="54" t="n">
        <v>2717</v>
      </c>
      <c r="H27" s="54" t="n">
        <v>2705</v>
      </c>
      <c r="I27" s="65" t="n">
        <f aca="false">IF(H27="","",G27-H27)</f>
        <v>12</v>
      </c>
      <c r="J27" s="55" t="n">
        <f aca="false">IF(OR(D27="",D27+G27=0),"",D27/(D27+G27))</f>
        <v>0.63840830449827</v>
      </c>
      <c r="K27" s="55" t="n">
        <f aca="false">IF(E27="","",E27/(E27+H27))</f>
        <v>0.657204410087441</v>
      </c>
      <c r="L27" s="66" t="n">
        <f aca="false">IF(OR(K27="",J27=""),"",(J27-K27)*100)</f>
        <v>-1.87961055891714</v>
      </c>
      <c r="M27" s="36" t="n">
        <v>1.81014346209639</v>
      </c>
      <c r="N27" s="36" t="n">
        <v>2.06051271468277</v>
      </c>
      <c r="O27" s="36" t="n">
        <f aca="false">SQRT(M27^2+N27^2)</f>
        <v>2.74268700378655</v>
      </c>
      <c r="P27" s="55" t="n">
        <f aca="false">IF(J27="","",MAX(0,J27-1.96*O27/100))</f>
        <v>0.584651639224054</v>
      </c>
      <c r="Q27" s="55" t="n">
        <f aca="false">IF(J27="","",MIN(1,J27+1.96*O27/100))</f>
        <v>0.692164969772486</v>
      </c>
      <c r="R27" s="32" t="str">
        <f aca="false">IF(L27="","",IF(ABS(L27)&lt;=O27,"Yes","No"))</f>
        <v>Yes</v>
      </c>
      <c r="S27" s="32" t="str">
        <f aca="false">IF(L27="","",IF(ABS(L27)&lt;=1.96*O27,"Yes","No"))</f>
        <v>Yes</v>
      </c>
      <c r="T27" s="54" t="n">
        <f aca="false">IF(D27="","",ROUND(SQRT(((D27+G27)*O27/100)^2+(J27*(D27+G27)*0.04942)^2),0))</f>
        <v>314</v>
      </c>
      <c r="U27" s="32"/>
    </row>
    <row r="28" customFormat="false" ht="15" hidden="false" customHeight="false" outlineLevel="0" collapsed="false">
      <c r="A28" s="32" t="s">
        <v>157</v>
      </c>
      <c r="B28" s="32" t="s">
        <v>161</v>
      </c>
      <c r="C28" s="32" t="s">
        <v>129</v>
      </c>
      <c r="D28" s="54" t="n">
        <v>1073</v>
      </c>
      <c r="E28" s="54" t="n">
        <v>1135</v>
      </c>
      <c r="F28" s="65" t="n">
        <f aca="false">IF(E28="","",D28-E28)</f>
        <v>-62</v>
      </c>
      <c r="G28" s="54" t="n">
        <v>970</v>
      </c>
      <c r="H28" s="54" t="n">
        <v>975</v>
      </c>
      <c r="I28" s="65" t="n">
        <f aca="false">IF(H28="","",G28-H28)</f>
        <v>-5</v>
      </c>
      <c r="J28" s="55" t="n">
        <f aca="false">IF(OR(D28="",D28+G28=0),"",D28/(D28+G28))</f>
        <v>0.525208027410671</v>
      </c>
      <c r="K28" s="55" t="n">
        <f aca="false">IF(E28="","",E28/(E28+H28))</f>
        <v>0.537914691943128</v>
      </c>
      <c r="L28" s="66" t="n">
        <f aca="false">IF(OR(K28="",J28=""),"",(J28-K28)*100)</f>
        <v>-1.27066645324573</v>
      </c>
      <c r="M28" s="36" t="n">
        <v>2.25210547370435</v>
      </c>
      <c r="N28" s="36" t="n">
        <v>2.06051271468277</v>
      </c>
      <c r="O28" s="36" t="n">
        <f aca="false">SQRT(M28^2+N28^2)</f>
        <v>3.0524894286563</v>
      </c>
      <c r="P28" s="55" t="n">
        <f aca="false">IF(J28="","",MAX(0,J28-1.96*O28/100))</f>
        <v>0.465379234609007</v>
      </c>
      <c r="Q28" s="55" t="n">
        <f aca="false">IF(J28="","",MIN(1,J28+1.96*O28/100))</f>
        <v>0.585036820212334</v>
      </c>
      <c r="R28" s="32" t="str">
        <f aca="false">IF(L28="","",IF(ABS(L28)&lt;=O28,"Yes","No"))</f>
        <v>Yes</v>
      </c>
      <c r="S28" s="32" t="str">
        <f aca="false">IF(L28="","",IF(ABS(L28)&lt;=1.96*O28,"Yes","No"))</f>
        <v>Yes</v>
      </c>
      <c r="T28" s="54" t="n">
        <f aca="false">IF(D28="","",ROUND(SQRT(((D28+G28)*O28/100)^2+(J28*(D28+G28)*0.05883)^2),0))</f>
        <v>89</v>
      </c>
      <c r="U28" s="32"/>
    </row>
    <row r="29" customFormat="false" ht="15" hidden="false" customHeight="false" outlineLevel="0" collapsed="false">
      <c r="A29" s="32" t="s">
        <v>157</v>
      </c>
      <c r="B29" s="32" t="s">
        <v>162</v>
      </c>
      <c r="C29" s="32" t="s">
        <v>129</v>
      </c>
      <c r="D29" s="54" t="n">
        <v>528</v>
      </c>
      <c r="E29" s="54" t="n">
        <v>621</v>
      </c>
      <c r="F29" s="65" t="n">
        <f aca="false">IF(E29="","",D29-E29)</f>
        <v>-93</v>
      </c>
      <c r="G29" s="54" t="n">
        <v>559</v>
      </c>
      <c r="H29" s="54" t="n">
        <v>598</v>
      </c>
      <c r="I29" s="65" t="n">
        <f aca="false">IF(H29="","",G29-H29)</f>
        <v>-39</v>
      </c>
      <c r="J29" s="55" t="n">
        <f aca="false">IF(OR(D29="",D29+G29=0),"",D29/(D29+G29))</f>
        <v>0.485740570377185</v>
      </c>
      <c r="K29" s="55" t="n">
        <f aca="false">IF(E29="","",E29/(E29+H29))</f>
        <v>0.509433962264151</v>
      </c>
      <c r="L29" s="66" t="n">
        <f aca="false">IF(OR(K29="",J29=""),"",(J29-K29)*100)</f>
        <v>-2.3693391886966</v>
      </c>
      <c r="M29" s="36" t="n">
        <v>3.67164034925888</v>
      </c>
      <c r="N29" s="36" t="n">
        <v>2.06051271468277</v>
      </c>
      <c r="O29" s="36" t="n">
        <f aca="false">SQRT(M29^2+N29^2)</f>
        <v>4.21030349282272</v>
      </c>
      <c r="P29" s="55" t="n">
        <f aca="false">IF(J29="","",MAX(0,J29-1.96*O29/100))</f>
        <v>0.40321862191786</v>
      </c>
      <c r="Q29" s="55" t="n">
        <f aca="false">IF(J29="","",MIN(1,J29+1.96*O29/100))</f>
        <v>0.56826251883651</v>
      </c>
      <c r="R29" s="32" t="str">
        <f aca="false">IF(L29="","",IF(ABS(L29)&lt;=O29,"Yes","No"))</f>
        <v>Yes</v>
      </c>
      <c r="S29" s="32" t="str">
        <f aca="false">IF(L29="","",IF(ABS(L29)&lt;=1.96*O29,"Yes","No"))</f>
        <v>Yes</v>
      </c>
      <c r="T29" s="54" t="n">
        <f aca="false">IF(D29="","",ROUND(SQRT(((D29+G29)*O29/100)^2+(J29*(D29+G29)*0.07872)^2),0))</f>
        <v>62</v>
      </c>
      <c r="U29" s="32"/>
    </row>
    <row r="30" customFormat="false" ht="15" hidden="false" customHeight="false" outlineLevel="0" collapsed="false">
      <c r="A30" s="32" t="s">
        <v>157</v>
      </c>
      <c r="B30" s="32" t="s">
        <v>163</v>
      </c>
      <c r="C30" s="32" t="s">
        <v>129</v>
      </c>
      <c r="D30" s="54" t="n">
        <v>655</v>
      </c>
      <c r="E30" s="54" t="n">
        <v>691</v>
      </c>
      <c r="F30" s="65" t="n">
        <f aca="false">IF(E30="","",D30-E30)</f>
        <v>-36</v>
      </c>
      <c r="G30" s="54" t="n">
        <v>603</v>
      </c>
      <c r="H30" s="54" t="n">
        <v>606</v>
      </c>
      <c r="I30" s="65" t="n">
        <f aca="false">IF(H30="","",G30-H30)</f>
        <v>-3</v>
      </c>
      <c r="J30" s="55" t="n">
        <f aca="false">IF(OR(D30="",D30+G30=0),"",D30/(D30+G30))</f>
        <v>0.52066772655008</v>
      </c>
      <c r="K30" s="55" t="n">
        <f aca="false">IF(E30="","",E30/(E30+H30))</f>
        <v>0.532767925983038</v>
      </c>
      <c r="L30" s="66" t="n">
        <f aca="false">IF(OR(K30="",J30=""),"",(J30-K30)*100)</f>
        <v>-1.21001994329583</v>
      </c>
      <c r="M30" s="36" t="n">
        <v>2.25210547370435</v>
      </c>
      <c r="N30" s="36" t="n">
        <v>2.06051271468277</v>
      </c>
      <c r="O30" s="36" t="n">
        <f aca="false">SQRT(M30^2+N30^2)</f>
        <v>3.0524894286563</v>
      </c>
      <c r="P30" s="55" t="n">
        <f aca="false">IF(J30="","",MAX(0,J30-1.96*O30/100))</f>
        <v>0.460838933748416</v>
      </c>
      <c r="Q30" s="55" t="n">
        <f aca="false">IF(J30="","",MIN(1,J30+1.96*O30/100))</f>
        <v>0.580496519351743</v>
      </c>
      <c r="R30" s="32" t="str">
        <f aca="false">IF(L30="","",IF(ABS(L30)&lt;=O30,"Yes","No"))</f>
        <v>Yes</v>
      </c>
      <c r="S30" s="32" t="str">
        <f aca="false">IF(L30="","",IF(ABS(L30)&lt;=1.96*O30,"Yes","No"))</f>
        <v>Yes</v>
      </c>
      <c r="T30" s="54" t="n">
        <f aca="false">IF(D30="","",ROUND(SQRT(((D30+G30)*O30/100)^2+(J30*(D30+G30)*0.05883)^2),0))</f>
        <v>54</v>
      </c>
      <c r="U30" s="32"/>
    </row>
    <row r="31" customFormat="false" ht="15" hidden="false" customHeight="false" outlineLevel="0" collapsed="false">
      <c r="A31" s="32" t="s">
        <v>157</v>
      </c>
      <c r="B31" s="32" t="s">
        <v>164</v>
      </c>
      <c r="C31" s="32" t="s">
        <v>129</v>
      </c>
      <c r="D31" s="54" t="n">
        <v>2510</v>
      </c>
      <c r="E31" s="54" t="n">
        <v>2834</v>
      </c>
      <c r="F31" s="65" t="n">
        <f aca="false">IF(E31="","",D31-E31)</f>
        <v>-324</v>
      </c>
      <c r="G31" s="54" t="n">
        <v>2203</v>
      </c>
      <c r="H31" s="54" t="n">
        <v>2250</v>
      </c>
      <c r="I31" s="65" t="n">
        <f aca="false">IF(H31="","",G31-H31)</f>
        <v>-47</v>
      </c>
      <c r="J31" s="55" t="n">
        <f aca="false">IF(OR(D31="",D31+G31=0),"",D31/(D31+G31))</f>
        <v>0.532569488648419</v>
      </c>
      <c r="K31" s="55" t="n">
        <f aca="false">IF(E31="","",E31/(E31+H31))</f>
        <v>0.557435090479937</v>
      </c>
      <c r="L31" s="66" t="n">
        <f aca="false">IF(OR(K31="",J31=""),"",(J31-K31)*100)</f>
        <v>-2.48656018315179</v>
      </c>
      <c r="M31" s="36" t="n">
        <v>1.81014346209639</v>
      </c>
      <c r="N31" s="36" t="n">
        <v>2.06051271468277</v>
      </c>
      <c r="O31" s="36" t="n">
        <f aca="false">SQRT(M31^2+N31^2)</f>
        <v>2.74268700378655</v>
      </c>
      <c r="P31" s="55" t="n">
        <f aca="false">IF(J31="","",MAX(0,J31-1.96*O31/100))</f>
        <v>0.478812823374203</v>
      </c>
      <c r="Q31" s="55" t="n">
        <f aca="false">IF(J31="","",MIN(1,J31+1.96*O31/100))</f>
        <v>0.586326153922636</v>
      </c>
      <c r="R31" s="32" t="str">
        <f aca="false">IF(L31="","",IF(ABS(L31)&lt;=O31,"Yes","No"))</f>
        <v>Yes</v>
      </c>
      <c r="S31" s="32" t="str">
        <f aca="false">IF(L31="","",IF(ABS(L31)&lt;=1.96*O31,"Yes","No"))</f>
        <v>Yes</v>
      </c>
      <c r="T31" s="54" t="n">
        <f aca="false">IF(D31="","",ROUND(SQRT(((D31+G31)*O31/100)^2+(J31*(D31+G31)*0.04942)^2),0))</f>
        <v>179</v>
      </c>
      <c r="U31" s="32"/>
    </row>
    <row r="32" customFormat="false" ht="15" hidden="false" customHeight="false" outlineLevel="0" collapsed="false">
      <c r="A32" s="32" t="s">
        <v>157</v>
      </c>
      <c r="B32" s="32" t="s">
        <v>165</v>
      </c>
      <c r="C32" s="32" t="s">
        <v>129</v>
      </c>
      <c r="D32" s="54" t="n">
        <v>1101</v>
      </c>
      <c r="E32" s="54" t="n">
        <v>1070</v>
      </c>
      <c r="F32" s="65" t="n">
        <f aca="false">IF(E32="","",D32-E32)</f>
        <v>31</v>
      </c>
      <c r="G32" s="54" t="n">
        <v>514</v>
      </c>
      <c r="H32" s="54" t="n">
        <v>479</v>
      </c>
      <c r="I32" s="65" t="n">
        <f aca="false">IF(H32="","",G32-H32)</f>
        <v>35</v>
      </c>
      <c r="J32" s="55" t="n">
        <f aca="false">IF(OR(D32="",D32+G32=0),"",D32/(D32+G32))</f>
        <v>0.681733746130031</v>
      </c>
      <c r="K32" s="55" t="n">
        <f aca="false">IF(E32="","",E32/(E32+H32))</f>
        <v>0.690768237572628</v>
      </c>
      <c r="L32" s="66" t="n">
        <f aca="false">IF(OR(K32="",J32=""),"",(J32-K32)*100)</f>
        <v>-0.90344914425966</v>
      </c>
      <c r="M32" s="36" t="n">
        <v>2.25210547370435</v>
      </c>
      <c r="N32" s="36" t="n">
        <v>2.06051271468277</v>
      </c>
      <c r="O32" s="36" t="n">
        <f aca="false">SQRT(M32^2+N32^2)</f>
        <v>3.0524894286563</v>
      </c>
      <c r="P32" s="55" t="n">
        <f aca="false">IF(J32="","",MAX(0,J32-1.96*O32/100))</f>
        <v>0.621904953328368</v>
      </c>
      <c r="Q32" s="55" t="n">
        <f aca="false">IF(J32="","",MIN(1,J32+1.96*O32/100))</f>
        <v>0.741562538931694</v>
      </c>
      <c r="R32" s="32" t="str">
        <f aca="false">IF(L32="","",IF(ABS(L32)&lt;=O32,"Yes","No"))</f>
        <v>Yes</v>
      </c>
      <c r="S32" s="32" t="str">
        <f aca="false">IF(L32="","",IF(ABS(L32)&lt;=1.96*O32,"Yes","No"))</f>
        <v>Yes</v>
      </c>
      <c r="T32" s="54" t="n">
        <f aca="false">IF(D32="","",ROUND(SQRT(((D32+G32)*O32/100)^2+(J32*(D32+G32)*0.05883)^2),0))</f>
        <v>81</v>
      </c>
      <c r="U32" s="32"/>
    </row>
    <row r="33" customFormat="false" ht="15" hidden="false" customHeight="false" outlineLevel="0" collapsed="false">
      <c r="A33" s="32" t="s">
        <v>157</v>
      </c>
      <c r="B33" s="32" t="s">
        <v>166</v>
      </c>
      <c r="C33" s="32" t="s">
        <v>129</v>
      </c>
      <c r="D33" s="54" t="n">
        <v>277</v>
      </c>
      <c r="E33" s="54" t="n">
        <v>262</v>
      </c>
      <c r="F33" s="65" t="n">
        <f aca="false">IF(E33="","",D33-E33)</f>
        <v>15</v>
      </c>
      <c r="G33" s="54" t="n">
        <v>212</v>
      </c>
      <c r="H33" s="54" t="n">
        <v>205</v>
      </c>
      <c r="I33" s="65" t="n">
        <f aca="false">IF(H33="","",G33-H33)</f>
        <v>7</v>
      </c>
      <c r="J33" s="55" t="n">
        <f aca="false">IF(OR(D33="",D33+G33=0),"",D33/(D33+G33))</f>
        <v>0.566462167689162</v>
      </c>
      <c r="K33" s="55" t="n">
        <f aca="false">IF(E33="","",E33/(E33+H33))</f>
        <v>0.561027837259101</v>
      </c>
      <c r="L33" s="66" t="n">
        <f aca="false">IF(OR(K33="",J33=""),"",(J33-K33)*100)</f>
        <v>0.543433043006092</v>
      </c>
      <c r="M33" s="36" t="n">
        <v>3.67164034925888</v>
      </c>
      <c r="N33" s="36" t="n">
        <v>2.06051271468277</v>
      </c>
      <c r="O33" s="36" t="n">
        <f aca="false">SQRT(M33^2+N33^2)</f>
        <v>4.21030349282272</v>
      </c>
      <c r="P33" s="55" t="n">
        <f aca="false">IF(J33="","",MAX(0,J33-1.96*O33/100))</f>
        <v>0.483940219229836</v>
      </c>
      <c r="Q33" s="55" t="n">
        <f aca="false">IF(J33="","",MIN(1,J33+1.96*O33/100))</f>
        <v>0.648984116148487</v>
      </c>
      <c r="R33" s="32" t="str">
        <f aca="false">IF(L33="","",IF(ABS(L33)&lt;=O33,"Yes","No"))</f>
        <v>Yes</v>
      </c>
      <c r="S33" s="32" t="str">
        <f aca="false">IF(L33="","",IF(ABS(L33)&lt;=1.96*O33,"Yes","No"))</f>
        <v>Yes</v>
      </c>
      <c r="T33" s="54" t="n">
        <f aca="false">IF(D33="","",ROUND(SQRT(((D33+G33)*O33/100)^2+(J33*(D33+G33)*0.07872)^2),0))</f>
        <v>30</v>
      </c>
      <c r="U33" s="32"/>
    </row>
    <row r="34" customFormat="false" ht="15" hidden="false" customHeight="false" outlineLevel="0" collapsed="false">
      <c r="A34" s="32" t="s">
        <v>157</v>
      </c>
      <c r="B34" s="32" t="s">
        <v>167</v>
      </c>
      <c r="C34" s="32" t="s">
        <v>129</v>
      </c>
      <c r="D34" s="54" t="n">
        <v>477</v>
      </c>
      <c r="E34" s="54" t="n">
        <v>532</v>
      </c>
      <c r="F34" s="65" t="n">
        <f aca="false">IF(E34="","",D34-E34)</f>
        <v>-55</v>
      </c>
      <c r="G34" s="54" t="n">
        <v>996</v>
      </c>
      <c r="H34" s="54" t="n">
        <v>1068</v>
      </c>
      <c r="I34" s="65" t="n">
        <f aca="false">IF(H34="","",G34-H34)</f>
        <v>-72</v>
      </c>
      <c r="J34" s="55" t="n">
        <f aca="false">IF(OR(D34="",D34+G34=0),"",D34/(D34+G34))</f>
        <v>0.323828920570265</v>
      </c>
      <c r="K34" s="55" t="n">
        <f aca="false">IF(E34="","",E34/(E34+H34))</f>
        <v>0.3325</v>
      </c>
      <c r="L34" s="66" t="n">
        <f aca="false">IF(OR(K34="",J34=""),"",(J34-K34)*100)</f>
        <v>-0.867107942973527</v>
      </c>
      <c r="M34" s="36" t="n">
        <v>2.25210547370435</v>
      </c>
      <c r="N34" s="36" t="n">
        <v>2.06051271468277</v>
      </c>
      <c r="O34" s="36" t="n">
        <f aca="false">SQRT(M34^2+N34^2)</f>
        <v>3.0524894286563</v>
      </c>
      <c r="P34" s="55" t="n">
        <f aca="false">IF(J34="","",MAX(0,J34-1.96*O34/100))</f>
        <v>0.264000127768601</v>
      </c>
      <c r="Q34" s="55" t="n">
        <f aca="false">IF(J34="","",MIN(1,J34+1.96*O34/100))</f>
        <v>0.383657713371928</v>
      </c>
      <c r="R34" s="32" t="str">
        <f aca="false">IF(L34="","",IF(ABS(L34)&lt;=O34,"Yes","No"))</f>
        <v>Yes</v>
      </c>
      <c r="S34" s="32" t="str">
        <f aca="false">IF(L34="","",IF(ABS(L34)&lt;=1.96*O34,"Yes","No"))</f>
        <v>Yes</v>
      </c>
      <c r="T34" s="54" t="n">
        <f aca="false">IF(D34="","",ROUND(SQRT(((D34+G34)*O34/100)^2+(J34*(D34+G34)*0.05883)^2),0))</f>
        <v>53</v>
      </c>
      <c r="U34" s="32"/>
    </row>
    <row r="35" customFormat="false" ht="15" hidden="false" customHeight="false" outlineLevel="0" collapsed="false">
      <c r="A35" s="32" t="s">
        <v>157</v>
      </c>
      <c r="B35" s="32" t="s">
        <v>168</v>
      </c>
      <c r="C35" s="32" t="s">
        <v>129</v>
      </c>
      <c r="D35" s="54" t="n">
        <v>7649</v>
      </c>
      <c r="E35" s="54" t="n">
        <v>8358</v>
      </c>
      <c r="F35" s="65" t="n">
        <f aca="false">IF(E35="","",D35-E35)</f>
        <v>-709</v>
      </c>
      <c r="G35" s="54" t="n">
        <v>7413</v>
      </c>
      <c r="H35" s="54" t="n">
        <v>7595</v>
      </c>
      <c r="I35" s="65" t="n">
        <f aca="false">IF(H35="","",G35-H35)</f>
        <v>-182</v>
      </c>
      <c r="J35" s="55" t="n">
        <f aca="false">IF(OR(D35="",D35+G35=0),"",D35/(D35+G35))</f>
        <v>0.507834284955517</v>
      </c>
      <c r="K35" s="55" t="n">
        <f aca="false">IF(E35="","",E35/(E35+H35))</f>
        <v>0.523913997367266</v>
      </c>
      <c r="L35" s="66" t="n">
        <f aca="false">IF(OR(K35="",J35=""),"",(J35-K35)*100)</f>
        <v>-1.60797124117491</v>
      </c>
      <c r="M35" s="36" t="n">
        <v>1.81014346209639</v>
      </c>
      <c r="N35" s="36" t="n">
        <v>2.06051271468277</v>
      </c>
      <c r="O35" s="36" t="n">
        <f aca="false">SQRT(M35^2+N35^2)</f>
        <v>2.74268700378655</v>
      </c>
      <c r="P35" s="55" t="n">
        <f aca="false">IF(J35="","",MAX(0,J35-1.96*O35/100))</f>
        <v>0.454077619681301</v>
      </c>
      <c r="Q35" s="55" t="n">
        <f aca="false">IF(J35="","",MIN(1,J35+1.96*O35/100))</f>
        <v>0.561590950229734</v>
      </c>
      <c r="R35" s="32" t="str">
        <f aca="false">IF(L35="","",IF(ABS(L35)&lt;=O35,"Yes","No"))</f>
        <v>Yes</v>
      </c>
      <c r="S35" s="32" t="str">
        <f aca="false">IF(L35="","",IF(ABS(L35)&lt;=1.96*O35,"Yes","No"))</f>
        <v>Yes</v>
      </c>
      <c r="T35" s="54" t="n">
        <f aca="false">IF(D35="","",ROUND(SQRT(((D35+G35)*O35/100)^2+(J35*(D35+G35)*0.04942)^2),0))</f>
        <v>560</v>
      </c>
      <c r="U35" s="32"/>
    </row>
    <row r="36" customFormat="false" ht="15" hidden="false" customHeight="false" outlineLevel="0" collapsed="false">
      <c r="A36" s="32" t="s">
        <v>157</v>
      </c>
      <c r="B36" s="32" t="s">
        <v>169</v>
      </c>
      <c r="C36" s="32" t="s">
        <v>129</v>
      </c>
      <c r="D36" s="54" t="n">
        <v>743</v>
      </c>
      <c r="E36" s="54" t="n">
        <v>850</v>
      </c>
      <c r="F36" s="65" t="n">
        <f aca="false">IF(E36="","",D36-E36)</f>
        <v>-107</v>
      </c>
      <c r="G36" s="54" t="n">
        <v>1269</v>
      </c>
      <c r="H36" s="54" t="n">
        <v>1311</v>
      </c>
      <c r="I36" s="65" t="n">
        <f aca="false">IF(H36="","",G36-H36)</f>
        <v>-42</v>
      </c>
      <c r="J36" s="55" t="n">
        <f aca="false">IF(OR(D36="",D36+G36=0),"",D36/(D36+G36))</f>
        <v>0.369284294234592</v>
      </c>
      <c r="K36" s="55" t="n">
        <f aca="false">IF(E36="","",E36/(E36+H36))</f>
        <v>0.39333641832485</v>
      </c>
      <c r="L36" s="66" t="n">
        <f aca="false">IF(OR(K36="",J36=""),"",(J36-K36)*100)</f>
        <v>-2.40521240902571</v>
      </c>
      <c r="M36" s="36" t="n">
        <v>2.25210547370435</v>
      </c>
      <c r="N36" s="36" t="n">
        <v>2.06051271468277</v>
      </c>
      <c r="O36" s="36" t="n">
        <f aca="false">SQRT(M36^2+N36^2)</f>
        <v>3.0524894286563</v>
      </c>
      <c r="P36" s="55" t="n">
        <f aca="false">IF(J36="","",MAX(0,J36-1.96*O36/100))</f>
        <v>0.309455501432929</v>
      </c>
      <c r="Q36" s="55" t="n">
        <f aca="false">IF(J36="","",MIN(1,J36+1.96*O36/100))</f>
        <v>0.429113087036256</v>
      </c>
      <c r="R36" s="32" t="str">
        <f aca="false">IF(L36="","",IF(ABS(L36)&lt;=O36,"Yes","No"))</f>
        <v>Yes</v>
      </c>
      <c r="S36" s="32" t="str">
        <f aca="false">IF(L36="","",IF(ABS(L36)&lt;=1.96*O36,"Yes","No"))</f>
        <v>Yes</v>
      </c>
      <c r="T36" s="54" t="n">
        <f aca="false">IF(D36="","",ROUND(SQRT(((D36+G36)*O36/100)^2+(J36*(D36+G36)*0.05883)^2),0))</f>
        <v>75</v>
      </c>
      <c r="U36" s="32"/>
    </row>
    <row r="37" customFormat="false" ht="15" hidden="false" customHeight="false" outlineLevel="0" collapsed="false">
      <c r="A37" s="32" t="s">
        <v>157</v>
      </c>
      <c r="B37" s="32" t="s">
        <v>170</v>
      </c>
      <c r="C37" s="32" t="s">
        <v>129</v>
      </c>
      <c r="D37" s="54" t="n">
        <v>425</v>
      </c>
      <c r="E37" s="54" t="n">
        <v>457</v>
      </c>
      <c r="F37" s="65" t="n">
        <f aca="false">IF(E37="","",D37-E37)</f>
        <v>-32</v>
      </c>
      <c r="G37" s="54" t="n">
        <v>753</v>
      </c>
      <c r="H37" s="54" t="n">
        <v>760</v>
      </c>
      <c r="I37" s="65" t="n">
        <f aca="false">IF(H37="","",G37-H37)</f>
        <v>-7</v>
      </c>
      <c r="J37" s="55" t="n">
        <f aca="false">IF(OR(D37="",D37+G37=0),"",D37/(D37+G37))</f>
        <v>0.360780984719864</v>
      </c>
      <c r="K37" s="55" t="n">
        <f aca="false">IF(E37="","",E37/(E37+H37))</f>
        <v>0.375513557929334</v>
      </c>
      <c r="L37" s="66" t="n">
        <f aca="false">IF(OR(K37="",J37=""),"",(J37-K37)*100)</f>
        <v>-1.47325732094702</v>
      </c>
      <c r="M37" s="36" t="n">
        <v>2.25210547370435</v>
      </c>
      <c r="N37" s="36" t="n">
        <v>2.06051271468277</v>
      </c>
      <c r="O37" s="36" t="n">
        <f aca="false">SQRT(M37^2+N37^2)</f>
        <v>3.0524894286563</v>
      </c>
      <c r="P37" s="55" t="n">
        <f aca="false">IF(J37="","",MAX(0,J37-1.96*O37/100))</f>
        <v>0.300952191918201</v>
      </c>
      <c r="Q37" s="55" t="n">
        <f aca="false">IF(J37="","",MIN(1,J37+1.96*O37/100))</f>
        <v>0.420609777521528</v>
      </c>
      <c r="R37" s="32" t="str">
        <f aca="false">IF(L37="","",IF(ABS(L37)&lt;=O37,"Yes","No"))</f>
        <v>Yes</v>
      </c>
      <c r="S37" s="32" t="str">
        <f aca="false">IF(L37="","",IF(ABS(L37)&lt;=1.96*O37,"Yes","No"))</f>
        <v>Yes</v>
      </c>
      <c r="T37" s="54" t="n">
        <f aca="false">IF(D37="","",ROUND(SQRT(((D37+G37)*O37/100)^2+(J37*(D37+G37)*0.05883)^2),0))</f>
        <v>44</v>
      </c>
      <c r="U37" s="32"/>
    </row>
    <row r="38" customFormat="false" ht="15" hidden="false" customHeight="false" outlineLevel="0" collapsed="false">
      <c r="A38" s="32" t="s">
        <v>157</v>
      </c>
      <c r="B38" s="32" t="s">
        <v>171</v>
      </c>
      <c r="C38" s="32" t="s">
        <v>129</v>
      </c>
      <c r="D38" s="54" t="n">
        <v>657</v>
      </c>
      <c r="E38" s="54" t="n">
        <v>719</v>
      </c>
      <c r="F38" s="65" t="n">
        <f aca="false">IF(E38="","",D38-E38)</f>
        <v>-62</v>
      </c>
      <c r="G38" s="54" t="n">
        <v>1335</v>
      </c>
      <c r="H38" s="54" t="n">
        <v>1434</v>
      </c>
      <c r="I38" s="65" t="n">
        <f aca="false">IF(H38="","",G38-H38)</f>
        <v>-99</v>
      </c>
      <c r="J38" s="55" t="n">
        <f aca="false">IF(OR(D38="",D38+G38=0),"",D38/(D38+G38))</f>
        <v>0.329819277108434</v>
      </c>
      <c r="K38" s="55" t="n">
        <f aca="false">IF(E38="","",E38/(E38+H38))</f>
        <v>0.333952624245239</v>
      </c>
      <c r="L38" s="66" t="n">
        <f aca="false">IF(OR(K38="",J38=""),"",(J38-K38)*100)</f>
        <v>-0.413334713680547</v>
      </c>
      <c r="M38" s="36" t="n">
        <v>2.25210547370435</v>
      </c>
      <c r="N38" s="36" t="n">
        <v>2.06051271468277</v>
      </c>
      <c r="O38" s="36" t="n">
        <f aca="false">SQRT(M38^2+N38^2)</f>
        <v>3.0524894286563</v>
      </c>
      <c r="P38" s="55" t="n">
        <f aca="false">IF(J38="","",MAX(0,J38-1.96*O38/100))</f>
        <v>0.26999048430677</v>
      </c>
      <c r="Q38" s="55" t="n">
        <f aca="false">IF(J38="","",MIN(1,J38+1.96*O38/100))</f>
        <v>0.389648069910097</v>
      </c>
      <c r="R38" s="32" t="str">
        <f aca="false">IF(L38="","",IF(ABS(L38)&lt;=O38,"Yes","No"))</f>
        <v>Yes</v>
      </c>
      <c r="S38" s="32" t="str">
        <f aca="false">IF(L38="","",IF(ABS(L38)&lt;=1.96*O38,"Yes","No"))</f>
        <v>Yes</v>
      </c>
      <c r="T38" s="54" t="n">
        <f aca="false">IF(D38="","",ROUND(SQRT(((D38+G38)*O38/100)^2+(J38*(D38+G38)*0.05883)^2),0))</f>
        <v>72</v>
      </c>
      <c r="U38" s="32"/>
    </row>
    <row r="39" customFormat="false" ht="15" hidden="false" customHeight="false" outlineLevel="0" collapsed="false">
      <c r="A39" s="32" t="s">
        <v>157</v>
      </c>
      <c r="B39" s="32" t="s">
        <v>172</v>
      </c>
      <c r="C39" s="32" t="s">
        <v>129</v>
      </c>
      <c r="D39" s="54" t="n">
        <v>713</v>
      </c>
      <c r="E39" s="54" t="n">
        <v>788</v>
      </c>
      <c r="F39" s="65" t="n">
        <f aca="false">IF(E39="","",D39-E39)</f>
        <v>-75</v>
      </c>
      <c r="G39" s="54" t="n">
        <v>632</v>
      </c>
      <c r="H39" s="54" t="n">
        <v>628</v>
      </c>
      <c r="I39" s="65" t="n">
        <f aca="false">IF(H39="","",G39-H39)</f>
        <v>4</v>
      </c>
      <c r="J39" s="55" t="n">
        <f aca="false">IF(OR(D39="",D39+G39=0),"",D39/(D39+G39))</f>
        <v>0.530111524163569</v>
      </c>
      <c r="K39" s="55" t="n">
        <f aca="false">IF(E39="","",E39/(E39+H39))</f>
        <v>0.556497175141243</v>
      </c>
      <c r="L39" s="66" t="n">
        <f aca="false">IF(OR(K39="",J39=""),"",(J39-K39)*100)</f>
        <v>-2.63856509776742</v>
      </c>
      <c r="M39" s="36" t="n">
        <v>2.25210547370435</v>
      </c>
      <c r="N39" s="36" t="n">
        <v>2.06051271468277</v>
      </c>
      <c r="O39" s="36" t="n">
        <f aca="false">SQRT(M39^2+N39^2)</f>
        <v>3.0524894286563</v>
      </c>
      <c r="P39" s="55" t="n">
        <f aca="false">IF(J39="","",MAX(0,J39-1.96*O39/100))</f>
        <v>0.470282731361905</v>
      </c>
      <c r="Q39" s="55" t="n">
        <f aca="false">IF(J39="","",MIN(1,J39+1.96*O39/100))</f>
        <v>0.589940316965232</v>
      </c>
      <c r="R39" s="32" t="str">
        <f aca="false">IF(L39="","",IF(ABS(L39)&lt;=O39,"Yes","No"))</f>
        <v>Yes</v>
      </c>
      <c r="S39" s="32" t="str">
        <f aca="false">IF(L39="","",IF(ABS(L39)&lt;=1.96*O39,"Yes","No"))</f>
        <v>Yes</v>
      </c>
      <c r="T39" s="54" t="n">
        <f aca="false">IF(D39="","",ROUND(SQRT(((D39+G39)*O39/100)^2+(J39*(D39+G39)*0.05883)^2),0))</f>
        <v>59</v>
      </c>
      <c r="U39" s="32"/>
    </row>
    <row r="40" customFormat="false" ht="15" hidden="false" customHeight="false" outlineLevel="0" collapsed="false">
      <c r="A40" s="32" t="s">
        <v>157</v>
      </c>
      <c r="B40" s="32" t="s">
        <v>173</v>
      </c>
      <c r="C40" s="32" t="s">
        <v>129</v>
      </c>
      <c r="D40" s="54" t="n">
        <v>2827</v>
      </c>
      <c r="E40" s="54" t="n">
        <v>3255</v>
      </c>
      <c r="F40" s="65" t="n">
        <f aca="false">IF(E40="","",D40-E40)</f>
        <v>-428</v>
      </c>
      <c r="G40" s="54" t="n">
        <v>4191</v>
      </c>
      <c r="H40" s="54" t="n">
        <v>4462</v>
      </c>
      <c r="I40" s="65" t="n">
        <f aca="false">IF(H40="","",G40-H40)</f>
        <v>-271</v>
      </c>
      <c r="J40" s="55" t="n">
        <f aca="false">IF(OR(D40="",D40+G40=0),"",D40/(D40+G40))</f>
        <v>0.40282131661442</v>
      </c>
      <c r="K40" s="55" t="n">
        <f aca="false">IF(E40="","",E40/(E40+H40))</f>
        <v>0.421796034728521</v>
      </c>
      <c r="L40" s="66" t="n">
        <f aca="false">IF(OR(K40="",J40=""),"",(J40-K40)*100)</f>
        <v>-1.89747181141014</v>
      </c>
      <c r="M40" s="36" t="n">
        <v>1.81014346209639</v>
      </c>
      <c r="N40" s="36" t="n">
        <v>2.06051271468277</v>
      </c>
      <c r="O40" s="36" t="n">
        <f aca="false">SQRT(M40^2+N40^2)</f>
        <v>2.74268700378655</v>
      </c>
      <c r="P40" s="55" t="n">
        <f aca="false">IF(J40="","",MAX(0,J40-1.96*O40/100))</f>
        <v>0.349064651340204</v>
      </c>
      <c r="Q40" s="55" t="n">
        <f aca="false">IF(J40="","",MIN(1,J40+1.96*O40/100))</f>
        <v>0.456577981888636</v>
      </c>
      <c r="R40" s="32" t="str">
        <f aca="false">IF(L40="","",IF(ABS(L40)&lt;=O40,"Yes","No"))</f>
        <v>Yes</v>
      </c>
      <c r="S40" s="32" t="str">
        <f aca="false">IF(L40="","",IF(ABS(L40)&lt;=1.96*O40,"Yes","No"))</f>
        <v>Yes</v>
      </c>
      <c r="T40" s="54" t="n">
        <f aca="false">IF(D40="","",ROUND(SQRT(((D40+G40)*O40/100)^2+(J40*(D40+G40)*0.04942)^2),0))</f>
        <v>238</v>
      </c>
      <c r="U40" s="32"/>
    </row>
    <row r="41" customFormat="false" ht="15" hidden="false" customHeight="false" outlineLevel="0" collapsed="false">
      <c r="A41" s="32" t="s">
        <v>157</v>
      </c>
      <c r="B41" s="32" t="s">
        <v>174</v>
      </c>
      <c r="C41" s="32" t="s">
        <v>129</v>
      </c>
      <c r="D41" s="54" t="n">
        <v>3051</v>
      </c>
      <c r="E41" s="54" t="n">
        <v>3239</v>
      </c>
      <c r="F41" s="65" t="n">
        <f aca="false">IF(E41="","",D41-E41)</f>
        <v>-188</v>
      </c>
      <c r="G41" s="54" t="n">
        <v>2972</v>
      </c>
      <c r="H41" s="54" t="n">
        <v>3129</v>
      </c>
      <c r="I41" s="65" t="n">
        <f aca="false">IF(H41="","",G41-H41)</f>
        <v>-157</v>
      </c>
      <c r="J41" s="55" t="n">
        <f aca="false">IF(OR(D41="",D41+G41=0),"",D41/(D41+G41))</f>
        <v>0.506558193591234</v>
      </c>
      <c r="K41" s="55" t="n">
        <f aca="false">IF(E41="","",E41/(E41+H41))</f>
        <v>0.508636934673367</v>
      </c>
      <c r="L41" s="66" t="n">
        <f aca="false">IF(OR(K41="",J41=""),"",(J41-K41)*100)</f>
        <v>-0.207874108213324</v>
      </c>
      <c r="M41" s="36" t="n">
        <v>1.81014346209639</v>
      </c>
      <c r="N41" s="36" t="n">
        <v>2.06051271468277</v>
      </c>
      <c r="O41" s="36" t="n">
        <f aca="false">SQRT(M41^2+N41^2)</f>
        <v>2.74268700378655</v>
      </c>
      <c r="P41" s="55" t="n">
        <f aca="false">IF(J41="","",MAX(0,J41-1.96*O41/100))</f>
        <v>0.452801528317017</v>
      </c>
      <c r="Q41" s="55" t="n">
        <f aca="false">IF(J41="","",MIN(1,J41+1.96*O41/100))</f>
        <v>0.56031485886545</v>
      </c>
      <c r="R41" s="32" t="str">
        <f aca="false">IF(L41="","",IF(ABS(L41)&lt;=O41,"Yes","No"))</f>
        <v>Yes</v>
      </c>
      <c r="S41" s="32" t="str">
        <f aca="false">IF(L41="","",IF(ABS(L41)&lt;=1.96*O41,"Yes","No"))</f>
        <v>Yes</v>
      </c>
      <c r="T41" s="54" t="n">
        <f aca="false">IF(D41="","",ROUND(SQRT(((D41+G41)*O41/100)^2+(J41*(D41+G41)*0.04942)^2),0))</f>
        <v>224</v>
      </c>
      <c r="U41" s="32"/>
    </row>
    <row r="42" customFormat="false" ht="15" hidden="false" customHeight="false" outlineLevel="0" collapsed="false">
      <c r="A42" s="32" t="s">
        <v>157</v>
      </c>
      <c r="B42" s="32" t="s">
        <v>175</v>
      </c>
      <c r="C42" s="32" t="s">
        <v>129</v>
      </c>
      <c r="D42" s="54" t="n">
        <v>545</v>
      </c>
      <c r="E42" s="54" t="n">
        <v>611</v>
      </c>
      <c r="F42" s="65" t="n">
        <f aca="false">IF(E42="","",D42-E42)</f>
        <v>-66</v>
      </c>
      <c r="G42" s="54" t="n">
        <v>768</v>
      </c>
      <c r="H42" s="54" t="n">
        <v>740</v>
      </c>
      <c r="I42" s="65" t="n">
        <f aca="false">IF(H42="","",G42-H42)</f>
        <v>28</v>
      </c>
      <c r="J42" s="55" t="n">
        <f aca="false">IF(OR(D42="",D42+G42=0),"",D42/(D42+G42))</f>
        <v>0.415079969535415</v>
      </c>
      <c r="K42" s="55" t="n">
        <f aca="false">IF(E42="","",E42/(E42+H42))</f>
        <v>0.452257586972613</v>
      </c>
      <c r="L42" s="66" t="n">
        <f aca="false">IF(OR(K42="",J42=""),"",(J42-K42)*100)</f>
        <v>-3.71776174371978</v>
      </c>
      <c r="M42" s="36" t="n">
        <v>2.25210547370435</v>
      </c>
      <c r="N42" s="36" t="n">
        <v>2.06051271468277</v>
      </c>
      <c r="O42" s="36" t="n">
        <f aca="false">SQRT(M42^2+N42^2)</f>
        <v>3.0524894286563</v>
      </c>
      <c r="P42" s="55" t="n">
        <f aca="false">IF(J42="","",MAX(0,J42-1.96*O42/100))</f>
        <v>0.355251176733752</v>
      </c>
      <c r="Q42" s="55" t="n">
        <f aca="false">IF(J42="","",MIN(1,J42+1.96*O42/100))</f>
        <v>0.474908762337078</v>
      </c>
      <c r="R42" s="32" t="str">
        <f aca="false">IF(L42="","",IF(ABS(L42)&lt;=O42,"Yes","No"))</f>
        <v>No</v>
      </c>
      <c r="S42" s="32" t="str">
        <f aca="false">IF(L42="","",IF(ABS(L42)&lt;=1.96*O42,"Yes","No"))</f>
        <v>Yes</v>
      </c>
      <c r="T42" s="54" t="n">
        <f aca="false">IF(D42="","",ROUND(SQRT(((D42+G42)*O42/100)^2+(J42*(D42+G42)*0.05883)^2),0))</f>
        <v>51</v>
      </c>
      <c r="U42" s="32"/>
    </row>
    <row r="43" customFormat="false" ht="15" hidden="false" customHeight="false" outlineLevel="0" collapsed="false">
      <c r="A43" s="32" t="s">
        <v>157</v>
      </c>
      <c r="B43" s="32" t="s">
        <v>176</v>
      </c>
      <c r="C43" s="32" t="s">
        <v>129</v>
      </c>
      <c r="D43" s="54" t="n">
        <v>5162</v>
      </c>
      <c r="E43" s="54" t="n">
        <v>5699</v>
      </c>
      <c r="F43" s="65" t="n">
        <f aca="false">IF(E43="","",D43-E43)</f>
        <v>-537</v>
      </c>
      <c r="G43" s="54" t="n">
        <v>4497</v>
      </c>
      <c r="H43" s="54" t="n">
        <v>4420</v>
      </c>
      <c r="I43" s="65" t="n">
        <f aca="false">IF(H43="","",G43-H43)</f>
        <v>77</v>
      </c>
      <c r="J43" s="55" t="n">
        <f aca="false">IF(OR(D43="",D43+G43=0),"",D43/(D43+G43))</f>
        <v>0.534423853400973</v>
      </c>
      <c r="K43" s="55" t="n">
        <f aca="false">IF(E43="","",E43/(E43+H43))</f>
        <v>0.563197944460915</v>
      </c>
      <c r="L43" s="66" t="n">
        <f aca="false">IF(OR(K43="",J43=""),"",(J43-K43)*100)</f>
        <v>-2.87740910599419</v>
      </c>
      <c r="M43" s="36" t="n">
        <v>1.81014346209639</v>
      </c>
      <c r="N43" s="36" t="n">
        <v>2.06051271468277</v>
      </c>
      <c r="O43" s="36" t="n">
        <f aca="false">SQRT(M43^2+N43^2)</f>
        <v>2.74268700378655</v>
      </c>
      <c r="P43" s="55" t="n">
        <f aca="false">IF(J43="","",MAX(0,J43-1.96*O43/100))</f>
        <v>0.480667188126757</v>
      </c>
      <c r="Q43" s="55" t="n">
        <f aca="false">IF(J43="","",MIN(1,J43+1.96*O43/100))</f>
        <v>0.58818051867519</v>
      </c>
      <c r="R43" s="32" t="str">
        <f aca="false">IF(L43="","",IF(ABS(L43)&lt;=O43,"Yes","No"))</f>
        <v>No</v>
      </c>
      <c r="S43" s="32" t="str">
        <f aca="false">IF(L43="","",IF(ABS(L43)&lt;=1.96*O43,"Yes","No"))</f>
        <v>Yes</v>
      </c>
      <c r="T43" s="54" t="n">
        <f aca="false">IF(D43="","",ROUND(SQRT(((D43+G43)*O43/100)^2+(J43*(D43+G43)*0.04942)^2),0))</f>
        <v>368</v>
      </c>
      <c r="U43" s="32"/>
    </row>
    <row r="44" customFormat="false" ht="15" hidden="false" customHeight="false" outlineLevel="0" collapsed="false">
      <c r="A44" s="32" t="s">
        <v>157</v>
      </c>
      <c r="B44" s="32" t="s">
        <v>177</v>
      </c>
      <c r="C44" s="32" t="s">
        <v>129</v>
      </c>
      <c r="D44" s="54" t="n">
        <v>5665</v>
      </c>
      <c r="E44" s="54" t="n">
        <v>6009</v>
      </c>
      <c r="F44" s="65" t="n">
        <f aca="false">IF(E44="","",D44-E44)</f>
        <v>-344</v>
      </c>
      <c r="G44" s="54" t="n">
        <v>5136</v>
      </c>
      <c r="H44" s="54" t="n">
        <v>5257</v>
      </c>
      <c r="I44" s="65" t="n">
        <f aca="false">IF(H44="","",G44-H44)</f>
        <v>-121</v>
      </c>
      <c r="J44" s="55" t="n">
        <f aca="false">IF(OR(D44="",D44+G44=0),"",D44/(D44+G44))</f>
        <v>0.52448847328951</v>
      </c>
      <c r="K44" s="55" t="n">
        <f aca="false">IF(E44="","",E44/(E44+H44))</f>
        <v>0.533374755902716</v>
      </c>
      <c r="L44" s="66" t="n">
        <f aca="false">IF(OR(K44="",J44=""),"",(J44-K44)*100)</f>
        <v>-0.88862826132059</v>
      </c>
      <c r="M44" s="36" t="n">
        <v>1.81014346209639</v>
      </c>
      <c r="N44" s="36" t="n">
        <v>2.06051271468277</v>
      </c>
      <c r="O44" s="36" t="n">
        <f aca="false">SQRT(M44^2+N44^2)</f>
        <v>2.74268700378655</v>
      </c>
      <c r="P44" s="55" t="n">
        <f aca="false">IF(J44="","",MAX(0,J44-1.96*O44/100))</f>
        <v>0.470731808015294</v>
      </c>
      <c r="Q44" s="55" t="n">
        <f aca="false">IF(J44="","",MIN(1,J44+1.96*O44/100))</f>
        <v>0.578245138563727</v>
      </c>
      <c r="R44" s="32" t="str">
        <f aca="false">IF(L44="","",IF(ABS(L44)&lt;=O44,"Yes","No"))</f>
        <v>Yes</v>
      </c>
      <c r="S44" s="32" t="str">
        <f aca="false">IF(L44="","",IF(ABS(L44)&lt;=1.96*O44,"Yes","No"))</f>
        <v>Yes</v>
      </c>
      <c r="T44" s="54" t="n">
        <f aca="false">IF(D44="","",ROUND(SQRT(((D44+G44)*O44/100)^2+(J44*(D44+G44)*0.04942)^2),0))</f>
        <v>408</v>
      </c>
      <c r="U44" s="32"/>
    </row>
    <row r="45" customFormat="false" ht="15" hidden="false" customHeight="false" outlineLevel="0" collapsed="false">
      <c r="A45" s="32" t="s">
        <v>157</v>
      </c>
      <c r="B45" s="32" t="s">
        <v>178</v>
      </c>
      <c r="C45" s="32" t="s">
        <v>129</v>
      </c>
      <c r="D45" s="54" t="n">
        <v>1721</v>
      </c>
      <c r="E45" s="54" t="n">
        <v>2032</v>
      </c>
      <c r="F45" s="65" t="n">
        <f aca="false">IF(E45="","",D45-E45)</f>
        <v>-311</v>
      </c>
      <c r="G45" s="54" t="n">
        <v>2415</v>
      </c>
      <c r="H45" s="54" t="n">
        <v>2450</v>
      </c>
      <c r="I45" s="65" t="n">
        <f aca="false">IF(H45="","",G45-H45)</f>
        <v>-35</v>
      </c>
      <c r="J45" s="55" t="n">
        <f aca="false">IF(OR(D45="",D45+G45=0),"",D45/(D45+G45))</f>
        <v>0.41610251450677</v>
      </c>
      <c r="K45" s="55" t="n">
        <f aca="false">IF(E45="","",E45/(E45+H45))</f>
        <v>0.453369031682285</v>
      </c>
      <c r="L45" s="66" t="n">
        <f aca="false">IF(OR(K45="",J45=""),"",(J45-K45)*100)</f>
        <v>-3.72665171755149</v>
      </c>
      <c r="M45" s="36" t="n">
        <v>1.81014346209639</v>
      </c>
      <c r="N45" s="36" t="n">
        <v>2.06051271468277</v>
      </c>
      <c r="O45" s="36" t="n">
        <f aca="false">SQRT(M45^2+N45^2)</f>
        <v>2.74268700378655</v>
      </c>
      <c r="P45" s="55" t="n">
        <f aca="false">IF(J45="","",MAX(0,J45-1.96*O45/100))</f>
        <v>0.362345849232553</v>
      </c>
      <c r="Q45" s="55" t="n">
        <f aca="false">IF(J45="","",MIN(1,J45+1.96*O45/100))</f>
        <v>0.469859179780986</v>
      </c>
      <c r="R45" s="32" t="str">
        <f aca="false">IF(L45="","",IF(ABS(L45)&lt;=O45,"Yes","No"))</f>
        <v>No</v>
      </c>
      <c r="S45" s="32" t="str">
        <f aca="false">IF(L45="","",IF(ABS(L45)&lt;=1.96*O45,"Yes","No"))</f>
        <v>Yes</v>
      </c>
      <c r="T45" s="54" t="n">
        <f aca="false">IF(D45="","",ROUND(SQRT(((D45+G45)*O45/100)^2+(J45*(D45+G45)*0.04942)^2),0))</f>
        <v>142</v>
      </c>
      <c r="U45" s="32"/>
    </row>
    <row r="46" customFormat="false" ht="15" hidden="false" customHeight="false" outlineLevel="0" collapsed="false">
      <c r="A46" s="32" t="s">
        <v>157</v>
      </c>
      <c r="B46" s="32" t="s">
        <v>179</v>
      </c>
      <c r="C46" s="32" t="s">
        <v>129</v>
      </c>
      <c r="D46" s="54" t="n">
        <v>3833</v>
      </c>
      <c r="E46" s="54" t="n">
        <v>4406</v>
      </c>
      <c r="F46" s="65" t="n">
        <f aca="false">IF(E46="","",D46-E46)</f>
        <v>-573</v>
      </c>
      <c r="G46" s="54" t="n">
        <v>4256</v>
      </c>
      <c r="H46" s="54" t="n">
        <v>4369</v>
      </c>
      <c r="I46" s="65" t="n">
        <f aca="false">IF(H46="","",G46-H46)</f>
        <v>-113</v>
      </c>
      <c r="J46" s="55" t="n">
        <f aca="false">IF(OR(D46="",D46+G46=0),"",D46/(D46+G46))</f>
        <v>0.473853381134875</v>
      </c>
      <c r="K46" s="55" t="n">
        <f aca="false">IF(E46="","",E46/(E46+H46))</f>
        <v>0.502108262108262</v>
      </c>
      <c r="L46" s="66" t="n">
        <f aca="false">IF(OR(K46="",J46=""),"",(J46-K46)*100)</f>
        <v>-2.82548809733876</v>
      </c>
      <c r="M46" s="36" t="n">
        <v>1.81014346209639</v>
      </c>
      <c r="N46" s="36" t="n">
        <v>2.06051271468277</v>
      </c>
      <c r="O46" s="36" t="n">
        <f aca="false">SQRT(M46^2+N46^2)</f>
        <v>2.74268700378655</v>
      </c>
      <c r="P46" s="55" t="n">
        <f aca="false">IF(J46="","",MAX(0,J46-1.96*O46/100))</f>
        <v>0.420096715860658</v>
      </c>
      <c r="Q46" s="55" t="n">
        <f aca="false">IF(J46="","",MIN(1,J46+1.96*O46/100))</f>
        <v>0.527610046409091</v>
      </c>
      <c r="R46" s="32" t="str">
        <f aca="false">IF(L46="","",IF(ABS(L46)&lt;=O46,"Yes","No"))</f>
        <v>No</v>
      </c>
      <c r="S46" s="32" t="str">
        <f aca="false">IF(L46="","",IF(ABS(L46)&lt;=1.96*O46,"Yes","No"))</f>
        <v>Yes</v>
      </c>
      <c r="T46" s="54" t="n">
        <f aca="false">IF(D46="","",ROUND(SQRT(((D46+G46)*O46/100)^2+(J46*(D46+G46)*0.04942)^2),0))</f>
        <v>292</v>
      </c>
      <c r="U46" s="32"/>
    </row>
    <row r="47" customFormat="false" ht="15" hidden="false" customHeight="false" outlineLevel="0" collapsed="false">
      <c r="A47" s="32" t="s">
        <v>157</v>
      </c>
      <c r="B47" s="32" t="s">
        <v>180</v>
      </c>
      <c r="C47" s="32" t="s">
        <v>129</v>
      </c>
      <c r="D47" s="54" t="n">
        <v>891</v>
      </c>
      <c r="E47" s="54" t="n">
        <v>1054</v>
      </c>
      <c r="F47" s="65" t="n">
        <f aca="false">IF(E47="","",D47-E47)</f>
        <v>-163</v>
      </c>
      <c r="G47" s="54" t="n">
        <v>1762</v>
      </c>
      <c r="H47" s="54" t="n">
        <v>1952</v>
      </c>
      <c r="I47" s="65" t="n">
        <f aca="false">IF(H47="","",G47-H47)</f>
        <v>-190</v>
      </c>
      <c r="J47" s="55" t="n">
        <f aca="false">IF(OR(D47="",D47+G47=0),"",D47/(D47+G47))</f>
        <v>0.335846211835658</v>
      </c>
      <c r="K47" s="55" t="n">
        <f aca="false">IF(E47="","",E47/(E47+H47))</f>
        <v>0.350632069194943</v>
      </c>
      <c r="L47" s="66" t="n">
        <f aca="false">IF(OR(K47="",J47=""),"",(J47-K47)*100)</f>
        <v>-1.47858573592857</v>
      </c>
      <c r="M47" s="36" t="n">
        <v>1.81014346209639</v>
      </c>
      <c r="N47" s="36" t="n">
        <v>2.06051271468277</v>
      </c>
      <c r="O47" s="36" t="n">
        <f aca="false">SQRT(M47^2+N47^2)</f>
        <v>2.74268700378655</v>
      </c>
      <c r="P47" s="55" t="n">
        <f aca="false">IF(J47="","",MAX(0,J47-1.96*O47/100))</f>
        <v>0.282089546561441</v>
      </c>
      <c r="Q47" s="55" t="n">
        <f aca="false">IF(J47="","",MIN(1,J47+1.96*O47/100))</f>
        <v>0.389602877109874</v>
      </c>
      <c r="R47" s="32" t="str">
        <f aca="false">IF(L47="","",IF(ABS(L47)&lt;=O47,"Yes","No"))</f>
        <v>Yes</v>
      </c>
      <c r="S47" s="32" t="str">
        <f aca="false">IF(L47="","",IF(ABS(L47)&lt;=1.96*O47,"Yes","No"))</f>
        <v>Yes</v>
      </c>
      <c r="T47" s="54" t="n">
        <f aca="false">IF(D47="","",ROUND(SQRT(((D47+G47)*O47/100)^2+(J47*(D47+G47)*0.04942)^2),0))</f>
        <v>85</v>
      </c>
      <c r="U47" s="32"/>
    </row>
    <row r="48" customFormat="false" ht="15" hidden="false" customHeight="false" outlineLevel="0" collapsed="false">
      <c r="A48" s="32" t="s">
        <v>157</v>
      </c>
      <c r="B48" s="32" t="s">
        <v>181</v>
      </c>
      <c r="C48" s="32" t="s">
        <v>129</v>
      </c>
      <c r="D48" s="54" t="n">
        <v>867</v>
      </c>
      <c r="E48" s="54" t="n">
        <v>981</v>
      </c>
      <c r="F48" s="65" t="n">
        <f aca="false">IF(E48="","",D48-E48)</f>
        <v>-114</v>
      </c>
      <c r="G48" s="54" t="n">
        <v>1662</v>
      </c>
      <c r="H48" s="54" t="n">
        <v>1711</v>
      </c>
      <c r="I48" s="65" t="n">
        <f aca="false">IF(H48="","",G48-H48)</f>
        <v>-49</v>
      </c>
      <c r="J48" s="55" t="n">
        <f aca="false">IF(OR(D48="",D48+G48=0),"",D48/(D48+G48))</f>
        <v>0.34282325029656</v>
      </c>
      <c r="K48" s="55" t="n">
        <f aca="false">IF(E48="","",E48/(E48+H48))</f>
        <v>0.364413075780089</v>
      </c>
      <c r="L48" s="66" t="n">
        <f aca="false">IF(OR(K48="",J48=""),"",(J48-K48)*100)</f>
        <v>-2.15898254835292</v>
      </c>
      <c r="M48" s="36" t="n">
        <v>2.25210547370435</v>
      </c>
      <c r="N48" s="36" t="n">
        <v>2.06051271468277</v>
      </c>
      <c r="O48" s="36" t="n">
        <f aca="false">SQRT(M48^2+N48^2)</f>
        <v>3.0524894286563</v>
      </c>
      <c r="P48" s="55" t="n">
        <f aca="false">IF(J48="","",MAX(0,J48-1.96*O48/100))</f>
        <v>0.282994457494897</v>
      </c>
      <c r="Q48" s="55" t="n">
        <f aca="false">IF(J48="","",MIN(1,J48+1.96*O48/100))</f>
        <v>0.402652043098223</v>
      </c>
      <c r="R48" s="32" t="str">
        <f aca="false">IF(L48="","",IF(ABS(L48)&lt;=O48,"Yes","No"))</f>
        <v>Yes</v>
      </c>
      <c r="S48" s="32" t="str">
        <f aca="false">IF(L48="","",IF(ABS(L48)&lt;=1.96*O48,"Yes","No"))</f>
        <v>Yes</v>
      </c>
      <c r="T48" s="54" t="n">
        <f aca="false">IF(D48="","",ROUND(SQRT(((D48+G48)*O48/100)^2+(J48*(D48+G48)*0.05883)^2),0))</f>
        <v>93</v>
      </c>
      <c r="U48" s="32"/>
    </row>
    <row r="49" customFormat="false" ht="15" hidden="false" customHeight="false" outlineLevel="0" collapsed="false">
      <c r="A49" s="32" t="s">
        <v>157</v>
      </c>
      <c r="B49" s="32" t="s">
        <v>182</v>
      </c>
      <c r="C49" s="32" t="s">
        <v>129</v>
      </c>
      <c r="D49" s="54" t="n">
        <v>5191</v>
      </c>
      <c r="E49" s="54" t="n">
        <v>5508</v>
      </c>
      <c r="F49" s="65" t="n">
        <f aca="false">IF(E49="","",D49-E49)</f>
        <v>-317</v>
      </c>
      <c r="G49" s="54" t="n">
        <v>4669</v>
      </c>
      <c r="H49" s="54" t="n">
        <v>4784</v>
      </c>
      <c r="I49" s="65" t="n">
        <f aca="false">IF(H49="","",G49-H49)</f>
        <v>-115</v>
      </c>
      <c r="J49" s="55" t="n">
        <f aca="false">IF(OR(D49="",D49+G49=0),"",D49/(D49+G49))</f>
        <v>0.526470588235294</v>
      </c>
      <c r="K49" s="55" t="n">
        <f aca="false">IF(E49="","",E49/(E49+H49))</f>
        <v>0.535172949863972</v>
      </c>
      <c r="L49" s="66" t="n">
        <f aca="false">IF(OR(K49="",J49=""),"",(J49-K49)*100)</f>
        <v>-0.870236162867788</v>
      </c>
      <c r="M49" s="36" t="n">
        <v>1.81014346209639</v>
      </c>
      <c r="N49" s="36" t="n">
        <v>2.06051271468277</v>
      </c>
      <c r="O49" s="36" t="n">
        <f aca="false">SQRT(M49^2+N49^2)</f>
        <v>2.74268700378655</v>
      </c>
      <c r="P49" s="55" t="n">
        <f aca="false">IF(J49="","",MAX(0,J49-1.96*O49/100))</f>
        <v>0.472713922961078</v>
      </c>
      <c r="Q49" s="55" t="n">
        <f aca="false">IF(J49="","",MIN(1,J49+1.96*O49/100))</f>
        <v>0.580227253509511</v>
      </c>
      <c r="R49" s="32" t="str">
        <f aca="false">IF(L49="","",IF(ABS(L49)&lt;=O49,"Yes","No"))</f>
        <v>Yes</v>
      </c>
      <c r="S49" s="32" t="str">
        <f aca="false">IF(L49="","",IF(ABS(L49)&lt;=1.96*O49,"Yes","No"))</f>
        <v>Yes</v>
      </c>
      <c r="T49" s="54" t="n">
        <f aca="false">IF(D49="","",ROUND(SQRT(((D49+G49)*O49/100)^2+(J49*(D49+G49)*0.04942)^2),0))</f>
        <v>373</v>
      </c>
      <c r="U49" s="32"/>
    </row>
    <row r="50" customFormat="false" ht="15" hidden="false" customHeight="false" outlineLevel="0" collapsed="false">
      <c r="A50" s="32" t="s">
        <v>183</v>
      </c>
      <c r="B50" s="32" t="s">
        <v>184</v>
      </c>
      <c r="C50" s="32" t="s">
        <v>129</v>
      </c>
      <c r="D50" s="54" t="n">
        <v>357</v>
      </c>
      <c r="E50" s="54" t="n">
        <v>361</v>
      </c>
      <c r="F50" s="65" t="n">
        <f aca="false">IF(E50="","",D50-E50)</f>
        <v>-4</v>
      </c>
      <c r="G50" s="54" t="n">
        <v>691</v>
      </c>
      <c r="H50" s="54" t="n">
        <v>824</v>
      </c>
      <c r="I50" s="65" t="n">
        <f aca="false">IF(H50="","",G50-H50)</f>
        <v>-133</v>
      </c>
      <c r="J50" s="55" t="n">
        <f aca="false">IF(OR(D50="",D50+G50=0),"",D50/(D50+G50))</f>
        <v>0.340648854961832</v>
      </c>
      <c r="K50" s="55" t="n">
        <f aca="false">IF(E50="","",E50/(E50+H50))</f>
        <v>0.30464135021097</v>
      </c>
      <c r="L50" s="66" t="n">
        <f aca="false">IF(OR(K50="",J50=""),"",(J50-K50)*100)</f>
        <v>3.60075047508616</v>
      </c>
      <c r="M50" s="36" t="n">
        <v>3.67164034925888</v>
      </c>
      <c r="N50" s="36" t="n">
        <v>2.06051271468277</v>
      </c>
      <c r="O50" s="36" t="n">
        <f aca="false">SQRT(M50^2+N50^2)</f>
        <v>4.21030349282272</v>
      </c>
      <c r="P50" s="55" t="n">
        <f aca="false">IF(J50="","",MAX(0,J50-1.96*O50/100))</f>
        <v>0.258126906502507</v>
      </c>
      <c r="Q50" s="55" t="n">
        <f aca="false">IF(J50="","",MIN(1,J50+1.96*O50/100))</f>
        <v>0.423170803421157</v>
      </c>
      <c r="R50" s="32" t="str">
        <f aca="false">IF(L50="","",IF(ABS(L50)&lt;=O50,"Yes","No"))</f>
        <v>Yes</v>
      </c>
      <c r="S50" s="32" t="str">
        <f aca="false">IF(L50="","",IF(ABS(L50)&lt;=1.96*O50,"Yes","No"))</f>
        <v>Yes</v>
      </c>
      <c r="T50" s="54" t="n">
        <f aca="false">IF(D50="","",ROUND(SQRT(((D50+G50)*O50/100)^2+(J50*(D50+G50)*0.07872)^2),0))</f>
        <v>52</v>
      </c>
      <c r="U50" s="32"/>
    </row>
    <row r="51" customFormat="false" ht="15" hidden="false" customHeight="false" outlineLevel="0" collapsed="false">
      <c r="A51" s="32" t="s">
        <v>183</v>
      </c>
      <c r="B51" s="32" t="s">
        <v>186</v>
      </c>
      <c r="C51" s="32" t="s">
        <v>129</v>
      </c>
      <c r="D51" s="54" t="n">
        <v>988</v>
      </c>
      <c r="E51" s="54" t="n">
        <v>1021</v>
      </c>
      <c r="F51" s="65" t="n">
        <f aca="false">IF(E51="","",D51-E51)</f>
        <v>-33</v>
      </c>
      <c r="G51" s="54" t="n">
        <v>1800</v>
      </c>
      <c r="H51" s="54" t="n">
        <v>1984</v>
      </c>
      <c r="I51" s="65" t="n">
        <f aca="false">IF(H51="","",G51-H51)</f>
        <v>-184</v>
      </c>
      <c r="J51" s="55" t="n">
        <f aca="false">IF(OR(D51="",D51+G51=0),"",D51/(D51+G51))</f>
        <v>0.354375896700143</v>
      </c>
      <c r="K51" s="55" t="n">
        <f aca="false">IF(E51="","",E51/(E51+H51))</f>
        <v>0.339767054908486</v>
      </c>
      <c r="L51" s="66" t="n">
        <f aca="false">IF(OR(K51="",J51=""),"",(J51-K51)*100)</f>
        <v>1.46088417916576</v>
      </c>
      <c r="M51" s="36" t="n">
        <v>1.81014346209639</v>
      </c>
      <c r="N51" s="36" t="n">
        <v>2.06051271468277</v>
      </c>
      <c r="O51" s="36" t="n">
        <f aca="false">SQRT(M51^2+N51^2)</f>
        <v>2.74268700378655</v>
      </c>
      <c r="P51" s="55" t="n">
        <f aca="false">IF(J51="","",MAX(0,J51-1.96*O51/100))</f>
        <v>0.300619231425927</v>
      </c>
      <c r="Q51" s="55" t="n">
        <f aca="false">IF(J51="","",MIN(1,J51+1.96*O51/100))</f>
        <v>0.40813256197436</v>
      </c>
      <c r="R51" s="32" t="str">
        <f aca="false">IF(L51="","",IF(ABS(L51)&lt;=O51,"Yes","No"))</f>
        <v>Yes</v>
      </c>
      <c r="S51" s="32" t="str">
        <f aca="false">IF(L51="","",IF(ABS(L51)&lt;=1.96*O51,"Yes","No"))</f>
        <v>Yes</v>
      </c>
      <c r="T51" s="54" t="n">
        <f aca="false">IF(D51="","",ROUND(SQRT(((D51+G51)*O51/100)^2+(J51*(D51+G51)*0.04942)^2),0))</f>
        <v>91</v>
      </c>
      <c r="U51" s="32"/>
    </row>
    <row r="52" customFormat="false" ht="15" hidden="false" customHeight="false" outlineLevel="0" collapsed="false">
      <c r="A52" s="32" t="s">
        <v>183</v>
      </c>
      <c r="B52" s="32" t="s">
        <v>187</v>
      </c>
      <c r="C52" s="32" t="s">
        <v>129</v>
      </c>
      <c r="D52" s="54" t="n">
        <v>338</v>
      </c>
      <c r="E52" s="54" t="n">
        <v>380</v>
      </c>
      <c r="F52" s="65" t="n">
        <f aca="false">IF(E52="","",D52-E52)</f>
        <v>-42</v>
      </c>
      <c r="G52" s="54" t="n">
        <v>526</v>
      </c>
      <c r="H52" s="54" t="n">
        <v>732</v>
      </c>
      <c r="I52" s="65" t="n">
        <f aca="false">IF(H52="","",G52-H52)</f>
        <v>-206</v>
      </c>
      <c r="J52" s="55" t="n">
        <f aca="false">IF(OR(D52="",D52+G52=0),"",D52/(D52+G52))</f>
        <v>0.391203703703704</v>
      </c>
      <c r="K52" s="55" t="n">
        <f aca="false">IF(E52="","",E52/(E52+H52))</f>
        <v>0.341726618705036</v>
      </c>
      <c r="L52" s="66" t="n">
        <f aca="false">IF(OR(K52="",J52=""),"",(J52-K52)*100)</f>
        <v>4.94770849986678</v>
      </c>
      <c r="M52" s="36" t="n">
        <v>3.67164034925888</v>
      </c>
      <c r="N52" s="36" t="n">
        <v>2.06051271468277</v>
      </c>
      <c r="O52" s="36" t="n">
        <f aca="false">SQRT(M52^2+N52^2)</f>
        <v>4.21030349282272</v>
      </c>
      <c r="P52" s="55" t="n">
        <f aca="false">IF(J52="","",MAX(0,J52-1.96*O52/100))</f>
        <v>0.308681755244378</v>
      </c>
      <c r="Q52" s="55" t="n">
        <f aca="false">IF(J52="","",MIN(1,J52+1.96*O52/100))</f>
        <v>0.473725652163029</v>
      </c>
      <c r="R52" s="32" t="str">
        <f aca="false">IF(L52="","",IF(ABS(L52)&lt;=O52,"Yes","No"))</f>
        <v>No</v>
      </c>
      <c r="S52" s="32" t="str">
        <f aca="false">IF(L52="","",IF(ABS(L52)&lt;=1.96*O52,"Yes","No"))</f>
        <v>Yes</v>
      </c>
      <c r="T52" s="54" t="n">
        <f aca="false">IF(D52="","",ROUND(SQRT(((D52+G52)*O52/100)^2+(J52*(D52+G52)*0.07872)^2),0))</f>
        <v>45</v>
      </c>
      <c r="U52" s="32"/>
    </row>
    <row r="53" customFormat="false" ht="15" hidden="false" customHeight="false" outlineLevel="0" collapsed="false">
      <c r="A53" s="32" t="s">
        <v>188</v>
      </c>
      <c r="B53" s="32" t="s">
        <v>189</v>
      </c>
      <c r="C53" s="32" t="s">
        <v>129</v>
      </c>
      <c r="D53" s="54" t="n">
        <v>981</v>
      </c>
      <c r="E53" s="54" t="n">
        <v>1174</v>
      </c>
      <c r="F53" s="65" t="n">
        <f aca="false">IF(E53="","",D53-E53)</f>
        <v>-193</v>
      </c>
      <c r="G53" s="54" t="n">
        <v>1366</v>
      </c>
      <c r="H53" s="54" t="n">
        <v>1426</v>
      </c>
      <c r="I53" s="65" t="n">
        <f aca="false">IF(H53="","",G53-H53)</f>
        <v>-60</v>
      </c>
      <c r="J53" s="55" t="n">
        <f aca="false">IF(OR(D53="",D53+G53=0),"",D53/(D53+G53))</f>
        <v>0.417980400511291</v>
      </c>
      <c r="K53" s="55" t="n">
        <f aca="false">IF(E53="","",E53/(E53+H53))</f>
        <v>0.451538461538462</v>
      </c>
      <c r="L53" s="66" t="n">
        <f aca="false">IF(OR(K53="",J53=""),"",(J53-K53)*100)</f>
        <v>-3.35580610271706</v>
      </c>
      <c r="M53" s="36" t="n">
        <v>2.25210547370435</v>
      </c>
      <c r="N53" s="36" t="n">
        <v>2.06051271468277</v>
      </c>
      <c r="O53" s="36" t="n">
        <f aca="false">SQRT(M53^2+N53^2)</f>
        <v>3.0524894286563</v>
      </c>
      <c r="P53" s="55" t="n">
        <f aca="false">IF(J53="","",MAX(0,J53-1.96*O53/100))</f>
        <v>0.358151607709628</v>
      </c>
      <c r="Q53" s="55" t="n">
        <f aca="false">IF(J53="","",MIN(1,J53+1.96*O53/100))</f>
        <v>0.477809193312954</v>
      </c>
      <c r="R53" s="32" t="str">
        <f aca="false">IF(L53="","",IF(ABS(L53)&lt;=O53,"Yes","No"))</f>
        <v>No</v>
      </c>
      <c r="S53" s="32" t="str">
        <f aca="false">IF(L53="","",IF(ABS(L53)&lt;=1.96*O53,"Yes","No"))</f>
        <v>Yes</v>
      </c>
      <c r="T53" s="54" t="n">
        <f aca="false">IF(D53="","",ROUND(SQRT(((D53+G53)*O53/100)^2+(J53*(D53+G53)*0.05883)^2),0))</f>
        <v>92</v>
      </c>
      <c r="U53" s="32"/>
    </row>
    <row r="54" customFormat="false" ht="15" hidden="false" customHeight="false" outlineLevel="0" collapsed="false">
      <c r="A54" s="32" t="s">
        <v>188</v>
      </c>
      <c r="B54" s="32" t="s">
        <v>190</v>
      </c>
      <c r="C54" s="32" t="s">
        <v>129</v>
      </c>
      <c r="D54" s="54" t="n">
        <v>661</v>
      </c>
      <c r="E54" s="54" t="n">
        <v>729</v>
      </c>
      <c r="F54" s="65" t="n">
        <f aca="false">IF(E54="","",D54-E54)</f>
        <v>-68</v>
      </c>
      <c r="G54" s="54" t="n">
        <v>913</v>
      </c>
      <c r="H54" s="54" t="n">
        <v>928</v>
      </c>
      <c r="I54" s="65" t="n">
        <f aca="false">IF(H54="","",G54-H54)</f>
        <v>-15</v>
      </c>
      <c r="J54" s="55" t="n">
        <f aca="false">IF(OR(D54="",D54+G54=0),"",D54/(D54+G54))</f>
        <v>0.41994917407878</v>
      </c>
      <c r="K54" s="55" t="n">
        <f aca="false">IF(E54="","",E54/(E54+H54))</f>
        <v>0.43995171997586</v>
      </c>
      <c r="L54" s="66" t="n">
        <f aca="false">IF(OR(K54="",J54=""),"",(J54-K54)*100)</f>
        <v>-2.00025458970798</v>
      </c>
      <c r="M54" s="36" t="n">
        <v>2.25210547370435</v>
      </c>
      <c r="N54" s="36" t="n">
        <v>2.06051271468277</v>
      </c>
      <c r="O54" s="36" t="n">
        <f aca="false">SQRT(M54^2+N54^2)</f>
        <v>3.0524894286563</v>
      </c>
      <c r="P54" s="55" t="n">
        <f aca="false">IF(J54="","",MAX(0,J54-1.96*O54/100))</f>
        <v>0.360120381277117</v>
      </c>
      <c r="Q54" s="55" t="n">
        <f aca="false">IF(J54="","",MIN(1,J54+1.96*O54/100))</f>
        <v>0.479777966880444</v>
      </c>
      <c r="R54" s="32" t="str">
        <f aca="false">IF(L54="","",IF(ABS(L54)&lt;=O54,"Yes","No"))</f>
        <v>Yes</v>
      </c>
      <c r="S54" s="32" t="str">
        <f aca="false">IF(L54="","",IF(ABS(L54)&lt;=1.96*O54,"Yes","No"))</f>
        <v>Yes</v>
      </c>
      <c r="T54" s="54" t="n">
        <f aca="false">IF(D54="","",ROUND(SQRT(((D54+G54)*O54/100)^2+(J54*(D54+G54)*0.05883)^2),0))</f>
        <v>62</v>
      </c>
      <c r="U54" s="32"/>
    </row>
    <row r="55" customFormat="false" ht="15" hidden="false" customHeight="false" outlineLevel="0" collapsed="false">
      <c r="A55" s="32" t="s">
        <v>188</v>
      </c>
      <c r="B55" s="32" t="s">
        <v>191</v>
      </c>
      <c r="C55" s="32" t="s">
        <v>129</v>
      </c>
      <c r="D55" s="54" t="n">
        <v>406</v>
      </c>
      <c r="E55" s="54" t="n">
        <v>441</v>
      </c>
      <c r="F55" s="65" t="n">
        <f aca="false">IF(E55="","",D55-E55)</f>
        <v>-35</v>
      </c>
      <c r="G55" s="54" t="n">
        <v>468</v>
      </c>
      <c r="H55" s="54" t="n">
        <v>513</v>
      </c>
      <c r="I55" s="65" t="n">
        <f aca="false">IF(H55="","",G55-H55)</f>
        <v>-45</v>
      </c>
      <c r="J55" s="55" t="n">
        <f aca="false">IF(OR(D55="",D55+G55=0),"",D55/(D55+G55))</f>
        <v>0.464530892448513</v>
      </c>
      <c r="K55" s="55" t="n">
        <f aca="false">IF(E55="","",E55/(E55+H55))</f>
        <v>0.462264150943396</v>
      </c>
      <c r="L55" s="66" t="n">
        <f aca="false">IF(OR(K55="",J55=""),"",(J55-K55)*100)</f>
        <v>0.226674150511635</v>
      </c>
      <c r="M55" s="36" t="n">
        <v>3.67164034925888</v>
      </c>
      <c r="N55" s="36" t="n">
        <v>2.06051271468277</v>
      </c>
      <c r="O55" s="36" t="n">
        <f aca="false">SQRT(M55^2+N55^2)</f>
        <v>4.21030349282272</v>
      </c>
      <c r="P55" s="55" t="n">
        <f aca="false">IF(J55="","",MAX(0,J55-1.96*O55/100))</f>
        <v>0.382008943989187</v>
      </c>
      <c r="Q55" s="55" t="n">
        <f aca="false">IF(J55="","",MIN(1,J55+1.96*O55/100))</f>
        <v>0.547052840907838</v>
      </c>
      <c r="R55" s="32" t="str">
        <f aca="false">IF(L55="","",IF(ABS(L55)&lt;=O55,"Yes","No"))</f>
        <v>Yes</v>
      </c>
      <c r="S55" s="32" t="str">
        <f aca="false">IF(L55="","",IF(ABS(L55)&lt;=1.96*O55,"Yes","No"))</f>
        <v>Yes</v>
      </c>
      <c r="T55" s="54" t="n">
        <f aca="false">IF(D55="","",ROUND(SQRT(((D55+G55)*O55/100)^2+(J55*(D55+G55)*0.07872)^2),0))</f>
        <v>49</v>
      </c>
      <c r="U55" s="32"/>
    </row>
    <row r="56" customFormat="false" ht="15" hidden="false" customHeight="false" outlineLevel="0" collapsed="false">
      <c r="A56" s="32" t="s">
        <v>188</v>
      </c>
      <c r="B56" s="32" t="s">
        <v>160</v>
      </c>
      <c r="C56" s="32" t="s">
        <v>129</v>
      </c>
      <c r="D56" s="54" t="n">
        <v>12042</v>
      </c>
      <c r="E56" s="54" t="n">
        <v>12402</v>
      </c>
      <c r="F56" s="65" t="n">
        <f aca="false">IF(E56="","",D56-E56)</f>
        <v>-360</v>
      </c>
      <c r="G56" s="54" t="n">
        <v>5626</v>
      </c>
      <c r="H56" s="54" t="n">
        <v>5692</v>
      </c>
      <c r="I56" s="65" t="n">
        <f aca="false">IF(H56="","",G56-H56)</f>
        <v>-66</v>
      </c>
      <c r="J56" s="55" t="n">
        <f aca="false">IF(OR(D56="",D56+G56=0),"",D56/(D56+G56))</f>
        <v>0.681571202173421</v>
      </c>
      <c r="K56" s="55" t="n">
        <f aca="false">IF(E56="","",E56/(E56+H56))</f>
        <v>0.685420581408202</v>
      </c>
      <c r="L56" s="66" t="n">
        <f aca="false">IF(OR(K56="",J56=""),"",(J56-K56)*100)</f>
        <v>-0.384937923478079</v>
      </c>
      <c r="M56" s="36" t="n">
        <v>1.81014346209639</v>
      </c>
      <c r="N56" s="36" t="n">
        <v>2.06051271468277</v>
      </c>
      <c r="O56" s="36" t="n">
        <f aca="false">SQRT(M56^2+N56^2)</f>
        <v>2.74268700378655</v>
      </c>
      <c r="P56" s="55" t="n">
        <f aca="false">IF(J56="","",MAX(0,J56-1.96*O56/100))</f>
        <v>0.627814536899204</v>
      </c>
      <c r="Q56" s="55" t="n">
        <f aca="false">IF(J56="","",MIN(1,J56+1.96*O56/100))</f>
        <v>0.735327867447637</v>
      </c>
      <c r="R56" s="32" t="str">
        <f aca="false">IF(L56="","",IF(ABS(L56)&lt;=O56,"Yes","No"))</f>
        <v>Yes</v>
      </c>
      <c r="S56" s="32" t="str">
        <f aca="false">IF(L56="","",IF(ABS(L56)&lt;=1.96*O56,"Yes","No"))</f>
        <v>Yes</v>
      </c>
      <c r="T56" s="54" t="n">
        <f aca="false">IF(D56="","",ROUND(SQRT(((D56+G56)*O56/100)^2+(J56*(D56+G56)*0.04942)^2),0))</f>
        <v>767</v>
      </c>
      <c r="U56" s="32"/>
    </row>
    <row r="57" customFormat="false" ht="15" hidden="false" customHeight="false" outlineLevel="0" collapsed="false">
      <c r="A57" s="32" t="s">
        <v>188</v>
      </c>
      <c r="B57" s="32" t="s">
        <v>192</v>
      </c>
      <c r="C57" s="32" t="s">
        <v>129</v>
      </c>
      <c r="D57" s="54" t="n">
        <v>5899</v>
      </c>
      <c r="E57" s="54" t="n">
        <v>6681</v>
      </c>
      <c r="F57" s="65" t="n">
        <f aca="false">IF(E57="","",D57-E57)</f>
        <v>-782</v>
      </c>
      <c r="G57" s="54" t="n">
        <v>5302</v>
      </c>
      <c r="H57" s="54" t="n">
        <v>5562</v>
      </c>
      <c r="I57" s="65" t="n">
        <f aca="false">IF(H57="","",G57-H57)</f>
        <v>-260</v>
      </c>
      <c r="J57" s="55" t="n">
        <f aca="false">IF(OR(D57="",D57+G57=0),"",D57/(D57+G57))</f>
        <v>0.526649406303009</v>
      </c>
      <c r="K57" s="55" t="n">
        <f aca="false">IF(E57="","",E57/(E57+H57))</f>
        <v>0.545699583435433</v>
      </c>
      <c r="L57" s="66" t="n">
        <f aca="false">IF(OR(K57="",J57=""),"",(J57-K57)*100)</f>
        <v>-1.90501771324239</v>
      </c>
      <c r="M57" s="36" t="n">
        <v>1.81014346209639</v>
      </c>
      <c r="N57" s="36" t="n">
        <v>2.06051271468277</v>
      </c>
      <c r="O57" s="36" t="n">
        <f aca="false">SQRT(M57^2+N57^2)</f>
        <v>2.74268700378655</v>
      </c>
      <c r="P57" s="55" t="n">
        <f aca="false">IF(J57="","",MAX(0,J57-1.96*O57/100))</f>
        <v>0.472892741028792</v>
      </c>
      <c r="Q57" s="55" t="n">
        <f aca="false">IF(J57="","",MIN(1,J57+1.96*O57/100))</f>
        <v>0.580406071577225</v>
      </c>
      <c r="R57" s="32" t="str">
        <f aca="false">IF(L57="","",IF(ABS(L57)&lt;=O57,"Yes","No"))</f>
        <v>Yes</v>
      </c>
      <c r="S57" s="32" t="str">
        <f aca="false">IF(L57="","",IF(ABS(L57)&lt;=1.96*O57,"Yes","No"))</f>
        <v>Yes</v>
      </c>
      <c r="T57" s="54" t="n">
        <f aca="false">IF(D57="","",ROUND(SQRT(((D57+G57)*O57/100)^2+(J57*(D57+G57)*0.04942)^2),0))</f>
        <v>424</v>
      </c>
      <c r="U57" s="32"/>
    </row>
    <row r="58" customFormat="false" ht="15" hidden="false" customHeight="false" outlineLevel="0" collapsed="false">
      <c r="A58" s="32" t="s">
        <v>188</v>
      </c>
      <c r="B58" s="32" t="s">
        <v>193</v>
      </c>
      <c r="C58" s="32" t="s">
        <v>129</v>
      </c>
      <c r="D58" s="54" t="n">
        <v>1474</v>
      </c>
      <c r="E58" s="54" t="n">
        <v>1737</v>
      </c>
      <c r="F58" s="65" t="n">
        <f aca="false">IF(E58="","",D58-E58)</f>
        <v>-263</v>
      </c>
      <c r="G58" s="54" t="n">
        <v>2368</v>
      </c>
      <c r="H58" s="54" t="n">
        <v>2662</v>
      </c>
      <c r="I58" s="65" t="n">
        <f aca="false">IF(H58="","",G58-H58)</f>
        <v>-294</v>
      </c>
      <c r="J58" s="55" t="n">
        <f aca="false">IF(OR(D58="",D58+G58=0),"",D58/(D58+G58))</f>
        <v>0.38365434669443</v>
      </c>
      <c r="K58" s="55" t="n">
        <f aca="false">IF(E58="","",E58/(E58+H58))</f>
        <v>0.394862468742896</v>
      </c>
      <c r="L58" s="66" t="n">
        <f aca="false">IF(OR(K58="",J58=""),"",(J58-K58)*100)</f>
        <v>-1.12081220484661</v>
      </c>
      <c r="M58" s="36" t="n">
        <v>1.81014346209639</v>
      </c>
      <c r="N58" s="36" t="n">
        <v>2.06051271468277</v>
      </c>
      <c r="O58" s="36" t="n">
        <f aca="false">SQRT(M58^2+N58^2)</f>
        <v>2.74268700378655</v>
      </c>
      <c r="P58" s="55" t="n">
        <f aca="false">IF(J58="","",MAX(0,J58-1.96*O58/100))</f>
        <v>0.329897681420214</v>
      </c>
      <c r="Q58" s="55" t="n">
        <f aca="false">IF(J58="","",MIN(1,J58+1.96*O58/100))</f>
        <v>0.437411011968646</v>
      </c>
      <c r="R58" s="32" t="str">
        <f aca="false">IF(L58="","",IF(ABS(L58)&lt;=O58,"Yes","No"))</f>
        <v>Yes</v>
      </c>
      <c r="S58" s="32" t="str">
        <f aca="false">IF(L58="","",IF(ABS(L58)&lt;=1.96*O58,"Yes","No"))</f>
        <v>Yes</v>
      </c>
      <c r="T58" s="54" t="n">
        <f aca="false">IF(D58="","",ROUND(SQRT(((D58+G58)*O58/100)^2+(J58*(D58+G58)*0.04942)^2),0))</f>
        <v>128</v>
      </c>
      <c r="U58" s="32"/>
    </row>
    <row r="59" customFormat="false" ht="15" hidden="false" customHeight="false" outlineLevel="0" collapsed="false">
      <c r="A59" s="32" t="s">
        <v>188</v>
      </c>
      <c r="B59" s="32" t="s">
        <v>194</v>
      </c>
      <c r="C59" s="32" t="s">
        <v>129</v>
      </c>
      <c r="D59" s="54" t="n">
        <v>24</v>
      </c>
      <c r="E59" s="54" t="n">
        <v>31</v>
      </c>
      <c r="F59" s="65" t="n">
        <f aca="false">IF(E59="","",D59-E59)</f>
        <v>-7</v>
      </c>
      <c r="G59" s="54" t="n">
        <v>44</v>
      </c>
      <c r="H59" s="54" t="n">
        <v>55</v>
      </c>
      <c r="I59" s="65" t="n">
        <f aca="false">IF(H59="","",G59-H59)</f>
        <v>-11</v>
      </c>
      <c r="J59" s="55" t="n">
        <f aca="false">IF(OR(D59="",D59+G59=0),"",D59/(D59+G59))</f>
        <v>0.352941176470588</v>
      </c>
      <c r="K59" s="55" t="n">
        <f aca="false">IF(E59="","",E59/(E59+H59))</f>
        <v>0.36046511627907</v>
      </c>
      <c r="L59" s="66" t="n">
        <f aca="false">IF(OR(K59="",J59=""),"",(J59-K59)*100)</f>
        <v>-0.752393980848148</v>
      </c>
      <c r="M59" s="36" t="n">
        <v>3.67164034925888</v>
      </c>
      <c r="N59" s="36" t="n">
        <v>2.06051271468277</v>
      </c>
      <c r="O59" s="36" t="n">
        <f aca="false">SQRT(M59^2+N59^2)</f>
        <v>4.21030349282272</v>
      </c>
      <c r="P59" s="55" t="n">
        <f aca="false">IF(J59="","",MAX(0,J59-1.96*O59/100))</f>
        <v>0.270419228011263</v>
      </c>
      <c r="Q59" s="55" t="n">
        <f aca="false">IF(J59="","",MIN(1,J59+1.96*O59/100))</f>
        <v>0.435463124929914</v>
      </c>
      <c r="R59" s="32" t="str">
        <f aca="false">IF(L59="","",IF(ABS(L59)&lt;=O59,"Yes","No"))</f>
        <v>Yes</v>
      </c>
      <c r="S59" s="32" t="str">
        <f aca="false">IF(L59="","",IF(ABS(L59)&lt;=1.96*O59,"Yes","No"))</f>
        <v>Yes</v>
      </c>
      <c r="T59" s="54" t="n">
        <f aca="false">IF(D59="","",ROUND(SQRT(((D59+G59)*O59/100)^2+(J59*(D59+G59)*0.07872)^2),0))</f>
        <v>3</v>
      </c>
      <c r="U59" s="32"/>
    </row>
    <row r="60" customFormat="false" ht="15" hidden="false" customHeight="false" outlineLevel="0" collapsed="false">
      <c r="A60" s="32" t="s">
        <v>188</v>
      </c>
      <c r="B60" s="32" t="s">
        <v>195</v>
      </c>
      <c r="C60" s="32" t="s">
        <v>129</v>
      </c>
      <c r="D60" s="54" t="n">
        <v>931</v>
      </c>
      <c r="E60" s="54" t="n">
        <v>1109</v>
      </c>
      <c r="F60" s="65" t="n">
        <f aca="false">IF(E60="","",D60-E60)</f>
        <v>-178</v>
      </c>
      <c r="G60" s="54" t="n">
        <v>1332</v>
      </c>
      <c r="H60" s="54" t="n">
        <v>1408</v>
      </c>
      <c r="I60" s="65" t="n">
        <f aca="false">IF(H60="","",G60-H60)</f>
        <v>-76</v>
      </c>
      <c r="J60" s="55" t="n">
        <f aca="false">IF(OR(D60="",D60+G60=0),"",D60/(D60+G60))</f>
        <v>0.411400795404331</v>
      </c>
      <c r="K60" s="55" t="n">
        <f aca="false">IF(E60="","",E60/(E60+H60))</f>
        <v>0.440603893524037</v>
      </c>
      <c r="L60" s="66" t="n">
        <f aca="false">IF(OR(K60="",J60=""),"",(J60-K60)*100)</f>
        <v>-2.9203098119706</v>
      </c>
      <c r="M60" s="36" t="n">
        <v>2.25210547370435</v>
      </c>
      <c r="N60" s="36" t="n">
        <v>2.06051271468277</v>
      </c>
      <c r="O60" s="36" t="n">
        <f aca="false">SQRT(M60^2+N60^2)</f>
        <v>3.0524894286563</v>
      </c>
      <c r="P60" s="55" t="n">
        <f aca="false">IF(J60="","",MAX(0,J60-1.96*O60/100))</f>
        <v>0.351572002602667</v>
      </c>
      <c r="Q60" s="55" t="n">
        <f aca="false">IF(J60="","",MIN(1,J60+1.96*O60/100))</f>
        <v>0.471229588205994</v>
      </c>
      <c r="R60" s="32" t="str">
        <f aca="false">IF(L60="","",IF(ABS(L60)&lt;=O60,"Yes","No"))</f>
        <v>Yes</v>
      </c>
      <c r="S60" s="32" t="str">
        <f aca="false">IF(L60="","",IF(ABS(L60)&lt;=1.96*O60,"Yes","No"))</f>
        <v>Yes</v>
      </c>
      <c r="T60" s="54" t="n">
        <f aca="false">IF(D60="","",ROUND(SQRT(((D60+G60)*O60/100)^2+(J60*(D60+G60)*0.05883)^2),0))</f>
        <v>88</v>
      </c>
      <c r="U60" s="32"/>
    </row>
    <row r="61" customFormat="false" ht="15" hidden="false" customHeight="false" outlineLevel="0" collapsed="false">
      <c r="A61" s="32" t="s">
        <v>188</v>
      </c>
      <c r="B61" s="32" t="s">
        <v>196</v>
      </c>
      <c r="C61" s="32" t="s">
        <v>129</v>
      </c>
      <c r="D61" s="54" t="n">
        <v>119</v>
      </c>
      <c r="E61" s="54" t="n">
        <v>137</v>
      </c>
      <c r="F61" s="65" t="n">
        <f aca="false">IF(E61="","",D61-E61)</f>
        <v>-18</v>
      </c>
      <c r="G61" s="54" t="n">
        <v>229</v>
      </c>
      <c r="H61" s="54" t="n">
        <v>214</v>
      </c>
      <c r="I61" s="65" t="n">
        <f aca="false">IF(H61="","",G61-H61)</f>
        <v>15</v>
      </c>
      <c r="J61" s="55" t="n">
        <f aca="false">IF(OR(D61="",D61+G61=0),"",D61/(D61+G61))</f>
        <v>0.341954022988506</v>
      </c>
      <c r="K61" s="55" t="n">
        <f aca="false">IF(E61="","",E61/(E61+H61))</f>
        <v>0.39031339031339</v>
      </c>
      <c r="L61" s="66" t="n">
        <f aca="false">IF(OR(K61="",J61=""),"",(J61-K61)*100)</f>
        <v>-4.83593673248846</v>
      </c>
      <c r="M61" s="36" t="n">
        <v>3.67164034925888</v>
      </c>
      <c r="N61" s="36" t="n">
        <v>2.06051271468277</v>
      </c>
      <c r="O61" s="36" t="n">
        <f aca="false">SQRT(M61^2+N61^2)</f>
        <v>4.21030349282272</v>
      </c>
      <c r="P61" s="55" t="n">
        <f aca="false">IF(J61="","",MAX(0,J61-1.96*O61/100))</f>
        <v>0.25943207452918</v>
      </c>
      <c r="Q61" s="55" t="n">
        <f aca="false">IF(J61="","",MIN(1,J61+1.96*O61/100))</f>
        <v>0.424475971447831</v>
      </c>
      <c r="R61" s="32" t="str">
        <f aca="false">IF(L61="","",IF(ABS(L61)&lt;=O61,"Yes","No"))</f>
        <v>No</v>
      </c>
      <c r="S61" s="32" t="str">
        <f aca="false">IF(L61="","",IF(ABS(L61)&lt;=1.96*O61,"Yes","No"))</f>
        <v>Yes</v>
      </c>
      <c r="T61" s="54" t="n">
        <f aca="false">IF(D61="","",ROUND(SQRT(((D61+G61)*O61/100)^2+(J61*(D61+G61)*0.07872)^2),0))</f>
        <v>17</v>
      </c>
      <c r="U61" s="32"/>
    </row>
    <row r="62" customFormat="false" ht="15" hidden="false" customHeight="false" outlineLevel="0" collapsed="false">
      <c r="A62" s="32" t="s">
        <v>188</v>
      </c>
      <c r="B62" s="32" t="s">
        <v>197</v>
      </c>
      <c r="C62" s="32" t="s">
        <v>129</v>
      </c>
      <c r="D62" s="54" t="n">
        <v>4898</v>
      </c>
      <c r="E62" s="54" t="n">
        <v>5210</v>
      </c>
      <c r="F62" s="65" t="n">
        <f aca="false">IF(E62="","",D62-E62)</f>
        <v>-312</v>
      </c>
      <c r="G62" s="54" t="n">
        <v>2052</v>
      </c>
      <c r="H62" s="54" t="n">
        <v>1883</v>
      </c>
      <c r="I62" s="65" t="n">
        <f aca="false">IF(H62="","",G62-H62)</f>
        <v>169</v>
      </c>
      <c r="J62" s="55" t="n">
        <f aca="false">IF(OR(D62="",D62+G62=0),"",D62/(D62+G62))</f>
        <v>0.704748201438849</v>
      </c>
      <c r="K62" s="55" t="n">
        <f aca="false">IF(E62="","",E62/(E62+H62))</f>
        <v>0.734526998449175</v>
      </c>
      <c r="L62" s="66" t="n">
        <f aca="false">IF(OR(K62="",J62=""),"",(J62-K62)*100)</f>
        <v>-2.97787970103263</v>
      </c>
      <c r="M62" s="36" t="n">
        <v>1.81014346209639</v>
      </c>
      <c r="N62" s="36" t="n">
        <v>2.06051271468277</v>
      </c>
      <c r="O62" s="36" t="n">
        <f aca="false">SQRT(M62^2+N62^2)</f>
        <v>2.74268700378655</v>
      </c>
      <c r="P62" s="55" t="n">
        <f aca="false">IF(J62="","",MAX(0,J62-1.96*O62/100))</f>
        <v>0.650991536164633</v>
      </c>
      <c r="Q62" s="55" t="n">
        <f aca="false">IF(J62="","",MIN(1,J62+1.96*O62/100))</f>
        <v>0.758504866713065</v>
      </c>
      <c r="R62" s="32" t="str">
        <f aca="false">IF(L62="","",IF(ABS(L62)&lt;=O62,"Yes","No"))</f>
        <v>No</v>
      </c>
      <c r="S62" s="32" t="str">
        <f aca="false">IF(L62="","",IF(ABS(L62)&lt;=1.96*O62,"Yes","No"))</f>
        <v>Yes</v>
      </c>
      <c r="T62" s="54" t="n">
        <f aca="false">IF(D62="","",ROUND(SQRT(((D62+G62)*O62/100)^2+(J62*(D62+G62)*0.04942)^2),0))</f>
        <v>308</v>
      </c>
      <c r="U62" s="32"/>
    </row>
    <row r="63" customFormat="false" ht="15" hidden="false" customHeight="false" outlineLevel="0" collapsed="false">
      <c r="A63" s="32" t="s">
        <v>188</v>
      </c>
      <c r="B63" s="32" t="s">
        <v>198</v>
      </c>
      <c r="C63" s="32" t="s">
        <v>129</v>
      </c>
      <c r="D63" s="54" t="n">
        <v>3814</v>
      </c>
      <c r="E63" s="54" t="n">
        <v>4158</v>
      </c>
      <c r="F63" s="65" t="n">
        <f aca="false">IF(E63="","",D63-E63)</f>
        <v>-344</v>
      </c>
      <c r="G63" s="54" t="n">
        <v>3441</v>
      </c>
      <c r="H63" s="54" t="n">
        <v>3782</v>
      </c>
      <c r="I63" s="65" t="n">
        <f aca="false">IF(H63="","",G63-H63)</f>
        <v>-341</v>
      </c>
      <c r="J63" s="55" t="n">
        <f aca="false">IF(OR(D63="",D63+G63=0),"",D63/(D63+G63))</f>
        <v>0.525706409372846</v>
      </c>
      <c r="K63" s="55" t="n">
        <f aca="false">IF(E63="","",E63/(E63+H63))</f>
        <v>0.52367758186398</v>
      </c>
      <c r="L63" s="66" t="n">
        <f aca="false">IF(OR(K63="",J63=""),"",(J63-K63)*100)</f>
        <v>0.202882750886646</v>
      </c>
      <c r="M63" s="36" t="n">
        <v>1.81014346209639</v>
      </c>
      <c r="N63" s="36" t="n">
        <v>2.06051271468277</v>
      </c>
      <c r="O63" s="36" t="n">
        <f aca="false">SQRT(M63^2+N63^2)</f>
        <v>2.74268700378655</v>
      </c>
      <c r="P63" s="55" t="n">
        <f aca="false">IF(J63="","",MAX(0,J63-1.96*O63/100))</f>
        <v>0.47194974409863</v>
      </c>
      <c r="Q63" s="55" t="n">
        <f aca="false">IF(J63="","",MIN(1,J63+1.96*O63/100))</f>
        <v>0.579463074647063</v>
      </c>
      <c r="R63" s="32" t="str">
        <f aca="false">IF(L63="","",IF(ABS(L63)&lt;=O63,"Yes","No"))</f>
        <v>Yes</v>
      </c>
      <c r="S63" s="32" t="str">
        <f aca="false">IF(L63="","",IF(ABS(L63)&lt;=1.96*O63,"Yes","No"))</f>
        <v>Yes</v>
      </c>
      <c r="T63" s="54" t="n">
        <f aca="false">IF(D63="","",ROUND(SQRT(((D63+G63)*O63/100)^2+(J63*(D63+G63)*0.04942)^2),0))</f>
        <v>274</v>
      </c>
      <c r="U63" s="32"/>
    </row>
    <row r="64" customFormat="false" ht="15" hidden="false" customHeight="false" outlineLevel="0" collapsed="false">
      <c r="A64" s="32" t="s">
        <v>188</v>
      </c>
      <c r="B64" s="32" t="s">
        <v>199</v>
      </c>
      <c r="C64" s="32" t="s">
        <v>129</v>
      </c>
      <c r="D64" s="54" t="n">
        <v>533</v>
      </c>
      <c r="E64" s="54" t="n">
        <v>480</v>
      </c>
      <c r="F64" s="65" t="n">
        <f aca="false">IF(E64="","",D64-E64)</f>
        <v>53</v>
      </c>
      <c r="G64" s="54" t="n">
        <v>298</v>
      </c>
      <c r="H64" s="54" t="n">
        <v>330</v>
      </c>
      <c r="I64" s="65" t="n">
        <f aca="false">IF(H64="","",G64-H64)</f>
        <v>-32</v>
      </c>
      <c r="J64" s="55" t="n">
        <f aca="false">IF(OR(D64="",D64+G64=0),"",D64/(D64+G64))</f>
        <v>0.641395908543923</v>
      </c>
      <c r="K64" s="55" t="n">
        <f aca="false">IF(E64="","",E64/(E64+H64))</f>
        <v>0.592592592592593</v>
      </c>
      <c r="L64" s="66" t="n">
        <f aca="false">IF(OR(K64="",J64=""),"",(J64-K64)*100)</f>
        <v>4.88033159513305</v>
      </c>
      <c r="M64" s="36" t="n">
        <v>3.67164034925888</v>
      </c>
      <c r="N64" s="36" t="n">
        <v>2.06051271468277</v>
      </c>
      <c r="O64" s="36" t="n">
        <f aca="false">SQRT(M64^2+N64^2)</f>
        <v>4.21030349282272</v>
      </c>
      <c r="P64" s="55" t="n">
        <f aca="false">IF(J64="","",MAX(0,J64-1.96*O64/100))</f>
        <v>0.558873960084598</v>
      </c>
      <c r="Q64" s="55" t="n">
        <f aca="false">IF(J64="","",MIN(1,J64+1.96*O64/100))</f>
        <v>0.723917857003248</v>
      </c>
      <c r="R64" s="32" t="str">
        <f aca="false">IF(L64="","",IF(ABS(L64)&lt;=O64,"Yes","No"))</f>
        <v>No</v>
      </c>
      <c r="S64" s="32" t="str">
        <f aca="false">IF(L64="","",IF(ABS(L64)&lt;=1.96*O64,"Yes","No"))</f>
        <v>Yes</v>
      </c>
      <c r="T64" s="54" t="n">
        <f aca="false">IF(D64="","",ROUND(SQRT(((D64+G64)*O64/100)^2+(J64*(D64+G64)*0.07872)^2),0))</f>
        <v>55</v>
      </c>
      <c r="U64" s="32"/>
    </row>
    <row r="65" customFormat="false" ht="15" hidden="false" customHeight="false" outlineLevel="0" collapsed="false">
      <c r="A65" s="32" t="s">
        <v>188</v>
      </c>
      <c r="B65" s="32" t="s">
        <v>200</v>
      </c>
      <c r="C65" s="32" t="s">
        <v>129</v>
      </c>
      <c r="D65" s="54" t="n">
        <v>68</v>
      </c>
      <c r="E65" s="54" t="n">
        <v>72</v>
      </c>
      <c r="F65" s="65" t="n">
        <f aca="false">IF(E65="","",D65-E65)</f>
        <v>-4</v>
      </c>
      <c r="G65" s="54" t="n">
        <v>60</v>
      </c>
      <c r="H65" s="54" t="n">
        <v>69</v>
      </c>
      <c r="I65" s="65" t="n">
        <f aca="false">IF(H65="","",G65-H65)</f>
        <v>-9</v>
      </c>
      <c r="J65" s="55" t="n">
        <f aca="false">IF(OR(D65="",D65+G65=0),"",D65/(D65+G65))</f>
        <v>0.53125</v>
      </c>
      <c r="K65" s="55" t="n">
        <f aca="false">IF(E65="","",E65/(E65+H65))</f>
        <v>0.51063829787234</v>
      </c>
      <c r="L65" s="66" t="n">
        <f aca="false">IF(OR(K65="",J65=""),"",(J65-K65)*100)</f>
        <v>2.06117021276596</v>
      </c>
      <c r="M65" s="36" t="n">
        <v>3.67164034925888</v>
      </c>
      <c r="N65" s="36" t="n">
        <v>2.06051271468277</v>
      </c>
      <c r="O65" s="36" t="n">
        <f aca="false">SQRT(M65^2+N65^2)</f>
        <v>4.21030349282272</v>
      </c>
      <c r="P65" s="55" t="n">
        <f aca="false">IF(J65="","",MAX(0,J65-1.96*O65/100))</f>
        <v>0.448728051540675</v>
      </c>
      <c r="Q65" s="55" t="n">
        <f aca="false">IF(J65="","",MIN(1,J65+1.96*O65/100))</f>
        <v>0.613771948459325</v>
      </c>
      <c r="R65" s="32" t="str">
        <f aca="false">IF(L65="","",IF(ABS(L65)&lt;=O65,"Yes","No"))</f>
        <v>Yes</v>
      </c>
      <c r="S65" s="32" t="str">
        <f aca="false">IF(L65="","",IF(ABS(L65)&lt;=1.96*O65,"Yes","No"))</f>
        <v>Yes</v>
      </c>
      <c r="T65" s="54" t="n">
        <f aca="false">IF(D65="","",ROUND(SQRT(((D65+G65)*O65/100)^2+(J65*(D65+G65)*0.07872)^2),0))</f>
        <v>8</v>
      </c>
      <c r="U65" s="32"/>
    </row>
    <row r="66" customFormat="false" ht="15" hidden="false" customHeight="false" outlineLevel="0" collapsed="false">
      <c r="A66" s="32" t="s">
        <v>188</v>
      </c>
      <c r="B66" s="32" t="s">
        <v>166</v>
      </c>
      <c r="C66" s="32" t="s">
        <v>129</v>
      </c>
      <c r="D66" s="54" t="n">
        <v>3213</v>
      </c>
      <c r="E66" s="54" t="n">
        <v>3570</v>
      </c>
      <c r="F66" s="65" t="n">
        <f aca="false">IF(E66="","",D66-E66)</f>
        <v>-357</v>
      </c>
      <c r="G66" s="54" t="n">
        <v>2791</v>
      </c>
      <c r="H66" s="54" t="n">
        <v>2883</v>
      </c>
      <c r="I66" s="65" t="n">
        <f aca="false">IF(H66="","",G66-H66)</f>
        <v>-92</v>
      </c>
      <c r="J66" s="55" t="n">
        <f aca="false">IF(OR(D66="",D66+G66=0),"",D66/(D66+G66))</f>
        <v>0.535143237841439</v>
      </c>
      <c r="K66" s="55" t="n">
        <f aca="false">IF(E66="","",E66/(E66+H66))</f>
        <v>0.553231055323106</v>
      </c>
      <c r="L66" s="66" t="n">
        <f aca="false">IF(OR(K66="",J66=""),"",(J66-K66)*100)</f>
        <v>-1.80878174816665</v>
      </c>
      <c r="M66" s="36" t="n">
        <v>1.81014346209639</v>
      </c>
      <c r="N66" s="36" t="n">
        <v>2.06051271468277</v>
      </c>
      <c r="O66" s="36" t="n">
        <f aca="false">SQRT(M66^2+N66^2)</f>
        <v>2.74268700378655</v>
      </c>
      <c r="P66" s="55" t="n">
        <f aca="false">IF(J66="","",MAX(0,J66-1.96*O66/100))</f>
        <v>0.481386572567223</v>
      </c>
      <c r="Q66" s="55" t="n">
        <f aca="false">IF(J66="","",MIN(1,J66+1.96*O66/100))</f>
        <v>0.588899903115655</v>
      </c>
      <c r="R66" s="32" t="str">
        <f aca="false">IF(L66="","",IF(ABS(L66)&lt;=O66,"Yes","No"))</f>
        <v>Yes</v>
      </c>
      <c r="S66" s="32" t="str">
        <f aca="false">IF(L66="","",IF(ABS(L66)&lt;=1.96*O66,"Yes","No"))</f>
        <v>Yes</v>
      </c>
      <c r="T66" s="54" t="n">
        <f aca="false">IF(D66="","",ROUND(SQRT(((D66+G66)*O66/100)^2+(J66*(D66+G66)*0.04942)^2),0))</f>
        <v>229</v>
      </c>
      <c r="U66" s="32"/>
    </row>
    <row r="67" customFormat="false" ht="15" hidden="false" customHeight="false" outlineLevel="0" collapsed="false">
      <c r="A67" s="32" t="s">
        <v>188</v>
      </c>
      <c r="B67" s="32" t="s">
        <v>201</v>
      </c>
      <c r="C67" s="32" t="s">
        <v>129</v>
      </c>
      <c r="D67" s="54" t="n">
        <v>1281</v>
      </c>
      <c r="E67" s="54" t="n">
        <v>1372</v>
      </c>
      <c r="F67" s="65" t="n">
        <f aca="false">IF(E67="","",D67-E67)</f>
        <v>-91</v>
      </c>
      <c r="G67" s="54" t="n">
        <v>1142</v>
      </c>
      <c r="H67" s="54" t="n">
        <v>1201</v>
      </c>
      <c r="I67" s="65" t="n">
        <f aca="false">IF(H67="","",G67-H67)</f>
        <v>-59</v>
      </c>
      <c r="J67" s="55" t="n">
        <f aca="false">IF(OR(D67="",D67+G67=0),"",D67/(D67+G67))</f>
        <v>0.528683450268263</v>
      </c>
      <c r="K67" s="55" t="n">
        <f aca="false">IF(E67="","",E67/(E67+H67))</f>
        <v>0.53322969296541</v>
      </c>
      <c r="L67" s="66" t="n">
        <f aca="false">IF(OR(K67="",J67=""),"",(J67-K67)*100)</f>
        <v>-0.454624269714754</v>
      </c>
      <c r="M67" s="36" t="n">
        <v>2.25210547370435</v>
      </c>
      <c r="N67" s="36" t="n">
        <v>2.06051271468277</v>
      </c>
      <c r="O67" s="36" t="n">
        <f aca="false">SQRT(M67^2+N67^2)</f>
        <v>3.0524894286563</v>
      </c>
      <c r="P67" s="55" t="n">
        <f aca="false">IF(J67="","",MAX(0,J67-1.96*O67/100))</f>
        <v>0.468854657466599</v>
      </c>
      <c r="Q67" s="55" t="n">
        <f aca="false">IF(J67="","",MIN(1,J67+1.96*O67/100))</f>
        <v>0.588512243069926</v>
      </c>
      <c r="R67" s="32" t="str">
        <f aca="false">IF(L67="","",IF(ABS(L67)&lt;=O67,"Yes","No"))</f>
        <v>Yes</v>
      </c>
      <c r="S67" s="32" t="str">
        <f aca="false">IF(L67="","",IF(ABS(L67)&lt;=1.96*O67,"Yes","No"))</f>
        <v>Yes</v>
      </c>
      <c r="T67" s="54" t="n">
        <f aca="false">IF(D67="","",ROUND(SQRT(((D67+G67)*O67/100)^2+(J67*(D67+G67)*0.05883)^2),0))</f>
        <v>106</v>
      </c>
      <c r="U67" s="32"/>
    </row>
    <row r="68" customFormat="false" ht="15" hidden="false" customHeight="false" outlineLevel="0" collapsed="false">
      <c r="A68" s="32" t="s">
        <v>188</v>
      </c>
      <c r="B68" s="32" t="s">
        <v>202</v>
      </c>
      <c r="C68" s="32" t="s">
        <v>129</v>
      </c>
      <c r="D68" s="54" t="n">
        <v>1511</v>
      </c>
      <c r="E68" s="54" t="n">
        <v>1803</v>
      </c>
      <c r="F68" s="65" t="n">
        <f aca="false">IF(E68="","",D68-E68)</f>
        <v>-292</v>
      </c>
      <c r="G68" s="54" t="n">
        <v>3078</v>
      </c>
      <c r="H68" s="54" t="n">
        <v>3303</v>
      </c>
      <c r="I68" s="65" t="n">
        <f aca="false">IF(H68="","",G68-H68)</f>
        <v>-225</v>
      </c>
      <c r="J68" s="55" t="n">
        <f aca="false">IF(OR(D68="",D68+G68=0),"",D68/(D68+G68))</f>
        <v>0.329265635214644</v>
      </c>
      <c r="K68" s="55" t="n">
        <f aca="false">IF(E68="","",E68/(E68+H68))</f>
        <v>0.353113983548766</v>
      </c>
      <c r="L68" s="66" t="n">
        <f aca="false">IF(OR(K68="",J68=""),"",(J68-K68)*100)</f>
        <v>-2.38483483341225</v>
      </c>
      <c r="M68" s="36" t="n">
        <v>1.81014346209639</v>
      </c>
      <c r="N68" s="36" t="n">
        <v>2.06051271468277</v>
      </c>
      <c r="O68" s="36" t="n">
        <f aca="false">SQRT(M68^2+N68^2)</f>
        <v>2.74268700378655</v>
      </c>
      <c r="P68" s="55" t="n">
        <f aca="false">IF(J68="","",MAX(0,J68-1.96*O68/100))</f>
        <v>0.275508969940427</v>
      </c>
      <c r="Q68" s="55" t="n">
        <f aca="false">IF(J68="","",MIN(1,J68+1.96*O68/100))</f>
        <v>0.38302230048886</v>
      </c>
      <c r="R68" s="32" t="str">
        <f aca="false">IF(L68="","",IF(ABS(L68)&lt;=O68,"Yes","No"))</f>
        <v>Yes</v>
      </c>
      <c r="S68" s="32" t="str">
        <f aca="false">IF(L68="","",IF(ABS(L68)&lt;=1.96*O68,"Yes","No"))</f>
        <v>Yes</v>
      </c>
      <c r="T68" s="54" t="n">
        <f aca="false">IF(D68="","",ROUND(SQRT(((D68+G68)*O68/100)^2+(J68*(D68+G68)*0.04942)^2),0))</f>
        <v>146</v>
      </c>
      <c r="U68" s="32"/>
    </row>
    <row r="69" customFormat="false" ht="15" hidden="false" customHeight="false" outlineLevel="0" collapsed="false">
      <c r="A69" s="32" t="s">
        <v>188</v>
      </c>
      <c r="B69" s="32" t="s">
        <v>203</v>
      </c>
      <c r="C69" s="32" t="s">
        <v>129</v>
      </c>
      <c r="D69" s="54" t="n">
        <v>399</v>
      </c>
      <c r="E69" s="54" t="n">
        <v>511</v>
      </c>
      <c r="F69" s="65" t="n">
        <f aca="false">IF(E69="","",D69-E69)</f>
        <v>-112</v>
      </c>
      <c r="G69" s="54" t="n">
        <v>811</v>
      </c>
      <c r="H69" s="54" t="n">
        <v>889</v>
      </c>
      <c r="I69" s="65" t="n">
        <f aca="false">IF(H69="","",G69-H69)</f>
        <v>-78</v>
      </c>
      <c r="J69" s="55" t="n">
        <f aca="false">IF(OR(D69="",D69+G69=0),"",D69/(D69+G69))</f>
        <v>0.329752066115702</v>
      </c>
      <c r="K69" s="55" t="n">
        <f aca="false">IF(E69="","",E69/(E69+H69))</f>
        <v>0.365</v>
      </c>
      <c r="L69" s="66" t="n">
        <f aca="false">IF(OR(K69="",J69=""),"",(J69-K69)*100)</f>
        <v>-3.52479338842975</v>
      </c>
      <c r="M69" s="36" t="n">
        <v>2.25210547370435</v>
      </c>
      <c r="N69" s="36" t="n">
        <v>2.06051271468277</v>
      </c>
      <c r="O69" s="36" t="n">
        <f aca="false">SQRT(M69^2+N69^2)</f>
        <v>3.0524894286563</v>
      </c>
      <c r="P69" s="55" t="n">
        <f aca="false">IF(J69="","",MAX(0,J69-1.96*O69/100))</f>
        <v>0.269923273314039</v>
      </c>
      <c r="Q69" s="55" t="n">
        <f aca="false">IF(J69="","",MIN(1,J69+1.96*O69/100))</f>
        <v>0.389580858917366</v>
      </c>
      <c r="R69" s="32" t="str">
        <f aca="false">IF(L69="","",IF(ABS(L69)&lt;=O69,"Yes","No"))</f>
        <v>No</v>
      </c>
      <c r="S69" s="32" t="str">
        <f aca="false">IF(L69="","",IF(ABS(L69)&lt;=1.96*O69,"Yes","No"))</f>
        <v>Yes</v>
      </c>
      <c r="T69" s="54" t="n">
        <f aca="false">IF(D69="","",ROUND(SQRT(((D69+G69)*O69/100)^2+(J69*(D69+G69)*0.05883)^2),0))</f>
        <v>44</v>
      </c>
      <c r="U69" s="32"/>
    </row>
    <row r="70" customFormat="false" ht="15" hidden="false" customHeight="false" outlineLevel="0" collapsed="false">
      <c r="A70" s="32" t="s">
        <v>188</v>
      </c>
      <c r="B70" s="32" t="s">
        <v>204</v>
      </c>
      <c r="C70" s="32" t="s">
        <v>129</v>
      </c>
      <c r="D70" s="54" t="n">
        <v>1393</v>
      </c>
      <c r="E70" s="54" t="n">
        <v>1632</v>
      </c>
      <c r="F70" s="65" t="n">
        <f aca="false">IF(E70="","",D70-E70)</f>
        <v>-239</v>
      </c>
      <c r="G70" s="54" t="n">
        <v>1953</v>
      </c>
      <c r="H70" s="54" t="n">
        <v>2067</v>
      </c>
      <c r="I70" s="65" t="n">
        <f aca="false">IF(H70="","",G70-H70)</f>
        <v>-114</v>
      </c>
      <c r="J70" s="55" t="n">
        <f aca="false">IF(OR(D70="",D70+G70=0),"",D70/(D70+G70))</f>
        <v>0.416317991631799</v>
      </c>
      <c r="K70" s="55" t="n">
        <f aca="false">IF(E70="","",E70/(E70+H70))</f>
        <v>0.441200324412003</v>
      </c>
      <c r="L70" s="66" t="n">
        <f aca="false">IF(OR(K70="",J70=""),"",(J70-K70)*100)</f>
        <v>-2.48823327802041</v>
      </c>
      <c r="M70" s="36" t="n">
        <v>1.81014346209639</v>
      </c>
      <c r="N70" s="36" t="n">
        <v>2.06051271468277</v>
      </c>
      <c r="O70" s="36" t="n">
        <f aca="false">SQRT(M70^2+N70^2)</f>
        <v>2.74268700378655</v>
      </c>
      <c r="P70" s="55" t="n">
        <f aca="false">IF(J70="","",MAX(0,J70-1.96*O70/100))</f>
        <v>0.362561326357583</v>
      </c>
      <c r="Q70" s="55" t="n">
        <f aca="false">IF(J70="","",MIN(1,J70+1.96*O70/100))</f>
        <v>0.470074656906016</v>
      </c>
      <c r="R70" s="32" t="str">
        <f aca="false">IF(L70="","",IF(ABS(L70)&lt;=O70,"Yes","No"))</f>
        <v>Yes</v>
      </c>
      <c r="S70" s="32" t="str">
        <f aca="false">IF(L70="","",IF(ABS(L70)&lt;=1.96*O70,"Yes","No"))</f>
        <v>Yes</v>
      </c>
      <c r="T70" s="54" t="n">
        <f aca="false">IF(D70="","",ROUND(SQRT(((D70+G70)*O70/100)^2+(J70*(D70+G70)*0.04942)^2),0))</f>
        <v>115</v>
      </c>
      <c r="U70" s="32"/>
    </row>
    <row r="71" customFormat="false" ht="15" hidden="false" customHeight="false" outlineLevel="0" collapsed="false">
      <c r="A71" s="32" t="s">
        <v>188</v>
      </c>
      <c r="B71" s="32" t="s">
        <v>205</v>
      </c>
      <c r="C71" s="32" t="s">
        <v>129</v>
      </c>
      <c r="D71" s="54" t="n">
        <v>2619</v>
      </c>
      <c r="E71" s="54" t="n">
        <v>2919</v>
      </c>
      <c r="F71" s="65" t="n">
        <f aca="false">IF(E71="","",D71-E71)</f>
        <v>-300</v>
      </c>
      <c r="G71" s="54" t="n">
        <v>2835</v>
      </c>
      <c r="H71" s="54" t="n">
        <v>3008</v>
      </c>
      <c r="I71" s="65" t="n">
        <f aca="false">IF(H71="","",G71-H71)</f>
        <v>-173</v>
      </c>
      <c r="J71" s="55" t="n">
        <f aca="false">IF(OR(D71="",D71+G71=0),"",D71/(D71+G71))</f>
        <v>0.48019801980198</v>
      </c>
      <c r="K71" s="55" t="n">
        <f aca="false">IF(E71="","",E71/(E71+H71))</f>
        <v>0.492491985827569</v>
      </c>
      <c r="L71" s="66" t="n">
        <f aca="false">IF(OR(K71="",J71=""),"",(J71-K71)*100)</f>
        <v>-1.22939660255886</v>
      </c>
      <c r="M71" s="36" t="n">
        <v>1.81014346209639</v>
      </c>
      <c r="N71" s="36" t="n">
        <v>2.06051271468277</v>
      </c>
      <c r="O71" s="36" t="n">
        <f aca="false">SQRT(M71^2+N71^2)</f>
        <v>2.74268700378655</v>
      </c>
      <c r="P71" s="55" t="n">
        <f aca="false">IF(J71="","",MAX(0,J71-1.96*O71/100))</f>
        <v>0.426441354527764</v>
      </c>
      <c r="Q71" s="55" t="n">
        <f aca="false">IF(J71="","",MIN(1,J71+1.96*O71/100))</f>
        <v>0.533954685076197</v>
      </c>
      <c r="R71" s="32" t="str">
        <f aca="false">IF(L71="","",IF(ABS(L71)&lt;=O71,"Yes","No"))</f>
        <v>Yes</v>
      </c>
      <c r="S71" s="32" t="str">
        <f aca="false">IF(L71="","",IF(ABS(L71)&lt;=1.96*O71,"Yes","No"))</f>
        <v>Yes</v>
      </c>
      <c r="T71" s="54" t="n">
        <f aca="false">IF(D71="","",ROUND(SQRT(((D71+G71)*O71/100)^2+(J71*(D71+G71)*0.04942)^2),0))</f>
        <v>198</v>
      </c>
      <c r="U71" s="32"/>
    </row>
    <row r="72" customFormat="false" ht="15" hidden="false" customHeight="false" outlineLevel="0" collapsed="false">
      <c r="A72" s="32" t="s">
        <v>188</v>
      </c>
      <c r="B72" s="32" t="s">
        <v>206</v>
      </c>
      <c r="C72" s="32" t="s">
        <v>129</v>
      </c>
      <c r="D72" s="54" t="n">
        <v>1468</v>
      </c>
      <c r="E72" s="54" t="n">
        <v>1661</v>
      </c>
      <c r="F72" s="65" t="n">
        <f aca="false">IF(E72="","",D72-E72)</f>
        <v>-193</v>
      </c>
      <c r="G72" s="54" t="n">
        <v>2806</v>
      </c>
      <c r="H72" s="54" t="n">
        <v>3091</v>
      </c>
      <c r="I72" s="65" t="n">
        <f aca="false">IF(H72="","",G72-H72)</f>
        <v>-285</v>
      </c>
      <c r="J72" s="55" t="n">
        <f aca="false">IF(OR(D72="",D72+G72=0),"",D72/(D72+G72))</f>
        <v>0.343472157229761</v>
      </c>
      <c r="K72" s="55" t="n">
        <f aca="false">IF(E72="","",E72/(E72+H72))</f>
        <v>0.349537037037037</v>
      </c>
      <c r="L72" s="66" t="n">
        <f aca="false">IF(OR(K72="",J72=""),"",(J72-K72)*100)</f>
        <v>-0.606487980727571</v>
      </c>
      <c r="M72" s="36" t="n">
        <v>1.81014346209639</v>
      </c>
      <c r="N72" s="36" t="n">
        <v>2.06051271468277</v>
      </c>
      <c r="O72" s="36" t="n">
        <f aca="false">SQRT(M72^2+N72^2)</f>
        <v>2.74268700378655</v>
      </c>
      <c r="P72" s="55" t="n">
        <f aca="false">IF(J72="","",MAX(0,J72-1.96*O72/100))</f>
        <v>0.289715491955545</v>
      </c>
      <c r="Q72" s="55" t="n">
        <f aca="false">IF(J72="","",MIN(1,J72+1.96*O72/100))</f>
        <v>0.397228822503978</v>
      </c>
      <c r="R72" s="32" t="str">
        <f aca="false">IF(L72="","",IF(ABS(L72)&lt;=O72,"Yes","No"))</f>
        <v>Yes</v>
      </c>
      <c r="S72" s="32" t="str">
        <f aca="false">IF(L72="","",IF(ABS(L72)&lt;=1.96*O72,"Yes","No"))</f>
        <v>Yes</v>
      </c>
      <c r="T72" s="54" t="n">
        <f aca="false">IF(D72="","",ROUND(SQRT(((D72+G72)*O72/100)^2+(J72*(D72+G72)*0.04942)^2),0))</f>
        <v>138</v>
      </c>
      <c r="U72" s="32"/>
    </row>
    <row r="73" customFormat="false" ht="15" hidden="false" customHeight="false" outlineLevel="0" collapsed="false">
      <c r="A73" s="32" t="s">
        <v>188</v>
      </c>
      <c r="B73" s="32" t="s">
        <v>207</v>
      </c>
      <c r="C73" s="32" t="s">
        <v>129</v>
      </c>
      <c r="D73" s="54" t="n">
        <v>1093</v>
      </c>
      <c r="E73" s="54" t="n">
        <v>1272</v>
      </c>
      <c r="F73" s="65" t="n">
        <f aca="false">IF(E73="","",D73-E73)</f>
        <v>-179</v>
      </c>
      <c r="G73" s="54" t="n">
        <v>1133</v>
      </c>
      <c r="H73" s="54" t="n">
        <v>1188</v>
      </c>
      <c r="I73" s="65" t="n">
        <f aca="false">IF(H73="","",G73-H73)</f>
        <v>-55</v>
      </c>
      <c r="J73" s="55" t="n">
        <f aca="false">IF(OR(D73="",D73+G73=0),"",D73/(D73+G73))</f>
        <v>0.491015274034142</v>
      </c>
      <c r="K73" s="55" t="n">
        <f aca="false">IF(E73="","",E73/(E73+H73))</f>
        <v>0.517073170731707</v>
      </c>
      <c r="L73" s="66" t="n">
        <f aca="false">IF(OR(K73="",J73=""),"",(J73-K73)*100)</f>
        <v>-2.60578966975654</v>
      </c>
      <c r="M73" s="36" t="n">
        <v>2.25210547370435</v>
      </c>
      <c r="N73" s="36" t="n">
        <v>2.06051271468277</v>
      </c>
      <c r="O73" s="36" t="n">
        <f aca="false">SQRT(M73^2+N73^2)</f>
        <v>3.0524894286563</v>
      </c>
      <c r="P73" s="55" t="n">
        <f aca="false">IF(J73="","",MAX(0,J73-1.96*O73/100))</f>
        <v>0.431186481232479</v>
      </c>
      <c r="Q73" s="55" t="n">
        <f aca="false">IF(J73="","",MIN(1,J73+1.96*O73/100))</f>
        <v>0.550844066835805</v>
      </c>
      <c r="R73" s="32" t="str">
        <f aca="false">IF(L73="","",IF(ABS(L73)&lt;=O73,"Yes","No"))</f>
        <v>Yes</v>
      </c>
      <c r="S73" s="32" t="str">
        <f aca="false">IF(L73="","",IF(ABS(L73)&lt;=1.96*O73,"Yes","No"))</f>
        <v>Yes</v>
      </c>
      <c r="T73" s="54" t="n">
        <f aca="false">IF(D73="","",ROUND(SQRT(((D73+G73)*O73/100)^2+(J73*(D73+G73)*0.05883)^2),0))</f>
        <v>94</v>
      </c>
      <c r="U73" s="32"/>
    </row>
    <row r="74" customFormat="false" ht="15" hidden="false" customHeight="false" outlineLevel="0" collapsed="false">
      <c r="A74" s="32" t="s">
        <v>188</v>
      </c>
      <c r="B74" s="32" t="s">
        <v>208</v>
      </c>
      <c r="C74" s="32" t="s">
        <v>129</v>
      </c>
      <c r="D74" s="54" t="n">
        <v>569</v>
      </c>
      <c r="E74" s="54" t="n">
        <v>644</v>
      </c>
      <c r="F74" s="65" t="n">
        <f aca="false">IF(E74="","",D74-E74)</f>
        <v>-75</v>
      </c>
      <c r="G74" s="54" t="n">
        <v>608</v>
      </c>
      <c r="H74" s="54" t="n">
        <v>634</v>
      </c>
      <c r="I74" s="65" t="n">
        <f aca="false">IF(H74="","",G74-H74)</f>
        <v>-26</v>
      </c>
      <c r="J74" s="55" t="n">
        <f aca="false">IF(OR(D74="",D74+G74=0),"",D74/(D74+G74))</f>
        <v>0.483432455395072</v>
      </c>
      <c r="K74" s="55" t="n">
        <f aca="false">IF(E74="","",E74/(E74+H74))</f>
        <v>0.503912363067293</v>
      </c>
      <c r="L74" s="66" t="n">
        <f aca="false">IF(OR(K74="",J74=""),"",(J74-K74)*100)</f>
        <v>-2.04799076722204</v>
      </c>
      <c r="M74" s="36" t="n">
        <v>2.25210547370435</v>
      </c>
      <c r="N74" s="36" t="n">
        <v>2.06051271468277</v>
      </c>
      <c r="O74" s="36" t="n">
        <f aca="false">SQRT(M74^2+N74^2)</f>
        <v>3.0524894286563</v>
      </c>
      <c r="P74" s="55" t="n">
        <f aca="false">IF(J74="","",MAX(0,J74-1.96*O74/100))</f>
        <v>0.423603662593409</v>
      </c>
      <c r="Q74" s="55" t="n">
        <f aca="false">IF(J74="","",MIN(1,J74+1.96*O74/100))</f>
        <v>0.543261248196736</v>
      </c>
      <c r="R74" s="32" t="str">
        <f aca="false">IF(L74="","",IF(ABS(L74)&lt;=O74,"Yes","No"))</f>
        <v>Yes</v>
      </c>
      <c r="S74" s="32" t="str">
        <f aca="false">IF(L74="","",IF(ABS(L74)&lt;=1.96*O74,"Yes","No"))</f>
        <v>Yes</v>
      </c>
      <c r="T74" s="54" t="n">
        <f aca="false">IF(D74="","",ROUND(SQRT(((D74+G74)*O74/100)^2+(J74*(D74+G74)*0.05883)^2),0))</f>
        <v>49</v>
      </c>
      <c r="U74" s="32"/>
    </row>
    <row r="75" customFormat="false" ht="15" hidden="false" customHeight="false" outlineLevel="0" collapsed="false">
      <c r="A75" s="32" t="s">
        <v>188</v>
      </c>
      <c r="B75" s="32" t="s">
        <v>209</v>
      </c>
      <c r="C75" s="32" t="s">
        <v>129</v>
      </c>
      <c r="D75" s="54" t="n">
        <v>1710</v>
      </c>
      <c r="E75" s="54" t="n">
        <v>1957</v>
      </c>
      <c r="F75" s="65" t="n">
        <f aca="false">IF(E75="","",D75-E75)</f>
        <v>-247</v>
      </c>
      <c r="G75" s="54" t="n">
        <v>1919</v>
      </c>
      <c r="H75" s="54" t="n">
        <v>1970</v>
      </c>
      <c r="I75" s="65" t="n">
        <f aca="false">IF(H75="","",G75-H75)</f>
        <v>-51</v>
      </c>
      <c r="J75" s="55" t="n">
        <f aca="false">IF(OR(D75="",D75+G75=0),"",D75/(D75+G75))</f>
        <v>0.471204188481675</v>
      </c>
      <c r="K75" s="55" t="n">
        <f aca="false">IF(E75="","",E75/(E75+H75))</f>
        <v>0.49834479246244</v>
      </c>
      <c r="L75" s="66" t="n">
        <f aca="false">IF(OR(K75="",J75=""),"",(J75-K75)*100)</f>
        <v>-2.71406039807641</v>
      </c>
      <c r="M75" s="36" t="n">
        <v>1.81014346209639</v>
      </c>
      <c r="N75" s="36" t="n">
        <v>2.06051271468277</v>
      </c>
      <c r="O75" s="36" t="n">
        <f aca="false">SQRT(M75^2+N75^2)</f>
        <v>2.74268700378655</v>
      </c>
      <c r="P75" s="55" t="n">
        <f aca="false">IF(J75="","",MAX(0,J75-1.96*O75/100))</f>
        <v>0.417447523207459</v>
      </c>
      <c r="Q75" s="55" t="n">
        <f aca="false">IF(J75="","",MIN(1,J75+1.96*O75/100))</f>
        <v>0.524960853755892</v>
      </c>
      <c r="R75" s="32" t="str">
        <f aca="false">IF(L75="","",IF(ABS(L75)&lt;=O75,"Yes","No"))</f>
        <v>Yes</v>
      </c>
      <c r="S75" s="32" t="str">
        <f aca="false">IF(L75="","",IF(ABS(L75)&lt;=1.96*O75,"Yes","No"))</f>
        <v>Yes</v>
      </c>
      <c r="T75" s="54" t="n">
        <f aca="false">IF(D75="","",ROUND(SQRT(((D75+G75)*O75/100)^2+(J75*(D75+G75)*0.04942)^2),0))</f>
        <v>131</v>
      </c>
      <c r="U75" s="32"/>
    </row>
    <row r="76" customFormat="false" ht="15" hidden="false" customHeight="false" outlineLevel="0" collapsed="false">
      <c r="A76" s="32" t="s">
        <v>188</v>
      </c>
      <c r="B76" s="32" t="s">
        <v>210</v>
      </c>
      <c r="C76" s="32" t="s">
        <v>129</v>
      </c>
      <c r="D76" s="54" t="n">
        <v>5079</v>
      </c>
      <c r="E76" s="54" t="n">
        <v>5403</v>
      </c>
      <c r="F76" s="65" t="n">
        <f aca="false">IF(E76="","",D76-E76)</f>
        <v>-324</v>
      </c>
      <c r="G76" s="54" t="n">
        <v>4598</v>
      </c>
      <c r="H76" s="54" t="n">
        <v>4910</v>
      </c>
      <c r="I76" s="65" t="n">
        <f aca="false">IF(H76="","",G76-H76)</f>
        <v>-312</v>
      </c>
      <c r="J76" s="55" t="n">
        <f aca="false">IF(OR(D76="",D76+G76=0),"",D76/(D76+G76))</f>
        <v>0.52485274361889</v>
      </c>
      <c r="K76" s="55" t="n">
        <f aca="false">IF(E76="","",E76/(E76+H76))</f>
        <v>0.523901871424416</v>
      </c>
      <c r="L76" s="66" t="n">
        <f aca="false">IF(OR(K76="",J76=""),"",(J76-K76)*100)</f>
        <v>0.0950872194474317</v>
      </c>
      <c r="M76" s="36" t="n">
        <v>1.81014346209639</v>
      </c>
      <c r="N76" s="36" t="n">
        <v>2.06051271468277</v>
      </c>
      <c r="O76" s="36" t="n">
        <f aca="false">SQRT(M76^2+N76^2)</f>
        <v>2.74268700378655</v>
      </c>
      <c r="P76" s="55" t="n">
        <f aca="false">IF(J76="","",MAX(0,J76-1.96*O76/100))</f>
        <v>0.471096078344674</v>
      </c>
      <c r="Q76" s="55" t="n">
        <f aca="false">IF(J76="","",MIN(1,J76+1.96*O76/100))</f>
        <v>0.578609408893107</v>
      </c>
      <c r="R76" s="32" t="str">
        <f aca="false">IF(L76="","",IF(ABS(L76)&lt;=O76,"Yes","No"))</f>
        <v>Yes</v>
      </c>
      <c r="S76" s="32" t="str">
        <f aca="false">IF(L76="","",IF(ABS(L76)&lt;=1.96*O76,"Yes","No"))</f>
        <v>Yes</v>
      </c>
      <c r="T76" s="54" t="n">
        <f aca="false">IF(D76="","",ROUND(SQRT(((D76+G76)*O76/100)^2+(J76*(D76+G76)*0.04942)^2),0))</f>
        <v>365</v>
      </c>
      <c r="U76" s="32"/>
    </row>
    <row r="77" customFormat="false" ht="15" hidden="false" customHeight="false" outlineLevel="0" collapsed="false">
      <c r="A77" s="32" t="s">
        <v>188</v>
      </c>
      <c r="B77" s="32" t="s">
        <v>211</v>
      </c>
      <c r="C77" s="32" t="s">
        <v>129</v>
      </c>
      <c r="D77" s="54" t="n">
        <v>478</v>
      </c>
      <c r="E77" s="54" t="n">
        <v>511</v>
      </c>
      <c r="F77" s="65" t="n">
        <f aca="false">IF(E77="","",D77-E77)</f>
        <v>-33</v>
      </c>
      <c r="G77" s="54" t="n">
        <v>727</v>
      </c>
      <c r="H77" s="54" t="n">
        <v>778</v>
      </c>
      <c r="I77" s="65" t="n">
        <f aca="false">IF(H77="","",G77-H77)</f>
        <v>-51</v>
      </c>
      <c r="J77" s="55" t="n">
        <f aca="false">IF(OR(D77="",D77+G77=0),"",D77/(D77+G77))</f>
        <v>0.396680497925311</v>
      </c>
      <c r="K77" s="55" t="n">
        <f aca="false">IF(E77="","",E77/(E77+H77))</f>
        <v>0.396431342125679</v>
      </c>
      <c r="L77" s="66" t="n">
        <f aca="false">IF(OR(K77="",J77=""),"",(J77-K77)*100)</f>
        <v>0.0249155799632361</v>
      </c>
      <c r="M77" s="36" t="n">
        <v>2.25210547370435</v>
      </c>
      <c r="N77" s="36" t="n">
        <v>2.06051271468277</v>
      </c>
      <c r="O77" s="36" t="n">
        <f aca="false">SQRT(M77^2+N77^2)</f>
        <v>3.0524894286563</v>
      </c>
      <c r="P77" s="55" t="n">
        <f aca="false">IF(J77="","",MAX(0,J77-1.96*O77/100))</f>
        <v>0.336851705123648</v>
      </c>
      <c r="Q77" s="55" t="n">
        <f aca="false">IF(J77="","",MIN(1,J77+1.96*O77/100))</f>
        <v>0.456509290726975</v>
      </c>
      <c r="R77" s="32" t="str">
        <f aca="false">IF(L77="","",IF(ABS(L77)&lt;=O77,"Yes","No"))</f>
        <v>Yes</v>
      </c>
      <c r="S77" s="32" t="str">
        <f aca="false">IF(L77="","",IF(ABS(L77)&lt;=1.96*O77,"Yes","No"))</f>
        <v>Yes</v>
      </c>
      <c r="T77" s="54" t="n">
        <f aca="false">IF(D77="","",ROUND(SQRT(((D77+G77)*O77/100)^2+(J77*(D77+G77)*0.05883)^2),0))</f>
        <v>46</v>
      </c>
      <c r="U77" s="32"/>
    </row>
    <row r="78" customFormat="false" ht="15" hidden="false" customHeight="false" outlineLevel="0" collapsed="false">
      <c r="A78" s="32" t="s">
        <v>188</v>
      </c>
      <c r="B78" s="32" t="s">
        <v>212</v>
      </c>
      <c r="C78" s="32" t="s">
        <v>129</v>
      </c>
      <c r="D78" s="54" t="n">
        <v>982</v>
      </c>
      <c r="E78" s="54" t="n">
        <v>1076</v>
      </c>
      <c r="F78" s="65" t="n">
        <f aca="false">IF(E78="","",D78-E78)</f>
        <v>-94</v>
      </c>
      <c r="G78" s="54" t="n">
        <v>1768</v>
      </c>
      <c r="H78" s="54" t="n">
        <v>1998</v>
      </c>
      <c r="I78" s="65" t="n">
        <f aca="false">IF(H78="","",G78-H78)</f>
        <v>-230</v>
      </c>
      <c r="J78" s="55" t="n">
        <f aca="false">IF(OR(D78="",D78+G78=0),"",D78/(D78+G78))</f>
        <v>0.357090909090909</v>
      </c>
      <c r="K78" s="55" t="n">
        <f aca="false">IF(E78="","",E78/(E78+H78))</f>
        <v>0.350032530904359</v>
      </c>
      <c r="L78" s="66" t="n">
        <f aca="false">IF(OR(K78="",J78=""),"",(J78-K78)*100)</f>
        <v>0.705837818654992</v>
      </c>
      <c r="M78" s="36" t="n">
        <v>1.81014346209639</v>
      </c>
      <c r="N78" s="36" t="n">
        <v>2.06051271468277</v>
      </c>
      <c r="O78" s="36" t="n">
        <f aca="false">SQRT(M78^2+N78^2)</f>
        <v>2.74268700378655</v>
      </c>
      <c r="P78" s="55" t="n">
        <f aca="false">IF(J78="","",MAX(0,J78-1.96*O78/100))</f>
        <v>0.303334243816693</v>
      </c>
      <c r="Q78" s="55" t="n">
        <f aca="false">IF(J78="","",MIN(1,J78+1.96*O78/100))</f>
        <v>0.410847574365126</v>
      </c>
      <c r="R78" s="32" t="str">
        <f aca="false">IF(L78="","",IF(ABS(L78)&lt;=O78,"Yes","No"))</f>
        <v>Yes</v>
      </c>
      <c r="S78" s="32" t="str">
        <f aca="false">IF(L78="","",IF(ABS(L78)&lt;=1.96*O78,"Yes","No"))</f>
        <v>Yes</v>
      </c>
      <c r="T78" s="54" t="n">
        <f aca="false">IF(D78="","",ROUND(SQRT(((D78+G78)*O78/100)^2+(J78*(D78+G78)*0.04942)^2),0))</f>
        <v>90</v>
      </c>
      <c r="U78" s="32"/>
    </row>
    <row r="79" customFormat="false" ht="15" hidden="false" customHeight="false" outlineLevel="0" collapsed="false">
      <c r="A79" s="32" t="s">
        <v>188</v>
      </c>
      <c r="B79" s="32" t="s">
        <v>213</v>
      </c>
      <c r="C79" s="32" t="s">
        <v>129</v>
      </c>
      <c r="D79" s="54" t="n">
        <v>59</v>
      </c>
      <c r="E79" s="54" t="n">
        <v>65</v>
      </c>
      <c r="F79" s="65" t="n">
        <f aca="false">IF(E79="","",D79-E79)</f>
        <v>-6</v>
      </c>
      <c r="G79" s="54" t="n">
        <v>119</v>
      </c>
      <c r="H79" s="54" t="n">
        <v>129</v>
      </c>
      <c r="I79" s="65" t="n">
        <f aca="false">IF(H79="","",G79-H79)</f>
        <v>-10</v>
      </c>
      <c r="J79" s="55" t="n">
        <f aca="false">IF(OR(D79="",D79+G79=0),"",D79/(D79+G79))</f>
        <v>0.331460674157303</v>
      </c>
      <c r="K79" s="55" t="n">
        <f aca="false">IF(E79="","",E79/(E79+H79))</f>
        <v>0.335051546391753</v>
      </c>
      <c r="L79" s="66" t="n">
        <f aca="false">IF(OR(K79="",J79=""),"",(J79-K79)*100)</f>
        <v>-0.359087223444921</v>
      </c>
      <c r="M79" s="36" t="n">
        <v>3.67164034925888</v>
      </c>
      <c r="N79" s="36" t="n">
        <v>2.06051271468277</v>
      </c>
      <c r="O79" s="36" t="n">
        <f aca="false">SQRT(M79^2+N79^2)</f>
        <v>4.21030349282272</v>
      </c>
      <c r="P79" s="55" t="n">
        <f aca="false">IF(J79="","",MAX(0,J79-1.96*O79/100))</f>
        <v>0.248938725697978</v>
      </c>
      <c r="Q79" s="55" t="n">
        <f aca="false">IF(J79="","",MIN(1,J79+1.96*O79/100))</f>
        <v>0.413982622616629</v>
      </c>
      <c r="R79" s="32" t="str">
        <f aca="false">IF(L79="","",IF(ABS(L79)&lt;=O79,"Yes","No"))</f>
        <v>Yes</v>
      </c>
      <c r="S79" s="32" t="str">
        <f aca="false">IF(L79="","",IF(ABS(L79)&lt;=1.96*O79,"Yes","No"))</f>
        <v>Yes</v>
      </c>
      <c r="T79" s="54" t="n">
        <f aca="false">IF(D79="","",ROUND(SQRT(((D79+G79)*O79/100)^2+(J79*(D79+G79)*0.07872)^2),0))</f>
        <v>9</v>
      </c>
      <c r="U79" s="32"/>
    </row>
    <row r="80" customFormat="false" ht="15" hidden="false" customHeight="false" outlineLevel="0" collapsed="false">
      <c r="A80" s="32" t="s">
        <v>188</v>
      </c>
      <c r="B80" s="32" t="s">
        <v>214</v>
      </c>
      <c r="C80" s="32" t="s">
        <v>129</v>
      </c>
      <c r="D80" s="54" t="n">
        <v>252</v>
      </c>
      <c r="E80" s="54" t="n">
        <v>258</v>
      </c>
      <c r="F80" s="65" t="n">
        <f aca="false">IF(E80="","",D80-E80)</f>
        <v>-6</v>
      </c>
      <c r="G80" s="54" t="n">
        <v>403</v>
      </c>
      <c r="H80" s="54" t="n">
        <v>418</v>
      </c>
      <c r="I80" s="65" t="n">
        <f aca="false">IF(H80="","",G80-H80)</f>
        <v>-15</v>
      </c>
      <c r="J80" s="55" t="n">
        <f aca="false">IF(OR(D80="",D80+G80=0),"",D80/(D80+G80))</f>
        <v>0.384732824427481</v>
      </c>
      <c r="K80" s="55" t="n">
        <f aca="false">IF(E80="","",E80/(E80+H80))</f>
        <v>0.381656804733728</v>
      </c>
      <c r="L80" s="66" t="n">
        <f aca="false">IF(OR(K80="",J80=""),"",(J80-K80)*100)</f>
        <v>0.30760196937531</v>
      </c>
      <c r="M80" s="36" t="n">
        <v>3.67164034925888</v>
      </c>
      <c r="N80" s="36" t="n">
        <v>2.06051271468277</v>
      </c>
      <c r="O80" s="36" t="n">
        <f aca="false">SQRT(M80^2+N80^2)</f>
        <v>4.21030349282272</v>
      </c>
      <c r="P80" s="55" t="n">
        <f aca="false">IF(J80="","",MAX(0,J80-1.96*O80/100))</f>
        <v>0.302210875968156</v>
      </c>
      <c r="Q80" s="55" t="n">
        <f aca="false">IF(J80="","",MIN(1,J80+1.96*O80/100))</f>
        <v>0.467254772886806</v>
      </c>
      <c r="R80" s="32" t="str">
        <f aca="false">IF(L80="","",IF(ABS(L80)&lt;=O80,"Yes","No"))</f>
        <v>Yes</v>
      </c>
      <c r="S80" s="32" t="str">
        <f aca="false">IF(L80="","",IF(ABS(L80)&lt;=1.96*O80,"Yes","No"))</f>
        <v>Yes</v>
      </c>
      <c r="T80" s="54" t="n">
        <f aca="false">IF(D80="","",ROUND(SQRT(((D80+G80)*O80/100)^2+(J80*(D80+G80)*0.07872)^2),0))</f>
        <v>34</v>
      </c>
      <c r="U80" s="32"/>
    </row>
    <row r="81" customFormat="false" ht="15" hidden="false" customHeight="false" outlineLevel="0" collapsed="false">
      <c r="A81" s="32" t="s">
        <v>188</v>
      </c>
      <c r="B81" s="32" t="s">
        <v>215</v>
      </c>
      <c r="C81" s="32" t="s">
        <v>129</v>
      </c>
      <c r="D81" s="54" t="n">
        <v>139</v>
      </c>
      <c r="E81" s="54" t="n">
        <v>160</v>
      </c>
      <c r="F81" s="65" t="n">
        <f aca="false">IF(E81="","",D81-E81)</f>
        <v>-21</v>
      </c>
      <c r="G81" s="54" t="n">
        <v>195</v>
      </c>
      <c r="H81" s="54" t="n">
        <v>227</v>
      </c>
      <c r="I81" s="65" t="n">
        <f aca="false">IF(H81="","",G81-H81)</f>
        <v>-32</v>
      </c>
      <c r="J81" s="55" t="n">
        <f aca="false">IF(OR(D81="",D81+G81=0),"",D81/(D81+G81))</f>
        <v>0.416167664670659</v>
      </c>
      <c r="K81" s="55" t="n">
        <f aca="false">IF(E81="","",E81/(E81+H81))</f>
        <v>0.41343669250646</v>
      </c>
      <c r="L81" s="66" t="n">
        <f aca="false">IF(OR(K81="",J81=""),"",(J81-K81)*100)</f>
        <v>0.273097216419876</v>
      </c>
      <c r="M81" s="36" t="n">
        <v>3.67164034925888</v>
      </c>
      <c r="N81" s="36" t="n">
        <v>2.06051271468277</v>
      </c>
      <c r="O81" s="36" t="n">
        <f aca="false">SQRT(M81^2+N81^2)</f>
        <v>4.21030349282272</v>
      </c>
      <c r="P81" s="55" t="n">
        <f aca="false">IF(J81="","",MAX(0,J81-1.96*O81/100))</f>
        <v>0.333645716211333</v>
      </c>
      <c r="Q81" s="55" t="n">
        <f aca="false">IF(J81="","",MIN(1,J81+1.96*O81/100))</f>
        <v>0.498689613129984</v>
      </c>
      <c r="R81" s="32" t="str">
        <f aca="false">IF(L81="","",IF(ABS(L81)&lt;=O81,"Yes","No"))</f>
        <v>Yes</v>
      </c>
      <c r="S81" s="32" t="str">
        <f aca="false">IF(L81="","",IF(ABS(L81)&lt;=1.96*O81,"Yes","No"))</f>
        <v>Yes</v>
      </c>
      <c r="T81" s="54" t="n">
        <f aca="false">IF(D81="","",ROUND(SQRT(((D81+G81)*O81/100)^2+(J81*(D81+G81)*0.07872)^2),0))</f>
        <v>18</v>
      </c>
      <c r="U81" s="32"/>
    </row>
    <row r="82" customFormat="false" ht="15" hidden="false" customHeight="false" outlineLevel="0" collapsed="false">
      <c r="A82" s="32" t="s">
        <v>188</v>
      </c>
      <c r="B82" s="32" t="s">
        <v>216</v>
      </c>
      <c r="C82" s="32" t="s">
        <v>129</v>
      </c>
      <c r="D82" s="54" t="n">
        <v>219</v>
      </c>
      <c r="E82" s="54" t="n">
        <v>243</v>
      </c>
      <c r="F82" s="65" t="n">
        <f aca="false">IF(E82="","",D82-E82)</f>
        <v>-24</v>
      </c>
      <c r="G82" s="54" t="n">
        <v>304</v>
      </c>
      <c r="H82" s="54" t="n">
        <v>318</v>
      </c>
      <c r="I82" s="65" t="n">
        <f aca="false">IF(H82="","",G82-H82)</f>
        <v>-14</v>
      </c>
      <c r="J82" s="55" t="n">
        <f aca="false">IF(OR(D82="",D82+G82=0),"",D82/(D82+G82))</f>
        <v>0.418738049713193</v>
      </c>
      <c r="K82" s="55" t="n">
        <f aca="false">IF(E82="","",E82/(E82+H82))</f>
        <v>0.433155080213904</v>
      </c>
      <c r="L82" s="66" t="n">
        <f aca="false">IF(OR(K82="",J82=""),"",(J82-K82)*100)</f>
        <v>-1.44170305007106</v>
      </c>
      <c r="M82" s="36" t="n">
        <v>3.67164034925888</v>
      </c>
      <c r="N82" s="36" t="n">
        <v>2.06051271468277</v>
      </c>
      <c r="O82" s="36" t="n">
        <f aca="false">SQRT(M82^2+N82^2)</f>
        <v>4.21030349282272</v>
      </c>
      <c r="P82" s="55" t="n">
        <f aca="false">IF(J82="","",MAX(0,J82-1.96*O82/100))</f>
        <v>0.336216101253868</v>
      </c>
      <c r="Q82" s="55" t="n">
        <f aca="false">IF(J82="","",MIN(1,J82+1.96*O82/100))</f>
        <v>0.501259998172518</v>
      </c>
      <c r="R82" s="32" t="str">
        <f aca="false">IF(L82="","",IF(ABS(L82)&lt;=O82,"Yes","No"))</f>
        <v>Yes</v>
      </c>
      <c r="S82" s="32" t="str">
        <f aca="false">IF(L82="","",IF(ABS(L82)&lt;=1.96*O82,"Yes","No"))</f>
        <v>Yes</v>
      </c>
      <c r="T82" s="54" t="n">
        <f aca="false">IF(D82="","",ROUND(SQRT(((D82+G82)*O82/100)^2+(J82*(D82+G82)*0.07872)^2),0))</f>
        <v>28</v>
      </c>
      <c r="U82" s="32"/>
    </row>
    <row r="83" customFormat="false" ht="15" hidden="false" customHeight="false" outlineLevel="0" collapsed="false">
      <c r="A83" s="32" t="s">
        <v>188</v>
      </c>
      <c r="B83" s="32" t="s">
        <v>217</v>
      </c>
      <c r="C83" s="32" t="s">
        <v>129</v>
      </c>
      <c r="D83" s="54" t="n">
        <v>945</v>
      </c>
      <c r="E83" s="54" t="n">
        <v>1030</v>
      </c>
      <c r="F83" s="65" t="n">
        <f aca="false">IF(E83="","",D83-E83)</f>
        <v>-85</v>
      </c>
      <c r="G83" s="54" t="n">
        <v>1902</v>
      </c>
      <c r="H83" s="54" t="n">
        <v>2095</v>
      </c>
      <c r="I83" s="65" t="n">
        <f aca="false">IF(H83="","",G83-H83)</f>
        <v>-193</v>
      </c>
      <c r="J83" s="55" t="n">
        <f aca="false">IF(OR(D83="",D83+G83=0),"",D83/(D83+G83))</f>
        <v>0.331928345626976</v>
      </c>
      <c r="K83" s="55" t="n">
        <f aca="false">IF(E83="","",E83/(E83+H83))</f>
        <v>0.3296</v>
      </c>
      <c r="L83" s="66" t="n">
        <f aca="false">IF(OR(K83="",J83=""),"",(J83-K83)*100)</f>
        <v>0.232834562697576</v>
      </c>
      <c r="M83" s="36" t="n">
        <v>1.81014346209639</v>
      </c>
      <c r="N83" s="36" t="n">
        <v>2.06051271468277</v>
      </c>
      <c r="O83" s="36" t="n">
        <f aca="false">SQRT(M83^2+N83^2)</f>
        <v>2.74268700378655</v>
      </c>
      <c r="P83" s="55" t="n">
        <f aca="false">IF(J83="","",MAX(0,J83-1.96*O83/100))</f>
        <v>0.278171680352759</v>
      </c>
      <c r="Q83" s="55" t="n">
        <f aca="false">IF(J83="","",MIN(1,J83+1.96*O83/100))</f>
        <v>0.385685010901192</v>
      </c>
      <c r="R83" s="32" t="str">
        <f aca="false">IF(L83="","",IF(ABS(L83)&lt;=O83,"Yes","No"))</f>
        <v>Yes</v>
      </c>
      <c r="S83" s="32" t="str">
        <f aca="false">IF(L83="","",IF(ABS(L83)&lt;=1.96*O83,"Yes","No"))</f>
        <v>Yes</v>
      </c>
      <c r="T83" s="54" t="n">
        <f aca="false">IF(D83="","",ROUND(SQRT(((D83+G83)*O83/100)^2+(J83*(D83+G83)*0.04942)^2),0))</f>
        <v>91</v>
      </c>
      <c r="U83" s="32"/>
    </row>
    <row r="84" customFormat="false" ht="15" hidden="false" customHeight="false" outlineLevel="0" collapsed="false">
      <c r="A84" s="32" t="s">
        <v>188</v>
      </c>
      <c r="B84" s="32" t="s">
        <v>218</v>
      </c>
      <c r="C84" s="32" t="s">
        <v>129</v>
      </c>
      <c r="D84" s="54" t="n">
        <v>1363</v>
      </c>
      <c r="E84" s="54" t="n">
        <v>1575</v>
      </c>
      <c r="F84" s="65" t="n">
        <f aca="false">IF(E84="","",D84-E84)</f>
        <v>-212</v>
      </c>
      <c r="G84" s="54" t="n">
        <v>1424</v>
      </c>
      <c r="H84" s="54" t="n">
        <v>1588</v>
      </c>
      <c r="I84" s="65" t="n">
        <f aca="false">IF(H84="","",G84-H84)</f>
        <v>-164</v>
      </c>
      <c r="J84" s="55" t="n">
        <f aca="false">IF(OR(D84="",D84+G84=0),"",D84/(D84+G84))</f>
        <v>0.489056332974525</v>
      </c>
      <c r="K84" s="55" t="n">
        <f aca="false">IF(E84="","",E84/(E84+H84))</f>
        <v>0.497944988934556</v>
      </c>
      <c r="L84" s="66" t="n">
        <f aca="false">IF(OR(K84="",J84=""),"",(J84-K84)*100)</f>
        <v>-0.888865596003124</v>
      </c>
      <c r="M84" s="36" t="n">
        <v>1.81014346209639</v>
      </c>
      <c r="N84" s="36" t="n">
        <v>2.06051271468277</v>
      </c>
      <c r="O84" s="36" t="n">
        <f aca="false">SQRT(M84^2+N84^2)</f>
        <v>2.74268700378655</v>
      </c>
      <c r="P84" s="55" t="n">
        <f aca="false">IF(J84="","",MAX(0,J84-1.96*O84/100))</f>
        <v>0.435299667700308</v>
      </c>
      <c r="Q84" s="55" t="n">
        <f aca="false">IF(J84="","",MIN(1,J84+1.96*O84/100))</f>
        <v>0.542812998248741</v>
      </c>
      <c r="R84" s="32" t="str">
        <f aca="false">IF(L84="","",IF(ABS(L84)&lt;=O84,"Yes","No"))</f>
        <v>Yes</v>
      </c>
      <c r="S84" s="32" t="str">
        <f aca="false">IF(L84="","",IF(ABS(L84)&lt;=1.96*O84,"Yes","No"))</f>
        <v>Yes</v>
      </c>
      <c r="T84" s="54" t="n">
        <f aca="false">IF(D84="","",ROUND(SQRT(((D84+G84)*O84/100)^2+(J84*(D84+G84)*0.04942)^2),0))</f>
        <v>102</v>
      </c>
      <c r="U84" s="32"/>
    </row>
    <row r="85" customFormat="false" ht="15" hidden="false" customHeight="false" outlineLevel="0" collapsed="false">
      <c r="A85" s="32" t="s">
        <v>188</v>
      </c>
      <c r="B85" s="32" t="s">
        <v>219</v>
      </c>
      <c r="C85" s="32" t="s">
        <v>129</v>
      </c>
      <c r="D85" s="54" t="n">
        <v>270</v>
      </c>
      <c r="E85" s="54" t="n">
        <v>305</v>
      </c>
      <c r="F85" s="65" t="n">
        <f aca="false">IF(E85="","",D85-E85)</f>
        <v>-35</v>
      </c>
      <c r="G85" s="54" t="n">
        <v>396</v>
      </c>
      <c r="H85" s="54" t="n">
        <v>419</v>
      </c>
      <c r="I85" s="65" t="n">
        <f aca="false">IF(H85="","",G85-H85)</f>
        <v>-23</v>
      </c>
      <c r="J85" s="55" t="n">
        <f aca="false">IF(OR(D85="",D85+G85=0),"",D85/(D85+G85))</f>
        <v>0.405405405405405</v>
      </c>
      <c r="K85" s="55" t="n">
        <f aca="false">IF(E85="","",E85/(E85+H85))</f>
        <v>0.421270718232044</v>
      </c>
      <c r="L85" s="66" t="n">
        <f aca="false">IF(OR(K85="",J85=""),"",(J85-K85)*100)</f>
        <v>-1.58653128266388</v>
      </c>
      <c r="M85" s="36" t="n">
        <v>3.67164034925888</v>
      </c>
      <c r="N85" s="36" t="n">
        <v>2.06051271468277</v>
      </c>
      <c r="O85" s="36" t="n">
        <f aca="false">SQRT(M85^2+N85^2)</f>
        <v>4.21030349282272</v>
      </c>
      <c r="P85" s="55" t="n">
        <f aca="false">IF(J85="","",MAX(0,J85-1.96*O85/100))</f>
        <v>0.32288345694608</v>
      </c>
      <c r="Q85" s="55" t="n">
        <f aca="false">IF(J85="","",MIN(1,J85+1.96*O85/100))</f>
        <v>0.487927353864731</v>
      </c>
      <c r="R85" s="32" t="str">
        <f aca="false">IF(L85="","",IF(ABS(L85)&lt;=O85,"Yes","No"))</f>
        <v>Yes</v>
      </c>
      <c r="S85" s="32" t="str">
        <f aca="false">IF(L85="","",IF(ABS(L85)&lt;=1.96*O85,"Yes","No"))</f>
        <v>Yes</v>
      </c>
      <c r="T85" s="54" t="n">
        <f aca="false">IF(D85="","",ROUND(SQRT(((D85+G85)*O85/100)^2+(J85*(D85+G85)*0.07872)^2),0))</f>
        <v>35</v>
      </c>
      <c r="U85" s="32"/>
    </row>
    <row r="86" customFormat="false" ht="15" hidden="false" customHeight="false" outlineLevel="0" collapsed="false">
      <c r="A86" s="32" t="s">
        <v>188</v>
      </c>
      <c r="B86" s="32" t="s">
        <v>180</v>
      </c>
      <c r="C86" s="32" t="s">
        <v>129</v>
      </c>
      <c r="D86" s="54" t="n">
        <v>722</v>
      </c>
      <c r="E86" s="54" t="n">
        <v>840</v>
      </c>
      <c r="F86" s="65" t="n">
        <f aca="false">IF(E86="","",D86-E86)</f>
        <v>-118</v>
      </c>
      <c r="G86" s="54" t="n">
        <v>1317</v>
      </c>
      <c r="H86" s="54" t="n">
        <v>1533</v>
      </c>
      <c r="I86" s="65" t="n">
        <f aca="false">IF(H86="","",G86-H86)</f>
        <v>-216</v>
      </c>
      <c r="J86" s="55" t="n">
        <f aca="false">IF(OR(D86="",D86+G86=0),"",D86/(D86+G86))</f>
        <v>0.354095144678764</v>
      </c>
      <c r="K86" s="55" t="n">
        <f aca="false">IF(E86="","",E86/(E86+H86))</f>
        <v>0.353982300884956</v>
      </c>
      <c r="L86" s="66" t="n">
        <f aca="false">IF(OR(K86="",J86=""),"",(J86-K86)*100)</f>
        <v>0.0112843793808326</v>
      </c>
      <c r="M86" s="36" t="n">
        <v>2.25210547370435</v>
      </c>
      <c r="N86" s="36" t="n">
        <v>2.06051271468277</v>
      </c>
      <c r="O86" s="36" t="n">
        <f aca="false">SQRT(M86^2+N86^2)</f>
        <v>3.0524894286563</v>
      </c>
      <c r="P86" s="55" t="n">
        <f aca="false">IF(J86="","",MAX(0,J86-1.96*O86/100))</f>
        <v>0.294266351877101</v>
      </c>
      <c r="Q86" s="55" t="n">
        <f aca="false">IF(J86="","",MIN(1,J86+1.96*O86/100))</f>
        <v>0.413923937480427</v>
      </c>
      <c r="R86" s="32" t="str">
        <f aca="false">IF(L86="","",IF(ABS(L86)&lt;=O86,"Yes","No"))</f>
        <v>Yes</v>
      </c>
      <c r="S86" s="32" t="str">
        <f aca="false">IF(L86="","",IF(ABS(L86)&lt;=1.96*O86,"Yes","No"))</f>
        <v>Yes</v>
      </c>
      <c r="T86" s="54" t="n">
        <f aca="false">IF(D86="","",ROUND(SQRT(((D86+G86)*O86/100)^2+(J86*(D86+G86)*0.05883)^2),0))</f>
        <v>75</v>
      </c>
      <c r="U86" s="32"/>
    </row>
    <row r="87" customFormat="false" ht="15" hidden="false" customHeight="false" outlineLevel="0" collapsed="false">
      <c r="A87" s="32" t="s">
        <v>188</v>
      </c>
      <c r="B87" s="32" t="s">
        <v>220</v>
      </c>
      <c r="C87" s="32" t="s">
        <v>129</v>
      </c>
      <c r="D87" s="54" t="n">
        <v>172</v>
      </c>
      <c r="E87" s="54" t="n">
        <v>199</v>
      </c>
      <c r="F87" s="65" t="n">
        <f aca="false">IF(E87="","",D87-E87)</f>
        <v>-27</v>
      </c>
      <c r="G87" s="54" t="n">
        <v>196</v>
      </c>
      <c r="H87" s="54" t="n">
        <v>215</v>
      </c>
      <c r="I87" s="65" t="n">
        <f aca="false">IF(H87="","",G87-H87)</f>
        <v>-19</v>
      </c>
      <c r="J87" s="55" t="n">
        <f aca="false">IF(OR(D87="",D87+G87=0),"",D87/(D87+G87))</f>
        <v>0.467391304347826</v>
      </c>
      <c r="K87" s="55" t="n">
        <f aca="false">IF(E87="","",E87/(E87+H87))</f>
        <v>0.480676328502416</v>
      </c>
      <c r="L87" s="66" t="n">
        <f aca="false">IF(OR(K87="",J87=""),"",(J87-K87)*100)</f>
        <v>-1.32850241545894</v>
      </c>
      <c r="M87" s="36" t="n">
        <v>3.67164034925888</v>
      </c>
      <c r="N87" s="36" t="n">
        <v>2.06051271468277</v>
      </c>
      <c r="O87" s="36" t="n">
        <f aca="false">SQRT(M87^2+N87^2)</f>
        <v>4.21030349282272</v>
      </c>
      <c r="P87" s="55" t="n">
        <f aca="false">IF(J87="","",MAX(0,J87-1.96*O87/100))</f>
        <v>0.384869355888501</v>
      </c>
      <c r="Q87" s="55" t="n">
        <f aca="false">IF(J87="","",MIN(1,J87+1.96*O87/100))</f>
        <v>0.549913252807151</v>
      </c>
      <c r="R87" s="32" t="str">
        <f aca="false">IF(L87="","",IF(ABS(L87)&lt;=O87,"Yes","No"))</f>
        <v>Yes</v>
      </c>
      <c r="S87" s="32" t="str">
        <f aca="false">IF(L87="","",IF(ABS(L87)&lt;=1.96*O87,"Yes","No"))</f>
        <v>Yes</v>
      </c>
      <c r="T87" s="54" t="n">
        <f aca="false">IF(D87="","",ROUND(SQRT(((D87+G87)*O87/100)^2+(J87*(D87+G87)*0.07872)^2),0))</f>
        <v>21</v>
      </c>
      <c r="U87" s="32"/>
    </row>
    <row r="88" customFormat="false" ht="15" hidden="false" customHeight="false" outlineLevel="0" collapsed="false">
      <c r="A88" s="32" t="s">
        <v>188</v>
      </c>
      <c r="B88" s="32" t="s">
        <v>221</v>
      </c>
      <c r="C88" s="32" t="s">
        <v>129</v>
      </c>
      <c r="D88" s="54" t="n">
        <v>1295</v>
      </c>
      <c r="E88" s="54" t="n">
        <v>1456</v>
      </c>
      <c r="F88" s="65" t="n">
        <f aca="false">IF(E88="","",D88-E88)</f>
        <v>-161</v>
      </c>
      <c r="G88" s="54" t="n">
        <v>1756</v>
      </c>
      <c r="H88" s="54" t="n">
        <v>1860</v>
      </c>
      <c r="I88" s="65" t="n">
        <f aca="false">IF(H88="","",G88-H88)</f>
        <v>-104</v>
      </c>
      <c r="J88" s="55" t="n">
        <f aca="false">IF(OR(D88="",D88+G88=0),"",D88/(D88+G88))</f>
        <v>0.424450999672239</v>
      </c>
      <c r="K88" s="55" t="n">
        <f aca="false">IF(E88="","",E88/(E88+H88))</f>
        <v>0.439083232810615</v>
      </c>
      <c r="L88" s="66" t="n">
        <f aca="false">IF(OR(K88="",J88=""),"",(J88-K88)*100)</f>
        <v>-1.46322331383766</v>
      </c>
      <c r="M88" s="36" t="n">
        <v>1.81014346209639</v>
      </c>
      <c r="N88" s="36" t="n">
        <v>2.06051271468277</v>
      </c>
      <c r="O88" s="36" t="n">
        <f aca="false">SQRT(M88^2+N88^2)</f>
        <v>2.74268700378655</v>
      </c>
      <c r="P88" s="55" t="n">
        <f aca="false">IF(J88="","",MAX(0,J88-1.96*O88/100))</f>
        <v>0.370694334398022</v>
      </c>
      <c r="Q88" s="55" t="n">
        <f aca="false">IF(J88="","",MIN(1,J88+1.96*O88/100))</f>
        <v>0.478207664946455</v>
      </c>
      <c r="R88" s="32" t="str">
        <f aca="false">IF(L88="","",IF(ABS(L88)&lt;=O88,"Yes","No"))</f>
        <v>Yes</v>
      </c>
      <c r="S88" s="32" t="str">
        <f aca="false">IF(L88="","",IF(ABS(L88)&lt;=1.96*O88,"Yes","No"))</f>
        <v>Yes</v>
      </c>
      <c r="T88" s="54" t="n">
        <f aca="false">IF(D88="","",ROUND(SQRT(((D88+G88)*O88/100)^2+(J88*(D88+G88)*0.04942)^2),0))</f>
        <v>105</v>
      </c>
      <c r="U88" s="32"/>
    </row>
    <row r="89" customFormat="false" ht="15" hidden="false" customHeight="false" outlineLevel="0" collapsed="false">
      <c r="A89" s="32" t="s">
        <v>188</v>
      </c>
      <c r="B89" s="32" t="s">
        <v>222</v>
      </c>
      <c r="C89" s="32" t="s">
        <v>129</v>
      </c>
      <c r="D89" s="54" t="n">
        <v>1200</v>
      </c>
      <c r="E89" s="54" t="n">
        <v>1340</v>
      </c>
      <c r="F89" s="65" t="n">
        <f aca="false">IF(E89="","",D89-E89)</f>
        <v>-140</v>
      </c>
      <c r="G89" s="54" t="n">
        <v>928</v>
      </c>
      <c r="H89" s="54" t="n">
        <v>953</v>
      </c>
      <c r="I89" s="65" t="n">
        <f aca="false">IF(H89="","",G89-H89)</f>
        <v>-25</v>
      </c>
      <c r="J89" s="55" t="n">
        <f aca="false">IF(OR(D89="",D89+G89=0),"",D89/(D89+G89))</f>
        <v>0.56390977443609</v>
      </c>
      <c r="K89" s="55" t="n">
        <f aca="false">IF(E89="","",E89/(E89+H89))</f>
        <v>0.584387265590929</v>
      </c>
      <c r="L89" s="66" t="n">
        <f aca="false">IF(OR(K89="",J89=""),"",(J89-K89)*100)</f>
        <v>-2.04774911548387</v>
      </c>
      <c r="M89" s="36" t="n">
        <v>2.25210547370435</v>
      </c>
      <c r="N89" s="36" t="n">
        <v>2.06051271468277</v>
      </c>
      <c r="O89" s="36" t="n">
        <f aca="false">SQRT(M89^2+N89^2)</f>
        <v>3.0524894286563</v>
      </c>
      <c r="P89" s="55" t="n">
        <f aca="false">IF(J89="","",MAX(0,J89-1.96*O89/100))</f>
        <v>0.504080981634427</v>
      </c>
      <c r="Q89" s="55" t="n">
        <f aca="false">IF(J89="","",MIN(1,J89+1.96*O89/100))</f>
        <v>0.623738567237754</v>
      </c>
      <c r="R89" s="32" t="str">
        <f aca="false">IF(L89="","",IF(ABS(L89)&lt;=O89,"Yes","No"))</f>
        <v>Yes</v>
      </c>
      <c r="S89" s="32" t="str">
        <f aca="false">IF(L89="","",IF(ABS(L89)&lt;=1.96*O89,"Yes","No"))</f>
        <v>Yes</v>
      </c>
      <c r="T89" s="54" t="n">
        <f aca="false">IF(D89="","",ROUND(SQRT(((D89+G89)*O89/100)^2+(J89*(D89+G89)*0.05883)^2),0))</f>
        <v>96</v>
      </c>
      <c r="U89" s="32"/>
    </row>
    <row r="90" customFormat="false" ht="15" hidden="false" customHeight="false" outlineLevel="0" collapsed="false">
      <c r="A90" s="32" t="s">
        <v>188</v>
      </c>
      <c r="B90" s="32" t="s">
        <v>223</v>
      </c>
      <c r="C90" s="32" t="s">
        <v>129</v>
      </c>
      <c r="D90" s="54" t="n">
        <v>406</v>
      </c>
      <c r="E90" s="54" t="n">
        <v>494</v>
      </c>
      <c r="F90" s="65" t="n">
        <f aca="false">IF(E90="","",D90-E90)</f>
        <v>-88</v>
      </c>
      <c r="G90" s="54" t="n">
        <v>561</v>
      </c>
      <c r="H90" s="54" t="n">
        <v>601</v>
      </c>
      <c r="I90" s="65" t="n">
        <f aca="false">IF(H90="","",G90-H90)</f>
        <v>-40</v>
      </c>
      <c r="J90" s="55" t="n">
        <f aca="false">IF(OR(D90="",D90+G90=0),"",D90/(D90+G90))</f>
        <v>0.419855222337125</v>
      </c>
      <c r="K90" s="55" t="n">
        <f aca="false">IF(E90="","",E90/(E90+H90))</f>
        <v>0.451141552511416</v>
      </c>
      <c r="L90" s="66" t="n">
        <f aca="false">IF(OR(K90="",J90=""),"",(J90-K90)*100)</f>
        <v>-3.12863301742904</v>
      </c>
      <c r="M90" s="36" t="n">
        <v>3.67164034925888</v>
      </c>
      <c r="N90" s="36" t="n">
        <v>2.06051271468277</v>
      </c>
      <c r="O90" s="36" t="n">
        <f aca="false">SQRT(M90^2+N90^2)</f>
        <v>4.21030349282272</v>
      </c>
      <c r="P90" s="55" t="n">
        <f aca="false">IF(J90="","",MAX(0,J90-1.96*O90/100))</f>
        <v>0.3373332738778</v>
      </c>
      <c r="Q90" s="55" t="n">
        <f aca="false">IF(J90="","",MIN(1,J90+1.96*O90/100))</f>
        <v>0.502377170796451</v>
      </c>
      <c r="R90" s="32" t="str">
        <f aca="false">IF(L90="","",IF(ABS(L90)&lt;=O90,"Yes","No"))</f>
        <v>Yes</v>
      </c>
      <c r="S90" s="32" t="str">
        <f aca="false">IF(L90="","",IF(ABS(L90)&lt;=1.96*O90,"Yes","No"))</f>
        <v>Yes</v>
      </c>
      <c r="T90" s="54" t="n">
        <f aca="false">IF(D90="","",ROUND(SQRT(((D90+G90)*O90/100)^2+(J90*(D90+G90)*0.07872)^2),0))</f>
        <v>52</v>
      </c>
      <c r="U90" s="32"/>
    </row>
    <row r="92" customFormat="false" ht="15" hidden="false" customHeight="false" outlineLevel="0" collapsed="false">
      <c r="A92" s="20" t="s">
        <v>351</v>
      </c>
      <c r="B92" s="67"/>
      <c r="C92" s="67"/>
      <c r="D92" s="68" t="n">
        <f aca="false">SUMIF(E2:E90,"&lt;&gt;",D2:D90)</f>
        <v>140536</v>
      </c>
      <c r="E92" s="68" t="n">
        <f aca="false">SUM(E2:E90)</f>
        <v>151364</v>
      </c>
      <c r="F92" s="69" t="n">
        <f aca="false">D92-E92</f>
        <v>-10828</v>
      </c>
      <c r="G92" s="68" t="n">
        <f aca="false">SUMIF(H2:H90,"&lt;&gt;",G2:G90)</f>
        <v>138511</v>
      </c>
      <c r="H92" s="68" t="n">
        <f aca="false">SUM(H2:H90)</f>
        <v>145527</v>
      </c>
      <c r="I92" s="69" t="n">
        <f aca="false">G92-H92</f>
        <v>-7016</v>
      </c>
      <c r="J92" s="70" t="n">
        <f aca="false">D92/(D92+G92)</f>
        <v>0.503628421018681</v>
      </c>
      <c r="K92" s="70" t="n">
        <f aca="false">E92/(E92+H92)</f>
        <v>0.509830207045683</v>
      </c>
      <c r="L92" s="71" t="n">
        <f aca="false">(J92-K92)*100</f>
        <v>-0.620178602700194</v>
      </c>
      <c r="M92" s="72" t="n">
        <v>0</v>
      </c>
      <c r="N92" s="72" t="n">
        <v>2.06051271468277</v>
      </c>
      <c r="O92" s="72" t="n">
        <f aca="false">SQRT(M92^2+N92^2)</f>
        <v>2.06051271468277</v>
      </c>
      <c r="P92" s="70" t="n">
        <f aca="false">J92-1.96*O92/100</f>
        <v>0.463242371810899</v>
      </c>
      <c r="Q92" s="70" t="n">
        <f aca="false">J92+1.96*O92/100</f>
        <v>0.544014470226464</v>
      </c>
      <c r="R92" s="67" t="str">
        <f aca="false">IF(ABS(L92)&lt;=O92,"Yes","No")</f>
        <v>Yes</v>
      </c>
      <c r="S92" s="67" t="str">
        <f aca="false">IF(ABS(L92)&lt;=1.96*O92,"Yes","No")</f>
        <v>Yes</v>
      </c>
      <c r="T92" s="68" t="n">
        <f aca="false">ROUND(SQRT(((D92+G92)*O92/100)^2+(J92*(D92+G92)*0.03653)^2),0)</f>
        <v>7708</v>
      </c>
    </row>
    <row r="93" customFormat="false" ht="15" hidden="false" customHeight="false" outlineLevel="0" collapsed="false">
      <c r="A93" s="20" t="s">
        <v>352</v>
      </c>
      <c r="B93" s="67"/>
      <c r="C93" s="67"/>
      <c r="D93" s="68" t="n">
        <f aca="false">SUM(D2:D90)</f>
        <v>140536</v>
      </c>
      <c r="E93" s="68"/>
      <c r="F93" s="69"/>
      <c r="G93" s="68" t="n">
        <f aca="false">SUM(G2:G90)</f>
        <v>138511</v>
      </c>
      <c r="H93" s="68"/>
      <c r="I93" s="69"/>
      <c r="J93" s="70" t="n">
        <f aca="false">D93/(D93+G93)</f>
        <v>0.503628421018681</v>
      </c>
      <c r="K93" s="70"/>
      <c r="L93" s="71"/>
      <c r="M93" s="72"/>
      <c r="N93" s="72"/>
      <c r="O93" s="72"/>
      <c r="P93" s="70"/>
      <c r="Q93" s="70"/>
      <c r="R93" s="67"/>
      <c r="S93" s="67"/>
      <c r="T93" s="68"/>
    </row>
    <row r="95" customFormat="false" ht="15" hidden="false" customHeight="false" outlineLevel="0" collapsed="false">
      <c r="A95" s="2" t="s">
        <v>353</v>
      </c>
      <c r="F95" s="73" t="n">
        <f aca="false">(SUMIF(F2:F90,"&gt;0")-SUMIF(F2:F90,"&lt;0"))/COUNT(F2:F90)</f>
        <v>160.606741573034</v>
      </c>
    </row>
    <row r="96" customFormat="false" ht="15" hidden="false" customHeight="false" outlineLevel="0" collapsed="false">
      <c r="A96" s="2" t="s">
        <v>354</v>
      </c>
      <c r="F96" s="73" t="n">
        <f aca="false">(SUMIF(I2:I90,"&gt;0")-SUMIF(I2:I90,"&lt;0"))/COUNT(I2:I90)</f>
        <v>92.6966292134832</v>
      </c>
    </row>
    <row r="97" customFormat="false" ht="15" hidden="false" customHeight="false" outlineLevel="0" collapsed="false">
      <c r="A97" s="2" t="s">
        <v>355</v>
      </c>
      <c r="F97" s="74" t="n">
        <f aca="false">(SUMIF(L2:L90,"&gt;0")-SUMIF(L2:L90,"&lt;0"))/COUNT(L2:L90)</f>
        <v>1.81384796765708</v>
      </c>
    </row>
    <row r="98" customFormat="false" ht="15" hidden="false" customHeight="false" outlineLevel="0" collapsed="false">
      <c r="A98" s="5" t="s">
        <v>356</v>
      </c>
      <c r="F98" s="75" t="n">
        <f aca="false">SQRT(SUMSQ(L2:L90)/COUNT(L2:L90))</f>
        <v>2.29194103435516</v>
      </c>
    </row>
    <row r="99" customFormat="false" ht="15" hidden="false" customHeight="false" outlineLevel="0" collapsed="false">
      <c r="A99" s="5" t="s">
        <v>357</v>
      </c>
      <c r="F99" s="76" t="n">
        <f aca="false">L92</f>
        <v>-0.620178602700194</v>
      </c>
    </row>
    <row r="100" customFormat="false" ht="15" hidden="false" customHeight="false" outlineLevel="0" collapsed="false">
      <c r="A100" s="5" t="s">
        <v>358</v>
      </c>
      <c r="F100" s="75" t="n">
        <f aca="false">SQRT((SUMSQ(L2:L90)-2*L92*SUM(L2:L90)+COUNT(L2:L90)*L92^2)/COUNT(L2:L90))</f>
        <v>2.0522650843161</v>
      </c>
    </row>
    <row r="101" customFormat="false" ht="15" hidden="false" customHeight="false" outlineLevel="0" collapsed="false">
      <c r="A101" s="2" t="s">
        <v>359</v>
      </c>
      <c r="F101" s="77" t="n">
        <f aca="false">D92/E92-1</f>
        <v>-0.071536164477683</v>
      </c>
    </row>
    <row r="102" customFormat="false" ht="15" hidden="false" customHeight="false" outlineLevel="0" collapsed="false">
      <c r="A102" s="5" t="s">
        <v>360</v>
      </c>
      <c r="F102" s="78" t="n">
        <f aca="false">G92/H92-1</f>
        <v>-0.0482109849031451</v>
      </c>
    </row>
    <row r="103" customFormat="false" ht="15" hidden="false" customHeight="false" outlineLevel="0" collapsed="false">
      <c r="A103" s="2" t="s">
        <v>361</v>
      </c>
      <c r="F103" s="77" t="n">
        <f aca="false">(D92+G92)/(E92+H92)-1</f>
        <v>-0.0601028660350095</v>
      </c>
    </row>
    <row r="104" customFormat="false" ht="15" hidden="false" customHeight="false" outlineLevel="0" collapsed="false">
      <c r="A104" s="2" t="s">
        <v>362</v>
      </c>
      <c r="F104" s="74" t="n">
        <f aca="false">AVERAGE(O2:O90)</f>
        <v>3.33833604864394</v>
      </c>
    </row>
    <row r="105" customFormat="false" ht="15" hidden="false" customHeight="false" outlineLevel="0" collapsed="false">
      <c r="A105" s="5" t="s">
        <v>363</v>
      </c>
      <c r="F105" s="79" t="n">
        <f aca="false">COUNTIF(R2:R90,"Yes")/(COUNTIF(R2:R90,"Yes")+COUNTIF(R2:R90,"No"))</f>
        <v>0.808988764044944</v>
      </c>
    </row>
    <row r="106" customFormat="false" ht="15" hidden="false" customHeight="false" outlineLevel="0" collapsed="false">
      <c r="A106" s="5" t="s">
        <v>364</v>
      </c>
      <c r="F106" s="79" t="n">
        <f aca="false">COUNTIF(S2:S90,"Yes")/(COUNTIF(S2:S90,"Yes")+COUNTIF(S2:S90,"No"))</f>
        <v>1</v>
      </c>
    </row>
    <row r="107" customFormat="false" ht="15" hidden="false" customHeight="false" outlineLevel="0" collapsed="false">
      <c r="A107" s="2" t="s">
        <v>365</v>
      </c>
      <c r="F107" s="80" t="n">
        <f aca="false">COUNTIFS(L2:L90,"&gt;=-3",L2:L90,"&lt;=3")/COUNT(L2:L90)</f>
        <v>0.820224719101124</v>
      </c>
    </row>
    <row r="108" customFormat="false" ht="15" hidden="false" customHeight="false" outlineLevel="0" collapsed="false">
      <c r="A108" s="2" t="s">
        <v>382</v>
      </c>
      <c r="F108" s="81" t="n">
        <f aca="false">COUNT(E2:E90)</f>
        <v>89</v>
      </c>
    </row>
    <row r="109" customFormat="false" ht="15" hidden="false" customHeight="false" outlineLevel="0" collapsed="false">
      <c r="A109" s="2" t="s">
        <v>367</v>
      </c>
      <c r="F109" s="81" t="n">
        <f aca="false">COUNTA(A2:A90)</f>
        <v>89</v>
      </c>
    </row>
    <row r="111" customFormat="false" ht="15" hidden="false" customHeight="false" outlineLevel="0" collapsed="false">
      <c r="U111" s="5" t="s">
        <v>104</v>
      </c>
    </row>
    <row r="112" customFormat="false" ht="28.35" hidden="false" customHeight="false" outlineLevel="0" collapsed="false">
      <c r="U112" s="64" t="s">
        <v>383</v>
      </c>
    </row>
    <row r="113" customFormat="false" ht="15" hidden="false" customHeight="false" outlineLevel="0" collapsed="false">
      <c r="U113" s="64" t="s">
        <v>369</v>
      </c>
    </row>
    <row r="114" customFormat="false" ht="55.2" hidden="false" customHeight="false" outlineLevel="0" collapsed="false">
      <c r="U114" s="64" t="s">
        <v>390</v>
      </c>
    </row>
    <row r="115" customFormat="false" ht="15" hidden="false" customHeight="false" outlineLevel="0" collapsed="false">
      <c r="U115" s="64" t="s">
        <v>385</v>
      </c>
    </row>
    <row r="116" customFormat="false" ht="28.35" hidden="false" customHeight="false" outlineLevel="0" collapsed="false">
      <c r="U116" s="64" t="s">
        <v>386</v>
      </c>
    </row>
    <row r="117" customFormat="false" ht="28.35" hidden="false" customHeight="false" outlineLevel="0" collapsed="false">
      <c r="U117" s="64" t="s">
        <v>387</v>
      </c>
    </row>
    <row r="118" customFormat="false" ht="28.35" hidden="false" customHeight="false" outlineLevel="0" collapsed="false">
      <c r="U118" s="64" t="s">
        <v>374</v>
      </c>
    </row>
    <row r="119" customFormat="false" ht="41.75" hidden="false" customHeight="false" outlineLevel="0" collapsed="false">
      <c r="U119" s="64" t="s">
        <v>388</v>
      </c>
    </row>
    <row r="120" customFormat="false" ht="15" hidden="false" customHeight="false" outlineLevel="0" collapsed="false">
      <c r="U120" s="64" t="s">
        <v>389</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77</v>
      </c>
      <c r="B1" s="8" t="s">
        <v>78</v>
      </c>
      <c r="C1" s="8" t="s">
        <v>79</v>
      </c>
      <c r="D1" s="8" t="s">
        <v>334</v>
      </c>
      <c r="E1" s="8" t="s">
        <v>335</v>
      </c>
      <c r="F1" s="8" t="s">
        <v>336</v>
      </c>
      <c r="G1" s="8" t="s">
        <v>379</v>
      </c>
      <c r="H1" s="8" t="s">
        <v>338</v>
      </c>
      <c r="I1" s="8" t="s">
        <v>339</v>
      </c>
      <c r="J1" s="8" t="s">
        <v>340</v>
      </c>
      <c r="K1" s="8" t="s">
        <v>341</v>
      </c>
      <c r="L1" s="8" t="s">
        <v>342</v>
      </c>
      <c r="M1" s="8" t="s">
        <v>380</v>
      </c>
      <c r="N1" s="8" t="s">
        <v>381</v>
      </c>
      <c r="O1" s="8" t="s">
        <v>107</v>
      </c>
      <c r="P1" s="8" t="s">
        <v>345</v>
      </c>
      <c r="Q1" s="8" t="s">
        <v>346</v>
      </c>
      <c r="R1" s="8" t="s">
        <v>347</v>
      </c>
      <c r="S1" s="8" t="s">
        <v>348</v>
      </c>
      <c r="T1" s="8" t="s">
        <v>349</v>
      </c>
      <c r="U1" s="8" t="s">
        <v>350</v>
      </c>
    </row>
    <row r="2" customFormat="false" ht="15" hidden="false" customHeight="false" outlineLevel="0" collapsed="false">
      <c r="A2" s="32" t="s">
        <v>127</v>
      </c>
      <c r="B2" s="32" t="s">
        <v>128</v>
      </c>
      <c r="C2" s="32" t="s">
        <v>129</v>
      </c>
      <c r="D2" s="54" t="n">
        <v>126</v>
      </c>
      <c r="E2" s="54" t="n">
        <v>137</v>
      </c>
      <c r="F2" s="65" t="n">
        <f aca="false">IF(E2="","",D2-E2)</f>
        <v>-11</v>
      </c>
      <c r="G2" s="54" t="n">
        <v>219</v>
      </c>
      <c r="H2" s="54" t="n">
        <v>249</v>
      </c>
      <c r="I2" s="65" t="n">
        <f aca="false">IF(H2="","",G2-H2)</f>
        <v>-30</v>
      </c>
      <c r="J2" s="55" t="n">
        <f aca="false">IF(OR(D2="",D2+G2=0),"",D2/(D2+G2))</f>
        <v>0.365217391304348</v>
      </c>
      <c r="K2" s="55" t="n">
        <f aca="false">IF(E2="","",E2/(E2+H2))</f>
        <v>0.354922279792746</v>
      </c>
      <c r="L2" s="66" t="n">
        <f aca="false">IF(OR(K2="",J2=""),"",(J2-K2)*100)</f>
        <v>1.02951115116017</v>
      </c>
      <c r="M2" s="36" t="n">
        <v>3.70014007986767</v>
      </c>
      <c r="N2" s="36" t="n">
        <v>2.06013257114913</v>
      </c>
      <c r="O2" s="36" t="n">
        <f aca="false">SQRT(M2^2+N2^2)</f>
        <v>4.23499502022761</v>
      </c>
      <c r="P2" s="55" t="n">
        <f aca="false">IF(J2="","",MAX(0,J2-1.96*O2/100))</f>
        <v>0.282211488907887</v>
      </c>
      <c r="Q2" s="55" t="n">
        <f aca="false">IF(J2="","",MIN(1,J2+1.96*O2/100))</f>
        <v>0.448223293700809</v>
      </c>
      <c r="R2" s="32" t="str">
        <f aca="false">IF(L2="","",IF(ABS(L2)&lt;=O2,"Yes","No"))</f>
        <v>Yes</v>
      </c>
      <c r="S2" s="32" t="str">
        <f aca="false">IF(L2="","",IF(ABS(L2)&lt;=1.96*O2,"Yes","No"))</f>
        <v>Yes</v>
      </c>
      <c r="T2" s="54" t="n">
        <f aca="false">IF(D2="","",ROUND(SQRT(((D2+G2)*O2/100)^2+(J2*(D2+G2)*0.07872)^2),0))</f>
        <v>18</v>
      </c>
      <c r="U2" s="32"/>
    </row>
    <row r="3" customFormat="false" ht="15" hidden="false" customHeight="false" outlineLevel="0" collapsed="false">
      <c r="A3" s="32" t="s">
        <v>127</v>
      </c>
      <c r="B3" s="32" t="s">
        <v>133</v>
      </c>
      <c r="C3" s="32" t="s">
        <v>129</v>
      </c>
      <c r="D3" s="54" t="n">
        <v>71</v>
      </c>
      <c r="E3" s="54" t="n">
        <v>84</v>
      </c>
      <c r="F3" s="65" t="n">
        <f aca="false">IF(E3="","",D3-E3)</f>
        <v>-13</v>
      </c>
      <c r="G3" s="54" t="n">
        <v>207</v>
      </c>
      <c r="H3" s="54" t="n">
        <v>230</v>
      </c>
      <c r="I3" s="65" t="n">
        <f aca="false">IF(H3="","",G3-H3)</f>
        <v>-23</v>
      </c>
      <c r="J3" s="55" t="n">
        <f aca="false">IF(OR(D3="",D3+G3=0),"",D3/(D3+G3))</f>
        <v>0.255395683453237</v>
      </c>
      <c r="K3" s="55" t="n">
        <f aca="false">IF(E3="","",E3/(E3+H3))</f>
        <v>0.267515923566879</v>
      </c>
      <c r="L3" s="66" t="n">
        <f aca="false">IF(OR(K3="",J3=""),"",(J3-K3)*100)</f>
        <v>-1.21202401136415</v>
      </c>
      <c r="M3" s="36" t="n">
        <v>3.70014007986767</v>
      </c>
      <c r="N3" s="36" t="n">
        <v>2.06013257114913</v>
      </c>
      <c r="O3" s="36" t="n">
        <f aca="false">SQRT(M3^2+N3^2)</f>
        <v>4.23499502022761</v>
      </c>
      <c r="P3" s="55" t="n">
        <f aca="false">IF(J3="","",MAX(0,J3-1.96*O3/100))</f>
        <v>0.172389781056776</v>
      </c>
      <c r="Q3" s="55" t="n">
        <f aca="false">IF(J3="","",MIN(1,J3+1.96*O3/100))</f>
        <v>0.338401585849699</v>
      </c>
      <c r="R3" s="32" t="str">
        <f aca="false">IF(L3="","",IF(ABS(L3)&lt;=O3,"Yes","No"))</f>
        <v>Yes</v>
      </c>
      <c r="S3" s="32" t="str">
        <f aca="false">IF(L3="","",IF(ABS(L3)&lt;=1.96*O3,"Yes","No"))</f>
        <v>Yes</v>
      </c>
      <c r="T3" s="54" t="n">
        <f aca="false">IF(D3="","",ROUND(SQRT(((D3+G3)*O3/100)^2+(J3*(D3+G3)*0.07872)^2),0))</f>
        <v>13</v>
      </c>
      <c r="U3" s="32"/>
    </row>
    <row r="4" customFormat="false" ht="15" hidden="false" customHeight="false" outlineLevel="0" collapsed="false">
      <c r="A4" s="32" t="s">
        <v>127</v>
      </c>
      <c r="B4" s="32" t="s">
        <v>134</v>
      </c>
      <c r="C4" s="32" t="s">
        <v>129</v>
      </c>
      <c r="D4" s="54" t="n">
        <v>81</v>
      </c>
      <c r="E4" s="54" t="n">
        <v>125</v>
      </c>
      <c r="F4" s="65" t="n">
        <f aca="false">IF(E4="","",D4-E4)</f>
        <v>-44</v>
      </c>
      <c r="G4" s="54" t="n">
        <v>207</v>
      </c>
      <c r="H4" s="54" t="n">
        <v>223</v>
      </c>
      <c r="I4" s="65" t="n">
        <f aca="false">IF(H4="","",G4-H4)</f>
        <v>-16</v>
      </c>
      <c r="J4" s="55" t="n">
        <f aca="false">IF(OR(D4="",D4+G4=0),"",D4/(D4+G4))</f>
        <v>0.28125</v>
      </c>
      <c r="K4" s="55" t="n">
        <f aca="false">IF(E4="","",E4/(E4+H4))</f>
        <v>0.359195402298851</v>
      </c>
      <c r="L4" s="66" t="n">
        <f aca="false">IF(OR(K4="",J4=""),"",(J4-K4)*100)</f>
        <v>-7.79454022988506</v>
      </c>
      <c r="M4" s="36" t="n">
        <v>3.70014007986767</v>
      </c>
      <c r="N4" s="36" t="n">
        <v>2.06013257114913</v>
      </c>
      <c r="O4" s="36" t="n">
        <f aca="false">SQRT(M4^2+N4^2)</f>
        <v>4.23499502022761</v>
      </c>
      <c r="P4" s="55" t="n">
        <f aca="false">IF(J4="","",MAX(0,J4-1.96*O4/100))</f>
        <v>0.198244097603539</v>
      </c>
      <c r="Q4" s="55" t="n">
        <f aca="false">IF(J4="","",MIN(1,J4+1.96*O4/100))</f>
        <v>0.364255902396461</v>
      </c>
      <c r="R4" s="32" t="str">
        <f aca="false">IF(L4="","",IF(ABS(L4)&lt;=O4,"Yes","No"))</f>
        <v>No</v>
      </c>
      <c r="S4" s="32" t="str">
        <f aca="false">IF(L4="","",IF(ABS(L4)&lt;=1.96*O4,"Yes","No"))</f>
        <v>Yes</v>
      </c>
      <c r="T4" s="54" t="n">
        <f aca="false">IF(D4="","",ROUND(SQRT(((D4+G4)*O4/100)^2+(J4*(D4+G4)*0.07872)^2),0))</f>
        <v>14</v>
      </c>
      <c r="U4" s="32"/>
    </row>
    <row r="5" customFormat="false" ht="15" hidden="false" customHeight="false" outlineLevel="0" collapsed="false">
      <c r="A5" s="32" t="s">
        <v>127</v>
      </c>
      <c r="B5" s="32" t="s">
        <v>135</v>
      </c>
      <c r="C5" s="32" t="s">
        <v>129</v>
      </c>
      <c r="D5" s="54" t="n">
        <v>281</v>
      </c>
      <c r="E5" s="54" t="n">
        <v>372</v>
      </c>
      <c r="F5" s="65" t="n">
        <f aca="false">IF(E5="","",D5-E5)</f>
        <v>-91</v>
      </c>
      <c r="G5" s="54" t="n">
        <v>850</v>
      </c>
      <c r="H5" s="54" t="n">
        <v>925</v>
      </c>
      <c r="I5" s="65" t="n">
        <f aca="false">IF(H5="","",G5-H5)</f>
        <v>-75</v>
      </c>
      <c r="J5" s="55" t="n">
        <f aca="false">IF(OR(D5="",D5+G5=0),"",D5/(D5+G5))</f>
        <v>0.248452696728559</v>
      </c>
      <c r="K5" s="55" t="n">
        <f aca="false">IF(E5="","",E5/(E5+H5))</f>
        <v>0.286815728604472</v>
      </c>
      <c r="L5" s="66" t="n">
        <f aca="false">IF(OR(K5="",J5=""),"",(J5-K5)*100)</f>
        <v>-3.83630318759131</v>
      </c>
      <c r="M5" s="36" t="n">
        <v>2.38324489930066</v>
      </c>
      <c r="N5" s="36" t="n">
        <v>2.06013257114913</v>
      </c>
      <c r="O5" s="36" t="n">
        <f aca="false">SQRT(M5^2+N5^2)</f>
        <v>3.1502384768065</v>
      </c>
      <c r="P5" s="55" t="n">
        <f aca="false">IF(J5="","",MAX(0,J5-1.96*O5/100))</f>
        <v>0.186708022583151</v>
      </c>
      <c r="Q5" s="55" t="n">
        <f aca="false">IF(J5="","",MIN(1,J5+1.96*O5/100))</f>
        <v>0.310197370873966</v>
      </c>
      <c r="R5" s="32" t="str">
        <f aca="false">IF(L5="","",IF(ABS(L5)&lt;=O5,"Yes","No"))</f>
        <v>No</v>
      </c>
      <c r="S5" s="32" t="str">
        <f aca="false">IF(L5="","",IF(ABS(L5)&lt;=1.96*O5,"Yes","No"))</f>
        <v>Yes</v>
      </c>
      <c r="T5" s="54" t="n">
        <f aca="false">IF(D5="","",ROUND(SQRT(((D5+G5)*O5/100)^2+(J5*(D5+G5)*0.05883)^2),0))</f>
        <v>39</v>
      </c>
      <c r="U5" s="32"/>
    </row>
    <row r="6" customFormat="false" ht="15" hidden="false" customHeight="false" outlineLevel="0" collapsed="false">
      <c r="A6" s="32" t="s">
        <v>127</v>
      </c>
      <c r="B6" s="32" t="s">
        <v>137</v>
      </c>
      <c r="C6" s="32" t="s">
        <v>129</v>
      </c>
      <c r="D6" s="54" t="n">
        <v>29</v>
      </c>
      <c r="E6" s="54" t="n">
        <v>33</v>
      </c>
      <c r="F6" s="65" t="n">
        <f aca="false">IF(E6="","",D6-E6)</f>
        <v>-4</v>
      </c>
      <c r="G6" s="54" t="n">
        <v>47</v>
      </c>
      <c r="H6" s="54" t="n">
        <v>61</v>
      </c>
      <c r="I6" s="65" t="n">
        <f aca="false">IF(H6="","",G6-H6)</f>
        <v>-14</v>
      </c>
      <c r="J6" s="55" t="n">
        <f aca="false">IF(OR(D6="",D6+G6=0),"",D6/(D6+G6))</f>
        <v>0.381578947368421</v>
      </c>
      <c r="K6" s="55" t="n">
        <f aca="false">IF(E6="","",E6/(E6+H6))</f>
        <v>0.351063829787234</v>
      </c>
      <c r="L6" s="66" t="n">
        <f aca="false">IF(OR(K6="",J6=""),"",(J6-K6)*100)</f>
        <v>3.0515117581187</v>
      </c>
      <c r="M6" s="36" t="n">
        <v>3.70014007986767</v>
      </c>
      <c r="N6" s="36" t="n">
        <v>2.06013257114913</v>
      </c>
      <c r="O6" s="36" t="n">
        <f aca="false">SQRT(M6^2+N6^2)</f>
        <v>4.23499502022761</v>
      </c>
      <c r="P6" s="55" t="n">
        <f aca="false">IF(J6="","",MAX(0,J6-1.96*O6/100))</f>
        <v>0.29857304497196</v>
      </c>
      <c r="Q6" s="55" t="n">
        <f aca="false">IF(J6="","",MIN(1,J6+1.96*O6/100))</f>
        <v>0.464584849764882</v>
      </c>
      <c r="R6" s="32" t="str">
        <f aca="false">IF(L6="","",IF(ABS(L6)&lt;=O6,"Yes","No"))</f>
        <v>Yes</v>
      </c>
      <c r="S6" s="32" t="str">
        <f aca="false">IF(L6="","",IF(ABS(L6)&lt;=1.96*O6,"Yes","No"))</f>
        <v>Yes</v>
      </c>
      <c r="T6" s="54" t="n">
        <f aca="false">IF(D6="","",ROUND(SQRT(((D6+G6)*O6/100)^2+(J6*(D6+G6)*0.07872)^2),0))</f>
        <v>4</v>
      </c>
      <c r="U6" s="32"/>
    </row>
    <row r="7" customFormat="false" ht="15" hidden="false" customHeight="false" outlineLevel="0" collapsed="false">
      <c r="A7" s="32" t="s">
        <v>127</v>
      </c>
      <c r="B7" s="32" t="s">
        <v>138</v>
      </c>
      <c r="C7" s="32" t="s">
        <v>129</v>
      </c>
      <c r="D7" s="54" t="n">
        <v>438</v>
      </c>
      <c r="E7" s="54" t="n">
        <v>560</v>
      </c>
      <c r="F7" s="65" t="n">
        <f aca="false">IF(E7="","",D7-E7)</f>
        <v>-122</v>
      </c>
      <c r="G7" s="54" t="n">
        <v>1291</v>
      </c>
      <c r="H7" s="54" t="n">
        <v>1398</v>
      </c>
      <c r="I7" s="65" t="n">
        <f aca="false">IF(H7="","",G7-H7)</f>
        <v>-107</v>
      </c>
      <c r="J7" s="55" t="n">
        <f aca="false">IF(OR(D7="",D7+G7=0),"",D7/(D7+G7))</f>
        <v>0.253325621746674</v>
      </c>
      <c r="K7" s="55" t="n">
        <f aca="false">IF(E7="","",E7/(E7+H7))</f>
        <v>0.286006128702758</v>
      </c>
      <c r="L7" s="66" t="n">
        <f aca="false">IF(OR(K7="",J7=""),"",(J7-K7)*100)</f>
        <v>-3.26805069560835</v>
      </c>
      <c r="M7" s="36" t="n">
        <v>2.38324489930066</v>
      </c>
      <c r="N7" s="36" t="n">
        <v>2.06013257114913</v>
      </c>
      <c r="O7" s="36" t="n">
        <f aca="false">SQRT(M7^2+N7^2)</f>
        <v>3.1502384768065</v>
      </c>
      <c r="P7" s="55" t="n">
        <f aca="false">IF(J7="","",MAX(0,J7-1.96*O7/100))</f>
        <v>0.191580947601267</v>
      </c>
      <c r="Q7" s="55" t="n">
        <f aca="false">IF(J7="","",MIN(1,J7+1.96*O7/100))</f>
        <v>0.315070295892082</v>
      </c>
      <c r="R7" s="32" t="str">
        <f aca="false">IF(L7="","",IF(ABS(L7)&lt;=O7,"Yes","No"))</f>
        <v>No</v>
      </c>
      <c r="S7" s="32" t="str">
        <f aca="false">IF(L7="","",IF(ABS(L7)&lt;=1.96*O7,"Yes","No"))</f>
        <v>Yes</v>
      </c>
      <c r="T7" s="54" t="n">
        <f aca="false">IF(D7="","",ROUND(SQRT(((D7+G7)*O7/100)^2+(J7*(D7+G7)*0.05883)^2),0))</f>
        <v>60</v>
      </c>
      <c r="U7" s="32"/>
    </row>
    <row r="8" customFormat="false" ht="15" hidden="false" customHeight="false" outlineLevel="0" collapsed="false">
      <c r="A8" s="32" t="s">
        <v>127</v>
      </c>
      <c r="B8" s="32" t="s">
        <v>139</v>
      </c>
      <c r="C8" s="32" t="s">
        <v>129</v>
      </c>
      <c r="D8" s="54" t="n">
        <v>773</v>
      </c>
      <c r="E8" s="54" t="n">
        <v>979</v>
      </c>
      <c r="F8" s="65" t="n">
        <f aca="false">IF(E8="","",D8-E8)</f>
        <v>-206</v>
      </c>
      <c r="G8" s="54" t="n">
        <v>1078</v>
      </c>
      <c r="H8" s="54" t="n">
        <v>1157</v>
      </c>
      <c r="I8" s="65" t="n">
        <f aca="false">IF(H8="","",G8-H8)</f>
        <v>-79</v>
      </c>
      <c r="J8" s="55" t="n">
        <f aca="false">IF(OR(D8="",D8+G8=0),"",D8/(D8+G8))</f>
        <v>0.417612101566721</v>
      </c>
      <c r="K8" s="55" t="n">
        <f aca="false">IF(E8="","",E8/(E8+H8))</f>
        <v>0.458333333333333</v>
      </c>
      <c r="L8" s="66" t="n">
        <f aca="false">IF(OR(K8="",J8=""),"",(J8-K8)*100)</f>
        <v>-4.07212317666126</v>
      </c>
      <c r="M8" s="36" t="n">
        <v>2.38324489930066</v>
      </c>
      <c r="N8" s="36" t="n">
        <v>2.06013257114913</v>
      </c>
      <c r="O8" s="36" t="n">
        <f aca="false">SQRT(M8^2+N8^2)</f>
        <v>3.1502384768065</v>
      </c>
      <c r="P8" s="55" t="n">
        <f aca="false">IF(J8="","",MAX(0,J8-1.96*O8/100))</f>
        <v>0.355867427421313</v>
      </c>
      <c r="Q8" s="55" t="n">
        <f aca="false">IF(J8="","",MIN(1,J8+1.96*O8/100))</f>
        <v>0.479356775712128</v>
      </c>
      <c r="R8" s="32" t="str">
        <f aca="false">IF(L8="","",IF(ABS(L8)&lt;=O8,"Yes","No"))</f>
        <v>No</v>
      </c>
      <c r="S8" s="32" t="str">
        <f aca="false">IF(L8="","",IF(ABS(L8)&lt;=1.96*O8,"Yes","No"))</f>
        <v>Yes</v>
      </c>
      <c r="T8" s="54" t="n">
        <f aca="false">IF(D8="","",ROUND(SQRT(((D8+G8)*O8/100)^2+(J8*(D8+G8)*0.05883)^2),0))</f>
        <v>74</v>
      </c>
      <c r="U8" s="32"/>
    </row>
    <row r="9" customFormat="false" ht="15" hidden="false" customHeight="false" outlineLevel="0" collapsed="false">
      <c r="A9" s="32" t="s">
        <v>127</v>
      </c>
      <c r="B9" s="32" t="s">
        <v>140</v>
      </c>
      <c r="C9" s="32" t="s">
        <v>129</v>
      </c>
      <c r="D9" s="54" t="n">
        <v>240</v>
      </c>
      <c r="E9" s="54" t="n">
        <v>277</v>
      </c>
      <c r="F9" s="65" t="n">
        <f aca="false">IF(E9="","",D9-E9)</f>
        <v>-37</v>
      </c>
      <c r="G9" s="54" t="n">
        <v>569</v>
      </c>
      <c r="H9" s="54" t="n">
        <v>560</v>
      </c>
      <c r="I9" s="65" t="n">
        <f aca="false">IF(H9="","",G9-H9)</f>
        <v>9</v>
      </c>
      <c r="J9" s="55" t="n">
        <f aca="false">IF(OR(D9="",D9+G9=0),"",D9/(D9+G9))</f>
        <v>0.296662546353523</v>
      </c>
      <c r="K9" s="55" t="n">
        <f aca="false">IF(E9="","",E9/(E9+H9))</f>
        <v>0.330943847072879</v>
      </c>
      <c r="L9" s="66" t="n">
        <f aca="false">IF(OR(K9="",J9=""),"",(J9-K9)*100)</f>
        <v>-3.42813007193565</v>
      </c>
      <c r="M9" s="36" t="n">
        <v>3.70014007986767</v>
      </c>
      <c r="N9" s="36" t="n">
        <v>2.06013257114913</v>
      </c>
      <c r="O9" s="36" t="n">
        <f aca="false">SQRT(M9^2+N9^2)</f>
        <v>4.23499502022761</v>
      </c>
      <c r="P9" s="55" t="n">
        <f aca="false">IF(J9="","",MAX(0,J9-1.96*O9/100))</f>
        <v>0.213656643957062</v>
      </c>
      <c r="Q9" s="55" t="n">
        <f aca="false">IF(J9="","",MIN(1,J9+1.96*O9/100))</f>
        <v>0.379668448749984</v>
      </c>
      <c r="R9" s="32" t="str">
        <f aca="false">IF(L9="","",IF(ABS(L9)&lt;=O9,"Yes","No"))</f>
        <v>Yes</v>
      </c>
      <c r="S9" s="32" t="str">
        <f aca="false">IF(L9="","",IF(ABS(L9)&lt;=1.96*O9,"Yes","No"))</f>
        <v>Yes</v>
      </c>
      <c r="T9" s="54" t="n">
        <f aca="false">IF(D9="","",ROUND(SQRT(((D9+G9)*O9/100)^2+(J9*(D9+G9)*0.07872)^2),0))</f>
        <v>39</v>
      </c>
      <c r="U9" s="32"/>
    </row>
    <row r="10" customFormat="false" ht="15" hidden="false" customHeight="false" outlineLevel="0" collapsed="false">
      <c r="A10" s="32" t="s">
        <v>127</v>
      </c>
      <c r="B10" s="32" t="s">
        <v>141</v>
      </c>
      <c r="C10" s="32" t="s">
        <v>129</v>
      </c>
      <c r="D10" s="54" t="n">
        <v>387</v>
      </c>
      <c r="E10" s="54" t="n">
        <v>420</v>
      </c>
      <c r="F10" s="65" t="n">
        <f aca="false">IF(E10="","",D10-E10)</f>
        <v>-33</v>
      </c>
      <c r="G10" s="54" t="n">
        <v>524</v>
      </c>
      <c r="H10" s="54" t="n">
        <v>580</v>
      </c>
      <c r="I10" s="65" t="n">
        <f aca="false">IF(H10="","",G10-H10)</f>
        <v>-56</v>
      </c>
      <c r="J10" s="55" t="n">
        <f aca="false">IF(OR(D10="",D10+G10=0),"",D10/(D10+G10))</f>
        <v>0.424807903402854</v>
      </c>
      <c r="K10" s="55" t="n">
        <f aca="false">IF(E10="","",E10/(E10+H10))</f>
        <v>0.42</v>
      </c>
      <c r="L10" s="66" t="n">
        <f aca="false">IF(OR(K10="",J10=""),"",(J10-K10)*100)</f>
        <v>0.480790340285403</v>
      </c>
      <c r="M10" s="36" t="n">
        <v>3.70014007986767</v>
      </c>
      <c r="N10" s="36" t="n">
        <v>2.06013257114913</v>
      </c>
      <c r="O10" s="36" t="n">
        <f aca="false">SQRT(M10^2+N10^2)</f>
        <v>4.23499502022761</v>
      </c>
      <c r="P10" s="55" t="n">
        <f aca="false">IF(J10="","",MAX(0,J10-1.96*O10/100))</f>
        <v>0.341802001006393</v>
      </c>
      <c r="Q10" s="55" t="n">
        <f aca="false">IF(J10="","",MIN(1,J10+1.96*O10/100))</f>
        <v>0.507813805799315</v>
      </c>
      <c r="R10" s="32" t="str">
        <f aca="false">IF(L10="","",IF(ABS(L10)&lt;=O10,"Yes","No"))</f>
        <v>Yes</v>
      </c>
      <c r="S10" s="32" t="str">
        <f aca="false">IF(L10="","",IF(ABS(L10)&lt;=1.96*O10,"Yes","No"))</f>
        <v>Yes</v>
      </c>
      <c r="T10" s="54" t="n">
        <f aca="false">IF(D10="","",ROUND(SQRT(((D10+G10)*O10/100)^2+(J10*(D10+G10)*0.07872)^2),0))</f>
        <v>49</v>
      </c>
      <c r="U10" s="32"/>
    </row>
    <row r="11" customFormat="false" ht="15" hidden="false" customHeight="false" outlineLevel="0" collapsed="false">
      <c r="A11" s="32" t="s">
        <v>127</v>
      </c>
      <c r="B11" s="32" t="s">
        <v>142</v>
      </c>
      <c r="C11" s="32" t="s">
        <v>129</v>
      </c>
      <c r="D11" s="54" t="n">
        <v>23</v>
      </c>
      <c r="E11" s="54" t="n">
        <v>36</v>
      </c>
      <c r="F11" s="65" t="n">
        <f aca="false">IF(E11="","",D11-E11)</f>
        <v>-13</v>
      </c>
      <c r="G11" s="54" t="n">
        <v>68</v>
      </c>
      <c r="H11" s="54" t="n">
        <v>79</v>
      </c>
      <c r="I11" s="65" t="n">
        <f aca="false">IF(H11="","",G11-H11)</f>
        <v>-11</v>
      </c>
      <c r="J11" s="55" t="n">
        <f aca="false">IF(OR(D11="",D11+G11=0),"",D11/(D11+G11))</f>
        <v>0.252747252747253</v>
      </c>
      <c r="K11" s="55" t="n">
        <f aca="false">IF(E11="","",E11/(E11+H11))</f>
        <v>0.31304347826087</v>
      </c>
      <c r="L11" s="66" t="n">
        <f aca="false">IF(OR(K11="",J11=""),"",(J11-K11)*100)</f>
        <v>-6.02962255136169</v>
      </c>
      <c r="M11" s="36" t="n">
        <v>3.70014007986767</v>
      </c>
      <c r="N11" s="36" t="n">
        <v>2.06013257114913</v>
      </c>
      <c r="O11" s="36" t="n">
        <f aca="false">SQRT(M11^2+N11^2)</f>
        <v>4.23499502022761</v>
      </c>
      <c r="P11" s="55" t="n">
        <f aca="false">IF(J11="","",MAX(0,J11-1.96*O11/100))</f>
        <v>0.169741350350792</v>
      </c>
      <c r="Q11" s="55" t="n">
        <f aca="false">IF(J11="","",MIN(1,J11+1.96*O11/100))</f>
        <v>0.335753155143714</v>
      </c>
      <c r="R11" s="32" t="str">
        <f aca="false">IF(L11="","",IF(ABS(L11)&lt;=O11,"Yes","No"))</f>
        <v>No</v>
      </c>
      <c r="S11" s="32" t="str">
        <f aca="false">IF(L11="","",IF(ABS(L11)&lt;=1.96*O11,"Yes","No"))</f>
        <v>Yes</v>
      </c>
      <c r="T11" s="54" t="n">
        <f aca="false">IF(D11="","",ROUND(SQRT(((D11+G11)*O11/100)^2+(J11*(D11+G11)*0.07872)^2),0))</f>
        <v>4</v>
      </c>
      <c r="U11" s="32"/>
    </row>
    <row r="12" customFormat="false" ht="15" hidden="false" customHeight="false" outlineLevel="0" collapsed="false">
      <c r="A12" s="32" t="s">
        <v>127</v>
      </c>
      <c r="B12" s="32" t="s">
        <v>143</v>
      </c>
      <c r="C12" s="32" t="s">
        <v>129</v>
      </c>
      <c r="D12" s="54" t="n">
        <v>45</v>
      </c>
      <c r="E12" s="54" t="n">
        <v>52</v>
      </c>
      <c r="F12" s="65" t="n">
        <f aca="false">IF(E12="","",D12-E12)</f>
        <v>-7</v>
      </c>
      <c r="G12" s="54" t="n">
        <v>154</v>
      </c>
      <c r="H12" s="54" t="n">
        <v>189</v>
      </c>
      <c r="I12" s="65" t="n">
        <f aca="false">IF(H12="","",G12-H12)</f>
        <v>-35</v>
      </c>
      <c r="J12" s="55" t="n">
        <f aca="false">IF(OR(D12="",D12+G12=0),"",D12/(D12+G12))</f>
        <v>0.226130653266332</v>
      </c>
      <c r="K12" s="55" t="n">
        <f aca="false">IF(E12="","",E12/(E12+H12))</f>
        <v>0.215767634854772</v>
      </c>
      <c r="L12" s="66" t="n">
        <f aca="false">IF(OR(K12="",J12=""),"",(J12-K12)*100)</f>
        <v>1.03630184115599</v>
      </c>
      <c r="M12" s="36" t="n">
        <v>3.70014007986767</v>
      </c>
      <c r="N12" s="36" t="n">
        <v>2.06013257114913</v>
      </c>
      <c r="O12" s="36" t="n">
        <f aca="false">SQRT(M12^2+N12^2)</f>
        <v>4.23499502022761</v>
      </c>
      <c r="P12" s="55" t="n">
        <f aca="false">IF(J12="","",MAX(0,J12-1.96*O12/100))</f>
        <v>0.143124750869871</v>
      </c>
      <c r="Q12" s="55" t="n">
        <f aca="false">IF(J12="","",MIN(1,J12+1.96*O12/100))</f>
        <v>0.309136555662793</v>
      </c>
      <c r="R12" s="32" t="str">
        <f aca="false">IF(L12="","",IF(ABS(L12)&lt;=O12,"Yes","No"))</f>
        <v>Yes</v>
      </c>
      <c r="S12" s="32" t="str">
        <f aca="false">IF(L12="","",IF(ABS(L12)&lt;=1.96*O12,"Yes","No"))</f>
        <v>Yes</v>
      </c>
      <c r="T12" s="54" t="n">
        <f aca="false">IF(D12="","",ROUND(SQRT(((D12+G12)*O12/100)^2+(J12*(D12+G12)*0.07872)^2),0))</f>
        <v>9</v>
      </c>
      <c r="U12" s="32"/>
    </row>
    <row r="13" customFormat="false" ht="15" hidden="false" customHeight="false" outlineLevel="0" collapsed="false">
      <c r="A13" s="32" t="s">
        <v>127</v>
      </c>
      <c r="B13" s="32" t="s">
        <v>144</v>
      </c>
      <c r="C13" s="32" t="s">
        <v>129</v>
      </c>
      <c r="D13" s="54" t="n">
        <v>587</v>
      </c>
      <c r="E13" s="54" t="n">
        <v>719</v>
      </c>
      <c r="F13" s="65" t="n">
        <f aca="false">IF(E13="","",D13-E13)</f>
        <v>-132</v>
      </c>
      <c r="G13" s="54" t="n">
        <v>889</v>
      </c>
      <c r="H13" s="54" t="n">
        <v>948</v>
      </c>
      <c r="I13" s="65" t="n">
        <f aca="false">IF(H13="","",G13-H13)</f>
        <v>-59</v>
      </c>
      <c r="J13" s="55" t="n">
        <f aca="false">IF(OR(D13="",D13+G13=0),"",D13/(D13+G13))</f>
        <v>0.39769647696477</v>
      </c>
      <c r="K13" s="55" t="n">
        <f aca="false">IF(E13="","",E13/(E13+H13))</f>
        <v>0.43131373725255</v>
      </c>
      <c r="L13" s="66" t="n">
        <f aca="false">IF(OR(K13="",J13=""),"",(J13-K13)*100)</f>
        <v>-3.36172602877798</v>
      </c>
      <c r="M13" s="36" t="n">
        <v>2.38324489930066</v>
      </c>
      <c r="N13" s="36" t="n">
        <v>2.06013257114913</v>
      </c>
      <c r="O13" s="36" t="n">
        <f aca="false">SQRT(M13^2+N13^2)</f>
        <v>3.1502384768065</v>
      </c>
      <c r="P13" s="55" t="n">
        <f aca="false">IF(J13="","",MAX(0,J13-1.96*O13/100))</f>
        <v>0.335951802819362</v>
      </c>
      <c r="Q13" s="55" t="n">
        <f aca="false">IF(J13="","",MIN(1,J13+1.96*O13/100))</f>
        <v>0.459441151110177</v>
      </c>
      <c r="R13" s="32" t="str">
        <f aca="false">IF(L13="","",IF(ABS(L13)&lt;=O13,"Yes","No"))</f>
        <v>No</v>
      </c>
      <c r="S13" s="32" t="str">
        <f aca="false">IF(L13="","",IF(ABS(L13)&lt;=1.96*O13,"Yes","No"))</f>
        <v>Yes</v>
      </c>
      <c r="T13" s="54" t="n">
        <f aca="false">IF(D13="","",ROUND(SQRT(((D13+G13)*O13/100)^2+(J13*(D13+G13)*0.05883)^2),0))</f>
        <v>58</v>
      </c>
      <c r="U13" s="32"/>
    </row>
    <row r="14" customFormat="false" ht="15" hidden="false" customHeight="false" outlineLevel="0" collapsed="false">
      <c r="A14" s="32" t="s">
        <v>127</v>
      </c>
      <c r="B14" s="32" t="s">
        <v>145</v>
      </c>
      <c r="C14" s="32" t="s">
        <v>129</v>
      </c>
      <c r="D14" s="54" t="n">
        <v>354</v>
      </c>
      <c r="E14" s="54" t="n">
        <v>430</v>
      </c>
      <c r="F14" s="65" t="n">
        <f aca="false">IF(E14="","",D14-E14)</f>
        <v>-76</v>
      </c>
      <c r="G14" s="54" t="n">
        <v>802</v>
      </c>
      <c r="H14" s="54" t="n">
        <v>916</v>
      </c>
      <c r="I14" s="65" t="n">
        <f aca="false">IF(H14="","",G14-H14)</f>
        <v>-114</v>
      </c>
      <c r="J14" s="55" t="n">
        <f aca="false">IF(OR(D14="",D14+G14=0),"",D14/(D14+G14))</f>
        <v>0.306228373702422</v>
      </c>
      <c r="K14" s="55" t="n">
        <f aca="false">IF(E14="","",E14/(E14+H14))</f>
        <v>0.319465081723626</v>
      </c>
      <c r="L14" s="66" t="n">
        <f aca="false">IF(OR(K14="",J14=""),"",(J14-K14)*100)</f>
        <v>-1.32367080212034</v>
      </c>
      <c r="M14" s="36" t="n">
        <v>2.38324489930066</v>
      </c>
      <c r="N14" s="36" t="n">
        <v>2.06013257114913</v>
      </c>
      <c r="O14" s="36" t="n">
        <f aca="false">SQRT(M14^2+N14^2)</f>
        <v>3.1502384768065</v>
      </c>
      <c r="P14" s="55" t="n">
        <f aca="false">IF(J14="","",MAX(0,J14-1.96*O14/100))</f>
        <v>0.244483699557015</v>
      </c>
      <c r="Q14" s="55" t="n">
        <f aca="false">IF(J14="","",MIN(1,J14+1.96*O14/100))</f>
        <v>0.36797304784783</v>
      </c>
      <c r="R14" s="32" t="str">
        <f aca="false">IF(L14="","",IF(ABS(L14)&lt;=O14,"Yes","No"))</f>
        <v>Yes</v>
      </c>
      <c r="S14" s="32" t="str">
        <f aca="false">IF(L14="","",IF(ABS(L14)&lt;=1.96*O14,"Yes","No"))</f>
        <v>Yes</v>
      </c>
      <c r="T14" s="54" t="n">
        <f aca="false">IF(D14="","",ROUND(SQRT(((D14+G14)*O14/100)^2+(J14*(D14+G14)*0.05883)^2),0))</f>
        <v>42</v>
      </c>
      <c r="U14" s="32"/>
    </row>
    <row r="15" customFormat="false" ht="15" hidden="false" customHeight="false" outlineLevel="0" collapsed="false">
      <c r="A15" s="32" t="s">
        <v>127</v>
      </c>
      <c r="B15" s="32" t="s">
        <v>146</v>
      </c>
      <c r="C15" s="32" t="s">
        <v>129</v>
      </c>
      <c r="D15" s="54" t="n">
        <v>396</v>
      </c>
      <c r="E15" s="54" t="n">
        <v>546</v>
      </c>
      <c r="F15" s="65" t="n">
        <f aca="false">IF(E15="","",D15-E15)</f>
        <v>-150</v>
      </c>
      <c r="G15" s="54" t="n">
        <v>1163</v>
      </c>
      <c r="H15" s="54" t="n">
        <v>1227</v>
      </c>
      <c r="I15" s="65" t="n">
        <f aca="false">IF(H15="","",G15-H15)</f>
        <v>-64</v>
      </c>
      <c r="J15" s="55" t="n">
        <f aca="false">IF(OR(D15="",D15+G15=0),"",D15/(D15+G15))</f>
        <v>0.254008980115459</v>
      </c>
      <c r="K15" s="55" t="n">
        <f aca="false">IF(E15="","",E15/(E15+H15))</f>
        <v>0.307952622673435</v>
      </c>
      <c r="L15" s="66" t="n">
        <f aca="false">IF(OR(K15="",J15=""),"",(J15-K15)*100)</f>
        <v>-5.39436425579762</v>
      </c>
      <c r="M15" s="36" t="n">
        <v>2.38324489930066</v>
      </c>
      <c r="N15" s="36" t="n">
        <v>2.06013257114913</v>
      </c>
      <c r="O15" s="36" t="n">
        <f aca="false">SQRT(M15^2+N15^2)</f>
        <v>3.1502384768065</v>
      </c>
      <c r="P15" s="55" t="n">
        <f aca="false">IF(J15="","",MAX(0,J15-1.96*O15/100))</f>
        <v>0.192264305970051</v>
      </c>
      <c r="Q15" s="55" t="n">
        <f aca="false">IF(J15="","",MIN(1,J15+1.96*O15/100))</f>
        <v>0.315753654260866</v>
      </c>
      <c r="R15" s="32" t="str">
        <f aca="false">IF(L15="","",IF(ABS(L15)&lt;=O15,"Yes","No"))</f>
        <v>No</v>
      </c>
      <c r="S15" s="32" t="str">
        <f aca="false">IF(L15="","",IF(ABS(L15)&lt;=1.96*O15,"Yes","No"))</f>
        <v>Yes</v>
      </c>
      <c r="T15" s="54" t="n">
        <f aca="false">IF(D15="","",ROUND(SQRT(((D15+G15)*O15/100)^2+(J15*(D15+G15)*0.05883)^2),0))</f>
        <v>54</v>
      </c>
      <c r="U15" s="32"/>
    </row>
    <row r="16" customFormat="false" ht="15" hidden="false" customHeight="false" outlineLevel="0" collapsed="false">
      <c r="A16" s="32" t="s">
        <v>127</v>
      </c>
      <c r="B16" s="32" t="s">
        <v>147</v>
      </c>
      <c r="C16" s="32" t="s">
        <v>129</v>
      </c>
      <c r="D16" s="54" t="n">
        <v>396</v>
      </c>
      <c r="E16" s="54" t="n">
        <v>488</v>
      </c>
      <c r="F16" s="65" t="n">
        <f aca="false">IF(E16="","",D16-E16)</f>
        <v>-92</v>
      </c>
      <c r="G16" s="54" t="n">
        <v>627</v>
      </c>
      <c r="H16" s="54" t="n">
        <v>706</v>
      </c>
      <c r="I16" s="65" t="n">
        <f aca="false">IF(H16="","",G16-H16)</f>
        <v>-79</v>
      </c>
      <c r="J16" s="55" t="n">
        <f aca="false">IF(OR(D16="",D16+G16=0),"",D16/(D16+G16))</f>
        <v>0.387096774193548</v>
      </c>
      <c r="K16" s="55" t="n">
        <f aca="false">IF(E16="","",E16/(E16+H16))</f>
        <v>0.408710217755444</v>
      </c>
      <c r="L16" s="66" t="n">
        <f aca="false">IF(OR(K16="",J16=""),"",(J16-K16)*100)</f>
        <v>-2.16134435618955</v>
      </c>
      <c r="M16" s="36" t="n">
        <v>3.70014007986767</v>
      </c>
      <c r="N16" s="36" t="n">
        <v>2.06013257114913</v>
      </c>
      <c r="O16" s="36" t="n">
        <f aca="false">SQRT(M16^2+N16^2)</f>
        <v>4.23499502022761</v>
      </c>
      <c r="P16" s="55" t="n">
        <f aca="false">IF(J16="","",MAX(0,J16-1.96*O16/100))</f>
        <v>0.304090871797087</v>
      </c>
      <c r="Q16" s="55" t="n">
        <f aca="false">IF(J16="","",MIN(1,J16+1.96*O16/100))</f>
        <v>0.47010267659001</v>
      </c>
      <c r="R16" s="32" t="str">
        <f aca="false">IF(L16="","",IF(ABS(L16)&lt;=O16,"Yes","No"))</f>
        <v>Yes</v>
      </c>
      <c r="S16" s="32" t="str">
        <f aca="false">IF(L16="","",IF(ABS(L16)&lt;=1.96*O16,"Yes","No"))</f>
        <v>Yes</v>
      </c>
      <c r="T16" s="54" t="n">
        <f aca="false">IF(D16="","",ROUND(SQRT(((D16+G16)*O16/100)^2+(J16*(D16+G16)*0.07872)^2),0))</f>
        <v>53</v>
      </c>
      <c r="U16" s="32"/>
    </row>
    <row r="17" customFormat="false" ht="15" hidden="false" customHeight="false" outlineLevel="0" collapsed="false">
      <c r="A17" s="32" t="s">
        <v>127</v>
      </c>
      <c r="B17" s="32" t="s">
        <v>148</v>
      </c>
      <c r="C17" s="32" t="s">
        <v>129</v>
      </c>
      <c r="D17" s="54" t="n">
        <v>111</v>
      </c>
      <c r="E17" s="54" t="n">
        <v>96</v>
      </c>
      <c r="F17" s="65" t="n">
        <f aca="false">IF(E17="","",D17-E17)</f>
        <v>15</v>
      </c>
      <c r="G17" s="54" t="n">
        <v>381</v>
      </c>
      <c r="H17" s="54" t="n">
        <v>444</v>
      </c>
      <c r="I17" s="65" t="n">
        <f aca="false">IF(H17="","",G17-H17)</f>
        <v>-63</v>
      </c>
      <c r="J17" s="55" t="n">
        <f aca="false">IF(OR(D17="",D17+G17=0),"",D17/(D17+G17))</f>
        <v>0.225609756097561</v>
      </c>
      <c r="K17" s="55" t="n">
        <f aca="false">IF(E17="","",E17/(E17+H17))</f>
        <v>0.177777777777778</v>
      </c>
      <c r="L17" s="66" t="n">
        <f aca="false">IF(OR(K17="",J17=""),"",(J17-K17)*100)</f>
        <v>4.78319783197832</v>
      </c>
      <c r="M17" s="36" t="n">
        <v>3.70014007986767</v>
      </c>
      <c r="N17" s="36" t="n">
        <v>2.06013257114913</v>
      </c>
      <c r="O17" s="36" t="n">
        <f aca="false">SQRT(M17^2+N17^2)</f>
        <v>4.23499502022761</v>
      </c>
      <c r="P17" s="55" t="n">
        <f aca="false">IF(J17="","",MAX(0,J17-1.96*O17/100))</f>
        <v>0.1426038537011</v>
      </c>
      <c r="Q17" s="55" t="n">
        <f aca="false">IF(J17="","",MIN(1,J17+1.96*O17/100))</f>
        <v>0.308615658494022</v>
      </c>
      <c r="R17" s="32" t="str">
        <f aca="false">IF(L17="","",IF(ABS(L17)&lt;=O17,"Yes","No"))</f>
        <v>No</v>
      </c>
      <c r="S17" s="32" t="str">
        <f aca="false">IF(L17="","",IF(ABS(L17)&lt;=1.96*O17,"Yes","No"))</f>
        <v>Yes</v>
      </c>
      <c r="T17" s="54" t="n">
        <f aca="false">IF(D17="","",ROUND(SQRT(((D17+G17)*O17/100)^2+(J17*(D17+G17)*0.07872)^2),0))</f>
        <v>23</v>
      </c>
      <c r="U17" s="32"/>
    </row>
    <row r="18" customFormat="false" ht="15" hidden="false" customHeight="false" outlineLevel="0" collapsed="false">
      <c r="A18" s="32" t="s">
        <v>127</v>
      </c>
      <c r="B18" s="32" t="s">
        <v>149</v>
      </c>
      <c r="C18" s="32" t="s">
        <v>129</v>
      </c>
      <c r="D18" s="54" t="n">
        <v>634</v>
      </c>
      <c r="E18" s="54" t="n">
        <v>737</v>
      </c>
      <c r="F18" s="65" t="n">
        <f aca="false">IF(E18="","",D18-E18)</f>
        <v>-103</v>
      </c>
      <c r="G18" s="54" t="n">
        <v>1100</v>
      </c>
      <c r="H18" s="54" t="n">
        <v>1172</v>
      </c>
      <c r="I18" s="65" t="n">
        <f aca="false">IF(H18="","",G18-H18)</f>
        <v>-72</v>
      </c>
      <c r="J18" s="55" t="n">
        <f aca="false">IF(OR(D18="",D18+G18=0),"",D18/(D18+G18))</f>
        <v>0.36562860438293</v>
      </c>
      <c r="K18" s="55" t="n">
        <f aca="false">IF(E18="","",E18/(E18+H18))</f>
        <v>0.386066003143007</v>
      </c>
      <c r="L18" s="66" t="n">
        <f aca="false">IF(OR(K18="",J18=""),"",(J18-K18)*100)</f>
        <v>-2.04373987600772</v>
      </c>
      <c r="M18" s="36" t="n">
        <v>2.38324489930066</v>
      </c>
      <c r="N18" s="36" t="n">
        <v>2.06013257114913</v>
      </c>
      <c r="O18" s="36" t="n">
        <f aca="false">SQRT(M18^2+N18^2)</f>
        <v>3.1502384768065</v>
      </c>
      <c r="P18" s="55" t="n">
        <f aca="false">IF(J18="","",MAX(0,J18-1.96*O18/100))</f>
        <v>0.303883930237522</v>
      </c>
      <c r="Q18" s="55" t="n">
        <f aca="false">IF(J18="","",MIN(1,J18+1.96*O18/100))</f>
        <v>0.427373278528337</v>
      </c>
      <c r="R18" s="32" t="str">
        <f aca="false">IF(L18="","",IF(ABS(L18)&lt;=O18,"Yes","No"))</f>
        <v>Yes</v>
      </c>
      <c r="S18" s="32" t="str">
        <f aca="false">IF(L18="","",IF(ABS(L18)&lt;=1.96*O18,"Yes","No"))</f>
        <v>Yes</v>
      </c>
      <c r="T18" s="54" t="n">
        <f aca="false">IF(D18="","",ROUND(SQRT(((D18+G18)*O18/100)^2+(J18*(D18+G18)*0.05883)^2),0))</f>
        <v>66</v>
      </c>
      <c r="U18" s="32"/>
    </row>
    <row r="19" customFormat="false" ht="15" hidden="false" customHeight="false" outlineLevel="0" collapsed="false">
      <c r="A19" s="32" t="s">
        <v>127</v>
      </c>
      <c r="B19" s="32" t="s">
        <v>150</v>
      </c>
      <c r="C19" s="32" t="s">
        <v>129</v>
      </c>
      <c r="D19" s="54" t="n">
        <v>47</v>
      </c>
      <c r="E19" s="54" t="n">
        <v>51</v>
      </c>
      <c r="F19" s="65" t="n">
        <f aca="false">IF(E19="","",D19-E19)</f>
        <v>-4</v>
      </c>
      <c r="G19" s="54" t="n">
        <v>128</v>
      </c>
      <c r="H19" s="54" t="n">
        <v>136</v>
      </c>
      <c r="I19" s="65" t="n">
        <f aca="false">IF(H19="","",G19-H19)</f>
        <v>-8</v>
      </c>
      <c r="J19" s="55" t="n">
        <f aca="false">IF(OR(D19="",D19+G19=0),"",D19/(D19+G19))</f>
        <v>0.268571428571429</v>
      </c>
      <c r="K19" s="55" t="n">
        <f aca="false">IF(E19="","",E19/(E19+H19))</f>
        <v>0.272727272727273</v>
      </c>
      <c r="L19" s="66" t="n">
        <f aca="false">IF(OR(K19="",J19=""),"",(J19-K19)*100)</f>
        <v>-0.415584415584414</v>
      </c>
      <c r="M19" s="36" t="n">
        <v>3.70014007986767</v>
      </c>
      <c r="N19" s="36" t="n">
        <v>2.06013257114913</v>
      </c>
      <c r="O19" s="36" t="n">
        <f aca="false">SQRT(M19^2+N19^2)</f>
        <v>4.23499502022761</v>
      </c>
      <c r="P19" s="55" t="n">
        <f aca="false">IF(J19="","",MAX(0,J19-1.96*O19/100))</f>
        <v>0.185565526174967</v>
      </c>
      <c r="Q19" s="55" t="n">
        <f aca="false">IF(J19="","",MIN(1,J19+1.96*O19/100))</f>
        <v>0.35157733096789</v>
      </c>
      <c r="R19" s="32" t="str">
        <f aca="false">IF(L19="","",IF(ABS(L19)&lt;=O19,"Yes","No"))</f>
        <v>Yes</v>
      </c>
      <c r="S19" s="32" t="str">
        <f aca="false">IF(L19="","",IF(ABS(L19)&lt;=1.96*O19,"Yes","No"))</f>
        <v>Yes</v>
      </c>
      <c r="T19" s="54" t="n">
        <f aca="false">IF(D19="","",ROUND(SQRT(((D19+G19)*O19/100)^2+(J19*(D19+G19)*0.07872)^2),0))</f>
        <v>8</v>
      </c>
      <c r="U19" s="32"/>
    </row>
    <row r="20" customFormat="false" ht="15" hidden="false" customHeight="false" outlineLevel="0" collapsed="false">
      <c r="A20" s="32" t="s">
        <v>127</v>
      </c>
      <c r="B20" s="32" t="s">
        <v>151</v>
      </c>
      <c r="C20" s="32" t="s">
        <v>129</v>
      </c>
      <c r="D20" s="54" t="n">
        <v>1358</v>
      </c>
      <c r="E20" s="54" t="n">
        <v>1574</v>
      </c>
      <c r="F20" s="65" t="n">
        <f aca="false">IF(E20="","",D20-E20)</f>
        <v>-216</v>
      </c>
      <c r="G20" s="54" t="n">
        <v>2286</v>
      </c>
      <c r="H20" s="54" t="n">
        <v>2750</v>
      </c>
      <c r="I20" s="65" t="n">
        <f aca="false">IF(H20="","",G20-H20)</f>
        <v>-464</v>
      </c>
      <c r="J20" s="55" t="n">
        <f aca="false">IF(OR(D20="",D20+G20=0),"",D20/(D20+G20))</f>
        <v>0.372667398463227</v>
      </c>
      <c r="K20" s="55" t="n">
        <f aca="false">IF(E20="","",E20/(E20+H20))</f>
        <v>0.364014801110083</v>
      </c>
      <c r="L20" s="66" t="n">
        <f aca="false">IF(OR(K20="",J20=""),"",(J20-K20)*100)</f>
        <v>0.865259735314394</v>
      </c>
      <c r="M20" s="36" t="n">
        <v>1.79262295108063</v>
      </c>
      <c r="N20" s="36" t="n">
        <v>2.06013257114913</v>
      </c>
      <c r="O20" s="36" t="n">
        <f aca="false">SQRT(M20^2+N20^2)</f>
        <v>2.73086858992712</v>
      </c>
      <c r="P20" s="55" t="n">
        <f aca="false">IF(J20="","",MAX(0,J20-1.96*O20/100))</f>
        <v>0.319142374100656</v>
      </c>
      <c r="Q20" s="55" t="n">
        <f aca="false">IF(J20="","",MIN(1,J20+1.96*O20/100))</f>
        <v>0.426192422825799</v>
      </c>
      <c r="R20" s="32" t="str">
        <f aca="false">IF(L20="","",IF(ABS(L20)&lt;=O20,"Yes","No"))</f>
        <v>Yes</v>
      </c>
      <c r="S20" s="32" t="str">
        <f aca="false">IF(L20="","",IF(ABS(L20)&lt;=1.96*O20,"Yes","No"))</f>
        <v>Yes</v>
      </c>
      <c r="T20" s="54" t="n">
        <f aca="false">IF(D20="","",ROUND(SQRT(((D20+G20)*O20/100)^2+(J20*(D20+G20)*0.04942)^2),0))</f>
        <v>120</v>
      </c>
      <c r="U20" s="32"/>
    </row>
    <row r="21" customFormat="false" ht="15" hidden="false" customHeight="false" outlineLevel="0" collapsed="false">
      <c r="A21" s="32" t="s">
        <v>127</v>
      </c>
      <c r="B21" s="32" t="s">
        <v>153</v>
      </c>
      <c r="C21" s="32" t="s">
        <v>129</v>
      </c>
      <c r="D21" s="54" t="n">
        <v>478</v>
      </c>
      <c r="E21" s="54" t="n">
        <v>557</v>
      </c>
      <c r="F21" s="65" t="n">
        <f aca="false">IF(E21="","",D21-E21)</f>
        <v>-79</v>
      </c>
      <c r="G21" s="54" t="n">
        <v>666</v>
      </c>
      <c r="H21" s="54" t="n">
        <v>678</v>
      </c>
      <c r="I21" s="65" t="n">
        <f aca="false">IF(H21="","",G21-H21)</f>
        <v>-12</v>
      </c>
      <c r="J21" s="55" t="n">
        <f aca="false">IF(OR(D21="",D21+G21=0),"",D21/(D21+G21))</f>
        <v>0.417832167832168</v>
      </c>
      <c r="K21" s="55" t="n">
        <f aca="false">IF(E21="","",E21/(E21+H21))</f>
        <v>0.451012145748988</v>
      </c>
      <c r="L21" s="66" t="n">
        <f aca="false">IF(OR(K21="",J21=""),"",(J21-K21)*100)</f>
        <v>-3.317997791682</v>
      </c>
      <c r="M21" s="36" t="n">
        <v>2.38324489930066</v>
      </c>
      <c r="N21" s="36" t="n">
        <v>2.06013257114913</v>
      </c>
      <c r="O21" s="36" t="n">
        <f aca="false">SQRT(M21^2+N21^2)</f>
        <v>3.1502384768065</v>
      </c>
      <c r="P21" s="55" t="n">
        <f aca="false">IF(J21="","",MAX(0,J21-1.96*O21/100))</f>
        <v>0.35608749368676</v>
      </c>
      <c r="Q21" s="55" t="n">
        <f aca="false">IF(J21="","",MIN(1,J21+1.96*O21/100))</f>
        <v>0.479576841977575</v>
      </c>
      <c r="R21" s="32" t="str">
        <f aca="false">IF(L21="","",IF(ABS(L21)&lt;=O21,"Yes","No"))</f>
        <v>No</v>
      </c>
      <c r="S21" s="32" t="str">
        <f aca="false">IF(L21="","",IF(ABS(L21)&lt;=1.96*O21,"Yes","No"))</f>
        <v>Yes</v>
      </c>
      <c r="T21" s="54" t="n">
        <f aca="false">IF(D21="","",ROUND(SQRT(((D21+G21)*O21/100)^2+(J21*(D21+G21)*0.05883)^2),0))</f>
        <v>46</v>
      </c>
      <c r="U21" s="32"/>
    </row>
    <row r="22" customFormat="false" ht="15" hidden="false" customHeight="false" outlineLevel="0" collapsed="false">
      <c r="A22" s="32" t="s">
        <v>127</v>
      </c>
      <c r="B22" s="32" t="s">
        <v>154</v>
      </c>
      <c r="C22" s="32" t="s">
        <v>129</v>
      </c>
      <c r="D22" s="54" t="n">
        <v>510</v>
      </c>
      <c r="E22" s="54" t="n">
        <v>625</v>
      </c>
      <c r="F22" s="65" t="n">
        <f aca="false">IF(E22="","",D22-E22)</f>
        <v>-115</v>
      </c>
      <c r="G22" s="54" t="n">
        <v>1337</v>
      </c>
      <c r="H22" s="54" t="n">
        <v>1506</v>
      </c>
      <c r="I22" s="65" t="n">
        <f aca="false">IF(H22="","",G22-H22)</f>
        <v>-169</v>
      </c>
      <c r="J22" s="55" t="n">
        <f aca="false">IF(OR(D22="",D22+G22=0),"",D22/(D22+G22))</f>
        <v>0.276123443421765</v>
      </c>
      <c r="K22" s="55" t="n">
        <f aca="false">IF(E22="","",E22/(E22+H22))</f>
        <v>0.293289535429376</v>
      </c>
      <c r="L22" s="66" t="n">
        <f aca="false">IF(OR(K22="",J22=""),"",(J22-K22)*100)</f>
        <v>-1.71660920076108</v>
      </c>
      <c r="M22" s="36" t="n">
        <v>2.38324489930066</v>
      </c>
      <c r="N22" s="36" t="n">
        <v>2.06013257114913</v>
      </c>
      <c r="O22" s="36" t="n">
        <f aca="false">SQRT(M22^2+N22^2)</f>
        <v>3.1502384768065</v>
      </c>
      <c r="P22" s="55" t="n">
        <f aca="false">IF(J22="","",MAX(0,J22-1.96*O22/100))</f>
        <v>0.214378769276358</v>
      </c>
      <c r="Q22" s="55" t="n">
        <f aca="false">IF(J22="","",MIN(1,J22+1.96*O22/100))</f>
        <v>0.337868117567172</v>
      </c>
      <c r="R22" s="32" t="str">
        <f aca="false">IF(L22="","",IF(ABS(L22)&lt;=O22,"Yes","No"))</f>
        <v>Yes</v>
      </c>
      <c r="S22" s="32" t="str">
        <f aca="false">IF(L22="","",IF(ABS(L22)&lt;=1.96*O22,"Yes","No"))</f>
        <v>Yes</v>
      </c>
      <c r="T22" s="54" t="n">
        <f aca="false">IF(D22="","",ROUND(SQRT(((D22+G22)*O22/100)^2+(J22*(D22+G22)*0.05883)^2),0))</f>
        <v>65</v>
      </c>
      <c r="U22" s="32"/>
    </row>
    <row r="23" customFormat="false" ht="15" hidden="false" customHeight="false" outlineLevel="0" collapsed="false">
      <c r="A23" s="32" t="s">
        <v>127</v>
      </c>
      <c r="B23" s="32" t="s">
        <v>155</v>
      </c>
      <c r="C23" s="32" t="s">
        <v>129</v>
      </c>
      <c r="D23" s="54" t="n">
        <v>225</v>
      </c>
      <c r="E23" s="54" t="n">
        <v>245</v>
      </c>
      <c r="F23" s="65" t="n">
        <f aca="false">IF(E23="","",D23-E23)</f>
        <v>-20</v>
      </c>
      <c r="G23" s="54" t="n">
        <v>625</v>
      </c>
      <c r="H23" s="54" t="n">
        <v>656</v>
      </c>
      <c r="I23" s="65" t="n">
        <f aca="false">IF(H23="","",G23-H23)</f>
        <v>-31</v>
      </c>
      <c r="J23" s="55" t="n">
        <f aca="false">IF(OR(D23="",D23+G23=0),"",D23/(D23+G23))</f>
        <v>0.264705882352941</v>
      </c>
      <c r="K23" s="55" t="n">
        <f aca="false">IF(E23="","",E23/(E23+H23))</f>
        <v>0.271920088790233</v>
      </c>
      <c r="L23" s="66" t="n">
        <f aca="false">IF(OR(K23="",J23=""),"",(J23-K23)*100)</f>
        <v>-0.721420643729187</v>
      </c>
      <c r="M23" s="36" t="n">
        <v>3.70014007986767</v>
      </c>
      <c r="N23" s="36" t="n">
        <v>2.06013257114913</v>
      </c>
      <c r="O23" s="36" t="n">
        <f aca="false">SQRT(M23^2+N23^2)</f>
        <v>4.23499502022761</v>
      </c>
      <c r="P23" s="55" t="n">
        <f aca="false">IF(J23="","",MAX(0,J23-1.96*O23/100))</f>
        <v>0.18169997995648</v>
      </c>
      <c r="Q23" s="55" t="n">
        <f aca="false">IF(J23="","",MIN(1,J23+1.96*O23/100))</f>
        <v>0.347711784749402</v>
      </c>
      <c r="R23" s="32" t="str">
        <f aca="false">IF(L23="","",IF(ABS(L23)&lt;=O23,"Yes","No"))</f>
        <v>Yes</v>
      </c>
      <c r="S23" s="32" t="str">
        <f aca="false">IF(L23="","",IF(ABS(L23)&lt;=1.96*O23,"Yes","No"))</f>
        <v>Yes</v>
      </c>
      <c r="T23" s="54" t="n">
        <f aca="false">IF(D23="","",ROUND(SQRT(((D23+G23)*O23/100)^2+(J23*(D23+G23)*0.07872)^2),0))</f>
        <v>40</v>
      </c>
      <c r="U23" s="32"/>
    </row>
    <row r="24" customFormat="false" ht="15" hidden="false" customHeight="false" outlineLevel="0" collapsed="false">
      <c r="A24" s="32" t="s">
        <v>127</v>
      </c>
      <c r="B24" s="32" t="s">
        <v>156</v>
      </c>
      <c r="C24" s="32" t="s">
        <v>129</v>
      </c>
      <c r="D24" s="54" t="n">
        <v>37</v>
      </c>
      <c r="E24" s="54" t="n">
        <v>46</v>
      </c>
      <c r="F24" s="65" t="n">
        <f aca="false">IF(E24="","",D24-E24)</f>
        <v>-9</v>
      </c>
      <c r="G24" s="54" t="n">
        <v>55</v>
      </c>
      <c r="H24" s="54" t="n">
        <v>54</v>
      </c>
      <c r="I24" s="65" t="n">
        <f aca="false">IF(H24="","",G24-H24)</f>
        <v>1</v>
      </c>
      <c r="J24" s="55" t="n">
        <f aca="false">IF(OR(D24="",D24+G24=0),"",D24/(D24+G24))</f>
        <v>0.402173913043478</v>
      </c>
      <c r="K24" s="55" t="n">
        <f aca="false">IF(E24="","",E24/(E24+H24))</f>
        <v>0.46</v>
      </c>
      <c r="L24" s="66" t="n">
        <f aca="false">IF(OR(K24="",J24=""),"",(J24-K24)*100)</f>
        <v>-5.78260869565218</v>
      </c>
      <c r="M24" s="36" t="n">
        <v>3.70014007986767</v>
      </c>
      <c r="N24" s="36" t="n">
        <v>2.06013257114913</v>
      </c>
      <c r="O24" s="36" t="n">
        <f aca="false">SQRT(M24^2+N24^2)</f>
        <v>4.23499502022761</v>
      </c>
      <c r="P24" s="55" t="n">
        <f aca="false">IF(J24="","",MAX(0,J24-1.96*O24/100))</f>
        <v>0.319168010647017</v>
      </c>
      <c r="Q24" s="55" t="n">
        <f aca="false">IF(J24="","",MIN(1,J24+1.96*O24/100))</f>
        <v>0.485179815439939</v>
      </c>
      <c r="R24" s="32" t="str">
        <f aca="false">IF(L24="","",IF(ABS(L24)&lt;=O24,"Yes","No"))</f>
        <v>No</v>
      </c>
      <c r="S24" s="32" t="str">
        <f aca="false">IF(L24="","",IF(ABS(L24)&lt;=1.96*O24,"Yes","No"))</f>
        <v>Yes</v>
      </c>
      <c r="T24" s="54" t="n">
        <f aca="false">IF(D24="","",ROUND(SQRT(((D24+G24)*O24/100)^2+(J24*(D24+G24)*0.07872)^2),0))</f>
        <v>5</v>
      </c>
      <c r="U24" s="32"/>
    </row>
    <row r="25" customFormat="false" ht="15" hidden="false" customHeight="false" outlineLevel="0" collapsed="false">
      <c r="A25" s="32" t="s">
        <v>157</v>
      </c>
      <c r="B25" s="32" t="s">
        <v>158</v>
      </c>
      <c r="C25" s="32" t="s">
        <v>129</v>
      </c>
      <c r="D25" s="54" t="n">
        <v>463</v>
      </c>
      <c r="E25" s="54" t="n">
        <v>494</v>
      </c>
      <c r="F25" s="65" t="n">
        <f aca="false">IF(E25="","",D25-E25)</f>
        <v>-31</v>
      </c>
      <c r="G25" s="54" t="n">
        <v>463</v>
      </c>
      <c r="H25" s="54" t="n">
        <v>519</v>
      </c>
      <c r="I25" s="65" t="n">
        <f aca="false">IF(H25="","",G25-H25)</f>
        <v>-56</v>
      </c>
      <c r="J25" s="55" t="n">
        <f aca="false">IF(OR(D25="",D25+G25=0),"",D25/(D25+G25))</f>
        <v>0.5</v>
      </c>
      <c r="K25" s="55" t="n">
        <f aca="false">IF(E25="","",E25/(E25+H25))</f>
        <v>0.487660414610069</v>
      </c>
      <c r="L25" s="66" t="n">
        <f aca="false">IF(OR(K25="",J25=""),"",(J25-K25)*100)</f>
        <v>1.23395853899309</v>
      </c>
      <c r="M25" s="36" t="n">
        <v>3.70014007986767</v>
      </c>
      <c r="N25" s="36" t="n">
        <v>2.06013257114913</v>
      </c>
      <c r="O25" s="36" t="n">
        <f aca="false">SQRT(M25^2+N25^2)</f>
        <v>4.23499502022761</v>
      </c>
      <c r="P25" s="55" t="n">
        <f aca="false">IF(J25="","",MAX(0,J25-1.96*O25/100))</f>
        <v>0.416994097603539</v>
      </c>
      <c r="Q25" s="55" t="n">
        <f aca="false">IF(J25="","",MIN(1,J25+1.96*O25/100))</f>
        <v>0.583005902396461</v>
      </c>
      <c r="R25" s="32" t="str">
        <f aca="false">IF(L25="","",IF(ABS(L25)&lt;=O25,"Yes","No"))</f>
        <v>Yes</v>
      </c>
      <c r="S25" s="32" t="str">
        <f aca="false">IF(L25="","",IF(ABS(L25)&lt;=1.96*O25,"Yes","No"))</f>
        <v>Yes</v>
      </c>
      <c r="T25" s="54" t="n">
        <f aca="false">IF(D25="","",ROUND(SQRT(((D25+G25)*O25/100)^2+(J25*(D25+G25)*0.07872)^2),0))</f>
        <v>54</v>
      </c>
      <c r="U25" s="32"/>
    </row>
    <row r="26" customFormat="false" ht="15" hidden="false" customHeight="false" outlineLevel="0" collapsed="false">
      <c r="A26" s="32" t="s">
        <v>157</v>
      </c>
      <c r="B26" s="32" t="s">
        <v>159</v>
      </c>
      <c r="C26" s="32" t="s">
        <v>129</v>
      </c>
      <c r="D26" s="54" t="n">
        <v>17970</v>
      </c>
      <c r="E26" s="54" t="n">
        <v>16965</v>
      </c>
      <c r="F26" s="65" t="n">
        <f aca="false">IF(E26="","",D26-E26)</f>
        <v>1005</v>
      </c>
      <c r="G26" s="54" t="n">
        <v>8833</v>
      </c>
      <c r="H26" s="54" t="n">
        <v>7936</v>
      </c>
      <c r="I26" s="65" t="n">
        <f aca="false">IF(H26="","",G26-H26)</f>
        <v>897</v>
      </c>
      <c r="J26" s="55" t="n">
        <f aca="false">IF(OR(D26="",D26+G26=0),"",D26/(D26+G26))</f>
        <v>0.670447337984554</v>
      </c>
      <c r="K26" s="55" t="n">
        <f aca="false">IF(E26="","",E26/(E26+H26))</f>
        <v>0.681297939841773</v>
      </c>
      <c r="L26" s="66" t="n">
        <f aca="false">IF(OR(K26="",J26=""),"",(J26-K26)*100)</f>
        <v>-1.08506018572195</v>
      </c>
      <c r="M26" s="36" t="n">
        <v>1.79262295108063</v>
      </c>
      <c r="N26" s="36" t="n">
        <v>2.06013257114913</v>
      </c>
      <c r="O26" s="36" t="n">
        <f aca="false">SQRT(M26^2+N26^2)</f>
        <v>2.73086858992712</v>
      </c>
      <c r="P26" s="55" t="n">
        <f aca="false">IF(J26="","",MAX(0,J26-1.96*O26/100))</f>
        <v>0.616922313621982</v>
      </c>
      <c r="Q26" s="55" t="n">
        <f aca="false">IF(J26="","",MIN(1,J26+1.96*O26/100))</f>
        <v>0.723972362347126</v>
      </c>
      <c r="R26" s="32" t="str">
        <f aca="false">IF(L26="","",IF(ABS(L26)&lt;=O26,"Yes","No"))</f>
        <v>Yes</v>
      </c>
      <c r="S26" s="32" t="str">
        <f aca="false">IF(L26="","",IF(ABS(L26)&lt;=1.96*O26,"Yes","No"))</f>
        <v>Yes</v>
      </c>
      <c r="T26" s="54" t="n">
        <f aca="false">IF(D26="","",ROUND(SQRT(((D26+G26)*O26/100)^2+(J26*(D26+G26)*0.04942)^2),0))</f>
        <v>1151</v>
      </c>
      <c r="U26" s="32"/>
    </row>
    <row r="27" customFormat="false" ht="15" hidden="false" customHeight="false" outlineLevel="0" collapsed="false">
      <c r="A27" s="32" t="s">
        <v>157</v>
      </c>
      <c r="B27" s="32" t="s">
        <v>160</v>
      </c>
      <c r="C27" s="32" t="s">
        <v>129</v>
      </c>
      <c r="D27" s="54" t="n">
        <v>4939</v>
      </c>
      <c r="E27" s="54" t="n">
        <v>5186</v>
      </c>
      <c r="F27" s="65" t="n">
        <f aca="false">IF(E27="","",D27-E27)</f>
        <v>-247</v>
      </c>
      <c r="G27" s="54" t="n">
        <v>2575</v>
      </c>
      <c r="H27" s="54" t="n">
        <v>2705</v>
      </c>
      <c r="I27" s="65" t="n">
        <f aca="false">IF(H27="","",G27-H27)</f>
        <v>-130</v>
      </c>
      <c r="J27" s="55" t="n">
        <f aca="false">IF(OR(D27="",D27+G27=0),"",D27/(D27+G27))</f>
        <v>0.657306361458611</v>
      </c>
      <c r="K27" s="55" t="n">
        <f aca="false">IF(E27="","",E27/(E27+H27))</f>
        <v>0.657204410087441</v>
      </c>
      <c r="L27" s="66" t="n">
        <f aca="false">IF(OR(K27="",J27=""),"",(J27-K27)*100)</f>
        <v>0.0101951371169196</v>
      </c>
      <c r="M27" s="36" t="n">
        <v>1.79262295108063</v>
      </c>
      <c r="N27" s="36" t="n">
        <v>2.06013257114913</v>
      </c>
      <c r="O27" s="36" t="n">
        <f aca="false">SQRT(M27^2+N27^2)</f>
        <v>2.73086858992712</v>
      </c>
      <c r="P27" s="55" t="n">
        <f aca="false">IF(J27="","",MAX(0,J27-1.96*O27/100))</f>
        <v>0.603781337096039</v>
      </c>
      <c r="Q27" s="55" t="n">
        <f aca="false">IF(J27="","",MIN(1,J27+1.96*O27/100))</f>
        <v>0.710831385821182</v>
      </c>
      <c r="R27" s="32" t="str">
        <f aca="false">IF(L27="","",IF(ABS(L27)&lt;=O27,"Yes","No"))</f>
        <v>Yes</v>
      </c>
      <c r="S27" s="32" t="str">
        <f aca="false">IF(L27="","",IF(ABS(L27)&lt;=1.96*O27,"Yes","No"))</f>
        <v>Yes</v>
      </c>
      <c r="T27" s="54" t="n">
        <f aca="false">IF(D27="","",ROUND(SQRT(((D27+G27)*O27/100)^2+(J27*(D27+G27)*0.04942)^2),0))</f>
        <v>319</v>
      </c>
      <c r="U27" s="32"/>
    </row>
    <row r="28" customFormat="false" ht="15" hidden="false" customHeight="false" outlineLevel="0" collapsed="false">
      <c r="A28" s="32" t="s">
        <v>157</v>
      </c>
      <c r="B28" s="32" t="s">
        <v>161</v>
      </c>
      <c r="C28" s="32" t="s">
        <v>129</v>
      </c>
      <c r="D28" s="54" t="n">
        <v>1117</v>
      </c>
      <c r="E28" s="54" t="n">
        <v>1135</v>
      </c>
      <c r="F28" s="65" t="n">
        <f aca="false">IF(E28="","",D28-E28)</f>
        <v>-18</v>
      </c>
      <c r="G28" s="54" t="n">
        <v>926</v>
      </c>
      <c r="H28" s="54" t="n">
        <v>975</v>
      </c>
      <c r="I28" s="65" t="n">
        <f aca="false">IF(H28="","",G28-H28)</f>
        <v>-49</v>
      </c>
      <c r="J28" s="55" t="n">
        <f aca="false">IF(OR(D28="",D28+G28=0),"",D28/(D28+G28))</f>
        <v>0.546744982868331</v>
      </c>
      <c r="K28" s="55" t="n">
        <f aca="false">IF(E28="","",E28/(E28+H28))</f>
        <v>0.537914691943128</v>
      </c>
      <c r="L28" s="66" t="n">
        <f aca="false">IF(OR(K28="",J28=""),"",(J28-K28)*100)</f>
        <v>0.883029092520293</v>
      </c>
      <c r="M28" s="36" t="n">
        <v>2.38324489930066</v>
      </c>
      <c r="N28" s="36" t="n">
        <v>2.06013257114913</v>
      </c>
      <c r="O28" s="36" t="n">
        <f aca="false">SQRT(M28^2+N28^2)</f>
        <v>3.1502384768065</v>
      </c>
      <c r="P28" s="55" t="n">
        <f aca="false">IF(J28="","",MAX(0,J28-1.96*O28/100))</f>
        <v>0.485000308722923</v>
      </c>
      <c r="Q28" s="55" t="n">
        <f aca="false">IF(J28="","",MIN(1,J28+1.96*O28/100))</f>
        <v>0.608489657013738</v>
      </c>
      <c r="R28" s="32" t="str">
        <f aca="false">IF(L28="","",IF(ABS(L28)&lt;=O28,"Yes","No"))</f>
        <v>Yes</v>
      </c>
      <c r="S28" s="32" t="str">
        <f aca="false">IF(L28="","",IF(ABS(L28)&lt;=1.96*O28,"Yes","No"))</f>
        <v>Yes</v>
      </c>
      <c r="T28" s="54" t="n">
        <f aca="false">IF(D28="","",ROUND(SQRT(((D28+G28)*O28/100)^2+(J28*(D28+G28)*0.05883)^2),0))</f>
        <v>92</v>
      </c>
      <c r="U28" s="32"/>
    </row>
    <row r="29" customFormat="false" ht="15" hidden="false" customHeight="false" outlineLevel="0" collapsed="false">
      <c r="A29" s="32" t="s">
        <v>157</v>
      </c>
      <c r="B29" s="32" t="s">
        <v>162</v>
      </c>
      <c r="C29" s="32" t="s">
        <v>129</v>
      </c>
      <c r="D29" s="54" t="n">
        <v>527</v>
      </c>
      <c r="E29" s="54" t="n">
        <v>621</v>
      </c>
      <c r="F29" s="65" t="n">
        <f aca="false">IF(E29="","",D29-E29)</f>
        <v>-94</v>
      </c>
      <c r="G29" s="54" t="n">
        <v>560</v>
      </c>
      <c r="H29" s="54" t="n">
        <v>598</v>
      </c>
      <c r="I29" s="65" t="n">
        <f aca="false">IF(H29="","",G29-H29)</f>
        <v>-38</v>
      </c>
      <c r="J29" s="55" t="n">
        <f aca="false">IF(OR(D29="",D29+G29=0),"",D29/(D29+G29))</f>
        <v>0.484820607175713</v>
      </c>
      <c r="K29" s="55" t="n">
        <f aca="false">IF(E29="","",E29/(E29+H29))</f>
        <v>0.509433962264151</v>
      </c>
      <c r="L29" s="66" t="n">
        <f aca="false">IF(OR(K29="",J29=""),"",(J29-K29)*100)</f>
        <v>-2.4613355088438</v>
      </c>
      <c r="M29" s="36" t="n">
        <v>3.70014007986767</v>
      </c>
      <c r="N29" s="36" t="n">
        <v>2.06013257114913</v>
      </c>
      <c r="O29" s="36" t="n">
        <f aca="false">SQRT(M29^2+N29^2)</f>
        <v>4.23499502022761</v>
      </c>
      <c r="P29" s="55" t="n">
        <f aca="false">IF(J29="","",MAX(0,J29-1.96*O29/100))</f>
        <v>0.401814704779252</v>
      </c>
      <c r="Q29" s="55" t="n">
        <f aca="false">IF(J29="","",MIN(1,J29+1.96*O29/100))</f>
        <v>0.567826509572174</v>
      </c>
      <c r="R29" s="32" t="str">
        <f aca="false">IF(L29="","",IF(ABS(L29)&lt;=O29,"Yes","No"))</f>
        <v>Yes</v>
      </c>
      <c r="S29" s="32" t="str">
        <f aca="false">IF(L29="","",IF(ABS(L29)&lt;=1.96*O29,"Yes","No"))</f>
        <v>Yes</v>
      </c>
      <c r="T29" s="54" t="n">
        <f aca="false">IF(D29="","",ROUND(SQRT(((D29+G29)*O29/100)^2+(J29*(D29+G29)*0.07872)^2),0))</f>
        <v>62</v>
      </c>
      <c r="U29" s="32"/>
    </row>
    <row r="30" customFormat="false" ht="15" hidden="false" customHeight="false" outlineLevel="0" collapsed="false">
      <c r="A30" s="32" t="s">
        <v>157</v>
      </c>
      <c r="B30" s="32" t="s">
        <v>163</v>
      </c>
      <c r="C30" s="32" t="s">
        <v>129</v>
      </c>
      <c r="D30" s="54" t="n">
        <v>673</v>
      </c>
      <c r="E30" s="54" t="n">
        <v>691</v>
      </c>
      <c r="F30" s="65" t="n">
        <f aca="false">IF(E30="","",D30-E30)</f>
        <v>-18</v>
      </c>
      <c r="G30" s="54" t="n">
        <v>585</v>
      </c>
      <c r="H30" s="54" t="n">
        <v>606</v>
      </c>
      <c r="I30" s="65" t="n">
        <f aca="false">IF(H30="","",G30-H30)</f>
        <v>-21</v>
      </c>
      <c r="J30" s="55" t="n">
        <f aca="false">IF(OR(D30="",D30+G30=0),"",D30/(D30+G30))</f>
        <v>0.534976152623211</v>
      </c>
      <c r="K30" s="55" t="n">
        <f aca="false">IF(E30="","",E30/(E30+H30))</f>
        <v>0.532767925983038</v>
      </c>
      <c r="L30" s="66" t="n">
        <f aca="false">IF(OR(K30="",J30=""),"",(J30-K30)*100)</f>
        <v>0.220822664017362</v>
      </c>
      <c r="M30" s="36" t="n">
        <v>2.38324489930066</v>
      </c>
      <c r="N30" s="36" t="n">
        <v>2.06013257114913</v>
      </c>
      <c r="O30" s="36" t="n">
        <f aca="false">SQRT(M30^2+N30^2)</f>
        <v>3.1502384768065</v>
      </c>
      <c r="P30" s="55" t="n">
        <f aca="false">IF(J30="","",MAX(0,J30-1.96*O30/100))</f>
        <v>0.473231478477804</v>
      </c>
      <c r="Q30" s="55" t="n">
        <f aca="false">IF(J30="","",MIN(1,J30+1.96*O30/100))</f>
        <v>0.596720826768619</v>
      </c>
      <c r="R30" s="32" t="str">
        <f aca="false">IF(L30="","",IF(ABS(L30)&lt;=O30,"Yes","No"))</f>
        <v>Yes</v>
      </c>
      <c r="S30" s="32" t="str">
        <f aca="false">IF(L30="","",IF(ABS(L30)&lt;=1.96*O30,"Yes","No"))</f>
        <v>Yes</v>
      </c>
      <c r="T30" s="54" t="n">
        <f aca="false">IF(D30="","",ROUND(SQRT(((D30+G30)*O30/100)^2+(J30*(D30+G30)*0.05883)^2),0))</f>
        <v>56</v>
      </c>
      <c r="U30" s="32"/>
    </row>
    <row r="31" customFormat="false" ht="15" hidden="false" customHeight="false" outlineLevel="0" collapsed="false">
      <c r="A31" s="32" t="s">
        <v>157</v>
      </c>
      <c r="B31" s="32" t="s">
        <v>164</v>
      </c>
      <c r="C31" s="32" t="s">
        <v>129</v>
      </c>
      <c r="D31" s="54" t="n">
        <v>2569</v>
      </c>
      <c r="E31" s="54" t="n">
        <v>2834</v>
      </c>
      <c r="F31" s="65" t="n">
        <f aca="false">IF(E31="","",D31-E31)</f>
        <v>-265</v>
      </c>
      <c r="G31" s="54" t="n">
        <v>2144</v>
      </c>
      <c r="H31" s="54" t="n">
        <v>2250</v>
      </c>
      <c r="I31" s="65" t="n">
        <f aca="false">IF(H31="","",G31-H31)</f>
        <v>-106</v>
      </c>
      <c r="J31" s="55" t="n">
        <f aca="false">IF(OR(D31="",D31+G31=0),"",D31/(D31+G31))</f>
        <v>0.545088054317844</v>
      </c>
      <c r="K31" s="55" t="n">
        <f aca="false">IF(E31="","",E31/(E31+H31))</f>
        <v>0.557435090479937</v>
      </c>
      <c r="L31" s="66" t="n">
        <f aca="false">IF(OR(K31="",J31=""),"",(J31-K31)*100)</f>
        <v>-1.23470361620929</v>
      </c>
      <c r="M31" s="36" t="n">
        <v>1.79262295108063</v>
      </c>
      <c r="N31" s="36" t="n">
        <v>2.06013257114913</v>
      </c>
      <c r="O31" s="36" t="n">
        <f aca="false">SQRT(M31^2+N31^2)</f>
        <v>2.73086858992712</v>
      </c>
      <c r="P31" s="55" t="n">
        <f aca="false">IF(J31="","",MAX(0,J31-1.96*O31/100))</f>
        <v>0.491563029955273</v>
      </c>
      <c r="Q31" s="55" t="n">
        <f aca="false">IF(J31="","",MIN(1,J31+1.96*O31/100))</f>
        <v>0.598613078680416</v>
      </c>
      <c r="R31" s="32" t="str">
        <f aca="false">IF(L31="","",IF(ABS(L31)&lt;=O31,"Yes","No"))</f>
        <v>Yes</v>
      </c>
      <c r="S31" s="32" t="str">
        <f aca="false">IF(L31="","",IF(ABS(L31)&lt;=1.96*O31,"Yes","No"))</f>
        <v>Yes</v>
      </c>
      <c r="T31" s="54" t="n">
        <f aca="false">IF(D31="","",ROUND(SQRT(((D31+G31)*O31/100)^2+(J31*(D31+G31)*0.04942)^2),0))</f>
        <v>181</v>
      </c>
      <c r="U31" s="32"/>
    </row>
    <row r="32" customFormat="false" ht="15" hidden="false" customHeight="false" outlineLevel="0" collapsed="false">
      <c r="A32" s="32" t="s">
        <v>157</v>
      </c>
      <c r="B32" s="32" t="s">
        <v>165</v>
      </c>
      <c r="C32" s="32" t="s">
        <v>129</v>
      </c>
      <c r="D32" s="54" t="n">
        <v>1067</v>
      </c>
      <c r="E32" s="54" t="n">
        <v>1070</v>
      </c>
      <c r="F32" s="65" t="n">
        <f aca="false">IF(E32="","",D32-E32)</f>
        <v>-3</v>
      </c>
      <c r="G32" s="54" t="n">
        <v>548</v>
      </c>
      <c r="H32" s="54" t="n">
        <v>479</v>
      </c>
      <c r="I32" s="65" t="n">
        <f aca="false">IF(H32="","",G32-H32)</f>
        <v>69</v>
      </c>
      <c r="J32" s="55" t="n">
        <f aca="false">IF(OR(D32="",D32+G32=0),"",D32/(D32+G32))</f>
        <v>0.660681114551084</v>
      </c>
      <c r="K32" s="55" t="n">
        <f aca="false">IF(E32="","",E32/(E32+H32))</f>
        <v>0.690768237572628</v>
      </c>
      <c r="L32" s="66" t="n">
        <f aca="false">IF(OR(K32="",J32=""),"",(J32-K32)*100)</f>
        <v>-3.00871230215439</v>
      </c>
      <c r="M32" s="36" t="n">
        <v>2.38324489930066</v>
      </c>
      <c r="N32" s="36" t="n">
        <v>2.06013257114913</v>
      </c>
      <c r="O32" s="36" t="n">
        <f aca="false">SQRT(M32^2+N32^2)</f>
        <v>3.1502384768065</v>
      </c>
      <c r="P32" s="55" t="n">
        <f aca="false">IF(J32="","",MAX(0,J32-1.96*O32/100))</f>
        <v>0.598936440405676</v>
      </c>
      <c r="Q32" s="55" t="n">
        <f aca="false">IF(J32="","",MIN(1,J32+1.96*O32/100))</f>
        <v>0.722425788696491</v>
      </c>
      <c r="R32" s="32" t="str">
        <f aca="false">IF(L32="","",IF(ABS(L32)&lt;=O32,"Yes","No"))</f>
        <v>Yes</v>
      </c>
      <c r="S32" s="32" t="str">
        <f aca="false">IF(L32="","",IF(ABS(L32)&lt;=1.96*O32,"Yes","No"))</f>
        <v>Yes</v>
      </c>
      <c r="T32" s="54" t="n">
        <f aca="false">IF(D32="","",ROUND(SQRT(((D32+G32)*O32/100)^2+(J32*(D32+G32)*0.05883)^2),0))</f>
        <v>81</v>
      </c>
      <c r="U32" s="32"/>
    </row>
    <row r="33" customFormat="false" ht="15" hidden="false" customHeight="false" outlineLevel="0" collapsed="false">
      <c r="A33" s="32" t="s">
        <v>157</v>
      </c>
      <c r="B33" s="32" t="s">
        <v>166</v>
      </c>
      <c r="C33" s="32" t="s">
        <v>129</v>
      </c>
      <c r="D33" s="54" t="n">
        <v>278</v>
      </c>
      <c r="E33" s="54" t="n">
        <v>262</v>
      </c>
      <c r="F33" s="65" t="n">
        <f aca="false">IF(E33="","",D33-E33)</f>
        <v>16</v>
      </c>
      <c r="G33" s="54" t="n">
        <v>211</v>
      </c>
      <c r="H33" s="54" t="n">
        <v>205</v>
      </c>
      <c r="I33" s="65" t="n">
        <f aca="false">IF(H33="","",G33-H33)</f>
        <v>6</v>
      </c>
      <c r="J33" s="55" t="n">
        <f aca="false">IF(OR(D33="",D33+G33=0),"",D33/(D33+G33))</f>
        <v>0.568507157464213</v>
      </c>
      <c r="K33" s="55" t="n">
        <f aca="false">IF(E33="","",E33/(E33+H33))</f>
        <v>0.561027837259101</v>
      </c>
      <c r="L33" s="66" t="n">
        <f aca="false">IF(OR(K33="",J33=""),"",(J33-K33)*100)</f>
        <v>0.747932020511199</v>
      </c>
      <c r="M33" s="36" t="n">
        <v>3.70014007986767</v>
      </c>
      <c r="N33" s="36" t="n">
        <v>2.06013257114913</v>
      </c>
      <c r="O33" s="36" t="n">
        <f aca="false">SQRT(M33^2+N33^2)</f>
        <v>4.23499502022761</v>
      </c>
      <c r="P33" s="55" t="n">
        <f aca="false">IF(J33="","",MAX(0,J33-1.96*O33/100))</f>
        <v>0.485501255067752</v>
      </c>
      <c r="Q33" s="55" t="n">
        <f aca="false">IF(J33="","",MIN(1,J33+1.96*O33/100))</f>
        <v>0.651513059860674</v>
      </c>
      <c r="R33" s="32" t="str">
        <f aca="false">IF(L33="","",IF(ABS(L33)&lt;=O33,"Yes","No"))</f>
        <v>Yes</v>
      </c>
      <c r="S33" s="32" t="str">
        <f aca="false">IF(L33="","",IF(ABS(L33)&lt;=1.96*O33,"Yes","No"))</f>
        <v>Yes</v>
      </c>
      <c r="T33" s="54" t="n">
        <f aca="false">IF(D33="","",ROUND(SQRT(((D33+G33)*O33/100)^2+(J33*(D33+G33)*0.07872)^2),0))</f>
        <v>30</v>
      </c>
      <c r="U33" s="32"/>
    </row>
    <row r="34" customFormat="false" ht="15" hidden="false" customHeight="false" outlineLevel="0" collapsed="false">
      <c r="A34" s="32" t="s">
        <v>157</v>
      </c>
      <c r="B34" s="32" t="s">
        <v>167</v>
      </c>
      <c r="C34" s="32" t="s">
        <v>129</v>
      </c>
      <c r="D34" s="54" t="n">
        <v>457</v>
      </c>
      <c r="E34" s="54" t="n">
        <v>532</v>
      </c>
      <c r="F34" s="65" t="n">
        <f aca="false">IF(E34="","",D34-E34)</f>
        <v>-75</v>
      </c>
      <c r="G34" s="54" t="n">
        <v>1016</v>
      </c>
      <c r="H34" s="54" t="n">
        <v>1068</v>
      </c>
      <c r="I34" s="65" t="n">
        <f aca="false">IF(H34="","",G34-H34)</f>
        <v>-52</v>
      </c>
      <c r="J34" s="55" t="n">
        <f aca="false">IF(OR(D34="",D34+G34=0),"",D34/(D34+G34))</f>
        <v>0.310251188051595</v>
      </c>
      <c r="K34" s="55" t="n">
        <f aca="false">IF(E34="","",E34/(E34+H34))</f>
        <v>0.3325</v>
      </c>
      <c r="L34" s="66" t="n">
        <f aca="false">IF(OR(K34="",J34=""),"",(J34-K34)*100)</f>
        <v>-2.22488119484046</v>
      </c>
      <c r="M34" s="36" t="n">
        <v>2.38324489930066</v>
      </c>
      <c r="N34" s="36" t="n">
        <v>2.06013257114913</v>
      </c>
      <c r="O34" s="36" t="n">
        <f aca="false">SQRT(M34^2+N34^2)</f>
        <v>3.1502384768065</v>
      </c>
      <c r="P34" s="55" t="n">
        <f aca="false">IF(J34="","",MAX(0,J34-1.96*O34/100))</f>
        <v>0.248506513906188</v>
      </c>
      <c r="Q34" s="55" t="n">
        <f aca="false">IF(J34="","",MIN(1,J34+1.96*O34/100))</f>
        <v>0.371995862197003</v>
      </c>
      <c r="R34" s="32" t="str">
        <f aca="false">IF(L34="","",IF(ABS(L34)&lt;=O34,"Yes","No"))</f>
        <v>Yes</v>
      </c>
      <c r="S34" s="32" t="str">
        <f aca="false">IF(L34="","",IF(ABS(L34)&lt;=1.96*O34,"Yes","No"))</f>
        <v>Yes</v>
      </c>
      <c r="T34" s="54" t="n">
        <f aca="false">IF(D34="","",ROUND(SQRT(((D34+G34)*O34/100)^2+(J34*(D34+G34)*0.05883)^2),0))</f>
        <v>54</v>
      </c>
      <c r="U34" s="32"/>
    </row>
    <row r="35" customFormat="false" ht="15" hidden="false" customHeight="false" outlineLevel="0" collapsed="false">
      <c r="A35" s="32" t="s">
        <v>157</v>
      </c>
      <c r="B35" s="32" t="s">
        <v>168</v>
      </c>
      <c r="C35" s="32" t="s">
        <v>129</v>
      </c>
      <c r="D35" s="54" t="n">
        <v>7773</v>
      </c>
      <c r="E35" s="54" t="n">
        <v>8358</v>
      </c>
      <c r="F35" s="65" t="n">
        <f aca="false">IF(E35="","",D35-E35)</f>
        <v>-585</v>
      </c>
      <c r="G35" s="54" t="n">
        <v>7289</v>
      </c>
      <c r="H35" s="54" t="n">
        <v>7595</v>
      </c>
      <c r="I35" s="65" t="n">
        <f aca="false">IF(H35="","",G35-H35)</f>
        <v>-306</v>
      </c>
      <c r="J35" s="55" t="n">
        <f aca="false">IF(OR(D35="",D35+G35=0),"",D35/(D35+G35))</f>
        <v>0.516066923383349</v>
      </c>
      <c r="K35" s="55" t="n">
        <f aca="false">IF(E35="","",E35/(E35+H35))</f>
        <v>0.523913997367266</v>
      </c>
      <c r="L35" s="66" t="n">
        <f aca="false">IF(OR(K35="",J35=""),"",(J35-K35)*100)</f>
        <v>-0.784707398391749</v>
      </c>
      <c r="M35" s="36" t="n">
        <v>1.79262295108063</v>
      </c>
      <c r="N35" s="36" t="n">
        <v>2.06013257114913</v>
      </c>
      <c r="O35" s="36" t="n">
        <f aca="false">SQRT(M35^2+N35^2)</f>
        <v>2.73086858992712</v>
      </c>
      <c r="P35" s="55" t="n">
        <f aca="false">IF(J35="","",MAX(0,J35-1.96*O35/100))</f>
        <v>0.462541899020777</v>
      </c>
      <c r="Q35" s="55" t="n">
        <f aca="false">IF(J35="","",MIN(1,J35+1.96*O35/100))</f>
        <v>0.56959194774592</v>
      </c>
      <c r="R35" s="32" t="str">
        <f aca="false">IF(L35="","",IF(ABS(L35)&lt;=O35,"Yes","No"))</f>
        <v>Yes</v>
      </c>
      <c r="S35" s="32" t="str">
        <f aca="false">IF(L35="","",IF(ABS(L35)&lt;=1.96*O35,"Yes","No"))</f>
        <v>Yes</v>
      </c>
      <c r="T35" s="54" t="n">
        <f aca="false">IF(D35="","",ROUND(SQRT(((D35+G35)*O35/100)^2+(J35*(D35+G35)*0.04942)^2),0))</f>
        <v>563</v>
      </c>
      <c r="U35" s="32"/>
    </row>
    <row r="36" customFormat="false" ht="15" hidden="false" customHeight="false" outlineLevel="0" collapsed="false">
      <c r="A36" s="32" t="s">
        <v>157</v>
      </c>
      <c r="B36" s="32" t="s">
        <v>169</v>
      </c>
      <c r="C36" s="32" t="s">
        <v>129</v>
      </c>
      <c r="D36" s="54" t="n">
        <v>720</v>
      </c>
      <c r="E36" s="54" t="n">
        <v>850</v>
      </c>
      <c r="F36" s="65" t="n">
        <f aca="false">IF(E36="","",D36-E36)</f>
        <v>-130</v>
      </c>
      <c r="G36" s="54" t="n">
        <v>1292</v>
      </c>
      <c r="H36" s="54" t="n">
        <v>1311</v>
      </c>
      <c r="I36" s="65" t="n">
        <f aca="false">IF(H36="","",G36-H36)</f>
        <v>-19</v>
      </c>
      <c r="J36" s="55" t="n">
        <f aca="false">IF(OR(D36="",D36+G36=0),"",D36/(D36+G36))</f>
        <v>0.357852882703777</v>
      </c>
      <c r="K36" s="55" t="n">
        <f aca="false">IF(E36="","",E36/(E36+H36))</f>
        <v>0.39333641832485</v>
      </c>
      <c r="L36" s="66" t="n">
        <f aca="false">IF(OR(K36="",J36=""),"",(J36-K36)*100)</f>
        <v>-3.54835356210723</v>
      </c>
      <c r="M36" s="36" t="n">
        <v>2.38324489930066</v>
      </c>
      <c r="N36" s="36" t="n">
        <v>2.06013257114913</v>
      </c>
      <c r="O36" s="36" t="n">
        <f aca="false">SQRT(M36^2+N36^2)</f>
        <v>3.1502384768065</v>
      </c>
      <c r="P36" s="55" t="n">
        <f aca="false">IF(J36="","",MAX(0,J36-1.96*O36/100))</f>
        <v>0.29610820855837</v>
      </c>
      <c r="Q36" s="55" t="n">
        <f aca="false">IF(J36="","",MIN(1,J36+1.96*O36/100))</f>
        <v>0.419597556849185</v>
      </c>
      <c r="R36" s="32" t="str">
        <f aca="false">IF(L36="","",IF(ABS(L36)&lt;=O36,"Yes","No"))</f>
        <v>No</v>
      </c>
      <c r="S36" s="32" t="str">
        <f aca="false">IF(L36="","",IF(ABS(L36)&lt;=1.96*O36,"Yes","No"))</f>
        <v>Yes</v>
      </c>
      <c r="T36" s="54" t="n">
        <f aca="false">IF(D36="","",ROUND(SQRT(((D36+G36)*O36/100)^2+(J36*(D36+G36)*0.05883)^2),0))</f>
        <v>76</v>
      </c>
      <c r="U36" s="32"/>
    </row>
    <row r="37" customFormat="false" ht="15" hidden="false" customHeight="false" outlineLevel="0" collapsed="false">
      <c r="A37" s="32" t="s">
        <v>157</v>
      </c>
      <c r="B37" s="32" t="s">
        <v>170</v>
      </c>
      <c r="C37" s="32" t="s">
        <v>129</v>
      </c>
      <c r="D37" s="54" t="n">
        <v>406</v>
      </c>
      <c r="E37" s="54" t="n">
        <v>457</v>
      </c>
      <c r="F37" s="65" t="n">
        <f aca="false">IF(E37="","",D37-E37)</f>
        <v>-51</v>
      </c>
      <c r="G37" s="54" t="n">
        <v>772</v>
      </c>
      <c r="H37" s="54" t="n">
        <v>760</v>
      </c>
      <c r="I37" s="65" t="n">
        <f aca="false">IF(H37="","",G37-H37)</f>
        <v>12</v>
      </c>
      <c r="J37" s="55" t="n">
        <f aca="false">IF(OR(D37="",D37+G37=0),"",D37/(D37+G37))</f>
        <v>0.3446519524618</v>
      </c>
      <c r="K37" s="55" t="n">
        <f aca="false">IF(E37="","",E37/(E37+H37))</f>
        <v>0.375513557929334</v>
      </c>
      <c r="L37" s="66" t="n">
        <f aca="false">IF(OR(K37="",J37=""),"",(J37-K37)*100)</f>
        <v>-3.08616054675348</v>
      </c>
      <c r="M37" s="36" t="n">
        <v>2.38324489930066</v>
      </c>
      <c r="N37" s="36" t="n">
        <v>2.06013257114913</v>
      </c>
      <c r="O37" s="36" t="n">
        <f aca="false">SQRT(M37^2+N37^2)</f>
        <v>3.1502384768065</v>
      </c>
      <c r="P37" s="55" t="n">
        <f aca="false">IF(J37="","",MAX(0,J37-1.96*O37/100))</f>
        <v>0.282907278316392</v>
      </c>
      <c r="Q37" s="55" t="n">
        <f aca="false">IF(J37="","",MIN(1,J37+1.96*O37/100))</f>
        <v>0.406396626607207</v>
      </c>
      <c r="R37" s="32" t="str">
        <f aca="false">IF(L37="","",IF(ABS(L37)&lt;=O37,"Yes","No"))</f>
        <v>Yes</v>
      </c>
      <c r="S37" s="32" t="str">
        <f aca="false">IF(L37="","",IF(ABS(L37)&lt;=1.96*O37,"Yes","No"))</f>
        <v>Yes</v>
      </c>
      <c r="T37" s="54" t="n">
        <f aca="false">IF(D37="","",ROUND(SQRT(((D37+G37)*O37/100)^2+(J37*(D37+G37)*0.05883)^2),0))</f>
        <v>44</v>
      </c>
      <c r="U37" s="32"/>
    </row>
    <row r="38" customFormat="false" ht="15" hidden="false" customHeight="false" outlineLevel="0" collapsed="false">
      <c r="A38" s="32" t="s">
        <v>157</v>
      </c>
      <c r="B38" s="32" t="s">
        <v>171</v>
      </c>
      <c r="C38" s="32" t="s">
        <v>129</v>
      </c>
      <c r="D38" s="54" t="n">
        <v>625</v>
      </c>
      <c r="E38" s="54" t="n">
        <v>719</v>
      </c>
      <c r="F38" s="65" t="n">
        <f aca="false">IF(E38="","",D38-E38)</f>
        <v>-94</v>
      </c>
      <c r="G38" s="54" t="n">
        <v>1367</v>
      </c>
      <c r="H38" s="54" t="n">
        <v>1434</v>
      </c>
      <c r="I38" s="65" t="n">
        <f aca="false">IF(H38="","",G38-H38)</f>
        <v>-67</v>
      </c>
      <c r="J38" s="55" t="n">
        <f aca="false">IF(OR(D38="",D38+G38=0),"",D38/(D38+G38))</f>
        <v>0.313755020080321</v>
      </c>
      <c r="K38" s="55" t="n">
        <f aca="false">IF(E38="","",E38/(E38+H38))</f>
        <v>0.333952624245239</v>
      </c>
      <c r="L38" s="66" t="n">
        <f aca="false">IF(OR(K38="",J38=""),"",(J38-K38)*100)</f>
        <v>-2.01976041649179</v>
      </c>
      <c r="M38" s="36" t="n">
        <v>2.38324489930066</v>
      </c>
      <c r="N38" s="36" t="n">
        <v>2.06013257114913</v>
      </c>
      <c r="O38" s="36" t="n">
        <f aca="false">SQRT(M38^2+N38^2)</f>
        <v>3.1502384768065</v>
      </c>
      <c r="P38" s="55" t="n">
        <f aca="false">IF(J38="","",MAX(0,J38-1.96*O38/100))</f>
        <v>0.252010345934914</v>
      </c>
      <c r="Q38" s="55" t="n">
        <f aca="false">IF(J38="","",MIN(1,J38+1.96*O38/100))</f>
        <v>0.375499694225729</v>
      </c>
      <c r="R38" s="32" t="str">
        <f aca="false">IF(L38="","",IF(ABS(L38)&lt;=O38,"Yes","No"))</f>
        <v>Yes</v>
      </c>
      <c r="S38" s="32" t="str">
        <f aca="false">IF(L38="","",IF(ABS(L38)&lt;=1.96*O38,"Yes","No"))</f>
        <v>Yes</v>
      </c>
      <c r="T38" s="54" t="n">
        <f aca="false">IF(D38="","",ROUND(SQRT(((D38+G38)*O38/100)^2+(J38*(D38+G38)*0.05883)^2),0))</f>
        <v>73</v>
      </c>
      <c r="U38" s="32"/>
    </row>
    <row r="39" customFormat="false" ht="15" hidden="false" customHeight="false" outlineLevel="0" collapsed="false">
      <c r="A39" s="32" t="s">
        <v>157</v>
      </c>
      <c r="B39" s="32" t="s">
        <v>172</v>
      </c>
      <c r="C39" s="32" t="s">
        <v>129</v>
      </c>
      <c r="D39" s="54" t="n">
        <v>720</v>
      </c>
      <c r="E39" s="54" t="n">
        <v>788</v>
      </c>
      <c r="F39" s="65" t="n">
        <f aca="false">IF(E39="","",D39-E39)</f>
        <v>-68</v>
      </c>
      <c r="G39" s="54" t="n">
        <v>625</v>
      </c>
      <c r="H39" s="54" t="n">
        <v>628</v>
      </c>
      <c r="I39" s="65" t="n">
        <f aca="false">IF(H39="","",G39-H39)</f>
        <v>-3</v>
      </c>
      <c r="J39" s="55" t="n">
        <f aca="false">IF(OR(D39="",D39+G39=0),"",D39/(D39+G39))</f>
        <v>0.535315985130112</v>
      </c>
      <c r="K39" s="55" t="n">
        <f aca="false">IF(E39="","",E39/(E39+H39))</f>
        <v>0.556497175141243</v>
      </c>
      <c r="L39" s="66" t="n">
        <f aca="false">IF(OR(K39="",J39=""),"",(J39-K39)*100)</f>
        <v>-2.11811900111315</v>
      </c>
      <c r="M39" s="36" t="n">
        <v>2.38324489930066</v>
      </c>
      <c r="N39" s="36" t="n">
        <v>2.06013257114913</v>
      </c>
      <c r="O39" s="36" t="n">
        <f aca="false">SQRT(M39^2+N39^2)</f>
        <v>3.1502384768065</v>
      </c>
      <c r="P39" s="55" t="n">
        <f aca="false">IF(J39="","",MAX(0,J39-1.96*O39/100))</f>
        <v>0.473571310984704</v>
      </c>
      <c r="Q39" s="55" t="n">
        <f aca="false">IF(J39="","",MIN(1,J39+1.96*O39/100))</f>
        <v>0.597060659275519</v>
      </c>
      <c r="R39" s="32" t="str">
        <f aca="false">IF(L39="","",IF(ABS(L39)&lt;=O39,"Yes","No"))</f>
        <v>Yes</v>
      </c>
      <c r="S39" s="32" t="str">
        <f aca="false">IF(L39="","",IF(ABS(L39)&lt;=1.96*O39,"Yes","No"))</f>
        <v>Yes</v>
      </c>
      <c r="T39" s="54" t="n">
        <f aca="false">IF(D39="","",ROUND(SQRT(((D39+G39)*O39/100)^2+(J39*(D39+G39)*0.05883)^2),0))</f>
        <v>60</v>
      </c>
      <c r="U39" s="32"/>
    </row>
    <row r="40" customFormat="false" ht="15" hidden="false" customHeight="false" outlineLevel="0" collapsed="false">
      <c r="A40" s="32" t="s">
        <v>157</v>
      </c>
      <c r="B40" s="32" t="s">
        <v>173</v>
      </c>
      <c r="C40" s="32" t="s">
        <v>129</v>
      </c>
      <c r="D40" s="54" t="n">
        <v>2826</v>
      </c>
      <c r="E40" s="54" t="n">
        <v>3255</v>
      </c>
      <c r="F40" s="65" t="n">
        <f aca="false">IF(E40="","",D40-E40)</f>
        <v>-429</v>
      </c>
      <c r="G40" s="54" t="n">
        <v>4192</v>
      </c>
      <c r="H40" s="54" t="n">
        <v>4462</v>
      </c>
      <c r="I40" s="65" t="n">
        <f aca="false">IF(H40="","",G40-H40)</f>
        <v>-270</v>
      </c>
      <c r="J40" s="55" t="n">
        <f aca="false">IF(OR(D40="",D40+G40=0),"",D40/(D40+G40))</f>
        <v>0.402678825876318</v>
      </c>
      <c r="K40" s="55" t="n">
        <f aca="false">IF(E40="","",E40/(E40+H40))</f>
        <v>0.421796034728521</v>
      </c>
      <c r="L40" s="66" t="n">
        <f aca="false">IF(OR(K40="",J40=""),"",(J40-K40)*100)</f>
        <v>-1.91172088522034</v>
      </c>
      <c r="M40" s="36" t="n">
        <v>1.79262295108063</v>
      </c>
      <c r="N40" s="36" t="n">
        <v>2.06013257114913</v>
      </c>
      <c r="O40" s="36" t="n">
        <f aca="false">SQRT(M40^2+N40^2)</f>
        <v>2.73086858992712</v>
      </c>
      <c r="P40" s="55" t="n">
        <f aca="false">IF(J40="","",MAX(0,J40-1.96*O40/100))</f>
        <v>0.349153801513747</v>
      </c>
      <c r="Q40" s="55" t="n">
        <f aca="false">IF(J40="","",MIN(1,J40+1.96*O40/100))</f>
        <v>0.45620385023889</v>
      </c>
      <c r="R40" s="32" t="str">
        <f aca="false">IF(L40="","",IF(ABS(L40)&lt;=O40,"Yes","No"))</f>
        <v>Yes</v>
      </c>
      <c r="S40" s="32" t="str">
        <f aca="false">IF(L40="","",IF(ABS(L40)&lt;=1.96*O40,"Yes","No"))</f>
        <v>Yes</v>
      </c>
      <c r="T40" s="54" t="n">
        <f aca="false">IF(D40="","",ROUND(SQRT(((D40+G40)*O40/100)^2+(J40*(D40+G40)*0.04942)^2),0))</f>
        <v>237</v>
      </c>
      <c r="U40" s="32"/>
    </row>
    <row r="41" customFormat="false" ht="15" hidden="false" customHeight="false" outlineLevel="0" collapsed="false">
      <c r="A41" s="32" t="s">
        <v>157</v>
      </c>
      <c r="B41" s="32" t="s">
        <v>174</v>
      </c>
      <c r="C41" s="32" t="s">
        <v>129</v>
      </c>
      <c r="D41" s="54" t="n">
        <v>3124</v>
      </c>
      <c r="E41" s="54" t="n">
        <v>3239</v>
      </c>
      <c r="F41" s="65" t="n">
        <f aca="false">IF(E41="","",D41-E41)</f>
        <v>-115</v>
      </c>
      <c r="G41" s="54" t="n">
        <v>2899</v>
      </c>
      <c r="H41" s="54" t="n">
        <v>3129</v>
      </c>
      <c r="I41" s="65" t="n">
        <f aca="false">IF(H41="","",G41-H41)</f>
        <v>-230</v>
      </c>
      <c r="J41" s="55" t="n">
        <f aca="false">IF(OR(D41="",D41+G41=0),"",D41/(D41+G41))</f>
        <v>0.518678399468703</v>
      </c>
      <c r="K41" s="55" t="n">
        <f aca="false">IF(E41="","",E41/(E41+H41))</f>
        <v>0.508636934673367</v>
      </c>
      <c r="L41" s="66" t="n">
        <f aca="false">IF(OR(K41="",J41=""),"",(J41-K41)*100)</f>
        <v>1.00414647953365</v>
      </c>
      <c r="M41" s="36" t="n">
        <v>1.79262295108063</v>
      </c>
      <c r="N41" s="36" t="n">
        <v>2.06013257114913</v>
      </c>
      <c r="O41" s="36" t="n">
        <f aca="false">SQRT(M41^2+N41^2)</f>
        <v>2.73086858992712</v>
      </c>
      <c r="P41" s="55" t="n">
        <f aca="false">IF(J41="","",MAX(0,J41-1.96*O41/100))</f>
        <v>0.465153375106132</v>
      </c>
      <c r="Q41" s="55" t="n">
        <f aca="false">IF(J41="","",MIN(1,J41+1.96*O41/100))</f>
        <v>0.572203423831275</v>
      </c>
      <c r="R41" s="32" t="str">
        <f aca="false">IF(L41="","",IF(ABS(L41)&lt;=O41,"Yes","No"))</f>
        <v>Yes</v>
      </c>
      <c r="S41" s="32" t="str">
        <f aca="false">IF(L41="","",IF(ABS(L41)&lt;=1.96*O41,"Yes","No"))</f>
        <v>Yes</v>
      </c>
      <c r="T41" s="54" t="n">
        <f aca="false">IF(D41="","",ROUND(SQRT(((D41+G41)*O41/100)^2+(J41*(D41+G41)*0.04942)^2),0))</f>
        <v>226</v>
      </c>
      <c r="U41" s="32"/>
    </row>
    <row r="42" customFormat="false" ht="15" hidden="false" customHeight="false" outlineLevel="0" collapsed="false">
      <c r="A42" s="32" t="s">
        <v>157</v>
      </c>
      <c r="B42" s="32" t="s">
        <v>175</v>
      </c>
      <c r="C42" s="32" t="s">
        <v>129</v>
      </c>
      <c r="D42" s="54" t="n">
        <v>541</v>
      </c>
      <c r="E42" s="54" t="n">
        <v>611</v>
      </c>
      <c r="F42" s="65" t="n">
        <f aca="false">IF(E42="","",D42-E42)</f>
        <v>-70</v>
      </c>
      <c r="G42" s="54" t="n">
        <v>772</v>
      </c>
      <c r="H42" s="54" t="n">
        <v>740</v>
      </c>
      <c r="I42" s="65" t="n">
        <f aca="false">IF(H42="","",G42-H42)</f>
        <v>32</v>
      </c>
      <c r="J42" s="55" t="n">
        <f aca="false">IF(OR(D42="",D42+G42=0),"",D42/(D42+G42))</f>
        <v>0.412033511043412</v>
      </c>
      <c r="K42" s="55" t="n">
        <f aca="false">IF(E42="","",E42/(E42+H42))</f>
        <v>0.452257586972613</v>
      </c>
      <c r="L42" s="66" t="n">
        <f aca="false">IF(OR(K42="",J42=""),"",(J42-K42)*100)</f>
        <v>-4.02240759292009</v>
      </c>
      <c r="M42" s="36" t="n">
        <v>2.38324489930066</v>
      </c>
      <c r="N42" s="36" t="n">
        <v>2.06013257114913</v>
      </c>
      <c r="O42" s="36" t="n">
        <f aca="false">SQRT(M42^2+N42^2)</f>
        <v>3.1502384768065</v>
      </c>
      <c r="P42" s="55" t="n">
        <f aca="false">IF(J42="","",MAX(0,J42-1.96*O42/100))</f>
        <v>0.350288836898005</v>
      </c>
      <c r="Q42" s="55" t="n">
        <f aca="false">IF(J42="","",MIN(1,J42+1.96*O42/100))</f>
        <v>0.473778185188819</v>
      </c>
      <c r="R42" s="32" t="str">
        <f aca="false">IF(L42="","",IF(ABS(L42)&lt;=O42,"Yes","No"))</f>
        <v>No</v>
      </c>
      <c r="S42" s="32" t="str">
        <f aca="false">IF(L42="","",IF(ABS(L42)&lt;=1.96*O42,"Yes","No"))</f>
        <v>Yes</v>
      </c>
      <c r="T42" s="54" t="n">
        <f aca="false">IF(D42="","",ROUND(SQRT(((D42+G42)*O42/100)^2+(J42*(D42+G42)*0.05883)^2),0))</f>
        <v>52</v>
      </c>
      <c r="U42" s="32"/>
    </row>
    <row r="43" customFormat="false" ht="15" hidden="false" customHeight="false" outlineLevel="0" collapsed="false">
      <c r="A43" s="32" t="s">
        <v>157</v>
      </c>
      <c r="B43" s="32" t="s">
        <v>176</v>
      </c>
      <c r="C43" s="32" t="s">
        <v>129</v>
      </c>
      <c r="D43" s="54" t="n">
        <v>5265</v>
      </c>
      <c r="E43" s="54" t="n">
        <v>5699</v>
      </c>
      <c r="F43" s="65" t="n">
        <f aca="false">IF(E43="","",D43-E43)</f>
        <v>-434</v>
      </c>
      <c r="G43" s="54" t="n">
        <v>4394</v>
      </c>
      <c r="H43" s="54" t="n">
        <v>4420</v>
      </c>
      <c r="I43" s="65" t="n">
        <f aca="false">IF(H43="","",G43-H43)</f>
        <v>-26</v>
      </c>
      <c r="J43" s="55" t="n">
        <f aca="false">IF(OR(D43="",D43+G43=0),"",D43/(D43+G43))</f>
        <v>0.545087483176312</v>
      </c>
      <c r="K43" s="55" t="n">
        <f aca="false">IF(E43="","",E43/(E43+H43))</f>
        <v>0.563197944460915</v>
      </c>
      <c r="L43" s="66" t="n">
        <f aca="false">IF(OR(K43="",J43=""),"",(J43-K43)*100)</f>
        <v>-1.81104612846028</v>
      </c>
      <c r="M43" s="36" t="n">
        <v>1.79262295108063</v>
      </c>
      <c r="N43" s="36" t="n">
        <v>2.06013257114913</v>
      </c>
      <c r="O43" s="36" t="n">
        <f aca="false">SQRT(M43^2+N43^2)</f>
        <v>2.73086858992712</v>
      </c>
      <c r="P43" s="55" t="n">
        <f aca="false">IF(J43="","",MAX(0,J43-1.96*O43/100))</f>
        <v>0.491562458813741</v>
      </c>
      <c r="Q43" s="55" t="n">
        <f aca="false">IF(J43="","",MIN(1,J43+1.96*O43/100))</f>
        <v>0.598612507538884</v>
      </c>
      <c r="R43" s="32" t="str">
        <f aca="false">IF(L43="","",IF(ABS(L43)&lt;=O43,"Yes","No"))</f>
        <v>Yes</v>
      </c>
      <c r="S43" s="32" t="str">
        <f aca="false">IF(L43="","",IF(ABS(L43)&lt;=1.96*O43,"Yes","No"))</f>
        <v>Yes</v>
      </c>
      <c r="T43" s="54" t="n">
        <f aca="false">IF(D43="","",ROUND(SQRT(((D43+G43)*O43/100)^2+(J43*(D43+G43)*0.04942)^2),0))</f>
        <v>371</v>
      </c>
      <c r="U43" s="32"/>
    </row>
    <row r="44" customFormat="false" ht="15" hidden="false" customHeight="false" outlineLevel="0" collapsed="false">
      <c r="A44" s="32" t="s">
        <v>157</v>
      </c>
      <c r="B44" s="32" t="s">
        <v>177</v>
      </c>
      <c r="C44" s="32" t="s">
        <v>129</v>
      </c>
      <c r="D44" s="54" t="n">
        <v>5795</v>
      </c>
      <c r="E44" s="54" t="n">
        <v>6009</v>
      </c>
      <c r="F44" s="65" t="n">
        <f aca="false">IF(E44="","",D44-E44)</f>
        <v>-214</v>
      </c>
      <c r="G44" s="54" t="n">
        <v>5006</v>
      </c>
      <c r="H44" s="54" t="n">
        <v>5257</v>
      </c>
      <c r="I44" s="65" t="n">
        <f aca="false">IF(H44="","",G44-H44)</f>
        <v>-251</v>
      </c>
      <c r="J44" s="55" t="n">
        <f aca="false">IF(OR(D44="",D44+G44=0),"",D44/(D44+G44))</f>
        <v>0.53652439588927</v>
      </c>
      <c r="K44" s="55" t="n">
        <f aca="false">IF(E44="","",E44/(E44+H44))</f>
        <v>0.533374755902716</v>
      </c>
      <c r="L44" s="66" t="n">
        <f aca="false">IF(OR(K44="",J44=""),"",(J44-K44)*100)</f>
        <v>0.314963998655338</v>
      </c>
      <c r="M44" s="36" t="n">
        <v>1.79262295108063</v>
      </c>
      <c r="N44" s="36" t="n">
        <v>2.06013257114913</v>
      </c>
      <c r="O44" s="36" t="n">
        <f aca="false">SQRT(M44^2+N44^2)</f>
        <v>2.73086858992712</v>
      </c>
      <c r="P44" s="55" t="n">
        <f aca="false">IF(J44="","",MAX(0,J44-1.96*O44/100))</f>
        <v>0.482999371526698</v>
      </c>
      <c r="Q44" s="55" t="n">
        <f aca="false">IF(J44="","",MIN(1,J44+1.96*O44/100))</f>
        <v>0.590049420251841</v>
      </c>
      <c r="R44" s="32" t="str">
        <f aca="false">IF(L44="","",IF(ABS(L44)&lt;=O44,"Yes","No"))</f>
        <v>Yes</v>
      </c>
      <c r="S44" s="32" t="str">
        <f aca="false">IF(L44="","",IF(ABS(L44)&lt;=1.96*O44,"Yes","No"))</f>
        <v>Yes</v>
      </c>
      <c r="T44" s="54" t="n">
        <f aca="false">IF(D44="","",ROUND(SQRT(((D44+G44)*O44/100)^2+(J44*(D44+G44)*0.04942)^2),0))</f>
        <v>411</v>
      </c>
      <c r="U44" s="32"/>
    </row>
    <row r="45" customFormat="false" ht="15" hidden="false" customHeight="false" outlineLevel="0" collapsed="false">
      <c r="A45" s="32" t="s">
        <v>157</v>
      </c>
      <c r="B45" s="32" t="s">
        <v>178</v>
      </c>
      <c r="C45" s="32" t="s">
        <v>129</v>
      </c>
      <c r="D45" s="54" t="n">
        <v>1710</v>
      </c>
      <c r="E45" s="54" t="n">
        <v>2032</v>
      </c>
      <c r="F45" s="65" t="n">
        <f aca="false">IF(E45="","",D45-E45)</f>
        <v>-322</v>
      </c>
      <c r="G45" s="54" t="n">
        <v>2426</v>
      </c>
      <c r="H45" s="54" t="n">
        <v>2450</v>
      </c>
      <c r="I45" s="65" t="n">
        <f aca="false">IF(H45="","",G45-H45)</f>
        <v>-24</v>
      </c>
      <c r="J45" s="55" t="n">
        <f aca="false">IF(OR(D45="",D45+G45=0),"",D45/(D45+G45))</f>
        <v>0.413442940038685</v>
      </c>
      <c r="K45" s="55" t="n">
        <f aca="false">IF(E45="","",E45/(E45+H45))</f>
        <v>0.453369031682285</v>
      </c>
      <c r="L45" s="66" t="n">
        <f aca="false">IF(OR(K45="",J45=""),"",(J45-K45)*100)</f>
        <v>-3.99260916436</v>
      </c>
      <c r="M45" s="36" t="n">
        <v>1.79262295108063</v>
      </c>
      <c r="N45" s="36" t="n">
        <v>2.06013257114913</v>
      </c>
      <c r="O45" s="36" t="n">
        <f aca="false">SQRT(M45^2+N45^2)</f>
        <v>2.73086858992712</v>
      </c>
      <c r="P45" s="55" t="n">
        <f aca="false">IF(J45="","",MAX(0,J45-1.96*O45/100))</f>
        <v>0.359917915676113</v>
      </c>
      <c r="Q45" s="55" t="n">
        <f aca="false">IF(J45="","",MIN(1,J45+1.96*O45/100))</f>
        <v>0.466967964401256</v>
      </c>
      <c r="R45" s="32" t="str">
        <f aca="false">IF(L45="","",IF(ABS(L45)&lt;=O45,"Yes","No"))</f>
        <v>No</v>
      </c>
      <c r="S45" s="32" t="str">
        <f aca="false">IF(L45="","",IF(ABS(L45)&lt;=1.96*O45,"Yes","No"))</f>
        <v>Yes</v>
      </c>
      <c r="T45" s="54" t="n">
        <f aca="false">IF(D45="","",ROUND(SQRT(((D45+G45)*O45/100)^2+(J45*(D45+G45)*0.04942)^2),0))</f>
        <v>141</v>
      </c>
      <c r="U45" s="32"/>
    </row>
    <row r="46" customFormat="false" ht="15" hidden="false" customHeight="false" outlineLevel="0" collapsed="false">
      <c r="A46" s="32" t="s">
        <v>157</v>
      </c>
      <c r="B46" s="32" t="s">
        <v>179</v>
      </c>
      <c r="C46" s="32" t="s">
        <v>129</v>
      </c>
      <c r="D46" s="54" t="n">
        <v>3894</v>
      </c>
      <c r="E46" s="54" t="n">
        <v>4406</v>
      </c>
      <c r="F46" s="65" t="n">
        <f aca="false">IF(E46="","",D46-E46)</f>
        <v>-512</v>
      </c>
      <c r="G46" s="54" t="n">
        <v>4195</v>
      </c>
      <c r="H46" s="54" t="n">
        <v>4369</v>
      </c>
      <c r="I46" s="65" t="n">
        <f aca="false">IF(H46="","",G46-H46)</f>
        <v>-174</v>
      </c>
      <c r="J46" s="55" t="n">
        <f aca="false">IF(OR(D46="",D46+G46=0),"",D46/(D46+G46))</f>
        <v>0.481394486339473</v>
      </c>
      <c r="K46" s="55" t="n">
        <f aca="false">IF(E46="","",E46/(E46+H46))</f>
        <v>0.502108262108262</v>
      </c>
      <c r="L46" s="66" t="n">
        <f aca="false">IF(OR(K46="",J46=""),"",(J46-K46)*100)</f>
        <v>-2.07137757687887</v>
      </c>
      <c r="M46" s="36" t="n">
        <v>1.79262295108063</v>
      </c>
      <c r="N46" s="36" t="n">
        <v>2.06013257114913</v>
      </c>
      <c r="O46" s="36" t="n">
        <f aca="false">SQRT(M46^2+N46^2)</f>
        <v>2.73086858992712</v>
      </c>
      <c r="P46" s="55" t="n">
        <f aca="false">IF(J46="","",MAX(0,J46-1.96*O46/100))</f>
        <v>0.427869461976902</v>
      </c>
      <c r="Q46" s="55" t="n">
        <f aca="false">IF(J46="","",MIN(1,J46+1.96*O46/100))</f>
        <v>0.534919510702045</v>
      </c>
      <c r="R46" s="32" t="str">
        <f aca="false">IF(L46="","",IF(ABS(L46)&lt;=O46,"Yes","No"))</f>
        <v>Yes</v>
      </c>
      <c r="S46" s="32" t="str">
        <f aca="false">IF(L46="","",IF(ABS(L46)&lt;=1.96*O46,"Yes","No"))</f>
        <v>Yes</v>
      </c>
      <c r="T46" s="54" t="n">
        <f aca="false">IF(D46="","",ROUND(SQRT(((D46+G46)*O46/100)^2+(J46*(D46+G46)*0.04942)^2),0))</f>
        <v>293</v>
      </c>
      <c r="U46" s="32"/>
    </row>
    <row r="47" customFormat="false" ht="15" hidden="false" customHeight="false" outlineLevel="0" collapsed="false">
      <c r="A47" s="32" t="s">
        <v>157</v>
      </c>
      <c r="B47" s="32" t="s">
        <v>180</v>
      </c>
      <c r="C47" s="32" t="s">
        <v>129</v>
      </c>
      <c r="D47" s="54" t="n">
        <v>857</v>
      </c>
      <c r="E47" s="54" t="n">
        <v>1054</v>
      </c>
      <c r="F47" s="65" t="n">
        <f aca="false">IF(E47="","",D47-E47)</f>
        <v>-197</v>
      </c>
      <c r="G47" s="54" t="n">
        <v>1796</v>
      </c>
      <c r="H47" s="54" t="n">
        <v>1952</v>
      </c>
      <c r="I47" s="65" t="n">
        <f aca="false">IF(H47="","",G47-H47)</f>
        <v>-156</v>
      </c>
      <c r="J47" s="55" t="n">
        <f aca="false">IF(OR(D47="",D47+G47=0),"",D47/(D47+G47))</f>
        <v>0.323030531473803</v>
      </c>
      <c r="K47" s="55" t="n">
        <f aca="false">IF(E47="","",E47/(E47+H47))</f>
        <v>0.350632069194943</v>
      </c>
      <c r="L47" s="66" t="n">
        <f aca="false">IF(OR(K47="",J47=""),"",(J47-K47)*100)</f>
        <v>-2.76015377211402</v>
      </c>
      <c r="M47" s="36" t="n">
        <v>1.79262295108063</v>
      </c>
      <c r="N47" s="36" t="n">
        <v>2.06013257114913</v>
      </c>
      <c r="O47" s="36" t="n">
        <f aca="false">SQRT(M47^2+N47^2)</f>
        <v>2.73086858992712</v>
      </c>
      <c r="P47" s="55" t="n">
        <f aca="false">IF(J47="","",MAX(0,J47-1.96*O47/100))</f>
        <v>0.269505507111232</v>
      </c>
      <c r="Q47" s="55" t="n">
        <f aca="false">IF(J47="","",MIN(1,J47+1.96*O47/100))</f>
        <v>0.376555555836375</v>
      </c>
      <c r="R47" s="32" t="str">
        <f aca="false">IF(L47="","",IF(ABS(L47)&lt;=O47,"Yes","No"))</f>
        <v>No</v>
      </c>
      <c r="S47" s="32" t="str">
        <f aca="false">IF(L47="","",IF(ABS(L47)&lt;=1.96*O47,"Yes","No"))</f>
        <v>Yes</v>
      </c>
      <c r="T47" s="54" t="n">
        <f aca="false">IF(D47="","",ROUND(SQRT(((D47+G47)*O47/100)^2+(J47*(D47+G47)*0.04942)^2),0))</f>
        <v>84</v>
      </c>
      <c r="U47" s="32"/>
    </row>
    <row r="48" customFormat="false" ht="15" hidden="false" customHeight="false" outlineLevel="0" collapsed="false">
      <c r="A48" s="32" t="s">
        <v>157</v>
      </c>
      <c r="B48" s="32" t="s">
        <v>181</v>
      </c>
      <c r="C48" s="32" t="s">
        <v>129</v>
      </c>
      <c r="D48" s="54" t="n">
        <v>816</v>
      </c>
      <c r="E48" s="54" t="n">
        <v>981</v>
      </c>
      <c r="F48" s="65" t="n">
        <f aca="false">IF(E48="","",D48-E48)</f>
        <v>-165</v>
      </c>
      <c r="G48" s="54" t="n">
        <v>1713</v>
      </c>
      <c r="H48" s="54" t="n">
        <v>1711</v>
      </c>
      <c r="I48" s="65" t="n">
        <f aca="false">IF(H48="","",G48-H48)</f>
        <v>2</v>
      </c>
      <c r="J48" s="55" t="n">
        <f aca="false">IF(OR(D48="",D48+G48=0),"",D48/(D48+G48))</f>
        <v>0.322657176749703</v>
      </c>
      <c r="K48" s="55" t="n">
        <f aca="false">IF(E48="","",E48/(E48+H48))</f>
        <v>0.364413075780089</v>
      </c>
      <c r="L48" s="66" t="n">
        <f aca="false">IF(OR(K48="",J48=""),"",(J48-K48)*100)</f>
        <v>-4.17558990303857</v>
      </c>
      <c r="M48" s="36" t="n">
        <v>2.38324489930066</v>
      </c>
      <c r="N48" s="36" t="n">
        <v>2.06013257114913</v>
      </c>
      <c r="O48" s="36" t="n">
        <f aca="false">SQRT(M48^2+N48^2)</f>
        <v>3.1502384768065</v>
      </c>
      <c r="P48" s="55" t="n">
        <f aca="false">IF(J48="","",MAX(0,J48-1.96*O48/100))</f>
        <v>0.260912502604296</v>
      </c>
      <c r="Q48" s="55" t="n">
        <f aca="false">IF(J48="","",MIN(1,J48+1.96*O48/100))</f>
        <v>0.384401850895111</v>
      </c>
      <c r="R48" s="32" t="str">
        <f aca="false">IF(L48="","",IF(ABS(L48)&lt;=O48,"Yes","No"))</f>
        <v>No</v>
      </c>
      <c r="S48" s="32" t="str">
        <f aca="false">IF(L48="","",IF(ABS(L48)&lt;=1.96*O48,"Yes","No"))</f>
        <v>Yes</v>
      </c>
      <c r="T48" s="54" t="n">
        <f aca="false">IF(D48="","",ROUND(SQRT(((D48+G48)*O48/100)^2+(J48*(D48+G48)*0.05883)^2),0))</f>
        <v>93</v>
      </c>
      <c r="U48" s="32"/>
    </row>
    <row r="49" customFormat="false" ht="15" hidden="false" customHeight="false" outlineLevel="0" collapsed="false">
      <c r="A49" s="32" t="s">
        <v>157</v>
      </c>
      <c r="B49" s="32" t="s">
        <v>182</v>
      </c>
      <c r="C49" s="32" t="s">
        <v>129</v>
      </c>
      <c r="D49" s="54" t="n">
        <v>5388</v>
      </c>
      <c r="E49" s="54" t="n">
        <v>5508</v>
      </c>
      <c r="F49" s="65" t="n">
        <f aca="false">IF(E49="","",D49-E49)</f>
        <v>-120</v>
      </c>
      <c r="G49" s="54" t="n">
        <v>4472</v>
      </c>
      <c r="H49" s="54" t="n">
        <v>4784</v>
      </c>
      <c r="I49" s="65" t="n">
        <f aca="false">IF(H49="","",G49-H49)</f>
        <v>-312</v>
      </c>
      <c r="J49" s="55" t="n">
        <f aca="false">IF(OR(D49="",D49+G49=0),"",D49/(D49+G49))</f>
        <v>0.546450304259635</v>
      </c>
      <c r="K49" s="55" t="n">
        <f aca="false">IF(E49="","",E49/(E49+H49))</f>
        <v>0.535172949863972</v>
      </c>
      <c r="L49" s="66" t="n">
        <f aca="false">IF(OR(K49="",J49=""),"",(J49-K49)*100)</f>
        <v>1.12773543956629</v>
      </c>
      <c r="M49" s="36" t="n">
        <v>1.79262295108063</v>
      </c>
      <c r="N49" s="36" t="n">
        <v>2.06013257114913</v>
      </c>
      <c r="O49" s="36" t="n">
        <f aca="false">SQRT(M49^2+N49^2)</f>
        <v>2.73086858992712</v>
      </c>
      <c r="P49" s="55" t="n">
        <f aca="false">IF(J49="","",MAX(0,J49-1.96*O49/100))</f>
        <v>0.492925279897063</v>
      </c>
      <c r="Q49" s="55" t="n">
        <f aca="false">IF(J49="","",MIN(1,J49+1.96*O49/100))</f>
        <v>0.599975328622207</v>
      </c>
      <c r="R49" s="32" t="str">
        <f aca="false">IF(L49="","",IF(ABS(L49)&lt;=O49,"Yes","No"))</f>
        <v>Yes</v>
      </c>
      <c r="S49" s="32" t="str">
        <f aca="false">IF(L49="","",IF(ABS(L49)&lt;=1.96*O49,"Yes","No"))</f>
        <v>Yes</v>
      </c>
      <c r="T49" s="54" t="n">
        <f aca="false">IF(D49="","",ROUND(SQRT(((D49+G49)*O49/100)^2+(J49*(D49+G49)*0.04942)^2),0))</f>
        <v>379</v>
      </c>
      <c r="U49" s="32"/>
    </row>
    <row r="50" customFormat="false" ht="15" hidden="false" customHeight="false" outlineLevel="0" collapsed="false">
      <c r="A50" s="32" t="s">
        <v>183</v>
      </c>
      <c r="B50" s="32" t="s">
        <v>184</v>
      </c>
      <c r="C50" s="32" t="s">
        <v>129</v>
      </c>
      <c r="D50" s="54" t="n">
        <v>353</v>
      </c>
      <c r="E50" s="54" t="n">
        <v>361</v>
      </c>
      <c r="F50" s="65" t="n">
        <f aca="false">IF(E50="","",D50-E50)</f>
        <v>-8</v>
      </c>
      <c r="G50" s="54" t="n">
        <v>695</v>
      </c>
      <c r="H50" s="54" t="n">
        <v>824</v>
      </c>
      <c r="I50" s="65" t="n">
        <f aca="false">IF(H50="","",G50-H50)</f>
        <v>-129</v>
      </c>
      <c r="J50" s="55" t="n">
        <f aca="false">IF(OR(D50="",D50+G50=0),"",D50/(D50+G50))</f>
        <v>0.336832061068702</v>
      </c>
      <c r="K50" s="55" t="n">
        <f aca="false">IF(E50="","",E50/(E50+H50))</f>
        <v>0.30464135021097</v>
      </c>
      <c r="L50" s="66" t="n">
        <f aca="false">IF(OR(K50="",J50=""),"",(J50-K50)*100)</f>
        <v>3.21907108577318</v>
      </c>
      <c r="M50" s="36" t="n">
        <v>3.70014007986767</v>
      </c>
      <c r="N50" s="36" t="n">
        <v>2.06013257114913</v>
      </c>
      <c r="O50" s="36" t="n">
        <f aca="false">SQRT(M50^2+N50^2)</f>
        <v>4.23499502022761</v>
      </c>
      <c r="P50" s="55" t="n">
        <f aca="false">IF(J50="","",MAX(0,J50-1.96*O50/100))</f>
        <v>0.253826158672241</v>
      </c>
      <c r="Q50" s="55" t="n">
        <f aca="false">IF(J50="","",MIN(1,J50+1.96*O50/100))</f>
        <v>0.419837963465163</v>
      </c>
      <c r="R50" s="32" t="str">
        <f aca="false">IF(L50="","",IF(ABS(L50)&lt;=O50,"Yes","No"))</f>
        <v>Yes</v>
      </c>
      <c r="S50" s="32" t="str">
        <f aca="false">IF(L50="","",IF(ABS(L50)&lt;=1.96*O50,"Yes","No"))</f>
        <v>Yes</v>
      </c>
      <c r="T50" s="54" t="n">
        <f aca="false">IF(D50="","",ROUND(SQRT(((D50+G50)*O50/100)^2+(J50*(D50+G50)*0.07872)^2),0))</f>
        <v>52</v>
      </c>
      <c r="U50" s="32"/>
    </row>
    <row r="51" customFormat="false" ht="15" hidden="false" customHeight="false" outlineLevel="0" collapsed="false">
      <c r="A51" s="32" t="s">
        <v>183</v>
      </c>
      <c r="B51" s="32" t="s">
        <v>186</v>
      </c>
      <c r="C51" s="32" t="s">
        <v>129</v>
      </c>
      <c r="D51" s="54" t="n">
        <v>983</v>
      </c>
      <c r="E51" s="54" t="n">
        <v>1021</v>
      </c>
      <c r="F51" s="65" t="n">
        <f aca="false">IF(E51="","",D51-E51)</f>
        <v>-38</v>
      </c>
      <c r="G51" s="54" t="n">
        <v>1805</v>
      </c>
      <c r="H51" s="54" t="n">
        <v>1984</v>
      </c>
      <c r="I51" s="65" t="n">
        <f aca="false">IF(H51="","",G51-H51)</f>
        <v>-179</v>
      </c>
      <c r="J51" s="55" t="n">
        <f aca="false">IF(OR(D51="",D51+G51=0),"",D51/(D51+G51))</f>
        <v>0.352582496413199</v>
      </c>
      <c r="K51" s="55" t="n">
        <f aca="false">IF(E51="","",E51/(E51+H51))</f>
        <v>0.339767054908486</v>
      </c>
      <c r="L51" s="66" t="n">
        <f aca="false">IF(OR(K51="",J51=""),"",(J51-K51)*100)</f>
        <v>1.28154415047136</v>
      </c>
      <c r="M51" s="36" t="n">
        <v>1.79262295108063</v>
      </c>
      <c r="N51" s="36" t="n">
        <v>2.06013257114913</v>
      </c>
      <c r="O51" s="36" t="n">
        <f aca="false">SQRT(M51^2+N51^2)</f>
        <v>2.73086858992712</v>
      </c>
      <c r="P51" s="55" t="n">
        <f aca="false">IF(J51="","",MAX(0,J51-1.96*O51/100))</f>
        <v>0.299057472050628</v>
      </c>
      <c r="Q51" s="55" t="n">
        <f aca="false">IF(J51="","",MIN(1,J51+1.96*O51/100))</f>
        <v>0.406107520775771</v>
      </c>
      <c r="R51" s="32" t="str">
        <f aca="false">IF(L51="","",IF(ABS(L51)&lt;=O51,"Yes","No"))</f>
        <v>Yes</v>
      </c>
      <c r="S51" s="32" t="str">
        <f aca="false">IF(L51="","",IF(ABS(L51)&lt;=1.96*O51,"Yes","No"))</f>
        <v>Yes</v>
      </c>
      <c r="T51" s="54" t="n">
        <f aca="false">IF(D51="","",ROUND(SQRT(((D51+G51)*O51/100)^2+(J51*(D51+G51)*0.04942)^2),0))</f>
        <v>90</v>
      </c>
      <c r="U51" s="32"/>
    </row>
    <row r="52" customFormat="false" ht="15" hidden="false" customHeight="false" outlineLevel="0" collapsed="false">
      <c r="A52" s="32" t="s">
        <v>183</v>
      </c>
      <c r="B52" s="32" t="s">
        <v>187</v>
      </c>
      <c r="C52" s="32" t="s">
        <v>129</v>
      </c>
      <c r="D52" s="54" t="n">
        <v>325</v>
      </c>
      <c r="E52" s="54" t="n">
        <v>380</v>
      </c>
      <c r="F52" s="65" t="n">
        <f aca="false">IF(E52="","",D52-E52)</f>
        <v>-55</v>
      </c>
      <c r="G52" s="54" t="n">
        <v>539</v>
      </c>
      <c r="H52" s="54" t="n">
        <v>732</v>
      </c>
      <c r="I52" s="65" t="n">
        <f aca="false">IF(H52="","",G52-H52)</f>
        <v>-193</v>
      </c>
      <c r="J52" s="55" t="n">
        <f aca="false">IF(OR(D52="",D52+G52=0),"",D52/(D52+G52))</f>
        <v>0.376157407407407</v>
      </c>
      <c r="K52" s="55" t="n">
        <f aca="false">IF(E52="","",E52/(E52+H52))</f>
        <v>0.341726618705036</v>
      </c>
      <c r="L52" s="66" t="n">
        <f aca="false">IF(OR(K52="",J52=""),"",(J52-K52)*100)</f>
        <v>3.44307887023714</v>
      </c>
      <c r="M52" s="36" t="n">
        <v>3.70014007986767</v>
      </c>
      <c r="N52" s="36" t="n">
        <v>2.06013257114913</v>
      </c>
      <c r="O52" s="36" t="n">
        <f aca="false">SQRT(M52^2+N52^2)</f>
        <v>4.23499502022761</v>
      </c>
      <c r="P52" s="55" t="n">
        <f aca="false">IF(J52="","",MAX(0,J52-1.96*O52/100))</f>
        <v>0.293151505010946</v>
      </c>
      <c r="Q52" s="55" t="n">
        <f aca="false">IF(J52="","",MIN(1,J52+1.96*O52/100))</f>
        <v>0.459163309803869</v>
      </c>
      <c r="R52" s="32" t="str">
        <f aca="false">IF(L52="","",IF(ABS(L52)&lt;=O52,"Yes","No"))</f>
        <v>Yes</v>
      </c>
      <c r="S52" s="32" t="str">
        <f aca="false">IF(L52="","",IF(ABS(L52)&lt;=1.96*O52,"Yes","No"))</f>
        <v>Yes</v>
      </c>
      <c r="T52" s="54" t="n">
        <f aca="false">IF(D52="","",ROUND(SQRT(((D52+G52)*O52/100)^2+(J52*(D52+G52)*0.07872)^2),0))</f>
        <v>45</v>
      </c>
      <c r="U52" s="32"/>
    </row>
    <row r="53" customFormat="false" ht="15" hidden="false" customHeight="false" outlineLevel="0" collapsed="false">
      <c r="A53" s="32" t="s">
        <v>188</v>
      </c>
      <c r="B53" s="32" t="s">
        <v>189</v>
      </c>
      <c r="C53" s="32" t="s">
        <v>129</v>
      </c>
      <c r="D53" s="54" t="n">
        <v>989</v>
      </c>
      <c r="E53" s="54" t="n">
        <v>1174</v>
      </c>
      <c r="F53" s="65" t="n">
        <f aca="false">IF(E53="","",D53-E53)</f>
        <v>-185</v>
      </c>
      <c r="G53" s="54" t="n">
        <v>1358</v>
      </c>
      <c r="H53" s="54" t="n">
        <v>1426</v>
      </c>
      <c r="I53" s="65" t="n">
        <f aca="false">IF(H53="","",G53-H53)</f>
        <v>-68</v>
      </c>
      <c r="J53" s="55" t="n">
        <f aca="false">IF(OR(D53="",D53+G53=0),"",D53/(D53+G53))</f>
        <v>0.421389007243289</v>
      </c>
      <c r="K53" s="55" t="n">
        <f aca="false">IF(E53="","",E53/(E53+H53))</f>
        <v>0.451538461538462</v>
      </c>
      <c r="L53" s="66" t="n">
        <f aca="false">IF(OR(K53="",J53=""),"",(J53-K53)*100)</f>
        <v>-3.01494542951722</v>
      </c>
      <c r="M53" s="36" t="n">
        <v>2.38324489930066</v>
      </c>
      <c r="N53" s="36" t="n">
        <v>2.06013257114913</v>
      </c>
      <c r="O53" s="36" t="n">
        <f aca="false">SQRT(M53^2+N53^2)</f>
        <v>3.1502384768065</v>
      </c>
      <c r="P53" s="55" t="n">
        <f aca="false">IF(J53="","",MAX(0,J53-1.96*O53/100))</f>
        <v>0.359644333097882</v>
      </c>
      <c r="Q53" s="55" t="n">
        <f aca="false">IF(J53="","",MIN(1,J53+1.96*O53/100))</f>
        <v>0.483133681388697</v>
      </c>
      <c r="R53" s="32" t="str">
        <f aca="false">IF(L53="","",IF(ABS(L53)&lt;=O53,"Yes","No"))</f>
        <v>Yes</v>
      </c>
      <c r="S53" s="32" t="str">
        <f aca="false">IF(L53="","",IF(ABS(L53)&lt;=1.96*O53,"Yes","No"))</f>
        <v>Yes</v>
      </c>
      <c r="T53" s="54" t="n">
        <f aca="false">IF(D53="","",ROUND(SQRT(((D53+G53)*O53/100)^2+(J53*(D53+G53)*0.05883)^2),0))</f>
        <v>94</v>
      </c>
      <c r="U53" s="32"/>
    </row>
    <row r="54" customFormat="false" ht="15" hidden="false" customHeight="false" outlineLevel="0" collapsed="false">
      <c r="A54" s="32" t="s">
        <v>188</v>
      </c>
      <c r="B54" s="32" t="s">
        <v>190</v>
      </c>
      <c r="C54" s="32" t="s">
        <v>129</v>
      </c>
      <c r="D54" s="54" t="n">
        <v>657</v>
      </c>
      <c r="E54" s="54" t="n">
        <v>729</v>
      </c>
      <c r="F54" s="65" t="n">
        <f aca="false">IF(E54="","",D54-E54)</f>
        <v>-72</v>
      </c>
      <c r="G54" s="54" t="n">
        <v>917</v>
      </c>
      <c r="H54" s="54" t="n">
        <v>928</v>
      </c>
      <c r="I54" s="65" t="n">
        <f aca="false">IF(H54="","",G54-H54)</f>
        <v>-11</v>
      </c>
      <c r="J54" s="55" t="n">
        <f aca="false">IF(OR(D54="",D54+G54=0),"",D54/(D54+G54))</f>
        <v>0.417407878017789</v>
      </c>
      <c r="K54" s="55" t="n">
        <f aca="false">IF(E54="","",E54/(E54+H54))</f>
        <v>0.43995171997586</v>
      </c>
      <c r="L54" s="66" t="n">
        <f aca="false">IF(OR(K54="",J54=""),"",(J54-K54)*100)</f>
        <v>-2.25438419580709</v>
      </c>
      <c r="M54" s="36" t="n">
        <v>2.38324489930066</v>
      </c>
      <c r="N54" s="36" t="n">
        <v>2.06013257114913</v>
      </c>
      <c r="O54" s="36" t="n">
        <f aca="false">SQRT(M54^2+N54^2)</f>
        <v>3.1502384768065</v>
      </c>
      <c r="P54" s="55" t="n">
        <f aca="false">IF(J54="","",MAX(0,J54-1.96*O54/100))</f>
        <v>0.355663203872382</v>
      </c>
      <c r="Q54" s="55" t="n">
        <f aca="false">IF(J54="","",MIN(1,J54+1.96*O54/100))</f>
        <v>0.479152552163196</v>
      </c>
      <c r="R54" s="32" t="str">
        <f aca="false">IF(L54="","",IF(ABS(L54)&lt;=O54,"Yes","No"))</f>
        <v>Yes</v>
      </c>
      <c r="S54" s="32" t="str">
        <f aca="false">IF(L54="","",IF(ABS(L54)&lt;=1.96*O54,"Yes","No"))</f>
        <v>Yes</v>
      </c>
      <c r="T54" s="54" t="n">
        <f aca="false">IF(D54="","",ROUND(SQRT(((D54+G54)*O54/100)^2+(J54*(D54+G54)*0.05883)^2),0))</f>
        <v>63</v>
      </c>
      <c r="U54" s="32"/>
    </row>
    <row r="55" customFormat="false" ht="15" hidden="false" customHeight="false" outlineLevel="0" collapsed="false">
      <c r="A55" s="32" t="s">
        <v>188</v>
      </c>
      <c r="B55" s="32" t="s">
        <v>191</v>
      </c>
      <c r="C55" s="32" t="s">
        <v>129</v>
      </c>
      <c r="D55" s="54" t="n">
        <v>421</v>
      </c>
      <c r="E55" s="54" t="n">
        <v>441</v>
      </c>
      <c r="F55" s="65" t="n">
        <f aca="false">IF(E55="","",D55-E55)</f>
        <v>-20</v>
      </c>
      <c r="G55" s="54" t="n">
        <v>453</v>
      </c>
      <c r="H55" s="54" t="n">
        <v>513</v>
      </c>
      <c r="I55" s="65" t="n">
        <f aca="false">IF(H55="","",G55-H55)</f>
        <v>-60</v>
      </c>
      <c r="J55" s="55" t="n">
        <f aca="false">IF(OR(D55="",D55+G55=0),"",D55/(D55+G55))</f>
        <v>0.481693363844394</v>
      </c>
      <c r="K55" s="55" t="n">
        <f aca="false">IF(E55="","",E55/(E55+H55))</f>
        <v>0.462264150943396</v>
      </c>
      <c r="L55" s="66" t="n">
        <f aca="false">IF(OR(K55="",J55=""),"",(J55-K55)*100)</f>
        <v>1.94292129009974</v>
      </c>
      <c r="M55" s="36" t="n">
        <v>3.70014007986767</v>
      </c>
      <c r="N55" s="36" t="n">
        <v>2.06013257114913</v>
      </c>
      <c r="O55" s="36" t="n">
        <f aca="false">SQRT(M55^2+N55^2)</f>
        <v>4.23499502022761</v>
      </c>
      <c r="P55" s="55" t="n">
        <f aca="false">IF(J55="","",MAX(0,J55-1.96*O55/100))</f>
        <v>0.398687461447933</v>
      </c>
      <c r="Q55" s="55" t="n">
        <f aca="false">IF(J55="","",MIN(1,J55+1.96*O55/100))</f>
        <v>0.564699266240855</v>
      </c>
      <c r="R55" s="32" t="str">
        <f aca="false">IF(L55="","",IF(ABS(L55)&lt;=O55,"Yes","No"))</f>
        <v>Yes</v>
      </c>
      <c r="S55" s="32" t="str">
        <f aca="false">IF(L55="","",IF(ABS(L55)&lt;=1.96*O55,"Yes","No"))</f>
        <v>Yes</v>
      </c>
      <c r="T55" s="54" t="n">
        <f aca="false">IF(D55="","",ROUND(SQRT(((D55+G55)*O55/100)^2+(J55*(D55+G55)*0.07872)^2),0))</f>
        <v>50</v>
      </c>
      <c r="U55" s="32"/>
    </row>
    <row r="56" customFormat="false" ht="15" hidden="false" customHeight="false" outlineLevel="0" collapsed="false">
      <c r="A56" s="32" t="s">
        <v>188</v>
      </c>
      <c r="B56" s="32" t="s">
        <v>160</v>
      </c>
      <c r="C56" s="32" t="s">
        <v>129</v>
      </c>
      <c r="D56" s="54" t="n">
        <v>11852</v>
      </c>
      <c r="E56" s="54" t="n">
        <v>12402</v>
      </c>
      <c r="F56" s="65" t="n">
        <f aca="false">IF(E56="","",D56-E56)</f>
        <v>-550</v>
      </c>
      <c r="G56" s="54" t="n">
        <v>5816</v>
      </c>
      <c r="H56" s="54" t="n">
        <v>5692</v>
      </c>
      <c r="I56" s="65" t="n">
        <f aca="false">IF(H56="","",G56-H56)</f>
        <v>124</v>
      </c>
      <c r="J56" s="55" t="n">
        <f aca="false">IF(OR(D56="",D56+G56=0),"",D56/(D56+G56))</f>
        <v>0.670817296807788</v>
      </c>
      <c r="K56" s="55" t="n">
        <f aca="false">IF(E56="","",E56/(E56+H56))</f>
        <v>0.685420581408202</v>
      </c>
      <c r="L56" s="66" t="n">
        <f aca="false">IF(OR(K56="",J56=""),"",(J56-K56)*100)</f>
        <v>-1.46032846004135</v>
      </c>
      <c r="M56" s="36" t="n">
        <v>1.79262295108063</v>
      </c>
      <c r="N56" s="36" t="n">
        <v>2.06013257114913</v>
      </c>
      <c r="O56" s="36" t="n">
        <f aca="false">SQRT(M56^2+N56^2)</f>
        <v>2.73086858992712</v>
      </c>
      <c r="P56" s="55" t="n">
        <f aca="false">IF(J56="","",MAX(0,J56-1.96*O56/100))</f>
        <v>0.617292272445217</v>
      </c>
      <c r="Q56" s="55" t="n">
        <f aca="false">IF(J56="","",MIN(1,J56+1.96*O56/100))</f>
        <v>0.72434232117036</v>
      </c>
      <c r="R56" s="32" t="str">
        <f aca="false">IF(L56="","",IF(ABS(L56)&lt;=O56,"Yes","No"))</f>
        <v>Yes</v>
      </c>
      <c r="S56" s="32" t="str">
        <f aca="false">IF(L56="","",IF(ABS(L56)&lt;=1.96*O56,"Yes","No"))</f>
        <v>Yes</v>
      </c>
      <c r="T56" s="54" t="n">
        <f aca="false">IF(D56="","",ROUND(SQRT(((D56+G56)*O56/100)^2+(J56*(D56+G56)*0.04942)^2),0))</f>
        <v>759</v>
      </c>
      <c r="U56" s="32"/>
    </row>
    <row r="57" customFormat="false" ht="15" hidden="false" customHeight="false" outlineLevel="0" collapsed="false">
      <c r="A57" s="32" t="s">
        <v>188</v>
      </c>
      <c r="B57" s="32" t="s">
        <v>192</v>
      </c>
      <c r="C57" s="32" t="s">
        <v>129</v>
      </c>
      <c r="D57" s="54" t="n">
        <v>6084</v>
      </c>
      <c r="E57" s="54" t="n">
        <v>6681</v>
      </c>
      <c r="F57" s="65" t="n">
        <f aca="false">IF(E57="","",D57-E57)</f>
        <v>-597</v>
      </c>
      <c r="G57" s="54" t="n">
        <v>5117</v>
      </c>
      <c r="H57" s="54" t="n">
        <v>5562</v>
      </c>
      <c r="I57" s="65" t="n">
        <f aca="false">IF(H57="","",G57-H57)</f>
        <v>-445</v>
      </c>
      <c r="J57" s="55" t="n">
        <f aca="false">IF(OR(D57="",D57+G57=0),"",D57/(D57+G57))</f>
        <v>0.54316578876886</v>
      </c>
      <c r="K57" s="55" t="n">
        <f aca="false">IF(E57="","",E57/(E57+H57))</f>
        <v>0.545699583435433</v>
      </c>
      <c r="L57" s="66" t="n">
        <f aca="false">IF(OR(K57="",J57=""),"",(J57-K57)*100)</f>
        <v>-0.253379466657255</v>
      </c>
      <c r="M57" s="36" t="n">
        <v>1.79262295108063</v>
      </c>
      <c r="N57" s="36" t="n">
        <v>2.06013257114913</v>
      </c>
      <c r="O57" s="36" t="n">
        <f aca="false">SQRT(M57^2+N57^2)</f>
        <v>2.73086858992712</v>
      </c>
      <c r="P57" s="55" t="n">
        <f aca="false">IF(J57="","",MAX(0,J57-1.96*O57/100))</f>
        <v>0.489640764406288</v>
      </c>
      <c r="Q57" s="55" t="n">
        <f aca="false">IF(J57="","",MIN(1,J57+1.96*O57/100))</f>
        <v>0.596690813131432</v>
      </c>
      <c r="R57" s="32" t="str">
        <f aca="false">IF(L57="","",IF(ABS(L57)&lt;=O57,"Yes","No"))</f>
        <v>Yes</v>
      </c>
      <c r="S57" s="32" t="str">
        <f aca="false">IF(L57="","",IF(ABS(L57)&lt;=1.96*O57,"Yes","No"))</f>
        <v>Yes</v>
      </c>
      <c r="T57" s="54" t="n">
        <f aca="false">IF(D57="","",ROUND(SQRT(((D57+G57)*O57/100)^2+(J57*(D57+G57)*0.04942)^2),0))</f>
        <v>429</v>
      </c>
      <c r="U57" s="32"/>
    </row>
    <row r="58" customFormat="false" ht="15" hidden="false" customHeight="false" outlineLevel="0" collapsed="false">
      <c r="A58" s="32" t="s">
        <v>188</v>
      </c>
      <c r="B58" s="32" t="s">
        <v>193</v>
      </c>
      <c r="C58" s="32" t="s">
        <v>129</v>
      </c>
      <c r="D58" s="54" t="n">
        <v>1447</v>
      </c>
      <c r="E58" s="54" t="n">
        <v>1737</v>
      </c>
      <c r="F58" s="65" t="n">
        <f aca="false">IF(E58="","",D58-E58)</f>
        <v>-290</v>
      </c>
      <c r="G58" s="54" t="n">
        <v>2395</v>
      </c>
      <c r="H58" s="54" t="n">
        <v>2662</v>
      </c>
      <c r="I58" s="65" t="n">
        <f aca="false">IF(H58="","",G58-H58)</f>
        <v>-267</v>
      </c>
      <c r="J58" s="55" t="n">
        <f aca="false">IF(OR(D58="",D58+G58=0),"",D58/(D58+G58))</f>
        <v>0.376626756897449</v>
      </c>
      <c r="K58" s="55" t="n">
        <f aca="false">IF(E58="","",E58/(E58+H58))</f>
        <v>0.394862468742896</v>
      </c>
      <c r="L58" s="66" t="n">
        <f aca="false">IF(OR(K58="",J58=""),"",(J58-K58)*100)</f>
        <v>-1.82357118454469</v>
      </c>
      <c r="M58" s="36" t="n">
        <v>1.79262295108063</v>
      </c>
      <c r="N58" s="36" t="n">
        <v>2.06013257114913</v>
      </c>
      <c r="O58" s="36" t="n">
        <f aca="false">SQRT(M58^2+N58^2)</f>
        <v>2.73086858992712</v>
      </c>
      <c r="P58" s="55" t="n">
        <f aca="false">IF(J58="","",MAX(0,J58-1.96*O58/100))</f>
        <v>0.323101732534878</v>
      </c>
      <c r="Q58" s="55" t="n">
        <f aca="false">IF(J58="","",MIN(1,J58+1.96*O58/100))</f>
        <v>0.430151781260021</v>
      </c>
      <c r="R58" s="32" t="str">
        <f aca="false">IF(L58="","",IF(ABS(L58)&lt;=O58,"Yes","No"))</f>
        <v>Yes</v>
      </c>
      <c r="S58" s="32" t="str">
        <f aca="false">IF(L58="","",IF(ABS(L58)&lt;=1.96*O58,"Yes","No"))</f>
        <v>Yes</v>
      </c>
      <c r="T58" s="54" t="n">
        <f aca="false">IF(D58="","",ROUND(SQRT(((D58+G58)*O58/100)^2+(J58*(D58+G58)*0.04942)^2),0))</f>
        <v>127</v>
      </c>
      <c r="U58" s="32"/>
    </row>
    <row r="59" customFormat="false" ht="15" hidden="false" customHeight="false" outlineLevel="0" collapsed="false">
      <c r="A59" s="32" t="s">
        <v>188</v>
      </c>
      <c r="B59" s="32" t="s">
        <v>194</v>
      </c>
      <c r="C59" s="32" t="s">
        <v>129</v>
      </c>
      <c r="D59" s="54" t="n">
        <v>24</v>
      </c>
      <c r="E59" s="54" t="n">
        <v>31</v>
      </c>
      <c r="F59" s="65" t="n">
        <f aca="false">IF(E59="","",D59-E59)</f>
        <v>-7</v>
      </c>
      <c r="G59" s="54" t="n">
        <v>44</v>
      </c>
      <c r="H59" s="54" t="n">
        <v>55</v>
      </c>
      <c r="I59" s="65" t="n">
        <f aca="false">IF(H59="","",G59-H59)</f>
        <v>-11</v>
      </c>
      <c r="J59" s="55" t="n">
        <f aca="false">IF(OR(D59="",D59+G59=0),"",D59/(D59+G59))</f>
        <v>0.352941176470588</v>
      </c>
      <c r="K59" s="55" t="n">
        <f aca="false">IF(E59="","",E59/(E59+H59))</f>
        <v>0.36046511627907</v>
      </c>
      <c r="L59" s="66" t="n">
        <f aca="false">IF(OR(K59="",J59=""),"",(J59-K59)*100)</f>
        <v>-0.752393980848148</v>
      </c>
      <c r="M59" s="36" t="n">
        <v>3.70014007986767</v>
      </c>
      <c r="N59" s="36" t="n">
        <v>2.06013257114913</v>
      </c>
      <c r="O59" s="36" t="n">
        <f aca="false">SQRT(M59^2+N59^2)</f>
        <v>4.23499502022761</v>
      </c>
      <c r="P59" s="55" t="n">
        <f aca="false">IF(J59="","",MAX(0,J59-1.96*O59/100))</f>
        <v>0.269935274074127</v>
      </c>
      <c r="Q59" s="55" t="n">
        <f aca="false">IF(J59="","",MIN(1,J59+1.96*O59/100))</f>
        <v>0.435947078867049</v>
      </c>
      <c r="R59" s="32" t="str">
        <f aca="false">IF(L59="","",IF(ABS(L59)&lt;=O59,"Yes","No"))</f>
        <v>Yes</v>
      </c>
      <c r="S59" s="32" t="str">
        <f aca="false">IF(L59="","",IF(ABS(L59)&lt;=1.96*O59,"Yes","No"))</f>
        <v>Yes</v>
      </c>
      <c r="T59" s="54" t="n">
        <f aca="false">IF(D59="","",ROUND(SQRT(((D59+G59)*O59/100)^2+(J59*(D59+G59)*0.07872)^2),0))</f>
        <v>3</v>
      </c>
      <c r="U59" s="32"/>
    </row>
    <row r="60" customFormat="false" ht="15" hidden="false" customHeight="false" outlineLevel="0" collapsed="false">
      <c r="A60" s="32" t="s">
        <v>188</v>
      </c>
      <c r="B60" s="32" t="s">
        <v>195</v>
      </c>
      <c r="C60" s="32" t="s">
        <v>129</v>
      </c>
      <c r="D60" s="54" t="n">
        <v>919</v>
      </c>
      <c r="E60" s="54" t="n">
        <v>1109</v>
      </c>
      <c r="F60" s="65" t="n">
        <f aca="false">IF(E60="","",D60-E60)</f>
        <v>-190</v>
      </c>
      <c r="G60" s="54" t="n">
        <v>1344</v>
      </c>
      <c r="H60" s="54" t="n">
        <v>1408</v>
      </c>
      <c r="I60" s="65" t="n">
        <f aca="false">IF(H60="","",G60-H60)</f>
        <v>-64</v>
      </c>
      <c r="J60" s="55" t="n">
        <f aca="false">IF(OR(D60="",D60+G60=0),"",D60/(D60+G60))</f>
        <v>0.406098099867433</v>
      </c>
      <c r="K60" s="55" t="n">
        <f aca="false">IF(E60="","",E60/(E60+H60))</f>
        <v>0.440603893524037</v>
      </c>
      <c r="L60" s="66" t="n">
        <f aca="false">IF(OR(K60="",J60=""),"",(J60-K60)*100)</f>
        <v>-3.45057936566039</v>
      </c>
      <c r="M60" s="36" t="n">
        <v>2.38324489930066</v>
      </c>
      <c r="N60" s="36" t="n">
        <v>2.06013257114913</v>
      </c>
      <c r="O60" s="36" t="n">
        <f aca="false">SQRT(M60^2+N60^2)</f>
        <v>3.1502384768065</v>
      </c>
      <c r="P60" s="55" t="n">
        <f aca="false">IF(J60="","",MAX(0,J60-1.96*O60/100))</f>
        <v>0.344353425722025</v>
      </c>
      <c r="Q60" s="55" t="n">
        <f aca="false">IF(J60="","",MIN(1,J60+1.96*O60/100))</f>
        <v>0.46784277401284</v>
      </c>
      <c r="R60" s="32" t="str">
        <f aca="false">IF(L60="","",IF(ABS(L60)&lt;=O60,"Yes","No"))</f>
        <v>No</v>
      </c>
      <c r="S60" s="32" t="str">
        <f aca="false">IF(L60="","",IF(ABS(L60)&lt;=1.96*O60,"Yes","No"))</f>
        <v>Yes</v>
      </c>
      <c r="T60" s="54" t="n">
        <f aca="false">IF(D60="","",ROUND(SQRT(((D60+G60)*O60/100)^2+(J60*(D60+G60)*0.05883)^2),0))</f>
        <v>89</v>
      </c>
      <c r="U60" s="32"/>
    </row>
    <row r="61" customFormat="false" ht="15" hidden="false" customHeight="false" outlineLevel="0" collapsed="false">
      <c r="A61" s="32" t="s">
        <v>188</v>
      </c>
      <c r="B61" s="32" t="s">
        <v>196</v>
      </c>
      <c r="C61" s="32" t="s">
        <v>129</v>
      </c>
      <c r="D61" s="54" t="n">
        <v>124</v>
      </c>
      <c r="E61" s="54" t="n">
        <v>137</v>
      </c>
      <c r="F61" s="65" t="n">
        <f aca="false">IF(E61="","",D61-E61)</f>
        <v>-13</v>
      </c>
      <c r="G61" s="54" t="n">
        <v>224</v>
      </c>
      <c r="H61" s="54" t="n">
        <v>214</v>
      </c>
      <c r="I61" s="65" t="n">
        <f aca="false">IF(H61="","",G61-H61)</f>
        <v>10</v>
      </c>
      <c r="J61" s="55" t="n">
        <f aca="false">IF(OR(D61="",D61+G61=0),"",D61/(D61+G61))</f>
        <v>0.35632183908046</v>
      </c>
      <c r="K61" s="55" t="n">
        <f aca="false">IF(E61="","",E61/(E61+H61))</f>
        <v>0.39031339031339</v>
      </c>
      <c r="L61" s="66" t="n">
        <f aca="false">IF(OR(K61="",J61=""),"",(J61-K61)*100)</f>
        <v>-3.39915512329305</v>
      </c>
      <c r="M61" s="36" t="n">
        <v>3.70014007986767</v>
      </c>
      <c r="N61" s="36" t="n">
        <v>2.06013257114913</v>
      </c>
      <c r="O61" s="36" t="n">
        <f aca="false">SQRT(M61^2+N61^2)</f>
        <v>4.23499502022761</v>
      </c>
      <c r="P61" s="55" t="n">
        <f aca="false">IF(J61="","",MAX(0,J61-1.96*O61/100))</f>
        <v>0.273315936683999</v>
      </c>
      <c r="Q61" s="55" t="n">
        <f aca="false">IF(J61="","",MIN(1,J61+1.96*O61/100))</f>
        <v>0.439327741476921</v>
      </c>
      <c r="R61" s="32" t="str">
        <f aca="false">IF(L61="","",IF(ABS(L61)&lt;=O61,"Yes","No"))</f>
        <v>Yes</v>
      </c>
      <c r="S61" s="32" t="str">
        <f aca="false">IF(L61="","",IF(ABS(L61)&lt;=1.96*O61,"Yes","No"))</f>
        <v>Yes</v>
      </c>
      <c r="T61" s="54" t="n">
        <f aca="false">IF(D61="","",ROUND(SQRT(((D61+G61)*O61/100)^2+(J61*(D61+G61)*0.07872)^2),0))</f>
        <v>18</v>
      </c>
      <c r="U61" s="32"/>
    </row>
    <row r="62" customFormat="false" ht="15" hidden="false" customHeight="false" outlineLevel="0" collapsed="false">
      <c r="A62" s="32" t="s">
        <v>188</v>
      </c>
      <c r="B62" s="32" t="s">
        <v>197</v>
      </c>
      <c r="C62" s="32" t="s">
        <v>129</v>
      </c>
      <c r="D62" s="54" t="n">
        <v>4664</v>
      </c>
      <c r="E62" s="54" t="n">
        <v>5210</v>
      </c>
      <c r="F62" s="65" t="n">
        <f aca="false">IF(E62="","",D62-E62)</f>
        <v>-546</v>
      </c>
      <c r="G62" s="54" t="n">
        <v>2286</v>
      </c>
      <c r="H62" s="54" t="n">
        <v>1883</v>
      </c>
      <c r="I62" s="65" t="n">
        <f aca="false">IF(H62="","",G62-H62)</f>
        <v>403</v>
      </c>
      <c r="J62" s="55" t="n">
        <f aca="false">IF(OR(D62="",D62+G62=0),"",D62/(D62+G62))</f>
        <v>0.671079136690647</v>
      </c>
      <c r="K62" s="55" t="n">
        <f aca="false">IF(E62="","",E62/(E62+H62))</f>
        <v>0.734526998449175</v>
      </c>
      <c r="L62" s="66" t="n">
        <f aca="false">IF(OR(K62="",J62=""),"",(J62-K62)*100)</f>
        <v>-6.34478617585278</v>
      </c>
      <c r="M62" s="36" t="n">
        <v>1.79262295108063</v>
      </c>
      <c r="N62" s="36" t="n">
        <v>2.06013257114913</v>
      </c>
      <c r="O62" s="36" t="n">
        <f aca="false">SQRT(M62^2+N62^2)</f>
        <v>2.73086858992712</v>
      </c>
      <c r="P62" s="55" t="n">
        <f aca="false">IF(J62="","",MAX(0,J62-1.96*O62/100))</f>
        <v>0.617554112328076</v>
      </c>
      <c r="Q62" s="55" t="n">
        <f aca="false">IF(J62="","",MIN(1,J62+1.96*O62/100))</f>
        <v>0.724604161053219</v>
      </c>
      <c r="R62" s="32" t="str">
        <f aca="false">IF(L62="","",IF(ABS(L62)&lt;=O62,"Yes","No"))</f>
        <v>No</v>
      </c>
      <c r="S62" s="32" t="str">
        <f aca="false">IF(L62="","",IF(ABS(L62)&lt;=1.96*O62,"Yes","No"))</f>
        <v>No</v>
      </c>
      <c r="T62" s="54" t="n">
        <f aca="false">IF(D62="","",ROUND(SQRT(((D62+G62)*O62/100)^2+(J62*(D62+G62)*0.04942)^2),0))</f>
        <v>299</v>
      </c>
      <c r="U62" s="32"/>
    </row>
    <row r="63" customFormat="false" ht="15" hidden="false" customHeight="false" outlineLevel="0" collapsed="false">
      <c r="A63" s="32" t="s">
        <v>188</v>
      </c>
      <c r="B63" s="32" t="s">
        <v>198</v>
      </c>
      <c r="C63" s="32" t="s">
        <v>129</v>
      </c>
      <c r="D63" s="54" t="n">
        <v>3918</v>
      </c>
      <c r="E63" s="54" t="n">
        <v>4158</v>
      </c>
      <c r="F63" s="65" t="n">
        <f aca="false">IF(E63="","",D63-E63)</f>
        <v>-240</v>
      </c>
      <c r="G63" s="54" t="n">
        <v>3337</v>
      </c>
      <c r="H63" s="54" t="n">
        <v>3782</v>
      </c>
      <c r="I63" s="65" t="n">
        <f aca="false">IF(H63="","",G63-H63)</f>
        <v>-445</v>
      </c>
      <c r="J63" s="55" t="n">
        <f aca="false">IF(OR(D63="",D63+G63=0),"",D63/(D63+G63))</f>
        <v>0.540041350792557</v>
      </c>
      <c r="K63" s="55" t="n">
        <f aca="false">IF(E63="","",E63/(E63+H63))</f>
        <v>0.52367758186398</v>
      </c>
      <c r="L63" s="66" t="n">
        <f aca="false">IF(OR(K63="",J63=""),"",(J63-K63)*100)</f>
        <v>1.63637689285771</v>
      </c>
      <c r="M63" s="36" t="n">
        <v>1.79262295108063</v>
      </c>
      <c r="N63" s="36" t="n">
        <v>2.06013257114913</v>
      </c>
      <c r="O63" s="36" t="n">
        <f aca="false">SQRT(M63^2+N63^2)</f>
        <v>2.73086858992712</v>
      </c>
      <c r="P63" s="55" t="n">
        <f aca="false">IF(J63="","",MAX(0,J63-1.96*O63/100))</f>
        <v>0.486516326429985</v>
      </c>
      <c r="Q63" s="55" t="n">
        <f aca="false">IF(J63="","",MIN(1,J63+1.96*O63/100))</f>
        <v>0.593566375155128</v>
      </c>
      <c r="R63" s="32" t="str">
        <f aca="false">IF(L63="","",IF(ABS(L63)&lt;=O63,"Yes","No"))</f>
        <v>Yes</v>
      </c>
      <c r="S63" s="32" t="str">
        <f aca="false">IF(L63="","",IF(ABS(L63)&lt;=1.96*O63,"Yes","No"))</f>
        <v>Yes</v>
      </c>
      <c r="T63" s="54" t="n">
        <f aca="false">IF(D63="","",ROUND(SQRT(((D63+G63)*O63/100)^2+(J63*(D63+G63)*0.04942)^2),0))</f>
        <v>277</v>
      </c>
      <c r="U63" s="32"/>
    </row>
    <row r="64" customFormat="false" ht="15" hidden="false" customHeight="false" outlineLevel="0" collapsed="false">
      <c r="A64" s="32" t="s">
        <v>188</v>
      </c>
      <c r="B64" s="32" t="s">
        <v>199</v>
      </c>
      <c r="C64" s="32" t="s">
        <v>129</v>
      </c>
      <c r="D64" s="54" t="n">
        <v>539</v>
      </c>
      <c r="E64" s="54" t="n">
        <v>480</v>
      </c>
      <c r="F64" s="65" t="n">
        <f aca="false">IF(E64="","",D64-E64)</f>
        <v>59</v>
      </c>
      <c r="G64" s="54" t="n">
        <v>292</v>
      </c>
      <c r="H64" s="54" t="n">
        <v>330</v>
      </c>
      <c r="I64" s="65" t="n">
        <f aca="false">IF(H64="","",G64-H64)</f>
        <v>-38</v>
      </c>
      <c r="J64" s="55" t="n">
        <f aca="false">IF(OR(D64="",D64+G64=0),"",D64/(D64+G64))</f>
        <v>0.648616125150421</v>
      </c>
      <c r="K64" s="55" t="n">
        <f aca="false">IF(E64="","",E64/(E64+H64))</f>
        <v>0.592592592592593</v>
      </c>
      <c r="L64" s="66" t="n">
        <f aca="false">IF(OR(K64="",J64=""),"",(J64-K64)*100)</f>
        <v>5.60235325578287</v>
      </c>
      <c r="M64" s="36" t="n">
        <v>3.70014007986767</v>
      </c>
      <c r="N64" s="36" t="n">
        <v>2.06013257114913</v>
      </c>
      <c r="O64" s="36" t="n">
        <f aca="false">SQRT(M64^2+N64^2)</f>
        <v>4.23499502022761</v>
      </c>
      <c r="P64" s="55" t="n">
        <f aca="false">IF(J64="","",MAX(0,J64-1.96*O64/100))</f>
        <v>0.56561022275396</v>
      </c>
      <c r="Q64" s="55" t="n">
        <f aca="false">IF(J64="","",MIN(1,J64+1.96*O64/100))</f>
        <v>0.731622027546882</v>
      </c>
      <c r="R64" s="32" t="str">
        <f aca="false">IF(L64="","",IF(ABS(L64)&lt;=O64,"Yes","No"))</f>
        <v>No</v>
      </c>
      <c r="S64" s="32" t="str">
        <f aca="false">IF(L64="","",IF(ABS(L64)&lt;=1.96*O64,"Yes","No"))</f>
        <v>Yes</v>
      </c>
      <c r="T64" s="54" t="n">
        <f aca="false">IF(D64="","",ROUND(SQRT(((D64+G64)*O64/100)^2+(J64*(D64+G64)*0.07872)^2),0))</f>
        <v>55</v>
      </c>
      <c r="U64" s="32"/>
    </row>
    <row r="65" customFormat="false" ht="15" hidden="false" customHeight="false" outlineLevel="0" collapsed="false">
      <c r="A65" s="32" t="s">
        <v>188</v>
      </c>
      <c r="B65" s="32" t="s">
        <v>200</v>
      </c>
      <c r="C65" s="32" t="s">
        <v>129</v>
      </c>
      <c r="D65" s="54" t="n">
        <v>68</v>
      </c>
      <c r="E65" s="54" t="n">
        <v>72</v>
      </c>
      <c r="F65" s="65" t="n">
        <f aca="false">IF(E65="","",D65-E65)</f>
        <v>-4</v>
      </c>
      <c r="G65" s="54" t="n">
        <v>60</v>
      </c>
      <c r="H65" s="54" t="n">
        <v>69</v>
      </c>
      <c r="I65" s="65" t="n">
        <f aca="false">IF(H65="","",G65-H65)</f>
        <v>-9</v>
      </c>
      <c r="J65" s="55" t="n">
        <f aca="false">IF(OR(D65="",D65+G65=0),"",D65/(D65+G65))</f>
        <v>0.53125</v>
      </c>
      <c r="K65" s="55" t="n">
        <f aca="false">IF(E65="","",E65/(E65+H65))</f>
        <v>0.51063829787234</v>
      </c>
      <c r="L65" s="66" t="n">
        <f aca="false">IF(OR(K65="",J65=""),"",(J65-K65)*100)</f>
        <v>2.06117021276596</v>
      </c>
      <c r="M65" s="36" t="n">
        <v>3.70014007986767</v>
      </c>
      <c r="N65" s="36" t="n">
        <v>2.06013257114913</v>
      </c>
      <c r="O65" s="36" t="n">
        <f aca="false">SQRT(M65^2+N65^2)</f>
        <v>4.23499502022761</v>
      </c>
      <c r="P65" s="55" t="n">
        <f aca="false">IF(J65="","",MAX(0,J65-1.96*O65/100))</f>
        <v>0.448244097603539</v>
      </c>
      <c r="Q65" s="55" t="n">
        <f aca="false">IF(J65="","",MIN(1,J65+1.96*O65/100))</f>
        <v>0.614255902396461</v>
      </c>
      <c r="R65" s="32" t="str">
        <f aca="false">IF(L65="","",IF(ABS(L65)&lt;=O65,"Yes","No"))</f>
        <v>Yes</v>
      </c>
      <c r="S65" s="32" t="str">
        <f aca="false">IF(L65="","",IF(ABS(L65)&lt;=1.96*O65,"Yes","No"))</f>
        <v>Yes</v>
      </c>
      <c r="T65" s="54" t="n">
        <f aca="false">IF(D65="","",ROUND(SQRT(((D65+G65)*O65/100)^2+(J65*(D65+G65)*0.07872)^2),0))</f>
        <v>8</v>
      </c>
      <c r="U65" s="32"/>
    </row>
    <row r="66" customFormat="false" ht="15" hidden="false" customHeight="false" outlineLevel="0" collapsed="false">
      <c r="A66" s="32" t="s">
        <v>188</v>
      </c>
      <c r="B66" s="32" t="s">
        <v>166</v>
      </c>
      <c r="C66" s="32" t="s">
        <v>129</v>
      </c>
      <c r="D66" s="54" t="n">
        <v>3269</v>
      </c>
      <c r="E66" s="54" t="n">
        <v>3570</v>
      </c>
      <c r="F66" s="65" t="n">
        <f aca="false">IF(E66="","",D66-E66)</f>
        <v>-301</v>
      </c>
      <c r="G66" s="54" t="n">
        <v>2735</v>
      </c>
      <c r="H66" s="54" t="n">
        <v>2883</v>
      </c>
      <c r="I66" s="65" t="n">
        <f aca="false">IF(H66="","",G66-H66)</f>
        <v>-148</v>
      </c>
      <c r="J66" s="55" t="n">
        <f aca="false">IF(OR(D66="",D66+G66=0),"",D66/(D66+G66))</f>
        <v>0.544470353097935</v>
      </c>
      <c r="K66" s="55" t="n">
        <f aca="false">IF(E66="","",E66/(E66+H66))</f>
        <v>0.553231055323106</v>
      </c>
      <c r="L66" s="66" t="n">
        <f aca="false">IF(OR(K66="",J66=""),"",(J66-K66)*100)</f>
        <v>-0.876070222517089</v>
      </c>
      <c r="M66" s="36" t="n">
        <v>1.79262295108063</v>
      </c>
      <c r="N66" s="36" t="n">
        <v>2.06013257114913</v>
      </c>
      <c r="O66" s="36" t="n">
        <f aca="false">SQRT(M66^2+N66^2)</f>
        <v>2.73086858992712</v>
      </c>
      <c r="P66" s="55" t="n">
        <f aca="false">IF(J66="","",MAX(0,J66-1.96*O66/100))</f>
        <v>0.490945328735363</v>
      </c>
      <c r="Q66" s="55" t="n">
        <f aca="false">IF(J66="","",MIN(1,J66+1.96*O66/100))</f>
        <v>0.597995377460506</v>
      </c>
      <c r="R66" s="32" t="str">
        <f aca="false">IF(L66="","",IF(ABS(L66)&lt;=O66,"Yes","No"))</f>
        <v>Yes</v>
      </c>
      <c r="S66" s="32" t="str">
        <f aca="false">IF(L66="","",IF(ABS(L66)&lt;=1.96*O66,"Yes","No"))</f>
        <v>Yes</v>
      </c>
      <c r="T66" s="54" t="n">
        <f aca="false">IF(D66="","",ROUND(SQRT(((D66+G66)*O66/100)^2+(J66*(D66+G66)*0.04942)^2),0))</f>
        <v>230</v>
      </c>
      <c r="U66" s="32"/>
    </row>
    <row r="67" customFormat="false" ht="15" hidden="false" customHeight="false" outlineLevel="0" collapsed="false">
      <c r="A67" s="32" t="s">
        <v>188</v>
      </c>
      <c r="B67" s="32" t="s">
        <v>201</v>
      </c>
      <c r="C67" s="32" t="s">
        <v>129</v>
      </c>
      <c r="D67" s="54" t="n">
        <v>1302</v>
      </c>
      <c r="E67" s="54" t="n">
        <v>1372</v>
      </c>
      <c r="F67" s="65" t="n">
        <f aca="false">IF(E67="","",D67-E67)</f>
        <v>-70</v>
      </c>
      <c r="G67" s="54" t="n">
        <v>1121</v>
      </c>
      <c r="H67" s="54" t="n">
        <v>1201</v>
      </c>
      <c r="I67" s="65" t="n">
        <f aca="false">IF(H67="","",G67-H67)</f>
        <v>-80</v>
      </c>
      <c r="J67" s="55" t="n">
        <f aca="false">IF(OR(D67="",D67+G67=0),"",D67/(D67+G67))</f>
        <v>0.537350392075939</v>
      </c>
      <c r="K67" s="55" t="n">
        <f aca="false">IF(E67="","",E67/(E67+H67))</f>
        <v>0.53322969296541</v>
      </c>
      <c r="L67" s="66" t="n">
        <f aca="false">IF(OR(K67="",J67=""),"",(J67-K67)*100)</f>
        <v>0.412069911052893</v>
      </c>
      <c r="M67" s="36" t="n">
        <v>2.38324489930066</v>
      </c>
      <c r="N67" s="36" t="n">
        <v>2.06013257114913</v>
      </c>
      <c r="O67" s="36" t="n">
        <f aca="false">SQRT(M67^2+N67^2)</f>
        <v>3.1502384768065</v>
      </c>
      <c r="P67" s="55" t="n">
        <f aca="false">IF(J67="","",MAX(0,J67-1.96*O67/100))</f>
        <v>0.475605717930532</v>
      </c>
      <c r="Q67" s="55" t="n">
        <f aca="false">IF(J67="","",MIN(1,J67+1.96*O67/100))</f>
        <v>0.599095066221346</v>
      </c>
      <c r="R67" s="32" t="str">
        <f aca="false">IF(L67="","",IF(ABS(L67)&lt;=O67,"Yes","No"))</f>
        <v>Yes</v>
      </c>
      <c r="S67" s="32" t="str">
        <f aca="false">IF(L67="","",IF(ABS(L67)&lt;=1.96*O67,"Yes","No"))</f>
        <v>Yes</v>
      </c>
      <c r="T67" s="54" t="n">
        <f aca="false">IF(D67="","",ROUND(SQRT(((D67+G67)*O67/100)^2+(J67*(D67+G67)*0.05883)^2),0))</f>
        <v>108</v>
      </c>
      <c r="U67" s="32"/>
    </row>
    <row r="68" customFormat="false" ht="15" hidden="false" customHeight="false" outlineLevel="0" collapsed="false">
      <c r="A68" s="32" t="s">
        <v>188</v>
      </c>
      <c r="B68" s="32" t="s">
        <v>202</v>
      </c>
      <c r="C68" s="32" t="s">
        <v>129</v>
      </c>
      <c r="D68" s="54" t="n">
        <v>1545</v>
      </c>
      <c r="E68" s="54" t="n">
        <v>1803</v>
      </c>
      <c r="F68" s="65" t="n">
        <f aca="false">IF(E68="","",D68-E68)</f>
        <v>-258</v>
      </c>
      <c r="G68" s="54" t="n">
        <v>3044</v>
      </c>
      <c r="H68" s="54" t="n">
        <v>3303</v>
      </c>
      <c r="I68" s="65" t="n">
        <f aca="false">IF(H68="","",G68-H68)</f>
        <v>-259</v>
      </c>
      <c r="J68" s="55" t="n">
        <f aca="false">IF(OR(D68="",D68+G68=0),"",D68/(D68+G68))</f>
        <v>0.336674656787971</v>
      </c>
      <c r="K68" s="55" t="n">
        <f aca="false">IF(E68="","",E68/(E68+H68))</f>
        <v>0.353113983548766</v>
      </c>
      <c r="L68" s="66" t="n">
        <f aca="false">IF(OR(K68="",J68=""),"",(J68-K68)*100)</f>
        <v>-1.64393267607949</v>
      </c>
      <c r="M68" s="36" t="n">
        <v>1.79262295108063</v>
      </c>
      <c r="N68" s="36" t="n">
        <v>2.06013257114913</v>
      </c>
      <c r="O68" s="36" t="n">
        <f aca="false">SQRT(M68^2+N68^2)</f>
        <v>2.73086858992712</v>
      </c>
      <c r="P68" s="55" t="n">
        <f aca="false">IF(J68="","",MAX(0,J68-1.96*O68/100))</f>
        <v>0.2831496324254</v>
      </c>
      <c r="Q68" s="55" t="n">
        <f aca="false">IF(J68="","",MIN(1,J68+1.96*O68/100))</f>
        <v>0.390199681150543</v>
      </c>
      <c r="R68" s="32" t="str">
        <f aca="false">IF(L68="","",IF(ABS(L68)&lt;=O68,"Yes","No"))</f>
        <v>Yes</v>
      </c>
      <c r="S68" s="32" t="str">
        <f aca="false">IF(L68="","",IF(ABS(L68)&lt;=1.96*O68,"Yes","No"))</f>
        <v>Yes</v>
      </c>
      <c r="T68" s="54" t="n">
        <f aca="false">IF(D68="","",ROUND(SQRT(((D68+G68)*O68/100)^2+(J68*(D68+G68)*0.04942)^2),0))</f>
        <v>147</v>
      </c>
      <c r="U68" s="32"/>
    </row>
    <row r="69" customFormat="false" ht="15" hidden="false" customHeight="false" outlineLevel="0" collapsed="false">
      <c r="A69" s="32" t="s">
        <v>188</v>
      </c>
      <c r="B69" s="32" t="s">
        <v>203</v>
      </c>
      <c r="C69" s="32" t="s">
        <v>129</v>
      </c>
      <c r="D69" s="54" t="n">
        <v>407</v>
      </c>
      <c r="E69" s="54" t="n">
        <v>511</v>
      </c>
      <c r="F69" s="65" t="n">
        <f aca="false">IF(E69="","",D69-E69)</f>
        <v>-104</v>
      </c>
      <c r="G69" s="54" t="n">
        <v>803</v>
      </c>
      <c r="H69" s="54" t="n">
        <v>889</v>
      </c>
      <c r="I69" s="65" t="n">
        <f aca="false">IF(H69="","",G69-H69)</f>
        <v>-86</v>
      </c>
      <c r="J69" s="55" t="n">
        <f aca="false">IF(OR(D69="",D69+G69=0),"",D69/(D69+G69))</f>
        <v>0.336363636363636</v>
      </c>
      <c r="K69" s="55" t="n">
        <f aca="false">IF(E69="","",E69/(E69+H69))</f>
        <v>0.365</v>
      </c>
      <c r="L69" s="66" t="n">
        <f aca="false">IF(OR(K69="",J69=""),"",(J69-K69)*100)</f>
        <v>-2.86363636363636</v>
      </c>
      <c r="M69" s="36" t="n">
        <v>2.38324489930066</v>
      </c>
      <c r="N69" s="36" t="n">
        <v>2.06013257114913</v>
      </c>
      <c r="O69" s="36" t="n">
        <f aca="false">SQRT(M69^2+N69^2)</f>
        <v>3.1502384768065</v>
      </c>
      <c r="P69" s="55" t="n">
        <f aca="false">IF(J69="","",MAX(0,J69-1.96*O69/100))</f>
        <v>0.274618962218229</v>
      </c>
      <c r="Q69" s="55" t="n">
        <f aca="false">IF(J69="","",MIN(1,J69+1.96*O69/100))</f>
        <v>0.398108310509044</v>
      </c>
      <c r="R69" s="32" t="str">
        <f aca="false">IF(L69="","",IF(ABS(L69)&lt;=O69,"Yes","No"))</f>
        <v>Yes</v>
      </c>
      <c r="S69" s="32" t="str">
        <f aca="false">IF(L69="","",IF(ABS(L69)&lt;=1.96*O69,"Yes","No"))</f>
        <v>Yes</v>
      </c>
      <c r="T69" s="54" t="n">
        <f aca="false">IF(D69="","",ROUND(SQRT(((D69+G69)*O69/100)^2+(J69*(D69+G69)*0.05883)^2),0))</f>
        <v>45</v>
      </c>
      <c r="U69" s="32"/>
    </row>
    <row r="70" customFormat="false" ht="15" hidden="false" customHeight="false" outlineLevel="0" collapsed="false">
      <c r="A70" s="32" t="s">
        <v>188</v>
      </c>
      <c r="B70" s="32" t="s">
        <v>204</v>
      </c>
      <c r="C70" s="32" t="s">
        <v>129</v>
      </c>
      <c r="D70" s="54" t="n">
        <v>1395</v>
      </c>
      <c r="E70" s="54" t="n">
        <v>1632</v>
      </c>
      <c r="F70" s="65" t="n">
        <f aca="false">IF(E70="","",D70-E70)</f>
        <v>-237</v>
      </c>
      <c r="G70" s="54" t="n">
        <v>1951</v>
      </c>
      <c r="H70" s="54" t="n">
        <v>2067</v>
      </c>
      <c r="I70" s="65" t="n">
        <f aca="false">IF(H70="","",G70-H70)</f>
        <v>-116</v>
      </c>
      <c r="J70" s="55" t="n">
        <f aca="false">IF(OR(D70="",D70+G70=0),"",D70/(D70+G70))</f>
        <v>0.416915720263001</v>
      </c>
      <c r="K70" s="55" t="n">
        <f aca="false">IF(E70="","",E70/(E70+H70))</f>
        <v>0.441200324412003</v>
      </c>
      <c r="L70" s="66" t="n">
        <f aca="false">IF(OR(K70="",J70=""),"",(J70-K70)*100)</f>
        <v>-2.42846041490026</v>
      </c>
      <c r="M70" s="36" t="n">
        <v>1.79262295108063</v>
      </c>
      <c r="N70" s="36" t="n">
        <v>2.06013257114913</v>
      </c>
      <c r="O70" s="36" t="n">
        <f aca="false">SQRT(M70^2+N70^2)</f>
        <v>2.73086858992712</v>
      </c>
      <c r="P70" s="55" t="n">
        <f aca="false">IF(J70="","",MAX(0,J70-1.96*O70/100))</f>
        <v>0.363390695900429</v>
      </c>
      <c r="Q70" s="55" t="n">
        <f aca="false">IF(J70="","",MIN(1,J70+1.96*O70/100))</f>
        <v>0.470440744625572</v>
      </c>
      <c r="R70" s="32" t="str">
        <f aca="false">IF(L70="","",IF(ABS(L70)&lt;=O70,"Yes","No"))</f>
        <v>Yes</v>
      </c>
      <c r="S70" s="32" t="str">
        <f aca="false">IF(L70="","",IF(ABS(L70)&lt;=1.96*O70,"Yes","No"))</f>
        <v>Yes</v>
      </c>
      <c r="T70" s="54" t="n">
        <f aca="false">IF(D70="","",ROUND(SQRT(((D70+G70)*O70/100)^2+(J70*(D70+G70)*0.04942)^2),0))</f>
        <v>114</v>
      </c>
      <c r="U70" s="32"/>
    </row>
    <row r="71" customFormat="false" ht="15" hidden="false" customHeight="false" outlineLevel="0" collapsed="false">
      <c r="A71" s="32" t="s">
        <v>188</v>
      </c>
      <c r="B71" s="32" t="s">
        <v>205</v>
      </c>
      <c r="C71" s="32" t="s">
        <v>129</v>
      </c>
      <c r="D71" s="54" t="n">
        <v>2621</v>
      </c>
      <c r="E71" s="54" t="n">
        <v>2919</v>
      </c>
      <c r="F71" s="65" t="n">
        <f aca="false">IF(E71="","",D71-E71)</f>
        <v>-298</v>
      </c>
      <c r="G71" s="54" t="n">
        <v>2833</v>
      </c>
      <c r="H71" s="54" t="n">
        <v>3008</v>
      </c>
      <c r="I71" s="65" t="n">
        <f aca="false">IF(H71="","",G71-H71)</f>
        <v>-175</v>
      </c>
      <c r="J71" s="55" t="n">
        <f aca="false">IF(OR(D71="",D71+G71=0),"",D71/(D71+G71))</f>
        <v>0.480564723138981</v>
      </c>
      <c r="K71" s="55" t="n">
        <f aca="false">IF(E71="","",E71/(E71+H71))</f>
        <v>0.492491985827569</v>
      </c>
      <c r="L71" s="66" t="n">
        <f aca="false">IF(OR(K71="",J71=""),"",(J71-K71)*100)</f>
        <v>-1.19272626885882</v>
      </c>
      <c r="M71" s="36" t="n">
        <v>1.79262295108063</v>
      </c>
      <c r="N71" s="36" t="n">
        <v>2.06013257114913</v>
      </c>
      <c r="O71" s="36" t="n">
        <f aca="false">SQRT(M71^2+N71^2)</f>
        <v>2.73086858992712</v>
      </c>
      <c r="P71" s="55" t="n">
        <f aca="false">IF(J71="","",MAX(0,J71-1.96*O71/100))</f>
        <v>0.427039698776409</v>
      </c>
      <c r="Q71" s="55" t="n">
        <f aca="false">IF(J71="","",MIN(1,J71+1.96*O71/100))</f>
        <v>0.534089747501552</v>
      </c>
      <c r="R71" s="32" t="str">
        <f aca="false">IF(L71="","",IF(ABS(L71)&lt;=O71,"Yes","No"))</f>
        <v>Yes</v>
      </c>
      <c r="S71" s="32" t="str">
        <f aca="false">IF(L71="","",IF(ABS(L71)&lt;=1.96*O71,"Yes","No"))</f>
        <v>Yes</v>
      </c>
      <c r="T71" s="54" t="n">
        <f aca="false">IF(D71="","",ROUND(SQRT(((D71+G71)*O71/100)^2+(J71*(D71+G71)*0.04942)^2),0))</f>
        <v>197</v>
      </c>
      <c r="U71" s="32"/>
    </row>
    <row r="72" customFormat="false" ht="15" hidden="false" customHeight="false" outlineLevel="0" collapsed="false">
      <c r="A72" s="32" t="s">
        <v>188</v>
      </c>
      <c r="B72" s="32" t="s">
        <v>206</v>
      </c>
      <c r="C72" s="32" t="s">
        <v>129</v>
      </c>
      <c r="D72" s="54" t="n">
        <v>1388</v>
      </c>
      <c r="E72" s="54" t="n">
        <v>1661</v>
      </c>
      <c r="F72" s="65" t="n">
        <f aca="false">IF(E72="","",D72-E72)</f>
        <v>-273</v>
      </c>
      <c r="G72" s="54" t="n">
        <v>2886</v>
      </c>
      <c r="H72" s="54" t="n">
        <v>3091</v>
      </c>
      <c r="I72" s="65" t="n">
        <f aca="false">IF(H72="","",G72-H72)</f>
        <v>-205</v>
      </c>
      <c r="J72" s="55" t="n">
        <f aca="false">IF(OR(D72="",D72+G72=0),"",D72/(D72+G72))</f>
        <v>0.324754328497894</v>
      </c>
      <c r="K72" s="55" t="n">
        <f aca="false">IF(E72="","",E72/(E72+H72))</f>
        <v>0.349537037037037</v>
      </c>
      <c r="L72" s="66" t="n">
        <f aca="false">IF(OR(K72="",J72=""),"",(J72-K72)*100)</f>
        <v>-2.47827085391428</v>
      </c>
      <c r="M72" s="36" t="n">
        <v>1.79262295108063</v>
      </c>
      <c r="N72" s="36" t="n">
        <v>2.06013257114913</v>
      </c>
      <c r="O72" s="36" t="n">
        <f aca="false">SQRT(M72^2+N72^2)</f>
        <v>2.73086858992712</v>
      </c>
      <c r="P72" s="55" t="n">
        <f aca="false">IF(J72="","",MAX(0,J72-1.96*O72/100))</f>
        <v>0.271229304135323</v>
      </c>
      <c r="Q72" s="55" t="n">
        <f aca="false">IF(J72="","",MIN(1,J72+1.96*O72/100))</f>
        <v>0.378279352860466</v>
      </c>
      <c r="R72" s="32" t="str">
        <f aca="false">IF(L72="","",IF(ABS(L72)&lt;=O72,"Yes","No"))</f>
        <v>Yes</v>
      </c>
      <c r="S72" s="32" t="str">
        <f aca="false">IF(L72="","",IF(ABS(L72)&lt;=1.96*O72,"Yes","No"))</f>
        <v>Yes</v>
      </c>
      <c r="T72" s="54" t="n">
        <f aca="false">IF(D72="","",ROUND(SQRT(((D72+G72)*O72/100)^2+(J72*(D72+G72)*0.04942)^2),0))</f>
        <v>135</v>
      </c>
      <c r="U72" s="32"/>
    </row>
    <row r="73" customFormat="false" ht="15" hidden="false" customHeight="false" outlineLevel="0" collapsed="false">
      <c r="A73" s="32" t="s">
        <v>188</v>
      </c>
      <c r="B73" s="32" t="s">
        <v>207</v>
      </c>
      <c r="C73" s="32" t="s">
        <v>129</v>
      </c>
      <c r="D73" s="54" t="n">
        <v>1130</v>
      </c>
      <c r="E73" s="54" t="n">
        <v>1272</v>
      </c>
      <c r="F73" s="65" t="n">
        <f aca="false">IF(E73="","",D73-E73)</f>
        <v>-142</v>
      </c>
      <c r="G73" s="54" t="n">
        <v>1096</v>
      </c>
      <c r="H73" s="54" t="n">
        <v>1188</v>
      </c>
      <c r="I73" s="65" t="n">
        <f aca="false">IF(H73="","",G73-H73)</f>
        <v>-92</v>
      </c>
      <c r="J73" s="55" t="n">
        <f aca="false">IF(OR(D73="",D73+G73=0),"",D73/(D73+G73))</f>
        <v>0.507637017070979</v>
      </c>
      <c r="K73" s="55" t="n">
        <f aca="false">IF(E73="","",E73/(E73+H73))</f>
        <v>0.517073170731707</v>
      </c>
      <c r="L73" s="66" t="n">
        <f aca="false">IF(OR(K73="",J73=""),"",(J73-K73)*100)</f>
        <v>-0.943615366072803</v>
      </c>
      <c r="M73" s="36" t="n">
        <v>2.38324489930066</v>
      </c>
      <c r="N73" s="36" t="n">
        <v>2.06013257114913</v>
      </c>
      <c r="O73" s="36" t="n">
        <f aca="false">SQRT(M73^2+N73^2)</f>
        <v>3.1502384768065</v>
      </c>
      <c r="P73" s="55" t="n">
        <f aca="false">IF(J73="","",MAX(0,J73-1.96*O73/100))</f>
        <v>0.445892342925572</v>
      </c>
      <c r="Q73" s="55" t="n">
        <f aca="false">IF(J73="","",MIN(1,J73+1.96*O73/100))</f>
        <v>0.569381691216387</v>
      </c>
      <c r="R73" s="32" t="str">
        <f aca="false">IF(L73="","",IF(ABS(L73)&lt;=O73,"Yes","No"))</f>
        <v>Yes</v>
      </c>
      <c r="S73" s="32" t="str">
        <f aca="false">IF(L73="","",IF(ABS(L73)&lt;=1.96*O73,"Yes","No"))</f>
        <v>Yes</v>
      </c>
      <c r="T73" s="54" t="n">
        <f aca="false">IF(D73="","",ROUND(SQRT(((D73+G73)*O73/100)^2+(J73*(D73+G73)*0.05883)^2),0))</f>
        <v>97</v>
      </c>
      <c r="U73" s="32"/>
    </row>
    <row r="74" customFormat="false" ht="15" hidden="false" customHeight="false" outlineLevel="0" collapsed="false">
      <c r="A74" s="32" t="s">
        <v>188</v>
      </c>
      <c r="B74" s="32" t="s">
        <v>208</v>
      </c>
      <c r="C74" s="32" t="s">
        <v>129</v>
      </c>
      <c r="D74" s="54" t="n">
        <v>582</v>
      </c>
      <c r="E74" s="54" t="n">
        <v>644</v>
      </c>
      <c r="F74" s="65" t="n">
        <f aca="false">IF(E74="","",D74-E74)</f>
        <v>-62</v>
      </c>
      <c r="G74" s="54" t="n">
        <v>595</v>
      </c>
      <c r="H74" s="54" t="n">
        <v>634</v>
      </c>
      <c r="I74" s="65" t="n">
        <f aca="false">IF(H74="","",G74-H74)</f>
        <v>-39</v>
      </c>
      <c r="J74" s="55" t="n">
        <f aca="false">IF(OR(D74="",D74+G74=0),"",D74/(D74+G74))</f>
        <v>0.494477485131691</v>
      </c>
      <c r="K74" s="55" t="n">
        <f aca="false">IF(E74="","",E74/(E74+H74))</f>
        <v>0.503912363067293</v>
      </c>
      <c r="L74" s="66" t="n">
        <f aca="false">IF(OR(K74="",J74=""),"",(J74-K74)*100)</f>
        <v>-0.943487793560183</v>
      </c>
      <c r="M74" s="36" t="n">
        <v>2.38324489930066</v>
      </c>
      <c r="N74" s="36" t="n">
        <v>2.06013257114913</v>
      </c>
      <c r="O74" s="36" t="n">
        <f aca="false">SQRT(M74^2+N74^2)</f>
        <v>3.1502384768065</v>
      </c>
      <c r="P74" s="55" t="n">
        <f aca="false">IF(J74="","",MAX(0,J74-1.96*O74/100))</f>
        <v>0.432732810986283</v>
      </c>
      <c r="Q74" s="55" t="n">
        <f aca="false">IF(J74="","",MIN(1,J74+1.96*O74/100))</f>
        <v>0.556222159277098</v>
      </c>
      <c r="R74" s="32" t="str">
        <f aca="false">IF(L74="","",IF(ABS(L74)&lt;=O74,"Yes","No"))</f>
        <v>Yes</v>
      </c>
      <c r="S74" s="32" t="str">
        <f aca="false">IF(L74="","",IF(ABS(L74)&lt;=1.96*O74,"Yes","No"))</f>
        <v>Yes</v>
      </c>
      <c r="T74" s="54" t="n">
        <f aca="false">IF(D74="","",ROUND(SQRT(((D74+G74)*O74/100)^2+(J74*(D74+G74)*0.05883)^2),0))</f>
        <v>50</v>
      </c>
      <c r="U74" s="32"/>
    </row>
    <row r="75" customFormat="false" ht="15" hidden="false" customHeight="false" outlineLevel="0" collapsed="false">
      <c r="A75" s="32" t="s">
        <v>188</v>
      </c>
      <c r="B75" s="32" t="s">
        <v>209</v>
      </c>
      <c r="C75" s="32" t="s">
        <v>129</v>
      </c>
      <c r="D75" s="54" t="n">
        <v>1780</v>
      </c>
      <c r="E75" s="54" t="n">
        <v>1957</v>
      </c>
      <c r="F75" s="65" t="n">
        <f aca="false">IF(E75="","",D75-E75)</f>
        <v>-177</v>
      </c>
      <c r="G75" s="54" t="n">
        <v>1849</v>
      </c>
      <c r="H75" s="54" t="n">
        <v>1970</v>
      </c>
      <c r="I75" s="65" t="n">
        <f aca="false">IF(H75="","",G75-H75)</f>
        <v>-121</v>
      </c>
      <c r="J75" s="55" t="n">
        <f aca="false">IF(OR(D75="",D75+G75=0),"",D75/(D75+G75))</f>
        <v>0.490493248828878</v>
      </c>
      <c r="K75" s="55" t="n">
        <f aca="false">IF(E75="","",E75/(E75+H75))</f>
        <v>0.49834479246244</v>
      </c>
      <c r="L75" s="66" t="n">
        <f aca="false">IF(OR(K75="",J75=""),"",(J75-K75)*100)</f>
        <v>-0.785154363356105</v>
      </c>
      <c r="M75" s="36" t="n">
        <v>1.79262295108063</v>
      </c>
      <c r="N75" s="36" t="n">
        <v>2.06013257114913</v>
      </c>
      <c r="O75" s="36" t="n">
        <f aca="false">SQRT(M75^2+N75^2)</f>
        <v>2.73086858992712</v>
      </c>
      <c r="P75" s="55" t="n">
        <f aca="false">IF(J75="","",MAX(0,J75-1.96*O75/100))</f>
        <v>0.436968224466307</v>
      </c>
      <c r="Q75" s="55" t="n">
        <f aca="false">IF(J75="","",MIN(1,J75+1.96*O75/100))</f>
        <v>0.54401827319145</v>
      </c>
      <c r="R75" s="32" t="str">
        <f aca="false">IF(L75="","",IF(ABS(L75)&lt;=O75,"Yes","No"))</f>
        <v>Yes</v>
      </c>
      <c r="S75" s="32" t="str">
        <f aca="false">IF(L75="","",IF(ABS(L75)&lt;=1.96*O75,"Yes","No"))</f>
        <v>Yes</v>
      </c>
      <c r="T75" s="54" t="n">
        <f aca="false">IF(D75="","",ROUND(SQRT(((D75+G75)*O75/100)^2+(J75*(D75+G75)*0.04942)^2),0))</f>
        <v>133</v>
      </c>
      <c r="U75" s="32"/>
    </row>
    <row r="76" customFormat="false" ht="15" hidden="false" customHeight="false" outlineLevel="0" collapsed="false">
      <c r="A76" s="32" t="s">
        <v>188</v>
      </c>
      <c r="B76" s="32" t="s">
        <v>210</v>
      </c>
      <c r="C76" s="32" t="s">
        <v>129</v>
      </c>
      <c r="D76" s="54" t="n">
        <v>5167</v>
      </c>
      <c r="E76" s="54" t="n">
        <v>5403</v>
      </c>
      <c r="F76" s="65" t="n">
        <f aca="false">IF(E76="","",D76-E76)</f>
        <v>-236</v>
      </c>
      <c r="G76" s="54" t="n">
        <v>4510</v>
      </c>
      <c r="H76" s="54" t="n">
        <v>4910</v>
      </c>
      <c r="I76" s="65" t="n">
        <f aca="false">IF(H76="","",G76-H76)</f>
        <v>-400</v>
      </c>
      <c r="J76" s="55" t="n">
        <f aca="false">IF(OR(D76="",D76+G76=0),"",D76/(D76+G76))</f>
        <v>0.533946471013744</v>
      </c>
      <c r="K76" s="55" t="n">
        <f aca="false">IF(E76="","",E76/(E76+H76))</f>
        <v>0.523901871424416</v>
      </c>
      <c r="L76" s="66" t="n">
        <f aca="false">IF(OR(K76="",J76=""),"",(J76-K76)*100)</f>
        <v>1.00445995893281</v>
      </c>
      <c r="M76" s="36" t="n">
        <v>1.79262295108063</v>
      </c>
      <c r="N76" s="36" t="n">
        <v>2.06013257114913</v>
      </c>
      <c r="O76" s="36" t="n">
        <f aca="false">SQRT(M76^2+N76^2)</f>
        <v>2.73086858992712</v>
      </c>
      <c r="P76" s="55" t="n">
        <f aca="false">IF(J76="","",MAX(0,J76-1.96*O76/100))</f>
        <v>0.480421446651172</v>
      </c>
      <c r="Q76" s="55" t="n">
        <f aca="false">IF(J76="","",MIN(1,J76+1.96*O76/100))</f>
        <v>0.587471495376316</v>
      </c>
      <c r="R76" s="32" t="str">
        <f aca="false">IF(L76="","",IF(ABS(L76)&lt;=O76,"Yes","No"))</f>
        <v>Yes</v>
      </c>
      <c r="S76" s="32" t="str">
        <f aca="false">IF(L76="","",IF(ABS(L76)&lt;=1.96*O76,"Yes","No"))</f>
        <v>Yes</v>
      </c>
      <c r="T76" s="54" t="n">
        <f aca="false">IF(D76="","",ROUND(SQRT(((D76+G76)*O76/100)^2+(J76*(D76+G76)*0.04942)^2),0))</f>
        <v>367</v>
      </c>
      <c r="U76" s="32"/>
    </row>
    <row r="77" customFormat="false" ht="15" hidden="false" customHeight="false" outlineLevel="0" collapsed="false">
      <c r="A77" s="32" t="s">
        <v>188</v>
      </c>
      <c r="B77" s="32" t="s">
        <v>211</v>
      </c>
      <c r="C77" s="32" t="s">
        <v>129</v>
      </c>
      <c r="D77" s="54" t="n">
        <v>472</v>
      </c>
      <c r="E77" s="54" t="n">
        <v>511</v>
      </c>
      <c r="F77" s="65" t="n">
        <f aca="false">IF(E77="","",D77-E77)</f>
        <v>-39</v>
      </c>
      <c r="G77" s="54" t="n">
        <v>733</v>
      </c>
      <c r="H77" s="54" t="n">
        <v>778</v>
      </c>
      <c r="I77" s="65" t="n">
        <f aca="false">IF(H77="","",G77-H77)</f>
        <v>-45</v>
      </c>
      <c r="J77" s="55" t="n">
        <f aca="false">IF(OR(D77="",D77+G77=0),"",D77/(D77+G77))</f>
        <v>0.391701244813278</v>
      </c>
      <c r="K77" s="55" t="n">
        <f aca="false">IF(E77="","",E77/(E77+H77))</f>
        <v>0.396431342125679</v>
      </c>
      <c r="L77" s="66" t="n">
        <f aca="false">IF(OR(K77="",J77=""),"",(J77-K77)*100)</f>
        <v>-0.473009731240082</v>
      </c>
      <c r="M77" s="36" t="n">
        <v>2.38324489930066</v>
      </c>
      <c r="N77" s="36" t="n">
        <v>2.06013257114913</v>
      </c>
      <c r="O77" s="36" t="n">
        <f aca="false">SQRT(M77^2+N77^2)</f>
        <v>3.1502384768065</v>
      </c>
      <c r="P77" s="55" t="n">
        <f aca="false">IF(J77="","",MAX(0,J77-1.96*O77/100))</f>
        <v>0.329956570667871</v>
      </c>
      <c r="Q77" s="55" t="n">
        <f aca="false">IF(J77="","",MIN(1,J77+1.96*O77/100))</f>
        <v>0.453445918958685</v>
      </c>
      <c r="R77" s="32" t="str">
        <f aca="false">IF(L77="","",IF(ABS(L77)&lt;=O77,"Yes","No"))</f>
        <v>Yes</v>
      </c>
      <c r="S77" s="32" t="str">
        <f aca="false">IF(L77="","",IF(ABS(L77)&lt;=1.96*O77,"Yes","No"))</f>
        <v>Yes</v>
      </c>
      <c r="T77" s="54" t="n">
        <f aca="false">IF(D77="","",ROUND(SQRT(((D77+G77)*O77/100)^2+(J77*(D77+G77)*0.05883)^2),0))</f>
        <v>47</v>
      </c>
      <c r="U77" s="32"/>
    </row>
    <row r="78" customFormat="false" ht="15" hidden="false" customHeight="false" outlineLevel="0" collapsed="false">
      <c r="A78" s="32" t="s">
        <v>188</v>
      </c>
      <c r="B78" s="32" t="s">
        <v>212</v>
      </c>
      <c r="C78" s="32" t="s">
        <v>129</v>
      </c>
      <c r="D78" s="54" t="n">
        <v>962</v>
      </c>
      <c r="E78" s="54" t="n">
        <v>1076</v>
      </c>
      <c r="F78" s="65" t="n">
        <f aca="false">IF(E78="","",D78-E78)</f>
        <v>-114</v>
      </c>
      <c r="G78" s="54" t="n">
        <v>1788</v>
      </c>
      <c r="H78" s="54" t="n">
        <v>1998</v>
      </c>
      <c r="I78" s="65" t="n">
        <f aca="false">IF(H78="","",G78-H78)</f>
        <v>-210</v>
      </c>
      <c r="J78" s="55" t="n">
        <f aca="false">IF(OR(D78="",D78+G78=0),"",D78/(D78+G78))</f>
        <v>0.349818181818182</v>
      </c>
      <c r="K78" s="55" t="n">
        <f aca="false">IF(E78="","",E78/(E78+H78))</f>
        <v>0.350032530904359</v>
      </c>
      <c r="L78" s="66" t="n">
        <f aca="false">IF(OR(K78="",J78=""),"",(J78-K78)*100)</f>
        <v>-0.0214349086177346</v>
      </c>
      <c r="M78" s="36" t="n">
        <v>1.79262295108063</v>
      </c>
      <c r="N78" s="36" t="n">
        <v>2.06013257114913</v>
      </c>
      <c r="O78" s="36" t="n">
        <f aca="false">SQRT(M78^2+N78^2)</f>
        <v>2.73086858992712</v>
      </c>
      <c r="P78" s="55" t="n">
        <f aca="false">IF(J78="","",MAX(0,J78-1.96*O78/100))</f>
        <v>0.29629315745561</v>
      </c>
      <c r="Q78" s="55" t="n">
        <f aca="false">IF(J78="","",MIN(1,J78+1.96*O78/100))</f>
        <v>0.403343206180753</v>
      </c>
      <c r="R78" s="32" t="str">
        <f aca="false">IF(L78="","",IF(ABS(L78)&lt;=O78,"Yes","No"))</f>
        <v>Yes</v>
      </c>
      <c r="S78" s="32" t="str">
        <f aca="false">IF(L78="","",IF(ABS(L78)&lt;=1.96*O78,"Yes","No"))</f>
        <v>Yes</v>
      </c>
      <c r="T78" s="54" t="n">
        <f aca="false">IF(D78="","",ROUND(SQRT(((D78+G78)*O78/100)^2+(J78*(D78+G78)*0.04942)^2),0))</f>
        <v>89</v>
      </c>
      <c r="U78" s="32"/>
    </row>
    <row r="79" customFormat="false" ht="15" hidden="false" customHeight="false" outlineLevel="0" collapsed="false">
      <c r="A79" s="32" t="s">
        <v>188</v>
      </c>
      <c r="B79" s="32" t="s">
        <v>213</v>
      </c>
      <c r="C79" s="32" t="s">
        <v>129</v>
      </c>
      <c r="D79" s="54" t="n">
        <v>57</v>
      </c>
      <c r="E79" s="54" t="n">
        <v>65</v>
      </c>
      <c r="F79" s="65" t="n">
        <f aca="false">IF(E79="","",D79-E79)</f>
        <v>-8</v>
      </c>
      <c r="G79" s="54" t="n">
        <v>121</v>
      </c>
      <c r="H79" s="54" t="n">
        <v>129</v>
      </c>
      <c r="I79" s="65" t="n">
        <f aca="false">IF(H79="","",G79-H79)</f>
        <v>-8</v>
      </c>
      <c r="J79" s="55" t="n">
        <f aca="false">IF(OR(D79="",D79+G79=0),"",D79/(D79+G79))</f>
        <v>0.320224719101124</v>
      </c>
      <c r="K79" s="55" t="n">
        <f aca="false">IF(E79="","",E79/(E79+H79))</f>
        <v>0.335051546391753</v>
      </c>
      <c r="L79" s="66" t="n">
        <f aca="false">IF(OR(K79="",J79=""),"",(J79-K79)*100)</f>
        <v>-1.4826827290629</v>
      </c>
      <c r="M79" s="36" t="n">
        <v>3.70014007986767</v>
      </c>
      <c r="N79" s="36" t="n">
        <v>2.06013257114913</v>
      </c>
      <c r="O79" s="36" t="n">
        <f aca="false">SQRT(M79^2+N79^2)</f>
        <v>4.23499502022761</v>
      </c>
      <c r="P79" s="55" t="n">
        <f aca="false">IF(J79="","",MAX(0,J79-1.96*O79/100))</f>
        <v>0.237218816704663</v>
      </c>
      <c r="Q79" s="55" t="n">
        <f aca="false">IF(J79="","",MIN(1,J79+1.96*O79/100))</f>
        <v>0.403230621497585</v>
      </c>
      <c r="R79" s="32" t="str">
        <f aca="false">IF(L79="","",IF(ABS(L79)&lt;=O79,"Yes","No"))</f>
        <v>Yes</v>
      </c>
      <c r="S79" s="32" t="str">
        <f aca="false">IF(L79="","",IF(ABS(L79)&lt;=1.96*O79,"Yes","No"))</f>
        <v>Yes</v>
      </c>
      <c r="T79" s="54" t="n">
        <f aca="false">IF(D79="","",ROUND(SQRT(((D79+G79)*O79/100)^2+(J79*(D79+G79)*0.07872)^2),0))</f>
        <v>9</v>
      </c>
      <c r="U79" s="32"/>
    </row>
    <row r="80" customFormat="false" ht="15" hidden="false" customHeight="false" outlineLevel="0" collapsed="false">
      <c r="A80" s="32" t="s">
        <v>188</v>
      </c>
      <c r="B80" s="32" t="s">
        <v>214</v>
      </c>
      <c r="C80" s="32" t="s">
        <v>129</v>
      </c>
      <c r="D80" s="54" t="n">
        <v>250</v>
      </c>
      <c r="E80" s="54" t="n">
        <v>258</v>
      </c>
      <c r="F80" s="65" t="n">
        <f aca="false">IF(E80="","",D80-E80)</f>
        <v>-8</v>
      </c>
      <c r="G80" s="54" t="n">
        <v>405</v>
      </c>
      <c r="H80" s="54" t="n">
        <v>418</v>
      </c>
      <c r="I80" s="65" t="n">
        <f aca="false">IF(H80="","",G80-H80)</f>
        <v>-13</v>
      </c>
      <c r="J80" s="55" t="n">
        <f aca="false">IF(OR(D80="",D80+G80=0),"",D80/(D80+G80))</f>
        <v>0.381679389312977</v>
      </c>
      <c r="K80" s="55" t="n">
        <f aca="false">IF(E80="","",E80/(E80+H80))</f>
        <v>0.381656804733728</v>
      </c>
      <c r="L80" s="66" t="n">
        <f aca="false">IF(OR(K80="",J80=""),"",(J80-K80)*100)</f>
        <v>0.00225845792493073</v>
      </c>
      <c r="M80" s="36" t="n">
        <v>3.70014007986767</v>
      </c>
      <c r="N80" s="36" t="n">
        <v>2.06013257114913</v>
      </c>
      <c r="O80" s="36" t="n">
        <f aca="false">SQRT(M80^2+N80^2)</f>
        <v>4.23499502022761</v>
      </c>
      <c r="P80" s="55" t="n">
        <f aca="false">IF(J80="","",MAX(0,J80-1.96*O80/100))</f>
        <v>0.298673486916516</v>
      </c>
      <c r="Q80" s="55" t="n">
        <f aca="false">IF(J80="","",MIN(1,J80+1.96*O80/100))</f>
        <v>0.464685291709438</v>
      </c>
      <c r="R80" s="32" t="str">
        <f aca="false">IF(L80="","",IF(ABS(L80)&lt;=O80,"Yes","No"))</f>
        <v>Yes</v>
      </c>
      <c r="S80" s="32" t="str">
        <f aca="false">IF(L80="","",IF(ABS(L80)&lt;=1.96*O80,"Yes","No"))</f>
        <v>Yes</v>
      </c>
      <c r="T80" s="54" t="n">
        <f aca="false">IF(D80="","",ROUND(SQRT(((D80+G80)*O80/100)^2+(J80*(D80+G80)*0.07872)^2),0))</f>
        <v>34</v>
      </c>
      <c r="U80" s="32"/>
    </row>
    <row r="81" customFormat="false" ht="15" hidden="false" customHeight="false" outlineLevel="0" collapsed="false">
      <c r="A81" s="32" t="s">
        <v>188</v>
      </c>
      <c r="B81" s="32" t="s">
        <v>215</v>
      </c>
      <c r="C81" s="32" t="s">
        <v>129</v>
      </c>
      <c r="D81" s="54" t="n">
        <v>135</v>
      </c>
      <c r="E81" s="54" t="n">
        <v>160</v>
      </c>
      <c r="F81" s="65" t="n">
        <f aca="false">IF(E81="","",D81-E81)</f>
        <v>-25</v>
      </c>
      <c r="G81" s="54" t="n">
        <v>199</v>
      </c>
      <c r="H81" s="54" t="n">
        <v>227</v>
      </c>
      <c r="I81" s="65" t="n">
        <f aca="false">IF(H81="","",G81-H81)</f>
        <v>-28</v>
      </c>
      <c r="J81" s="55" t="n">
        <f aca="false">IF(OR(D81="",D81+G81=0),"",D81/(D81+G81))</f>
        <v>0.404191616766467</v>
      </c>
      <c r="K81" s="55" t="n">
        <f aca="false">IF(E81="","",E81/(E81+H81))</f>
        <v>0.41343669250646</v>
      </c>
      <c r="L81" s="66" t="n">
        <f aca="false">IF(OR(K81="",J81=""),"",(J81-K81)*100)</f>
        <v>-0.924507573999284</v>
      </c>
      <c r="M81" s="36" t="n">
        <v>3.70014007986767</v>
      </c>
      <c r="N81" s="36" t="n">
        <v>2.06013257114913</v>
      </c>
      <c r="O81" s="36" t="n">
        <f aca="false">SQRT(M81^2+N81^2)</f>
        <v>4.23499502022761</v>
      </c>
      <c r="P81" s="55" t="n">
        <f aca="false">IF(J81="","",MAX(0,J81-1.96*O81/100))</f>
        <v>0.321185714370006</v>
      </c>
      <c r="Q81" s="55" t="n">
        <f aca="false">IF(J81="","",MIN(1,J81+1.96*O81/100))</f>
        <v>0.487197519162928</v>
      </c>
      <c r="R81" s="32" t="str">
        <f aca="false">IF(L81="","",IF(ABS(L81)&lt;=O81,"Yes","No"))</f>
        <v>Yes</v>
      </c>
      <c r="S81" s="32" t="str">
        <f aca="false">IF(L81="","",IF(ABS(L81)&lt;=1.96*O81,"Yes","No"))</f>
        <v>Yes</v>
      </c>
      <c r="T81" s="54" t="n">
        <f aca="false">IF(D81="","",ROUND(SQRT(((D81+G81)*O81/100)^2+(J81*(D81+G81)*0.07872)^2),0))</f>
        <v>18</v>
      </c>
      <c r="U81" s="32"/>
    </row>
    <row r="82" customFormat="false" ht="15" hidden="false" customHeight="false" outlineLevel="0" collapsed="false">
      <c r="A82" s="32" t="s">
        <v>188</v>
      </c>
      <c r="B82" s="32" t="s">
        <v>216</v>
      </c>
      <c r="C82" s="32" t="s">
        <v>129</v>
      </c>
      <c r="D82" s="54" t="n">
        <v>216</v>
      </c>
      <c r="E82" s="54" t="n">
        <v>243</v>
      </c>
      <c r="F82" s="65" t="n">
        <f aca="false">IF(E82="","",D82-E82)</f>
        <v>-27</v>
      </c>
      <c r="G82" s="54" t="n">
        <v>307</v>
      </c>
      <c r="H82" s="54" t="n">
        <v>318</v>
      </c>
      <c r="I82" s="65" t="n">
        <f aca="false">IF(H82="","",G82-H82)</f>
        <v>-11</v>
      </c>
      <c r="J82" s="55" t="n">
        <f aca="false">IF(OR(D82="",D82+G82=0),"",D82/(D82+G82))</f>
        <v>0.413001912045889</v>
      </c>
      <c r="K82" s="55" t="n">
        <f aca="false">IF(E82="","",E82/(E82+H82))</f>
        <v>0.433155080213904</v>
      </c>
      <c r="L82" s="66" t="n">
        <f aca="false">IF(OR(K82="",J82=""),"",(J82-K82)*100)</f>
        <v>-2.01531681680147</v>
      </c>
      <c r="M82" s="36" t="n">
        <v>3.70014007986767</v>
      </c>
      <c r="N82" s="36" t="n">
        <v>2.06013257114913</v>
      </c>
      <c r="O82" s="36" t="n">
        <f aca="false">SQRT(M82^2+N82^2)</f>
        <v>4.23499502022761</v>
      </c>
      <c r="P82" s="55" t="n">
        <f aca="false">IF(J82="","",MAX(0,J82-1.96*O82/100))</f>
        <v>0.329996009649428</v>
      </c>
      <c r="Q82" s="55" t="n">
        <f aca="false">IF(J82="","",MIN(1,J82+1.96*O82/100))</f>
        <v>0.49600781444235</v>
      </c>
      <c r="R82" s="32" t="str">
        <f aca="false">IF(L82="","",IF(ABS(L82)&lt;=O82,"Yes","No"))</f>
        <v>Yes</v>
      </c>
      <c r="S82" s="32" t="str">
        <f aca="false">IF(L82="","",IF(ABS(L82)&lt;=1.96*O82,"Yes","No"))</f>
        <v>Yes</v>
      </c>
      <c r="T82" s="54" t="n">
        <f aca="false">IF(D82="","",ROUND(SQRT(((D82+G82)*O82/100)^2+(J82*(D82+G82)*0.07872)^2),0))</f>
        <v>28</v>
      </c>
      <c r="U82" s="32"/>
    </row>
    <row r="83" customFormat="false" ht="15" hidden="false" customHeight="false" outlineLevel="0" collapsed="false">
      <c r="A83" s="32" t="s">
        <v>188</v>
      </c>
      <c r="B83" s="32" t="s">
        <v>217</v>
      </c>
      <c r="C83" s="32" t="s">
        <v>129</v>
      </c>
      <c r="D83" s="54" t="n">
        <v>926</v>
      </c>
      <c r="E83" s="54" t="n">
        <v>1030</v>
      </c>
      <c r="F83" s="65" t="n">
        <f aca="false">IF(E83="","",D83-E83)</f>
        <v>-104</v>
      </c>
      <c r="G83" s="54" t="n">
        <v>1921</v>
      </c>
      <c r="H83" s="54" t="n">
        <v>2095</v>
      </c>
      <c r="I83" s="65" t="n">
        <f aca="false">IF(H83="","",G83-H83)</f>
        <v>-174</v>
      </c>
      <c r="J83" s="55" t="n">
        <f aca="false">IF(OR(D83="",D83+G83=0),"",D83/(D83+G83))</f>
        <v>0.325254654021777</v>
      </c>
      <c r="K83" s="55" t="n">
        <f aca="false">IF(E83="","",E83/(E83+H83))</f>
        <v>0.3296</v>
      </c>
      <c r="L83" s="66" t="n">
        <f aca="false">IF(OR(K83="",J83=""),"",(J83-K83)*100)</f>
        <v>-0.434534597822267</v>
      </c>
      <c r="M83" s="36" t="n">
        <v>1.79262295108063</v>
      </c>
      <c r="N83" s="36" t="n">
        <v>2.06013257114913</v>
      </c>
      <c r="O83" s="36" t="n">
        <f aca="false">SQRT(M83^2+N83^2)</f>
        <v>2.73086858992712</v>
      </c>
      <c r="P83" s="55" t="n">
        <f aca="false">IF(J83="","",MAX(0,J83-1.96*O83/100))</f>
        <v>0.271729629659206</v>
      </c>
      <c r="Q83" s="55" t="n">
        <f aca="false">IF(J83="","",MIN(1,J83+1.96*O83/100))</f>
        <v>0.378779678384349</v>
      </c>
      <c r="R83" s="32" t="str">
        <f aca="false">IF(L83="","",IF(ABS(L83)&lt;=O83,"Yes","No"))</f>
        <v>Yes</v>
      </c>
      <c r="S83" s="32" t="str">
        <f aca="false">IF(L83="","",IF(ABS(L83)&lt;=1.96*O83,"Yes","No"))</f>
        <v>Yes</v>
      </c>
      <c r="T83" s="54" t="n">
        <f aca="false">IF(D83="","",ROUND(SQRT(((D83+G83)*O83/100)^2+(J83*(D83+G83)*0.04942)^2),0))</f>
        <v>90</v>
      </c>
      <c r="U83" s="32"/>
    </row>
    <row r="84" customFormat="false" ht="15" hidden="false" customHeight="false" outlineLevel="0" collapsed="false">
      <c r="A84" s="32" t="s">
        <v>188</v>
      </c>
      <c r="B84" s="32" t="s">
        <v>218</v>
      </c>
      <c r="C84" s="32" t="s">
        <v>129</v>
      </c>
      <c r="D84" s="54" t="n">
        <v>1355</v>
      </c>
      <c r="E84" s="54" t="n">
        <v>1575</v>
      </c>
      <c r="F84" s="65" t="n">
        <f aca="false">IF(E84="","",D84-E84)</f>
        <v>-220</v>
      </c>
      <c r="G84" s="54" t="n">
        <v>1432</v>
      </c>
      <c r="H84" s="54" t="n">
        <v>1588</v>
      </c>
      <c r="I84" s="65" t="n">
        <f aca="false">IF(H84="","",G84-H84)</f>
        <v>-156</v>
      </c>
      <c r="J84" s="55" t="n">
        <f aca="false">IF(OR(D84="",D84+G84=0),"",D84/(D84+G84))</f>
        <v>0.486185862935056</v>
      </c>
      <c r="K84" s="55" t="n">
        <f aca="false">IF(E84="","",E84/(E84+H84))</f>
        <v>0.497944988934556</v>
      </c>
      <c r="L84" s="66" t="n">
        <f aca="false">IF(OR(K84="",J84=""),"",(J84-K84)*100)</f>
        <v>-1.17591259995002</v>
      </c>
      <c r="M84" s="36" t="n">
        <v>1.79262295108063</v>
      </c>
      <c r="N84" s="36" t="n">
        <v>2.06013257114913</v>
      </c>
      <c r="O84" s="36" t="n">
        <f aca="false">SQRT(M84^2+N84^2)</f>
        <v>2.73086858992712</v>
      </c>
      <c r="P84" s="55" t="n">
        <f aca="false">IF(J84="","",MAX(0,J84-1.96*O84/100))</f>
        <v>0.432660838572484</v>
      </c>
      <c r="Q84" s="55" t="n">
        <f aca="false">IF(J84="","",MIN(1,J84+1.96*O84/100))</f>
        <v>0.539710887297627</v>
      </c>
      <c r="R84" s="32" t="str">
        <f aca="false">IF(L84="","",IF(ABS(L84)&lt;=O84,"Yes","No"))</f>
        <v>Yes</v>
      </c>
      <c r="S84" s="32" t="str">
        <f aca="false">IF(L84="","",IF(ABS(L84)&lt;=1.96*O84,"Yes","No"))</f>
        <v>Yes</v>
      </c>
      <c r="T84" s="54" t="n">
        <f aca="false">IF(D84="","",ROUND(SQRT(((D84+G84)*O84/100)^2+(J84*(D84+G84)*0.04942)^2),0))</f>
        <v>101</v>
      </c>
      <c r="U84" s="32"/>
    </row>
    <row r="85" customFormat="false" ht="15" hidden="false" customHeight="false" outlineLevel="0" collapsed="false">
      <c r="A85" s="32" t="s">
        <v>188</v>
      </c>
      <c r="B85" s="32" t="s">
        <v>219</v>
      </c>
      <c r="C85" s="32" t="s">
        <v>129</v>
      </c>
      <c r="D85" s="54" t="n">
        <v>261</v>
      </c>
      <c r="E85" s="54" t="n">
        <v>305</v>
      </c>
      <c r="F85" s="65" t="n">
        <f aca="false">IF(E85="","",D85-E85)</f>
        <v>-44</v>
      </c>
      <c r="G85" s="54" t="n">
        <v>405</v>
      </c>
      <c r="H85" s="54" t="n">
        <v>419</v>
      </c>
      <c r="I85" s="65" t="n">
        <f aca="false">IF(H85="","",G85-H85)</f>
        <v>-14</v>
      </c>
      <c r="J85" s="55" t="n">
        <f aca="false">IF(OR(D85="",D85+G85=0),"",D85/(D85+G85))</f>
        <v>0.391891891891892</v>
      </c>
      <c r="K85" s="55" t="n">
        <f aca="false">IF(E85="","",E85/(E85+H85))</f>
        <v>0.421270718232044</v>
      </c>
      <c r="L85" s="66" t="n">
        <f aca="false">IF(OR(K85="",J85=""),"",(J85-K85)*100)</f>
        <v>-2.93788263401523</v>
      </c>
      <c r="M85" s="36" t="n">
        <v>3.70014007986767</v>
      </c>
      <c r="N85" s="36" t="n">
        <v>2.06013257114913</v>
      </c>
      <c r="O85" s="36" t="n">
        <f aca="false">SQRT(M85^2+N85^2)</f>
        <v>4.23499502022761</v>
      </c>
      <c r="P85" s="55" t="n">
        <f aca="false">IF(J85="","",MAX(0,J85-1.96*O85/100))</f>
        <v>0.308885989495431</v>
      </c>
      <c r="Q85" s="55" t="n">
        <f aca="false">IF(J85="","",MIN(1,J85+1.96*O85/100))</f>
        <v>0.474897794288353</v>
      </c>
      <c r="R85" s="32" t="str">
        <f aca="false">IF(L85="","",IF(ABS(L85)&lt;=O85,"Yes","No"))</f>
        <v>Yes</v>
      </c>
      <c r="S85" s="32" t="str">
        <f aca="false">IF(L85="","",IF(ABS(L85)&lt;=1.96*O85,"Yes","No"))</f>
        <v>Yes</v>
      </c>
      <c r="T85" s="54" t="n">
        <f aca="false">IF(D85="","",ROUND(SQRT(((D85+G85)*O85/100)^2+(J85*(D85+G85)*0.07872)^2),0))</f>
        <v>35</v>
      </c>
      <c r="U85" s="32"/>
    </row>
    <row r="86" customFormat="false" ht="15" hidden="false" customHeight="false" outlineLevel="0" collapsed="false">
      <c r="A86" s="32" t="s">
        <v>188</v>
      </c>
      <c r="B86" s="32" t="s">
        <v>180</v>
      </c>
      <c r="C86" s="32" t="s">
        <v>129</v>
      </c>
      <c r="D86" s="54" t="n">
        <v>703</v>
      </c>
      <c r="E86" s="54" t="n">
        <v>840</v>
      </c>
      <c r="F86" s="65" t="n">
        <f aca="false">IF(E86="","",D86-E86)</f>
        <v>-137</v>
      </c>
      <c r="G86" s="54" t="n">
        <v>1336</v>
      </c>
      <c r="H86" s="54" t="n">
        <v>1533</v>
      </c>
      <c r="I86" s="65" t="n">
        <f aca="false">IF(H86="","",G86-H86)</f>
        <v>-197</v>
      </c>
      <c r="J86" s="55" t="n">
        <f aca="false">IF(OR(D86="",D86+G86=0),"",D86/(D86+G86))</f>
        <v>0.344776851397744</v>
      </c>
      <c r="K86" s="55" t="n">
        <f aca="false">IF(E86="","",E86/(E86+H86))</f>
        <v>0.353982300884956</v>
      </c>
      <c r="L86" s="66" t="n">
        <f aca="false">IF(OR(K86="",J86=""),"",(J86-K86)*100)</f>
        <v>-0.920544948721175</v>
      </c>
      <c r="M86" s="36" t="n">
        <v>2.38324489930066</v>
      </c>
      <c r="N86" s="36" t="n">
        <v>2.06013257114913</v>
      </c>
      <c r="O86" s="36" t="n">
        <f aca="false">SQRT(M86^2+N86^2)</f>
        <v>3.1502384768065</v>
      </c>
      <c r="P86" s="55" t="n">
        <f aca="false">IF(J86="","",MAX(0,J86-1.96*O86/100))</f>
        <v>0.283032177252337</v>
      </c>
      <c r="Q86" s="55" t="n">
        <f aca="false">IF(J86="","",MIN(1,J86+1.96*O86/100))</f>
        <v>0.406521525543151</v>
      </c>
      <c r="R86" s="32" t="str">
        <f aca="false">IF(L86="","",IF(ABS(L86)&lt;=O86,"Yes","No"))</f>
        <v>Yes</v>
      </c>
      <c r="S86" s="32" t="str">
        <f aca="false">IF(L86="","",IF(ABS(L86)&lt;=1.96*O86,"Yes","No"))</f>
        <v>Yes</v>
      </c>
      <c r="T86" s="54" t="n">
        <f aca="false">IF(D86="","",ROUND(SQRT(((D86+G86)*O86/100)^2+(J86*(D86+G86)*0.05883)^2),0))</f>
        <v>76</v>
      </c>
      <c r="U86" s="32"/>
    </row>
    <row r="87" customFormat="false" ht="15" hidden="false" customHeight="false" outlineLevel="0" collapsed="false">
      <c r="A87" s="32" t="s">
        <v>188</v>
      </c>
      <c r="B87" s="32" t="s">
        <v>220</v>
      </c>
      <c r="C87" s="32" t="s">
        <v>129</v>
      </c>
      <c r="D87" s="54" t="n">
        <v>174</v>
      </c>
      <c r="E87" s="54" t="n">
        <v>199</v>
      </c>
      <c r="F87" s="65" t="n">
        <f aca="false">IF(E87="","",D87-E87)</f>
        <v>-25</v>
      </c>
      <c r="G87" s="54" t="n">
        <v>194</v>
      </c>
      <c r="H87" s="54" t="n">
        <v>215</v>
      </c>
      <c r="I87" s="65" t="n">
        <f aca="false">IF(H87="","",G87-H87)</f>
        <v>-21</v>
      </c>
      <c r="J87" s="55" t="n">
        <f aca="false">IF(OR(D87="",D87+G87=0),"",D87/(D87+G87))</f>
        <v>0.472826086956522</v>
      </c>
      <c r="K87" s="55" t="n">
        <f aca="false">IF(E87="","",E87/(E87+H87))</f>
        <v>0.480676328502416</v>
      </c>
      <c r="L87" s="66" t="n">
        <f aca="false">IF(OR(K87="",J87=""),"",(J87-K87)*100)</f>
        <v>-0.785024154589376</v>
      </c>
      <c r="M87" s="36" t="n">
        <v>3.70014007986767</v>
      </c>
      <c r="N87" s="36" t="n">
        <v>2.06013257114913</v>
      </c>
      <c r="O87" s="36" t="n">
        <f aca="false">SQRT(M87^2+N87^2)</f>
        <v>4.23499502022761</v>
      </c>
      <c r="P87" s="55" t="n">
        <f aca="false">IF(J87="","",MAX(0,J87-1.96*O87/100))</f>
        <v>0.389820184560061</v>
      </c>
      <c r="Q87" s="55" t="n">
        <f aca="false">IF(J87="","",MIN(1,J87+1.96*O87/100))</f>
        <v>0.555831989352983</v>
      </c>
      <c r="R87" s="32" t="str">
        <f aca="false">IF(L87="","",IF(ABS(L87)&lt;=O87,"Yes","No"))</f>
        <v>Yes</v>
      </c>
      <c r="S87" s="32" t="str">
        <f aca="false">IF(L87="","",IF(ABS(L87)&lt;=1.96*O87,"Yes","No"))</f>
        <v>Yes</v>
      </c>
      <c r="T87" s="54" t="n">
        <f aca="false">IF(D87="","",ROUND(SQRT(((D87+G87)*O87/100)^2+(J87*(D87+G87)*0.07872)^2),0))</f>
        <v>21</v>
      </c>
      <c r="U87" s="32"/>
    </row>
    <row r="88" customFormat="false" ht="15" hidden="false" customHeight="false" outlineLevel="0" collapsed="false">
      <c r="A88" s="32" t="s">
        <v>188</v>
      </c>
      <c r="B88" s="32" t="s">
        <v>221</v>
      </c>
      <c r="C88" s="32" t="s">
        <v>129</v>
      </c>
      <c r="D88" s="54" t="n">
        <v>1294</v>
      </c>
      <c r="E88" s="54" t="n">
        <v>1456</v>
      </c>
      <c r="F88" s="65" t="n">
        <f aca="false">IF(E88="","",D88-E88)</f>
        <v>-162</v>
      </c>
      <c r="G88" s="54" t="n">
        <v>1757</v>
      </c>
      <c r="H88" s="54" t="n">
        <v>1860</v>
      </c>
      <c r="I88" s="65" t="n">
        <f aca="false">IF(H88="","",G88-H88)</f>
        <v>-103</v>
      </c>
      <c r="J88" s="55" t="n">
        <f aca="false">IF(OR(D88="",D88+G88=0),"",D88/(D88+G88))</f>
        <v>0.42412323828253</v>
      </c>
      <c r="K88" s="55" t="n">
        <f aca="false">IF(E88="","",E88/(E88+H88))</f>
        <v>0.439083232810615</v>
      </c>
      <c r="L88" s="66" t="n">
        <f aca="false">IF(OR(K88="",J88=""),"",(J88-K88)*100)</f>
        <v>-1.49599945280849</v>
      </c>
      <c r="M88" s="36" t="n">
        <v>1.79262295108063</v>
      </c>
      <c r="N88" s="36" t="n">
        <v>2.06013257114913</v>
      </c>
      <c r="O88" s="36" t="n">
        <f aca="false">SQRT(M88^2+N88^2)</f>
        <v>2.73086858992712</v>
      </c>
      <c r="P88" s="55" t="n">
        <f aca="false">IF(J88="","",MAX(0,J88-1.96*O88/100))</f>
        <v>0.370598213919959</v>
      </c>
      <c r="Q88" s="55" t="n">
        <f aca="false">IF(J88="","",MIN(1,J88+1.96*O88/100))</f>
        <v>0.477648262645102</v>
      </c>
      <c r="R88" s="32" t="str">
        <f aca="false">IF(L88="","",IF(ABS(L88)&lt;=O88,"Yes","No"))</f>
        <v>Yes</v>
      </c>
      <c r="S88" s="32" t="str">
        <f aca="false">IF(L88="","",IF(ABS(L88)&lt;=1.96*O88,"Yes","No"))</f>
        <v>Yes</v>
      </c>
      <c r="T88" s="54" t="n">
        <f aca="false">IF(D88="","",ROUND(SQRT(((D88+G88)*O88/100)^2+(J88*(D88+G88)*0.04942)^2),0))</f>
        <v>105</v>
      </c>
      <c r="U88" s="32"/>
    </row>
    <row r="89" customFormat="false" ht="15" hidden="false" customHeight="false" outlineLevel="0" collapsed="false">
      <c r="A89" s="32" t="s">
        <v>188</v>
      </c>
      <c r="B89" s="32" t="s">
        <v>222</v>
      </c>
      <c r="C89" s="32" t="s">
        <v>129</v>
      </c>
      <c r="D89" s="54" t="n">
        <v>1222</v>
      </c>
      <c r="E89" s="54" t="n">
        <v>1340</v>
      </c>
      <c r="F89" s="65" t="n">
        <f aca="false">IF(E89="","",D89-E89)</f>
        <v>-118</v>
      </c>
      <c r="G89" s="54" t="n">
        <v>906</v>
      </c>
      <c r="H89" s="54" t="n">
        <v>953</v>
      </c>
      <c r="I89" s="65" t="n">
        <f aca="false">IF(H89="","",G89-H89)</f>
        <v>-47</v>
      </c>
      <c r="J89" s="55" t="n">
        <f aca="false">IF(OR(D89="",D89+G89=0),"",D89/(D89+G89))</f>
        <v>0.574248120300752</v>
      </c>
      <c r="K89" s="55" t="n">
        <f aca="false">IF(E89="","",E89/(E89+H89))</f>
        <v>0.584387265590929</v>
      </c>
      <c r="L89" s="66" t="n">
        <f aca="false">IF(OR(K89="",J89=""),"",(J89-K89)*100)</f>
        <v>-1.0139145290177</v>
      </c>
      <c r="M89" s="36" t="n">
        <v>2.38324489930066</v>
      </c>
      <c r="N89" s="36" t="n">
        <v>2.06013257114913</v>
      </c>
      <c r="O89" s="36" t="n">
        <f aca="false">SQRT(M89^2+N89^2)</f>
        <v>3.1502384768065</v>
      </c>
      <c r="P89" s="55" t="n">
        <f aca="false">IF(J89="","",MAX(0,J89-1.96*O89/100))</f>
        <v>0.512503446155345</v>
      </c>
      <c r="Q89" s="55" t="n">
        <f aca="false">IF(J89="","",MIN(1,J89+1.96*O89/100))</f>
        <v>0.635992794446159</v>
      </c>
      <c r="R89" s="32" t="str">
        <f aca="false">IF(L89="","",IF(ABS(L89)&lt;=O89,"Yes","No"))</f>
        <v>Yes</v>
      </c>
      <c r="S89" s="32" t="str">
        <f aca="false">IF(L89="","",IF(ABS(L89)&lt;=1.96*O89,"Yes","No"))</f>
        <v>Yes</v>
      </c>
      <c r="T89" s="54" t="n">
        <f aca="false">IF(D89="","",ROUND(SQRT(((D89+G89)*O89/100)^2+(J89*(D89+G89)*0.05883)^2),0))</f>
        <v>98</v>
      </c>
      <c r="U89" s="32"/>
    </row>
    <row r="90" customFormat="false" ht="15" hidden="false" customHeight="false" outlineLevel="0" collapsed="false">
      <c r="A90" s="32" t="s">
        <v>188</v>
      </c>
      <c r="B90" s="32" t="s">
        <v>223</v>
      </c>
      <c r="C90" s="32" t="s">
        <v>129</v>
      </c>
      <c r="D90" s="54" t="n">
        <v>401</v>
      </c>
      <c r="E90" s="54" t="n">
        <v>494</v>
      </c>
      <c r="F90" s="65" t="n">
        <f aca="false">IF(E90="","",D90-E90)</f>
        <v>-93</v>
      </c>
      <c r="G90" s="54" t="n">
        <v>566</v>
      </c>
      <c r="H90" s="54" t="n">
        <v>601</v>
      </c>
      <c r="I90" s="65" t="n">
        <f aca="false">IF(H90="","",G90-H90)</f>
        <v>-35</v>
      </c>
      <c r="J90" s="55" t="n">
        <f aca="false">IF(OR(D90="",D90+G90=0),"",D90/(D90+G90))</f>
        <v>0.414684591520165</v>
      </c>
      <c r="K90" s="55" t="n">
        <f aca="false">IF(E90="","",E90/(E90+H90))</f>
        <v>0.451141552511416</v>
      </c>
      <c r="L90" s="66" t="n">
        <f aca="false">IF(OR(K90="",J90=""),"",(J90-K90)*100)</f>
        <v>-3.64569609912501</v>
      </c>
      <c r="M90" s="36" t="n">
        <v>3.70014007986767</v>
      </c>
      <c r="N90" s="36" t="n">
        <v>2.06013257114913</v>
      </c>
      <c r="O90" s="36" t="n">
        <f aca="false">SQRT(M90^2+N90^2)</f>
        <v>4.23499502022761</v>
      </c>
      <c r="P90" s="55" t="n">
        <f aca="false">IF(J90="","",MAX(0,J90-1.96*O90/100))</f>
        <v>0.331678689123704</v>
      </c>
      <c r="Q90" s="55" t="n">
        <f aca="false">IF(J90="","",MIN(1,J90+1.96*O90/100))</f>
        <v>0.497690493916627</v>
      </c>
      <c r="R90" s="32" t="str">
        <f aca="false">IF(L90="","",IF(ABS(L90)&lt;=O90,"Yes","No"))</f>
        <v>Yes</v>
      </c>
      <c r="S90" s="32" t="str">
        <f aca="false">IF(L90="","",IF(ABS(L90)&lt;=1.96*O90,"Yes","No"))</f>
        <v>Yes</v>
      </c>
      <c r="T90" s="54" t="n">
        <f aca="false">IF(D90="","",ROUND(SQRT(((D90+G90)*O90/100)^2+(J90*(D90+G90)*0.07872)^2),0))</f>
        <v>52</v>
      </c>
      <c r="U90" s="32"/>
    </row>
    <row r="92" customFormat="false" ht="15" hidden="false" customHeight="false" outlineLevel="0" collapsed="false">
      <c r="A92" s="20" t="s">
        <v>351</v>
      </c>
      <c r="B92" s="67"/>
      <c r="C92" s="67"/>
      <c r="D92" s="68" t="n">
        <f aca="false">SUMIF(E2:E90,"&lt;&gt;",D2:D90)</f>
        <v>140528</v>
      </c>
      <c r="E92" s="68" t="n">
        <f aca="false">SUM(E2:E90)</f>
        <v>151364</v>
      </c>
      <c r="F92" s="69" t="n">
        <f aca="false">D92-E92</f>
        <v>-10836</v>
      </c>
      <c r="G92" s="68" t="n">
        <f aca="false">SUMIF(H2:H90,"&lt;&gt;",G2:G90)</f>
        <v>138519</v>
      </c>
      <c r="H92" s="68" t="n">
        <f aca="false">SUM(H2:H90)</f>
        <v>145527</v>
      </c>
      <c r="I92" s="69" t="n">
        <f aca="false">G92-H92</f>
        <v>-7008</v>
      </c>
      <c r="J92" s="70" t="n">
        <f aca="false">D92/(D92+G92)</f>
        <v>0.503599752013102</v>
      </c>
      <c r="K92" s="70" t="n">
        <f aca="false">E92/(E92+H92)</f>
        <v>0.509830207045683</v>
      </c>
      <c r="L92" s="71" t="n">
        <f aca="false">(J92-K92)*100</f>
        <v>-0.623045503258168</v>
      </c>
      <c r="M92" s="72" t="n">
        <v>0</v>
      </c>
      <c r="N92" s="72" t="n">
        <v>2.06013257114913</v>
      </c>
      <c r="O92" s="72" t="n">
        <f aca="false">SQRT(M92^2+N92^2)</f>
        <v>2.06013257114913</v>
      </c>
      <c r="P92" s="70" t="n">
        <f aca="false">J92-1.96*O92/100</f>
        <v>0.463221153618579</v>
      </c>
      <c r="Q92" s="70" t="n">
        <f aca="false">J92+1.96*O92/100</f>
        <v>0.543978350407625</v>
      </c>
      <c r="R92" s="67" t="str">
        <f aca="false">IF(ABS(L92)&lt;=O92,"Yes","No")</f>
        <v>Yes</v>
      </c>
      <c r="S92" s="67" t="str">
        <f aca="false">IF(ABS(L92)&lt;=1.96*O92,"Yes","No")</f>
        <v>Yes</v>
      </c>
      <c r="T92" s="68" t="n">
        <f aca="false">ROUND(SQRT(((D92+G92)*O92/100)^2+(J92*(D92+G92)*0.03653)^2),0)</f>
        <v>7707</v>
      </c>
    </row>
    <row r="93" customFormat="false" ht="15" hidden="false" customHeight="false" outlineLevel="0" collapsed="false">
      <c r="A93" s="20" t="s">
        <v>352</v>
      </c>
      <c r="B93" s="67"/>
      <c r="C93" s="67"/>
      <c r="D93" s="68" t="n">
        <f aca="false">SUM(D2:D90)</f>
        <v>140528</v>
      </c>
      <c r="E93" s="68"/>
      <c r="F93" s="69"/>
      <c r="G93" s="68" t="n">
        <f aca="false">SUM(G2:G90)</f>
        <v>138519</v>
      </c>
      <c r="H93" s="68"/>
      <c r="I93" s="69"/>
      <c r="J93" s="70" t="n">
        <f aca="false">D93/(D93+G93)</f>
        <v>0.503599752013102</v>
      </c>
      <c r="K93" s="70"/>
      <c r="L93" s="71"/>
      <c r="M93" s="72"/>
      <c r="N93" s="72"/>
      <c r="O93" s="72"/>
      <c r="P93" s="70"/>
      <c r="Q93" s="70"/>
      <c r="R93" s="67"/>
      <c r="S93" s="67"/>
      <c r="T93" s="68"/>
    </row>
    <row r="95" customFormat="false" ht="15" hidden="false" customHeight="false" outlineLevel="0" collapsed="false">
      <c r="A95" s="2" t="s">
        <v>353</v>
      </c>
      <c r="F95" s="73" t="n">
        <f aca="false">(SUMIF(F2:F90,"&gt;0")-SUMIF(F2:F90,"&lt;0"))/COUNT(F2:F90)</f>
        <v>146.359550561798</v>
      </c>
    </row>
    <row r="96" customFormat="false" ht="15" hidden="false" customHeight="false" outlineLevel="0" collapsed="false">
      <c r="A96" s="2" t="s">
        <v>354</v>
      </c>
      <c r="F96" s="73" t="n">
        <f aca="false">(SUMIF(I2:I90,"&gt;0")-SUMIF(I2:I90,"&lt;0"))/COUNT(I2:I90)</f>
        <v>113.910112359551</v>
      </c>
    </row>
    <row r="97" customFormat="false" ht="15" hidden="false" customHeight="false" outlineLevel="0" collapsed="false">
      <c r="A97" s="2" t="s">
        <v>355</v>
      </c>
      <c r="F97" s="74" t="n">
        <f aca="false">(SUMIF(L2:L90,"&gt;0")-SUMIF(L2:L90,"&lt;0"))/COUNT(L2:L90)</f>
        <v>2.13288266676453</v>
      </c>
    </row>
    <row r="98" customFormat="false" ht="15" hidden="false" customHeight="false" outlineLevel="0" collapsed="false">
      <c r="A98" s="5" t="s">
        <v>356</v>
      </c>
      <c r="F98" s="75" t="n">
        <f aca="false">SQRT(SUMSQ(L2:L90)/COUNT(L2:L90))</f>
        <v>2.6577183003727</v>
      </c>
    </row>
    <row r="99" customFormat="false" ht="15" hidden="false" customHeight="false" outlineLevel="0" collapsed="false">
      <c r="A99" s="5" t="s">
        <v>357</v>
      </c>
      <c r="F99" s="76" t="n">
        <f aca="false">L92</f>
        <v>-0.623045503258168</v>
      </c>
    </row>
    <row r="100" customFormat="false" ht="15" hidden="false" customHeight="false" outlineLevel="0" collapsed="false">
      <c r="A100" s="5" t="s">
        <v>358</v>
      </c>
      <c r="F100" s="75" t="n">
        <f aca="false">SQRT((SUMSQ(L2:L90)-2*L92*SUM(L2:L90)+COUNT(L2:L90)*L92^2)/COUNT(L2:L90))</f>
        <v>2.41681884156145</v>
      </c>
    </row>
    <row r="101" customFormat="false" ht="15" hidden="false" customHeight="false" outlineLevel="0" collapsed="false">
      <c r="A101" s="2" t="s">
        <v>359</v>
      </c>
      <c r="F101" s="77" t="n">
        <f aca="false">D92/E92-1</f>
        <v>-0.0715890172035623</v>
      </c>
    </row>
    <row r="102" customFormat="false" ht="15" hidden="false" customHeight="false" outlineLevel="0" collapsed="false">
      <c r="A102" s="5" t="s">
        <v>360</v>
      </c>
      <c r="F102" s="78" t="n">
        <f aca="false">G92/H92-1</f>
        <v>-0.0481560122863799</v>
      </c>
    </row>
    <row r="103" customFormat="false" ht="15" hidden="false" customHeight="false" outlineLevel="0" collapsed="false">
      <c r="A103" s="2" t="s">
        <v>361</v>
      </c>
      <c r="F103" s="77" t="n">
        <f aca="false">(D92+G92)/(E92+H92)-1</f>
        <v>-0.0601028660350095</v>
      </c>
    </row>
    <row r="104" customFormat="false" ht="15" hidden="false" customHeight="false" outlineLevel="0" collapsed="false">
      <c r="A104" s="2" t="s">
        <v>362</v>
      </c>
      <c r="F104" s="74" t="n">
        <f aca="false">AVERAGE(O2:O90)</f>
        <v>3.37452611384304</v>
      </c>
    </row>
    <row r="105" customFormat="false" ht="15" hidden="false" customHeight="false" outlineLevel="0" collapsed="false">
      <c r="A105" s="5" t="s">
        <v>363</v>
      </c>
      <c r="F105" s="79" t="n">
        <f aca="false">COUNTIF(R2:R90,"Yes")/(COUNTIF(R2:R90,"Yes")+COUNTIF(R2:R90,"No"))</f>
        <v>0.797752808988764</v>
      </c>
    </row>
    <row r="106" customFormat="false" ht="15" hidden="false" customHeight="false" outlineLevel="0" collapsed="false">
      <c r="A106" s="5" t="s">
        <v>364</v>
      </c>
      <c r="F106" s="79" t="n">
        <f aca="false">COUNTIF(S2:S90,"Yes")/(COUNTIF(S2:S90,"Yes")+COUNTIF(S2:S90,"No"))</f>
        <v>0.98876404494382</v>
      </c>
    </row>
    <row r="107" customFormat="false" ht="15" hidden="false" customHeight="false" outlineLevel="0" collapsed="false">
      <c r="A107" s="2" t="s">
        <v>365</v>
      </c>
      <c r="F107" s="80" t="n">
        <f aca="false">COUNTIFS(L2:L90,"&gt;=-3",L2:L90,"&lt;=3")/COUNT(L2:L90)</f>
        <v>0.707865168539326</v>
      </c>
    </row>
    <row r="108" customFormat="false" ht="15" hidden="false" customHeight="false" outlineLevel="0" collapsed="false">
      <c r="A108" s="2" t="s">
        <v>382</v>
      </c>
      <c r="F108" s="81" t="n">
        <f aca="false">COUNT(E2:E90)</f>
        <v>89</v>
      </c>
    </row>
    <row r="109" customFormat="false" ht="15" hidden="false" customHeight="false" outlineLevel="0" collapsed="false">
      <c r="A109" s="2" t="s">
        <v>367</v>
      </c>
      <c r="F109" s="81" t="n">
        <f aca="false">COUNTA(A2:A90)</f>
        <v>89</v>
      </c>
    </row>
    <row r="111" customFormat="false" ht="15" hidden="false" customHeight="false" outlineLevel="0" collapsed="false">
      <c r="U111" s="5" t="s">
        <v>104</v>
      </c>
    </row>
    <row r="112" customFormat="false" ht="28.35" hidden="false" customHeight="false" outlineLevel="0" collapsed="false">
      <c r="U112" s="64" t="s">
        <v>383</v>
      </c>
    </row>
    <row r="113" customFormat="false" ht="15" hidden="false" customHeight="false" outlineLevel="0" collapsed="false">
      <c r="U113" s="64" t="s">
        <v>369</v>
      </c>
    </row>
    <row r="114" customFormat="false" ht="41.75" hidden="false" customHeight="false" outlineLevel="0" collapsed="false">
      <c r="U114" s="64" t="s">
        <v>378</v>
      </c>
    </row>
    <row r="115" customFormat="false" ht="15" hidden="false" customHeight="false" outlineLevel="0" collapsed="false">
      <c r="U115" s="64" t="s">
        <v>385</v>
      </c>
    </row>
    <row r="116" customFormat="false" ht="28.35" hidden="false" customHeight="false" outlineLevel="0" collapsed="false">
      <c r="U116" s="64" t="s">
        <v>386</v>
      </c>
    </row>
    <row r="117" customFormat="false" ht="28.35" hidden="false" customHeight="false" outlineLevel="0" collapsed="false">
      <c r="U117" s="64" t="s">
        <v>387</v>
      </c>
    </row>
    <row r="118" customFormat="false" ht="28.35" hidden="false" customHeight="false" outlineLevel="0" collapsed="false">
      <c r="U118" s="64" t="s">
        <v>374</v>
      </c>
    </row>
    <row r="119" customFormat="false" ht="41.75" hidden="false" customHeight="false" outlineLevel="0" collapsed="false">
      <c r="U119" s="64" t="s">
        <v>388</v>
      </c>
    </row>
    <row r="120" customFormat="false" ht="15" hidden="false" customHeight="false" outlineLevel="0" collapsed="false">
      <c r="U120" s="64" t="s">
        <v>389</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77</v>
      </c>
      <c r="B1" s="8" t="s">
        <v>78</v>
      </c>
      <c r="C1" s="8" t="s">
        <v>79</v>
      </c>
      <c r="D1" s="8" t="s">
        <v>334</v>
      </c>
      <c r="E1" s="8" t="s">
        <v>335</v>
      </c>
      <c r="F1" s="8" t="s">
        <v>336</v>
      </c>
      <c r="G1" s="8" t="s">
        <v>379</v>
      </c>
      <c r="H1" s="8" t="s">
        <v>338</v>
      </c>
      <c r="I1" s="8" t="s">
        <v>339</v>
      </c>
      <c r="J1" s="8" t="s">
        <v>340</v>
      </c>
      <c r="K1" s="8" t="s">
        <v>341</v>
      </c>
      <c r="L1" s="8" t="s">
        <v>342</v>
      </c>
      <c r="M1" s="8" t="s">
        <v>391</v>
      </c>
      <c r="N1" s="8" t="s">
        <v>392</v>
      </c>
      <c r="O1" s="8" t="s">
        <v>107</v>
      </c>
      <c r="P1" s="8" t="s">
        <v>345</v>
      </c>
      <c r="Q1" s="8" t="s">
        <v>346</v>
      </c>
      <c r="R1" s="8" t="s">
        <v>347</v>
      </c>
      <c r="S1" s="8" t="s">
        <v>348</v>
      </c>
      <c r="T1" s="8" t="s">
        <v>349</v>
      </c>
      <c r="U1" s="8" t="s">
        <v>350</v>
      </c>
    </row>
    <row r="2" customFormat="false" ht="15" hidden="false" customHeight="false" outlineLevel="0" collapsed="false">
      <c r="A2" s="32" t="s">
        <v>127</v>
      </c>
      <c r="B2" s="32" t="s">
        <v>128</v>
      </c>
      <c r="C2" s="32" t="s">
        <v>129</v>
      </c>
      <c r="D2" s="54" t="n">
        <v>219</v>
      </c>
      <c r="E2" s="54" t="n">
        <v>171</v>
      </c>
      <c r="F2" s="65" t="n">
        <f aca="false">IF(E2="","",D2-E2)</f>
        <v>48</v>
      </c>
      <c r="G2" s="54" t="n">
        <v>317</v>
      </c>
      <c r="H2" s="54" t="n">
        <v>332</v>
      </c>
      <c r="I2" s="65" t="n">
        <f aca="false">IF(H2="","",G2-H2)</f>
        <v>-15</v>
      </c>
      <c r="J2" s="55" t="n">
        <f aca="false">IF(OR(D2="",D2+G2=0),"",D2/(D2+G2))</f>
        <v>0.408582089552239</v>
      </c>
      <c r="K2" s="55" t="n">
        <f aca="false">IF(E2="","",E2/(E2+H2))</f>
        <v>0.339960238568589</v>
      </c>
      <c r="L2" s="66" t="n">
        <f aca="false">IF(OR(K2="",J2=""),"",(J2-K2)*100)</f>
        <v>6.86218509836503</v>
      </c>
      <c r="M2" s="36" t="n">
        <v>3.50909186283217</v>
      </c>
      <c r="N2" s="36" t="n">
        <v>1.1191567141424</v>
      </c>
      <c r="O2" s="36" t="n">
        <f aca="false">SQRT(M2^2+N2^2)</f>
        <v>3.68323736034008</v>
      </c>
      <c r="P2" s="55" t="n">
        <f aca="false">IF(J2="","",MAX(0,J2-1.96*O2/100))</f>
        <v>0.336390637289573</v>
      </c>
      <c r="Q2" s="55" t="n">
        <f aca="false">IF(J2="","",MIN(1,J2+1.96*O2/100))</f>
        <v>0.480773541814904</v>
      </c>
      <c r="R2" s="32" t="str">
        <f aca="false">IF(L2="","",IF(ABS(L2)&lt;=O2,"Yes","No"))</f>
        <v>No</v>
      </c>
      <c r="S2" s="32" t="str">
        <f aca="false">IF(L2="","",IF(ABS(L2)&lt;=1.96*O2,"Yes","No"))</f>
        <v>Yes</v>
      </c>
      <c r="T2" s="54" t="n">
        <f aca="false">IF(D2="","",ROUND(SQRT(((D2+G2)*O2/100)^2+(J2*(D2+G2)*0.09092)^2),0))</f>
        <v>28</v>
      </c>
      <c r="U2" s="32" t="s">
        <v>393</v>
      </c>
    </row>
    <row r="3" customFormat="false" ht="15" hidden="false" customHeight="false" outlineLevel="0" collapsed="false">
      <c r="A3" s="32" t="s">
        <v>127</v>
      </c>
      <c r="B3" s="32" t="s">
        <v>133</v>
      </c>
      <c r="C3" s="32" t="s">
        <v>129</v>
      </c>
      <c r="D3" s="54" t="n">
        <v>139</v>
      </c>
      <c r="E3" s="54" t="n">
        <v>100</v>
      </c>
      <c r="F3" s="65" t="n">
        <f aca="false">IF(E3="","",D3-E3)</f>
        <v>39</v>
      </c>
      <c r="G3" s="54" t="n">
        <v>278</v>
      </c>
      <c r="H3" s="54" t="n">
        <v>303</v>
      </c>
      <c r="I3" s="65" t="n">
        <f aca="false">IF(H3="","",G3-H3)</f>
        <v>-25</v>
      </c>
      <c r="J3" s="55" t="n">
        <f aca="false">IF(OR(D3="",D3+G3=0),"",D3/(D3+G3))</f>
        <v>0.333333333333333</v>
      </c>
      <c r="K3" s="55" t="n">
        <f aca="false">IF(E3="","",E3/(E3+H3))</f>
        <v>0.248138957816377</v>
      </c>
      <c r="L3" s="66" t="n">
        <f aca="false">IF(OR(K3="",J3=""),"",(J3-K3)*100)</f>
        <v>8.51943755169561</v>
      </c>
      <c r="M3" s="36" t="n">
        <v>3.50909186283217</v>
      </c>
      <c r="N3" s="36" t="n">
        <v>1.1191567141424</v>
      </c>
      <c r="O3" s="36" t="n">
        <f aca="false">SQRT(M3^2+N3^2)</f>
        <v>3.68323736034008</v>
      </c>
      <c r="P3" s="55" t="n">
        <f aca="false">IF(J3="","",MAX(0,J3-1.96*O3/100))</f>
        <v>0.261141881070668</v>
      </c>
      <c r="Q3" s="55" t="n">
        <f aca="false">IF(J3="","",MIN(1,J3+1.96*O3/100))</f>
        <v>0.405524785595999</v>
      </c>
      <c r="R3" s="32" t="str">
        <f aca="false">IF(L3="","",IF(ABS(L3)&lt;=O3,"Yes","No"))</f>
        <v>No</v>
      </c>
      <c r="S3" s="32" t="str">
        <f aca="false">IF(L3="","",IF(ABS(L3)&lt;=1.96*O3,"Yes","No"))</f>
        <v>No</v>
      </c>
      <c r="T3" s="54" t="n">
        <f aca="false">IF(D3="","",ROUND(SQRT(((D3+G3)*O3/100)^2+(J3*(D3+G3)*0.09092)^2),0))</f>
        <v>20</v>
      </c>
      <c r="U3" s="32" t="s">
        <v>393</v>
      </c>
    </row>
    <row r="4" customFormat="false" ht="15" hidden="false" customHeight="false" outlineLevel="0" collapsed="false">
      <c r="A4" s="32" t="s">
        <v>127</v>
      </c>
      <c r="B4" s="32" t="s">
        <v>134</v>
      </c>
      <c r="C4" s="32" t="s">
        <v>129</v>
      </c>
      <c r="D4" s="54" t="n">
        <v>183</v>
      </c>
      <c r="E4" s="54" t="n">
        <v>111</v>
      </c>
      <c r="F4" s="65" t="n">
        <f aca="false">IF(E4="","",D4-E4)</f>
        <v>72</v>
      </c>
      <c r="G4" s="54" t="n">
        <v>299</v>
      </c>
      <c r="H4" s="54" t="n">
        <v>317</v>
      </c>
      <c r="I4" s="65" t="n">
        <f aca="false">IF(H4="","",G4-H4)</f>
        <v>-18</v>
      </c>
      <c r="J4" s="55" t="n">
        <f aca="false">IF(OR(D4="",D4+G4=0),"",D4/(D4+G4))</f>
        <v>0.379668049792531</v>
      </c>
      <c r="K4" s="55" t="n">
        <f aca="false">IF(E4="","",E4/(E4+H4))</f>
        <v>0.259345794392523</v>
      </c>
      <c r="L4" s="66" t="n">
        <f aca="false">IF(OR(K4="",J4=""),"",(J4-K4)*100)</f>
        <v>12.0322255400008</v>
      </c>
      <c r="M4" s="36" t="n">
        <v>3.50909186283217</v>
      </c>
      <c r="N4" s="36" t="n">
        <v>1.1191567141424</v>
      </c>
      <c r="O4" s="36" t="n">
        <f aca="false">SQRT(M4^2+N4^2)</f>
        <v>3.68323736034008</v>
      </c>
      <c r="P4" s="55" t="n">
        <f aca="false">IF(J4="","",MAX(0,J4-1.96*O4/100))</f>
        <v>0.307476597529866</v>
      </c>
      <c r="Q4" s="55" t="n">
        <f aca="false">IF(J4="","",MIN(1,J4+1.96*O4/100))</f>
        <v>0.451859502055197</v>
      </c>
      <c r="R4" s="32" t="str">
        <f aca="false">IF(L4="","",IF(ABS(L4)&lt;=O4,"Yes","No"))</f>
        <v>No</v>
      </c>
      <c r="S4" s="32" t="str">
        <f aca="false">IF(L4="","",IF(ABS(L4)&lt;=1.96*O4,"Yes","No"))</f>
        <v>No</v>
      </c>
      <c r="T4" s="54" t="n">
        <f aca="false">IF(D4="","",ROUND(SQRT(((D4+G4)*O4/100)^2+(J4*(D4+G4)*0.09092)^2),0))</f>
        <v>24</v>
      </c>
      <c r="U4" s="32" t="s">
        <v>393</v>
      </c>
    </row>
    <row r="5" customFormat="false" ht="15" hidden="false" customHeight="false" outlineLevel="0" collapsed="false">
      <c r="A5" s="32" t="s">
        <v>127</v>
      </c>
      <c r="B5" s="32" t="s">
        <v>135</v>
      </c>
      <c r="C5" s="32" t="s">
        <v>129</v>
      </c>
      <c r="D5" s="54" t="n">
        <v>545</v>
      </c>
      <c r="E5" s="54" t="n">
        <v>390</v>
      </c>
      <c r="F5" s="65" t="n">
        <f aca="false">IF(E5="","",D5-E5)</f>
        <v>155</v>
      </c>
      <c r="G5" s="54" t="n">
        <v>1140</v>
      </c>
      <c r="H5" s="54" t="n">
        <v>1180</v>
      </c>
      <c r="I5" s="65" t="n">
        <f aca="false">IF(H5="","",G5-H5)</f>
        <v>-40</v>
      </c>
      <c r="J5" s="55" t="n">
        <f aca="false">IF(OR(D5="",D5+G5=0),"",D5/(D5+G5))</f>
        <v>0.323442136498516</v>
      </c>
      <c r="K5" s="55" t="n">
        <f aca="false">IF(E5="","",E5/(E5+H5))</f>
        <v>0.248407643312102</v>
      </c>
      <c r="L5" s="66" t="n">
        <f aca="false">IF(OR(K5="",J5=""),"",(J5-K5)*100)</f>
        <v>7.50344931864144</v>
      </c>
      <c r="M5" s="36" t="n">
        <v>1.79629704648005</v>
      </c>
      <c r="N5" s="36" t="n">
        <v>1.1191567141424</v>
      </c>
      <c r="O5" s="36" t="n">
        <f aca="false">SQRT(M5^2+N5^2)</f>
        <v>2.1164108367713</v>
      </c>
      <c r="P5" s="55" t="n">
        <f aca="false">IF(J5="","",MAX(0,J5-1.96*O5/100))</f>
        <v>0.281960484097799</v>
      </c>
      <c r="Q5" s="55" t="n">
        <f aca="false">IF(J5="","",MIN(1,J5+1.96*O5/100))</f>
        <v>0.364923788899234</v>
      </c>
      <c r="R5" s="32" t="str">
        <f aca="false">IF(L5="","",IF(ABS(L5)&lt;=O5,"Yes","No"))</f>
        <v>No</v>
      </c>
      <c r="S5" s="32" t="str">
        <f aca="false">IF(L5="","",IF(ABS(L5)&lt;=1.96*O5,"Yes","No"))</f>
        <v>No</v>
      </c>
      <c r="T5" s="54" t="n">
        <f aca="false">IF(D5="","",ROUND(SQRT(((D5+G5)*O5/100)^2+(J5*(D5+G5)*0.06991)^2),0))</f>
        <v>52</v>
      </c>
      <c r="U5" s="32" t="s">
        <v>393</v>
      </c>
    </row>
    <row r="6" customFormat="false" ht="15" hidden="false" customHeight="false" outlineLevel="0" collapsed="false">
      <c r="A6" s="32" t="s">
        <v>127</v>
      </c>
      <c r="B6" s="32" t="s">
        <v>137</v>
      </c>
      <c r="C6" s="32" t="s">
        <v>129</v>
      </c>
      <c r="D6" s="54" t="n">
        <v>52</v>
      </c>
      <c r="E6" s="54" t="n">
        <v>47</v>
      </c>
      <c r="F6" s="65" t="n">
        <f aca="false">IF(E6="","",D6-E6)</f>
        <v>5</v>
      </c>
      <c r="G6" s="54" t="n">
        <v>74</v>
      </c>
      <c r="H6" s="54" t="n">
        <v>74</v>
      </c>
      <c r="I6" s="65" t="n">
        <f aca="false">IF(H6="","",G6-H6)</f>
        <v>0</v>
      </c>
      <c r="J6" s="55" t="n">
        <f aca="false">IF(OR(D6="",D6+G6=0),"",D6/(D6+G6))</f>
        <v>0.412698412698413</v>
      </c>
      <c r="K6" s="55" t="n">
        <f aca="false">IF(E6="","",E6/(E6+H6))</f>
        <v>0.388429752066116</v>
      </c>
      <c r="L6" s="66" t="n">
        <f aca="false">IF(OR(K6="",J6=""),"",(J6-K6)*100)</f>
        <v>2.4268660632297</v>
      </c>
      <c r="M6" s="36" t="n">
        <v>3.50909186283217</v>
      </c>
      <c r="N6" s="36" t="n">
        <v>1.1191567141424</v>
      </c>
      <c r="O6" s="36" t="n">
        <f aca="false">SQRT(M6^2+N6^2)</f>
        <v>3.68323736034008</v>
      </c>
      <c r="P6" s="55" t="n">
        <f aca="false">IF(J6="","",MAX(0,J6-1.96*O6/100))</f>
        <v>0.340506960435747</v>
      </c>
      <c r="Q6" s="55" t="n">
        <f aca="false">IF(J6="","",MIN(1,J6+1.96*O6/100))</f>
        <v>0.484889864961078</v>
      </c>
      <c r="R6" s="32" t="str">
        <f aca="false">IF(L6="","",IF(ABS(L6)&lt;=O6,"Yes","No"))</f>
        <v>Yes</v>
      </c>
      <c r="S6" s="32" t="str">
        <f aca="false">IF(L6="","",IF(ABS(L6)&lt;=1.96*O6,"Yes","No"))</f>
        <v>Yes</v>
      </c>
      <c r="T6" s="54" t="n">
        <f aca="false">IF(D6="","",ROUND(SQRT(((D6+G6)*O6/100)^2+(J6*(D6+G6)*0.09092)^2),0))</f>
        <v>7</v>
      </c>
      <c r="U6" s="32" t="s">
        <v>393</v>
      </c>
    </row>
    <row r="7" customFormat="false" ht="15" hidden="false" customHeight="false" outlineLevel="0" collapsed="false">
      <c r="A7" s="32" t="s">
        <v>127</v>
      </c>
      <c r="B7" s="32" t="s">
        <v>138</v>
      </c>
      <c r="C7" s="32" t="s">
        <v>129</v>
      </c>
      <c r="D7" s="54" t="n">
        <v>818</v>
      </c>
      <c r="E7" s="54" t="n">
        <v>631</v>
      </c>
      <c r="F7" s="65" t="n">
        <f aca="false">IF(E7="","",D7-E7)</f>
        <v>187</v>
      </c>
      <c r="G7" s="54" t="n">
        <v>1764</v>
      </c>
      <c r="H7" s="54" t="n">
        <v>1828</v>
      </c>
      <c r="I7" s="65" t="n">
        <f aca="false">IF(H7="","",G7-H7)</f>
        <v>-64</v>
      </c>
      <c r="J7" s="55" t="n">
        <f aca="false">IF(OR(D7="",D7+G7=0),"",D7/(D7+G7))</f>
        <v>0.316808675445391</v>
      </c>
      <c r="K7" s="55" t="n">
        <f aca="false">IF(E7="","",E7/(E7+H7))</f>
        <v>0.256608377389183</v>
      </c>
      <c r="L7" s="66" t="n">
        <f aca="false">IF(OR(K7="",J7=""),"",(J7-K7)*100)</f>
        <v>6.02002980562086</v>
      </c>
      <c r="M7" s="36" t="n">
        <v>1.79629704648005</v>
      </c>
      <c r="N7" s="36" t="n">
        <v>1.1191567141424</v>
      </c>
      <c r="O7" s="36" t="n">
        <f aca="false">SQRT(M7^2+N7^2)</f>
        <v>2.1164108367713</v>
      </c>
      <c r="P7" s="55" t="n">
        <f aca="false">IF(J7="","",MAX(0,J7-1.96*O7/100))</f>
        <v>0.275327023044674</v>
      </c>
      <c r="Q7" s="55" t="n">
        <f aca="false">IF(J7="","",MIN(1,J7+1.96*O7/100))</f>
        <v>0.358290327846109</v>
      </c>
      <c r="R7" s="32" t="str">
        <f aca="false">IF(L7="","",IF(ABS(L7)&lt;=O7,"Yes","No"))</f>
        <v>No</v>
      </c>
      <c r="S7" s="32" t="str">
        <f aca="false">IF(L7="","",IF(ABS(L7)&lt;=1.96*O7,"Yes","No"))</f>
        <v>No</v>
      </c>
      <c r="T7" s="54" t="n">
        <f aca="false">IF(D7="","",ROUND(SQRT(((D7+G7)*O7/100)^2+(J7*(D7+G7)*0.06991)^2),0))</f>
        <v>79</v>
      </c>
      <c r="U7" s="32" t="s">
        <v>393</v>
      </c>
    </row>
    <row r="8" customFormat="false" ht="15" hidden="false" customHeight="false" outlineLevel="0" collapsed="false">
      <c r="A8" s="32" t="s">
        <v>127</v>
      </c>
      <c r="B8" s="32" t="s">
        <v>139</v>
      </c>
      <c r="C8" s="32" t="s">
        <v>129</v>
      </c>
      <c r="D8" s="54" t="n">
        <v>1293</v>
      </c>
      <c r="E8" s="54" t="n">
        <v>1060</v>
      </c>
      <c r="F8" s="65" t="n">
        <f aca="false">IF(E8="","",D8-E8)</f>
        <v>233</v>
      </c>
      <c r="G8" s="54" t="n">
        <v>1454</v>
      </c>
      <c r="H8" s="54" t="n">
        <v>1517</v>
      </c>
      <c r="I8" s="65" t="n">
        <f aca="false">IF(H8="","",G8-H8)</f>
        <v>-63</v>
      </c>
      <c r="J8" s="55" t="n">
        <f aca="false">IF(OR(D8="",D8+G8=0),"",D8/(D8+G8))</f>
        <v>0.470695303967965</v>
      </c>
      <c r="K8" s="55" t="n">
        <f aca="false">IF(E8="","",E8/(E8+H8))</f>
        <v>0.411331005044626</v>
      </c>
      <c r="L8" s="66" t="n">
        <f aca="false">IF(OR(K8="",J8=""),"",(J8-K8)*100)</f>
        <v>5.93642989233395</v>
      </c>
      <c r="M8" s="36" t="n">
        <v>1.79629704648005</v>
      </c>
      <c r="N8" s="36" t="n">
        <v>1.1191567141424</v>
      </c>
      <c r="O8" s="36" t="n">
        <f aca="false">SQRT(M8^2+N8^2)</f>
        <v>2.1164108367713</v>
      </c>
      <c r="P8" s="55" t="n">
        <f aca="false">IF(J8="","",MAX(0,J8-1.96*O8/100))</f>
        <v>0.429213651567248</v>
      </c>
      <c r="Q8" s="55" t="n">
        <f aca="false">IF(J8="","",MIN(1,J8+1.96*O8/100))</f>
        <v>0.512176956368683</v>
      </c>
      <c r="R8" s="32" t="str">
        <f aca="false">IF(L8="","",IF(ABS(L8)&lt;=O8,"Yes","No"))</f>
        <v>No</v>
      </c>
      <c r="S8" s="32" t="str">
        <f aca="false">IF(L8="","",IF(ABS(L8)&lt;=1.96*O8,"Yes","No"))</f>
        <v>No</v>
      </c>
      <c r="T8" s="54" t="n">
        <f aca="false">IF(D8="","",ROUND(SQRT(((D8+G8)*O8/100)^2+(J8*(D8+G8)*0.06991)^2),0))</f>
        <v>107</v>
      </c>
      <c r="U8" s="32" t="s">
        <v>393</v>
      </c>
    </row>
    <row r="9" customFormat="false" ht="15" hidden="false" customHeight="false" outlineLevel="0" collapsed="false">
      <c r="A9" s="32" t="s">
        <v>127</v>
      </c>
      <c r="B9" s="32" t="s">
        <v>140</v>
      </c>
      <c r="C9" s="32" t="s">
        <v>129</v>
      </c>
      <c r="D9" s="54" t="n">
        <v>386</v>
      </c>
      <c r="E9" s="54" t="n">
        <v>335</v>
      </c>
      <c r="F9" s="65" t="n">
        <f aca="false">IF(E9="","",D9-E9)</f>
        <v>51</v>
      </c>
      <c r="G9" s="54" t="n">
        <v>728</v>
      </c>
      <c r="H9" s="54" t="n">
        <v>766</v>
      </c>
      <c r="I9" s="65" t="n">
        <f aca="false">IF(H9="","",G9-H9)</f>
        <v>-38</v>
      </c>
      <c r="J9" s="55" t="n">
        <f aca="false">IF(OR(D9="",D9+G9=0),"",D9/(D9+G9))</f>
        <v>0.346499102333932</v>
      </c>
      <c r="K9" s="55" t="n">
        <f aca="false">IF(E9="","",E9/(E9+H9))</f>
        <v>0.304268846503179</v>
      </c>
      <c r="L9" s="66" t="n">
        <f aca="false">IF(OR(K9="",J9=""),"",(J9-K9)*100)</f>
        <v>4.22302558307529</v>
      </c>
      <c r="M9" s="36" t="n">
        <v>3.50909186283217</v>
      </c>
      <c r="N9" s="36" t="n">
        <v>1.1191567141424</v>
      </c>
      <c r="O9" s="36" t="n">
        <f aca="false">SQRT(M9^2+N9^2)</f>
        <v>3.68323736034008</v>
      </c>
      <c r="P9" s="55" t="n">
        <f aca="false">IF(J9="","",MAX(0,J9-1.96*O9/100))</f>
        <v>0.274307650071266</v>
      </c>
      <c r="Q9" s="55" t="n">
        <f aca="false">IF(J9="","",MIN(1,J9+1.96*O9/100))</f>
        <v>0.418690554596597</v>
      </c>
      <c r="R9" s="32" t="str">
        <f aca="false">IF(L9="","",IF(ABS(L9)&lt;=O9,"Yes","No"))</f>
        <v>No</v>
      </c>
      <c r="S9" s="32" t="str">
        <f aca="false">IF(L9="","",IF(ABS(L9)&lt;=1.96*O9,"Yes","No"))</f>
        <v>Yes</v>
      </c>
      <c r="T9" s="54" t="n">
        <f aca="false">IF(D9="","",ROUND(SQRT(((D9+G9)*O9/100)^2+(J9*(D9+G9)*0.09092)^2),0))</f>
        <v>54</v>
      </c>
      <c r="U9" s="32" t="s">
        <v>393</v>
      </c>
    </row>
    <row r="10" customFormat="false" ht="15" hidden="false" customHeight="false" outlineLevel="0" collapsed="false">
      <c r="A10" s="32" t="s">
        <v>127</v>
      </c>
      <c r="B10" s="32" t="s">
        <v>141</v>
      </c>
      <c r="C10" s="32" t="s">
        <v>129</v>
      </c>
      <c r="D10" s="54" t="n">
        <v>708</v>
      </c>
      <c r="E10" s="54" t="n">
        <v>614</v>
      </c>
      <c r="F10" s="65" t="n">
        <f aca="false">IF(E10="","",D10-E10)</f>
        <v>94</v>
      </c>
      <c r="G10" s="54" t="n">
        <v>800</v>
      </c>
      <c r="H10" s="54" t="n">
        <v>846</v>
      </c>
      <c r="I10" s="65" t="n">
        <f aca="false">IF(H10="","",G10-H10)</f>
        <v>-46</v>
      </c>
      <c r="J10" s="55" t="n">
        <f aca="false">IF(OR(D10="",D10+G10=0),"",D10/(D10+G10))</f>
        <v>0.469496021220159</v>
      </c>
      <c r="K10" s="55" t="n">
        <f aca="false">IF(E10="","",E10/(E10+H10))</f>
        <v>0.420547945205479</v>
      </c>
      <c r="L10" s="66" t="n">
        <f aca="false">IF(OR(K10="",J10=""),"",(J10-K10)*100)</f>
        <v>4.89480760146797</v>
      </c>
      <c r="M10" s="36" t="n">
        <v>3.50909186283217</v>
      </c>
      <c r="N10" s="36" t="n">
        <v>1.1191567141424</v>
      </c>
      <c r="O10" s="36" t="n">
        <f aca="false">SQRT(M10^2+N10^2)</f>
        <v>3.68323736034008</v>
      </c>
      <c r="P10" s="55" t="n">
        <f aca="false">IF(J10="","",MAX(0,J10-1.96*O10/100))</f>
        <v>0.397304568957494</v>
      </c>
      <c r="Q10" s="55" t="n">
        <f aca="false">IF(J10="","",MIN(1,J10+1.96*O10/100))</f>
        <v>0.541687473482825</v>
      </c>
      <c r="R10" s="32" t="str">
        <f aca="false">IF(L10="","",IF(ABS(L10)&lt;=O10,"Yes","No"))</f>
        <v>No</v>
      </c>
      <c r="S10" s="32" t="str">
        <f aca="false">IF(L10="","",IF(ABS(L10)&lt;=1.96*O10,"Yes","No"))</f>
        <v>Yes</v>
      </c>
      <c r="T10" s="54" t="n">
        <f aca="false">IF(D10="","",ROUND(SQRT(((D10+G10)*O10/100)^2+(J10*(D10+G10)*0.09092)^2),0))</f>
        <v>85</v>
      </c>
      <c r="U10" s="32" t="s">
        <v>393</v>
      </c>
    </row>
    <row r="11" customFormat="false" ht="15" hidden="false" customHeight="false" outlineLevel="0" collapsed="false">
      <c r="A11" s="32" t="s">
        <v>127</v>
      </c>
      <c r="B11" s="32" t="s">
        <v>142</v>
      </c>
      <c r="C11" s="32" t="s">
        <v>129</v>
      </c>
      <c r="D11" s="54" t="n">
        <v>45</v>
      </c>
      <c r="E11" s="54" t="n">
        <v>42</v>
      </c>
      <c r="F11" s="65" t="n">
        <f aca="false">IF(E11="","",D11-E11)</f>
        <v>3</v>
      </c>
      <c r="G11" s="54" t="n">
        <v>102</v>
      </c>
      <c r="H11" s="54" t="n">
        <v>99</v>
      </c>
      <c r="I11" s="65" t="n">
        <f aca="false">IF(H11="","",G11-H11)</f>
        <v>3</v>
      </c>
      <c r="J11" s="55" t="n">
        <f aca="false">IF(OR(D11="",D11+G11=0),"",D11/(D11+G11))</f>
        <v>0.306122448979592</v>
      </c>
      <c r="K11" s="55" t="n">
        <f aca="false">IF(E11="","",E11/(E11+H11))</f>
        <v>0.297872340425532</v>
      </c>
      <c r="L11" s="66" t="n">
        <f aca="false">IF(OR(K11="",J11=""),"",(J11-K11)*100)</f>
        <v>0.825010855405994</v>
      </c>
      <c r="M11" s="36" t="n">
        <v>3.50909186283217</v>
      </c>
      <c r="N11" s="36" t="n">
        <v>1.1191567141424</v>
      </c>
      <c r="O11" s="36" t="n">
        <f aca="false">SQRT(M11^2+N11^2)</f>
        <v>3.68323736034008</v>
      </c>
      <c r="P11" s="55" t="n">
        <f aca="false">IF(J11="","",MAX(0,J11-1.96*O11/100))</f>
        <v>0.233930996716926</v>
      </c>
      <c r="Q11" s="55" t="n">
        <f aca="false">IF(J11="","",MIN(1,J11+1.96*O11/100))</f>
        <v>0.378313901242257</v>
      </c>
      <c r="R11" s="32" t="str">
        <f aca="false">IF(L11="","",IF(ABS(L11)&lt;=O11,"Yes","No"))</f>
        <v>Yes</v>
      </c>
      <c r="S11" s="32" t="str">
        <f aca="false">IF(L11="","",IF(ABS(L11)&lt;=1.96*O11,"Yes","No"))</f>
        <v>Yes</v>
      </c>
      <c r="T11" s="54" t="n">
        <f aca="false">IF(D11="","",ROUND(SQRT(((D11+G11)*O11/100)^2+(J11*(D11+G11)*0.09092)^2),0))</f>
        <v>7</v>
      </c>
      <c r="U11" s="32" t="s">
        <v>393</v>
      </c>
    </row>
    <row r="12" customFormat="false" ht="15" hidden="false" customHeight="false" outlineLevel="0" collapsed="false">
      <c r="A12" s="32" t="s">
        <v>127</v>
      </c>
      <c r="B12" s="32" t="s">
        <v>143</v>
      </c>
      <c r="C12" s="32" t="s">
        <v>129</v>
      </c>
      <c r="D12" s="54" t="n">
        <v>72</v>
      </c>
      <c r="E12" s="54" t="n">
        <v>51</v>
      </c>
      <c r="F12" s="65" t="n">
        <f aca="false">IF(E12="","",D12-E12)</f>
        <v>21</v>
      </c>
      <c r="G12" s="54" t="n">
        <v>212</v>
      </c>
      <c r="H12" s="54" t="n">
        <v>223</v>
      </c>
      <c r="I12" s="65" t="n">
        <f aca="false">IF(H12="","",G12-H12)</f>
        <v>-11</v>
      </c>
      <c r="J12" s="55" t="n">
        <f aca="false">IF(OR(D12="",D12+G12=0),"",D12/(D12+G12))</f>
        <v>0.253521126760563</v>
      </c>
      <c r="K12" s="55" t="n">
        <f aca="false">IF(E12="","",E12/(E12+H12))</f>
        <v>0.186131386861314</v>
      </c>
      <c r="L12" s="66" t="n">
        <f aca="false">IF(OR(K12="",J12=""),"",(J12-K12)*100)</f>
        <v>6.73897398992495</v>
      </c>
      <c r="M12" s="36" t="n">
        <v>3.50909186283217</v>
      </c>
      <c r="N12" s="36" t="n">
        <v>1.1191567141424</v>
      </c>
      <c r="O12" s="36" t="n">
        <f aca="false">SQRT(M12^2+N12^2)</f>
        <v>3.68323736034008</v>
      </c>
      <c r="P12" s="55" t="n">
        <f aca="false">IF(J12="","",MAX(0,J12-1.96*O12/100))</f>
        <v>0.181329674497898</v>
      </c>
      <c r="Q12" s="55" t="n">
        <f aca="false">IF(J12="","",MIN(1,J12+1.96*O12/100))</f>
        <v>0.325712579023229</v>
      </c>
      <c r="R12" s="32" t="str">
        <f aca="false">IF(L12="","",IF(ABS(L12)&lt;=O12,"Yes","No"))</f>
        <v>No</v>
      </c>
      <c r="S12" s="32" t="str">
        <f aca="false">IF(L12="","",IF(ABS(L12)&lt;=1.96*O12,"Yes","No"))</f>
        <v>Yes</v>
      </c>
      <c r="T12" s="54" t="n">
        <f aca="false">IF(D12="","",ROUND(SQRT(((D12+G12)*O12/100)^2+(J12*(D12+G12)*0.09092)^2),0))</f>
        <v>12</v>
      </c>
      <c r="U12" s="32" t="s">
        <v>393</v>
      </c>
    </row>
    <row r="13" customFormat="false" ht="15" hidden="false" customHeight="false" outlineLevel="0" collapsed="false">
      <c r="A13" s="32" t="s">
        <v>127</v>
      </c>
      <c r="B13" s="32" t="s">
        <v>144</v>
      </c>
      <c r="C13" s="32" t="s">
        <v>129</v>
      </c>
      <c r="D13" s="54" t="n">
        <v>1066</v>
      </c>
      <c r="E13" s="54" t="n">
        <v>841</v>
      </c>
      <c r="F13" s="65" t="n">
        <f aca="false">IF(E13="","",D13-E13)</f>
        <v>225</v>
      </c>
      <c r="G13" s="54" t="n">
        <v>1350</v>
      </c>
      <c r="H13" s="54" t="n">
        <v>1410</v>
      </c>
      <c r="I13" s="65" t="n">
        <f aca="false">IF(H13="","",G13-H13)</f>
        <v>-60</v>
      </c>
      <c r="J13" s="55" t="n">
        <f aca="false">IF(OR(D13="",D13+G13=0),"",D13/(D13+G13))</f>
        <v>0.441225165562914</v>
      </c>
      <c r="K13" s="55" t="n">
        <f aca="false">IF(E13="","",E13/(E13+H13))</f>
        <v>0.373611728120835</v>
      </c>
      <c r="L13" s="66" t="n">
        <f aca="false">IF(OR(K13="",J13=""),"",(J13-K13)*100)</f>
        <v>6.76134374420787</v>
      </c>
      <c r="M13" s="36" t="n">
        <v>1.79629704648005</v>
      </c>
      <c r="N13" s="36" t="n">
        <v>1.1191567141424</v>
      </c>
      <c r="O13" s="36" t="n">
        <f aca="false">SQRT(M13^2+N13^2)</f>
        <v>2.1164108367713</v>
      </c>
      <c r="P13" s="55" t="n">
        <f aca="false">IF(J13="","",MAX(0,J13-1.96*O13/100))</f>
        <v>0.399743513162197</v>
      </c>
      <c r="Q13" s="55" t="n">
        <f aca="false">IF(J13="","",MIN(1,J13+1.96*O13/100))</f>
        <v>0.482706817963631</v>
      </c>
      <c r="R13" s="32" t="str">
        <f aca="false">IF(L13="","",IF(ABS(L13)&lt;=O13,"Yes","No"))</f>
        <v>No</v>
      </c>
      <c r="S13" s="32" t="str">
        <f aca="false">IF(L13="","",IF(ABS(L13)&lt;=1.96*O13,"Yes","No"))</f>
        <v>No</v>
      </c>
      <c r="T13" s="54" t="n">
        <f aca="false">IF(D13="","",ROUND(SQRT(((D13+G13)*O13/100)^2+(J13*(D13+G13)*0.06991)^2),0))</f>
        <v>90</v>
      </c>
      <c r="U13" s="32" t="s">
        <v>393</v>
      </c>
    </row>
    <row r="14" customFormat="false" ht="15" hidden="false" customHeight="false" outlineLevel="0" collapsed="false">
      <c r="A14" s="32" t="s">
        <v>127</v>
      </c>
      <c r="B14" s="32" t="s">
        <v>145</v>
      </c>
      <c r="C14" s="32" t="s">
        <v>129</v>
      </c>
      <c r="D14" s="54" t="n">
        <v>620</v>
      </c>
      <c r="E14" s="54" t="n">
        <v>489</v>
      </c>
      <c r="F14" s="65" t="n">
        <f aca="false">IF(E14="","",D14-E14)</f>
        <v>131</v>
      </c>
      <c r="G14" s="54" t="n">
        <v>1158</v>
      </c>
      <c r="H14" s="54" t="n">
        <v>1164</v>
      </c>
      <c r="I14" s="65" t="n">
        <f aca="false">IF(H14="","",G14-H14)</f>
        <v>-6</v>
      </c>
      <c r="J14" s="55" t="n">
        <f aca="false">IF(OR(D14="",D14+G14=0),"",D14/(D14+G14))</f>
        <v>0.348706411698538</v>
      </c>
      <c r="K14" s="55" t="n">
        <f aca="false">IF(E14="","",E14/(E14+H14))</f>
        <v>0.295825771324864</v>
      </c>
      <c r="L14" s="66" t="n">
        <f aca="false">IF(OR(K14="",J14=""),"",(J14-K14)*100)</f>
        <v>5.28806403736738</v>
      </c>
      <c r="M14" s="36" t="n">
        <v>1.79629704648005</v>
      </c>
      <c r="N14" s="36" t="n">
        <v>1.1191567141424</v>
      </c>
      <c r="O14" s="36" t="n">
        <f aca="false">SQRT(M14^2+N14^2)</f>
        <v>2.1164108367713</v>
      </c>
      <c r="P14" s="55" t="n">
        <f aca="false">IF(J14="","",MAX(0,J14-1.96*O14/100))</f>
        <v>0.30722475929782</v>
      </c>
      <c r="Q14" s="55" t="n">
        <f aca="false">IF(J14="","",MIN(1,J14+1.96*O14/100))</f>
        <v>0.390188064099255</v>
      </c>
      <c r="R14" s="32" t="str">
        <f aca="false">IF(L14="","",IF(ABS(L14)&lt;=O14,"Yes","No"))</f>
        <v>No</v>
      </c>
      <c r="S14" s="32" t="str">
        <f aca="false">IF(L14="","",IF(ABS(L14)&lt;=1.96*O14,"Yes","No"))</f>
        <v>No</v>
      </c>
      <c r="T14" s="54" t="n">
        <f aca="false">IF(D14="","",ROUND(SQRT(((D14+G14)*O14/100)^2+(J14*(D14+G14)*0.06991)^2),0))</f>
        <v>57</v>
      </c>
      <c r="U14" s="32" t="s">
        <v>393</v>
      </c>
    </row>
    <row r="15" customFormat="false" ht="15" hidden="false" customHeight="false" outlineLevel="0" collapsed="false">
      <c r="A15" s="32" t="s">
        <v>127</v>
      </c>
      <c r="B15" s="32" t="s">
        <v>146</v>
      </c>
      <c r="C15" s="32" t="s">
        <v>129</v>
      </c>
      <c r="D15" s="54" t="n">
        <v>753</v>
      </c>
      <c r="E15" s="54" t="n">
        <v>563</v>
      </c>
      <c r="F15" s="65" t="n">
        <f aca="false">IF(E15="","",D15-E15)</f>
        <v>190</v>
      </c>
      <c r="G15" s="54" t="n">
        <v>1563</v>
      </c>
      <c r="H15" s="54" t="n">
        <v>1559</v>
      </c>
      <c r="I15" s="65" t="n">
        <f aca="false">IF(H15="","",G15-H15)</f>
        <v>4</v>
      </c>
      <c r="J15" s="55" t="n">
        <f aca="false">IF(OR(D15="",D15+G15=0),"",D15/(D15+G15))</f>
        <v>0.325129533678756</v>
      </c>
      <c r="K15" s="55" t="n">
        <f aca="false">IF(E15="","",E15/(E15+H15))</f>
        <v>0.265315739868049</v>
      </c>
      <c r="L15" s="66" t="n">
        <f aca="false">IF(OR(K15="",J15=""),"",(J15-K15)*100)</f>
        <v>5.98137938107075</v>
      </c>
      <c r="M15" s="36" t="n">
        <v>1.79629704648005</v>
      </c>
      <c r="N15" s="36" t="n">
        <v>1.1191567141424</v>
      </c>
      <c r="O15" s="36" t="n">
        <f aca="false">SQRT(M15^2+N15^2)</f>
        <v>2.1164108367713</v>
      </c>
      <c r="P15" s="55" t="n">
        <f aca="false">IF(J15="","",MAX(0,J15-1.96*O15/100))</f>
        <v>0.283647881278039</v>
      </c>
      <c r="Q15" s="55" t="n">
        <f aca="false">IF(J15="","",MIN(1,J15+1.96*O15/100))</f>
        <v>0.366611186079474</v>
      </c>
      <c r="R15" s="32" t="str">
        <f aca="false">IF(L15="","",IF(ABS(L15)&lt;=O15,"Yes","No"))</f>
        <v>No</v>
      </c>
      <c r="S15" s="32" t="str">
        <f aca="false">IF(L15="","",IF(ABS(L15)&lt;=1.96*O15,"Yes","No"))</f>
        <v>No</v>
      </c>
      <c r="T15" s="54" t="n">
        <f aca="false">IF(D15="","",ROUND(SQRT(((D15+G15)*O15/100)^2+(J15*(D15+G15)*0.06991)^2),0))</f>
        <v>72</v>
      </c>
      <c r="U15" s="32" t="s">
        <v>393</v>
      </c>
    </row>
    <row r="16" customFormat="false" ht="15" hidden="false" customHeight="false" outlineLevel="0" collapsed="false">
      <c r="A16" s="32" t="s">
        <v>127</v>
      </c>
      <c r="B16" s="32" t="s">
        <v>147</v>
      </c>
      <c r="C16" s="32" t="s">
        <v>129</v>
      </c>
      <c r="D16" s="54" t="n">
        <v>728</v>
      </c>
      <c r="E16" s="54" t="n">
        <v>574</v>
      </c>
      <c r="F16" s="65" t="n">
        <f aca="false">IF(E16="","",D16-E16)</f>
        <v>154</v>
      </c>
      <c r="G16" s="54" t="n">
        <v>915</v>
      </c>
      <c r="H16" s="54" t="n">
        <v>963</v>
      </c>
      <c r="I16" s="65" t="n">
        <f aca="false">IF(H16="","",G16-H16)</f>
        <v>-48</v>
      </c>
      <c r="J16" s="55" t="n">
        <f aca="false">IF(OR(D16="",D16+G16=0),"",D16/(D16+G16))</f>
        <v>0.443091905051735</v>
      </c>
      <c r="K16" s="55" t="n">
        <f aca="false">IF(E16="","",E16/(E16+H16))</f>
        <v>0.373454782042941</v>
      </c>
      <c r="L16" s="66" t="n">
        <f aca="false">IF(OR(K16="",J16=""),"",(J16-K16)*100)</f>
        <v>6.96371230087938</v>
      </c>
      <c r="M16" s="36" t="n">
        <v>1.79629704648005</v>
      </c>
      <c r="N16" s="36" t="n">
        <v>1.1191567141424</v>
      </c>
      <c r="O16" s="36" t="n">
        <f aca="false">SQRT(M16^2+N16^2)</f>
        <v>2.1164108367713</v>
      </c>
      <c r="P16" s="55" t="n">
        <f aca="false">IF(J16="","",MAX(0,J16-1.96*O16/100))</f>
        <v>0.401610252651017</v>
      </c>
      <c r="Q16" s="55" t="n">
        <f aca="false">IF(J16="","",MIN(1,J16+1.96*O16/100))</f>
        <v>0.484573557452452</v>
      </c>
      <c r="R16" s="32" t="str">
        <f aca="false">IF(L16="","",IF(ABS(L16)&lt;=O16,"Yes","No"))</f>
        <v>No</v>
      </c>
      <c r="S16" s="32" t="str">
        <f aca="false">IF(L16="","",IF(ABS(L16)&lt;=1.96*O16,"Yes","No"))</f>
        <v>No</v>
      </c>
      <c r="T16" s="54" t="n">
        <f aca="false">IF(D16="","",ROUND(SQRT(((D16+G16)*O16/100)^2+(J16*(D16+G16)*0.06991)^2),0))</f>
        <v>62</v>
      </c>
      <c r="U16" s="32" t="s">
        <v>393</v>
      </c>
    </row>
    <row r="17" customFormat="false" ht="15" hidden="false" customHeight="false" outlineLevel="0" collapsed="false">
      <c r="A17" s="32" t="s">
        <v>127</v>
      </c>
      <c r="B17" s="32" t="s">
        <v>148</v>
      </c>
      <c r="C17" s="32" t="s">
        <v>129</v>
      </c>
      <c r="D17" s="54" t="n">
        <v>174</v>
      </c>
      <c r="E17" s="54" t="n">
        <v>109</v>
      </c>
      <c r="F17" s="65" t="n">
        <f aca="false">IF(E17="","",D17-E17)</f>
        <v>65</v>
      </c>
      <c r="G17" s="54" t="n">
        <v>514</v>
      </c>
      <c r="H17" s="54" t="n">
        <v>531</v>
      </c>
      <c r="I17" s="65" t="n">
        <f aca="false">IF(H17="","",G17-H17)</f>
        <v>-17</v>
      </c>
      <c r="J17" s="55" t="n">
        <f aca="false">IF(OR(D17="",D17+G17=0),"",D17/(D17+G17))</f>
        <v>0.252906976744186</v>
      </c>
      <c r="K17" s="55" t="n">
        <f aca="false">IF(E17="","",E17/(E17+H17))</f>
        <v>0.1703125</v>
      </c>
      <c r="L17" s="66" t="n">
        <f aca="false">IF(OR(K17="",J17=""),"",(J17-K17)*100)</f>
        <v>8.2594476744186</v>
      </c>
      <c r="M17" s="36" t="n">
        <v>3.50909186283217</v>
      </c>
      <c r="N17" s="36" t="n">
        <v>1.1191567141424</v>
      </c>
      <c r="O17" s="36" t="n">
        <f aca="false">SQRT(M17^2+N17^2)</f>
        <v>3.68323736034008</v>
      </c>
      <c r="P17" s="55" t="n">
        <f aca="false">IF(J17="","",MAX(0,J17-1.96*O17/100))</f>
        <v>0.18071552448152</v>
      </c>
      <c r="Q17" s="55" t="n">
        <f aca="false">IF(J17="","",MIN(1,J17+1.96*O17/100))</f>
        <v>0.325098429006852</v>
      </c>
      <c r="R17" s="32" t="str">
        <f aca="false">IF(L17="","",IF(ABS(L17)&lt;=O17,"Yes","No"))</f>
        <v>No</v>
      </c>
      <c r="S17" s="32" t="str">
        <f aca="false">IF(L17="","",IF(ABS(L17)&lt;=1.96*O17,"Yes","No"))</f>
        <v>No</v>
      </c>
      <c r="T17" s="54" t="n">
        <f aca="false">IF(D17="","",ROUND(SQRT(((D17+G17)*O17/100)^2+(J17*(D17+G17)*0.09092)^2),0))</f>
        <v>30</v>
      </c>
      <c r="U17" s="32" t="s">
        <v>393</v>
      </c>
    </row>
    <row r="18" customFormat="false" ht="15" hidden="false" customHeight="false" outlineLevel="0" collapsed="false">
      <c r="A18" s="32" t="s">
        <v>127</v>
      </c>
      <c r="B18" s="32" t="s">
        <v>149</v>
      </c>
      <c r="C18" s="32" t="s">
        <v>129</v>
      </c>
      <c r="D18" s="54" t="n">
        <v>1110</v>
      </c>
      <c r="E18" s="54" t="n">
        <v>863</v>
      </c>
      <c r="F18" s="65" t="n">
        <f aca="false">IF(E18="","",D18-E18)</f>
        <v>247</v>
      </c>
      <c r="G18" s="54" t="n">
        <v>1588</v>
      </c>
      <c r="H18" s="54" t="n">
        <v>1676</v>
      </c>
      <c r="I18" s="65" t="n">
        <f aca="false">IF(H18="","",G18-H18)</f>
        <v>-88</v>
      </c>
      <c r="J18" s="55" t="n">
        <f aca="false">IF(OR(D18="",D18+G18=0),"",D18/(D18+G18))</f>
        <v>0.411415863602669</v>
      </c>
      <c r="K18" s="55" t="n">
        <f aca="false">IF(E18="","",E18/(E18+H18))</f>
        <v>0.339897597479323</v>
      </c>
      <c r="L18" s="66" t="n">
        <f aca="false">IF(OR(K18="",J18=""),"",(J18-K18)*100)</f>
        <v>7.15182661233461</v>
      </c>
      <c r="M18" s="36" t="n">
        <v>1.79629704648005</v>
      </c>
      <c r="N18" s="36" t="n">
        <v>1.1191567141424</v>
      </c>
      <c r="O18" s="36" t="n">
        <f aca="false">SQRT(M18^2+N18^2)</f>
        <v>2.1164108367713</v>
      </c>
      <c r="P18" s="55" t="n">
        <f aca="false">IF(J18="","",MAX(0,J18-1.96*O18/100))</f>
        <v>0.369934211201951</v>
      </c>
      <c r="Q18" s="55" t="n">
        <f aca="false">IF(J18="","",MIN(1,J18+1.96*O18/100))</f>
        <v>0.452897516003386</v>
      </c>
      <c r="R18" s="32" t="str">
        <f aca="false">IF(L18="","",IF(ABS(L18)&lt;=O18,"Yes","No"))</f>
        <v>No</v>
      </c>
      <c r="S18" s="32" t="str">
        <f aca="false">IF(L18="","",IF(ABS(L18)&lt;=1.96*O18,"Yes","No"))</f>
        <v>No</v>
      </c>
      <c r="T18" s="54" t="n">
        <f aca="false">IF(D18="","",ROUND(SQRT(((D18+G18)*O18/100)^2+(J18*(D18+G18)*0.06991)^2),0))</f>
        <v>96</v>
      </c>
      <c r="U18" s="32" t="s">
        <v>393</v>
      </c>
    </row>
    <row r="19" customFormat="false" ht="15" hidden="false" customHeight="false" outlineLevel="0" collapsed="false">
      <c r="A19" s="32" t="s">
        <v>127</v>
      </c>
      <c r="B19" s="32" t="s">
        <v>150</v>
      </c>
      <c r="C19" s="32" t="s">
        <v>129</v>
      </c>
      <c r="D19" s="54" t="n">
        <v>81</v>
      </c>
      <c r="E19" s="54" t="n">
        <v>52</v>
      </c>
      <c r="F19" s="65" t="n">
        <f aca="false">IF(E19="","",D19-E19)</f>
        <v>29</v>
      </c>
      <c r="G19" s="54" t="n">
        <v>160</v>
      </c>
      <c r="H19" s="54" t="n">
        <v>167</v>
      </c>
      <c r="I19" s="65" t="n">
        <f aca="false">IF(H19="","",G19-H19)</f>
        <v>-7</v>
      </c>
      <c r="J19" s="55" t="n">
        <f aca="false">IF(OR(D19="",D19+G19=0),"",D19/(D19+G19))</f>
        <v>0.336099585062241</v>
      </c>
      <c r="K19" s="55" t="n">
        <f aca="false">IF(E19="","",E19/(E19+H19))</f>
        <v>0.237442922374429</v>
      </c>
      <c r="L19" s="66" t="n">
        <f aca="false">IF(OR(K19="",J19=""),"",(J19-K19)*100)</f>
        <v>9.86566626878115</v>
      </c>
      <c r="M19" s="36" t="n">
        <v>3.50909186283217</v>
      </c>
      <c r="N19" s="36" t="n">
        <v>1.1191567141424</v>
      </c>
      <c r="O19" s="36" t="n">
        <f aca="false">SQRT(M19^2+N19^2)</f>
        <v>3.68323736034008</v>
      </c>
      <c r="P19" s="55" t="n">
        <f aca="false">IF(J19="","",MAX(0,J19-1.96*O19/100))</f>
        <v>0.263908132799575</v>
      </c>
      <c r="Q19" s="55" t="n">
        <f aca="false">IF(J19="","",MIN(1,J19+1.96*O19/100))</f>
        <v>0.408291037324906</v>
      </c>
      <c r="R19" s="32" t="str">
        <f aca="false">IF(L19="","",IF(ABS(L19)&lt;=O19,"Yes","No"))</f>
        <v>No</v>
      </c>
      <c r="S19" s="32" t="str">
        <f aca="false">IF(L19="","",IF(ABS(L19)&lt;=1.96*O19,"Yes","No"))</f>
        <v>No</v>
      </c>
      <c r="T19" s="54" t="n">
        <f aca="false">IF(D19="","",ROUND(SQRT(((D19+G19)*O19/100)^2+(J19*(D19+G19)*0.09092)^2),0))</f>
        <v>12</v>
      </c>
      <c r="U19" s="32" t="s">
        <v>393</v>
      </c>
    </row>
    <row r="20" customFormat="false" ht="15" hidden="false" customHeight="false" outlineLevel="0" collapsed="false">
      <c r="A20" s="32" t="s">
        <v>127</v>
      </c>
      <c r="B20" s="32" t="s">
        <v>151</v>
      </c>
      <c r="C20" s="32" t="s">
        <v>129</v>
      </c>
      <c r="D20" s="54" t="n">
        <v>2371</v>
      </c>
      <c r="E20" s="54" t="n">
        <v>1997</v>
      </c>
      <c r="F20" s="65" t="n">
        <f aca="false">IF(E20="","",D20-E20)</f>
        <v>374</v>
      </c>
      <c r="G20" s="54" t="n">
        <v>3640</v>
      </c>
      <c r="H20" s="54" t="n">
        <v>3474</v>
      </c>
      <c r="I20" s="65" t="n">
        <f aca="false">IF(H20="","",G20-H20)</f>
        <v>166</v>
      </c>
      <c r="J20" s="55" t="n">
        <f aca="false">IF(OR(D20="",D20+G20=0),"",D20/(D20+G20))</f>
        <v>0.394443520212943</v>
      </c>
      <c r="K20" s="55" t="n">
        <f aca="false">IF(E20="","",E20/(E20+H20))</f>
        <v>0.365015536464997</v>
      </c>
      <c r="L20" s="66" t="n">
        <f aca="false">IF(OR(K20="",J20=""),"",(J20-K20)*100)</f>
        <v>2.94279837479457</v>
      </c>
      <c r="M20" s="36" t="n">
        <v>2.09473161487849</v>
      </c>
      <c r="N20" s="36" t="n">
        <v>1.1191567141424</v>
      </c>
      <c r="O20" s="36" t="n">
        <f aca="false">SQRT(M20^2+N20^2)</f>
        <v>2.37495521835286</v>
      </c>
      <c r="P20" s="55" t="n">
        <f aca="false">IF(J20="","",MAX(0,J20-1.96*O20/100))</f>
        <v>0.347894397933227</v>
      </c>
      <c r="Q20" s="55" t="n">
        <f aca="false">IF(J20="","",MIN(1,J20+1.96*O20/100))</f>
        <v>0.440992642492659</v>
      </c>
      <c r="R20" s="32" t="str">
        <f aca="false">IF(L20="","",IF(ABS(L20)&lt;=O20,"Yes","No"))</f>
        <v>No</v>
      </c>
      <c r="S20" s="32" t="str">
        <f aca="false">IF(L20="","",IF(ABS(L20)&lt;=1.96*O20,"Yes","No"))</f>
        <v>Yes</v>
      </c>
      <c r="T20" s="54" t="n">
        <f aca="false">IF(D20="","",ROUND(SQRT(((D20+G20)*O20/100)^2+(J20*(D20+G20)*0.0639)^2),0))</f>
        <v>208</v>
      </c>
      <c r="U20" s="32" t="s">
        <v>393</v>
      </c>
    </row>
    <row r="21" customFormat="false" ht="15" hidden="false" customHeight="false" outlineLevel="0" collapsed="false">
      <c r="A21" s="32" t="s">
        <v>127</v>
      </c>
      <c r="B21" s="32" t="s">
        <v>153</v>
      </c>
      <c r="C21" s="32" t="s">
        <v>129</v>
      </c>
      <c r="D21" s="54" t="n">
        <v>754</v>
      </c>
      <c r="E21" s="54" t="n">
        <v>620</v>
      </c>
      <c r="F21" s="65" t="n">
        <f aca="false">IF(E21="","",D21-E21)</f>
        <v>134</v>
      </c>
      <c r="G21" s="54" t="n">
        <v>818</v>
      </c>
      <c r="H21" s="54" t="n">
        <v>917</v>
      </c>
      <c r="I21" s="65" t="n">
        <f aca="false">IF(H21="","",G21-H21)</f>
        <v>-99</v>
      </c>
      <c r="J21" s="55" t="n">
        <f aca="false">IF(OR(D21="",D21+G21=0),"",D21/(D21+G21))</f>
        <v>0.479643765903308</v>
      </c>
      <c r="K21" s="55" t="n">
        <f aca="false">IF(E21="","",E21/(E21+H21))</f>
        <v>0.403383214053351</v>
      </c>
      <c r="L21" s="66" t="n">
        <f aca="false">IF(OR(K21="",J21=""),"",(J21-K21)*100)</f>
        <v>7.62605518499572</v>
      </c>
      <c r="M21" s="36" t="n">
        <v>1.79629704648005</v>
      </c>
      <c r="N21" s="36" t="n">
        <v>1.1191567141424</v>
      </c>
      <c r="O21" s="36" t="n">
        <f aca="false">SQRT(M21^2+N21^2)</f>
        <v>2.1164108367713</v>
      </c>
      <c r="P21" s="55" t="n">
        <f aca="false">IF(J21="","",MAX(0,J21-1.96*O21/100))</f>
        <v>0.43816211350259</v>
      </c>
      <c r="Q21" s="55" t="n">
        <f aca="false">IF(J21="","",MIN(1,J21+1.96*O21/100))</f>
        <v>0.521125418304025</v>
      </c>
      <c r="R21" s="32" t="str">
        <f aca="false">IF(L21="","",IF(ABS(L21)&lt;=O21,"Yes","No"))</f>
        <v>No</v>
      </c>
      <c r="S21" s="32" t="str">
        <f aca="false">IF(L21="","",IF(ABS(L21)&lt;=1.96*O21,"Yes","No"))</f>
        <v>No</v>
      </c>
      <c r="T21" s="54" t="n">
        <f aca="false">IF(D21="","",ROUND(SQRT(((D21+G21)*O21/100)^2+(J21*(D21+G21)*0.06991)^2),0))</f>
        <v>62</v>
      </c>
      <c r="U21" s="32" t="s">
        <v>393</v>
      </c>
    </row>
    <row r="22" customFormat="false" ht="15" hidden="false" customHeight="false" outlineLevel="0" collapsed="false">
      <c r="A22" s="32" t="s">
        <v>127</v>
      </c>
      <c r="B22" s="32" t="s">
        <v>154</v>
      </c>
      <c r="C22" s="32" t="s">
        <v>129</v>
      </c>
      <c r="D22" s="54" t="n">
        <v>914</v>
      </c>
      <c r="E22" s="54" t="n">
        <v>723</v>
      </c>
      <c r="F22" s="65" t="n">
        <f aca="false">IF(E22="","",D22-E22)</f>
        <v>191</v>
      </c>
      <c r="G22" s="54" t="n">
        <v>1812</v>
      </c>
      <c r="H22" s="54" t="n">
        <v>1892</v>
      </c>
      <c r="I22" s="65" t="n">
        <f aca="false">IF(H22="","",G22-H22)</f>
        <v>-80</v>
      </c>
      <c r="J22" s="55" t="n">
        <f aca="false">IF(OR(D22="",D22+G22=0),"",D22/(D22+G22))</f>
        <v>0.335289801907557</v>
      </c>
      <c r="K22" s="55" t="n">
        <f aca="false">IF(E22="","",E22/(E22+H22))</f>
        <v>0.276481835564054</v>
      </c>
      <c r="L22" s="66" t="n">
        <f aca="false">IF(OR(K22="",J22=""),"",(J22-K22)*100)</f>
        <v>5.88079663435033</v>
      </c>
      <c r="M22" s="36" t="n">
        <v>1.79629704648005</v>
      </c>
      <c r="N22" s="36" t="n">
        <v>1.1191567141424</v>
      </c>
      <c r="O22" s="36" t="n">
        <f aca="false">SQRT(M22^2+N22^2)</f>
        <v>2.1164108367713</v>
      </c>
      <c r="P22" s="55" t="n">
        <f aca="false">IF(J22="","",MAX(0,J22-1.96*O22/100))</f>
        <v>0.293808149506839</v>
      </c>
      <c r="Q22" s="55" t="n">
        <f aca="false">IF(J22="","",MIN(1,J22+1.96*O22/100))</f>
        <v>0.376771454308274</v>
      </c>
      <c r="R22" s="32" t="str">
        <f aca="false">IF(L22="","",IF(ABS(L22)&lt;=O22,"Yes","No"))</f>
        <v>No</v>
      </c>
      <c r="S22" s="32" t="str">
        <f aca="false">IF(L22="","",IF(ABS(L22)&lt;=1.96*O22,"Yes","No"))</f>
        <v>No</v>
      </c>
      <c r="T22" s="54" t="n">
        <f aca="false">IF(D22="","",ROUND(SQRT(((D22+G22)*O22/100)^2+(J22*(D22+G22)*0.06991)^2),0))</f>
        <v>86</v>
      </c>
      <c r="U22" s="32" t="s">
        <v>393</v>
      </c>
    </row>
    <row r="23" customFormat="false" ht="15" hidden="false" customHeight="false" outlineLevel="0" collapsed="false">
      <c r="A23" s="32" t="s">
        <v>127</v>
      </c>
      <c r="B23" s="32" t="s">
        <v>155</v>
      </c>
      <c r="C23" s="32" t="s">
        <v>129</v>
      </c>
      <c r="D23" s="54" t="n">
        <v>400</v>
      </c>
      <c r="E23" s="54" t="n">
        <v>323</v>
      </c>
      <c r="F23" s="65" t="n">
        <f aca="false">IF(E23="","",D23-E23)</f>
        <v>77</v>
      </c>
      <c r="G23" s="54" t="n">
        <v>833</v>
      </c>
      <c r="H23" s="54" t="n">
        <v>898</v>
      </c>
      <c r="I23" s="65" t="n">
        <f aca="false">IF(H23="","",G23-H23)</f>
        <v>-65</v>
      </c>
      <c r="J23" s="55" t="n">
        <f aca="false">IF(OR(D23="",D23+G23=0),"",D23/(D23+G23))</f>
        <v>0.32441200324412</v>
      </c>
      <c r="K23" s="55" t="n">
        <f aca="false">IF(E23="","",E23/(E23+H23))</f>
        <v>0.264537264537265</v>
      </c>
      <c r="L23" s="66" t="n">
        <f aca="false">IF(OR(K23="",J23=""),"",(J23-K23)*100)</f>
        <v>5.98747387068555</v>
      </c>
      <c r="M23" s="36" t="n">
        <v>3.50909186283217</v>
      </c>
      <c r="N23" s="36" t="n">
        <v>1.1191567141424</v>
      </c>
      <c r="O23" s="36" t="n">
        <f aca="false">SQRT(M23^2+N23^2)</f>
        <v>3.68323736034008</v>
      </c>
      <c r="P23" s="55" t="n">
        <f aca="false">IF(J23="","",MAX(0,J23-1.96*O23/100))</f>
        <v>0.252220550981454</v>
      </c>
      <c r="Q23" s="55" t="n">
        <f aca="false">IF(J23="","",MIN(1,J23+1.96*O23/100))</f>
        <v>0.396603455506786</v>
      </c>
      <c r="R23" s="32" t="str">
        <f aca="false">IF(L23="","",IF(ABS(L23)&lt;=O23,"Yes","No"))</f>
        <v>No</v>
      </c>
      <c r="S23" s="32" t="str">
        <f aca="false">IF(L23="","",IF(ABS(L23)&lt;=1.96*O23,"Yes","No"))</f>
        <v>Yes</v>
      </c>
      <c r="T23" s="54" t="n">
        <f aca="false">IF(D23="","",ROUND(SQRT(((D23+G23)*O23/100)^2+(J23*(D23+G23)*0.09092)^2),0))</f>
        <v>58</v>
      </c>
      <c r="U23" s="32" t="s">
        <v>393</v>
      </c>
    </row>
    <row r="24" customFormat="false" ht="15" hidden="false" customHeight="false" outlineLevel="0" collapsed="false">
      <c r="A24" s="32" t="s">
        <v>127</v>
      </c>
      <c r="B24" s="32" t="s">
        <v>156</v>
      </c>
      <c r="C24" s="32" t="s">
        <v>129</v>
      </c>
      <c r="D24" s="54" t="n">
        <v>85</v>
      </c>
      <c r="E24" s="54" t="n">
        <v>62</v>
      </c>
      <c r="F24" s="65" t="n">
        <f aca="false">IF(E24="","",D24-E24)</f>
        <v>23</v>
      </c>
      <c r="G24" s="54" t="n">
        <v>89</v>
      </c>
      <c r="H24" s="54" t="n">
        <v>91</v>
      </c>
      <c r="I24" s="65" t="n">
        <f aca="false">IF(H24="","",G24-H24)</f>
        <v>-2</v>
      </c>
      <c r="J24" s="55" t="n">
        <f aca="false">IF(OR(D24="",D24+G24=0),"",D24/(D24+G24))</f>
        <v>0.488505747126437</v>
      </c>
      <c r="K24" s="55" t="n">
        <f aca="false">IF(E24="","",E24/(E24+H24))</f>
        <v>0.405228758169935</v>
      </c>
      <c r="L24" s="66" t="n">
        <f aca="false">IF(OR(K24="",J24=""),"",(J24-K24)*100)</f>
        <v>8.32769889565022</v>
      </c>
      <c r="M24" s="36" t="n">
        <v>3.50909186283217</v>
      </c>
      <c r="N24" s="36" t="n">
        <v>1.1191567141424</v>
      </c>
      <c r="O24" s="36" t="n">
        <f aca="false">SQRT(M24^2+N24^2)</f>
        <v>3.68323736034008</v>
      </c>
      <c r="P24" s="55" t="n">
        <f aca="false">IF(J24="","",MAX(0,J24-1.96*O24/100))</f>
        <v>0.416314294863771</v>
      </c>
      <c r="Q24" s="55" t="n">
        <f aca="false">IF(J24="","",MIN(1,J24+1.96*O24/100))</f>
        <v>0.560697199389102</v>
      </c>
      <c r="R24" s="32" t="str">
        <f aca="false">IF(L24="","",IF(ABS(L24)&lt;=O24,"Yes","No"))</f>
        <v>No</v>
      </c>
      <c r="S24" s="32" t="str">
        <f aca="false">IF(L24="","",IF(ABS(L24)&lt;=1.96*O24,"Yes","No"))</f>
        <v>No</v>
      </c>
      <c r="T24" s="54" t="n">
        <f aca="false">IF(D24="","",ROUND(SQRT(((D24+G24)*O24/100)^2+(J24*(D24+G24)*0.09092)^2),0))</f>
        <v>10</v>
      </c>
      <c r="U24" s="32" t="s">
        <v>393</v>
      </c>
    </row>
    <row r="25" customFormat="false" ht="15" hidden="false" customHeight="false" outlineLevel="0" collapsed="false">
      <c r="A25" s="32" t="s">
        <v>157</v>
      </c>
      <c r="B25" s="32" t="s">
        <v>158</v>
      </c>
      <c r="C25" s="32" t="s">
        <v>129</v>
      </c>
      <c r="D25" s="54" t="n">
        <v>705</v>
      </c>
      <c r="E25" s="54" t="n">
        <v>644</v>
      </c>
      <c r="F25" s="65" t="n">
        <f aca="false">IF(E25="","",D25-E25)</f>
        <v>61</v>
      </c>
      <c r="G25" s="54" t="n">
        <v>628</v>
      </c>
      <c r="H25" s="54" t="n">
        <v>735</v>
      </c>
      <c r="I25" s="65" t="n">
        <f aca="false">IF(H25="","",G25-H25)</f>
        <v>-107</v>
      </c>
      <c r="J25" s="55" t="n">
        <f aca="false">IF(OR(D25="",D25+G25=0),"",D25/(D25+G25))</f>
        <v>0.528882220555139</v>
      </c>
      <c r="K25" s="55" t="n">
        <f aca="false">IF(E25="","",E25/(E25+H25))</f>
        <v>0.467005076142132</v>
      </c>
      <c r="L25" s="66" t="n">
        <f aca="false">IF(OR(K25="",J25=""),"",(J25-K25)*100)</f>
        <v>6.18771444130068</v>
      </c>
      <c r="M25" s="36" t="n">
        <v>3.50909186283217</v>
      </c>
      <c r="N25" s="36" t="n">
        <v>1.1191567141424</v>
      </c>
      <c r="O25" s="36" t="n">
        <f aca="false">SQRT(M25^2+N25^2)</f>
        <v>3.68323736034008</v>
      </c>
      <c r="P25" s="55" t="n">
        <f aca="false">IF(J25="","",MAX(0,J25-1.96*O25/100))</f>
        <v>0.456690768292473</v>
      </c>
      <c r="Q25" s="55" t="n">
        <f aca="false">IF(J25="","",MIN(1,J25+1.96*O25/100))</f>
        <v>0.601073672817804</v>
      </c>
      <c r="R25" s="32" t="str">
        <f aca="false">IF(L25="","",IF(ABS(L25)&lt;=O25,"Yes","No"))</f>
        <v>No</v>
      </c>
      <c r="S25" s="32" t="str">
        <f aca="false">IF(L25="","",IF(ABS(L25)&lt;=1.96*O25,"Yes","No"))</f>
        <v>Yes</v>
      </c>
      <c r="T25" s="54" t="n">
        <f aca="false">IF(D25="","",ROUND(SQRT(((D25+G25)*O25/100)^2+(J25*(D25+G25)*0.09092)^2),0))</f>
        <v>81</v>
      </c>
      <c r="U25" s="32"/>
    </row>
    <row r="26" customFormat="false" ht="15" hidden="false" customHeight="false" outlineLevel="0" collapsed="false">
      <c r="A26" s="32" t="s">
        <v>157</v>
      </c>
      <c r="B26" s="32" t="s">
        <v>159</v>
      </c>
      <c r="C26" s="32" t="s">
        <v>129</v>
      </c>
      <c r="D26" s="54" t="n">
        <v>28618</v>
      </c>
      <c r="E26" s="54" t="n">
        <v>27952</v>
      </c>
      <c r="F26" s="65" t="n">
        <f aca="false">IF(E26="","",D26-E26)</f>
        <v>666</v>
      </c>
      <c r="G26" s="54" t="n">
        <v>11748</v>
      </c>
      <c r="H26" s="54" t="n">
        <v>12938</v>
      </c>
      <c r="I26" s="65" t="n">
        <f aca="false">IF(H26="","",G26-H26)</f>
        <v>-1190</v>
      </c>
      <c r="J26" s="55" t="n">
        <f aca="false">IF(OR(D26="",D26+G26=0),"",D26/(D26+G26))</f>
        <v>0.708962988653818</v>
      </c>
      <c r="K26" s="55" t="n">
        <f aca="false">IF(E26="","",E26/(E26+H26))</f>
        <v>0.6835901198337</v>
      </c>
      <c r="L26" s="66" t="n">
        <f aca="false">IF(OR(K26="",J26=""),"",(J26-K26)*100)</f>
        <v>2.53728688201174</v>
      </c>
      <c r="M26" s="36" t="n">
        <v>2.09473161487849</v>
      </c>
      <c r="N26" s="36" t="n">
        <v>1.1191567141424</v>
      </c>
      <c r="O26" s="36" t="n">
        <f aca="false">SQRT(M26^2+N26^2)</f>
        <v>2.37495521835286</v>
      </c>
      <c r="P26" s="55" t="n">
        <f aca="false">IF(J26="","",MAX(0,J26-1.96*O26/100))</f>
        <v>0.662413866374102</v>
      </c>
      <c r="Q26" s="55" t="n">
        <f aca="false">IF(J26="","",MIN(1,J26+1.96*O26/100))</f>
        <v>0.755512110933534</v>
      </c>
      <c r="R26" s="32" t="str">
        <f aca="false">IF(L26="","",IF(ABS(L26)&lt;=O26,"Yes","No"))</f>
        <v>No</v>
      </c>
      <c r="S26" s="32" t="str">
        <f aca="false">IF(L26="","",IF(ABS(L26)&lt;=1.96*O26,"Yes","No"))</f>
        <v>Yes</v>
      </c>
      <c r="T26" s="54" t="n">
        <f aca="false">IF(D26="","",ROUND(SQRT(((D26+G26)*O26/100)^2+(J26*(D26+G26)*0.0639)^2),0))</f>
        <v>2065</v>
      </c>
      <c r="U26" s="32"/>
    </row>
    <row r="27" customFormat="false" ht="15" hidden="false" customHeight="false" outlineLevel="0" collapsed="false">
      <c r="A27" s="32" t="s">
        <v>157</v>
      </c>
      <c r="B27" s="32" t="s">
        <v>160</v>
      </c>
      <c r="C27" s="32" t="s">
        <v>129</v>
      </c>
      <c r="D27" s="54" t="n">
        <v>6624</v>
      </c>
      <c r="E27" s="54" t="n">
        <v>6475</v>
      </c>
      <c r="F27" s="65" t="n">
        <f aca="false">IF(E27="","",D27-E27)</f>
        <v>149</v>
      </c>
      <c r="G27" s="54" t="n">
        <v>3448</v>
      </c>
      <c r="H27" s="54" t="n">
        <v>3784</v>
      </c>
      <c r="I27" s="65" t="n">
        <f aca="false">IF(H27="","",G27-H27)</f>
        <v>-336</v>
      </c>
      <c r="J27" s="55" t="n">
        <f aca="false">IF(OR(D27="",D27+G27=0),"",D27/(D27+G27))</f>
        <v>0.657664813343924</v>
      </c>
      <c r="K27" s="55" t="n">
        <f aca="false">IF(E27="","",E27/(E27+H27))</f>
        <v>0.631153133833707</v>
      </c>
      <c r="L27" s="66" t="n">
        <f aca="false">IF(OR(K27="",J27=""),"",(J27-K27)*100)</f>
        <v>2.65116795102168</v>
      </c>
      <c r="M27" s="36" t="n">
        <v>2.09473161487849</v>
      </c>
      <c r="N27" s="36" t="n">
        <v>1.1191567141424</v>
      </c>
      <c r="O27" s="36" t="n">
        <f aca="false">SQRT(M27^2+N27^2)</f>
        <v>2.37495521835286</v>
      </c>
      <c r="P27" s="55" t="n">
        <f aca="false">IF(J27="","",MAX(0,J27-1.96*O27/100))</f>
        <v>0.611115691064208</v>
      </c>
      <c r="Q27" s="55" t="n">
        <f aca="false">IF(J27="","",MIN(1,J27+1.96*O27/100))</f>
        <v>0.70421393562364</v>
      </c>
      <c r="R27" s="32" t="str">
        <f aca="false">IF(L27="","",IF(ABS(L27)&lt;=O27,"Yes","No"))</f>
        <v>No</v>
      </c>
      <c r="S27" s="32" t="str">
        <f aca="false">IF(L27="","",IF(ABS(L27)&lt;=1.96*O27,"Yes","No"))</f>
        <v>Yes</v>
      </c>
      <c r="T27" s="54" t="n">
        <f aca="false">IF(D27="","",ROUND(SQRT(((D27+G27)*O27/100)^2+(J27*(D27+G27)*0.0639)^2),0))</f>
        <v>486</v>
      </c>
      <c r="U27" s="32"/>
    </row>
    <row r="28" customFormat="false" ht="15" hidden="false" customHeight="false" outlineLevel="0" collapsed="false">
      <c r="A28" s="32" t="s">
        <v>157</v>
      </c>
      <c r="B28" s="32" t="s">
        <v>161</v>
      </c>
      <c r="C28" s="32" t="s">
        <v>129</v>
      </c>
      <c r="D28" s="54" t="n">
        <v>1750</v>
      </c>
      <c r="E28" s="54" t="n">
        <v>1582</v>
      </c>
      <c r="F28" s="65" t="n">
        <f aca="false">IF(E28="","",D28-E28)</f>
        <v>168</v>
      </c>
      <c r="G28" s="54" t="n">
        <v>1293</v>
      </c>
      <c r="H28" s="54" t="n">
        <v>1496</v>
      </c>
      <c r="I28" s="65" t="n">
        <f aca="false">IF(H28="","",G28-H28)</f>
        <v>-203</v>
      </c>
      <c r="J28" s="55" t="n">
        <f aca="false">IF(OR(D28="",D28+G28=0),"",D28/(D28+G28))</f>
        <v>0.575090371344068</v>
      </c>
      <c r="K28" s="55" t="n">
        <f aca="false">IF(E28="","",E28/(E28+H28))</f>
        <v>0.513970110461339</v>
      </c>
      <c r="L28" s="66" t="n">
        <f aca="false">IF(OR(K28="",J28=""),"",(J28-K28)*100)</f>
        <v>6.11202608827298</v>
      </c>
      <c r="M28" s="36" t="n">
        <v>1.79629704648005</v>
      </c>
      <c r="N28" s="36" t="n">
        <v>1.1191567141424</v>
      </c>
      <c r="O28" s="36" t="n">
        <f aca="false">SQRT(M28^2+N28^2)</f>
        <v>2.1164108367713</v>
      </c>
      <c r="P28" s="55" t="n">
        <f aca="false">IF(J28="","",MAX(0,J28-1.96*O28/100))</f>
        <v>0.533608718943351</v>
      </c>
      <c r="Q28" s="55" t="n">
        <f aca="false">IF(J28="","",MIN(1,J28+1.96*O28/100))</f>
        <v>0.616572023744786</v>
      </c>
      <c r="R28" s="32" t="str">
        <f aca="false">IF(L28="","",IF(ABS(L28)&lt;=O28,"Yes","No"))</f>
        <v>No</v>
      </c>
      <c r="S28" s="32" t="str">
        <f aca="false">IF(L28="","",IF(ABS(L28)&lt;=1.96*O28,"Yes","No"))</f>
        <v>No</v>
      </c>
      <c r="T28" s="54" t="n">
        <f aca="false">IF(D28="","",ROUND(SQRT(((D28+G28)*O28/100)^2+(J28*(D28+G28)*0.06991)^2),0))</f>
        <v>138</v>
      </c>
      <c r="U28" s="32"/>
    </row>
    <row r="29" customFormat="false" ht="15" hidden="false" customHeight="false" outlineLevel="0" collapsed="false">
      <c r="A29" s="32" t="s">
        <v>157</v>
      </c>
      <c r="B29" s="32" t="s">
        <v>162</v>
      </c>
      <c r="C29" s="32" t="s">
        <v>129</v>
      </c>
      <c r="D29" s="54" t="n">
        <v>771</v>
      </c>
      <c r="E29" s="54" t="n">
        <v>704</v>
      </c>
      <c r="F29" s="65" t="n">
        <f aca="false">IF(E29="","",D29-E29)</f>
        <v>67</v>
      </c>
      <c r="G29" s="54" t="n">
        <v>694</v>
      </c>
      <c r="H29" s="54" t="n">
        <v>791</v>
      </c>
      <c r="I29" s="65" t="n">
        <f aca="false">IF(H29="","",G29-H29)</f>
        <v>-97</v>
      </c>
      <c r="J29" s="55" t="n">
        <f aca="false">IF(OR(D29="",D29+G29=0),"",D29/(D29+G29))</f>
        <v>0.526279863481229</v>
      </c>
      <c r="K29" s="55" t="n">
        <f aca="false">IF(E29="","",E29/(E29+H29))</f>
        <v>0.470903010033445</v>
      </c>
      <c r="L29" s="66" t="n">
        <f aca="false">IF(OR(K29="",J29=""),"",(J29-K29)*100)</f>
        <v>5.53768534477839</v>
      </c>
      <c r="M29" s="36" t="n">
        <v>3.50909186283217</v>
      </c>
      <c r="N29" s="36" t="n">
        <v>1.1191567141424</v>
      </c>
      <c r="O29" s="36" t="n">
        <f aca="false">SQRT(M29^2+N29^2)</f>
        <v>3.68323736034008</v>
      </c>
      <c r="P29" s="55" t="n">
        <f aca="false">IF(J29="","",MAX(0,J29-1.96*O29/100))</f>
        <v>0.454088411218563</v>
      </c>
      <c r="Q29" s="55" t="n">
        <f aca="false">IF(J29="","",MIN(1,J29+1.96*O29/100))</f>
        <v>0.598471315743894</v>
      </c>
      <c r="R29" s="32" t="str">
        <f aca="false">IF(L29="","",IF(ABS(L29)&lt;=O29,"Yes","No"))</f>
        <v>No</v>
      </c>
      <c r="S29" s="32" t="str">
        <f aca="false">IF(L29="","",IF(ABS(L29)&lt;=1.96*O29,"Yes","No"))</f>
        <v>Yes</v>
      </c>
      <c r="T29" s="54" t="n">
        <f aca="false">IF(D29="","",ROUND(SQRT(((D29+G29)*O29/100)^2+(J29*(D29+G29)*0.09092)^2),0))</f>
        <v>88</v>
      </c>
      <c r="U29" s="32"/>
    </row>
    <row r="30" customFormat="false" ht="15" hidden="false" customHeight="false" outlineLevel="0" collapsed="false">
      <c r="A30" s="32" t="s">
        <v>157</v>
      </c>
      <c r="B30" s="32" t="s">
        <v>163</v>
      </c>
      <c r="C30" s="32" t="s">
        <v>129</v>
      </c>
      <c r="D30" s="54" t="n">
        <v>952</v>
      </c>
      <c r="E30" s="54" t="n">
        <v>878</v>
      </c>
      <c r="F30" s="65" t="n">
        <f aca="false">IF(E30="","",D30-E30)</f>
        <v>74</v>
      </c>
      <c r="G30" s="54" t="n">
        <v>758</v>
      </c>
      <c r="H30" s="54" t="n">
        <v>870</v>
      </c>
      <c r="I30" s="65" t="n">
        <f aca="false">IF(H30="","",G30-H30)</f>
        <v>-112</v>
      </c>
      <c r="J30" s="55" t="n">
        <f aca="false">IF(OR(D30="",D30+G30=0),"",D30/(D30+G30))</f>
        <v>0.55672514619883</v>
      </c>
      <c r="K30" s="55" t="n">
        <f aca="false">IF(E30="","",E30/(E30+H30))</f>
        <v>0.502288329519451</v>
      </c>
      <c r="L30" s="66" t="n">
        <f aca="false">IF(OR(K30="",J30=""),"",(J30-K30)*100)</f>
        <v>5.44368166793796</v>
      </c>
      <c r="M30" s="36" t="n">
        <v>1.79629704648005</v>
      </c>
      <c r="N30" s="36" t="n">
        <v>1.1191567141424</v>
      </c>
      <c r="O30" s="36" t="n">
        <f aca="false">SQRT(M30^2+N30^2)</f>
        <v>2.1164108367713</v>
      </c>
      <c r="P30" s="55" t="n">
        <f aca="false">IF(J30="","",MAX(0,J30-1.96*O30/100))</f>
        <v>0.515243493798113</v>
      </c>
      <c r="Q30" s="55" t="n">
        <f aca="false">IF(J30="","",MIN(1,J30+1.96*O30/100))</f>
        <v>0.598206798599548</v>
      </c>
      <c r="R30" s="32" t="str">
        <f aca="false">IF(L30="","",IF(ABS(L30)&lt;=O30,"Yes","No"))</f>
        <v>No</v>
      </c>
      <c r="S30" s="32" t="str">
        <f aca="false">IF(L30="","",IF(ABS(L30)&lt;=1.96*O30,"Yes","No"))</f>
        <v>No</v>
      </c>
      <c r="T30" s="54" t="n">
        <f aca="false">IF(D30="","",ROUND(SQRT(((D30+G30)*O30/100)^2+(J30*(D30+G30)*0.06991)^2),0))</f>
        <v>76</v>
      </c>
      <c r="U30" s="32"/>
    </row>
    <row r="31" customFormat="false" ht="15" hidden="false" customHeight="false" outlineLevel="0" collapsed="false">
      <c r="A31" s="32" t="s">
        <v>157</v>
      </c>
      <c r="B31" s="32" t="s">
        <v>164</v>
      </c>
      <c r="C31" s="32" t="s">
        <v>129</v>
      </c>
      <c r="D31" s="54" t="n">
        <v>3612</v>
      </c>
      <c r="E31" s="54" t="n">
        <v>3393</v>
      </c>
      <c r="F31" s="65" t="n">
        <f aca="false">IF(E31="","",D31-E31)</f>
        <v>219</v>
      </c>
      <c r="G31" s="54" t="n">
        <v>2897</v>
      </c>
      <c r="H31" s="54" t="n">
        <v>3078</v>
      </c>
      <c r="I31" s="65" t="n">
        <f aca="false">IF(H31="","",G31-H31)</f>
        <v>-181</v>
      </c>
      <c r="J31" s="55" t="n">
        <f aca="false">IF(OR(D31="",D31+G31=0),"",D31/(D31+G31))</f>
        <v>0.554923951451836</v>
      </c>
      <c r="K31" s="55" t="n">
        <f aca="false">IF(E31="","",E31/(E31+H31))</f>
        <v>0.524339360222531</v>
      </c>
      <c r="L31" s="66" t="n">
        <f aca="false">IF(OR(K31="",J31=""),"",(J31-K31)*100)</f>
        <v>3.05845912293047</v>
      </c>
      <c r="M31" s="36" t="n">
        <v>2.09473161487849</v>
      </c>
      <c r="N31" s="36" t="n">
        <v>1.1191567141424</v>
      </c>
      <c r="O31" s="36" t="n">
        <f aca="false">SQRT(M31^2+N31^2)</f>
        <v>2.37495521835286</v>
      </c>
      <c r="P31" s="55" t="n">
        <f aca="false">IF(J31="","",MAX(0,J31-1.96*O31/100))</f>
        <v>0.50837482917212</v>
      </c>
      <c r="Q31" s="55" t="n">
        <f aca="false">IF(J31="","",MIN(1,J31+1.96*O31/100))</f>
        <v>0.601473073731552</v>
      </c>
      <c r="R31" s="32" t="str">
        <f aca="false">IF(L31="","",IF(ABS(L31)&lt;=O31,"Yes","No"))</f>
        <v>No</v>
      </c>
      <c r="S31" s="32" t="str">
        <f aca="false">IF(L31="","",IF(ABS(L31)&lt;=1.96*O31,"Yes","No"))</f>
        <v>Yes</v>
      </c>
      <c r="T31" s="54" t="n">
        <f aca="false">IF(D31="","",ROUND(SQRT(((D31+G31)*O31/100)^2+(J31*(D31+G31)*0.0639)^2),0))</f>
        <v>278</v>
      </c>
      <c r="U31" s="32"/>
    </row>
    <row r="32" customFormat="false" ht="15" hidden="false" customHeight="false" outlineLevel="0" collapsed="false">
      <c r="A32" s="32" t="s">
        <v>157</v>
      </c>
      <c r="B32" s="32" t="s">
        <v>165</v>
      </c>
      <c r="C32" s="32" t="s">
        <v>129</v>
      </c>
      <c r="D32" s="54" t="n">
        <v>1456</v>
      </c>
      <c r="E32" s="54" t="n">
        <v>1481</v>
      </c>
      <c r="F32" s="65" t="n">
        <f aca="false">IF(E32="","",D32-E32)</f>
        <v>-25</v>
      </c>
      <c r="G32" s="54" t="n">
        <v>653</v>
      </c>
      <c r="H32" s="54" t="n">
        <v>737</v>
      </c>
      <c r="I32" s="65" t="n">
        <f aca="false">IF(H32="","",G32-H32)</f>
        <v>-84</v>
      </c>
      <c r="J32" s="55" t="n">
        <f aca="false">IF(OR(D32="",D32+G32=0),"",D32/(D32+G32))</f>
        <v>0.690374585111427</v>
      </c>
      <c r="K32" s="55" t="n">
        <f aca="false">IF(E32="","",E32/(E32+H32))</f>
        <v>0.667718665464382</v>
      </c>
      <c r="L32" s="66" t="n">
        <f aca="false">IF(OR(K32="",J32=""),"",(J32-K32)*100)</f>
        <v>2.26559196470449</v>
      </c>
      <c r="M32" s="36" t="n">
        <v>1.79629704648005</v>
      </c>
      <c r="N32" s="36" t="n">
        <v>1.1191567141424</v>
      </c>
      <c r="O32" s="36" t="n">
        <f aca="false">SQRT(M32^2+N32^2)</f>
        <v>2.1164108367713</v>
      </c>
      <c r="P32" s="55" t="n">
        <f aca="false">IF(J32="","",MAX(0,J32-1.96*O32/100))</f>
        <v>0.64889293271071</v>
      </c>
      <c r="Q32" s="55" t="n">
        <f aca="false">IF(J32="","",MIN(1,J32+1.96*O32/100))</f>
        <v>0.731856237512145</v>
      </c>
      <c r="R32" s="32" t="str">
        <f aca="false">IF(L32="","",IF(ABS(L32)&lt;=O32,"Yes","No"))</f>
        <v>No</v>
      </c>
      <c r="S32" s="32" t="str">
        <f aca="false">IF(L32="","",IF(ABS(L32)&lt;=1.96*O32,"Yes","No"))</f>
        <v>Yes</v>
      </c>
      <c r="T32" s="54" t="n">
        <f aca="false">IF(D32="","",ROUND(SQRT(((D32+G32)*O32/100)^2+(J32*(D32+G32)*0.06991)^2),0))</f>
        <v>111</v>
      </c>
      <c r="U32" s="32"/>
    </row>
    <row r="33" customFormat="false" ht="15" hidden="false" customHeight="false" outlineLevel="0" collapsed="false">
      <c r="A33" s="32" t="s">
        <v>157</v>
      </c>
      <c r="B33" s="32" t="s">
        <v>166</v>
      </c>
      <c r="C33" s="32" t="s">
        <v>129</v>
      </c>
      <c r="D33" s="54" t="n">
        <v>402</v>
      </c>
      <c r="E33" s="54" t="n">
        <v>405</v>
      </c>
      <c r="F33" s="65" t="n">
        <f aca="false">IF(E33="","",D33-E33)</f>
        <v>-3</v>
      </c>
      <c r="G33" s="54" t="n">
        <v>278</v>
      </c>
      <c r="H33" s="54" t="n">
        <v>304</v>
      </c>
      <c r="I33" s="65" t="n">
        <f aca="false">IF(H33="","",G33-H33)</f>
        <v>-26</v>
      </c>
      <c r="J33" s="55" t="n">
        <f aca="false">IF(OR(D33="",D33+G33=0),"",D33/(D33+G33))</f>
        <v>0.591176470588235</v>
      </c>
      <c r="K33" s="55" t="n">
        <f aca="false">IF(E33="","",E33/(E33+H33))</f>
        <v>0.571227080394922</v>
      </c>
      <c r="L33" s="66" t="n">
        <f aca="false">IF(OR(K33="",J33=""),"",(J33-K33)*100)</f>
        <v>1.99493901933129</v>
      </c>
      <c r="M33" s="36" t="n">
        <v>3.50909186283217</v>
      </c>
      <c r="N33" s="36" t="n">
        <v>1.1191567141424</v>
      </c>
      <c r="O33" s="36" t="n">
        <f aca="false">SQRT(M33^2+N33^2)</f>
        <v>3.68323736034008</v>
      </c>
      <c r="P33" s="55" t="n">
        <f aca="false">IF(J33="","",MAX(0,J33-1.96*O33/100))</f>
        <v>0.51898501832557</v>
      </c>
      <c r="Q33" s="55" t="n">
        <f aca="false">IF(J33="","",MIN(1,J33+1.96*O33/100))</f>
        <v>0.663367922850901</v>
      </c>
      <c r="R33" s="32" t="str">
        <f aca="false">IF(L33="","",IF(ABS(L33)&lt;=O33,"Yes","No"))</f>
        <v>Yes</v>
      </c>
      <c r="S33" s="32" t="str">
        <f aca="false">IF(L33="","",IF(ABS(L33)&lt;=1.96*O33,"Yes","No"))</f>
        <v>Yes</v>
      </c>
      <c r="T33" s="54" t="n">
        <f aca="false">IF(D33="","",ROUND(SQRT(((D33+G33)*O33/100)^2+(J33*(D33+G33)*0.09092)^2),0))</f>
        <v>44</v>
      </c>
      <c r="U33" s="32"/>
    </row>
    <row r="34" customFormat="false" ht="15" hidden="false" customHeight="false" outlineLevel="0" collapsed="false">
      <c r="A34" s="32" t="s">
        <v>157</v>
      </c>
      <c r="B34" s="32" t="s">
        <v>167</v>
      </c>
      <c r="C34" s="32" t="s">
        <v>129</v>
      </c>
      <c r="D34" s="54" t="n">
        <v>696</v>
      </c>
      <c r="E34" s="54" t="n">
        <v>602</v>
      </c>
      <c r="F34" s="65" t="n">
        <f aca="false">IF(E34="","",D34-E34)</f>
        <v>94</v>
      </c>
      <c r="G34" s="54" t="n">
        <v>1282</v>
      </c>
      <c r="H34" s="54" t="n">
        <v>1339</v>
      </c>
      <c r="I34" s="65" t="n">
        <f aca="false">IF(H34="","",G34-H34)</f>
        <v>-57</v>
      </c>
      <c r="J34" s="55" t="n">
        <f aca="false">IF(OR(D34="",D34+G34=0),"",D34/(D34+G34))</f>
        <v>0.351870576339737</v>
      </c>
      <c r="K34" s="55" t="n">
        <f aca="false">IF(E34="","",E34/(E34+H34))</f>
        <v>0.310149407521896</v>
      </c>
      <c r="L34" s="66" t="n">
        <f aca="false">IF(OR(K34="",J34=""),"",(J34-K34)*100)</f>
        <v>4.17211688178412</v>
      </c>
      <c r="M34" s="36" t="n">
        <v>1.79629704648005</v>
      </c>
      <c r="N34" s="36" t="n">
        <v>1.1191567141424</v>
      </c>
      <c r="O34" s="36" t="n">
        <f aca="false">SQRT(M34^2+N34^2)</f>
        <v>2.1164108367713</v>
      </c>
      <c r="P34" s="55" t="n">
        <f aca="false">IF(J34="","",MAX(0,J34-1.96*O34/100))</f>
        <v>0.31038892393902</v>
      </c>
      <c r="Q34" s="55" t="n">
        <f aca="false">IF(J34="","",MIN(1,J34+1.96*O34/100))</f>
        <v>0.393352228740455</v>
      </c>
      <c r="R34" s="32" t="str">
        <f aca="false">IF(L34="","",IF(ABS(L34)&lt;=O34,"Yes","No"))</f>
        <v>No</v>
      </c>
      <c r="S34" s="32" t="str">
        <f aca="false">IF(L34="","",IF(ABS(L34)&lt;=1.96*O34,"Yes","No"))</f>
        <v>No</v>
      </c>
      <c r="T34" s="54" t="n">
        <f aca="false">IF(D34="","",ROUND(SQRT(((D34+G34)*O34/100)^2+(J34*(D34+G34)*0.06991)^2),0))</f>
        <v>64</v>
      </c>
      <c r="U34" s="32"/>
    </row>
    <row r="35" customFormat="false" ht="15" hidden="false" customHeight="false" outlineLevel="0" collapsed="false">
      <c r="A35" s="32" t="s">
        <v>157</v>
      </c>
      <c r="B35" s="32" t="s">
        <v>168</v>
      </c>
      <c r="C35" s="32" t="s">
        <v>129</v>
      </c>
      <c r="D35" s="54" t="n">
        <v>10104</v>
      </c>
      <c r="E35" s="54" t="n">
        <v>9782</v>
      </c>
      <c r="F35" s="65" t="n">
        <f aca="false">IF(E35="","",D35-E35)</f>
        <v>322</v>
      </c>
      <c r="G35" s="54" t="n">
        <v>9483</v>
      </c>
      <c r="H35" s="54" t="n">
        <v>10014</v>
      </c>
      <c r="I35" s="65" t="n">
        <f aca="false">IF(H35="","",G35-H35)</f>
        <v>-531</v>
      </c>
      <c r="J35" s="55" t="n">
        <f aca="false">IF(OR(D35="",D35+G35=0),"",D35/(D35+G35))</f>
        <v>0.515852351049165</v>
      </c>
      <c r="K35" s="55" t="n">
        <f aca="false">IF(E35="","",E35/(E35+H35))</f>
        <v>0.494140230349566</v>
      </c>
      <c r="L35" s="66" t="n">
        <f aca="false">IF(OR(K35="",J35=""),"",(J35-K35)*100)</f>
        <v>2.17121206995997</v>
      </c>
      <c r="M35" s="36" t="n">
        <v>2.09473161487849</v>
      </c>
      <c r="N35" s="36" t="n">
        <v>1.1191567141424</v>
      </c>
      <c r="O35" s="36" t="n">
        <f aca="false">SQRT(M35^2+N35^2)</f>
        <v>2.37495521835286</v>
      </c>
      <c r="P35" s="55" t="n">
        <f aca="false">IF(J35="","",MAX(0,J35-1.96*O35/100))</f>
        <v>0.469303228769449</v>
      </c>
      <c r="Q35" s="55" t="n">
        <f aca="false">IF(J35="","",MIN(1,J35+1.96*O35/100))</f>
        <v>0.562401473328881</v>
      </c>
      <c r="R35" s="32" t="str">
        <f aca="false">IF(L35="","",IF(ABS(L35)&lt;=O35,"Yes","No"))</f>
        <v>Yes</v>
      </c>
      <c r="S35" s="32" t="str">
        <f aca="false">IF(L35="","",IF(ABS(L35)&lt;=1.96*O35,"Yes","No"))</f>
        <v>Yes</v>
      </c>
      <c r="T35" s="54" t="n">
        <f aca="false">IF(D35="","",ROUND(SQRT(((D35+G35)*O35/100)^2+(J35*(D35+G35)*0.0639)^2),0))</f>
        <v>796</v>
      </c>
      <c r="U35" s="32"/>
    </row>
    <row r="36" customFormat="false" ht="15" hidden="false" customHeight="false" outlineLevel="0" collapsed="false">
      <c r="A36" s="32" t="s">
        <v>157</v>
      </c>
      <c r="B36" s="32" t="s">
        <v>169</v>
      </c>
      <c r="C36" s="32" t="s">
        <v>129</v>
      </c>
      <c r="D36" s="54" t="n">
        <v>967</v>
      </c>
      <c r="E36" s="54" t="n">
        <v>920</v>
      </c>
      <c r="F36" s="65" t="n">
        <f aca="false">IF(E36="","",D36-E36)</f>
        <v>47</v>
      </c>
      <c r="G36" s="54" t="n">
        <v>1520</v>
      </c>
      <c r="H36" s="54" t="n">
        <v>1596</v>
      </c>
      <c r="I36" s="65" t="n">
        <f aca="false">IF(H36="","",G36-H36)</f>
        <v>-76</v>
      </c>
      <c r="J36" s="55" t="n">
        <f aca="false">IF(OR(D36="",D36+G36=0),"",D36/(D36+G36))</f>
        <v>0.388821873743466</v>
      </c>
      <c r="K36" s="55" t="n">
        <f aca="false">IF(E36="","",E36/(E36+H36))</f>
        <v>0.365659777424483</v>
      </c>
      <c r="L36" s="66" t="n">
        <f aca="false">IF(OR(K36="",J36=""),"",(J36-K36)*100)</f>
        <v>2.31620963189828</v>
      </c>
      <c r="M36" s="36" t="n">
        <v>1.79629704648005</v>
      </c>
      <c r="N36" s="36" t="n">
        <v>1.1191567141424</v>
      </c>
      <c r="O36" s="36" t="n">
        <f aca="false">SQRT(M36^2+N36^2)</f>
        <v>2.1164108367713</v>
      </c>
      <c r="P36" s="55" t="n">
        <f aca="false">IF(J36="","",MAX(0,J36-1.96*O36/100))</f>
        <v>0.347340221342749</v>
      </c>
      <c r="Q36" s="55" t="n">
        <f aca="false">IF(J36="","",MIN(1,J36+1.96*O36/100))</f>
        <v>0.430303526144184</v>
      </c>
      <c r="R36" s="32" t="str">
        <f aca="false">IF(L36="","",IF(ABS(L36)&lt;=O36,"Yes","No"))</f>
        <v>No</v>
      </c>
      <c r="S36" s="32" t="str">
        <f aca="false">IF(L36="","",IF(ABS(L36)&lt;=1.96*O36,"Yes","No"))</f>
        <v>Yes</v>
      </c>
      <c r="T36" s="54" t="n">
        <f aca="false">IF(D36="","",ROUND(SQRT(((D36+G36)*O36/100)^2+(J36*(D36+G36)*0.06991)^2),0))</f>
        <v>86</v>
      </c>
      <c r="U36" s="32"/>
    </row>
    <row r="37" customFormat="false" ht="15" hidden="false" customHeight="false" outlineLevel="0" collapsed="false">
      <c r="A37" s="32" t="s">
        <v>157</v>
      </c>
      <c r="B37" s="32" t="s">
        <v>170</v>
      </c>
      <c r="C37" s="32" t="s">
        <v>129</v>
      </c>
      <c r="D37" s="54" t="n">
        <v>544</v>
      </c>
      <c r="E37" s="54" t="n">
        <v>533</v>
      </c>
      <c r="F37" s="65" t="n">
        <f aca="false">IF(E37="","",D37-E37)</f>
        <v>11</v>
      </c>
      <c r="G37" s="54" t="n">
        <v>915</v>
      </c>
      <c r="H37" s="54" t="n">
        <v>955</v>
      </c>
      <c r="I37" s="65" t="n">
        <f aca="false">IF(H37="","",G37-H37)</f>
        <v>-40</v>
      </c>
      <c r="J37" s="55" t="n">
        <f aca="false">IF(OR(D37="",D37+G37=0),"",D37/(D37+G37))</f>
        <v>0.372858122001371</v>
      </c>
      <c r="K37" s="55" t="n">
        <f aca="false">IF(E37="","",E37/(E37+H37))</f>
        <v>0.358198924731183</v>
      </c>
      <c r="L37" s="66" t="n">
        <f aca="false">IF(OR(K37="",J37=""),"",(J37-K37)*100)</f>
        <v>1.4659197270188</v>
      </c>
      <c r="M37" s="36" t="n">
        <v>3.50909186283217</v>
      </c>
      <c r="N37" s="36" t="n">
        <v>1.1191567141424</v>
      </c>
      <c r="O37" s="36" t="n">
        <f aca="false">SQRT(M37^2+N37^2)</f>
        <v>3.68323736034008</v>
      </c>
      <c r="P37" s="55" t="n">
        <f aca="false">IF(J37="","",MAX(0,J37-1.96*O37/100))</f>
        <v>0.300666669738705</v>
      </c>
      <c r="Q37" s="55" t="n">
        <f aca="false">IF(J37="","",MIN(1,J37+1.96*O37/100))</f>
        <v>0.445049574264036</v>
      </c>
      <c r="R37" s="32" t="str">
        <f aca="false">IF(L37="","",IF(ABS(L37)&lt;=O37,"Yes","No"))</f>
        <v>Yes</v>
      </c>
      <c r="S37" s="32" t="str">
        <f aca="false">IF(L37="","",IF(ABS(L37)&lt;=1.96*O37,"Yes","No"))</f>
        <v>Yes</v>
      </c>
      <c r="T37" s="54" t="n">
        <f aca="false">IF(D37="","",ROUND(SQRT(((D37+G37)*O37/100)^2+(J37*(D37+G37)*0.09092)^2),0))</f>
        <v>73</v>
      </c>
      <c r="U37" s="32"/>
    </row>
    <row r="38" customFormat="false" ht="15" hidden="false" customHeight="false" outlineLevel="0" collapsed="false">
      <c r="A38" s="32" t="s">
        <v>157</v>
      </c>
      <c r="B38" s="32" t="s">
        <v>171</v>
      </c>
      <c r="C38" s="32" t="s">
        <v>129</v>
      </c>
      <c r="D38" s="54" t="n">
        <v>873</v>
      </c>
      <c r="E38" s="54" t="n">
        <v>846</v>
      </c>
      <c r="F38" s="65" t="n">
        <f aca="false">IF(E38="","",D38-E38)</f>
        <v>27</v>
      </c>
      <c r="G38" s="54" t="n">
        <v>1763</v>
      </c>
      <c r="H38" s="54" t="n">
        <v>1783</v>
      </c>
      <c r="I38" s="65" t="n">
        <f aca="false">IF(H38="","",G38-H38)</f>
        <v>-20</v>
      </c>
      <c r="J38" s="55" t="n">
        <f aca="false">IF(OR(D38="",D38+G38=0),"",D38/(D38+G38))</f>
        <v>0.331183611532625</v>
      </c>
      <c r="K38" s="55" t="n">
        <f aca="false">IF(E38="","",E38/(E38+H38))</f>
        <v>0.321795359452263</v>
      </c>
      <c r="L38" s="66" t="n">
        <f aca="false">IF(OR(K38="",J38=""),"",(J38-K38)*100)</f>
        <v>0.938825208036198</v>
      </c>
      <c r="M38" s="36" t="n">
        <v>1.79629704648005</v>
      </c>
      <c r="N38" s="36" t="n">
        <v>1.1191567141424</v>
      </c>
      <c r="O38" s="36" t="n">
        <f aca="false">SQRT(M38^2+N38^2)</f>
        <v>2.1164108367713</v>
      </c>
      <c r="P38" s="55" t="n">
        <f aca="false">IF(J38="","",MAX(0,J38-1.96*O38/100))</f>
        <v>0.289701959131908</v>
      </c>
      <c r="Q38" s="55" t="n">
        <f aca="false">IF(J38="","",MIN(1,J38+1.96*O38/100))</f>
        <v>0.372665263933343</v>
      </c>
      <c r="R38" s="32" t="str">
        <f aca="false">IF(L38="","",IF(ABS(L38)&lt;=O38,"Yes","No"))</f>
        <v>Yes</v>
      </c>
      <c r="S38" s="32" t="str">
        <f aca="false">IF(L38="","",IF(ABS(L38)&lt;=1.96*O38,"Yes","No"))</f>
        <v>Yes</v>
      </c>
      <c r="T38" s="54" t="n">
        <f aca="false">IF(D38="","",ROUND(SQRT(((D38+G38)*O38/100)^2+(J38*(D38+G38)*0.06991)^2),0))</f>
        <v>83</v>
      </c>
      <c r="U38" s="32"/>
    </row>
    <row r="39" customFormat="false" ht="15" hidden="false" customHeight="false" outlineLevel="0" collapsed="false">
      <c r="A39" s="32" t="s">
        <v>157</v>
      </c>
      <c r="B39" s="32" t="s">
        <v>172</v>
      </c>
      <c r="C39" s="32" t="s">
        <v>129</v>
      </c>
      <c r="D39" s="54" t="n">
        <v>981</v>
      </c>
      <c r="E39" s="54" t="n">
        <v>997</v>
      </c>
      <c r="F39" s="65" t="n">
        <f aca="false">IF(E39="","",D39-E39)</f>
        <v>-16</v>
      </c>
      <c r="G39" s="54" t="n">
        <v>836</v>
      </c>
      <c r="H39" s="54" t="n">
        <v>860</v>
      </c>
      <c r="I39" s="65" t="n">
        <f aca="false">IF(H39="","",G39-H39)</f>
        <v>-24</v>
      </c>
      <c r="J39" s="55" t="n">
        <f aca="false">IF(OR(D39="",D39+G39=0),"",D39/(D39+G39))</f>
        <v>0.539900935608145</v>
      </c>
      <c r="K39" s="55" t="n">
        <f aca="false">IF(E39="","",E39/(E39+H39))</f>
        <v>0.536887452880991</v>
      </c>
      <c r="L39" s="66" t="n">
        <f aca="false">IF(OR(K39="",J39=""),"",(J39-K39)*100)</f>
        <v>0.301348272715452</v>
      </c>
      <c r="M39" s="36" t="n">
        <v>1.79629704648005</v>
      </c>
      <c r="N39" s="36" t="n">
        <v>1.1191567141424</v>
      </c>
      <c r="O39" s="36" t="n">
        <f aca="false">SQRT(M39^2+N39^2)</f>
        <v>2.1164108367713</v>
      </c>
      <c r="P39" s="55" t="n">
        <f aca="false">IF(J39="","",MAX(0,J39-1.96*O39/100))</f>
        <v>0.498419283207428</v>
      </c>
      <c r="Q39" s="55" t="n">
        <f aca="false">IF(J39="","",MIN(1,J39+1.96*O39/100))</f>
        <v>0.581382588008863</v>
      </c>
      <c r="R39" s="32" t="str">
        <f aca="false">IF(L39="","",IF(ABS(L39)&lt;=O39,"Yes","No"))</f>
        <v>Yes</v>
      </c>
      <c r="S39" s="32" t="str">
        <f aca="false">IF(L39="","",IF(ABS(L39)&lt;=1.96*O39,"Yes","No"))</f>
        <v>Yes</v>
      </c>
      <c r="T39" s="54" t="n">
        <f aca="false">IF(D39="","",ROUND(SQRT(((D39+G39)*O39/100)^2+(J39*(D39+G39)*0.06991)^2),0))</f>
        <v>79</v>
      </c>
      <c r="U39" s="32"/>
    </row>
    <row r="40" customFormat="false" ht="15" hidden="false" customHeight="false" outlineLevel="0" collapsed="false">
      <c r="A40" s="32" t="s">
        <v>157</v>
      </c>
      <c r="B40" s="32" t="s">
        <v>173</v>
      </c>
      <c r="C40" s="32" t="s">
        <v>129</v>
      </c>
      <c r="D40" s="54" t="n">
        <v>4209</v>
      </c>
      <c r="E40" s="54" t="n">
        <v>3900</v>
      </c>
      <c r="F40" s="65" t="n">
        <f aca="false">IF(E40="","",D40-E40)</f>
        <v>309</v>
      </c>
      <c r="G40" s="54" t="n">
        <v>5453</v>
      </c>
      <c r="H40" s="54" t="n">
        <v>5859</v>
      </c>
      <c r="I40" s="65" t="n">
        <f aca="false">IF(H40="","",G40-H40)</f>
        <v>-406</v>
      </c>
      <c r="J40" s="55" t="n">
        <f aca="false">IF(OR(D40="",D40+G40=0),"",D40/(D40+G40))</f>
        <v>0.435624094390395</v>
      </c>
      <c r="K40" s="55" t="n">
        <f aca="false">IF(E40="","",E40/(E40+H40))</f>
        <v>0.399631109744851</v>
      </c>
      <c r="L40" s="66" t="n">
        <f aca="false">IF(OR(K40="",J40=""),"",(J40-K40)*100)</f>
        <v>3.59929846455445</v>
      </c>
      <c r="M40" s="36" t="n">
        <v>2.09473161487849</v>
      </c>
      <c r="N40" s="36" t="n">
        <v>1.1191567141424</v>
      </c>
      <c r="O40" s="36" t="n">
        <f aca="false">SQRT(M40^2+N40^2)</f>
        <v>2.37495521835286</v>
      </c>
      <c r="P40" s="55" t="n">
        <f aca="false">IF(J40="","",MAX(0,J40-1.96*O40/100))</f>
        <v>0.389074972110679</v>
      </c>
      <c r="Q40" s="55" t="n">
        <f aca="false">IF(J40="","",MIN(1,J40+1.96*O40/100))</f>
        <v>0.482173216670111</v>
      </c>
      <c r="R40" s="32" t="str">
        <f aca="false">IF(L40="","",IF(ABS(L40)&lt;=O40,"Yes","No"))</f>
        <v>No</v>
      </c>
      <c r="S40" s="32" t="str">
        <f aca="false">IF(L40="","",IF(ABS(L40)&lt;=1.96*O40,"Yes","No"))</f>
        <v>Yes</v>
      </c>
      <c r="T40" s="54" t="n">
        <f aca="false">IF(D40="","",ROUND(SQRT(((D40+G40)*O40/100)^2+(J40*(D40+G40)*0.0639)^2),0))</f>
        <v>354</v>
      </c>
      <c r="U40" s="32"/>
    </row>
    <row r="41" customFormat="false" ht="15" hidden="false" customHeight="false" outlineLevel="0" collapsed="false">
      <c r="A41" s="32" t="s">
        <v>157</v>
      </c>
      <c r="B41" s="32" t="s">
        <v>174</v>
      </c>
      <c r="C41" s="32" t="s">
        <v>129</v>
      </c>
      <c r="D41" s="54" t="n">
        <v>4152</v>
      </c>
      <c r="E41" s="54" t="n">
        <v>4029</v>
      </c>
      <c r="F41" s="65" t="n">
        <f aca="false">IF(E41="","",D41-E41)</f>
        <v>123</v>
      </c>
      <c r="G41" s="54" t="n">
        <v>3968</v>
      </c>
      <c r="H41" s="54" t="n">
        <v>4143</v>
      </c>
      <c r="I41" s="65" t="n">
        <f aca="false">IF(H41="","",G41-H41)</f>
        <v>-175</v>
      </c>
      <c r="J41" s="55" t="n">
        <f aca="false">IF(OR(D41="",D41+G41=0),"",D41/(D41+G41))</f>
        <v>0.511330049261084</v>
      </c>
      <c r="K41" s="55" t="n">
        <f aca="false">IF(E41="","",E41/(E41+H41))</f>
        <v>0.49302496328928</v>
      </c>
      <c r="L41" s="66" t="n">
        <f aca="false">IF(OR(K41="",J41=""),"",(J41-K41)*100)</f>
        <v>1.83050859718032</v>
      </c>
      <c r="M41" s="36" t="n">
        <v>2.09473161487849</v>
      </c>
      <c r="N41" s="36" t="n">
        <v>1.1191567141424</v>
      </c>
      <c r="O41" s="36" t="n">
        <f aca="false">SQRT(M41^2+N41^2)</f>
        <v>2.37495521835286</v>
      </c>
      <c r="P41" s="55" t="n">
        <f aca="false">IF(J41="","",MAX(0,J41-1.96*O41/100))</f>
        <v>0.464780926981368</v>
      </c>
      <c r="Q41" s="55" t="n">
        <f aca="false">IF(J41="","",MIN(1,J41+1.96*O41/100))</f>
        <v>0.5578791715408</v>
      </c>
      <c r="R41" s="32" t="str">
        <f aca="false">IF(L41="","",IF(ABS(L41)&lt;=O41,"Yes","No"))</f>
        <v>Yes</v>
      </c>
      <c r="S41" s="32" t="str">
        <f aca="false">IF(L41="","",IF(ABS(L41)&lt;=1.96*O41,"Yes","No"))</f>
        <v>Yes</v>
      </c>
      <c r="T41" s="54" t="n">
        <f aca="false">IF(D41="","",ROUND(SQRT(((D41+G41)*O41/100)^2+(J41*(D41+G41)*0.0639)^2),0))</f>
        <v>328</v>
      </c>
      <c r="U41" s="32"/>
    </row>
    <row r="42" customFormat="false" ht="15" hidden="false" customHeight="false" outlineLevel="0" collapsed="false">
      <c r="A42" s="32" t="s">
        <v>157</v>
      </c>
      <c r="B42" s="32" t="s">
        <v>175</v>
      </c>
      <c r="C42" s="32" t="s">
        <v>129</v>
      </c>
      <c r="D42" s="54" t="n">
        <v>831</v>
      </c>
      <c r="E42" s="54" t="n">
        <v>748</v>
      </c>
      <c r="F42" s="65" t="n">
        <f aca="false">IF(E42="","",D42-E42)</f>
        <v>83</v>
      </c>
      <c r="G42" s="54" t="n">
        <v>1026</v>
      </c>
      <c r="H42" s="54" t="n">
        <v>1149</v>
      </c>
      <c r="I42" s="65" t="n">
        <f aca="false">IF(H42="","",G42-H42)</f>
        <v>-123</v>
      </c>
      <c r="J42" s="55" t="n">
        <f aca="false">IF(OR(D42="",D42+G42=0),"",D42/(D42+G42))</f>
        <v>0.447495961227787</v>
      </c>
      <c r="K42" s="55" t="n">
        <f aca="false">IF(E42="","",E42/(E42+H42))</f>
        <v>0.394306800210859</v>
      </c>
      <c r="L42" s="66" t="n">
        <f aca="false">IF(OR(K42="",J42=""),"",(J42-K42)*100)</f>
        <v>5.31891610169275</v>
      </c>
      <c r="M42" s="36" t="n">
        <v>1.79629704648005</v>
      </c>
      <c r="N42" s="36" t="n">
        <v>1.1191567141424</v>
      </c>
      <c r="O42" s="36" t="n">
        <f aca="false">SQRT(M42^2+N42^2)</f>
        <v>2.1164108367713</v>
      </c>
      <c r="P42" s="55" t="n">
        <f aca="false">IF(J42="","",MAX(0,J42-1.96*O42/100))</f>
        <v>0.406014308827069</v>
      </c>
      <c r="Q42" s="55" t="n">
        <f aca="false">IF(J42="","",MIN(1,J42+1.96*O42/100))</f>
        <v>0.488977613628504</v>
      </c>
      <c r="R42" s="32" t="str">
        <f aca="false">IF(L42="","",IF(ABS(L42)&lt;=O42,"Yes","No"))</f>
        <v>No</v>
      </c>
      <c r="S42" s="32" t="str">
        <f aca="false">IF(L42="","",IF(ABS(L42)&lt;=1.96*O42,"Yes","No"))</f>
        <v>No</v>
      </c>
      <c r="T42" s="54" t="n">
        <f aca="false">IF(D42="","",ROUND(SQRT(((D42+G42)*O42/100)^2+(J42*(D42+G42)*0.06991)^2),0))</f>
        <v>70</v>
      </c>
      <c r="U42" s="32"/>
    </row>
    <row r="43" customFormat="false" ht="15" hidden="false" customHeight="false" outlineLevel="0" collapsed="false">
      <c r="A43" s="32" t="s">
        <v>157</v>
      </c>
      <c r="B43" s="32" t="s">
        <v>176</v>
      </c>
      <c r="C43" s="32" t="s">
        <v>129</v>
      </c>
      <c r="D43" s="54" t="n">
        <v>6920</v>
      </c>
      <c r="E43" s="54" t="n">
        <v>6668</v>
      </c>
      <c r="F43" s="65" t="n">
        <f aca="false">IF(E43="","",D43-E43)</f>
        <v>252</v>
      </c>
      <c r="G43" s="54" t="n">
        <v>5538</v>
      </c>
      <c r="H43" s="54" t="n">
        <v>5856</v>
      </c>
      <c r="I43" s="65" t="n">
        <f aca="false">IF(H43="","",G43-H43)</f>
        <v>-318</v>
      </c>
      <c r="J43" s="55" t="n">
        <f aca="false">IF(OR(D43="",D43+G43=0),"",D43/(D43+G43))</f>
        <v>0.555466366993097</v>
      </c>
      <c r="K43" s="55" t="n">
        <f aca="false">IF(E43="","",E43/(E43+H43))</f>
        <v>0.532417757904823</v>
      </c>
      <c r="L43" s="66" t="n">
        <f aca="false">IF(OR(K43="",J43=""),"",(J43-K43)*100)</f>
        <v>2.30486090882741</v>
      </c>
      <c r="M43" s="36" t="n">
        <v>2.09473161487849</v>
      </c>
      <c r="N43" s="36" t="n">
        <v>1.1191567141424</v>
      </c>
      <c r="O43" s="36" t="n">
        <f aca="false">SQRT(M43^2+N43^2)</f>
        <v>2.37495521835286</v>
      </c>
      <c r="P43" s="55" t="n">
        <f aca="false">IF(J43="","",MAX(0,J43-1.96*O43/100))</f>
        <v>0.508917244713381</v>
      </c>
      <c r="Q43" s="55" t="n">
        <f aca="false">IF(J43="","",MIN(1,J43+1.96*O43/100))</f>
        <v>0.602015489272813</v>
      </c>
      <c r="R43" s="32" t="str">
        <f aca="false">IF(L43="","",IF(ABS(L43)&lt;=O43,"Yes","No"))</f>
        <v>Yes</v>
      </c>
      <c r="S43" s="32" t="str">
        <f aca="false">IF(L43="","",IF(ABS(L43)&lt;=1.96*O43,"Yes","No"))</f>
        <v>Yes</v>
      </c>
      <c r="T43" s="54" t="n">
        <f aca="false">IF(D43="","",ROUND(SQRT(((D43+G43)*O43/100)^2+(J43*(D43+G43)*0.0639)^2),0))</f>
        <v>532</v>
      </c>
      <c r="U43" s="32"/>
    </row>
    <row r="44" customFormat="false" ht="15" hidden="false" customHeight="false" outlineLevel="0" collapsed="false">
      <c r="A44" s="32" t="s">
        <v>157</v>
      </c>
      <c r="B44" s="32" t="s">
        <v>177</v>
      </c>
      <c r="C44" s="32" t="s">
        <v>129</v>
      </c>
      <c r="D44" s="54" t="n">
        <v>7543</v>
      </c>
      <c r="E44" s="54" t="n">
        <v>7495</v>
      </c>
      <c r="F44" s="65" t="n">
        <f aca="false">IF(E44="","",D44-E44)</f>
        <v>48</v>
      </c>
      <c r="G44" s="54" t="n">
        <v>6660</v>
      </c>
      <c r="H44" s="54" t="n">
        <v>7011</v>
      </c>
      <c r="I44" s="65" t="n">
        <f aca="false">IF(H44="","",G44-H44)</f>
        <v>-351</v>
      </c>
      <c r="J44" s="55" t="n">
        <f aca="false">IF(OR(D44="",D44+G44=0),"",D44/(D44+G44))</f>
        <v>0.531084982046047</v>
      </c>
      <c r="K44" s="55" t="n">
        <f aca="false">IF(E44="","",E44/(E44+H44))</f>
        <v>0.516682751964704</v>
      </c>
      <c r="L44" s="66" t="n">
        <f aca="false">IF(OR(K44="",J44=""),"",(J44-K44)*100)</f>
        <v>1.44022300813423</v>
      </c>
      <c r="M44" s="36" t="n">
        <v>2.09473161487849</v>
      </c>
      <c r="N44" s="36" t="n">
        <v>1.1191567141424</v>
      </c>
      <c r="O44" s="36" t="n">
        <f aca="false">SQRT(M44^2+N44^2)</f>
        <v>2.37495521835286</v>
      </c>
      <c r="P44" s="55" t="n">
        <f aca="false">IF(J44="","",MAX(0,J44-1.96*O44/100))</f>
        <v>0.484535859766331</v>
      </c>
      <c r="Q44" s="55" t="n">
        <f aca="false">IF(J44="","",MIN(1,J44+1.96*O44/100))</f>
        <v>0.577634104325763</v>
      </c>
      <c r="R44" s="32" t="str">
        <f aca="false">IF(L44="","",IF(ABS(L44)&lt;=O44,"Yes","No"))</f>
        <v>Yes</v>
      </c>
      <c r="S44" s="32" t="str">
        <f aca="false">IF(L44="","",IF(ABS(L44)&lt;=1.96*O44,"Yes","No"))</f>
        <v>Yes</v>
      </c>
      <c r="T44" s="54" t="n">
        <f aca="false">IF(D44="","",ROUND(SQRT(((D44+G44)*O44/100)^2+(J44*(D44+G44)*0.0639)^2),0))</f>
        <v>588</v>
      </c>
      <c r="U44" s="32"/>
    </row>
    <row r="45" customFormat="false" ht="15" hidden="false" customHeight="false" outlineLevel="0" collapsed="false">
      <c r="A45" s="32" t="s">
        <v>157</v>
      </c>
      <c r="B45" s="32" t="s">
        <v>178</v>
      </c>
      <c r="C45" s="32" t="s">
        <v>129</v>
      </c>
      <c r="D45" s="54" t="n">
        <v>2383</v>
      </c>
      <c r="E45" s="54" t="n">
        <v>2222</v>
      </c>
      <c r="F45" s="65" t="n">
        <f aca="false">IF(E45="","",D45-E45)</f>
        <v>161</v>
      </c>
      <c r="G45" s="54" t="n">
        <v>2852</v>
      </c>
      <c r="H45" s="54" t="n">
        <v>2955</v>
      </c>
      <c r="I45" s="65" t="n">
        <f aca="false">IF(H45="","",G45-H45)</f>
        <v>-103</v>
      </c>
      <c r="J45" s="55" t="n">
        <f aca="false">IF(OR(D45="",D45+G45=0),"",D45/(D45+G45))</f>
        <v>0.455205348615091</v>
      </c>
      <c r="K45" s="55" t="n">
        <f aca="false">IF(E45="","",E45/(E45+H45))</f>
        <v>0.42920610392119</v>
      </c>
      <c r="L45" s="66" t="n">
        <f aca="false">IF(OR(K45="",J45=""),"",(J45-K45)*100)</f>
        <v>2.59992446939009</v>
      </c>
      <c r="M45" s="36" t="n">
        <v>2.09473161487849</v>
      </c>
      <c r="N45" s="36" t="n">
        <v>1.1191567141424</v>
      </c>
      <c r="O45" s="36" t="n">
        <f aca="false">SQRT(M45^2+N45^2)</f>
        <v>2.37495521835286</v>
      </c>
      <c r="P45" s="55" t="n">
        <f aca="false">IF(J45="","",MAX(0,J45-1.96*O45/100))</f>
        <v>0.408656226335375</v>
      </c>
      <c r="Q45" s="55" t="n">
        <f aca="false">IF(J45="","",MIN(1,J45+1.96*O45/100))</f>
        <v>0.501754470894807</v>
      </c>
      <c r="R45" s="32" t="str">
        <f aca="false">IF(L45="","",IF(ABS(L45)&lt;=O45,"Yes","No"))</f>
        <v>No</v>
      </c>
      <c r="S45" s="32" t="str">
        <f aca="false">IF(L45="","",IF(ABS(L45)&lt;=1.96*O45,"Yes","No"))</f>
        <v>Yes</v>
      </c>
      <c r="T45" s="54" t="n">
        <f aca="false">IF(D45="","",ROUND(SQRT(((D45+G45)*O45/100)^2+(J45*(D45+G45)*0.0639)^2),0))</f>
        <v>197</v>
      </c>
      <c r="U45" s="32"/>
    </row>
    <row r="46" customFormat="false" ht="15" hidden="false" customHeight="false" outlineLevel="0" collapsed="false">
      <c r="A46" s="32" t="s">
        <v>157</v>
      </c>
      <c r="B46" s="32" t="s">
        <v>179</v>
      </c>
      <c r="C46" s="32" t="s">
        <v>129</v>
      </c>
      <c r="D46" s="54" t="n">
        <v>5114</v>
      </c>
      <c r="E46" s="54" t="n">
        <v>4817</v>
      </c>
      <c r="F46" s="65" t="n">
        <f aca="false">IF(E46="","",D46-E46)</f>
        <v>297</v>
      </c>
      <c r="G46" s="54" t="n">
        <v>5219</v>
      </c>
      <c r="H46" s="54" t="n">
        <v>5501</v>
      </c>
      <c r="I46" s="65" t="n">
        <f aca="false">IF(H46="","",G46-H46)</f>
        <v>-282</v>
      </c>
      <c r="J46" s="55" t="n">
        <f aca="false">IF(OR(D46="",D46+G46=0),"",D46/(D46+G46))</f>
        <v>0.494919190941643</v>
      </c>
      <c r="K46" s="55" t="n">
        <f aca="false">IF(E46="","",E46/(E46+H46))</f>
        <v>0.466854041480907</v>
      </c>
      <c r="L46" s="66" t="n">
        <f aca="false">IF(OR(K46="",J46=""),"",(J46-K46)*100)</f>
        <v>2.80651494607361</v>
      </c>
      <c r="M46" s="36" t="n">
        <v>2.09473161487849</v>
      </c>
      <c r="N46" s="36" t="n">
        <v>1.1191567141424</v>
      </c>
      <c r="O46" s="36" t="n">
        <f aca="false">SQRT(M46^2+N46^2)</f>
        <v>2.37495521835286</v>
      </c>
      <c r="P46" s="55" t="n">
        <f aca="false">IF(J46="","",MAX(0,J46-1.96*O46/100))</f>
        <v>0.448370068661927</v>
      </c>
      <c r="Q46" s="55" t="n">
        <f aca="false">IF(J46="","",MIN(1,J46+1.96*O46/100))</f>
        <v>0.541468313221359</v>
      </c>
      <c r="R46" s="32" t="str">
        <f aca="false">IF(L46="","",IF(ABS(L46)&lt;=O46,"Yes","No"))</f>
        <v>No</v>
      </c>
      <c r="S46" s="32" t="str">
        <f aca="false">IF(L46="","",IF(ABS(L46)&lt;=1.96*O46,"Yes","No"))</f>
        <v>Yes</v>
      </c>
      <c r="T46" s="54" t="n">
        <f aca="false">IF(D46="","",ROUND(SQRT(((D46+G46)*O46/100)^2+(J46*(D46+G46)*0.0639)^2),0))</f>
        <v>409</v>
      </c>
      <c r="U46" s="32"/>
    </row>
    <row r="47" customFormat="false" ht="15" hidden="false" customHeight="false" outlineLevel="0" collapsed="false">
      <c r="A47" s="32" t="s">
        <v>157</v>
      </c>
      <c r="B47" s="32" t="s">
        <v>180</v>
      </c>
      <c r="C47" s="32" t="s">
        <v>129</v>
      </c>
      <c r="D47" s="54" t="n">
        <v>1403</v>
      </c>
      <c r="E47" s="54" t="n">
        <v>1231</v>
      </c>
      <c r="F47" s="65" t="n">
        <f aca="false">IF(E47="","",D47-E47)</f>
        <v>172</v>
      </c>
      <c r="G47" s="54" t="n">
        <v>2408</v>
      </c>
      <c r="H47" s="54" t="n">
        <v>2578</v>
      </c>
      <c r="I47" s="65" t="n">
        <f aca="false">IF(H47="","",G47-H47)</f>
        <v>-170</v>
      </c>
      <c r="J47" s="55" t="n">
        <f aca="false">IF(OR(D47="",D47+G47=0),"",D47/(D47+G47))</f>
        <v>0.368144843872999</v>
      </c>
      <c r="K47" s="55" t="n">
        <f aca="false">IF(E47="","",E47/(E47+H47))</f>
        <v>0.323181937516409</v>
      </c>
      <c r="L47" s="66" t="n">
        <f aca="false">IF(OR(K47="",J47=""),"",(J47-K47)*100)</f>
        <v>4.49629063565907</v>
      </c>
      <c r="M47" s="36" t="n">
        <v>2.09473161487849</v>
      </c>
      <c r="N47" s="36" t="n">
        <v>1.1191567141424</v>
      </c>
      <c r="O47" s="36" t="n">
        <f aca="false">SQRT(M47^2+N47^2)</f>
        <v>2.37495521835286</v>
      </c>
      <c r="P47" s="55" t="n">
        <f aca="false">IF(J47="","",MAX(0,J47-1.96*O47/100))</f>
        <v>0.321595721593283</v>
      </c>
      <c r="Q47" s="55" t="n">
        <f aca="false">IF(J47="","",MIN(1,J47+1.96*O47/100))</f>
        <v>0.414693966152715</v>
      </c>
      <c r="R47" s="32" t="str">
        <f aca="false">IF(L47="","",IF(ABS(L47)&lt;=O47,"Yes","No"))</f>
        <v>No</v>
      </c>
      <c r="S47" s="32" t="str">
        <f aca="false">IF(L47="","",IF(ABS(L47)&lt;=1.96*O47,"Yes","No"))</f>
        <v>Yes</v>
      </c>
      <c r="T47" s="54" t="n">
        <f aca="false">IF(D47="","",ROUND(SQRT(((D47+G47)*O47/100)^2+(J47*(D47+G47)*0.0639)^2),0))</f>
        <v>127</v>
      </c>
      <c r="U47" s="32"/>
    </row>
    <row r="48" customFormat="false" ht="15" hidden="false" customHeight="false" outlineLevel="0" collapsed="false">
      <c r="A48" s="32" t="s">
        <v>157</v>
      </c>
      <c r="B48" s="32" t="s">
        <v>181</v>
      </c>
      <c r="C48" s="32" t="s">
        <v>129</v>
      </c>
      <c r="D48" s="54" t="n">
        <v>1183</v>
      </c>
      <c r="E48" s="54" t="n">
        <v>1073</v>
      </c>
      <c r="F48" s="65" t="n">
        <f aca="false">IF(E48="","",D48-E48)</f>
        <v>110</v>
      </c>
      <c r="G48" s="54" t="n">
        <v>2042</v>
      </c>
      <c r="H48" s="54" t="n">
        <v>2156</v>
      </c>
      <c r="I48" s="65" t="n">
        <f aca="false">IF(H48="","",G48-H48)</f>
        <v>-114</v>
      </c>
      <c r="J48" s="55" t="n">
        <f aca="false">IF(OR(D48="",D48+G48=0),"",D48/(D48+G48))</f>
        <v>0.366821705426357</v>
      </c>
      <c r="K48" s="55" t="n">
        <f aca="false">IF(E48="","",E48/(E48+H48))</f>
        <v>0.332301021988232</v>
      </c>
      <c r="L48" s="66" t="n">
        <f aca="false">IF(OR(K48="",J48=""),"",(J48-K48)*100)</f>
        <v>3.4520683438125</v>
      </c>
      <c r="M48" s="36" t="n">
        <v>1.79629704648005</v>
      </c>
      <c r="N48" s="36" t="n">
        <v>1.1191567141424</v>
      </c>
      <c r="O48" s="36" t="n">
        <f aca="false">SQRT(M48^2+N48^2)</f>
        <v>2.1164108367713</v>
      </c>
      <c r="P48" s="55" t="n">
        <f aca="false">IF(J48="","",MAX(0,J48-1.96*O48/100))</f>
        <v>0.325340053025639</v>
      </c>
      <c r="Q48" s="55" t="n">
        <f aca="false">IF(J48="","",MIN(1,J48+1.96*O48/100))</f>
        <v>0.408303357827074</v>
      </c>
      <c r="R48" s="32" t="str">
        <f aca="false">IF(L48="","",IF(ABS(L48)&lt;=O48,"Yes","No"))</f>
        <v>No</v>
      </c>
      <c r="S48" s="32" t="str">
        <f aca="false">IF(L48="","",IF(ABS(L48)&lt;=1.96*O48,"Yes","No"))</f>
        <v>Yes</v>
      </c>
      <c r="T48" s="54" t="n">
        <f aca="false">IF(D48="","",ROUND(SQRT(((D48+G48)*O48/100)^2+(J48*(D48+G48)*0.06991)^2),0))</f>
        <v>107</v>
      </c>
      <c r="U48" s="32"/>
    </row>
    <row r="49" customFormat="false" ht="15" hidden="false" customHeight="false" outlineLevel="0" collapsed="false">
      <c r="A49" s="32" t="s">
        <v>157</v>
      </c>
      <c r="B49" s="32" t="s">
        <v>182</v>
      </c>
      <c r="C49" s="32" t="s">
        <v>129</v>
      </c>
      <c r="D49" s="54" t="n">
        <v>7877</v>
      </c>
      <c r="E49" s="54" t="n">
        <v>7458</v>
      </c>
      <c r="F49" s="65" t="n">
        <f aca="false">IF(E49="","",D49-E49)</f>
        <v>419</v>
      </c>
      <c r="G49" s="54" t="n">
        <v>6252</v>
      </c>
      <c r="H49" s="54" t="n">
        <v>6731</v>
      </c>
      <c r="I49" s="65" t="n">
        <f aca="false">IF(H49="","",G49-H49)</f>
        <v>-479</v>
      </c>
      <c r="J49" s="55" t="n">
        <f aca="false">IF(OR(D49="",D49+G49=0),"",D49/(D49+G49))</f>
        <v>0.557505839054427</v>
      </c>
      <c r="K49" s="55" t="n">
        <f aca="false">IF(E49="","",E49/(E49+H49))</f>
        <v>0.525618436817253</v>
      </c>
      <c r="L49" s="66" t="n">
        <f aca="false">IF(OR(K49="",J49=""),"",(J49-K49)*100)</f>
        <v>3.18874022371742</v>
      </c>
      <c r="M49" s="36" t="n">
        <v>2.09473161487849</v>
      </c>
      <c r="N49" s="36" t="n">
        <v>1.1191567141424</v>
      </c>
      <c r="O49" s="36" t="n">
        <f aca="false">SQRT(M49^2+N49^2)</f>
        <v>2.37495521835286</v>
      </c>
      <c r="P49" s="55" t="n">
        <f aca="false">IF(J49="","",MAX(0,J49-1.96*O49/100))</f>
        <v>0.510956716774711</v>
      </c>
      <c r="Q49" s="55" t="n">
        <f aca="false">IF(J49="","",MIN(1,J49+1.96*O49/100))</f>
        <v>0.604054961334143</v>
      </c>
      <c r="R49" s="32" t="str">
        <f aca="false">IF(L49="","",IF(ABS(L49)&lt;=O49,"Yes","No"))</f>
        <v>No</v>
      </c>
      <c r="S49" s="32" t="str">
        <f aca="false">IF(L49="","",IF(ABS(L49)&lt;=1.96*O49,"Yes","No"))</f>
        <v>Yes</v>
      </c>
      <c r="T49" s="54" t="n">
        <f aca="false">IF(D49="","",ROUND(SQRT(((D49+G49)*O49/100)^2+(J49*(D49+G49)*0.0639)^2),0))</f>
        <v>605</v>
      </c>
      <c r="U49" s="32"/>
    </row>
    <row r="50" customFormat="false" ht="15" hidden="false" customHeight="false" outlineLevel="0" collapsed="false">
      <c r="A50" s="32" t="s">
        <v>183</v>
      </c>
      <c r="B50" s="32" t="s">
        <v>184</v>
      </c>
      <c r="C50" s="32" t="s">
        <v>129</v>
      </c>
      <c r="D50" s="54" t="n">
        <v>523</v>
      </c>
      <c r="E50" s="54" t="n">
        <v>482</v>
      </c>
      <c r="F50" s="65" t="n">
        <f aca="false">IF(E50="","",D50-E50)</f>
        <v>41</v>
      </c>
      <c r="G50" s="54" t="n">
        <v>995</v>
      </c>
      <c r="H50" s="54" t="n">
        <v>987</v>
      </c>
      <c r="I50" s="65" t="n">
        <f aca="false">IF(H50="","",G50-H50)</f>
        <v>8</v>
      </c>
      <c r="J50" s="55" t="n">
        <f aca="false">IF(OR(D50="",D50+G50=0),"",D50/(D50+G50))</f>
        <v>0.344532279314888</v>
      </c>
      <c r="K50" s="55" t="n">
        <f aca="false">IF(E50="","",E50/(E50+H50))</f>
        <v>0.328114363512594</v>
      </c>
      <c r="L50" s="66" t="n">
        <f aca="false">IF(OR(K50="",J50=""),"",(J50-K50)*100)</f>
        <v>1.64179158022944</v>
      </c>
      <c r="M50" s="36" t="n">
        <v>3.50909186283217</v>
      </c>
      <c r="N50" s="36" t="n">
        <v>1.1191567141424</v>
      </c>
      <c r="O50" s="36" t="n">
        <f aca="false">SQRT(M50^2+N50^2)</f>
        <v>3.68323736034008</v>
      </c>
      <c r="P50" s="55" t="n">
        <f aca="false">IF(J50="","",MAX(0,J50-1.96*O50/100))</f>
        <v>0.272340827052222</v>
      </c>
      <c r="Q50" s="55" t="n">
        <f aca="false">IF(J50="","",MIN(1,J50+1.96*O50/100))</f>
        <v>0.416723731577554</v>
      </c>
      <c r="R50" s="32" t="str">
        <f aca="false">IF(L50="","",IF(ABS(L50)&lt;=O50,"Yes","No"))</f>
        <v>Yes</v>
      </c>
      <c r="S50" s="32" t="str">
        <f aca="false">IF(L50="","",IF(ABS(L50)&lt;=1.96*O50,"Yes","No"))</f>
        <v>Yes</v>
      </c>
      <c r="T50" s="54" t="n">
        <f aca="false">IF(D50="","",ROUND(SQRT(((D50+G50)*O50/100)^2+(J50*(D50+G50)*0.09092)^2),0))</f>
        <v>73</v>
      </c>
      <c r="U50" s="32"/>
    </row>
    <row r="51" customFormat="false" ht="15" hidden="false" customHeight="false" outlineLevel="0" collapsed="false">
      <c r="A51" s="32" t="s">
        <v>183</v>
      </c>
      <c r="B51" s="32" t="s">
        <v>186</v>
      </c>
      <c r="C51" s="32" t="s">
        <v>129</v>
      </c>
      <c r="D51" s="54" t="n">
        <v>1549</v>
      </c>
      <c r="E51" s="54" t="n">
        <v>1425</v>
      </c>
      <c r="F51" s="65" t="n">
        <f aca="false">IF(E51="","",D51-E51)</f>
        <v>124</v>
      </c>
      <c r="G51" s="54" t="n">
        <v>2498</v>
      </c>
      <c r="H51" s="54" t="n">
        <v>2491</v>
      </c>
      <c r="I51" s="65" t="n">
        <f aca="false">IF(H51="","",G51-H51)</f>
        <v>7</v>
      </c>
      <c r="J51" s="55" t="n">
        <f aca="false">IF(OR(D51="",D51+G51=0),"",D51/(D51+G51))</f>
        <v>0.382752656288609</v>
      </c>
      <c r="K51" s="55" t="n">
        <f aca="false">IF(E51="","",E51/(E51+H51))</f>
        <v>0.363891726251277</v>
      </c>
      <c r="L51" s="66" t="n">
        <f aca="false">IF(OR(K51="",J51=""),"",(J51-K51)*100)</f>
        <v>1.8860930037332</v>
      </c>
      <c r="M51" s="36" t="n">
        <v>2.09473161487849</v>
      </c>
      <c r="N51" s="36" t="n">
        <v>1.1191567141424</v>
      </c>
      <c r="O51" s="36" t="n">
        <f aca="false">SQRT(M51^2+N51^2)</f>
        <v>2.37495521835286</v>
      </c>
      <c r="P51" s="55" t="n">
        <f aca="false">IF(J51="","",MAX(0,J51-1.96*O51/100))</f>
        <v>0.336203534008893</v>
      </c>
      <c r="Q51" s="55" t="n">
        <f aca="false">IF(J51="","",MIN(1,J51+1.96*O51/100))</f>
        <v>0.429301778568325</v>
      </c>
      <c r="R51" s="32" t="str">
        <f aca="false">IF(L51="","",IF(ABS(L51)&lt;=O51,"Yes","No"))</f>
        <v>Yes</v>
      </c>
      <c r="S51" s="32" t="str">
        <f aca="false">IF(L51="","",IF(ABS(L51)&lt;=1.96*O51,"Yes","No"))</f>
        <v>Yes</v>
      </c>
      <c r="T51" s="54" t="n">
        <f aca="false">IF(D51="","",ROUND(SQRT(((D51+G51)*O51/100)^2+(J51*(D51+G51)*0.0639)^2),0))</f>
        <v>138</v>
      </c>
      <c r="U51" s="32" t="s">
        <v>394</v>
      </c>
    </row>
    <row r="52" customFormat="false" ht="15" hidden="false" customHeight="false" outlineLevel="0" collapsed="false">
      <c r="A52" s="32" t="s">
        <v>183</v>
      </c>
      <c r="B52" s="32" t="s">
        <v>187</v>
      </c>
      <c r="C52" s="32" t="s">
        <v>129</v>
      </c>
      <c r="D52" s="54" t="n">
        <v>595</v>
      </c>
      <c r="E52" s="54" t="n">
        <v>502</v>
      </c>
      <c r="F52" s="65" t="n">
        <f aca="false">IF(E52="","",D52-E52)</f>
        <v>93</v>
      </c>
      <c r="G52" s="54" t="n">
        <v>908</v>
      </c>
      <c r="H52" s="54" t="n">
        <v>795</v>
      </c>
      <c r="I52" s="65" t="n">
        <f aca="false">IF(H52="","",G52-H52)</f>
        <v>113</v>
      </c>
      <c r="J52" s="55" t="n">
        <f aca="false">IF(OR(D52="",D52+G52=0),"",D52/(D52+G52))</f>
        <v>0.395874916833001</v>
      </c>
      <c r="K52" s="55" t="n">
        <f aca="false">IF(E52="","",E52/(E52+H52))</f>
        <v>0.387047031611411</v>
      </c>
      <c r="L52" s="66" t="n">
        <f aca="false">IF(OR(K52="",J52=""),"",(J52-K52)*100)</f>
        <v>0.882788522158973</v>
      </c>
      <c r="M52" s="36" t="n">
        <v>3.50909186283217</v>
      </c>
      <c r="N52" s="36" t="n">
        <v>1.1191567141424</v>
      </c>
      <c r="O52" s="36" t="n">
        <f aca="false">SQRT(M52^2+N52^2)</f>
        <v>3.68323736034008</v>
      </c>
      <c r="P52" s="55" t="n">
        <f aca="false">IF(J52="","",MAX(0,J52-1.96*O52/100))</f>
        <v>0.323683464570335</v>
      </c>
      <c r="Q52" s="55" t="n">
        <f aca="false">IF(J52="","",MIN(1,J52+1.96*O52/100))</f>
        <v>0.468066369095666</v>
      </c>
      <c r="R52" s="32" t="str">
        <f aca="false">IF(L52="","",IF(ABS(L52)&lt;=O52,"Yes","No"))</f>
        <v>Yes</v>
      </c>
      <c r="S52" s="32" t="str">
        <f aca="false">IF(L52="","",IF(ABS(L52)&lt;=1.96*O52,"Yes","No"))</f>
        <v>Yes</v>
      </c>
      <c r="T52" s="54" t="n">
        <f aca="false">IF(D52="","",ROUND(SQRT(((D52+G52)*O52/100)^2+(J52*(D52+G52)*0.09092)^2),0))</f>
        <v>77</v>
      </c>
      <c r="U52" s="32" t="s">
        <v>395</v>
      </c>
    </row>
    <row r="53" customFormat="false" ht="15" hidden="false" customHeight="false" outlineLevel="0" collapsed="false">
      <c r="A53" s="32" t="s">
        <v>188</v>
      </c>
      <c r="B53" s="32" t="s">
        <v>189</v>
      </c>
      <c r="C53" s="32" t="s">
        <v>129</v>
      </c>
      <c r="D53" s="54" t="n">
        <v>1494</v>
      </c>
      <c r="E53" s="54" t="n">
        <v>1432</v>
      </c>
      <c r="F53" s="65" t="n">
        <f aca="false">IF(E53="","",D53-E53)</f>
        <v>62</v>
      </c>
      <c r="G53" s="54" t="n">
        <v>1882</v>
      </c>
      <c r="H53" s="54" t="n">
        <v>1882</v>
      </c>
      <c r="I53" s="65" t="n">
        <f aca="false">IF(H53="","",G53-H53)</f>
        <v>0</v>
      </c>
      <c r="J53" s="55" t="n">
        <f aca="false">IF(OR(D53="",D53+G53=0),"",D53/(D53+G53))</f>
        <v>0.442535545023697</v>
      </c>
      <c r="K53" s="55" t="n">
        <f aca="false">IF(E53="","",E53/(E53+H53))</f>
        <v>0.432106216053108</v>
      </c>
      <c r="L53" s="66" t="n">
        <f aca="false">IF(OR(K53="",J53=""),"",(J53-K53)*100)</f>
        <v>1.04293289705887</v>
      </c>
      <c r="M53" s="36" t="n">
        <v>1.79629704648005</v>
      </c>
      <c r="N53" s="36" t="n">
        <v>1.1191567141424</v>
      </c>
      <c r="O53" s="36" t="n">
        <f aca="false">SQRT(M53^2+N53^2)</f>
        <v>2.1164108367713</v>
      </c>
      <c r="P53" s="55" t="n">
        <f aca="false">IF(J53="","",MAX(0,J53-1.96*O53/100))</f>
        <v>0.401053892622979</v>
      </c>
      <c r="Q53" s="55" t="n">
        <f aca="false">IF(J53="","",MIN(1,J53+1.96*O53/100))</f>
        <v>0.484017197424414</v>
      </c>
      <c r="R53" s="32" t="str">
        <f aca="false">IF(L53="","",IF(ABS(L53)&lt;=O53,"Yes","No"))</f>
        <v>Yes</v>
      </c>
      <c r="S53" s="32" t="str">
        <f aca="false">IF(L53="","",IF(ABS(L53)&lt;=1.96*O53,"Yes","No"))</f>
        <v>Yes</v>
      </c>
      <c r="T53" s="54" t="n">
        <f aca="false">IF(D53="","",ROUND(SQRT(((D53+G53)*O53/100)^2+(J53*(D53+G53)*0.06991)^2),0))</f>
        <v>127</v>
      </c>
      <c r="U53" s="32"/>
    </row>
    <row r="54" customFormat="false" ht="15" hidden="false" customHeight="false" outlineLevel="0" collapsed="false">
      <c r="A54" s="32" t="s">
        <v>188</v>
      </c>
      <c r="B54" s="32" t="s">
        <v>190</v>
      </c>
      <c r="C54" s="32" t="s">
        <v>129</v>
      </c>
      <c r="D54" s="54" t="n">
        <v>1049</v>
      </c>
      <c r="E54" s="54" t="n">
        <v>965</v>
      </c>
      <c r="F54" s="65" t="n">
        <f aca="false">IF(E54="","",D54-E54)</f>
        <v>84</v>
      </c>
      <c r="G54" s="54" t="n">
        <v>1246</v>
      </c>
      <c r="H54" s="54" t="n">
        <v>1342</v>
      </c>
      <c r="I54" s="65" t="n">
        <f aca="false">IF(H54="","",G54-H54)</f>
        <v>-96</v>
      </c>
      <c r="J54" s="55" t="n">
        <f aca="false">IF(OR(D54="",D54+G54=0),"",D54/(D54+G54))</f>
        <v>0.457080610021787</v>
      </c>
      <c r="K54" s="55" t="n">
        <f aca="false">IF(E54="","",E54/(E54+H54))</f>
        <v>0.418292154312961</v>
      </c>
      <c r="L54" s="66" t="n">
        <f aca="false">IF(OR(K54="",J54=""),"",(J54-K54)*100)</f>
        <v>3.87884557088259</v>
      </c>
      <c r="M54" s="36" t="n">
        <v>1.79629704648005</v>
      </c>
      <c r="N54" s="36" t="n">
        <v>1.1191567141424</v>
      </c>
      <c r="O54" s="36" t="n">
        <f aca="false">SQRT(M54^2+N54^2)</f>
        <v>2.1164108367713</v>
      </c>
      <c r="P54" s="55" t="n">
        <f aca="false">IF(J54="","",MAX(0,J54-1.96*O54/100))</f>
        <v>0.415598957621069</v>
      </c>
      <c r="Q54" s="55" t="n">
        <f aca="false">IF(J54="","",MIN(1,J54+1.96*O54/100))</f>
        <v>0.498562262422504</v>
      </c>
      <c r="R54" s="32" t="str">
        <f aca="false">IF(L54="","",IF(ABS(L54)&lt;=O54,"Yes","No"))</f>
        <v>No</v>
      </c>
      <c r="S54" s="32" t="str">
        <f aca="false">IF(L54="","",IF(ABS(L54)&lt;=1.96*O54,"Yes","No"))</f>
        <v>Yes</v>
      </c>
      <c r="T54" s="54" t="n">
        <f aca="false">IF(D54="","",ROUND(SQRT(((D54+G54)*O54/100)^2+(J54*(D54+G54)*0.06991)^2),0))</f>
        <v>88</v>
      </c>
      <c r="U54" s="32"/>
    </row>
    <row r="55" customFormat="false" ht="15" hidden="false" customHeight="false" outlineLevel="0" collapsed="false">
      <c r="A55" s="32" t="s">
        <v>188</v>
      </c>
      <c r="B55" s="32" t="s">
        <v>191</v>
      </c>
      <c r="C55" s="32" t="s">
        <v>129</v>
      </c>
      <c r="D55" s="54" t="n">
        <v>607</v>
      </c>
      <c r="E55" s="54" t="n">
        <v>579</v>
      </c>
      <c r="F55" s="65" t="n">
        <f aca="false">IF(E55="","",D55-E55)</f>
        <v>28</v>
      </c>
      <c r="G55" s="54" t="n">
        <v>648</v>
      </c>
      <c r="H55" s="54" t="n">
        <v>695</v>
      </c>
      <c r="I55" s="65" t="n">
        <f aca="false">IF(H55="","",G55-H55)</f>
        <v>-47</v>
      </c>
      <c r="J55" s="55" t="n">
        <f aca="false">IF(OR(D55="",D55+G55=0),"",D55/(D55+G55))</f>
        <v>0.483665338645418</v>
      </c>
      <c r="K55" s="55" t="n">
        <f aca="false">IF(E55="","",E55/(E55+H55))</f>
        <v>0.45447409733124</v>
      </c>
      <c r="L55" s="66" t="n">
        <f aca="false">IF(OR(K55="",J55=""),"",(J55-K55)*100)</f>
        <v>2.91912413141782</v>
      </c>
      <c r="M55" s="36" t="n">
        <v>3.50909186283217</v>
      </c>
      <c r="N55" s="36" t="n">
        <v>1.1191567141424</v>
      </c>
      <c r="O55" s="36" t="n">
        <f aca="false">SQRT(M55^2+N55^2)</f>
        <v>3.68323736034008</v>
      </c>
      <c r="P55" s="55" t="n">
        <f aca="false">IF(J55="","",MAX(0,J55-1.96*O55/100))</f>
        <v>0.411473886382753</v>
      </c>
      <c r="Q55" s="55" t="n">
        <f aca="false">IF(J55="","",MIN(1,J55+1.96*O55/100))</f>
        <v>0.555856790908084</v>
      </c>
      <c r="R55" s="32" t="str">
        <f aca="false">IF(L55="","",IF(ABS(L55)&lt;=O55,"Yes","No"))</f>
        <v>Yes</v>
      </c>
      <c r="S55" s="32" t="str">
        <f aca="false">IF(L55="","",IF(ABS(L55)&lt;=1.96*O55,"Yes","No"))</f>
        <v>Yes</v>
      </c>
      <c r="T55" s="54" t="n">
        <f aca="false">IF(D55="","",ROUND(SQRT(((D55+G55)*O55/100)^2+(J55*(D55+G55)*0.09092)^2),0))</f>
        <v>72</v>
      </c>
      <c r="U55" s="32"/>
    </row>
    <row r="56" customFormat="false" ht="15" hidden="false" customHeight="false" outlineLevel="0" collapsed="false">
      <c r="A56" s="32" t="s">
        <v>188</v>
      </c>
      <c r="B56" s="32" t="s">
        <v>160</v>
      </c>
      <c r="C56" s="32" t="s">
        <v>129</v>
      </c>
      <c r="D56" s="54" t="n">
        <v>17521</v>
      </c>
      <c r="E56" s="54" t="n">
        <v>16692</v>
      </c>
      <c r="F56" s="65" t="n">
        <f aca="false">IF(E56="","",D56-E56)</f>
        <v>829</v>
      </c>
      <c r="G56" s="54" t="n">
        <v>7807</v>
      </c>
      <c r="H56" s="54" t="n">
        <v>8176</v>
      </c>
      <c r="I56" s="65" t="n">
        <f aca="false">IF(H56="","",G56-H56)</f>
        <v>-369</v>
      </c>
      <c r="J56" s="55" t="n">
        <f aca="false">IF(OR(D56="",D56+G56=0),"",D56/(D56+G56))</f>
        <v>0.691764055590651</v>
      </c>
      <c r="K56" s="55" t="n">
        <f aca="false">IF(E56="","",E56/(E56+H56))</f>
        <v>0.671224063052919</v>
      </c>
      <c r="L56" s="66" t="n">
        <f aca="false">IF(OR(K56="",J56=""),"",(J56-K56)*100)</f>
        <v>2.05399925377313</v>
      </c>
      <c r="M56" s="36" t="n">
        <v>2.09473161487849</v>
      </c>
      <c r="N56" s="36" t="n">
        <v>1.1191567141424</v>
      </c>
      <c r="O56" s="36" t="n">
        <f aca="false">SQRT(M56^2+N56^2)</f>
        <v>2.37495521835286</v>
      </c>
      <c r="P56" s="55" t="n">
        <f aca="false">IF(J56="","",MAX(0,J56-1.96*O56/100))</f>
        <v>0.645214933310935</v>
      </c>
      <c r="Q56" s="55" t="n">
        <f aca="false">IF(J56="","",MIN(1,J56+1.96*O56/100))</f>
        <v>0.738313177870367</v>
      </c>
      <c r="R56" s="32" t="str">
        <f aca="false">IF(L56="","",IF(ABS(L56)&lt;=O56,"Yes","No"))</f>
        <v>Yes</v>
      </c>
      <c r="S56" s="32" t="str">
        <f aca="false">IF(L56="","",IF(ABS(L56)&lt;=1.96*O56,"Yes","No"))</f>
        <v>Yes</v>
      </c>
      <c r="T56" s="54" t="n">
        <f aca="false">IF(D56="","",ROUND(SQRT(((D56+G56)*O56/100)^2+(J56*(D56+G56)*0.0639)^2),0))</f>
        <v>1271</v>
      </c>
      <c r="U56" s="32"/>
    </row>
    <row r="57" customFormat="false" ht="15" hidden="false" customHeight="false" outlineLevel="0" collapsed="false">
      <c r="A57" s="32" t="s">
        <v>188</v>
      </c>
      <c r="B57" s="32" t="s">
        <v>192</v>
      </c>
      <c r="C57" s="32" t="s">
        <v>129</v>
      </c>
      <c r="D57" s="54" t="n">
        <v>8572</v>
      </c>
      <c r="E57" s="54" t="n">
        <v>8164</v>
      </c>
      <c r="F57" s="65" t="n">
        <f aca="false">IF(E57="","",D57-E57)</f>
        <v>408</v>
      </c>
      <c r="G57" s="54" t="n">
        <v>6968</v>
      </c>
      <c r="H57" s="54" t="n">
        <v>7277</v>
      </c>
      <c r="I57" s="65" t="n">
        <f aca="false">IF(H57="","",G57-H57)</f>
        <v>-309</v>
      </c>
      <c r="J57" s="55" t="n">
        <f aca="false">IF(OR(D57="",D57+G57=0),"",D57/(D57+G57))</f>
        <v>0.551608751608752</v>
      </c>
      <c r="K57" s="55" t="n">
        <f aca="false">IF(E57="","",E57/(E57+H57))</f>
        <v>0.528722233015996</v>
      </c>
      <c r="L57" s="66" t="n">
        <f aca="false">IF(OR(K57="",J57=""),"",(J57-K57)*100)</f>
        <v>2.28865185927551</v>
      </c>
      <c r="M57" s="36" t="n">
        <v>2.09473161487849</v>
      </c>
      <c r="N57" s="36" t="n">
        <v>1.1191567141424</v>
      </c>
      <c r="O57" s="36" t="n">
        <f aca="false">SQRT(M57^2+N57^2)</f>
        <v>2.37495521835286</v>
      </c>
      <c r="P57" s="55" t="n">
        <f aca="false">IF(J57="","",MAX(0,J57-1.96*O57/100))</f>
        <v>0.505059629329036</v>
      </c>
      <c r="Q57" s="55" t="n">
        <f aca="false">IF(J57="","",MIN(1,J57+1.96*O57/100))</f>
        <v>0.598157873888468</v>
      </c>
      <c r="R57" s="32" t="str">
        <f aca="false">IF(L57="","",IF(ABS(L57)&lt;=O57,"Yes","No"))</f>
        <v>Yes</v>
      </c>
      <c r="S57" s="32" t="str">
        <f aca="false">IF(L57="","",IF(ABS(L57)&lt;=1.96*O57,"Yes","No"))</f>
        <v>Yes</v>
      </c>
      <c r="T57" s="54" t="n">
        <f aca="false">IF(D57="","",ROUND(SQRT(((D57+G57)*O57/100)^2+(J57*(D57+G57)*0.0639)^2),0))</f>
        <v>660</v>
      </c>
      <c r="U57" s="32"/>
    </row>
    <row r="58" customFormat="false" ht="15" hidden="false" customHeight="false" outlineLevel="0" collapsed="false">
      <c r="A58" s="32" t="s">
        <v>188</v>
      </c>
      <c r="B58" s="32" t="s">
        <v>193</v>
      </c>
      <c r="C58" s="32" t="s">
        <v>129</v>
      </c>
      <c r="D58" s="54" t="n">
        <v>2137</v>
      </c>
      <c r="E58" s="54" t="n">
        <v>1988</v>
      </c>
      <c r="F58" s="65" t="n">
        <f aca="false">IF(E58="","",D58-E58)</f>
        <v>149</v>
      </c>
      <c r="G58" s="54" t="n">
        <v>3248</v>
      </c>
      <c r="H58" s="54" t="n">
        <v>3385</v>
      </c>
      <c r="I58" s="65" t="n">
        <f aca="false">IF(H58="","",G58-H58)</f>
        <v>-137</v>
      </c>
      <c r="J58" s="55" t="n">
        <f aca="false">IF(OR(D58="",D58+G58=0),"",D58/(D58+G58))</f>
        <v>0.396843082636955</v>
      </c>
      <c r="K58" s="55" t="n">
        <f aca="false">IF(E58="","",E58/(E58+H58))</f>
        <v>0.36999813884236</v>
      </c>
      <c r="L58" s="66" t="n">
        <f aca="false">IF(OR(K58="",J58=""),"",(J58-K58)*100)</f>
        <v>2.68449437945946</v>
      </c>
      <c r="M58" s="36" t="n">
        <v>2.09473161487849</v>
      </c>
      <c r="N58" s="36" t="n">
        <v>1.1191567141424</v>
      </c>
      <c r="O58" s="36" t="n">
        <f aca="false">SQRT(M58^2+N58^2)</f>
        <v>2.37495521835286</v>
      </c>
      <c r="P58" s="55" t="n">
        <f aca="false">IF(J58="","",MAX(0,J58-1.96*O58/100))</f>
        <v>0.350293960357239</v>
      </c>
      <c r="Q58" s="55" t="n">
        <f aca="false">IF(J58="","",MIN(1,J58+1.96*O58/100))</f>
        <v>0.443392204916671</v>
      </c>
      <c r="R58" s="32" t="str">
        <f aca="false">IF(L58="","",IF(ABS(L58)&lt;=O58,"Yes","No"))</f>
        <v>No</v>
      </c>
      <c r="S58" s="32" t="str">
        <f aca="false">IF(L58="","",IF(ABS(L58)&lt;=1.96*O58,"Yes","No"))</f>
        <v>Yes</v>
      </c>
      <c r="T58" s="54" t="n">
        <f aca="false">IF(D58="","",ROUND(SQRT(((D58+G58)*O58/100)^2+(J58*(D58+G58)*0.0639)^2),0))</f>
        <v>187</v>
      </c>
      <c r="U58" s="32"/>
    </row>
    <row r="59" customFormat="false" ht="15" hidden="false" customHeight="false" outlineLevel="0" collapsed="false">
      <c r="A59" s="32" t="s">
        <v>188</v>
      </c>
      <c r="B59" s="32" t="s">
        <v>194</v>
      </c>
      <c r="C59" s="32" t="s">
        <v>129</v>
      </c>
      <c r="D59" s="54" t="n">
        <v>48</v>
      </c>
      <c r="E59" s="54" t="n">
        <v>39</v>
      </c>
      <c r="F59" s="65" t="n">
        <f aca="false">IF(E59="","",D59-E59)</f>
        <v>9</v>
      </c>
      <c r="G59" s="54" t="n">
        <v>72</v>
      </c>
      <c r="H59" s="54" t="n">
        <v>79</v>
      </c>
      <c r="I59" s="65" t="n">
        <f aca="false">IF(H59="","",G59-H59)</f>
        <v>-7</v>
      </c>
      <c r="J59" s="55" t="n">
        <f aca="false">IF(OR(D59="",D59+G59=0),"",D59/(D59+G59))</f>
        <v>0.4</v>
      </c>
      <c r="K59" s="55" t="n">
        <f aca="false">IF(E59="","",E59/(E59+H59))</f>
        <v>0.330508474576271</v>
      </c>
      <c r="L59" s="66" t="n">
        <f aca="false">IF(OR(K59="",J59=""),"",(J59-K59)*100)</f>
        <v>6.94915254237288</v>
      </c>
      <c r="M59" s="36" t="n">
        <v>3.50909186283217</v>
      </c>
      <c r="N59" s="36" t="n">
        <v>1.1191567141424</v>
      </c>
      <c r="O59" s="36" t="n">
        <f aca="false">SQRT(M59^2+N59^2)</f>
        <v>3.68323736034008</v>
      </c>
      <c r="P59" s="55" t="n">
        <f aca="false">IF(J59="","",MAX(0,J59-1.96*O59/100))</f>
        <v>0.327808547737335</v>
      </c>
      <c r="Q59" s="55" t="n">
        <f aca="false">IF(J59="","",MIN(1,J59+1.96*O59/100))</f>
        <v>0.472191452262666</v>
      </c>
      <c r="R59" s="32" t="str">
        <f aca="false">IF(L59="","",IF(ABS(L59)&lt;=O59,"Yes","No"))</f>
        <v>No</v>
      </c>
      <c r="S59" s="32" t="str">
        <f aca="false">IF(L59="","",IF(ABS(L59)&lt;=1.96*O59,"Yes","No"))</f>
        <v>Yes</v>
      </c>
      <c r="T59" s="54" t="n">
        <f aca="false">IF(D59="","",ROUND(SQRT(((D59+G59)*O59/100)^2+(J59*(D59+G59)*0.09092)^2),0))</f>
        <v>6</v>
      </c>
      <c r="U59" s="32"/>
    </row>
    <row r="60" customFormat="false" ht="15" hidden="false" customHeight="false" outlineLevel="0" collapsed="false">
      <c r="A60" s="32" t="s">
        <v>188</v>
      </c>
      <c r="B60" s="32" t="s">
        <v>195</v>
      </c>
      <c r="C60" s="32" t="s">
        <v>129</v>
      </c>
      <c r="D60" s="54" t="n">
        <v>1337</v>
      </c>
      <c r="E60" s="54" t="n">
        <v>1215</v>
      </c>
      <c r="F60" s="65" t="n">
        <f aca="false">IF(E60="","",D60-E60)</f>
        <v>122</v>
      </c>
      <c r="G60" s="54" t="n">
        <v>1728</v>
      </c>
      <c r="H60" s="54" t="n">
        <v>1784</v>
      </c>
      <c r="I60" s="65" t="n">
        <f aca="false">IF(H60="","",G60-H60)</f>
        <v>-56</v>
      </c>
      <c r="J60" s="55" t="n">
        <f aca="false">IF(OR(D60="",D60+G60=0),"",D60/(D60+G60))</f>
        <v>0.436215334420881</v>
      </c>
      <c r="K60" s="55" t="n">
        <f aca="false">IF(E60="","",E60/(E60+H60))</f>
        <v>0.405135045015005</v>
      </c>
      <c r="L60" s="66" t="n">
        <f aca="false">IF(OR(K60="",J60=""),"",(J60-K60)*100)</f>
        <v>3.10802894058759</v>
      </c>
      <c r="M60" s="36" t="n">
        <v>1.79629704648005</v>
      </c>
      <c r="N60" s="36" t="n">
        <v>1.1191567141424</v>
      </c>
      <c r="O60" s="36" t="n">
        <f aca="false">SQRT(M60^2+N60^2)</f>
        <v>2.1164108367713</v>
      </c>
      <c r="P60" s="55" t="n">
        <f aca="false">IF(J60="","",MAX(0,J60-1.96*O60/100))</f>
        <v>0.394733682020163</v>
      </c>
      <c r="Q60" s="55" t="n">
        <f aca="false">IF(J60="","",MIN(1,J60+1.96*O60/100))</f>
        <v>0.477696986821598</v>
      </c>
      <c r="R60" s="32" t="str">
        <f aca="false">IF(L60="","",IF(ABS(L60)&lt;=O60,"Yes","No"))</f>
        <v>No</v>
      </c>
      <c r="S60" s="32" t="str">
        <f aca="false">IF(L60="","",IF(ABS(L60)&lt;=1.96*O60,"Yes","No"))</f>
        <v>Yes</v>
      </c>
      <c r="T60" s="54" t="n">
        <f aca="false">IF(D60="","",ROUND(SQRT(((D60+G60)*O60/100)^2+(J60*(D60+G60)*0.06991)^2),0))</f>
        <v>114</v>
      </c>
      <c r="U60" s="32"/>
    </row>
    <row r="61" customFormat="false" ht="15" hidden="false" customHeight="false" outlineLevel="0" collapsed="false">
      <c r="A61" s="32" t="s">
        <v>188</v>
      </c>
      <c r="B61" s="32" t="s">
        <v>196</v>
      </c>
      <c r="C61" s="32" t="s">
        <v>129</v>
      </c>
      <c r="D61" s="54" t="n">
        <v>215</v>
      </c>
      <c r="E61" s="54" t="n">
        <v>166</v>
      </c>
      <c r="F61" s="65" t="n">
        <f aca="false">IF(E61="","",D61-E61)</f>
        <v>49</v>
      </c>
      <c r="G61" s="54" t="n">
        <v>297</v>
      </c>
      <c r="H61" s="54" t="n">
        <v>332</v>
      </c>
      <c r="I61" s="65" t="n">
        <f aca="false">IF(H61="","",G61-H61)</f>
        <v>-35</v>
      </c>
      <c r="J61" s="55" t="n">
        <f aca="false">IF(OR(D61="",D61+G61=0),"",D61/(D61+G61))</f>
        <v>0.419921875</v>
      </c>
      <c r="K61" s="55" t="n">
        <f aca="false">IF(E61="","",E61/(E61+H61))</f>
        <v>0.333333333333333</v>
      </c>
      <c r="L61" s="66" t="n">
        <f aca="false">IF(OR(K61="",J61=""),"",(J61-K61)*100)</f>
        <v>8.65885416666667</v>
      </c>
      <c r="M61" s="36" t="n">
        <v>3.50909186283217</v>
      </c>
      <c r="N61" s="36" t="n">
        <v>1.1191567141424</v>
      </c>
      <c r="O61" s="36" t="n">
        <f aca="false">SQRT(M61^2+N61^2)</f>
        <v>3.68323736034008</v>
      </c>
      <c r="P61" s="55" t="n">
        <f aca="false">IF(J61="","",MAX(0,J61-1.96*O61/100))</f>
        <v>0.347730422737334</v>
      </c>
      <c r="Q61" s="55" t="n">
        <f aca="false">IF(J61="","",MIN(1,J61+1.96*O61/100))</f>
        <v>0.492113327262666</v>
      </c>
      <c r="R61" s="32" t="str">
        <f aca="false">IF(L61="","",IF(ABS(L61)&lt;=O61,"Yes","No"))</f>
        <v>No</v>
      </c>
      <c r="S61" s="32" t="str">
        <f aca="false">IF(L61="","",IF(ABS(L61)&lt;=1.96*O61,"Yes","No"))</f>
        <v>No</v>
      </c>
      <c r="T61" s="54" t="n">
        <f aca="false">IF(D61="","",ROUND(SQRT(((D61+G61)*O61/100)^2+(J61*(D61+G61)*0.09092)^2),0))</f>
        <v>27</v>
      </c>
      <c r="U61" s="32"/>
    </row>
    <row r="62" customFormat="false" ht="15" hidden="false" customHeight="false" outlineLevel="0" collapsed="false">
      <c r="A62" s="32" t="s">
        <v>188</v>
      </c>
      <c r="B62" s="32" t="s">
        <v>197</v>
      </c>
      <c r="C62" s="32" t="s">
        <v>129</v>
      </c>
      <c r="D62" s="54" t="n">
        <v>7387</v>
      </c>
      <c r="E62" s="54" t="n">
        <v>7095</v>
      </c>
      <c r="F62" s="65" t="n">
        <f aca="false">IF(E62="","",D62-E62)</f>
        <v>292</v>
      </c>
      <c r="G62" s="54" t="n">
        <v>3020</v>
      </c>
      <c r="H62" s="54" t="n">
        <v>2953</v>
      </c>
      <c r="I62" s="65" t="n">
        <f aca="false">IF(H62="","",G62-H62)</f>
        <v>67</v>
      </c>
      <c r="J62" s="55" t="n">
        <f aca="false">IF(OR(D62="",D62+G62=0),"",D62/(D62+G62))</f>
        <v>0.709810704333622</v>
      </c>
      <c r="K62" s="55" t="n">
        <f aca="false">IF(E62="","",E62/(E62+H62))</f>
        <v>0.706110668789809</v>
      </c>
      <c r="L62" s="66" t="n">
        <f aca="false">IF(OR(K62="",J62=""),"",(J62-K62)*100)</f>
        <v>0.370003554381271</v>
      </c>
      <c r="M62" s="36" t="n">
        <v>2.09473161487849</v>
      </c>
      <c r="N62" s="36" t="n">
        <v>1.1191567141424</v>
      </c>
      <c r="O62" s="36" t="n">
        <f aca="false">SQRT(M62^2+N62^2)</f>
        <v>2.37495521835286</v>
      </c>
      <c r="P62" s="55" t="n">
        <f aca="false">IF(J62="","",MAX(0,J62-1.96*O62/100))</f>
        <v>0.663261582053906</v>
      </c>
      <c r="Q62" s="55" t="n">
        <f aca="false">IF(J62="","",MIN(1,J62+1.96*O62/100))</f>
        <v>0.756359826613338</v>
      </c>
      <c r="R62" s="32" t="str">
        <f aca="false">IF(L62="","",IF(ABS(L62)&lt;=O62,"Yes","No"))</f>
        <v>Yes</v>
      </c>
      <c r="S62" s="32" t="str">
        <f aca="false">IF(L62="","",IF(ABS(L62)&lt;=1.96*O62,"Yes","No"))</f>
        <v>Yes</v>
      </c>
      <c r="T62" s="54" t="n">
        <f aca="false">IF(D62="","",ROUND(SQRT(((D62+G62)*O62/100)^2+(J62*(D62+G62)*0.0639)^2),0))</f>
        <v>533</v>
      </c>
      <c r="U62" s="32"/>
    </row>
    <row r="63" customFormat="false" ht="15" hidden="false" customHeight="false" outlineLevel="0" collapsed="false">
      <c r="A63" s="32" t="s">
        <v>188</v>
      </c>
      <c r="B63" s="32" t="s">
        <v>198</v>
      </c>
      <c r="C63" s="32" t="s">
        <v>129</v>
      </c>
      <c r="D63" s="54" t="n">
        <v>5446</v>
      </c>
      <c r="E63" s="54" t="n">
        <v>5038</v>
      </c>
      <c r="F63" s="65" t="n">
        <f aca="false">IF(E63="","",D63-E63)</f>
        <v>408</v>
      </c>
      <c r="G63" s="54" t="n">
        <v>4509</v>
      </c>
      <c r="H63" s="54" t="n">
        <v>4815</v>
      </c>
      <c r="I63" s="65" t="n">
        <f aca="false">IF(H63="","",G63-H63)</f>
        <v>-306</v>
      </c>
      <c r="J63" s="55" t="n">
        <f aca="false">IF(OR(D63="",D63+G63=0),"",D63/(D63+G63))</f>
        <v>0.547061778001005</v>
      </c>
      <c r="K63" s="55" t="n">
        <f aca="false">IF(E63="","",E63/(E63+H63))</f>
        <v>0.511316350350147</v>
      </c>
      <c r="L63" s="66" t="n">
        <f aca="false">IF(OR(K63="",J63=""),"",(J63-K63)*100)</f>
        <v>3.57454276508574</v>
      </c>
      <c r="M63" s="36" t="n">
        <v>2.09473161487849</v>
      </c>
      <c r="N63" s="36" t="n">
        <v>1.1191567141424</v>
      </c>
      <c r="O63" s="36" t="n">
        <f aca="false">SQRT(M63^2+N63^2)</f>
        <v>2.37495521835286</v>
      </c>
      <c r="P63" s="55" t="n">
        <f aca="false">IF(J63="","",MAX(0,J63-1.96*O63/100))</f>
        <v>0.500512655721289</v>
      </c>
      <c r="Q63" s="55" t="n">
        <f aca="false">IF(J63="","",MIN(1,J63+1.96*O63/100))</f>
        <v>0.593610900280721</v>
      </c>
      <c r="R63" s="32" t="str">
        <f aca="false">IF(L63="","",IF(ABS(L63)&lt;=O63,"Yes","No"))</f>
        <v>No</v>
      </c>
      <c r="S63" s="32" t="str">
        <f aca="false">IF(L63="","",IF(ABS(L63)&lt;=1.96*O63,"Yes","No"))</f>
        <v>Yes</v>
      </c>
      <c r="T63" s="54" t="n">
        <f aca="false">IF(D63="","",ROUND(SQRT(((D63+G63)*O63/100)^2+(J63*(D63+G63)*0.0639)^2),0))</f>
        <v>421</v>
      </c>
      <c r="U63" s="32"/>
    </row>
    <row r="64" customFormat="false" ht="15" hidden="false" customHeight="false" outlineLevel="0" collapsed="false">
      <c r="A64" s="32" t="s">
        <v>188</v>
      </c>
      <c r="B64" s="32" t="s">
        <v>199</v>
      </c>
      <c r="C64" s="32" t="s">
        <v>129</v>
      </c>
      <c r="D64" s="54" t="n">
        <v>757</v>
      </c>
      <c r="E64" s="54" t="n">
        <v>768</v>
      </c>
      <c r="F64" s="65" t="n">
        <f aca="false">IF(E64="","",D64-E64)</f>
        <v>-11</v>
      </c>
      <c r="G64" s="54" t="n">
        <v>406</v>
      </c>
      <c r="H64" s="54" t="n">
        <v>460</v>
      </c>
      <c r="I64" s="65" t="n">
        <f aca="false">IF(H64="","",G64-H64)</f>
        <v>-54</v>
      </c>
      <c r="J64" s="55" t="n">
        <f aca="false">IF(OR(D64="",D64+G64=0),"",D64/(D64+G64))</f>
        <v>0.650902837489252</v>
      </c>
      <c r="K64" s="55" t="n">
        <f aca="false">IF(E64="","",E64/(E64+H64))</f>
        <v>0.625407166123778</v>
      </c>
      <c r="L64" s="66" t="n">
        <f aca="false">IF(OR(K64="",J64=""),"",(J64-K64)*100)</f>
        <v>2.54956713654735</v>
      </c>
      <c r="M64" s="36" t="n">
        <v>3.50909186283217</v>
      </c>
      <c r="N64" s="36" t="n">
        <v>1.1191567141424</v>
      </c>
      <c r="O64" s="36" t="n">
        <f aca="false">SQRT(M64^2+N64^2)</f>
        <v>3.68323736034008</v>
      </c>
      <c r="P64" s="55" t="n">
        <f aca="false">IF(J64="","",MAX(0,J64-1.96*O64/100))</f>
        <v>0.578711385226586</v>
      </c>
      <c r="Q64" s="55" t="n">
        <f aca="false">IF(J64="","",MIN(1,J64+1.96*O64/100))</f>
        <v>0.723094289751918</v>
      </c>
      <c r="R64" s="32" t="str">
        <f aca="false">IF(L64="","",IF(ABS(L64)&lt;=O64,"Yes","No"))</f>
        <v>Yes</v>
      </c>
      <c r="S64" s="32" t="str">
        <f aca="false">IF(L64="","",IF(ABS(L64)&lt;=1.96*O64,"Yes","No"))</f>
        <v>Yes</v>
      </c>
      <c r="T64" s="54" t="n">
        <f aca="false">IF(D64="","",ROUND(SQRT(((D64+G64)*O64/100)^2+(J64*(D64+G64)*0.09092)^2),0))</f>
        <v>81</v>
      </c>
      <c r="U64" s="32"/>
    </row>
    <row r="65" customFormat="false" ht="15" hidden="false" customHeight="false" outlineLevel="0" collapsed="false">
      <c r="A65" s="32" t="s">
        <v>188</v>
      </c>
      <c r="B65" s="32" t="s">
        <v>200</v>
      </c>
      <c r="C65" s="32" t="s">
        <v>129</v>
      </c>
      <c r="D65" s="54" t="n">
        <v>117</v>
      </c>
      <c r="E65" s="54" t="n">
        <v>101</v>
      </c>
      <c r="F65" s="65" t="n">
        <f aca="false">IF(E65="","",D65-E65)</f>
        <v>16</v>
      </c>
      <c r="G65" s="54" t="n">
        <v>85</v>
      </c>
      <c r="H65" s="54" t="n">
        <v>100</v>
      </c>
      <c r="I65" s="65" t="n">
        <f aca="false">IF(H65="","",G65-H65)</f>
        <v>-15</v>
      </c>
      <c r="J65" s="55" t="n">
        <f aca="false">IF(OR(D65="",D65+G65=0),"",D65/(D65+G65))</f>
        <v>0.579207920792079</v>
      </c>
      <c r="K65" s="55" t="n">
        <f aca="false">IF(E65="","",E65/(E65+H65))</f>
        <v>0.502487562189055</v>
      </c>
      <c r="L65" s="66" t="n">
        <f aca="false">IF(OR(K65="",J65=""),"",(J65-K65)*100)</f>
        <v>7.67203586030244</v>
      </c>
      <c r="M65" s="36" t="n">
        <v>3.50909186283217</v>
      </c>
      <c r="N65" s="36" t="n">
        <v>1.1191567141424</v>
      </c>
      <c r="O65" s="36" t="n">
        <f aca="false">SQRT(M65^2+N65^2)</f>
        <v>3.68323736034008</v>
      </c>
      <c r="P65" s="55" t="n">
        <f aca="false">IF(J65="","",MAX(0,J65-1.96*O65/100))</f>
        <v>0.507016468529414</v>
      </c>
      <c r="Q65" s="55" t="n">
        <f aca="false">IF(J65="","",MIN(1,J65+1.96*O65/100))</f>
        <v>0.651399373054745</v>
      </c>
      <c r="R65" s="32" t="str">
        <f aca="false">IF(L65="","",IF(ABS(L65)&lt;=O65,"Yes","No"))</f>
        <v>No</v>
      </c>
      <c r="S65" s="32" t="str">
        <f aca="false">IF(L65="","",IF(ABS(L65)&lt;=1.96*O65,"Yes","No"))</f>
        <v>No</v>
      </c>
      <c r="T65" s="54" t="n">
        <f aca="false">IF(D65="","",ROUND(SQRT(((D65+G65)*O65/100)^2+(J65*(D65+G65)*0.09092)^2),0))</f>
        <v>13</v>
      </c>
      <c r="U65" s="32"/>
    </row>
    <row r="66" customFormat="false" ht="15" hidden="false" customHeight="false" outlineLevel="0" collapsed="false">
      <c r="A66" s="32" t="s">
        <v>188</v>
      </c>
      <c r="B66" s="32" t="s">
        <v>166</v>
      </c>
      <c r="C66" s="32" t="s">
        <v>129</v>
      </c>
      <c r="D66" s="54" t="n">
        <v>4382</v>
      </c>
      <c r="E66" s="54" t="n">
        <v>4234</v>
      </c>
      <c r="F66" s="65" t="n">
        <f aca="false">IF(E66="","",D66-E66)</f>
        <v>148</v>
      </c>
      <c r="G66" s="54" t="n">
        <v>3563</v>
      </c>
      <c r="H66" s="54" t="n">
        <v>3699</v>
      </c>
      <c r="I66" s="65" t="n">
        <f aca="false">IF(H66="","",G66-H66)</f>
        <v>-136</v>
      </c>
      <c r="J66" s="55" t="n">
        <f aca="false">IF(OR(D66="",D66+G66=0),"",D66/(D66+G66))</f>
        <v>0.551541850220264</v>
      </c>
      <c r="K66" s="55" t="n">
        <f aca="false">IF(E66="","",E66/(E66+H66))</f>
        <v>0.533719904197655</v>
      </c>
      <c r="L66" s="66" t="n">
        <f aca="false">IF(OR(K66="",J66=""),"",(J66-K66)*100)</f>
        <v>1.7821946022609</v>
      </c>
      <c r="M66" s="36" t="n">
        <v>2.09473161487849</v>
      </c>
      <c r="N66" s="36" t="n">
        <v>1.1191567141424</v>
      </c>
      <c r="O66" s="36" t="n">
        <f aca="false">SQRT(M66^2+N66^2)</f>
        <v>2.37495521835286</v>
      </c>
      <c r="P66" s="55" t="n">
        <f aca="false">IF(J66="","",MAX(0,J66-1.96*O66/100))</f>
        <v>0.504992727940548</v>
      </c>
      <c r="Q66" s="55" t="n">
        <f aca="false">IF(J66="","",MIN(1,J66+1.96*O66/100))</f>
        <v>0.59809097249998</v>
      </c>
      <c r="R66" s="32" t="str">
        <f aca="false">IF(L66="","",IF(ABS(L66)&lt;=O66,"Yes","No"))</f>
        <v>Yes</v>
      </c>
      <c r="S66" s="32" t="str">
        <f aca="false">IF(L66="","",IF(ABS(L66)&lt;=1.96*O66,"Yes","No"))</f>
        <v>Yes</v>
      </c>
      <c r="T66" s="54" t="n">
        <f aca="false">IF(D66="","",ROUND(SQRT(((D66+G66)*O66/100)^2+(J66*(D66+G66)*0.0639)^2),0))</f>
        <v>338</v>
      </c>
      <c r="U66" s="32"/>
    </row>
    <row r="67" customFormat="false" ht="15" hidden="false" customHeight="false" outlineLevel="0" collapsed="false">
      <c r="A67" s="32" t="s">
        <v>188</v>
      </c>
      <c r="B67" s="32" t="s">
        <v>201</v>
      </c>
      <c r="C67" s="32" t="s">
        <v>129</v>
      </c>
      <c r="D67" s="54" t="n">
        <v>1832</v>
      </c>
      <c r="E67" s="54" t="n">
        <v>1646</v>
      </c>
      <c r="F67" s="65" t="n">
        <f aca="false">IF(E67="","",D67-E67)</f>
        <v>186</v>
      </c>
      <c r="G67" s="54" t="n">
        <v>1473</v>
      </c>
      <c r="H67" s="54" t="n">
        <v>1608</v>
      </c>
      <c r="I67" s="65" t="n">
        <f aca="false">IF(H67="","",G67-H67)</f>
        <v>-135</v>
      </c>
      <c r="J67" s="55" t="n">
        <f aca="false">IF(OR(D67="",D67+G67=0),"",D67/(D67+G67))</f>
        <v>0.554311649016641</v>
      </c>
      <c r="K67" s="55" t="n">
        <f aca="false">IF(E67="","",E67/(E67+H67))</f>
        <v>0.505838967424708</v>
      </c>
      <c r="L67" s="66" t="n">
        <f aca="false">IF(OR(K67="",J67=""),"",(J67-K67)*100)</f>
        <v>4.84726815919334</v>
      </c>
      <c r="M67" s="36" t="n">
        <v>1.79629704648005</v>
      </c>
      <c r="N67" s="36" t="n">
        <v>1.1191567141424</v>
      </c>
      <c r="O67" s="36" t="n">
        <f aca="false">SQRT(M67^2+N67^2)</f>
        <v>2.1164108367713</v>
      </c>
      <c r="P67" s="55" t="n">
        <f aca="false">IF(J67="","",MAX(0,J67-1.96*O67/100))</f>
        <v>0.512829996615924</v>
      </c>
      <c r="Q67" s="55" t="n">
        <f aca="false">IF(J67="","",MIN(1,J67+1.96*O67/100))</f>
        <v>0.595793301417359</v>
      </c>
      <c r="R67" s="32" t="str">
        <f aca="false">IF(L67="","",IF(ABS(L67)&lt;=O67,"Yes","No"))</f>
        <v>No</v>
      </c>
      <c r="S67" s="32" t="str">
        <f aca="false">IF(L67="","",IF(ABS(L67)&lt;=1.96*O67,"Yes","No"))</f>
        <v>No</v>
      </c>
      <c r="T67" s="54" t="n">
        <f aca="false">IF(D67="","",ROUND(SQRT(((D67+G67)*O67/100)^2+(J67*(D67+G67)*0.06991)^2),0))</f>
        <v>146</v>
      </c>
      <c r="U67" s="32"/>
    </row>
    <row r="68" customFormat="false" ht="15" hidden="false" customHeight="false" outlineLevel="0" collapsed="false">
      <c r="A68" s="32" t="s">
        <v>188</v>
      </c>
      <c r="B68" s="32" t="s">
        <v>202</v>
      </c>
      <c r="C68" s="32" t="s">
        <v>129</v>
      </c>
      <c r="D68" s="54" t="n">
        <v>2420</v>
      </c>
      <c r="E68" s="54" t="n">
        <v>2137</v>
      </c>
      <c r="F68" s="65" t="n">
        <f aca="false">IF(E68="","",D68-E68)</f>
        <v>283</v>
      </c>
      <c r="G68" s="54" t="n">
        <v>4007</v>
      </c>
      <c r="H68" s="54" t="n">
        <v>4258</v>
      </c>
      <c r="I68" s="65" t="n">
        <f aca="false">IF(H68="","",G68-H68)</f>
        <v>-251</v>
      </c>
      <c r="J68" s="55" t="n">
        <f aca="false">IF(OR(D68="",D68+G68=0),"",D68/(D68+G68))</f>
        <v>0.376536486696748</v>
      </c>
      <c r="K68" s="55" t="n">
        <f aca="false">IF(E68="","",E68/(E68+H68))</f>
        <v>0.334167318217357</v>
      </c>
      <c r="L68" s="66" t="n">
        <f aca="false">IF(OR(K68="",J68=""),"",(J68-K68)*100)</f>
        <v>4.23691684793908</v>
      </c>
      <c r="M68" s="36" t="n">
        <v>2.09473161487849</v>
      </c>
      <c r="N68" s="36" t="n">
        <v>1.1191567141424</v>
      </c>
      <c r="O68" s="36" t="n">
        <f aca="false">SQRT(M68^2+N68^2)</f>
        <v>2.37495521835286</v>
      </c>
      <c r="P68" s="55" t="n">
        <f aca="false">IF(J68="","",MAX(0,J68-1.96*O68/100))</f>
        <v>0.329987364417032</v>
      </c>
      <c r="Q68" s="55" t="n">
        <f aca="false">IF(J68="","",MIN(1,J68+1.96*O68/100))</f>
        <v>0.423085608976464</v>
      </c>
      <c r="R68" s="32" t="str">
        <f aca="false">IF(L68="","",IF(ABS(L68)&lt;=O68,"Yes","No"))</f>
        <v>No</v>
      </c>
      <c r="S68" s="32" t="str">
        <f aca="false">IF(L68="","",IF(ABS(L68)&lt;=1.96*O68,"Yes","No"))</f>
        <v>Yes</v>
      </c>
      <c r="T68" s="54" t="n">
        <f aca="false">IF(D68="","",ROUND(SQRT(((D68+G68)*O68/100)^2+(J68*(D68+G68)*0.0639)^2),0))</f>
        <v>217</v>
      </c>
      <c r="U68" s="32"/>
    </row>
    <row r="69" customFormat="false" ht="15" hidden="false" customHeight="false" outlineLevel="0" collapsed="false">
      <c r="A69" s="32" t="s">
        <v>188</v>
      </c>
      <c r="B69" s="32" t="s">
        <v>203</v>
      </c>
      <c r="C69" s="32" t="s">
        <v>129</v>
      </c>
      <c r="D69" s="54" t="n">
        <v>685</v>
      </c>
      <c r="E69" s="54" t="n">
        <v>580</v>
      </c>
      <c r="F69" s="65" t="n">
        <f aca="false">IF(E69="","",D69-E69)</f>
        <v>105</v>
      </c>
      <c r="G69" s="54" t="n">
        <v>1100</v>
      </c>
      <c r="H69" s="54" t="n">
        <v>1159</v>
      </c>
      <c r="I69" s="65" t="n">
        <f aca="false">IF(H69="","",G69-H69)</f>
        <v>-59</v>
      </c>
      <c r="J69" s="55" t="n">
        <f aca="false">IF(OR(D69="",D69+G69=0),"",D69/(D69+G69))</f>
        <v>0.38375350140056</v>
      </c>
      <c r="K69" s="55" t="n">
        <f aca="false">IF(E69="","",E69/(E69+H69))</f>
        <v>0.333525014376078</v>
      </c>
      <c r="L69" s="66" t="n">
        <f aca="false">IF(OR(K69="",J69=""),"",(J69-K69)*100)</f>
        <v>5.0228487024482</v>
      </c>
      <c r="M69" s="36" t="n">
        <v>1.79629704648005</v>
      </c>
      <c r="N69" s="36" t="n">
        <v>1.1191567141424</v>
      </c>
      <c r="O69" s="36" t="n">
        <f aca="false">SQRT(M69^2+N69^2)</f>
        <v>2.1164108367713</v>
      </c>
      <c r="P69" s="55" t="n">
        <f aca="false">IF(J69="","",MAX(0,J69-1.96*O69/100))</f>
        <v>0.342271848999843</v>
      </c>
      <c r="Q69" s="55" t="n">
        <f aca="false">IF(J69="","",MIN(1,J69+1.96*O69/100))</f>
        <v>0.425235153801278</v>
      </c>
      <c r="R69" s="32" t="str">
        <f aca="false">IF(L69="","",IF(ABS(L69)&lt;=O69,"Yes","No"))</f>
        <v>No</v>
      </c>
      <c r="S69" s="32" t="str">
        <f aca="false">IF(L69="","",IF(ABS(L69)&lt;=1.96*O69,"Yes","No"))</f>
        <v>No</v>
      </c>
      <c r="T69" s="54" t="n">
        <f aca="false">IF(D69="","",ROUND(SQRT(((D69+G69)*O69/100)^2+(J69*(D69+G69)*0.06991)^2),0))</f>
        <v>61</v>
      </c>
      <c r="U69" s="32"/>
    </row>
    <row r="70" customFormat="false" ht="15" hidden="false" customHeight="false" outlineLevel="0" collapsed="false">
      <c r="A70" s="32" t="s">
        <v>188</v>
      </c>
      <c r="B70" s="32" t="s">
        <v>204</v>
      </c>
      <c r="C70" s="32" t="s">
        <v>129</v>
      </c>
      <c r="D70" s="54" t="n">
        <v>2043</v>
      </c>
      <c r="E70" s="54" t="n">
        <v>1879</v>
      </c>
      <c r="F70" s="65" t="n">
        <f aca="false">IF(E70="","",D70-E70)</f>
        <v>164</v>
      </c>
      <c r="G70" s="54" t="n">
        <v>2392</v>
      </c>
      <c r="H70" s="54" t="n">
        <v>2565</v>
      </c>
      <c r="I70" s="65" t="n">
        <f aca="false">IF(H70="","",G70-H70)</f>
        <v>-173</v>
      </c>
      <c r="J70" s="55" t="n">
        <f aca="false">IF(OR(D70="",D70+G70=0),"",D70/(D70+G70))</f>
        <v>0.46065388951522</v>
      </c>
      <c r="K70" s="55" t="n">
        <f aca="false">IF(E70="","",E70/(E70+H70))</f>
        <v>0.422817281728173</v>
      </c>
      <c r="L70" s="66" t="n">
        <f aca="false">IF(OR(K70="",J70=""),"",(J70-K70)*100)</f>
        <v>3.7836607787047</v>
      </c>
      <c r="M70" s="36" t="n">
        <v>2.09473161487849</v>
      </c>
      <c r="N70" s="36" t="n">
        <v>1.1191567141424</v>
      </c>
      <c r="O70" s="36" t="n">
        <f aca="false">SQRT(M70^2+N70^2)</f>
        <v>2.37495521835286</v>
      </c>
      <c r="P70" s="55" t="n">
        <f aca="false">IF(J70="","",MAX(0,J70-1.96*O70/100))</f>
        <v>0.414104767235504</v>
      </c>
      <c r="Q70" s="55" t="n">
        <f aca="false">IF(J70="","",MIN(1,J70+1.96*O70/100))</f>
        <v>0.507203011794936</v>
      </c>
      <c r="R70" s="32" t="str">
        <f aca="false">IF(L70="","",IF(ABS(L70)&lt;=O70,"Yes","No"))</f>
        <v>No</v>
      </c>
      <c r="S70" s="32" t="str">
        <f aca="false">IF(L70="","",IF(ABS(L70)&lt;=1.96*O70,"Yes","No"))</f>
        <v>Yes</v>
      </c>
      <c r="T70" s="54" t="n">
        <f aca="false">IF(D70="","",ROUND(SQRT(((D70+G70)*O70/100)^2+(J70*(D70+G70)*0.0639)^2),0))</f>
        <v>168</v>
      </c>
      <c r="U70" s="32"/>
    </row>
    <row r="71" customFormat="false" ht="15" hidden="false" customHeight="false" outlineLevel="0" collapsed="false">
      <c r="A71" s="32" t="s">
        <v>188</v>
      </c>
      <c r="B71" s="32" t="s">
        <v>205</v>
      </c>
      <c r="C71" s="32" t="s">
        <v>129</v>
      </c>
      <c r="D71" s="54" t="n">
        <v>3580</v>
      </c>
      <c r="E71" s="54" t="n">
        <v>3370</v>
      </c>
      <c r="F71" s="65" t="n">
        <f aca="false">IF(E71="","",D71-E71)</f>
        <v>210</v>
      </c>
      <c r="G71" s="54" t="n">
        <v>3660</v>
      </c>
      <c r="H71" s="54" t="n">
        <v>3831</v>
      </c>
      <c r="I71" s="65" t="n">
        <f aca="false">IF(H71="","",G71-H71)</f>
        <v>-171</v>
      </c>
      <c r="J71" s="55" t="n">
        <f aca="false">IF(OR(D71="",D71+G71=0),"",D71/(D71+G71))</f>
        <v>0.494475138121547</v>
      </c>
      <c r="K71" s="55" t="n">
        <f aca="false">IF(E71="","",E71/(E71+H71))</f>
        <v>0.467990556867102</v>
      </c>
      <c r="L71" s="66" t="n">
        <f aca="false">IF(OR(K71="",J71=""),"",(J71-K71)*100)</f>
        <v>2.64845812544452</v>
      </c>
      <c r="M71" s="36" t="n">
        <v>2.09473161487849</v>
      </c>
      <c r="N71" s="36" t="n">
        <v>1.1191567141424</v>
      </c>
      <c r="O71" s="36" t="n">
        <f aca="false">SQRT(M71^2+N71^2)</f>
        <v>2.37495521835286</v>
      </c>
      <c r="P71" s="55" t="n">
        <f aca="false">IF(J71="","",MAX(0,J71-1.96*O71/100))</f>
        <v>0.447926015841831</v>
      </c>
      <c r="Q71" s="55" t="n">
        <f aca="false">IF(J71="","",MIN(1,J71+1.96*O71/100))</f>
        <v>0.541024260401263</v>
      </c>
      <c r="R71" s="32" t="str">
        <f aca="false">IF(L71="","",IF(ABS(L71)&lt;=O71,"Yes","No"))</f>
        <v>No</v>
      </c>
      <c r="S71" s="32" t="str">
        <f aca="false">IF(L71="","",IF(ABS(L71)&lt;=1.96*O71,"Yes","No"))</f>
        <v>Yes</v>
      </c>
      <c r="T71" s="54" t="n">
        <f aca="false">IF(D71="","",ROUND(SQRT(((D71+G71)*O71/100)^2+(J71*(D71+G71)*0.0639)^2),0))</f>
        <v>286</v>
      </c>
      <c r="U71" s="32"/>
    </row>
    <row r="72" customFormat="false" ht="15" hidden="false" customHeight="false" outlineLevel="0" collapsed="false">
      <c r="A72" s="32" t="s">
        <v>188</v>
      </c>
      <c r="B72" s="32" t="s">
        <v>206</v>
      </c>
      <c r="C72" s="32" t="s">
        <v>129</v>
      </c>
      <c r="D72" s="54" t="n">
        <v>2193</v>
      </c>
      <c r="E72" s="54" t="n">
        <v>1920</v>
      </c>
      <c r="F72" s="65" t="n">
        <f aca="false">IF(E72="","",D72-E72)</f>
        <v>273</v>
      </c>
      <c r="G72" s="54" t="n">
        <v>3704</v>
      </c>
      <c r="H72" s="54" t="n">
        <v>3865</v>
      </c>
      <c r="I72" s="65" t="n">
        <f aca="false">IF(H72="","",G72-H72)</f>
        <v>-161</v>
      </c>
      <c r="J72" s="55" t="n">
        <f aca="false">IF(OR(D72="",D72+G72=0),"",D72/(D72+G72))</f>
        <v>0.371884008818043</v>
      </c>
      <c r="K72" s="55" t="n">
        <f aca="false">IF(E72="","",E72/(E72+H72))</f>
        <v>0.331892826274849</v>
      </c>
      <c r="L72" s="66" t="n">
        <f aca="false">IF(OR(K72="",J72=""),"",(J72-K72)*100)</f>
        <v>3.99911825431943</v>
      </c>
      <c r="M72" s="36" t="n">
        <v>2.09473161487849</v>
      </c>
      <c r="N72" s="36" t="n">
        <v>1.1191567141424</v>
      </c>
      <c r="O72" s="36" t="n">
        <f aca="false">SQRT(M72^2+N72^2)</f>
        <v>2.37495521835286</v>
      </c>
      <c r="P72" s="55" t="n">
        <f aca="false">IF(J72="","",MAX(0,J72-1.96*O72/100))</f>
        <v>0.325334886538327</v>
      </c>
      <c r="Q72" s="55" t="n">
        <f aca="false">IF(J72="","",MIN(1,J72+1.96*O72/100))</f>
        <v>0.418433131097759</v>
      </c>
      <c r="R72" s="32" t="str">
        <f aca="false">IF(L72="","",IF(ABS(L72)&lt;=O72,"Yes","No"))</f>
        <v>No</v>
      </c>
      <c r="S72" s="32" t="str">
        <f aca="false">IF(L72="","",IF(ABS(L72)&lt;=1.96*O72,"Yes","No"))</f>
        <v>Yes</v>
      </c>
      <c r="T72" s="54" t="n">
        <f aca="false">IF(D72="","",ROUND(SQRT(((D72+G72)*O72/100)^2+(J72*(D72+G72)*0.0639)^2),0))</f>
        <v>198</v>
      </c>
      <c r="U72" s="32"/>
    </row>
    <row r="73" customFormat="false" ht="15" hidden="false" customHeight="false" outlineLevel="0" collapsed="false">
      <c r="A73" s="32" t="s">
        <v>188</v>
      </c>
      <c r="B73" s="32" t="s">
        <v>207</v>
      </c>
      <c r="C73" s="32" t="s">
        <v>129</v>
      </c>
      <c r="D73" s="54" t="n">
        <v>1703</v>
      </c>
      <c r="E73" s="54" t="n">
        <v>1490</v>
      </c>
      <c r="F73" s="65" t="n">
        <f aca="false">IF(E73="","",D73-E73)</f>
        <v>213</v>
      </c>
      <c r="G73" s="54" t="n">
        <v>1506</v>
      </c>
      <c r="H73" s="54" t="n">
        <v>1627</v>
      </c>
      <c r="I73" s="65" t="n">
        <f aca="false">IF(H73="","",G73-H73)</f>
        <v>-121</v>
      </c>
      <c r="J73" s="55" t="n">
        <f aca="false">IF(OR(D73="",D73+G73=0),"",D73/(D73+G73))</f>
        <v>0.530694920535993</v>
      </c>
      <c r="K73" s="55" t="n">
        <f aca="false">IF(E73="","",E73/(E73+H73))</f>
        <v>0.478023740776388</v>
      </c>
      <c r="L73" s="66" t="n">
        <f aca="false">IF(OR(K73="",J73=""),"",(J73-K73)*100)</f>
        <v>5.2671179759605</v>
      </c>
      <c r="M73" s="36" t="n">
        <v>1.79629704648005</v>
      </c>
      <c r="N73" s="36" t="n">
        <v>1.1191567141424</v>
      </c>
      <c r="O73" s="36" t="n">
        <f aca="false">SQRT(M73^2+N73^2)</f>
        <v>2.1164108367713</v>
      </c>
      <c r="P73" s="55" t="n">
        <f aca="false">IF(J73="","",MAX(0,J73-1.96*O73/100))</f>
        <v>0.489213268135275</v>
      </c>
      <c r="Q73" s="55" t="n">
        <f aca="false">IF(J73="","",MIN(1,J73+1.96*O73/100))</f>
        <v>0.57217657293671</v>
      </c>
      <c r="R73" s="32" t="str">
        <f aca="false">IF(L73="","",IF(ABS(L73)&lt;=O73,"Yes","No"))</f>
        <v>No</v>
      </c>
      <c r="S73" s="32" t="str">
        <f aca="false">IF(L73="","",IF(ABS(L73)&lt;=1.96*O73,"Yes","No"))</f>
        <v>No</v>
      </c>
      <c r="T73" s="54" t="n">
        <f aca="false">IF(D73="","",ROUND(SQRT(((D73+G73)*O73/100)^2+(J73*(D73+G73)*0.06991)^2),0))</f>
        <v>137</v>
      </c>
      <c r="U73" s="32"/>
    </row>
    <row r="74" customFormat="false" ht="15" hidden="false" customHeight="false" outlineLevel="0" collapsed="false">
      <c r="A74" s="32" t="s">
        <v>188</v>
      </c>
      <c r="B74" s="32" t="s">
        <v>208</v>
      </c>
      <c r="C74" s="32" t="s">
        <v>129</v>
      </c>
      <c r="D74" s="54" t="n">
        <v>792</v>
      </c>
      <c r="E74" s="54" t="n">
        <v>731</v>
      </c>
      <c r="F74" s="65" t="n">
        <f aca="false">IF(E74="","",D74-E74)</f>
        <v>61</v>
      </c>
      <c r="G74" s="54" t="n">
        <v>747</v>
      </c>
      <c r="H74" s="54" t="n">
        <v>843</v>
      </c>
      <c r="I74" s="65" t="n">
        <f aca="false">IF(H74="","",G74-H74)</f>
        <v>-96</v>
      </c>
      <c r="J74" s="55" t="n">
        <f aca="false">IF(OR(D74="",D74+G74=0),"",D74/(D74+G74))</f>
        <v>0.514619883040936</v>
      </c>
      <c r="K74" s="55" t="n">
        <f aca="false">IF(E74="","",E74/(E74+H74))</f>
        <v>0.464421855146125</v>
      </c>
      <c r="L74" s="66" t="n">
        <f aca="false">IF(OR(K74="",J74=""),"",(J74-K74)*100)</f>
        <v>5.01980278948112</v>
      </c>
      <c r="M74" s="36" t="n">
        <v>1.79629704648005</v>
      </c>
      <c r="N74" s="36" t="n">
        <v>1.1191567141424</v>
      </c>
      <c r="O74" s="36" t="n">
        <f aca="false">SQRT(M74^2+N74^2)</f>
        <v>2.1164108367713</v>
      </c>
      <c r="P74" s="55" t="n">
        <f aca="false">IF(J74="","",MAX(0,J74-1.96*O74/100))</f>
        <v>0.473138230640218</v>
      </c>
      <c r="Q74" s="55" t="n">
        <f aca="false">IF(J74="","",MIN(1,J74+1.96*O74/100))</f>
        <v>0.556101535441653</v>
      </c>
      <c r="R74" s="32" t="str">
        <f aca="false">IF(L74="","",IF(ABS(L74)&lt;=O74,"Yes","No"))</f>
        <v>No</v>
      </c>
      <c r="S74" s="32" t="str">
        <f aca="false">IF(L74="","",IF(ABS(L74)&lt;=1.96*O74,"Yes","No"))</f>
        <v>No</v>
      </c>
      <c r="T74" s="54" t="n">
        <f aca="false">IF(D74="","",ROUND(SQRT(((D74+G74)*O74/100)^2+(J74*(D74+G74)*0.06991)^2),0))</f>
        <v>64</v>
      </c>
      <c r="U74" s="32"/>
    </row>
    <row r="75" customFormat="false" ht="15" hidden="false" customHeight="false" outlineLevel="0" collapsed="false">
      <c r="A75" s="32" t="s">
        <v>188</v>
      </c>
      <c r="B75" s="32" t="s">
        <v>209</v>
      </c>
      <c r="C75" s="32" t="s">
        <v>129</v>
      </c>
      <c r="D75" s="54" t="n">
        <v>2647</v>
      </c>
      <c r="E75" s="54" t="n">
        <v>2355</v>
      </c>
      <c r="F75" s="65" t="n">
        <f aca="false">IF(E75="","",D75-E75)</f>
        <v>292</v>
      </c>
      <c r="G75" s="54" t="n">
        <v>2542</v>
      </c>
      <c r="H75" s="54" t="n">
        <v>2934</v>
      </c>
      <c r="I75" s="65" t="n">
        <f aca="false">IF(H75="","",G75-H75)</f>
        <v>-392</v>
      </c>
      <c r="J75" s="55" t="n">
        <f aca="false">IF(OR(D75="",D75+G75=0),"",D75/(D75+G75))</f>
        <v>0.510117556369243</v>
      </c>
      <c r="K75" s="55" t="n">
        <f aca="false">IF(E75="","",E75/(E75+H75))</f>
        <v>0.445263754963131</v>
      </c>
      <c r="L75" s="66" t="n">
        <f aca="false">IF(OR(K75="",J75=""),"",(J75-K75)*100)</f>
        <v>6.48538014061116</v>
      </c>
      <c r="M75" s="36" t="n">
        <v>2.09473161487849</v>
      </c>
      <c r="N75" s="36" t="n">
        <v>1.1191567141424</v>
      </c>
      <c r="O75" s="36" t="n">
        <f aca="false">SQRT(M75^2+N75^2)</f>
        <v>2.37495521835286</v>
      </c>
      <c r="P75" s="55" t="n">
        <f aca="false">IF(J75="","",MAX(0,J75-1.96*O75/100))</f>
        <v>0.463568434089527</v>
      </c>
      <c r="Q75" s="55" t="n">
        <f aca="false">IF(J75="","",MIN(1,J75+1.96*O75/100))</f>
        <v>0.556666678648959</v>
      </c>
      <c r="R75" s="32" t="str">
        <f aca="false">IF(L75="","",IF(ABS(L75)&lt;=O75,"Yes","No"))</f>
        <v>No</v>
      </c>
      <c r="S75" s="32" t="str">
        <f aca="false">IF(L75="","",IF(ABS(L75)&lt;=1.96*O75,"Yes","No"))</f>
        <v>No</v>
      </c>
      <c r="T75" s="54" t="n">
        <f aca="false">IF(D75="","",ROUND(SQRT(((D75+G75)*O75/100)^2+(J75*(D75+G75)*0.0639)^2),0))</f>
        <v>209</v>
      </c>
      <c r="U75" s="32"/>
    </row>
    <row r="76" customFormat="false" ht="15" hidden="false" customHeight="false" outlineLevel="0" collapsed="false">
      <c r="A76" s="32" t="s">
        <v>188</v>
      </c>
      <c r="B76" s="32" t="s">
        <v>210</v>
      </c>
      <c r="C76" s="32" t="s">
        <v>129</v>
      </c>
      <c r="D76" s="54" t="n">
        <v>7270</v>
      </c>
      <c r="E76" s="54" t="n">
        <v>6698</v>
      </c>
      <c r="F76" s="65" t="n">
        <f aca="false">IF(E76="","",D76-E76)</f>
        <v>572</v>
      </c>
      <c r="G76" s="54" t="n">
        <v>5977</v>
      </c>
      <c r="H76" s="54" t="n">
        <v>6630</v>
      </c>
      <c r="I76" s="65" t="n">
        <f aca="false">IF(H76="","",G76-H76)</f>
        <v>-653</v>
      </c>
      <c r="J76" s="55" t="n">
        <f aca="false">IF(OR(D76="",D76+G76=0),"",D76/(D76+G76))</f>
        <v>0.548803502679852</v>
      </c>
      <c r="K76" s="55" t="n">
        <f aca="false">IF(E76="","",E76/(E76+H76))</f>
        <v>0.502551020408163</v>
      </c>
      <c r="L76" s="66" t="n">
        <f aca="false">IF(OR(K76="",J76=""),"",(J76-K76)*100)</f>
        <v>4.62524822716888</v>
      </c>
      <c r="M76" s="36" t="n">
        <v>2.09473161487849</v>
      </c>
      <c r="N76" s="36" t="n">
        <v>1.1191567141424</v>
      </c>
      <c r="O76" s="36" t="n">
        <f aca="false">SQRT(M76^2+N76^2)</f>
        <v>2.37495521835286</v>
      </c>
      <c r="P76" s="55" t="n">
        <f aca="false">IF(J76="","",MAX(0,J76-1.96*O76/100))</f>
        <v>0.502254380400136</v>
      </c>
      <c r="Q76" s="55" t="n">
        <f aca="false">IF(J76="","",MIN(1,J76+1.96*O76/100))</f>
        <v>0.595352624959568</v>
      </c>
      <c r="R76" s="32" t="str">
        <f aca="false">IF(L76="","",IF(ABS(L76)&lt;=O76,"Yes","No"))</f>
        <v>No</v>
      </c>
      <c r="S76" s="32" t="str">
        <f aca="false">IF(L76="","",IF(ABS(L76)&lt;=1.96*O76,"Yes","No"))</f>
        <v>Yes</v>
      </c>
      <c r="T76" s="54" t="n">
        <f aca="false">IF(D76="","",ROUND(SQRT(((D76+G76)*O76/100)^2+(J76*(D76+G76)*0.0639)^2),0))</f>
        <v>561</v>
      </c>
      <c r="U76" s="32"/>
    </row>
    <row r="77" customFormat="false" ht="15" hidden="false" customHeight="false" outlineLevel="0" collapsed="false">
      <c r="A77" s="32" t="s">
        <v>188</v>
      </c>
      <c r="B77" s="32" t="s">
        <v>211</v>
      </c>
      <c r="C77" s="32" t="s">
        <v>129</v>
      </c>
      <c r="D77" s="54" t="n">
        <v>753</v>
      </c>
      <c r="E77" s="54" t="n">
        <v>678</v>
      </c>
      <c r="F77" s="65" t="n">
        <f aca="false">IF(E77="","",D77-E77)</f>
        <v>75</v>
      </c>
      <c r="G77" s="54" t="n">
        <v>1050</v>
      </c>
      <c r="H77" s="54" t="n">
        <v>1089</v>
      </c>
      <c r="I77" s="65" t="n">
        <f aca="false">IF(H77="","",G77-H77)</f>
        <v>-39</v>
      </c>
      <c r="J77" s="55" t="n">
        <f aca="false">IF(OR(D77="",D77+G77=0),"",D77/(D77+G77))</f>
        <v>0.417637271214642</v>
      </c>
      <c r="K77" s="55" t="n">
        <f aca="false">IF(E77="","",E77/(E77+H77))</f>
        <v>0.383701188455009</v>
      </c>
      <c r="L77" s="66" t="n">
        <f aca="false">IF(OR(K77="",J77=""),"",(J77-K77)*100)</f>
        <v>3.39360827596338</v>
      </c>
      <c r="M77" s="36" t="n">
        <v>1.79629704648005</v>
      </c>
      <c r="N77" s="36" t="n">
        <v>1.1191567141424</v>
      </c>
      <c r="O77" s="36" t="n">
        <f aca="false">SQRT(M77^2+N77^2)</f>
        <v>2.1164108367713</v>
      </c>
      <c r="P77" s="55" t="n">
        <f aca="false">IF(J77="","",MAX(0,J77-1.96*O77/100))</f>
        <v>0.376155618813925</v>
      </c>
      <c r="Q77" s="55" t="n">
        <f aca="false">IF(J77="","",MIN(1,J77+1.96*O77/100))</f>
        <v>0.45911892361536</v>
      </c>
      <c r="R77" s="32" t="str">
        <f aca="false">IF(L77="","",IF(ABS(L77)&lt;=O77,"Yes","No"))</f>
        <v>No</v>
      </c>
      <c r="S77" s="32" t="str">
        <f aca="false">IF(L77="","",IF(ABS(L77)&lt;=1.96*O77,"Yes","No"))</f>
        <v>Yes</v>
      </c>
      <c r="T77" s="54" t="n">
        <f aca="false">IF(D77="","",ROUND(SQRT(((D77+G77)*O77/100)^2+(J77*(D77+G77)*0.06991)^2),0))</f>
        <v>65</v>
      </c>
      <c r="U77" s="32"/>
    </row>
    <row r="78" customFormat="false" ht="15" hidden="false" customHeight="false" outlineLevel="0" collapsed="false">
      <c r="A78" s="32" t="s">
        <v>188</v>
      </c>
      <c r="B78" s="32" t="s">
        <v>212</v>
      </c>
      <c r="C78" s="32" t="s">
        <v>129</v>
      </c>
      <c r="D78" s="54" t="n">
        <v>1496</v>
      </c>
      <c r="E78" s="54" t="n">
        <v>1368</v>
      </c>
      <c r="F78" s="65" t="n">
        <f aca="false">IF(E78="","",D78-E78)</f>
        <v>128</v>
      </c>
      <c r="G78" s="54" t="n">
        <v>2364</v>
      </c>
      <c r="H78" s="54" t="n">
        <v>2520</v>
      </c>
      <c r="I78" s="65" t="n">
        <f aca="false">IF(H78="","",G78-H78)</f>
        <v>-156</v>
      </c>
      <c r="J78" s="55" t="n">
        <f aca="false">IF(OR(D78="",D78+G78=0),"",D78/(D78+G78))</f>
        <v>0.387564766839378</v>
      </c>
      <c r="K78" s="55" t="n">
        <f aca="false">IF(E78="","",E78/(E78+H78))</f>
        <v>0.351851851851852</v>
      </c>
      <c r="L78" s="66" t="n">
        <f aca="false">IF(OR(K78="",J78=""),"",(J78-K78)*100)</f>
        <v>3.57129149875264</v>
      </c>
      <c r="M78" s="36" t="n">
        <v>2.09473161487849</v>
      </c>
      <c r="N78" s="36" t="n">
        <v>1.1191567141424</v>
      </c>
      <c r="O78" s="36" t="n">
        <f aca="false">SQRT(M78^2+N78^2)</f>
        <v>2.37495521835286</v>
      </c>
      <c r="P78" s="55" t="n">
        <f aca="false">IF(J78="","",MAX(0,J78-1.96*O78/100))</f>
        <v>0.341015644559662</v>
      </c>
      <c r="Q78" s="55" t="n">
        <f aca="false">IF(J78="","",MIN(1,J78+1.96*O78/100))</f>
        <v>0.434113889119094</v>
      </c>
      <c r="R78" s="32" t="str">
        <f aca="false">IF(L78="","",IF(ABS(L78)&lt;=O78,"Yes","No"))</f>
        <v>No</v>
      </c>
      <c r="S78" s="32" t="str">
        <f aca="false">IF(L78="","",IF(ABS(L78)&lt;=1.96*O78,"Yes","No"))</f>
        <v>Yes</v>
      </c>
      <c r="T78" s="54" t="n">
        <f aca="false">IF(D78="","",ROUND(SQRT(((D78+G78)*O78/100)^2+(J78*(D78+G78)*0.0639)^2),0))</f>
        <v>132</v>
      </c>
      <c r="U78" s="32"/>
    </row>
    <row r="79" customFormat="false" ht="15" hidden="false" customHeight="false" outlineLevel="0" collapsed="false">
      <c r="A79" s="32" t="s">
        <v>188</v>
      </c>
      <c r="B79" s="32" t="s">
        <v>213</v>
      </c>
      <c r="C79" s="32" t="s">
        <v>129</v>
      </c>
      <c r="D79" s="54" t="n">
        <v>95</v>
      </c>
      <c r="E79" s="54" t="n">
        <v>82</v>
      </c>
      <c r="F79" s="65" t="n">
        <f aca="false">IF(E79="","",D79-E79)</f>
        <v>13</v>
      </c>
      <c r="G79" s="54" t="n">
        <v>168</v>
      </c>
      <c r="H79" s="54" t="n">
        <v>171</v>
      </c>
      <c r="I79" s="65" t="n">
        <f aca="false">IF(H79="","",G79-H79)</f>
        <v>-3</v>
      </c>
      <c r="J79" s="55" t="n">
        <f aca="false">IF(OR(D79="",D79+G79=0),"",D79/(D79+G79))</f>
        <v>0.361216730038023</v>
      </c>
      <c r="K79" s="55" t="n">
        <f aca="false">IF(E79="","",E79/(E79+H79))</f>
        <v>0.324110671936759</v>
      </c>
      <c r="L79" s="66" t="n">
        <f aca="false">IF(OR(K79="",J79=""),"",(J79-K79)*100)</f>
        <v>3.71060581012639</v>
      </c>
      <c r="M79" s="36" t="n">
        <v>3.50909186283217</v>
      </c>
      <c r="N79" s="36" t="n">
        <v>1.1191567141424</v>
      </c>
      <c r="O79" s="36" t="n">
        <f aca="false">SQRT(M79^2+N79^2)</f>
        <v>3.68323736034008</v>
      </c>
      <c r="P79" s="55" t="n">
        <f aca="false">IF(J79="","",MAX(0,J79-1.96*O79/100))</f>
        <v>0.289025277775357</v>
      </c>
      <c r="Q79" s="55" t="n">
        <f aca="false">IF(J79="","",MIN(1,J79+1.96*O79/100))</f>
        <v>0.433408182300688</v>
      </c>
      <c r="R79" s="32" t="str">
        <f aca="false">IF(L79="","",IF(ABS(L79)&lt;=O79,"Yes","No"))</f>
        <v>No</v>
      </c>
      <c r="S79" s="32" t="str">
        <f aca="false">IF(L79="","",IF(ABS(L79)&lt;=1.96*O79,"Yes","No"))</f>
        <v>Yes</v>
      </c>
      <c r="T79" s="54" t="n">
        <f aca="false">IF(D79="","",ROUND(SQRT(((D79+G79)*O79/100)^2+(J79*(D79+G79)*0.09092)^2),0))</f>
        <v>13</v>
      </c>
      <c r="U79" s="32"/>
    </row>
    <row r="80" customFormat="false" ht="15" hidden="false" customHeight="false" outlineLevel="0" collapsed="false">
      <c r="A80" s="32" t="s">
        <v>188</v>
      </c>
      <c r="B80" s="32" t="s">
        <v>214</v>
      </c>
      <c r="C80" s="32" t="s">
        <v>129</v>
      </c>
      <c r="D80" s="54" t="n">
        <v>383</v>
      </c>
      <c r="E80" s="54" t="n">
        <v>331</v>
      </c>
      <c r="F80" s="65" t="n">
        <f aca="false">IF(E80="","",D80-E80)</f>
        <v>52</v>
      </c>
      <c r="G80" s="54" t="n">
        <v>504</v>
      </c>
      <c r="H80" s="54" t="n">
        <v>571</v>
      </c>
      <c r="I80" s="65" t="n">
        <f aca="false">IF(H80="","",G80-H80)</f>
        <v>-67</v>
      </c>
      <c r="J80" s="55" t="n">
        <f aca="false">IF(OR(D80="",D80+G80=0),"",D80/(D80+G80))</f>
        <v>0.431792559188275</v>
      </c>
      <c r="K80" s="55" t="n">
        <f aca="false">IF(E80="","",E80/(E80+H80))</f>
        <v>0.366962305986696</v>
      </c>
      <c r="L80" s="66" t="n">
        <f aca="false">IF(OR(K80="",J80=""),"",(J80-K80)*100)</f>
        <v>6.48302532015789</v>
      </c>
      <c r="M80" s="36" t="n">
        <v>3.50909186283217</v>
      </c>
      <c r="N80" s="36" t="n">
        <v>1.1191567141424</v>
      </c>
      <c r="O80" s="36" t="n">
        <f aca="false">SQRT(M80^2+N80^2)</f>
        <v>3.68323736034008</v>
      </c>
      <c r="P80" s="55" t="n">
        <f aca="false">IF(J80="","",MAX(0,J80-1.96*O80/100))</f>
        <v>0.35960110692561</v>
      </c>
      <c r="Q80" s="55" t="n">
        <f aca="false">IF(J80="","",MIN(1,J80+1.96*O80/100))</f>
        <v>0.503984011450941</v>
      </c>
      <c r="R80" s="32" t="str">
        <f aca="false">IF(L80="","",IF(ABS(L80)&lt;=O80,"Yes","No"))</f>
        <v>No</v>
      </c>
      <c r="S80" s="32" t="str">
        <f aca="false">IF(L80="","",IF(ABS(L80)&lt;=1.96*O80,"Yes","No"))</f>
        <v>Yes</v>
      </c>
      <c r="T80" s="54" t="n">
        <f aca="false">IF(D80="","",ROUND(SQRT(((D80+G80)*O80/100)^2+(J80*(D80+G80)*0.09092)^2),0))</f>
        <v>48</v>
      </c>
      <c r="U80" s="32"/>
    </row>
    <row r="81" customFormat="false" ht="15" hidden="false" customHeight="false" outlineLevel="0" collapsed="false">
      <c r="A81" s="32" t="s">
        <v>188</v>
      </c>
      <c r="B81" s="32" t="s">
        <v>215</v>
      </c>
      <c r="C81" s="32" t="s">
        <v>129</v>
      </c>
      <c r="D81" s="54" t="n">
        <v>239</v>
      </c>
      <c r="E81" s="54" t="n">
        <v>212</v>
      </c>
      <c r="F81" s="65" t="n">
        <f aca="false">IF(E81="","",D81-E81)</f>
        <v>27</v>
      </c>
      <c r="G81" s="54" t="n">
        <v>286</v>
      </c>
      <c r="H81" s="54" t="n">
        <v>308</v>
      </c>
      <c r="I81" s="65" t="n">
        <f aca="false">IF(H81="","",G81-H81)</f>
        <v>-22</v>
      </c>
      <c r="J81" s="55" t="n">
        <f aca="false">IF(OR(D81="",D81+G81=0),"",D81/(D81+G81))</f>
        <v>0.455238095238095</v>
      </c>
      <c r="K81" s="55" t="n">
        <f aca="false">IF(E81="","",E81/(E81+H81))</f>
        <v>0.407692307692308</v>
      </c>
      <c r="L81" s="66" t="n">
        <f aca="false">IF(OR(K81="",J81=""),"",(J81-K81)*100)</f>
        <v>4.75457875457875</v>
      </c>
      <c r="M81" s="36" t="n">
        <v>3.50909186283217</v>
      </c>
      <c r="N81" s="36" t="n">
        <v>1.1191567141424</v>
      </c>
      <c r="O81" s="36" t="n">
        <f aca="false">SQRT(M81^2+N81^2)</f>
        <v>3.68323736034008</v>
      </c>
      <c r="P81" s="55" t="n">
        <f aca="false">IF(J81="","",MAX(0,J81-1.96*O81/100))</f>
        <v>0.38304664297543</v>
      </c>
      <c r="Q81" s="55" t="n">
        <f aca="false">IF(J81="","",MIN(1,J81+1.96*O81/100))</f>
        <v>0.527429547500761</v>
      </c>
      <c r="R81" s="32" t="str">
        <f aca="false">IF(L81="","",IF(ABS(L81)&lt;=O81,"Yes","No"))</f>
        <v>No</v>
      </c>
      <c r="S81" s="32" t="str">
        <f aca="false">IF(L81="","",IF(ABS(L81)&lt;=1.96*O81,"Yes","No"))</f>
        <v>Yes</v>
      </c>
      <c r="T81" s="54" t="n">
        <f aca="false">IF(D81="","",ROUND(SQRT(((D81+G81)*O81/100)^2+(J81*(D81+G81)*0.09092)^2),0))</f>
        <v>29</v>
      </c>
      <c r="U81" s="32"/>
    </row>
    <row r="82" customFormat="false" ht="15" hidden="false" customHeight="false" outlineLevel="0" collapsed="false">
      <c r="A82" s="32" t="s">
        <v>188</v>
      </c>
      <c r="B82" s="32" t="s">
        <v>216</v>
      </c>
      <c r="C82" s="32" t="s">
        <v>129</v>
      </c>
      <c r="D82" s="54" t="n">
        <v>308</v>
      </c>
      <c r="E82" s="54" t="n">
        <v>272</v>
      </c>
      <c r="F82" s="65" t="n">
        <f aca="false">IF(E82="","",D82-E82)</f>
        <v>36</v>
      </c>
      <c r="G82" s="54" t="n">
        <v>379</v>
      </c>
      <c r="H82" s="54" t="n">
        <v>400</v>
      </c>
      <c r="I82" s="65" t="n">
        <f aca="false">IF(H82="","",G82-H82)</f>
        <v>-21</v>
      </c>
      <c r="J82" s="55" t="n">
        <f aca="false">IF(OR(D82="",D82+G82=0),"",D82/(D82+G82))</f>
        <v>0.448326055312955</v>
      </c>
      <c r="K82" s="55" t="n">
        <f aca="false">IF(E82="","",E82/(E82+H82))</f>
        <v>0.404761904761905</v>
      </c>
      <c r="L82" s="66" t="n">
        <f aca="false">IF(OR(K82="",J82=""),"",(J82-K82)*100)</f>
        <v>4.35641505510501</v>
      </c>
      <c r="M82" s="36" t="n">
        <v>3.50909186283217</v>
      </c>
      <c r="N82" s="36" t="n">
        <v>1.1191567141424</v>
      </c>
      <c r="O82" s="36" t="n">
        <f aca="false">SQRT(M82^2+N82^2)</f>
        <v>3.68323736034008</v>
      </c>
      <c r="P82" s="55" t="n">
        <f aca="false">IF(J82="","",MAX(0,J82-1.96*O82/100))</f>
        <v>0.376134603050289</v>
      </c>
      <c r="Q82" s="55" t="n">
        <f aca="false">IF(J82="","",MIN(1,J82+1.96*O82/100))</f>
        <v>0.52051750757562</v>
      </c>
      <c r="R82" s="32" t="str">
        <f aca="false">IF(L82="","",IF(ABS(L82)&lt;=O82,"Yes","No"))</f>
        <v>No</v>
      </c>
      <c r="S82" s="32" t="str">
        <f aca="false">IF(L82="","",IF(ABS(L82)&lt;=1.96*O82,"Yes","No"))</f>
        <v>Yes</v>
      </c>
      <c r="T82" s="54" t="n">
        <f aca="false">IF(D82="","",ROUND(SQRT(((D82+G82)*O82/100)^2+(J82*(D82+G82)*0.09092)^2),0))</f>
        <v>38</v>
      </c>
      <c r="U82" s="32"/>
    </row>
    <row r="83" customFormat="false" ht="15" hidden="false" customHeight="false" outlineLevel="0" collapsed="false">
      <c r="A83" s="32" t="s">
        <v>188</v>
      </c>
      <c r="B83" s="32" t="s">
        <v>217</v>
      </c>
      <c r="C83" s="32" t="s">
        <v>129</v>
      </c>
      <c r="D83" s="54" t="n">
        <v>1384</v>
      </c>
      <c r="E83" s="54" t="n">
        <v>1207</v>
      </c>
      <c r="F83" s="65" t="n">
        <f aca="false">IF(E83="","",D83-E83)</f>
        <v>177</v>
      </c>
      <c r="G83" s="54" t="n">
        <v>2522</v>
      </c>
      <c r="H83" s="54" t="n">
        <v>2601</v>
      </c>
      <c r="I83" s="65" t="n">
        <f aca="false">IF(H83="","",G83-H83)</f>
        <v>-79</v>
      </c>
      <c r="J83" s="55" t="n">
        <f aca="false">IF(OR(D83="",D83+G83=0),"",D83/(D83+G83))</f>
        <v>0.354326676907322</v>
      </c>
      <c r="K83" s="55" t="n">
        <f aca="false">IF(E83="","",E83/(E83+H83))</f>
        <v>0.316964285714286</v>
      </c>
      <c r="L83" s="66" t="n">
        <f aca="false">IF(OR(K83="",J83=""),"",(J83-K83)*100)</f>
        <v>3.73623911930364</v>
      </c>
      <c r="M83" s="36" t="n">
        <v>2.09473161487849</v>
      </c>
      <c r="N83" s="36" t="n">
        <v>1.1191567141424</v>
      </c>
      <c r="O83" s="36" t="n">
        <f aca="false">SQRT(M83^2+N83^2)</f>
        <v>2.37495521835286</v>
      </c>
      <c r="P83" s="55" t="n">
        <f aca="false">IF(J83="","",MAX(0,J83-1.96*O83/100))</f>
        <v>0.307777554627606</v>
      </c>
      <c r="Q83" s="55" t="n">
        <f aca="false">IF(J83="","",MIN(1,J83+1.96*O83/100))</f>
        <v>0.400875799187038</v>
      </c>
      <c r="R83" s="32" t="str">
        <f aca="false">IF(L83="","",IF(ABS(L83)&lt;=O83,"Yes","No"))</f>
        <v>No</v>
      </c>
      <c r="S83" s="32" t="str">
        <f aca="false">IF(L83="","",IF(ABS(L83)&lt;=1.96*O83,"Yes","No"))</f>
        <v>Yes</v>
      </c>
      <c r="T83" s="54" t="n">
        <f aca="false">IF(D83="","",ROUND(SQRT(((D83+G83)*O83/100)^2+(J83*(D83+G83)*0.0639)^2),0))</f>
        <v>128</v>
      </c>
      <c r="U83" s="32"/>
    </row>
    <row r="84" customFormat="false" ht="15" hidden="false" customHeight="false" outlineLevel="0" collapsed="false">
      <c r="A84" s="32" t="s">
        <v>188</v>
      </c>
      <c r="B84" s="32" t="s">
        <v>218</v>
      </c>
      <c r="C84" s="32" t="s">
        <v>129</v>
      </c>
      <c r="D84" s="54" t="n">
        <v>2007</v>
      </c>
      <c r="E84" s="54" t="n">
        <v>1838</v>
      </c>
      <c r="F84" s="65" t="n">
        <f aca="false">IF(E84="","",D84-E84)</f>
        <v>169</v>
      </c>
      <c r="G84" s="54" t="n">
        <v>1983</v>
      </c>
      <c r="H84" s="54" t="n">
        <v>2112</v>
      </c>
      <c r="I84" s="65" t="n">
        <f aca="false">IF(H84="","",G84-H84)</f>
        <v>-129</v>
      </c>
      <c r="J84" s="55" t="n">
        <f aca="false">IF(OR(D84="",D84+G84=0),"",D84/(D84+G84))</f>
        <v>0.503007518796993</v>
      </c>
      <c r="K84" s="55" t="n">
        <f aca="false">IF(E84="","",E84/(E84+H84))</f>
        <v>0.465316455696203</v>
      </c>
      <c r="L84" s="66" t="n">
        <f aca="false">IF(OR(K84="",J84=""),"",(J84-K84)*100)</f>
        <v>3.76910631007899</v>
      </c>
      <c r="M84" s="36" t="n">
        <v>2.09473161487849</v>
      </c>
      <c r="N84" s="36" t="n">
        <v>1.1191567141424</v>
      </c>
      <c r="O84" s="36" t="n">
        <f aca="false">SQRT(M84^2+N84^2)</f>
        <v>2.37495521835286</v>
      </c>
      <c r="P84" s="55" t="n">
        <f aca="false">IF(J84="","",MAX(0,J84-1.96*O84/100))</f>
        <v>0.456458396517277</v>
      </c>
      <c r="Q84" s="55" t="n">
        <f aca="false">IF(J84="","",MIN(1,J84+1.96*O84/100))</f>
        <v>0.549556641076708</v>
      </c>
      <c r="R84" s="32" t="str">
        <f aca="false">IF(L84="","",IF(ABS(L84)&lt;=O84,"Yes","No"))</f>
        <v>No</v>
      </c>
      <c r="S84" s="32" t="str">
        <f aca="false">IF(L84="","",IF(ABS(L84)&lt;=1.96*O84,"Yes","No"))</f>
        <v>Yes</v>
      </c>
      <c r="T84" s="54" t="n">
        <f aca="false">IF(D84="","",ROUND(SQRT(((D84+G84)*O84/100)^2+(J84*(D84+G84)*0.0639)^2),0))</f>
        <v>159</v>
      </c>
      <c r="U84" s="32"/>
    </row>
    <row r="85" customFormat="false" ht="15" hidden="false" customHeight="false" outlineLevel="0" collapsed="false">
      <c r="A85" s="32" t="s">
        <v>188</v>
      </c>
      <c r="B85" s="32" t="s">
        <v>219</v>
      </c>
      <c r="C85" s="32" t="s">
        <v>129</v>
      </c>
      <c r="D85" s="54" t="n">
        <v>430</v>
      </c>
      <c r="E85" s="54" t="n">
        <v>379</v>
      </c>
      <c r="F85" s="65" t="n">
        <f aca="false">IF(E85="","",D85-E85)</f>
        <v>51</v>
      </c>
      <c r="G85" s="54" t="n">
        <v>566</v>
      </c>
      <c r="H85" s="54" t="n">
        <v>605</v>
      </c>
      <c r="I85" s="65" t="n">
        <f aca="false">IF(H85="","",G85-H85)</f>
        <v>-39</v>
      </c>
      <c r="J85" s="55" t="n">
        <f aca="false">IF(OR(D85="",D85+G85=0),"",D85/(D85+G85))</f>
        <v>0.431726907630522</v>
      </c>
      <c r="K85" s="55" t="n">
        <f aca="false">IF(E85="","",E85/(E85+H85))</f>
        <v>0.385162601626016</v>
      </c>
      <c r="L85" s="66" t="n">
        <f aca="false">IF(OR(K85="",J85=""),"",(J85-K85)*100)</f>
        <v>4.65643060045058</v>
      </c>
      <c r="M85" s="36" t="n">
        <v>3.50909186283217</v>
      </c>
      <c r="N85" s="36" t="n">
        <v>1.1191567141424</v>
      </c>
      <c r="O85" s="36" t="n">
        <f aca="false">SQRT(M85^2+N85^2)</f>
        <v>3.68323736034008</v>
      </c>
      <c r="P85" s="55" t="n">
        <f aca="false">IF(J85="","",MAX(0,J85-1.96*O85/100))</f>
        <v>0.359535455367856</v>
      </c>
      <c r="Q85" s="55" t="n">
        <f aca="false">IF(J85="","",MIN(1,J85+1.96*O85/100))</f>
        <v>0.503918359893188</v>
      </c>
      <c r="R85" s="32" t="str">
        <f aca="false">IF(L85="","",IF(ABS(L85)&lt;=O85,"Yes","No"))</f>
        <v>No</v>
      </c>
      <c r="S85" s="32" t="str">
        <f aca="false">IF(L85="","",IF(ABS(L85)&lt;=1.96*O85,"Yes","No"))</f>
        <v>Yes</v>
      </c>
      <c r="T85" s="54" t="n">
        <f aca="false">IF(D85="","",ROUND(SQRT(((D85+G85)*O85/100)^2+(J85*(D85+G85)*0.09092)^2),0))</f>
        <v>54</v>
      </c>
      <c r="U85" s="32"/>
    </row>
    <row r="86" customFormat="false" ht="15" hidden="false" customHeight="false" outlineLevel="0" collapsed="false">
      <c r="A86" s="32" t="s">
        <v>188</v>
      </c>
      <c r="B86" s="32" t="s">
        <v>180</v>
      </c>
      <c r="C86" s="32" t="s">
        <v>129</v>
      </c>
      <c r="D86" s="54" t="n">
        <v>1166</v>
      </c>
      <c r="E86" s="54" t="n">
        <v>1032</v>
      </c>
      <c r="F86" s="65" t="n">
        <f aca="false">IF(E86="","",D86-E86)</f>
        <v>134</v>
      </c>
      <c r="G86" s="54" t="n">
        <v>1888</v>
      </c>
      <c r="H86" s="54" t="n">
        <v>1971</v>
      </c>
      <c r="I86" s="65" t="n">
        <f aca="false">IF(H86="","",G86-H86)</f>
        <v>-83</v>
      </c>
      <c r="J86" s="55" t="n">
        <f aca="false">IF(OR(D86="",D86+G86=0),"",D86/(D86+G86))</f>
        <v>0.381794368041912</v>
      </c>
      <c r="K86" s="55" t="n">
        <f aca="false">IF(E86="","",E86/(E86+H86))</f>
        <v>0.343656343656344</v>
      </c>
      <c r="L86" s="66" t="n">
        <f aca="false">IF(OR(K86="",J86=""),"",(J86-K86)*100)</f>
        <v>3.81380243855686</v>
      </c>
      <c r="M86" s="36" t="n">
        <v>1.79629704648005</v>
      </c>
      <c r="N86" s="36" t="n">
        <v>1.1191567141424</v>
      </c>
      <c r="O86" s="36" t="n">
        <f aca="false">SQRT(M86^2+N86^2)</f>
        <v>2.1164108367713</v>
      </c>
      <c r="P86" s="55" t="n">
        <f aca="false">IF(J86="","",MAX(0,J86-1.96*O86/100))</f>
        <v>0.340312715641195</v>
      </c>
      <c r="Q86" s="55" t="n">
        <f aca="false">IF(J86="","",MIN(1,J86+1.96*O86/100))</f>
        <v>0.42327602044263</v>
      </c>
      <c r="R86" s="32" t="str">
        <f aca="false">IF(L86="","",IF(ABS(L86)&lt;=O86,"Yes","No"))</f>
        <v>No</v>
      </c>
      <c r="S86" s="32" t="str">
        <f aca="false">IF(L86="","",IF(ABS(L86)&lt;=1.96*O86,"Yes","No"))</f>
        <v>Yes</v>
      </c>
      <c r="T86" s="54" t="n">
        <f aca="false">IF(D86="","",ROUND(SQRT(((D86+G86)*O86/100)^2+(J86*(D86+G86)*0.06991)^2),0))</f>
        <v>104</v>
      </c>
      <c r="U86" s="32"/>
    </row>
    <row r="87" customFormat="false" ht="15" hidden="false" customHeight="false" outlineLevel="0" collapsed="false">
      <c r="A87" s="32" t="s">
        <v>188</v>
      </c>
      <c r="B87" s="32" t="s">
        <v>220</v>
      </c>
      <c r="C87" s="32" t="s">
        <v>129</v>
      </c>
      <c r="D87" s="54" t="n">
        <v>300</v>
      </c>
      <c r="E87" s="54" t="n">
        <v>249</v>
      </c>
      <c r="F87" s="65" t="n">
        <f aca="false">IF(E87="","",D87-E87)</f>
        <v>51</v>
      </c>
      <c r="G87" s="54" t="n">
        <v>260</v>
      </c>
      <c r="H87" s="54" t="n">
        <v>326</v>
      </c>
      <c r="I87" s="65" t="n">
        <f aca="false">IF(H87="","",G87-H87)</f>
        <v>-66</v>
      </c>
      <c r="J87" s="55" t="n">
        <f aca="false">IF(OR(D87="",D87+G87=0),"",D87/(D87+G87))</f>
        <v>0.535714285714286</v>
      </c>
      <c r="K87" s="55" t="n">
        <f aca="false">IF(E87="","",E87/(E87+H87))</f>
        <v>0.43304347826087</v>
      </c>
      <c r="L87" s="66" t="n">
        <f aca="false">IF(OR(K87="",J87=""),"",(J87-K87)*100)</f>
        <v>10.2670807453416</v>
      </c>
      <c r="M87" s="36" t="n">
        <v>3.50909186283217</v>
      </c>
      <c r="N87" s="36" t="n">
        <v>1.1191567141424</v>
      </c>
      <c r="O87" s="36" t="n">
        <f aca="false">SQRT(M87^2+N87^2)</f>
        <v>3.68323736034008</v>
      </c>
      <c r="P87" s="55" t="n">
        <f aca="false">IF(J87="","",MAX(0,J87-1.96*O87/100))</f>
        <v>0.46352283345162</v>
      </c>
      <c r="Q87" s="55" t="n">
        <f aca="false">IF(J87="","",MIN(1,J87+1.96*O87/100))</f>
        <v>0.607905737976951</v>
      </c>
      <c r="R87" s="32" t="str">
        <f aca="false">IF(L87="","",IF(ABS(L87)&lt;=O87,"Yes","No"))</f>
        <v>No</v>
      </c>
      <c r="S87" s="32" t="str">
        <f aca="false">IF(L87="","",IF(ABS(L87)&lt;=1.96*O87,"Yes","No"))</f>
        <v>No</v>
      </c>
      <c r="T87" s="54" t="n">
        <f aca="false">IF(D87="","",ROUND(SQRT(((D87+G87)*O87/100)^2+(J87*(D87+G87)*0.09092)^2),0))</f>
        <v>34</v>
      </c>
      <c r="U87" s="32"/>
    </row>
    <row r="88" customFormat="false" ht="15" hidden="false" customHeight="false" outlineLevel="0" collapsed="false">
      <c r="A88" s="32" t="s">
        <v>188</v>
      </c>
      <c r="B88" s="32" t="s">
        <v>221</v>
      </c>
      <c r="C88" s="32" t="s">
        <v>129</v>
      </c>
      <c r="D88" s="54" t="n">
        <v>1943</v>
      </c>
      <c r="E88" s="54" t="n">
        <v>1767</v>
      </c>
      <c r="F88" s="65" t="n">
        <f aca="false">IF(E88="","",D88-E88)</f>
        <v>176</v>
      </c>
      <c r="G88" s="54" t="n">
        <v>2261</v>
      </c>
      <c r="H88" s="54" t="n">
        <v>2379</v>
      </c>
      <c r="I88" s="65" t="n">
        <f aca="false">IF(H88="","",G88-H88)</f>
        <v>-118</v>
      </c>
      <c r="J88" s="55" t="n">
        <f aca="false">IF(OR(D88="",D88+G88=0),"",D88/(D88+G88))</f>
        <v>0.462178877259753</v>
      </c>
      <c r="K88" s="55" t="n">
        <f aca="false">IF(E88="","",E88/(E88+H88))</f>
        <v>0.426193921852388</v>
      </c>
      <c r="L88" s="66" t="n">
        <f aca="false">IF(OR(K88="",J88=""),"",(J88-K88)*100)</f>
        <v>3.59849554073647</v>
      </c>
      <c r="M88" s="36" t="n">
        <v>2.09473161487849</v>
      </c>
      <c r="N88" s="36" t="n">
        <v>1.1191567141424</v>
      </c>
      <c r="O88" s="36" t="n">
        <f aca="false">SQRT(M88^2+N88^2)</f>
        <v>2.37495521835286</v>
      </c>
      <c r="P88" s="55" t="n">
        <f aca="false">IF(J88="","",MAX(0,J88-1.96*O88/100))</f>
        <v>0.415629754980037</v>
      </c>
      <c r="Q88" s="55" t="n">
        <f aca="false">IF(J88="","",MIN(1,J88+1.96*O88/100))</f>
        <v>0.508727999539469</v>
      </c>
      <c r="R88" s="32" t="str">
        <f aca="false">IF(L88="","",IF(ABS(L88)&lt;=O88,"Yes","No"))</f>
        <v>No</v>
      </c>
      <c r="S88" s="32" t="str">
        <f aca="false">IF(L88="","",IF(ABS(L88)&lt;=1.96*O88,"Yes","No"))</f>
        <v>Yes</v>
      </c>
      <c r="T88" s="54" t="n">
        <f aca="false">IF(D88="","",ROUND(SQRT(((D88+G88)*O88/100)^2+(J88*(D88+G88)*0.0639)^2),0))</f>
        <v>159</v>
      </c>
      <c r="U88" s="32"/>
    </row>
    <row r="89" customFormat="false" ht="15" hidden="false" customHeight="false" outlineLevel="0" collapsed="false">
      <c r="A89" s="32" t="s">
        <v>188</v>
      </c>
      <c r="B89" s="32" t="s">
        <v>222</v>
      </c>
      <c r="C89" s="32" t="s">
        <v>129</v>
      </c>
      <c r="D89" s="54" t="n">
        <v>2046</v>
      </c>
      <c r="E89" s="54" t="n">
        <v>1908</v>
      </c>
      <c r="F89" s="65" t="n">
        <f aca="false">IF(E89="","",D89-E89)</f>
        <v>138</v>
      </c>
      <c r="G89" s="54" t="n">
        <v>1409</v>
      </c>
      <c r="H89" s="54" t="n">
        <v>1518</v>
      </c>
      <c r="I89" s="65" t="n">
        <f aca="false">IF(H89="","",G89-H89)</f>
        <v>-109</v>
      </c>
      <c r="J89" s="55" t="n">
        <f aca="false">IF(OR(D89="",D89+G89=0),"",D89/(D89+G89))</f>
        <v>0.592185238784371</v>
      </c>
      <c r="K89" s="55" t="n">
        <f aca="false">IF(E89="","",E89/(E89+H89))</f>
        <v>0.5569176882662</v>
      </c>
      <c r="L89" s="66" t="n">
        <f aca="false">IF(OR(K89="",J89=""),"",(J89-K89)*100)</f>
        <v>3.52675505181708</v>
      </c>
      <c r="M89" s="36" t="n">
        <v>1.79629704648005</v>
      </c>
      <c r="N89" s="36" t="n">
        <v>1.1191567141424</v>
      </c>
      <c r="O89" s="36" t="n">
        <f aca="false">SQRT(M89^2+N89^2)</f>
        <v>2.1164108367713</v>
      </c>
      <c r="P89" s="55" t="n">
        <f aca="false">IF(J89="","",MAX(0,J89-1.96*O89/100))</f>
        <v>0.550703586383653</v>
      </c>
      <c r="Q89" s="55" t="n">
        <f aca="false">IF(J89="","",MIN(1,J89+1.96*O89/100))</f>
        <v>0.633666891185088</v>
      </c>
      <c r="R89" s="32" t="str">
        <f aca="false">IF(L89="","",IF(ABS(L89)&lt;=O89,"Yes","No"))</f>
        <v>No</v>
      </c>
      <c r="S89" s="32" t="str">
        <f aca="false">IF(L89="","",IF(ABS(L89)&lt;=1.96*O89,"Yes","No"))</f>
        <v>Yes</v>
      </c>
      <c r="T89" s="54" t="n">
        <f aca="false">IF(D89="","",ROUND(SQRT(((D89+G89)*O89/100)^2+(J89*(D89+G89)*0.06991)^2),0))</f>
        <v>161</v>
      </c>
      <c r="U89" s="32"/>
    </row>
    <row r="90" customFormat="false" ht="15" hidden="false" customHeight="false" outlineLevel="0" collapsed="false">
      <c r="A90" s="32" t="s">
        <v>188</v>
      </c>
      <c r="B90" s="32" t="s">
        <v>223</v>
      </c>
      <c r="C90" s="32" t="s">
        <v>129</v>
      </c>
      <c r="D90" s="54" t="n">
        <v>569</v>
      </c>
      <c r="E90" s="54" t="n">
        <v>508</v>
      </c>
      <c r="F90" s="65" t="n">
        <f aca="false">IF(E90="","",D90-E90)</f>
        <v>61</v>
      </c>
      <c r="G90" s="54" t="n">
        <v>699</v>
      </c>
      <c r="H90" s="54" t="n">
        <v>791</v>
      </c>
      <c r="I90" s="65" t="n">
        <f aca="false">IF(H90="","",G90-H90)</f>
        <v>-92</v>
      </c>
      <c r="J90" s="55" t="n">
        <f aca="false">IF(OR(D90="",D90+G90=0),"",D90/(D90+G90))</f>
        <v>0.448738170347003</v>
      </c>
      <c r="K90" s="55" t="n">
        <f aca="false">IF(E90="","",E90/(E90+H90))</f>
        <v>0.391070053887606</v>
      </c>
      <c r="L90" s="66" t="n">
        <f aca="false">IF(OR(K90="",J90=""),"",(J90-K90)*100)</f>
        <v>5.76681164593973</v>
      </c>
      <c r="M90" s="36" t="n">
        <v>3.50909186283217</v>
      </c>
      <c r="N90" s="36" t="n">
        <v>1.1191567141424</v>
      </c>
      <c r="O90" s="36" t="n">
        <f aca="false">SQRT(M90^2+N90^2)</f>
        <v>3.68323736034008</v>
      </c>
      <c r="P90" s="55" t="n">
        <f aca="false">IF(J90="","",MAX(0,J90-1.96*O90/100))</f>
        <v>0.376546718084338</v>
      </c>
      <c r="Q90" s="55" t="n">
        <f aca="false">IF(J90="","",MIN(1,J90+1.96*O90/100))</f>
        <v>0.520929622609669</v>
      </c>
      <c r="R90" s="32" t="str">
        <f aca="false">IF(L90="","",IF(ABS(L90)&lt;=O90,"Yes","No"))</f>
        <v>No</v>
      </c>
      <c r="S90" s="32" t="str">
        <f aca="false">IF(L90="","",IF(ABS(L90)&lt;=1.96*O90,"Yes","No"))</f>
        <v>Yes</v>
      </c>
      <c r="T90" s="54" t="n">
        <f aca="false">IF(D90="","",ROUND(SQRT(((D90+G90)*O90/100)^2+(J90*(D90+G90)*0.09092)^2),0))</f>
        <v>70</v>
      </c>
      <c r="U90" s="32"/>
    </row>
    <row r="92" customFormat="false" ht="15" hidden="false" customHeight="false" outlineLevel="0" collapsed="false">
      <c r="A92" s="20" t="s">
        <v>351</v>
      </c>
      <c r="B92" s="67"/>
      <c r="C92" s="67"/>
      <c r="D92" s="68" t="n">
        <f aca="false">SUMIF(E2:E90,"&lt;&gt;",D2:D90)</f>
        <v>206206</v>
      </c>
      <c r="E92" s="68" t="n">
        <f aca="false">SUM(E2:E90)</f>
        <v>193125</v>
      </c>
      <c r="F92" s="69" t="n">
        <f aca="false">D92-E92</f>
        <v>13081</v>
      </c>
      <c r="G92" s="68" t="n">
        <f aca="false">SUMIF(H2:H90,"&lt;&gt;",G2:G90)</f>
        <v>184549</v>
      </c>
      <c r="H92" s="68" t="n">
        <f aca="false">SUM(H2:H90)</f>
        <v>195380</v>
      </c>
      <c r="I92" s="69" t="n">
        <f aca="false">G92-H92</f>
        <v>-10831</v>
      </c>
      <c r="J92" s="70" t="n">
        <f aca="false">D92/(D92+G92)</f>
        <v>0.527711737533749</v>
      </c>
      <c r="K92" s="70" t="n">
        <f aca="false">E92/(E92+H92)</f>
        <v>0.497097849448527</v>
      </c>
      <c r="L92" s="71" t="n">
        <f aca="false">(J92-K92)*100</f>
        <v>3.06138880852218</v>
      </c>
      <c r="M92" s="72" t="n">
        <v>0</v>
      </c>
      <c r="N92" s="72" t="n">
        <v>1.1191567141424</v>
      </c>
      <c r="O92" s="72" t="n">
        <f aca="false">SQRT(M92^2+N92^2)</f>
        <v>1.1191567141424</v>
      </c>
      <c r="P92" s="70" t="n">
        <f aca="false">J92-1.96*O92/100</f>
        <v>0.505776265936558</v>
      </c>
      <c r="Q92" s="70" t="n">
        <f aca="false">J92+1.96*O92/100</f>
        <v>0.54964720913094</v>
      </c>
      <c r="R92" s="67" t="str">
        <f aca="false">IF(ABS(L92)&lt;=O92,"Yes","No")</f>
        <v>No</v>
      </c>
      <c r="S92" s="67" t="str">
        <f aca="false">IF(ABS(L92)&lt;=1.96*O92,"Yes","No")</f>
        <v>No</v>
      </c>
      <c r="T92" s="68" t="n">
        <f aca="false">ROUND(SQRT(((D92+G92)*O92/100)^2+(J92*(D92+G92)*0.05027)^2),0)</f>
        <v>11251</v>
      </c>
    </row>
    <row r="93" customFormat="false" ht="15" hidden="false" customHeight="false" outlineLevel="0" collapsed="false">
      <c r="A93" s="20" t="s">
        <v>352</v>
      </c>
      <c r="B93" s="67"/>
      <c r="C93" s="67"/>
      <c r="D93" s="68" t="n">
        <f aca="false">SUM(D2:D90)</f>
        <v>206206</v>
      </c>
      <c r="E93" s="68"/>
      <c r="F93" s="69"/>
      <c r="G93" s="68" t="n">
        <f aca="false">SUM(G2:G90)</f>
        <v>184549</v>
      </c>
      <c r="H93" s="68"/>
      <c r="I93" s="69"/>
      <c r="J93" s="70" t="n">
        <f aca="false">D93/(D93+G93)</f>
        <v>0.527711737533749</v>
      </c>
      <c r="K93" s="70"/>
      <c r="L93" s="71"/>
      <c r="M93" s="72"/>
      <c r="N93" s="72"/>
      <c r="O93" s="72"/>
      <c r="P93" s="70"/>
      <c r="Q93" s="70"/>
      <c r="R93" s="67"/>
      <c r="S93" s="67"/>
      <c r="T93" s="68"/>
    </row>
    <row r="95" customFormat="false" ht="15" hidden="false" customHeight="false" outlineLevel="0" collapsed="false">
      <c r="A95" s="2" t="s">
        <v>353</v>
      </c>
      <c r="F95" s="73" t="n">
        <f aca="false">(SUMIF(F2:F90,"&gt;0")-SUMIF(F2:F90,"&lt;0"))/COUNT(F2:F90)</f>
        <v>148.213483146067</v>
      </c>
    </row>
    <row r="96" customFormat="false" ht="15" hidden="false" customHeight="false" outlineLevel="0" collapsed="false">
      <c r="A96" s="2" t="s">
        <v>354</v>
      </c>
      <c r="F96" s="73" t="n">
        <f aca="false">(SUMIF(I2:I90,"&gt;0")-SUMIF(I2:I90,"&lt;0"))/COUNT(I2:I90)</f>
        <v>129.966292134831</v>
      </c>
    </row>
    <row r="97" customFormat="false" ht="15" hidden="false" customHeight="false" outlineLevel="0" collapsed="false">
      <c r="A97" s="2" t="s">
        <v>355</v>
      </c>
      <c r="F97" s="74" t="n">
        <f aca="false">(SUMIF(L2:L90,"&gt;0")-SUMIF(L2:L90,"&lt;0"))/COUNT(L2:L90)</f>
        <v>4.38756630546535</v>
      </c>
    </row>
    <row r="98" customFormat="false" ht="15" hidden="false" customHeight="false" outlineLevel="0" collapsed="false">
      <c r="A98" s="5" t="s">
        <v>356</v>
      </c>
      <c r="F98" s="75" t="n">
        <f aca="false">SQRT(SUMSQ(L2:L90)/COUNT(L2:L90))</f>
        <v>4.98073089433193</v>
      </c>
    </row>
    <row r="99" customFormat="false" ht="15" hidden="false" customHeight="false" outlineLevel="0" collapsed="false">
      <c r="A99" s="5" t="s">
        <v>357</v>
      </c>
      <c r="F99" s="76" t="n">
        <f aca="false">L92</f>
        <v>3.06138880852218</v>
      </c>
    </row>
    <row r="100" customFormat="false" ht="15" hidden="false" customHeight="false" outlineLevel="0" collapsed="false">
      <c r="A100" s="5" t="s">
        <v>358</v>
      </c>
      <c r="F100" s="75" t="n">
        <f aca="false">SQRT((SUMSQ(L2:L90)-2*L92*SUM(L2:L90)+COUNT(L2:L90)*L92^2)/COUNT(L2:L90))</f>
        <v>2.7047530220514</v>
      </c>
    </row>
    <row r="101" customFormat="false" ht="15" hidden="false" customHeight="false" outlineLevel="0" collapsed="false">
      <c r="A101" s="2" t="s">
        <v>359</v>
      </c>
      <c r="F101" s="77" t="n">
        <f aca="false">D92/E92-1</f>
        <v>0.0677333333333334</v>
      </c>
    </row>
    <row r="102" customFormat="false" ht="15" hidden="false" customHeight="false" outlineLevel="0" collapsed="false">
      <c r="A102" s="5" t="s">
        <v>360</v>
      </c>
      <c r="F102" s="78" t="n">
        <f aca="false">G92/H92-1</f>
        <v>-0.055435561469956</v>
      </c>
    </row>
    <row r="103" customFormat="false" ht="15" hidden="false" customHeight="false" outlineLevel="0" collapsed="false">
      <c r="A103" s="2" t="s">
        <v>361</v>
      </c>
      <c r="F103" s="77" t="n">
        <f aca="false">(D92+G92)/(E92+H92)-1</f>
        <v>0.00579143125571102</v>
      </c>
    </row>
    <row r="104" customFormat="false" ht="15" hidden="false" customHeight="false" outlineLevel="0" collapsed="false">
      <c r="A104" s="2" t="s">
        <v>362</v>
      </c>
      <c r="F104" s="74" t="n">
        <f aca="false">AVERAGE(O2:O90)</f>
        <v>2.73170440030512</v>
      </c>
    </row>
    <row r="105" customFormat="false" ht="15" hidden="false" customHeight="false" outlineLevel="0" collapsed="false">
      <c r="A105" s="5" t="s">
        <v>363</v>
      </c>
      <c r="F105" s="79" t="n">
        <f aca="false">COUNTIF(R2:R90,"Yes")/(COUNTIF(R2:R90,"Yes")+COUNTIF(R2:R90,"No"))</f>
        <v>0.224719101123596</v>
      </c>
    </row>
    <row r="106" customFormat="false" ht="15" hidden="false" customHeight="false" outlineLevel="0" collapsed="false">
      <c r="A106" s="5" t="s">
        <v>364</v>
      </c>
      <c r="F106" s="79" t="n">
        <f aca="false">COUNTIF(S2:S90,"Yes")/(COUNTIF(S2:S90,"Yes")+COUNTIF(S2:S90,"No"))</f>
        <v>0.696629213483146</v>
      </c>
    </row>
    <row r="107" customFormat="false" ht="15" hidden="false" customHeight="false" outlineLevel="0" collapsed="false">
      <c r="A107" s="2" t="s">
        <v>365</v>
      </c>
      <c r="F107" s="80" t="n">
        <f aca="false">COUNTIFS(L2:L90,"&gt;=-3",L2:L90,"&lt;=3")/COUNT(L2:L90)</f>
        <v>0.325842696629214</v>
      </c>
    </row>
    <row r="108" customFormat="false" ht="15" hidden="false" customHeight="false" outlineLevel="0" collapsed="false">
      <c r="A108" s="2" t="s">
        <v>396</v>
      </c>
      <c r="F108" s="81" t="n">
        <f aca="false">COUNT(E2:E90)</f>
        <v>89</v>
      </c>
    </row>
    <row r="109" customFormat="false" ht="15" hidden="false" customHeight="false" outlineLevel="0" collapsed="false">
      <c r="A109" s="2" t="s">
        <v>367</v>
      </c>
      <c r="F109" s="81" t="n">
        <f aca="false">COUNTA(A2:A90)</f>
        <v>89</v>
      </c>
    </row>
    <row r="111" customFormat="false" ht="15" hidden="false" customHeight="false" outlineLevel="0" collapsed="false">
      <c r="U111" s="5" t="s">
        <v>104</v>
      </c>
    </row>
    <row r="112" customFormat="false" ht="41.75" hidden="false" customHeight="false" outlineLevel="0" collapsed="false">
      <c r="U112" s="64" t="s">
        <v>397</v>
      </c>
    </row>
    <row r="113" customFormat="false" ht="41.75" hidden="false" customHeight="false" outlineLevel="0" collapsed="false">
      <c r="U113" s="64" t="s">
        <v>398</v>
      </c>
    </row>
    <row r="114" customFormat="false" ht="15" hidden="false" customHeight="false" outlineLevel="0" collapsed="false">
      <c r="U114" s="64" t="s">
        <v>399</v>
      </c>
    </row>
    <row r="115" customFormat="false" ht="28.35" hidden="false" customHeight="false" outlineLevel="0" collapsed="false">
      <c r="U115" s="64" t="s">
        <v>400</v>
      </c>
    </row>
    <row r="116" customFormat="false" ht="28.35" hidden="false" customHeight="false" outlineLevel="0" collapsed="false">
      <c r="U116" s="64" t="s">
        <v>401</v>
      </c>
    </row>
    <row r="117" customFormat="false" ht="28.35" hidden="false" customHeight="false" outlineLevel="0" collapsed="false">
      <c r="U117" s="64" t="s">
        <v>402</v>
      </c>
    </row>
    <row r="118" customFormat="false" ht="28.35" hidden="false" customHeight="false" outlineLevel="0" collapsed="false">
      <c r="U118" s="64" t="s">
        <v>374</v>
      </c>
    </row>
    <row r="119" customFormat="false" ht="41.75" hidden="false" customHeight="false" outlineLevel="0" collapsed="false">
      <c r="U119" s="64" t="s">
        <v>403</v>
      </c>
    </row>
    <row r="120" customFormat="false" ht="15" hidden="false" customHeight="false" outlineLevel="0" collapsed="false">
      <c r="U120" s="64" t="s">
        <v>404</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77</v>
      </c>
      <c r="B1" s="8" t="s">
        <v>78</v>
      </c>
      <c r="C1" s="8" t="s">
        <v>79</v>
      </c>
      <c r="D1" s="8" t="s">
        <v>334</v>
      </c>
      <c r="E1" s="8" t="s">
        <v>335</v>
      </c>
      <c r="F1" s="8" t="s">
        <v>336</v>
      </c>
      <c r="G1" s="8" t="s">
        <v>379</v>
      </c>
      <c r="H1" s="8" t="s">
        <v>338</v>
      </c>
      <c r="I1" s="8" t="s">
        <v>339</v>
      </c>
      <c r="J1" s="8" t="s">
        <v>340</v>
      </c>
      <c r="K1" s="8" t="s">
        <v>341</v>
      </c>
      <c r="L1" s="8" t="s">
        <v>342</v>
      </c>
      <c r="M1" s="8" t="s">
        <v>391</v>
      </c>
      <c r="N1" s="8" t="s">
        <v>392</v>
      </c>
      <c r="O1" s="8" t="s">
        <v>107</v>
      </c>
      <c r="P1" s="8" t="s">
        <v>345</v>
      </c>
      <c r="Q1" s="8" t="s">
        <v>346</v>
      </c>
      <c r="R1" s="8" t="s">
        <v>347</v>
      </c>
      <c r="S1" s="8" t="s">
        <v>348</v>
      </c>
      <c r="T1" s="8" t="s">
        <v>349</v>
      </c>
      <c r="U1" s="8" t="s">
        <v>350</v>
      </c>
    </row>
    <row r="2" customFormat="false" ht="15" hidden="false" customHeight="false" outlineLevel="0" collapsed="false">
      <c r="A2" s="32" t="s">
        <v>127</v>
      </c>
      <c r="B2" s="32" t="s">
        <v>128</v>
      </c>
      <c r="C2" s="32" t="s">
        <v>129</v>
      </c>
      <c r="D2" s="54" t="n">
        <v>229</v>
      </c>
      <c r="E2" s="54" t="n">
        <v>171</v>
      </c>
      <c r="F2" s="65" t="n">
        <f aca="false">IF(E2="","",D2-E2)</f>
        <v>58</v>
      </c>
      <c r="G2" s="54" t="n">
        <v>307</v>
      </c>
      <c r="H2" s="54" t="n">
        <v>332</v>
      </c>
      <c r="I2" s="65" t="n">
        <f aca="false">IF(H2="","",G2-H2)</f>
        <v>-25</v>
      </c>
      <c r="J2" s="55" t="n">
        <f aca="false">IF(OR(D2="",D2+G2=0),"",D2/(D2+G2))</f>
        <v>0.427238805970149</v>
      </c>
      <c r="K2" s="55" t="n">
        <f aca="false">IF(E2="","",E2/(E2+H2))</f>
        <v>0.339960238568589</v>
      </c>
      <c r="L2" s="66" t="n">
        <f aca="false">IF(OR(K2="",J2=""),"",(J2-K2)*100)</f>
        <v>8.72785674015608</v>
      </c>
      <c r="M2" s="36" t="n">
        <v>3.35256345132454</v>
      </c>
      <c r="N2" s="36" t="n">
        <v>1.11847588838557</v>
      </c>
      <c r="O2" s="36" t="n">
        <f aca="false">SQRT(M2^2+N2^2)</f>
        <v>3.5342141995155</v>
      </c>
      <c r="P2" s="55" t="n">
        <f aca="false">IF(J2="","",MAX(0,J2-1.96*O2/100))</f>
        <v>0.357968207659646</v>
      </c>
      <c r="Q2" s="55" t="n">
        <f aca="false">IF(J2="","",MIN(1,J2+1.96*O2/100))</f>
        <v>0.496509404280653</v>
      </c>
      <c r="R2" s="32" t="str">
        <f aca="false">IF(L2="","",IF(ABS(L2)&lt;=O2,"Yes","No"))</f>
        <v>No</v>
      </c>
      <c r="S2" s="32" t="str">
        <f aca="false">IF(L2="","",IF(ABS(L2)&lt;=1.96*O2,"Yes","No"))</f>
        <v>No</v>
      </c>
      <c r="T2" s="54" t="n">
        <f aca="false">IF(D2="","",ROUND(SQRT(((D2+G2)*O2/100)^2+(J2*(D2+G2)*0.09092)^2),0))</f>
        <v>28</v>
      </c>
      <c r="U2" s="32" t="s">
        <v>393</v>
      </c>
    </row>
    <row r="3" customFormat="false" ht="15" hidden="false" customHeight="false" outlineLevel="0" collapsed="false">
      <c r="A3" s="32" t="s">
        <v>127</v>
      </c>
      <c r="B3" s="32" t="s">
        <v>133</v>
      </c>
      <c r="C3" s="32" t="s">
        <v>129</v>
      </c>
      <c r="D3" s="54" t="n">
        <v>139</v>
      </c>
      <c r="E3" s="54" t="n">
        <v>100</v>
      </c>
      <c r="F3" s="65" t="n">
        <f aca="false">IF(E3="","",D3-E3)</f>
        <v>39</v>
      </c>
      <c r="G3" s="54" t="n">
        <v>278</v>
      </c>
      <c r="H3" s="54" t="n">
        <v>303</v>
      </c>
      <c r="I3" s="65" t="n">
        <f aca="false">IF(H3="","",G3-H3)</f>
        <v>-25</v>
      </c>
      <c r="J3" s="55" t="n">
        <f aca="false">IF(OR(D3="",D3+G3=0),"",D3/(D3+G3))</f>
        <v>0.333333333333333</v>
      </c>
      <c r="K3" s="55" t="n">
        <f aca="false">IF(E3="","",E3/(E3+H3))</f>
        <v>0.248138957816377</v>
      </c>
      <c r="L3" s="66" t="n">
        <f aca="false">IF(OR(K3="",J3=""),"",(J3-K3)*100)</f>
        <v>8.51943755169561</v>
      </c>
      <c r="M3" s="36" t="n">
        <v>3.35256345132454</v>
      </c>
      <c r="N3" s="36" t="n">
        <v>1.11847588838557</v>
      </c>
      <c r="O3" s="36" t="n">
        <f aca="false">SQRT(M3^2+N3^2)</f>
        <v>3.5342141995155</v>
      </c>
      <c r="P3" s="55" t="n">
        <f aca="false">IF(J3="","",MAX(0,J3-1.96*O3/100))</f>
        <v>0.26406273502283</v>
      </c>
      <c r="Q3" s="55" t="n">
        <f aca="false">IF(J3="","",MIN(1,J3+1.96*O3/100))</f>
        <v>0.402603931643837</v>
      </c>
      <c r="R3" s="32" t="str">
        <f aca="false">IF(L3="","",IF(ABS(L3)&lt;=O3,"Yes","No"))</f>
        <v>No</v>
      </c>
      <c r="S3" s="32" t="str">
        <f aca="false">IF(L3="","",IF(ABS(L3)&lt;=1.96*O3,"Yes","No"))</f>
        <v>No</v>
      </c>
      <c r="T3" s="54" t="n">
        <f aca="false">IF(D3="","",ROUND(SQRT(((D3+G3)*O3/100)^2+(J3*(D3+G3)*0.09092)^2),0))</f>
        <v>19</v>
      </c>
      <c r="U3" s="32" t="s">
        <v>393</v>
      </c>
    </row>
    <row r="4" customFormat="false" ht="15" hidden="false" customHeight="false" outlineLevel="0" collapsed="false">
      <c r="A4" s="32" t="s">
        <v>127</v>
      </c>
      <c r="B4" s="32" t="s">
        <v>134</v>
      </c>
      <c r="C4" s="32" t="s">
        <v>129</v>
      </c>
      <c r="D4" s="54" t="n">
        <v>183</v>
      </c>
      <c r="E4" s="54" t="n">
        <v>111</v>
      </c>
      <c r="F4" s="65" t="n">
        <f aca="false">IF(E4="","",D4-E4)</f>
        <v>72</v>
      </c>
      <c r="G4" s="54" t="n">
        <v>299</v>
      </c>
      <c r="H4" s="54" t="n">
        <v>317</v>
      </c>
      <c r="I4" s="65" t="n">
        <f aca="false">IF(H4="","",G4-H4)</f>
        <v>-18</v>
      </c>
      <c r="J4" s="55" t="n">
        <f aca="false">IF(OR(D4="",D4+G4=0),"",D4/(D4+G4))</f>
        <v>0.379668049792531</v>
      </c>
      <c r="K4" s="55" t="n">
        <f aca="false">IF(E4="","",E4/(E4+H4))</f>
        <v>0.259345794392523</v>
      </c>
      <c r="L4" s="66" t="n">
        <f aca="false">IF(OR(K4="",J4=""),"",(J4-K4)*100)</f>
        <v>12.0322255400008</v>
      </c>
      <c r="M4" s="36" t="n">
        <v>3.35256345132454</v>
      </c>
      <c r="N4" s="36" t="n">
        <v>1.11847588838557</v>
      </c>
      <c r="O4" s="36" t="n">
        <f aca="false">SQRT(M4^2+N4^2)</f>
        <v>3.5342141995155</v>
      </c>
      <c r="P4" s="55" t="n">
        <f aca="false">IF(J4="","",MAX(0,J4-1.96*O4/100))</f>
        <v>0.310397451482027</v>
      </c>
      <c r="Q4" s="55" t="n">
        <f aca="false">IF(J4="","",MIN(1,J4+1.96*O4/100))</f>
        <v>0.448938648103035</v>
      </c>
      <c r="R4" s="32" t="str">
        <f aca="false">IF(L4="","",IF(ABS(L4)&lt;=O4,"Yes","No"))</f>
        <v>No</v>
      </c>
      <c r="S4" s="32" t="str">
        <f aca="false">IF(L4="","",IF(ABS(L4)&lt;=1.96*O4,"Yes","No"))</f>
        <v>No</v>
      </c>
      <c r="T4" s="54" t="n">
        <f aca="false">IF(D4="","",ROUND(SQRT(((D4+G4)*O4/100)^2+(J4*(D4+G4)*0.09092)^2),0))</f>
        <v>24</v>
      </c>
      <c r="U4" s="32" t="s">
        <v>393</v>
      </c>
    </row>
    <row r="5" customFormat="false" ht="15" hidden="false" customHeight="false" outlineLevel="0" collapsed="false">
      <c r="A5" s="32" t="s">
        <v>127</v>
      </c>
      <c r="B5" s="32" t="s">
        <v>135</v>
      </c>
      <c r="C5" s="32" t="s">
        <v>129</v>
      </c>
      <c r="D5" s="54" t="n">
        <v>552</v>
      </c>
      <c r="E5" s="54" t="n">
        <v>390</v>
      </c>
      <c r="F5" s="65" t="n">
        <f aca="false">IF(E5="","",D5-E5)</f>
        <v>162</v>
      </c>
      <c r="G5" s="54" t="n">
        <v>1133</v>
      </c>
      <c r="H5" s="54" t="n">
        <v>1180</v>
      </c>
      <c r="I5" s="65" t="n">
        <f aca="false">IF(H5="","",G5-H5)</f>
        <v>-47</v>
      </c>
      <c r="J5" s="55" t="n">
        <f aca="false">IF(OR(D5="",D5+G5=0),"",D5/(D5+G5))</f>
        <v>0.327596439169139</v>
      </c>
      <c r="K5" s="55" t="n">
        <f aca="false">IF(E5="","",E5/(E5+H5))</f>
        <v>0.248407643312102</v>
      </c>
      <c r="L5" s="66" t="n">
        <f aca="false">IF(OR(K5="",J5=""),"",(J5-K5)*100)</f>
        <v>7.91887958570375</v>
      </c>
      <c r="M5" s="36" t="n">
        <v>1.87220867946189</v>
      </c>
      <c r="N5" s="36" t="n">
        <v>1.11847588838557</v>
      </c>
      <c r="O5" s="36" t="n">
        <f aca="false">SQRT(M5^2+N5^2)</f>
        <v>2.18086075950583</v>
      </c>
      <c r="P5" s="55" t="n">
        <f aca="false">IF(J5="","",MAX(0,J5-1.96*O5/100))</f>
        <v>0.284851568282825</v>
      </c>
      <c r="Q5" s="55" t="n">
        <f aca="false">IF(J5="","",MIN(1,J5+1.96*O5/100))</f>
        <v>0.370341310055454</v>
      </c>
      <c r="R5" s="32" t="str">
        <f aca="false">IF(L5="","",IF(ABS(L5)&lt;=O5,"Yes","No"))</f>
        <v>No</v>
      </c>
      <c r="S5" s="32" t="str">
        <f aca="false">IF(L5="","",IF(ABS(L5)&lt;=1.96*O5,"Yes","No"))</f>
        <v>No</v>
      </c>
      <c r="T5" s="54" t="n">
        <f aca="false">IF(D5="","",ROUND(SQRT(((D5+G5)*O5/100)^2+(J5*(D5+G5)*0.06991)^2),0))</f>
        <v>53</v>
      </c>
      <c r="U5" s="32" t="s">
        <v>393</v>
      </c>
    </row>
    <row r="6" customFormat="false" ht="15" hidden="false" customHeight="false" outlineLevel="0" collapsed="false">
      <c r="A6" s="32" t="s">
        <v>127</v>
      </c>
      <c r="B6" s="32" t="s">
        <v>137</v>
      </c>
      <c r="C6" s="32" t="s">
        <v>129</v>
      </c>
      <c r="D6" s="54" t="n">
        <v>52</v>
      </c>
      <c r="E6" s="54" t="n">
        <v>47</v>
      </c>
      <c r="F6" s="65" t="n">
        <f aca="false">IF(E6="","",D6-E6)</f>
        <v>5</v>
      </c>
      <c r="G6" s="54" t="n">
        <v>74</v>
      </c>
      <c r="H6" s="54" t="n">
        <v>74</v>
      </c>
      <c r="I6" s="65" t="n">
        <f aca="false">IF(H6="","",G6-H6)</f>
        <v>0</v>
      </c>
      <c r="J6" s="55" t="n">
        <f aca="false">IF(OR(D6="",D6+G6=0),"",D6/(D6+G6))</f>
        <v>0.412698412698413</v>
      </c>
      <c r="K6" s="55" t="n">
        <f aca="false">IF(E6="","",E6/(E6+H6))</f>
        <v>0.388429752066116</v>
      </c>
      <c r="L6" s="66" t="n">
        <f aca="false">IF(OR(K6="",J6=""),"",(J6-K6)*100)</f>
        <v>2.4268660632297</v>
      </c>
      <c r="M6" s="36" t="n">
        <v>3.35256345132454</v>
      </c>
      <c r="N6" s="36" t="n">
        <v>1.11847588838557</v>
      </c>
      <c r="O6" s="36" t="n">
        <f aca="false">SQRT(M6^2+N6^2)</f>
        <v>3.5342141995155</v>
      </c>
      <c r="P6" s="55" t="n">
        <f aca="false">IF(J6="","",MAX(0,J6-1.96*O6/100))</f>
        <v>0.343427814387909</v>
      </c>
      <c r="Q6" s="55" t="n">
        <f aca="false">IF(J6="","",MIN(1,J6+1.96*O6/100))</f>
        <v>0.481969011008916</v>
      </c>
      <c r="R6" s="32" t="str">
        <f aca="false">IF(L6="","",IF(ABS(L6)&lt;=O6,"Yes","No"))</f>
        <v>Yes</v>
      </c>
      <c r="S6" s="32" t="str">
        <f aca="false">IF(L6="","",IF(ABS(L6)&lt;=1.96*O6,"Yes","No"))</f>
        <v>Yes</v>
      </c>
      <c r="T6" s="54" t="n">
        <f aca="false">IF(D6="","",ROUND(SQRT(((D6+G6)*O6/100)^2+(J6*(D6+G6)*0.09092)^2),0))</f>
        <v>6</v>
      </c>
      <c r="U6" s="32" t="s">
        <v>393</v>
      </c>
    </row>
    <row r="7" customFormat="false" ht="15" hidden="false" customHeight="false" outlineLevel="0" collapsed="false">
      <c r="A7" s="32" t="s">
        <v>127</v>
      </c>
      <c r="B7" s="32" t="s">
        <v>138</v>
      </c>
      <c r="C7" s="32" t="s">
        <v>129</v>
      </c>
      <c r="D7" s="54" t="n">
        <v>821</v>
      </c>
      <c r="E7" s="54" t="n">
        <v>631</v>
      </c>
      <c r="F7" s="65" t="n">
        <f aca="false">IF(E7="","",D7-E7)</f>
        <v>190</v>
      </c>
      <c r="G7" s="54" t="n">
        <v>1761</v>
      </c>
      <c r="H7" s="54" t="n">
        <v>1828</v>
      </c>
      <c r="I7" s="65" t="n">
        <f aca="false">IF(H7="","",G7-H7)</f>
        <v>-67</v>
      </c>
      <c r="J7" s="55" t="n">
        <f aca="false">IF(OR(D7="",D7+G7=0),"",D7/(D7+G7))</f>
        <v>0.317970565453137</v>
      </c>
      <c r="K7" s="55" t="n">
        <f aca="false">IF(E7="","",E7/(E7+H7))</f>
        <v>0.256608377389183</v>
      </c>
      <c r="L7" s="66" t="n">
        <f aca="false">IF(OR(K7="",J7=""),"",(J7-K7)*100)</f>
        <v>6.13621880639546</v>
      </c>
      <c r="M7" s="36" t="n">
        <v>1.87220867946189</v>
      </c>
      <c r="N7" s="36" t="n">
        <v>1.11847588838557</v>
      </c>
      <c r="O7" s="36" t="n">
        <f aca="false">SQRT(M7^2+N7^2)</f>
        <v>2.18086075950583</v>
      </c>
      <c r="P7" s="55" t="n">
        <f aca="false">IF(J7="","",MAX(0,J7-1.96*O7/100))</f>
        <v>0.275225694566823</v>
      </c>
      <c r="Q7" s="55" t="n">
        <f aca="false">IF(J7="","",MIN(1,J7+1.96*O7/100))</f>
        <v>0.360715436339451</v>
      </c>
      <c r="R7" s="32" t="str">
        <f aca="false">IF(L7="","",IF(ABS(L7)&lt;=O7,"Yes","No"))</f>
        <v>No</v>
      </c>
      <c r="S7" s="32" t="str">
        <f aca="false">IF(L7="","",IF(ABS(L7)&lt;=1.96*O7,"Yes","No"))</f>
        <v>No</v>
      </c>
      <c r="T7" s="54" t="n">
        <f aca="false">IF(D7="","",ROUND(SQRT(((D7+G7)*O7/100)^2+(J7*(D7+G7)*0.06991)^2),0))</f>
        <v>80</v>
      </c>
      <c r="U7" s="32" t="s">
        <v>393</v>
      </c>
    </row>
    <row r="8" customFormat="false" ht="15" hidden="false" customHeight="false" outlineLevel="0" collapsed="false">
      <c r="A8" s="32" t="s">
        <v>127</v>
      </c>
      <c r="B8" s="32" t="s">
        <v>139</v>
      </c>
      <c r="C8" s="32" t="s">
        <v>129</v>
      </c>
      <c r="D8" s="54" t="n">
        <v>1315</v>
      </c>
      <c r="E8" s="54" t="n">
        <v>1060</v>
      </c>
      <c r="F8" s="65" t="n">
        <f aca="false">IF(E8="","",D8-E8)</f>
        <v>255</v>
      </c>
      <c r="G8" s="54" t="n">
        <v>1432</v>
      </c>
      <c r="H8" s="54" t="n">
        <v>1517</v>
      </c>
      <c r="I8" s="65" t="n">
        <f aca="false">IF(H8="","",G8-H8)</f>
        <v>-85</v>
      </c>
      <c r="J8" s="55" t="n">
        <f aca="false">IF(OR(D8="",D8+G8=0),"",D8/(D8+G8))</f>
        <v>0.478704040771751</v>
      </c>
      <c r="K8" s="55" t="n">
        <f aca="false">IF(E8="","",E8/(E8+H8))</f>
        <v>0.411331005044626</v>
      </c>
      <c r="L8" s="66" t="n">
        <f aca="false">IF(OR(K8="",J8=""),"",(J8-K8)*100)</f>
        <v>6.73730357271254</v>
      </c>
      <c r="M8" s="36" t="n">
        <v>1.87220867946189</v>
      </c>
      <c r="N8" s="36" t="n">
        <v>1.11847588838557</v>
      </c>
      <c r="O8" s="36" t="n">
        <f aca="false">SQRT(M8^2+N8^2)</f>
        <v>2.18086075950583</v>
      </c>
      <c r="P8" s="55" t="n">
        <f aca="false">IF(J8="","",MAX(0,J8-1.96*O8/100))</f>
        <v>0.435959169885437</v>
      </c>
      <c r="Q8" s="55" t="n">
        <f aca="false">IF(J8="","",MIN(1,J8+1.96*O8/100))</f>
        <v>0.521448911658065</v>
      </c>
      <c r="R8" s="32" t="str">
        <f aca="false">IF(L8="","",IF(ABS(L8)&lt;=O8,"Yes","No"))</f>
        <v>No</v>
      </c>
      <c r="S8" s="32" t="str">
        <f aca="false">IF(L8="","",IF(ABS(L8)&lt;=1.96*O8,"Yes","No"))</f>
        <v>No</v>
      </c>
      <c r="T8" s="54" t="n">
        <f aca="false">IF(D8="","",ROUND(SQRT(((D8+G8)*O8/100)^2+(J8*(D8+G8)*0.06991)^2),0))</f>
        <v>110</v>
      </c>
      <c r="U8" s="32" t="s">
        <v>393</v>
      </c>
    </row>
    <row r="9" customFormat="false" ht="15" hidden="false" customHeight="false" outlineLevel="0" collapsed="false">
      <c r="A9" s="32" t="s">
        <v>127</v>
      </c>
      <c r="B9" s="32" t="s">
        <v>140</v>
      </c>
      <c r="C9" s="32" t="s">
        <v>129</v>
      </c>
      <c r="D9" s="54" t="n">
        <v>384</v>
      </c>
      <c r="E9" s="54" t="n">
        <v>335</v>
      </c>
      <c r="F9" s="65" t="n">
        <f aca="false">IF(E9="","",D9-E9)</f>
        <v>49</v>
      </c>
      <c r="G9" s="54" t="n">
        <v>730</v>
      </c>
      <c r="H9" s="54" t="n">
        <v>766</v>
      </c>
      <c r="I9" s="65" t="n">
        <f aca="false">IF(H9="","",G9-H9)</f>
        <v>-36</v>
      </c>
      <c r="J9" s="55" t="n">
        <f aca="false">IF(OR(D9="",D9+G9=0),"",D9/(D9+G9))</f>
        <v>0.344703770197487</v>
      </c>
      <c r="K9" s="55" t="n">
        <f aca="false">IF(E9="","",E9/(E9+H9))</f>
        <v>0.304268846503179</v>
      </c>
      <c r="L9" s="66" t="n">
        <f aca="false">IF(OR(K9="",J9=""),"",(J9-K9)*100)</f>
        <v>4.04349236943076</v>
      </c>
      <c r="M9" s="36" t="n">
        <v>3.35256345132454</v>
      </c>
      <c r="N9" s="36" t="n">
        <v>1.11847588838557</v>
      </c>
      <c r="O9" s="36" t="n">
        <f aca="false">SQRT(M9^2+N9^2)</f>
        <v>3.5342141995155</v>
      </c>
      <c r="P9" s="55" t="n">
        <f aca="false">IF(J9="","",MAX(0,J9-1.96*O9/100))</f>
        <v>0.275433171886983</v>
      </c>
      <c r="Q9" s="55" t="n">
        <f aca="false">IF(J9="","",MIN(1,J9+1.96*O9/100))</f>
        <v>0.41397436850799</v>
      </c>
      <c r="R9" s="32" t="str">
        <f aca="false">IF(L9="","",IF(ABS(L9)&lt;=O9,"Yes","No"))</f>
        <v>No</v>
      </c>
      <c r="S9" s="32" t="str">
        <f aca="false">IF(L9="","",IF(ABS(L9)&lt;=1.96*O9,"Yes","No"))</f>
        <v>Yes</v>
      </c>
      <c r="T9" s="54" t="n">
        <f aca="false">IF(D9="","",ROUND(SQRT(((D9+G9)*O9/100)^2+(J9*(D9+G9)*0.09092)^2),0))</f>
        <v>53</v>
      </c>
      <c r="U9" s="32" t="s">
        <v>393</v>
      </c>
    </row>
    <row r="10" customFormat="false" ht="15" hidden="false" customHeight="false" outlineLevel="0" collapsed="false">
      <c r="A10" s="32" t="s">
        <v>127</v>
      </c>
      <c r="B10" s="32" t="s">
        <v>141</v>
      </c>
      <c r="C10" s="32" t="s">
        <v>129</v>
      </c>
      <c r="D10" s="54" t="n">
        <v>715</v>
      </c>
      <c r="E10" s="54" t="n">
        <v>614</v>
      </c>
      <c r="F10" s="65" t="n">
        <f aca="false">IF(E10="","",D10-E10)</f>
        <v>101</v>
      </c>
      <c r="G10" s="54" t="n">
        <v>793</v>
      </c>
      <c r="H10" s="54" t="n">
        <v>846</v>
      </c>
      <c r="I10" s="65" t="n">
        <f aca="false">IF(H10="","",G10-H10)</f>
        <v>-53</v>
      </c>
      <c r="J10" s="55" t="n">
        <f aca="false">IF(OR(D10="",D10+G10=0),"",D10/(D10+G10))</f>
        <v>0.474137931034483</v>
      </c>
      <c r="K10" s="55" t="n">
        <f aca="false">IF(E10="","",E10/(E10+H10))</f>
        <v>0.420547945205479</v>
      </c>
      <c r="L10" s="66" t="n">
        <f aca="false">IF(OR(K10="",J10=""),"",(J10-K10)*100)</f>
        <v>5.35899858290033</v>
      </c>
      <c r="M10" s="36" t="n">
        <v>3.35256345132454</v>
      </c>
      <c r="N10" s="36" t="n">
        <v>1.11847588838557</v>
      </c>
      <c r="O10" s="36" t="n">
        <f aca="false">SQRT(M10^2+N10^2)</f>
        <v>3.5342141995155</v>
      </c>
      <c r="P10" s="55" t="n">
        <f aca="false">IF(J10="","",MAX(0,J10-1.96*O10/100))</f>
        <v>0.404867332723979</v>
      </c>
      <c r="Q10" s="55" t="n">
        <f aca="false">IF(J10="","",MIN(1,J10+1.96*O10/100))</f>
        <v>0.543408529344987</v>
      </c>
      <c r="R10" s="32" t="str">
        <f aca="false">IF(L10="","",IF(ABS(L10)&lt;=O10,"Yes","No"))</f>
        <v>No</v>
      </c>
      <c r="S10" s="32" t="str">
        <f aca="false">IF(L10="","",IF(ABS(L10)&lt;=1.96*O10,"Yes","No"))</f>
        <v>Yes</v>
      </c>
      <c r="T10" s="54" t="n">
        <f aca="false">IF(D10="","",ROUND(SQRT(((D10+G10)*O10/100)^2+(J10*(D10+G10)*0.09092)^2),0))</f>
        <v>84</v>
      </c>
      <c r="U10" s="32" t="s">
        <v>393</v>
      </c>
    </row>
    <row r="11" customFormat="false" ht="15" hidden="false" customHeight="false" outlineLevel="0" collapsed="false">
      <c r="A11" s="32" t="s">
        <v>127</v>
      </c>
      <c r="B11" s="32" t="s">
        <v>142</v>
      </c>
      <c r="C11" s="32" t="s">
        <v>129</v>
      </c>
      <c r="D11" s="54" t="n">
        <v>47</v>
      </c>
      <c r="E11" s="54" t="n">
        <v>42</v>
      </c>
      <c r="F11" s="65" t="n">
        <f aca="false">IF(E11="","",D11-E11)</f>
        <v>5</v>
      </c>
      <c r="G11" s="54" t="n">
        <v>100</v>
      </c>
      <c r="H11" s="54" t="n">
        <v>99</v>
      </c>
      <c r="I11" s="65" t="n">
        <f aca="false">IF(H11="","",G11-H11)</f>
        <v>1</v>
      </c>
      <c r="J11" s="55" t="n">
        <f aca="false">IF(OR(D11="",D11+G11=0),"",D11/(D11+G11))</f>
        <v>0.319727891156463</v>
      </c>
      <c r="K11" s="55" t="n">
        <f aca="false">IF(E11="","",E11/(E11+H11))</f>
        <v>0.297872340425532</v>
      </c>
      <c r="L11" s="66" t="n">
        <f aca="false">IF(OR(K11="",J11=""),"",(J11-K11)*100)</f>
        <v>2.18555507309307</v>
      </c>
      <c r="M11" s="36" t="n">
        <v>3.35256345132454</v>
      </c>
      <c r="N11" s="36" t="n">
        <v>1.11847588838557</v>
      </c>
      <c r="O11" s="36" t="n">
        <f aca="false">SQRT(M11^2+N11^2)</f>
        <v>3.5342141995155</v>
      </c>
      <c r="P11" s="55" t="n">
        <f aca="false">IF(J11="","",MAX(0,J11-1.96*O11/100))</f>
        <v>0.250457292845959</v>
      </c>
      <c r="Q11" s="55" t="n">
        <f aca="false">IF(J11="","",MIN(1,J11+1.96*O11/100))</f>
        <v>0.388998489466966</v>
      </c>
      <c r="R11" s="32" t="str">
        <f aca="false">IF(L11="","",IF(ABS(L11)&lt;=O11,"Yes","No"))</f>
        <v>Yes</v>
      </c>
      <c r="S11" s="32" t="str">
        <f aca="false">IF(L11="","",IF(ABS(L11)&lt;=1.96*O11,"Yes","No"))</f>
        <v>Yes</v>
      </c>
      <c r="T11" s="54" t="n">
        <f aca="false">IF(D11="","",ROUND(SQRT(((D11+G11)*O11/100)^2+(J11*(D11+G11)*0.09092)^2),0))</f>
        <v>7</v>
      </c>
      <c r="U11" s="32" t="s">
        <v>393</v>
      </c>
    </row>
    <row r="12" customFormat="false" ht="15" hidden="false" customHeight="false" outlineLevel="0" collapsed="false">
      <c r="A12" s="32" t="s">
        <v>127</v>
      </c>
      <c r="B12" s="32" t="s">
        <v>143</v>
      </c>
      <c r="C12" s="32" t="s">
        <v>129</v>
      </c>
      <c r="D12" s="54" t="n">
        <v>69</v>
      </c>
      <c r="E12" s="54" t="n">
        <v>51</v>
      </c>
      <c r="F12" s="65" t="n">
        <f aca="false">IF(E12="","",D12-E12)</f>
        <v>18</v>
      </c>
      <c r="G12" s="54" t="n">
        <v>215</v>
      </c>
      <c r="H12" s="54" t="n">
        <v>223</v>
      </c>
      <c r="I12" s="65" t="n">
        <f aca="false">IF(H12="","",G12-H12)</f>
        <v>-8</v>
      </c>
      <c r="J12" s="55" t="n">
        <f aca="false">IF(OR(D12="",D12+G12=0),"",D12/(D12+G12))</f>
        <v>0.242957746478873</v>
      </c>
      <c r="K12" s="55" t="n">
        <f aca="false">IF(E12="","",E12/(E12+H12))</f>
        <v>0.186131386861314</v>
      </c>
      <c r="L12" s="66" t="n">
        <f aca="false">IF(OR(K12="",J12=""),"",(J12-K12)*100)</f>
        <v>5.68263596175594</v>
      </c>
      <c r="M12" s="36" t="n">
        <v>3.35256345132454</v>
      </c>
      <c r="N12" s="36" t="n">
        <v>1.11847588838557</v>
      </c>
      <c r="O12" s="36" t="n">
        <f aca="false">SQRT(M12^2+N12^2)</f>
        <v>3.5342141995155</v>
      </c>
      <c r="P12" s="55" t="n">
        <f aca="false">IF(J12="","",MAX(0,J12-1.96*O12/100))</f>
        <v>0.17368714816837</v>
      </c>
      <c r="Q12" s="55" t="n">
        <f aca="false">IF(J12="","",MIN(1,J12+1.96*O12/100))</f>
        <v>0.312228344789377</v>
      </c>
      <c r="R12" s="32" t="str">
        <f aca="false">IF(L12="","",IF(ABS(L12)&lt;=O12,"Yes","No"))</f>
        <v>No</v>
      </c>
      <c r="S12" s="32" t="str">
        <f aca="false">IF(L12="","",IF(ABS(L12)&lt;=1.96*O12,"Yes","No"))</f>
        <v>Yes</v>
      </c>
      <c r="T12" s="54" t="n">
        <f aca="false">IF(D12="","",ROUND(SQRT(((D12+G12)*O12/100)^2+(J12*(D12+G12)*0.09092)^2),0))</f>
        <v>12</v>
      </c>
      <c r="U12" s="32" t="s">
        <v>393</v>
      </c>
    </row>
    <row r="13" customFormat="false" ht="15" hidden="false" customHeight="false" outlineLevel="0" collapsed="false">
      <c r="A13" s="32" t="s">
        <v>127</v>
      </c>
      <c r="B13" s="32" t="s">
        <v>144</v>
      </c>
      <c r="C13" s="32" t="s">
        <v>129</v>
      </c>
      <c r="D13" s="54" t="n">
        <v>1095</v>
      </c>
      <c r="E13" s="54" t="n">
        <v>841</v>
      </c>
      <c r="F13" s="65" t="n">
        <f aca="false">IF(E13="","",D13-E13)</f>
        <v>254</v>
      </c>
      <c r="G13" s="54" t="n">
        <v>1321</v>
      </c>
      <c r="H13" s="54" t="n">
        <v>1410</v>
      </c>
      <c r="I13" s="65" t="n">
        <f aca="false">IF(H13="","",G13-H13)</f>
        <v>-89</v>
      </c>
      <c r="J13" s="55" t="n">
        <f aca="false">IF(OR(D13="",D13+G13=0),"",D13/(D13+G13))</f>
        <v>0.453228476821192</v>
      </c>
      <c r="K13" s="55" t="n">
        <f aca="false">IF(E13="","",E13/(E13+H13))</f>
        <v>0.373611728120835</v>
      </c>
      <c r="L13" s="66" t="n">
        <f aca="false">IF(OR(K13="",J13=""),"",(J13-K13)*100)</f>
        <v>7.96167487003569</v>
      </c>
      <c r="M13" s="36" t="n">
        <v>1.87220867946189</v>
      </c>
      <c r="N13" s="36" t="n">
        <v>1.11847588838557</v>
      </c>
      <c r="O13" s="36" t="n">
        <f aca="false">SQRT(M13^2+N13^2)</f>
        <v>2.18086075950583</v>
      </c>
      <c r="P13" s="55" t="n">
        <f aca="false">IF(J13="","",MAX(0,J13-1.96*O13/100))</f>
        <v>0.410483605934878</v>
      </c>
      <c r="Q13" s="55" t="n">
        <f aca="false">IF(J13="","",MIN(1,J13+1.96*O13/100))</f>
        <v>0.495973347707506</v>
      </c>
      <c r="R13" s="32" t="str">
        <f aca="false">IF(L13="","",IF(ABS(L13)&lt;=O13,"Yes","No"))</f>
        <v>No</v>
      </c>
      <c r="S13" s="32" t="str">
        <f aca="false">IF(L13="","",IF(ABS(L13)&lt;=1.96*O13,"Yes","No"))</f>
        <v>No</v>
      </c>
      <c r="T13" s="54" t="n">
        <f aca="false">IF(D13="","",ROUND(SQRT(((D13+G13)*O13/100)^2+(J13*(D13+G13)*0.06991)^2),0))</f>
        <v>93</v>
      </c>
      <c r="U13" s="32" t="s">
        <v>393</v>
      </c>
    </row>
    <row r="14" customFormat="false" ht="15" hidden="false" customHeight="false" outlineLevel="0" collapsed="false">
      <c r="A14" s="32" t="s">
        <v>127</v>
      </c>
      <c r="B14" s="32" t="s">
        <v>145</v>
      </c>
      <c r="C14" s="32" t="s">
        <v>129</v>
      </c>
      <c r="D14" s="54" t="n">
        <v>616</v>
      </c>
      <c r="E14" s="54" t="n">
        <v>489</v>
      </c>
      <c r="F14" s="65" t="n">
        <f aca="false">IF(E14="","",D14-E14)</f>
        <v>127</v>
      </c>
      <c r="G14" s="54" t="n">
        <v>1162</v>
      </c>
      <c r="H14" s="54" t="n">
        <v>1164</v>
      </c>
      <c r="I14" s="65" t="n">
        <f aca="false">IF(H14="","",G14-H14)</f>
        <v>-2</v>
      </c>
      <c r="J14" s="55" t="n">
        <f aca="false">IF(OR(D14="",D14+G14=0),"",D14/(D14+G14))</f>
        <v>0.346456692913386</v>
      </c>
      <c r="K14" s="55" t="n">
        <f aca="false">IF(E14="","",E14/(E14+H14))</f>
        <v>0.295825771324864</v>
      </c>
      <c r="L14" s="66" t="n">
        <f aca="false">IF(OR(K14="",J14=""),"",(J14-K14)*100)</f>
        <v>5.0630921588522</v>
      </c>
      <c r="M14" s="36" t="n">
        <v>1.87220867946189</v>
      </c>
      <c r="N14" s="36" t="n">
        <v>1.11847588838557</v>
      </c>
      <c r="O14" s="36" t="n">
        <f aca="false">SQRT(M14^2+N14^2)</f>
        <v>2.18086075950583</v>
      </c>
      <c r="P14" s="55" t="n">
        <f aca="false">IF(J14="","",MAX(0,J14-1.96*O14/100))</f>
        <v>0.303711822027072</v>
      </c>
      <c r="Q14" s="55" t="n">
        <f aca="false">IF(J14="","",MIN(1,J14+1.96*O14/100))</f>
        <v>0.3892015637997</v>
      </c>
      <c r="R14" s="32" t="str">
        <f aca="false">IF(L14="","",IF(ABS(L14)&lt;=O14,"Yes","No"))</f>
        <v>No</v>
      </c>
      <c r="S14" s="32" t="str">
        <f aca="false">IF(L14="","",IF(ABS(L14)&lt;=1.96*O14,"Yes","No"))</f>
        <v>No</v>
      </c>
      <c r="T14" s="54" t="n">
        <f aca="false">IF(D14="","",ROUND(SQRT(((D14+G14)*O14/100)^2+(J14*(D14+G14)*0.06991)^2),0))</f>
        <v>58</v>
      </c>
      <c r="U14" s="32" t="s">
        <v>393</v>
      </c>
    </row>
    <row r="15" customFormat="false" ht="15" hidden="false" customHeight="false" outlineLevel="0" collapsed="false">
      <c r="A15" s="32" t="s">
        <v>127</v>
      </c>
      <c r="B15" s="32" t="s">
        <v>146</v>
      </c>
      <c r="C15" s="32" t="s">
        <v>129</v>
      </c>
      <c r="D15" s="54" t="n">
        <v>761</v>
      </c>
      <c r="E15" s="54" t="n">
        <v>563</v>
      </c>
      <c r="F15" s="65" t="n">
        <f aca="false">IF(E15="","",D15-E15)</f>
        <v>198</v>
      </c>
      <c r="G15" s="54" t="n">
        <v>1555</v>
      </c>
      <c r="H15" s="54" t="n">
        <v>1559</v>
      </c>
      <c r="I15" s="65" t="n">
        <f aca="false">IF(H15="","",G15-H15)</f>
        <v>-4</v>
      </c>
      <c r="J15" s="55" t="n">
        <f aca="false">IF(OR(D15="",D15+G15=0),"",D15/(D15+G15))</f>
        <v>0.328583765112263</v>
      </c>
      <c r="K15" s="55" t="n">
        <f aca="false">IF(E15="","",E15/(E15+H15))</f>
        <v>0.265315739868049</v>
      </c>
      <c r="L15" s="66" t="n">
        <f aca="false">IF(OR(K15="",J15=""),"",(J15-K15)*100)</f>
        <v>6.32680252442135</v>
      </c>
      <c r="M15" s="36" t="n">
        <v>1.87220867946189</v>
      </c>
      <c r="N15" s="36" t="n">
        <v>1.11847588838557</v>
      </c>
      <c r="O15" s="36" t="n">
        <f aca="false">SQRT(M15^2+N15^2)</f>
        <v>2.18086075950583</v>
      </c>
      <c r="P15" s="55" t="n">
        <f aca="false">IF(J15="","",MAX(0,J15-1.96*O15/100))</f>
        <v>0.285838894225948</v>
      </c>
      <c r="Q15" s="55" t="n">
        <f aca="false">IF(J15="","",MIN(1,J15+1.96*O15/100))</f>
        <v>0.371328635998577</v>
      </c>
      <c r="R15" s="32" t="str">
        <f aca="false">IF(L15="","",IF(ABS(L15)&lt;=O15,"Yes","No"))</f>
        <v>No</v>
      </c>
      <c r="S15" s="32" t="str">
        <f aca="false">IF(L15="","",IF(ABS(L15)&lt;=1.96*O15,"Yes","No"))</f>
        <v>No</v>
      </c>
      <c r="T15" s="54" t="n">
        <f aca="false">IF(D15="","",ROUND(SQRT(((D15+G15)*O15/100)^2+(J15*(D15+G15)*0.06991)^2),0))</f>
        <v>73</v>
      </c>
      <c r="U15" s="32" t="s">
        <v>393</v>
      </c>
    </row>
    <row r="16" customFormat="false" ht="15" hidden="false" customHeight="false" outlineLevel="0" collapsed="false">
      <c r="A16" s="32" t="s">
        <v>127</v>
      </c>
      <c r="B16" s="32" t="s">
        <v>147</v>
      </c>
      <c r="C16" s="32" t="s">
        <v>129</v>
      </c>
      <c r="D16" s="54" t="n">
        <v>744</v>
      </c>
      <c r="E16" s="54" t="n">
        <v>574</v>
      </c>
      <c r="F16" s="65" t="n">
        <f aca="false">IF(E16="","",D16-E16)</f>
        <v>170</v>
      </c>
      <c r="G16" s="54" t="n">
        <v>899</v>
      </c>
      <c r="H16" s="54" t="n">
        <v>963</v>
      </c>
      <c r="I16" s="65" t="n">
        <f aca="false">IF(H16="","",G16-H16)</f>
        <v>-64</v>
      </c>
      <c r="J16" s="55" t="n">
        <f aca="false">IF(OR(D16="",D16+G16=0),"",D16/(D16+G16))</f>
        <v>0.452830188679245</v>
      </c>
      <c r="K16" s="55" t="n">
        <f aca="false">IF(E16="","",E16/(E16+H16))</f>
        <v>0.373454782042941</v>
      </c>
      <c r="L16" s="66" t="n">
        <f aca="false">IF(OR(K16="",J16=""),"",(J16-K16)*100)</f>
        <v>7.93754066363045</v>
      </c>
      <c r="M16" s="36" t="n">
        <v>1.87220867946189</v>
      </c>
      <c r="N16" s="36" t="n">
        <v>1.11847588838557</v>
      </c>
      <c r="O16" s="36" t="n">
        <f aca="false">SQRT(M16^2+N16^2)</f>
        <v>2.18086075950583</v>
      </c>
      <c r="P16" s="55" t="n">
        <f aca="false">IF(J16="","",MAX(0,J16-1.96*O16/100))</f>
        <v>0.410085317792931</v>
      </c>
      <c r="Q16" s="55" t="n">
        <f aca="false">IF(J16="","",MIN(1,J16+1.96*O16/100))</f>
        <v>0.49557505956556</v>
      </c>
      <c r="R16" s="32" t="str">
        <f aca="false">IF(L16="","",IF(ABS(L16)&lt;=O16,"Yes","No"))</f>
        <v>No</v>
      </c>
      <c r="S16" s="32" t="str">
        <f aca="false">IF(L16="","",IF(ABS(L16)&lt;=1.96*O16,"Yes","No"))</f>
        <v>No</v>
      </c>
      <c r="T16" s="54" t="n">
        <f aca="false">IF(D16="","",ROUND(SQRT(((D16+G16)*O16/100)^2+(J16*(D16+G16)*0.06991)^2),0))</f>
        <v>63</v>
      </c>
      <c r="U16" s="32" t="s">
        <v>393</v>
      </c>
    </row>
    <row r="17" customFormat="false" ht="15" hidden="false" customHeight="false" outlineLevel="0" collapsed="false">
      <c r="A17" s="32" t="s">
        <v>127</v>
      </c>
      <c r="B17" s="32" t="s">
        <v>148</v>
      </c>
      <c r="C17" s="32" t="s">
        <v>129</v>
      </c>
      <c r="D17" s="54" t="n">
        <v>153</v>
      </c>
      <c r="E17" s="54" t="n">
        <v>109</v>
      </c>
      <c r="F17" s="65" t="n">
        <f aca="false">IF(E17="","",D17-E17)</f>
        <v>44</v>
      </c>
      <c r="G17" s="54" t="n">
        <v>535</v>
      </c>
      <c r="H17" s="54" t="n">
        <v>531</v>
      </c>
      <c r="I17" s="65" t="n">
        <f aca="false">IF(H17="","",G17-H17)</f>
        <v>4</v>
      </c>
      <c r="J17" s="55" t="n">
        <f aca="false">IF(OR(D17="",D17+G17=0),"",D17/(D17+G17))</f>
        <v>0.222383720930233</v>
      </c>
      <c r="K17" s="55" t="n">
        <f aca="false">IF(E17="","",E17/(E17+H17))</f>
        <v>0.1703125</v>
      </c>
      <c r="L17" s="66" t="n">
        <f aca="false">IF(OR(K17="",J17=""),"",(J17-K17)*100)</f>
        <v>5.20712209302326</v>
      </c>
      <c r="M17" s="36" t="n">
        <v>3.35256345132454</v>
      </c>
      <c r="N17" s="36" t="n">
        <v>1.11847588838557</v>
      </c>
      <c r="O17" s="36" t="n">
        <f aca="false">SQRT(M17^2+N17^2)</f>
        <v>3.5342141995155</v>
      </c>
      <c r="P17" s="55" t="n">
        <f aca="false">IF(J17="","",MAX(0,J17-1.96*O17/100))</f>
        <v>0.153113122619729</v>
      </c>
      <c r="Q17" s="55" t="n">
        <f aca="false">IF(J17="","",MIN(1,J17+1.96*O17/100))</f>
        <v>0.291654319240736</v>
      </c>
      <c r="R17" s="32" t="str">
        <f aca="false">IF(L17="","",IF(ABS(L17)&lt;=O17,"Yes","No"))</f>
        <v>No</v>
      </c>
      <c r="S17" s="32" t="str">
        <f aca="false">IF(L17="","",IF(ABS(L17)&lt;=1.96*O17,"Yes","No"))</f>
        <v>Yes</v>
      </c>
      <c r="T17" s="54" t="n">
        <f aca="false">IF(D17="","",ROUND(SQRT(((D17+G17)*O17/100)^2+(J17*(D17+G17)*0.09092)^2),0))</f>
        <v>28</v>
      </c>
      <c r="U17" s="32" t="s">
        <v>393</v>
      </c>
    </row>
    <row r="18" customFormat="false" ht="15" hidden="false" customHeight="false" outlineLevel="0" collapsed="false">
      <c r="A18" s="32" t="s">
        <v>127</v>
      </c>
      <c r="B18" s="32" t="s">
        <v>149</v>
      </c>
      <c r="C18" s="32" t="s">
        <v>129</v>
      </c>
      <c r="D18" s="54" t="n">
        <v>1095</v>
      </c>
      <c r="E18" s="54" t="n">
        <v>863</v>
      </c>
      <c r="F18" s="65" t="n">
        <f aca="false">IF(E18="","",D18-E18)</f>
        <v>232</v>
      </c>
      <c r="G18" s="54" t="n">
        <v>1603</v>
      </c>
      <c r="H18" s="54" t="n">
        <v>1676</v>
      </c>
      <c r="I18" s="65" t="n">
        <f aca="false">IF(H18="","",G18-H18)</f>
        <v>-73</v>
      </c>
      <c r="J18" s="55" t="n">
        <f aca="false">IF(OR(D18="",D18+G18=0),"",D18/(D18+G18))</f>
        <v>0.4058561897702</v>
      </c>
      <c r="K18" s="55" t="n">
        <f aca="false">IF(E18="","",E18/(E18+H18))</f>
        <v>0.339897597479323</v>
      </c>
      <c r="L18" s="66" t="n">
        <f aca="false">IF(OR(K18="",J18=""),"",(J18-K18)*100)</f>
        <v>6.59585922908776</v>
      </c>
      <c r="M18" s="36" t="n">
        <v>1.87220867946189</v>
      </c>
      <c r="N18" s="36" t="n">
        <v>1.11847588838557</v>
      </c>
      <c r="O18" s="36" t="n">
        <f aca="false">SQRT(M18^2+N18^2)</f>
        <v>2.18086075950583</v>
      </c>
      <c r="P18" s="55" t="n">
        <f aca="false">IF(J18="","",MAX(0,J18-1.96*O18/100))</f>
        <v>0.363111318883886</v>
      </c>
      <c r="Q18" s="55" t="n">
        <f aca="false">IF(J18="","",MIN(1,J18+1.96*O18/100))</f>
        <v>0.448601060656514</v>
      </c>
      <c r="R18" s="32" t="str">
        <f aca="false">IF(L18="","",IF(ABS(L18)&lt;=O18,"Yes","No"))</f>
        <v>No</v>
      </c>
      <c r="S18" s="32" t="str">
        <f aca="false">IF(L18="","",IF(ABS(L18)&lt;=1.96*O18,"Yes","No"))</f>
        <v>No</v>
      </c>
      <c r="T18" s="54" t="n">
        <f aca="false">IF(D18="","",ROUND(SQRT(((D18+G18)*O18/100)^2+(J18*(D18+G18)*0.06991)^2),0))</f>
        <v>97</v>
      </c>
      <c r="U18" s="32" t="s">
        <v>393</v>
      </c>
    </row>
    <row r="19" customFormat="false" ht="15" hidden="false" customHeight="false" outlineLevel="0" collapsed="false">
      <c r="A19" s="32" t="s">
        <v>127</v>
      </c>
      <c r="B19" s="32" t="s">
        <v>150</v>
      </c>
      <c r="C19" s="32" t="s">
        <v>129</v>
      </c>
      <c r="D19" s="54" t="n">
        <v>80</v>
      </c>
      <c r="E19" s="54" t="n">
        <v>52</v>
      </c>
      <c r="F19" s="65" t="n">
        <f aca="false">IF(E19="","",D19-E19)</f>
        <v>28</v>
      </c>
      <c r="G19" s="54" t="n">
        <v>161</v>
      </c>
      <c r="H19" s="54" t="n">
        <v>167</v>
      </c>
      <c r="I19" s="65" t="n">
        <f aca="false">IF(H19="","",G19-H19)</f>
        <v>-6</v>
      </c>
      <c r="J19" s="55" t="n">
        <f aca="false">IF(OR(D19="",D19+G19=0),"",D19/(D19+G19))</f>
        <v>0.33195020746888</v>
      </c>
      <c r="K19" s="55" t="n">
        <f aca="false">IF(E19="","",E19/(E19+H19))</f>
        <v>0.237442922374429</v>
      </c>
      <c r="L19" s="66" t="n">
        <f aca="false">IF(OR(K19="",J19=""),"",(J19-K19)*100)</f>
        <v>9.45072850944504</v>
      </c>
      <c r="M19" s="36" t="n">
        <v>3.35256345132454</v>
      </c>
      <c r="N19" s="36" t="n">
        <v>1.11847588838557</v>
      </c>
      <c r="O19" s="36" t="n">
        <f aca="false">SQRT(M19^2+N19^2)</f>
        <v>3.5342141995155</v>
      </c>
      <c r="P19" s="55" t="n">
        <f aca="false">IF(J19="","",MAX(0,J19-1.96*O19/100))</f>
        <v>0.262679609158376</v>
      </c>
      <c r="Q19" s="55" t="n">
        <f aca="false">IF(J19="","",MIN(1,J19+1.96*O19/100))</f>
        <v>0.401220805779383</v>
      </c>
      <c r="R19" s="32" t="str">
        <f aca="false">IF(L19="","",IF(ABS(L19)&lt;=O19,"Yes","No"))</f>
        <v>No</v>
      </c>
      <c r="S19" s="32" t="str">
        <f aca="false">IF(L19="","",IF(ABS(L19)&lt;=1.96*O19,"Yes","No"))</f>
        <v>No</v>
      </c>
      <c r="T19" s="54" t="n">
        <f aca="false">IF(D19="","",ROUND(SQRT(((D19+G19)*O19/100)^2+(J19*(D19+G19)*0.09092)^2),0))</f>
        <v>11</v>
      </c>
      <c r="U19" s="32" t="s">
        <v>393</v>
      </c>
    </row>
    <row r="20" customFormat="false" ht="15" hidden="false" customHeight="false" outlineLevel="0" collapsed="false">
      <c r="A20" s="32" t="s">
        <v>127</v>
      </c>
      <c r="B20" s="32" t="s">
        <v>151</v>
      </c>
      <c r="C20" s="32" t="s">
        <v>129</v>
      </c>
      <c r="D20" s="54" t="n">
        <v>2352</v>
      </c>
      <c r="E20" s="54" t="n">
        <v>1997</v>
      </c>
      <c r="F20" s="65" t="n">
        <f aca="false">IF(E20="","",D20-E20)</f>
        <v>355</v>
      </c>
      <c r="G20" s="54" t="n">
        <v>3659</v>
      </c>
      <c r="H20" s="54" t="n">
        <v>3474</v>
      </c>
      <c r="I20" s="65" t="n">
        <f aca="false">IF(H20="","",G20-H20)</f>
        <v>185</v>
      </c>
      <c r="J20" s="55" t="n">
        <f aca="false">IF(OR(D20="",D20+G20=0),"",D20/(D20+G20))</f>
        <v>0.391282648477791</v>
      </c>
      <c r="K20" s="55" t="n">
        <f aca="false">IF(E20="","",E20/(E20+H20))</f>
        <v>0.365015536464997</v>
      </c>
      <c r="L20" s="66" t="n">
        <f aca="false">IF(OR(K20="",J20=""),"",(J20-K20)*100)</f>
        <v>2.62671120127935</v>
      </c>
      <c r="M20" s="36" t="n">
        <v>1.87671567400173</v>
      </c>
      <c r="N20" s="36" t="n">
        <v>1.11847588838557</v>
      </c>
      <c r="O20" s="36" t="n">
        <f aca="false">SQRT(M20^2+N20^2)</f>
        <v>2.18473111250415</v>
      </c>
      <c r="P20" s="55" t="n">
        <f aca="false">IF(J20="","",MAX(0,J20-1.96*O20/100))</f>
        <v>0.348461918672709</v>
      </c>
      <c r="Q20" s="55" t="n">
        <f aca="false">IF(J20="","",MIN(1,J20+1.96*O20/100))</f>
        <v>0.434103378282872</v>
      </c>
      <c r="R20" s="32" t="str">
        <f aca="false">IF(L20="","",IF(ABS(L20)&lt;=O20,"Yes","No"))</f>
        <v>No</v>
      </c>
      <c r="S20" s="32" t="str">
        <f aca="false">IF(L20="","",IF(ABS(L20)&lt;=1.96*O20,"Yes","No"))</f>
        <v>Yes</v>
      </c>
      <c r="T20" s="54" t="n">
        <f aca="false">IF(D20="","",ROUND(SQRT(((D20+G20)*O20/100)^2+(J20*(D20+G20)*0.0639)^2),0))</f>
        <v>200</v>
      </c>
      <c r="U20" s="32" t="s">
        <v>393</v>
      </c>
    </row>
    <row r="21" customFormat="false" ht="15" hidden="false" customHeight="false" outlineLevel="0" collapsed="false">
      <c r="A21" s="32" t="s">
        <v>127</v>
      </c>
      <c r="B21" s="32" t="s">
        <v>153</v>
      </c>
      <c r="C21" s="32" t="s">
        <v>129</v>
      </c>
      <c r="D21" s="54" t="n">
        <v>772</v>
      </c>
      <c r="E21" s="54" t="n">
        <v>620</v>
      </c>
      <c r="F21" s="65" t="n">
        <f aca="false">IF(E21="","",D21-E21)</f>
        <v>152</v>
      </c>
      <c r="G21" s="54" t="n">
        <v>800</v>
      </c>
      <c r="H21" s="54" t="n">
        <v>917</v>
      </c>
      <c r="I21" s="65" t="n">
        <f aca="false">IF(H21="","",G21-H21)</f>
        <v>-117</v>
      </c>
      <c r="J21" s="55" t="n">
        <f aca="false">IF(OR(D21="",D21+G21=0),"",D21/(D21+G21))</f>
        <v>0.491094147582697</v>
      </c>
      <c r="K21" s="55" t="n">
        <f aca="false">IF(E21="","",E21/(E21+H21))</f>
        <v>0.403383214053351</v>
      </c>
      <c r="L21" s="66" t="n">
        <f aca="false">IF(OR(K21="",J21=""),"",(J21-K21)*100)</f>
        <v>8.77109335293465</v>
      </c>
      <c r="M21" s="36" t="n">
        <v>1.87220867946189</v>
      </c>
      <c r="N21" s="36" t="n">
        <v>1.11847588838557</v>
      </c>
      <c r="O21" s="36" t="n">
        <f aca="false">SQRT(M21^2+N21^2)</f>
        <v>2.18086075950583</v>
      </c>
      <c r="P21" s="55" t="n">
        <f aca="false">IF(J21="","",MAX(0,J21-1.96*O21/100))</f>
        <v>0.448349276696383</v>
      </c>
      <c r="Q21" s="55" t="n">
        <f aca="false">IF(J21="","",MIN(1,J21+1.96*O21/100))</f>
        <v>0.533839018469011</v>
      </c>
      <c r="R21" s="32" t="str">
        <f aca="false">IF(L21="","",IF(ABS(L21)&lt;=O21,"Yes","No"))</f>
        <v>No</v>
      </c>
      <c r="S21" s="32" t="str">
        <f aca="false">IF(L21="","",IF(ABS(L21)&lt;=1.96*O21,"Yes","No"))</f>
        <v>No</v>
      </c>
      <c r="T21" s="54" t="n">
        <f aca="false">IF(D21="","",ROUND(SQRT(((D21+G21)*O21/100)^2+(J21*(D21+G21)*0.06991)^2),0))</f>
        <v>64</v>
      </c>
      <c r="U21" s="32" t="s">
        <v>393</v>
      </c>
    </row>
    <row r="22" customFormat="false" ht="15" hidden="false" customHeight="false" outlineLevel="0" collapsed="false">
      <c r="A22" s="32" t="s">
        <v>127</v>
      </c>
      <c r="B22" s="32" t="s">
        <v>154</v>
      </c>
      <c r="C22" s="32" t="s">
        <v>129</v>
      </c>
      <c r="D22" s="54" t="n">
        <v>908</v>
      </c>
      <c r="E22" s="54" t="n">
        <v>723</v>
      </c>
      <c r="F22" s="65" t="n">
        <f aca="false">IF(E22="","",D22-E22)</f>
        <v>185</v>
      </c>
      <c r="G22" s="54" t="n">
        <v>1818</v>
      </c>
      <c r="H22" s="54" t="n">
        <v>1892</v>
      </c>
      <c r="I22" s="65" t="n">
        <f aca="false">IF(H22="","",G22-H22)</f>
        <v>-74</v>
      </c>
      <c r="J22" s="55" t="n">
        <f aca="false">IF(OR(D22="",D22+G22=0),"",D22/(D22+G22))</f>
        <v>0.333088774761555</v>
      </c>
      <c r="K22" s="55" t="n">
        <f aca="false">IF(E22="","",E22/(E22+H22))</f>
        <v>0.276481835564054</v>
      </c>
      <c r="L22" s="66" t="n">
        <f aca="false">IF(OR(K22="",J22=""),"",(J22-K22)*100)</f>
        <v>5.66069391975019</v>
      </c>
      <c r="M22" s="36" t="n">
        <v>1.87220867946189</v>
      </c>
      <c r="N22" s="36" t="n">
        <v>1.11847588838557</v>
      </c>
      <c r="O22" s="36" t="n">
        <f aca="false">SQRT(M22^2+N22^2)</f>
        <v>2.18086075950583</v>
      </c>
      <c r="P22" s="55" t="n">
        <f aca="false">IF(J22="","",MAX(0,J22-1.96*O22/100))</f>
        <v>0.290343903875241</v>
      </c>
      <c r="Q22" s="55" t="n">
        <f aca="false">IF(J22="","",MIN(1,J22+1.96*O22/100))</f>
        <v>0.37583364564787</v>
      </c>
      <c r="R22" s="32" t="str">
        <f aca="false">IF(L22="","",IF(ABS(L22)&lt;=O22,"Yes","No"))</f>
        <v>No</v>
      </c>
      <c r="S22" s="32" t="str">
        <f aca="false">IF(L22="","",IF(ABS(L22)&lt;=1.96*O22,"Yes","No"))</f>
        <v>No</v>
      </c>
      <c r="T22" s="54" t="n">
        <f aca="false">IF(D22="","",ROUND(SQRT(((D22+G22)*O22/100)^2+(J22*(D22+G22)*0.06991)^2),0))</f>
        <v>87</v>
      </c>
      <c r="U22" s="32" t="s">
        <v>393</v>
      </c>
    </row>
    <row r="23" customFormat="false" ht="15" hidden="false" customHeight="false" outlineLevel="0" collapsed="false">
      <c r="A23" s="32" t="s">
        <v>127</v>
      </c>
      <c r="B23" s="32" t="s">
        <v>155</v>
      </c>
      <c r="C23" s="32" t="s">
        <v>129</v>
      </c>
      <c r="D23" s="54" t="n">
        <v>395</v>
      </c>
      <c r="E23" s="54" t="n">
        <v>323</v>
      </c>
      <c r="F23" s="65" t="n">
        <f aca="false">IF(E23="","",D23-E23)</f>
        <v>72</v>
      </c>
      <c r="G23" s="54" t="n">
        <v>838</v>
      </c>
      <c r="H23" s="54" t="n">
        <v>898</v>
      </c>
      <c r="I23" s="65" t="n">
        <f aca="false">IF(H23="","",G23-H23)</f>
        <v>-60</v>
      </c>
      <c r="J23" s="55" t="n">
        <f aca="false">IF(OR(D23="",D23+G23=0),"",D23/(D23+G23))</f>
        <v>0.320356853203569</v>
      </c>
      <c r="K23" s="55" t="n">
        <f aca="false">IF(E23="","",E23/(E23+H23))</f>
        <v>0.264537264537265</v>
      </c>
      <c r="L23" s="66" t="n">
        <f aca="false">IF(OR(K23="",J23=""),"",(J23-K23)*100)</f>
        <v>5.5819588666304</v>
      </c>
      <c r="M23" s="36" t="n">
        <v>3.35256345132454</v>
      </c>
      <c r="N23" s="36" t="n">
        <v>1.11847588838557</v>
      </c>
      <c r="O23" s="36" t="n">
        <f aca="false">SQRT(M23^2+N23^2)</f>
        <v>3.5342141995155</v>
      </c>
      <c r="P23" s="55" t="n">
        <f aca="false">IF(J23="","",MAX(0,J23-1.96*O23/100))</f>
        <v>0.251086254893065</v>
      </c>
      <c r="Q23" s="55" t="n">
        <f aca="false">IF(J23="","",MIN(1,J23+1.96*O23/100))</f>
        <v>0.389627451514072</v>
      </c>
      <c r="R23" s="32" t="str">
        <f aca="false">IF(L23="","",IF(ABS(L23)&lt;=O23,"Yes","No"))</f>
        <v>No</v>
      </c>
      <c r="S23" s="32" t="str">
        <f aca="false">IF(L23="","",IF(ABS(L23)&lt;=1.96*O23,"Yes","No"))</f>
        <v>Yes</v>
      </c>
      <c r="T23" s="54" t="n">
        <f aca="false">IF(D23="","",ROUND(SQRT(((D23+G23)*O23/100)^2+(J23*(D23+G23)*0.09092)^2),0))</f>
        <v>56</v>
      </c>
      <c r="U23" s="32" t="s">
        <v>393</v>
      </c>
    </row>
    <row r="24" customFormat="false" ht="15" hidden="false" customHeight="false" outlineLevel="0" collapsed="false">
      <c r="A24" s="32" t="s">
        <v>127</v>
      </c>
      <c r="B24" s="32" t="s">
        <v>156</v>
      </c>
      <c r="C24" s="32" t="s">
        <v>129</v>
      </c>
      <c r="D24" s="54" t="n">
        <v>82</v>
      </c>
      <c r="E24" s="54" t="n">
        <v>62</v>
      </c>
      <c r="F24" s="65" t="n">
        <f aca="false">IF(E24="","",D24-E24)</f>
        <v>20</v>
      </c>
      <c r="G24" s="54" t="n">
        <v>92</v>
      </c>
      <c r="H24" s="54" t="n">
        <v>91</v>
      </c>
      <c r="I24" s="65" t="n">
        <f aca="false">IF(H24="","",G24-H24)</f>
        <v>1</v>
      </c>
      <c r="J24" s="55" t="n">
        <f aca="false">IF(OR(D24="",D24+G24=0),"",D24/(D24+G24))</f>
        <v>0.471264367816092</v>
      </c>
      <c r="K24" s="55" t="n">
        <f aca="false">IF(E24="","",E24/(E24+H24))</f>
        <v>0.405228758169935</v>
      </c>
      <c r="L24" s="66" t="n">
        <f aca="false">IF(OR(K24="",J24=""),"",(J24-K24)*100)</f>
        <v>6.60356096461573</v>
      </c>
      <c r="M24" s="36" t="n">
        <v>3.35256345132454</v>
      </c>
      <c r="N24" s="36" t="n">
        <v>1.11847588838557</v>
      </c>
      <c r="O24" s="36" t="n">
        <f aca="false">SQRT(M24^2+N24^2)</f>
        <v>3.5342141995155</v>
      </c>
      <c r="P24" s="55" t="n">
        <f aca="false">IF(J24="","",MAX(0,J24-1.96*O24/100))</f>
        <v>0.401993769505588</v>
      </c>
      <c r="Q24" s="55" t="n">
        <f aca="false">IF(J24="","",MIN(1,J24+1.96*O24/100))</f>
        <v>0.540534966126596</v>
      </c>
      <c r="R24" s="32" t="str">
        <f aca="false">IF(L24="","",IF(ABS(L24)&lt;=O24,"Yes","No"))</f>
        <v>No</v>
      </c>
      <c r="S24" s="32" t="str">
        <f aca="false">IF(L24="","",IF(ABS(L24)&lt;=1.96*O24,"Yes","No"))</f>
        <v>Yes</v>
      </c>
      <c r="T24" s="54" t="n">
        <f aca="false">IF(D24="","",ROUND(SQRT(((D24+G24)*O24/100)^2+(J24*(D24+G24)*0.09092)^2),0))</f>
        <v>10</v>
      </c>
      <c r="U24" s="32" t="s">
        <v>393</v>
      </c>
    </row>
    <row r="25" customFormat="false" ht="15" hidden="false" customHeight="false" outlineLevel="0" collapsed="false">
      <c r="A25" s="32" t="s">
        <v>157</v>
      </c>
      <c r="B25" s="32" t="s">
        <v>158</v>
      </c>
      <c r="C25" s="32" t="s">
        <v>129</v>
      </c>
      <c r="D25" s="54" t="n">
        <v>709</v>
      </c>
      <c r="E25" s="54" t="n">
        <v>644</v>
      </c>
      <c r="F25" s="65" t="n">
        <f aca="false">IF(E25="","",D25-E25)</f>
        <v>65</v>
      </c>
      <c r="G25" s="54" t="n">
        <v>624</v>
      </c>
      <c r="H25" s="54" t="n">
        <v>735</v>
      </c>
      <c r="I25" s="65" t="n">
        <f aca="false">IF(H25="","",G25-H25)</f>
        <v>-111</v>
      </c>
      <c r="J25" s="55" t="n">
        <f aca="false">IF(OR(D25="",D25+G25=0),"",D25/(D25+G25))</f>
        <v>0.531882970742686</v>
      </c>
      <c r="K25" s="55" t="n">
        <f aca="false">IF(E25="","",E25/(E25+H25))</f>
        <v>0.467005076142132</v>
      </c>
      <c r="L25" s="66" t="n">
        <f aca="false">IF(OR(K25="",J25=""),"",(J25-K25)*100)</f>
        <v>6.48778946005537</v>
      </c>
      <c r="M25" s="36" t="n">
        <v>3.35256345132454</v>
      </c>
      <c r="N25" s="36" t="n">
        <v>1.11847588838557</v>
      </c>
      <c r="O25" s="36" t="n">
        <f aca="false">SQRT(M25^2+N25^2)</f>
        <v>3.5342141995155</v>
      </c>
      <c r="P25" s="55" t="n">
        <f aca="false">IF(J25="","",MAX(0,J25-1.96*O25/100))</f>
        <v>0.462612372432182</v>
      </c>
      <c r="Q25" s="55" t="n">
        <f aca="false">IF(J25="","",MIN(1,J25+1.96*O25/100))</f>
        <v>0.601153569053189</v>
      </c>
      <c r="R25" s="32" t="str">
        <f aca="false">IF(L25="","",IF(ABS(L25)&lt;=O25,"Yes","No"))</f>
        <v>No</v>
      </c>
      <c r="S25" s="32" t="str">
        <f aca="false">IF(L25="","",IF(ABS(L25)&lt;=1.96*O25,"Yes","No"))</f>
        <v>Yes</v>
      </c>
      <c r="T25" s="54" t="n">
        <f aca="false">IF(D25="","",ROUND(SQRT(((D25+G25)*O25/100)^2+(J25*(D25+G25)*0.09092)^2),0))</f>
        <v>80</v>
      </c>
      <c r="U25" s="32"/>
    </row>
    <row r="26" customFormat="false" ht="15" hidden="false" customHeight="false" outlineLevel="0" collapsed="false">
      <c r="A26" s="32" t="s">
        <v>157</v>
      </c>
      <c r="B26" s="32" t="s">
        <v>159</v>
      </c>
      <c r="C26" s="32" t="s">
        <v>129</v>
      </c>
      <c r="D26" s="54" t="n">
        <v>28675</v>
      </c>
      <c r="E26" s="54" t="n">
        <v>27952</v>
      </c>
      <c r="F26" s="65" t="n">
        <f aca="false">IF(E26="","",D26-E26)</f>
        <v>723</v>
      </c>
      <c r="G26" s="54" t="n">
        <v>11691</v>
      </c>
      <c r="H26" s="54" t="n">
        <v>12938</v>
      </c>
      <c r="I26" s="65" t="n">
        <f aca="false">IF(H26="","",G26-H26)</f>
        <v>-1247</v>
      </c>
      <c r="J26" s="55" t="n">
        <f aca="false">IF(OR(D26="",D26+G26=0),"",D26/(D26+G26))</f>
        <v>0.710375068126641</v>
      </c>
      <c r="K26" s="55" t="n">
        <f aca="false">IF(E26="","",E26/(E26+H26))</f>
        <v>0.6835901198337</v>
      </c>
      <c r="L26" s="66" t="n">
        <f aca="false">IF(OR(K26="",J26=""),"",(J26-K26)*100)</f>
        <v>2.6784948292941</v>
      </c>
      <c r="M26" s="36" t="n">
        <v>1.87671567400173</v>
      </c>
      <c r="N26" s="36" t="n">
        <v>1.11847588838557</v>
      </c>
      <c r="O26" s="36" t="n">
        <f aca="false">SQRT(M26^2+N26^2)</f>
        <v>2.18473111250415</v>
      </c>
      <c r="P26" s="55" t="n">
        <f aca="false">IF(J26="","",MAX(0,J26-1.96*O26/100))</f>
        <v>0.66755433832156</v>
      </c>
      <c r="Q26" s="55" t="n">
        <f aca="false">IF(J26="","",MIN(1,J26+1.96*O26/100))</f>
        <v>0.753195797931723</v>
      </c>
      <c r="R26" s="32" t="str">
        <f aca="false">IF(L26="","",IF(ABS(L26)&lt;=O26,"Yes","No"))</f>
        <v>No</v>
      </c>
      <c r="S26" s="32" t="str">
        <f aca="false">IF(L26="","",IF(ABS(L26)&lt;=1.96*O26,"Yes","No"))</f>
        <v>Yes</v>
      </c>
      <c r="T26" s="54" t="n">
        <f aca="false">IF(D26="","",ROUND(SQRT(((D26+G26)*O26/100)^2+(J26*(D26+G26)*0.0639)^2),0))</f>
        <v>2034</v>
      </c>
      <c r="U26" s="32"/>
    </row>
    <row r="27" customFormat="false" ht="15" hidden="false" customHeight="false" outlineLevel="0" collapsed="false">
      <c r="A27" s="32" t="s">
        <v>157</v>
      </c>
      <c r="B27" s="32" t="s">
        <v>160</v>
      </c>
      <c r="C27" s="32" t="s">
        <v>129</v>
      </c>
      <c r="D27" s="54" t="n">
        <v>6599</v>
      </c>
      <c r="E27" s="54" t="n">
        <v>6475</v>
      </c>
      <c r="F27" s="65" t="n">
        <f aca="false">IF(E27="","",D27-E27)</f>
        <v>124</v>
      </c>
      <c r="G27" s="54" t="n">
        <v>3473</v>
      </c>
      <c r="H27" s="54" t="n">
        <v>3784</v>
      </c>
      <c r="I27" s="65" t="n">
        <f aca="false">IF(H27="","",G27-H27)</f>
        <v>-311</v>
      </c>
      <c r="J27" s="55" t="n">
        <f aca="false">IF(OR(D27="",D27+G27=0),"",D27/(D27+G27))</f>
        <v>0.655182684670373</v>
      </c>
      <c r="K27" s="55" t="n">
        <f aca="false">IF(E27="","",E27/(E27+H27))</f>
        <v>0.631153133833707</v>
      </c>
      <c r="L27" s="66" t="n">
        <f aca="false">IF(OR(K27="",J27=""),"",(J27-K27)*100)</f>
        <v>2.40295508366664</v>
      </c>
      <c r="M27" s="36" t="n">
        <v>1.87671567400173</v>
      </c>
      <c r="N27" s="36" t="n">
        <v>1.11847588838557</v>
      </c>
      <c r="O27" s="36" t="n">
        <f aca="false">SQRT(M27^2+N27^2)</f>
        <v>2.18473111250415</v>
      </c>
      <c r="P27" s="55" t="n">
        <f aca="false">IF(J27="","",MAX(0,J27-1.96*O27/100))</f>
        <v>0.612361954865292</v>
      </c>
      <c r="Q27" s="55" t="n">
        <f aca="false">IF(J27="","",MIN(1,J27+1.96*O27/100))</f>
        <v>0.698003414475455</v>
      </c>
      <c r="R27" s="32" t="str">
        <f aca="false">IF(L27="","",IF(ABS(L27)&lt;=O27,"Yes","No"))</f>
        <v>No</v>
      </c>
      <c r="S27" s="32" t="str">
        <f aca="false">IF(L27="","",IF(ABS(L27)&lt;=1.96*O27,"Yes","No"))</f>
        <v>Yes</v>
      </c>
      <c r="T27" s="54" t="n">
        <f aca="false">IF(D27="","",ROUND(SQRT(((D27+G27)*O27/100)^2+(J27*(D27+G27)*0.0639)^2),0))</f>
        <v>476</v>
      </c>
      <c r="U27" s="32"/>
    </row>
    <row r="28" customFormat="false" ht="15" hidden="false" customHeight="false" outlineLevel="0" collapsed="false">
      <c r="A28" s="32" t="s">
        <v>157</v>
      </c>
      <c r="B28" s="32" t="s">
        <v>161</v>
      </c>
      <c r="C28" s="32" t="s">
        <v>129</v>
      </c>
      <c r="D28" s="54" t="n">
        <v>1740</v>
      </c>
      <c r="E28" s="54" t="n">
        <v>1582</v>
      </c>
      <c r="F28" s="65" t="n">
        <f aca="false">IF(E28="","",D28-E28)</f>
        <v>158</v>
      </c>
      <c r="G28" s="54" t="n">
        <v>1303</v>
      </c>
      <c r="H28" s="54" t="n">
        <v>1496</v>
      </c>
      <c r="I28" s="65" t="n">
        <f aca="false">IF(H28="","",G28-H28)</f>
        <v>-193</v>
      </c>
      <c r="J28" s="55" t="n">
        <f aca="false">IF(OR(D28="",D28+G28=0),"",D28/(D28+G28))</f>
        <v>0.571804140650674</v>
      </c>
      <c r="K28" s="55" t="n">
        <f aca="false">IF(E28="","",E28/(E28+H28))</f>
        <v>0.513970110461339</v>
      </c>
      <c r="L28" s="66" t="n">
        <f aca="false">IF(OR(K28="",J28=""),"",(J28-K28)*100)</f>
        <v>5.78340301893351</v>
      </c>
      <c r="M28" s="36" t="n">
        <v>1.87220867946189</v>
      </c>
      <c r="N28" s="36" t="n">
        <v>1.11847588838557</v>
      </c>
      <c r="O28" s="36" t="n">
        <f aca="false">SQRT(M28^2+N28^2)</f>
        <v>2.18086075950583</v>
      </c>
      <c r="P28" s="55" t="n">
        <f aca="false">IF(J28="","",MAX(0,J28-1.96*O28/100))</f>
        <v>0.52905926976436</v>
      </c>
      <c r="Q28" s="55" t="n">
        <f aca="false">IF(J28="","",MIN(1,J28+1.96*O28/100))</f>
        <v>0.614549011536988</v>
      </c>
      <c r="R28" s="32" t="str">
        <f aca="false">IF(L28="","",IF(ABS(L28)&lt;=O28,"Yes","No"))</f>
        <v>No</v>
      </c>
      <c r="S28" s="32" t="str">
        <f aca="false">IF(L28="","",IF(ABS(L28)&lt;=1.96*O28,"Yes","No"))</f>
        <v>No</v>
      </c>
      <c r="T28" s="54" t="n">
        <f aca="false">IF(D28="","",ROUND(SQRT(((D28+G28)*O28/100)^2+(J28*(D28+G28)*0.06991)^2),0))</f>
        <v>139</v>
      </c>
      <c r="U28" s="32"/>
    </row>
    <row r="29" customFormat="false" ht="15" hidden="false" customHeight="false" outlineLevel="0" collapsed="false">
      <c r="A29" s="32" t="s">
        <v>157</v>
      </c>
      <c r="B29" s="32" t="s">
        <v>162</v>
      </c>
      <c r="C29" s="32" t="s">
        <v>129</v>
      </c>
      <c r="D29" s="54" t="n">
        <v>768</v>
      </c>
      <c r="E29" s="54" t="n">
        <v>704</v>
      </c>
      <c r="F29" s="65" t="n">
        <f aca="false">IF(E29="","",D29-E29)</f>
        <v>64</v>
      </c>
      <c r="G29" s="54" t="n">
        <v>697</v>
      </c>
      <c r="H29" s="54" t="n">
        <v>791</v>
      </c>
      <c r="I29" s="65" t="n">
        <f aca="false">IF(H29="","",G29-H29)</f>
        <v>-94</v>
      </c>
      <c r="J29" s="55" t="n">
        <f aca="false">IF(OR(D29="",D29+G29=0),"",D29/(D29+G29))</f>
        <v>0.524232081911263</v>
      </c>
      <c r="K29" s="55" t="n">
        <f aca="false">IF(E29="","",E29/(E29+H29))</f>
        <v>0.470903010033445</v>
      </c>
      <c r="L29" s="66" t="n">
        <f aca="false">IF(OR(K29="",J29=""),"",(J29-K29)*100)</f>
        <v>5.3329071877818</v>
      </c>
      <c r="M29" s="36" t="n">
        <v>3.35256345132454</v>
      </c>
      <c r="N29" s="36" t="n">
        <v>1.11847588838557</v>
      </c>
      <c r="O29" s="36" t="n">
        <f aca="false">SQRT(M29^2+N29^2)</f>
        <v>3.5342141995155</v>
      </c>
      <c r="P29" s="55" t="n">
        <f aca="false">IF(J29="","",MAX(0,J29-1.96*O29/100))</f>
        <v>0.454961483600759</v>
      </c>
      <c r="Q29" s="55" t="n">
        <f aca="false">IF(J29="","",MIN(1,J29+1.96*O29/100))</f>
        <v>0.593502680221767</v>
      </c>
      <c r="R29" s="32" t="str">
        <f aca="false">IF(L29="","",IF(ABS(L29)&lt;=O29,"Yes","No"))</f>
        <v>No</v>
      </c>
      <c r="S29" s="32" t="str">
        <f aca="false">IF(L29="","",IF(ABS(L29)&lt;=1.96*O29,"Yes","No"))</f>
        <v>Yes</v>
      </c>
      <c r="T29" s="54" t="n">
        <f aca="false">IF(D29="","",ROUND(SQRT(((D29+G29)*O29/100)^2+(J29*(D29+G29)*0.09092)^2),0))</f>
        <v>87</v>
      </c>
      <c r="U29" s="32"/>
    </row>
    <row r="30" customFormat="false" ht="15" hidden="false" customHeight="false" outlineLevel="0" collapsed="false">
      <c r="A30" s="32" t="s">
        <v>157</v>
      </c>
      <c r="B30" s="32" t="s">
        <v>163</v>
      </c>
      <c r="C30" s="32" t="s">
        <v>129</v>
      </c>
      <c r="D30" s="54" t="n">
        <v>950</v>
      </c>
      <c r="E30" s="54" t="n">
        <v>878</v>
      </c>
      <c r="F30" s="65" t="n">
        <f aca="false">IF(E30="","",D30-E30)</f>
        <v>72</v>
      </c>
      <c r="G30" s="54" t="n">
        <v>760</v>
      </c>
      <c r="H30" s="54" t="n">
        <v>870</v>
      </c>
      <c r="I30" s="65" t="n">
        <f aca="false">IF(H30="","",G30-H30)</f>
        <v>-110</v>
      </c>
      <c r="J30" s="55" t="n">
        <f aca="false">IF(OR(D30="",D30+G30=0),"",D30/(D30+G30))</f>
        <v>0.555555555555556</v>
      </c>
      <c r="K30" s="55" t="n">
        <f aca="false">IF(E30="","",E30/(E30+H30))</f>
        <v>0.502288329519451</v>
      </c>
      <c r="L30" s="66" t="n">
        <f aca="false">IF(OR(K30="",J30=""),"",(J30-K30)*100)</f>
        <v>5.32672260361048</v>
      </c>
      <c r="M30" s="36" t="n">
        <v>1.87220867946189</v>
      </c>
      <c r="N30" s="36" t="n">
        <v>1.11847588838557</v>
      </c>
      <c r="O30" s="36" t="n">
        <f aca="false">SQRT(M30^2+N30^2)</f>
        <v>2.18086075950583</v>
      </c>
      <c r="P30" s="55" t="n">
        <f aca="false">IF(J30="","",MAX(0,J30-1.96*O30/100))</f>
        <v>0.512810684669241</v>
      </c>
      <c r="Q30" s="55" t="n">
        <f aca="false">IF(J30="","",MIN(1,J30+1.96*O30/100))</f>
        <v>0.59830042644187</v>
      </c>
      <c r="R30" s="32" t="str">
        <f aca="false">IF(L30="","",IF(ABS(L30)&lt;=O30,"Yes","No"))</f>
        <v>No</v>
      </c>
      <c r="S30" s="32" t="str">
        <f aca="false">IF(L30="","",IF(ABS(L30)&lt;=1.96*O30,"Yes","No"))</f>
        <v>No</v>
      </c>
      <c r="T30" s="54" t="n">
        <f aca="false">IF(D30="","",ROUND(SQRT(((D30+G30)*O30/100)^2+(J30*(D30+G30)*0.06991)^2),0))</f>
        <v>76</v>
      </c>
      <c r="U30" s="32"/>
    </row>
    <row r="31" customFormat="false" ht="15" hidden="false" customHeight="false" outlineLevel="0" collapsed="false">
      <c r="A31" s="32" t="s">
        <v>157</v>
      </c>
      <c r="B31" s="32" t="s">
        <v>164</v>
      </c>
      <c r="C31" s="32" t="s">
        <v>129</v>
      </c>
      <c r="D31" s="54" t="n">
        <v>3619</v>
      </c>
      <c r="E31" s="54" t="n">
        <v>3393</v>
      </c>
      <c r="F31" s="65" t="n">
        <f aca="false">IF(E31="","",D31-E31)</f>
        <v>226</v>
      </c>
      <c r="G31" s="54" t="n">
        <v>2890</v>
      </c>
      <c r="H31" s="54" t="n">
        <v>3078</v>
      </c>
      <c r="I31" s="65" t="n">
        <f aca="false">IF(H31="","",G31-H31)</f>
        <v>-188</v>
      </c>
      <c r="J31" s="55" t="n">
        <f aca="false">IF(OR(D31="",D31+G31=0),"",D31/(D31+G31))</f>
        <v>0.555999385466278</v>
      </c>
      <c r="K31" s="55" t="n">
        <f aca="false">IF(E31="","",E31/(E31+H31))</f>
        <v>0.524339360222531</v>
      </c>
      <c r="L31" s="66" t="n">
        <f aca="false">IF(OR(K31="",J31=""),"",(J31-K31)*100)</f>
        <v>3.16600252437462</v>
      </c>
      <c r="M31" s="36" t="n">
        <v>1.87671567400173</v>
      </c>
      <c r="N31" s="36" t="n">
        <v>1.11847588838557</v>
      </c>
      <c r="O31" s="36" t="n">
        <f aca="false">SQRT(M31^2+N31^2)</f>
        <v>2.18473111250415</v>
      </c>
      <c r="P31" s="55" t="n">
        <f aca="false">IF(J31="","",MAX(0,J31-1.96*O31/100))</f>
        <v>0.513178655661196</v>
      </c>
      <c r="Q31" s="55" t="n">
        <f aca="false">IF(J31="","",MIN(1,J31+1.96*O31/100))</f>
        <v>0.598820115271359</v>
      </c>
      <c r="R31" s="32" t="str">
        <f aca="false">IF(L31="","",IF(ABS(L31)&lt;=O31,"Yes","No"))</f>
        <v>No</v>
      </c>
      <c r="S31" s="32" t="str">
        <f aca="false">IF(L31="","",IF(ABS(L31)&lt;=1.96*O31,"Yes","No"))</f>
        <v>Yes</v>
      </c>
      <c r="T31" s="54" t="n">
        <f aca="false">IF(D31="","",ROUND(SQRT(((D31+G31)*O31/100)^2+(J31*(D31+G31)*0.0639)^2),0))</f>
        <v>271</v>
      </c>
      <c r="U31" s="32"/>
    </row>
    <row r="32" customFormat="false" ht="15" hidden="false" customHeight="false" outlineLevel="0" collapsed="false">
      <c r="A32" s="32" t="s">
        <v>157</v>
      </c>
      <c r="B32" s="32" t="s">
        <v>165</v>
      </c>
      <c r="C32" s="32" t="s">
        <v>129</v>
      </c>
      <c r="D32" s="54" t="n">
        <v>1480</v>
      </c>
      <c r="E32" s="54" t="n">
        <v>1481</v>
      </c>
      <c r="F32" s="65" t="n">
        <f aca="false">IF(E32="","",D32-E32)</f>
        <v>-1</v>
      </c>
      <c r="G32" s="54" t="n">
        <v>629</v>
      </c>
      <c r="H32" s="54" t="n">
        <v>737</v>
      </c>
      <c r="I32" s="65" t="n">
        <f aca="false">IF(H32="","",G32-H32)</f>
        <v>-108</v>
      </c>
      <c r="J32" s="55" t="n">
        <f aca="false">IF(OR(D32="",D32+G32=0),"",D32/(D32+G32))</f>
        <v>0.701754385964912</v>
      </c>
      <c r="K32" s="55" t="n">
        <f aca="false">IF(E32="","",E32/(E32+H32))</f>
        <v>0.667718665464382</v>
      </c>
      <c r="L32" s="66" t="n">
        <f aca="false">IF(OR(K32="",J32=""),"",(J32-K32)*100)</f>
        <v>3.40357205005299</v>
      </c>
      <c r="M32" s="36" t="n">
        <v>1.87220867946189</v>
      </c>
      <c r="N32" s="36" t="n">
        <v>1.11847588838557</v>
      </c>
      <c r="O32" s="36" t="n">
        <f aca="false">SQRT(M32^2+N32^2)</f>
        <v>2.18086075950583</v>
      </c>
      <c r="P32" s="55" t="n">
        <f aca="false">IF(J32="","",MAX(0,J32-1.96*O32/100))</f>
        <v>0.659009515078598</v>
      </c>
      <c r="Q32" s="55" t="n">
        <f aca="false">IF(J32="","",MIN(1,J32+1.96*O32/100))</f>
        <v>0.744499256851226</v>
      </c>
      <c r="R32" s="32" t="str">
        <f aca="false">IF(L32="","",IF(ABS(L32)&lt;=O32,"Yes","No"))</f>
        <v>No</v>
      </c>
      <c r="S32" s="32" t="str">
        <f aca="false">IF(L32="","",IF(ABS(L32)&lt;=1.96*O32,"Yes","No"))</f>
        <v>Yes</v>
      </c>
      <c r="T32" s="54" t="n">
        <f aca="false">IF(D32="","",ROUND(SQRT(((D32+G32)*O32/100)^2+(J32*(D32+G32)*0.06991)^2),0))</f>
        <v>113</v>
      </c>
      <c r="U32" s="32"/>
    </row>
    <row r="33" customFormat="false" ht="15" hidden="false" customHeight="false" outlineLevel="0" collapsed="false">
      <c r="A33" s="32" t="s">
        <v>157</v>
      </c>
      <c r="B33" s="32" t="s">
        <v>166</v>
      </c>
      <c r="C33" s="32" t="s">
        <v>129</v>
      </c>
      <c r="D33" s="54" t="n">
        <v>403</v>
      </c>
      <c r="E33" s="54" t="n">
        <v>405</v>
      </c>
      <c r="F33" s="65" t="n">
        <f aca="false">IF(E33="","",D33-E33)</f>
        <v>-2</v>
      </c>
      <c r="G33" s="54" t="n">
        <v>277</v>
      </c>
      <c r="H33" s="54" t="n">
        <v>304</v>
      </c>
      <c r="I33" s="65" t="n">
        <f aca="false">IF(H33="","",G33-H33)</f>
        <v>-27</v>
      </c>
      <c r="J33" s="55" t="n">
        <f aca="false">IF(OR(D33="",D33+G33=0),"",D33/(D33+G33))</f>
        <v>0.592647058823529</v>
      </c>
      <c r="K33" s="55" t="n">
        <f aca="false">IF(E33="","",E33/(E33+H33))</f>
        <v>0.571227080394922</v>
      </c>
      <c r="L33" s="66" t="n">
        <f aca="false">IF(OR(K33="",J33=""),"",(J33-K33)*100)</f>
        <v>2.1419978428607</v>
      </c>
      <c r="M33" s="36" t="n">
        <v>3.35256345132454</v>
      </c>
      <c r="N33" s="36" t="n">
        <v>1.11847588838557</v>
      </c>
      <c r="O33" s="36" t="n">
        <f aca="false">SQRT(M33^2+N33^2)</f>
        <v>3.5342141995155</v>
      </c>
      <c r="P33" s="55" t="n">
        <f aca="false">IF(J33="","",MAX(0,J33-1.96*O33/100))</f>
        <v>0.523376460513026</v>
      </c>
      <c r="Q33" s="55" t="n">
        <f aca="false">IF(J33="","",MIN(1,J33+1.96*O33/100))</f>
        <v>0.661917657134033</v>
      </c>
      <c r="R33" s="32" t="str">
        <f aca="false">IF(L33="","",IF(ABS(L33)&lt;=O33,"Yes","No"))</f>
        <v>Yes</v>
      </c>
      <c r="S33" s="32" t="str">
        <f aca="false">IF(L33="","",IF(ABS(L33)&lt;=1.96*O33,"Yes","No"))</f>
        <v>Yes</v>
      </c>
      <c r="T33" s="54" t="n">
        <f aca="false">IF(D33="","",ROUND(SQRT(((D33+G33)*O33/100)^2+(J33*(D33+G33)*0.09092)^2),0))</f>
        <v>44</v>
      </c>
      <c r="U33" s="32"/>
    </row>
    <row r="34" customFormat="false" ht="15" hidden="false" customHeight="false" outlineLevel="0" collapsed="false">
      <c r="A34" s="32" t="s">
        <v>157</v>
      </c>
      <c r="B34" s="32" t="s">
        <v>167</v>
      </c>
      <c r="C34" s="32" t="s">
        <v>129</v>
      </c>
      <c r="D34" s="54" t="n">
        <v>699</v>
      </c>
      <c r="E34" s="54" t="n">
        <v>602</v>
      </c>
      <c r="F34" s="65" t="n">
        <f aca="false">IF(E34="","",D34-E34)</f>
        <v>97</v>
      </c>
      <c r="G34" s="54" t="n">
        <v>1279</v>
      </c>
      <c r="H34" s="54" t="n">
        <v>1339</v>
      </c>
      <c r="I34" s="65" t="n">
        <f aca="false">IF(H34="","",G34-H34)</f>
        <v>-60</v>
      </c>
      <c r="J34" s="55" t="n">
        <f aca="false">IF(OR(D34="",D34+G34=0),"",D34/(D34+G34))</f>
        <v>0.353387259858443</v>
      </c>
      <c r="K34" s="55" t="n">
        <f aca="false">IF(E34="","",E34/(E34+H34))</f>
        <v>0.310149407521896</v>
      </c>
      <c r="L34" s="66" t="n">
        <f aca="false">IF(OR(K34="",J34=""),"",(J34-K34)*100)</f>
        <v>4.3237852336547</v>
      </c>
      <c r="M34" s="36" t="n">
        <v>1.87220867946189</v>
      </c>
      <c r="N34" s="36" t="n">
        <v>1.11847588838557</v>
      </c>
      <c r="O34" s="36" t="n">
        <f aca="false">SQRT(M34^2+N34^2)</f>
        <v>2.18086075950583</v>
      </c>
      <c r="P34" s="55" t="n">
        <f aca="false">IF(J34="","",MAX(0,J34-1.96*O34/100))</f>
        <v>0.310642388972129</v>
      </c>
      <c r="Q34" s="55" t="n">
        <f aca="false">IF(J34="","",MIN(1,J34+1.96*O34/100))</f>
        <v>0.396132130744757</v>
      </c>
      <c r="R34" s="32" t="str">
        <f aca="false">IF(L34="","",IF(ABS(L34)&lt;=O34,"Yes","No"))</f>
        <v>No</v>
      </c>
      <c r="S34" s="32" t="str">
        <f aca="false">IF(L34="","",IF(ABS(L34)&lt;=1.96*O34,"Yes","No"))</f>
        <v>No</v>
      </c>
      <c r="T34" s="54" t="n">
        <f aca="false">IF(D34="","",ROUND(SQRT(((D34+G34)*O34/100)^2+(J34*(D34+G34)*0.06991)^2),0))</f>
        <v>65</v>
      </c>
      <c r="U34" s="32"/>
    </row>
    <row r="35" customFormat="false" ht="15" hidden="false" customHeight="false" outlineLevel="0" collapsed="false">
      <c r="A35" s="32" t="s">
        <v>157</v>
      </c>
      <c r="B35" s="32" t="s">
        <v>168</v>
      </c>
      <c r="C35" s="32" t="s">
        <v>129</v>
      </c>
      <c r="D35" s="54" t="n">
        <v>9990</v>
      </c>
      <c r="E35" s="54" t="n">
        <v>9782</v>
      </c>
      <c r="F35" s="65" t="n">
        <f aca="false">IF(E35="","",D35-E35)</f>
        <v>208</v>
      </c>
      <c r="G35" s="54" t="n">
        <v>9597</v>
      </c>
      <c r="H35" s="54" t="n">
        <v>10014</v>
      </c>
      <c r="I35" s="65" t="n">
        <f aca="false">IF(H35="","",G35-H35)</f>
        <v>-417</v>
      </c>
      <c r="J35" s="55" t="n">
        <f aca="false">IF(OR(D35="",D35+G35=0),"",D35/(D35+G35))</f>
        <v>0.510032164190535</v>
      </c>
      <c r="K35" s="55" t="n">
        <f aca="false">IF(E35="","",E35/(E35+H35))</f>
        <v>0.494140230349566</v>
      </c>
      <c r="L35" s="66" t="n">
        <f aca="false">IF(OR(K35="",J35=""),"",(J35-K35)*100)</f>
        <v>1.5891933840969</v>
      </c>
      <c r="M35" s="36" t="n">
        <v>1.87671567400173</v>
      </c>
      <c r="N35" s="36" t="n">
        <v>1.11847588838557</v>
      </c>
      <c r="O35" s="36" t="n">
        <f aca="false">SQRT(M35^2+N35^2)</f>
        <v>2.18473111250415</v>
      </c>
      <c r="P35" s="55" t="n">
        <f aca="false">IF(J35="","",MAX(0,J35-1.96*O35/100))</f>
        <v>0.467211434385453</v>
      </c>
      <c r="Q35" s="55" t="n">
        <f aca="false">IF(J35="","",MIN(1,J35+1.96*O35/100))</f>
        <v>0.552852893995616</v>
      </c>
      <c r="R35" s="32" t="str">
        <f aca="false">IF(L35="","",IF(ABS(L35)&lt;=O35,"Yes","No"))</f>
        <v>Yes</v>
      </c>
      <c r="S35" s="32" t="str">
        <f aca="false">IF(L35="","",IF(ABS(L35)&lt;=1.96*O35,"Yes","No"))</f>
        <v>Yes</v>
      </c>
      <c r="T35" s="54" t="n">
        <f aca="false">IF(D35="","",ROUND(SQRT(((D35+G35)*O35/100)^2+(J35*(D35+G35)*0.0639)^2),0))</f>
        <v>769</v>
      </c>
      <c r="U35" s="32"/>
    </row>
    <row r="36" customFormat="false" ht="15" hidden="false" customHeight="false" outlineLevel="0" collapsed="false">
      <c r="A36" s="32" t="s">
        <v>157</v>
      </c>
      <c r="B36" s="32" t="s">
        <v>169</v>
      </c>
      <c r="C36" s="32" t="s">
        <v>129</v>
      </c>
      <c r="D36" s="54" t="n">
        <v>959</v>
      </c>
      <c r="E36" s="54" t="n">
        <v>920</v>
      </c>
      <c r="F36" s="65" t="n">
        <f aca="false">IF(E36="","",D36-E36)</f>
        <v>39</v>
      </c>
      <c r="G36" s="54" t="n">
        <v>1528</v>
      </c>
      <c r="H36" s="54" t="n">
        <v>1596</v>
      </c>
      <c r="I36" s="65" t="n">
        <f aca="false">IF(H36="","",G36-H36)</f>
        <v>-68</v>
      </c>
      <c r="J36" s="55" t="n">
        <f aca="false">IF(OR(D36="",D36+G36=0),"",D36/(D36+G36))</f>
        <v>0.385605146763169</v>
      </c>
      <c r="K36" s="55" t="n">
        <f aca="false">IF(E36="","",E36/(E36+H36))</f>
        <v>0.365659777424483</v>
      </c>
      <c r="L36" s="66" t="n">
        <f aca="false">IF(OR(K36="",J36=""),"",(J36-K36)*100)</f>
        <v>1.99453693386852</v>
      </c>
      <c r="M36" s="36" t="n">
        <v>1.87220867946189</v>
      </c>
      <c r="N36" s="36" t="n">
        <v>1.11847588838557</v>
      </c>
      <c r="O36" s="36" t="n">
        <f aca="false">SQRT(M36^2+N36^2)</f>
        <v>2.18086075950583</v>
      </c>
      <c r="P36" s="55" t="n">
        <f aca="false">IF(J36="","",MAX(0,J36-1.96*O36/100))</f>
        <v>0.342860275876854</v>
      </c>
      <c r="Q36" s="55" t="n">
        <f aca="false">IF(J36="","",MIN(1,J36+1.96*O36/100))</f>
        <v>0.428350017649483</v>
      </c>
      <c r="R36" s="32" t="str">
        <f aca="false">IF(L36="","",IF(ABS(L36)&lt;=O36,"Yes","No"))</f>
        <v>Yes</v>
      </c>
      <c r="S36" s="32" t="str">
        <f aca="false">IF(L36="","",IF(ABS(L36)&lt;=1.96*O36,"Yes","No"))</f>
        <v>Yes</v>
      </c>
      <c r="T36" s="54" t="n">
        <f aca="false">IF(D36="","",ROUND(SQRT(((D36+G36)*O36/100)^2+(J36*(D36+G36)*0.06991)^2),0))</f>
        <v>86</v>
      </c>
      <c r="U36" s="32"/>
    </row>
    <row r="37" customFormat="false" ht="15" hidden="false" customHeight="false" outlineLevel="0" collapsed="false">
      <c r="A37" s="32" t="s">
        <v>157</v>
      </c>
      <c r="B37" s="32" t="s">
        <v>170</v>
      </c>
      <c r="C37" s="32" t="s">
        <v>129</v>
      </c>
      <c r="D37" s="54" t="n">
        <v>539</v>
      </c>
      <c r="E37" s="54" t="n">
        <v>533</v>
      </c>
      <c r="F37" s="65" t="n">
        <f aca="false">IF(E37="","",D37-E37)</f>
        <v>6</v>
      </c>
      <c r="G37" s="54" t="n">
        <v>920</v>
      </c>
      <c r="H37" s="54" t="n">
        <v>955</v>
      </c>
      <c r="I37" s="65" t="n">
        <f aca="false">IF(H37="","",G37-H37)</f>
        <v>-35</v>
      </c>
      <c r="J37" s="55" t="n">
        <f aca="false">IF(OR(D37="",D37+G37=0),"",D37/(D37+G37))</f>
        <v>0.369431117203564</v>
      </c>
      <c r="K37" s="55" t="n">
        <f aca="false">IF(E37="","",E37/(E37+H37))</f>
        <v>0.358198924731183</v>
      </c>
      <c r="L37" s="66" t="n">
        <f aca="false">IF(OR(K37="",J37=""),"",(J37-K37)*100)</f>
        <v>1.12321924723813</v>
      </c>
      <c r="M37" s="36" t="n">
        <v>3.35256345132454</v>
      </c>
      <c r="N37" s="36" t="n">
        <v>1.11847588838557</v>
      </c>
      <c r="O37" s="36" t="n">
        <f aca="false">SQRT(M37^2+N37^2)</f>
        <v>3.5342141995155</v>
      </c>
      <c r="P37" s="55" t="n">
        <f aca="false">IF(J37="","",MAX(0,J37-1.96*O37/100))</f>
        <v>0.30016051889306</v>
      </c>
      <c r="Q37" s="55" t="n">
        <f aca="false">IF(J37="","",MIN(1,J37+1.96*O37/100))</f>
        <v>0.438701715514068</v>
      </c>
      <c r="R37" s="32" t="str">
        <f aca="false">IF(L37="","",IF(ABS(L37)&lt;=O37,"Yes","No"))</f>
        <v>Yes</v>
      </c>
      <c r="S37" s="32" t="str">
        <f aca="false">IF(L37="","",IF(ABS(L37)&lt;=1.96*O37,"Yes","No"))</f>
        <v>Yes</v>
      </c>
      <c r="T37" s="54" t="n">
        <f aca="false">IF(D37="","",ROUND(SQRT(((D37+G37)*O37/100)^2+(J37*(D37+G37)*0.09092)^2),0))</f>
        <v>71</v>
      </c>
      <c r="U37" s="32"/>
    </row>
    <row r="38" customFormat="false" ht="15" hidden="false" customHeight="false" outlineLevel="0" collapsed="false">
      <c r="A38" s="32" t="s">
        <v>157</v>
      </c>
      <c r="B38" s="32" t="s">
        <v>171</v>
      </c>
      <c r="C38" s="32" t="s">
        <v>129</v>
      </c>
      <c r="D38" s="54" t="n">
        <v>872</v>
      </c>
      <c r="E38" s="54" t="n">
        <v>846</v>
      </c>
      <c r="F38" s="65" t="n">
        <f aca="false">IF(E38="","",D38-E38)</f>
        <v>26</v>
      </c>
      <c r="G38" s="54" t="n">
        <v>1764</v>
      </c>
      <c r="H38" s="54" t="n">
        <v>1783</v>
      </c>
      <c r="I38" s="65" t="n">
        <f aca="false">IF(H38="","",G38-H38)</f>
        <v>-19</v>
      </c>
      <c r="J38" s="55" t="n">
        <f aca="false">IF(OR(D38="",D38+G38=0),"",D38/(D38+G38))</f>
        <v>0.330804248861912</v>
      </c>
      <c r="K38" s="55" t="n">
        <f aca="false">IF(E38="","",E38/(E38+H38))</f>
        <v>0.321795359452263</v>
      </c>
      <c r="L38" s="66" t="n">
        <f aca="false">IF(OR(K38="",J38=""),"",(J38-K38)*100)</f>
        <v>0.900888940964878</v>
      </c>
      <c r="M38" s="36" t="n">
        <v>1.87220867946189</v>
      </c>
      <c r="N38" s="36" t="n">
        <v>1.11847588838557</v>
      </c>
      <c r="O38" s="36" t="n">
        <f aca="false">SQRT(M38^2+N38^2)</f>
        <v>2.18086075950583</v>
      </c>
      <c r="P38" s="55" t="n">
        <f aca="false">IF(J38="","",MAX(0,J38-1.96*O38/100))</f>
        <v>0.288059377975598</v>
      </c>
      <c r="Q38" s="55" t="n">
        <f aca="false">IF(J38="","",MIN(1,J38+1.96*O38/100))</f>
        <v>0.373549119748226</v>
      </c>
      <c r="R38" s="32" t="str">
        <f aca="false">IF(L38="","",IF(ABS(L38)&lt;=O38,"Yes","No"))</f>
        <v>Yes</v>
      </c>
      <c r="S38" s="32" t="str">
        <f aca="false">IF(L38="","",IF(ABS(L38)&lt;=1.96*O38,"Yes","No"))</f>
        <v>Yes</v>
      </c>
      <c r="T38" s="54" t="n">
        <f aca="false">IF(D38="","",ROUND(SQRT(((D38+G38)*O38/100)^2+(J38*(D38+G38)*0.06991)^2),0))</f>
        <v>84</v>
      </c>
      <c r="U38" s="32"/>
    </row>
    <row r="39" customFormat="false" ht="15" hidden="false" customHeight="false" outlineLevel="0" collapsed="false">
      <c r="A39" s="32" t="s">
        <v>157</v>
      </c>
      <c r="B39" s="32" t="s">
        <v>172</v>
      </c>
      <c r="C39" s="32" t="s">
        <v>129</v>
      </c>
      <c r="D39" s="54" t="n">
        <v>978</v>
      </c>
      <c r="E39" s="54" t="n">
        <v>997</v>
      </c>
      <c r="F39" s="65" t="n">
        <f aca="false">IF(E39="","",D39-E39)</f>
        <v>-19</v>
      </c>
      <c r="G39" s="54" t="n">
        <v>839</v>
      </c>
      <c r="H39" s="54" t="n">
        <v>860</v>
      </c>
      <c r="I39" s="65" t="n">
        <f aca="false">IF(H39="","",G39-H39)</f>
        <v>-21</v>
      </c>
      <c r="J39" s="55" t="n">
        <f aca="false">IF(OR(D39="",D39+G39=0),"",D39/(D39+G39))</f>
        <v>0.538249862410567</v>
      </c>
      <c r="K39" s="55" t="n">
        <f aca="false">IF(E39="","",E39/(E39+H39))</f>
        <v>0.536887452880991</v>
      </c>
      <c r="L39" s="66" t="n">
        <f aca="false">IF(OR(K39="",J39=""),"",(J39-K39)*100)</f>
        <v>0.1362409529576</v>
      </c>
      <c r="M39" s="36" t="n">
        <v>1.87220867946189</v>
      </c>
      <c r="N39" s="36" t="n">
        <v>1.11847588838557</v>
      </c>
      <c r="O39" s="36" t="n">
        <f aca="false">SQRT(M39^2+N39^2)</f>
        <v>2.18086075950583</v>
      </c>
      <c r="P39" s="55" t="n">
        <f aca="false">IF(J39="","",MAX(0,J39-1.96*O39/100))</f>
        <v>0.495504991524253</v>
      </c>
      <c r="Q39" s="55" t="n">
        <f aca="false">IF(J39="","",MIN(1,J39+1.96*O39/100))</f>
        <v>0.580994733296881</v>
      </c>
      <c r="R39" s="32" t="str">
        <f aca="false">IF(L39="","",IF(ABS(L39)&lt;=O39,"Yes","No"))</f>
        <v>Yes</v>
      </c>
      <c r="S39" s="32" t="str">
        <f aca="false">IF(L39="","",IF(ABS(L39)&lt;=1.96*O39,"Yes","No"))</f>
        <v>Yes</v>
      </c>
      <c r="T39" s="54" t="n">
        <f aca="false">IF(D39="","",ROUND(SQRT(((D39+G39)*O39/100)^2+(J39*(D39+G39)*0.06991)^2),0))</f>
        <v>79</v>
      </c>
      <c r="U39" s="32"/>
    </row>
    <row r="40" customFormat="false" ht="15" hidden="false" customHeight="false" outlineLevel="0" collapsed="false">
      <c r="A40" s="32" t="s">
        <v>157</v>
      </c>
      <c r="B40" s="32" t="s">
        <v>173</v>
      </c>
      <c r="C40" s="32" t="s">
        <v>129</v>
      </c>
      <c r="D40" s="54" t="n">
        <v>4178</v>
      </c>
      <c r="E40" s="54" t="n">
        <v>3900</v>
      </c>
      <c r="F40" s="65" t="n">
        <f aca="false">IF(E40="","",D40-E40)</f>
        <v>278</v>
      </c>
      <c r="G40" s="54" t="n">
        <v>5484</v>
      </c>
      <c r="H40" s="54" t="n">
        <v>5859</v>
      </c>
      <c r="I40" s="65" t="n">
        <f aca="false">IF(H40="","",G40-H40)</f>
        <v>-375</v>
      </c>
      <c r="J40" s="55" t="n">
        <f aca="false">IF(OR(D40="",D40+G40=0),"",D40/(D40+G40))</f>
        <v>0.432415648933968</v>
      </c>
      <c r="K40" s="55" t="n">
        <f aca="false">IF(E40="","",E40/(E40+H40))</f>
        <v>0.399631109744851</v>
      </c>
      <c r="L40" s="66" t="n">
        <f aca="false">IF(OR(K40="",J40=""),"",(J40-K40)*100)</f>
        <v>3.27845391891172</v>
      </c>
      <c r="M40" s="36" t="n">
        <v>1.87671567400173</v>
      </c>
      <c r="N40" s="36" t="n">
        <v>1.11847588838557</v>
      </c>
      <c r="O40" s="36" t="n">
        <f aca="false">SQRT(M40^2+N40^2)</f>
        <v>2.18473111250415</v>
      </c>
      <c r="P40" s="55" t="n">
        <f aca="false">IF(J40="","",MAX(0,J40-1.96*O40/100))</f>
        <v>0.389594919128887</v>
      </c>
      <c r="Q40" s="55" t="n">
        <f aca="false">IF(J40="","",MIN(1,J40+1.96*O40/100))</f>
        <v>0.47523637873905</v>
      </c>
      <c r="R40" s="32" t="str">
        <f aca="false">IF(L40="","",IF(ABS(L40)&lt;=O40,"Yes","No"))</f>
        <v>No</v>
      </c>
      <c r="S40" s="32" t="str">
        <f aca="false">IF(L40="","",IF(ABS(L40)&lt;=1.96*O40,"Yes","No"))</f>
        <v>Yes</v>
      </c>
      <c r="T40" s="54" t="n">
        <f aca="false">IF(D40="","",ROUND(SQRT(((D40+G40)*O40/100)^2+(J40*(D40+G40)*0.0639)^2),0))</f>
        <v>340</v>
      </c>
      <c r="U40" s="32"/>
    </row>
    <row r="41" customFormat="false" ht="15" hidden="false" customHeight="false" outlineLevel="0" collapsed="false">
      <c r="A41" s="32" t="s">
        <v>157</v>
      </c>
      <c r="B41" s="32" t="s">
        <v>174</v>
      </c>
      <c r="C41" s="32" t="s">
        <v>129</v>
      </c>
      <c r="D41" s="54" t="n">
        <v>4137</v>
      </c>
      <c r="E41" s="54" t="n">
        <v>4029</v>
      </c>
      <c r="F41" s="65" t="n">
        <f aca="false">IF(E41="","",D41-E41)</f>
        <v>108</v>
      </c>
      <c r="G41" s="54" t="n">
        <v>3983</v>
      </c>
      <c r="H41" s="54" t="n">
        <v>4143</v>
      </c>
      <c r="I41" s="65" t="n">
        <f aca="false">IF(H41="","",G41-H41)</f>
        <v>-160</v>
      </c>
      <c r="J41" s="55" t="n">
        <f aca="false">IF(OR(D41="",D41+G41=0),"",D41/(D41+G41))</f>
        <v>0.50948275862069</v>
      </c>
      <c r="K41" s="55" t="n">
        <f aca="false">IF(E41="","",E41/(E41+H41))</f>
        <v>0.49302496328928</v>
      </c>
      <c r="L41" s="66" t="n">
        <f aca="false">IF(OR(K41="",J41=""),"",(J41-K41)*100)</f>
        <v>1.64577953314092</v>
      </c>
      <c r="M41" s="36" t="n">
        <v>1.87671567400173</v>
      </c>
      <c r="N41" s="36" t="n">
        <v>1.11847588838557</v>
      </c>
      <c r="O41" s="36" t="n">
        <f aca="false">SQRT(M41^2+N41^2)</f>
        <v>2.18473111250415</v>
      </c>
      <c r="P41" s="55" t="n">
        <f aca="false">IF(J41="","",MAX(0,J41-1.96*O41/100))</f>
        <v>0.466662028815608</v>
      </c>
      <c r="Q41" s="55" t="n">
        <f aca="false">IF(J41="","",MIN(1,J41+1.96*O41/100))</f>
        <v>0.552303488425771</v>
      </c>
      <c r="R41" s="32" t="str">
        <f aca="false">IF(L41="","",IF(ABS(L41)&lt;=O41,"Yes","No"))</f>
        <v>Yes</v>
      </c>
      <c r="S41" s="32" t="str">
        <f aca="false">IF(L41="","",IF(ABS(L41)&lt;=1.96*O41,"Yes","No"))</f>
        <v>Yes</v>
      </c>
      <c r="T41" s="54" t="n">
        <f aca="false">IF(D41="","",ROUND(SQRT(((D41+G41)*O41/100)^2+(J41*(D41+G41)*0.0639)^2),0))</f>
        <v>318</v>
      </c>
      <c r="U41" s="32"/>
    </row>
    <row r="42" customFormat="false" ht="15" hidden="false" customHeight="false" outlineLevel="0" collapsed="false">
      <c r="A42" s="32" t="s">
        <v>157</v>
      </c>
      <c r="B42" s="32" t="s">
        <v>175</v>
      </c>
      <c r="C42" s="32" t="s">
        <v>129</v>
      </c>
      <c r="D42" s="54" t="n">
        <v>865</v>
      </c>
      <c r="E42" s="54" t="n">
        <v>748</v>
      </c>
      <c r="F42" s="65" t="n">
        <f aca="false">IF(E42="","",D42-E42)</f>
        <v>117</v>
      </c>
      <c r="G42" s="54" t="n">
        <v>992</v>
      </c>
      <c r="H42" s="54" t="n">
        <v>1149</v>
      </c>
      <c r="I42" s="65" t="n">
        <f aca="false">IF(H42="","",G42-H42)</f>
        <v>-157</v>
      </c>
      <c r="J42" s="55" t="n">
        <f aca="false">IF(OR(D42="",D42+G42=0),"",D42/(D42+G42))</f>
        <v>0.465805061927841</v>
      </c>
      <c r="K42" s="55" t="n">
        <f aca="false">IF(E42="","",E42/(E42+H42))</f>
        <v>0.394306800210859</v>
      </c>
      <c r="L42" s="66" t="n">
        <f aca="false">IF(OR(K42="",J42=""),"",(J42-K42)*100)</f>
        <v>7.14982617169814</v>
      </c>
      <c r="M42" s="36" t="n">
        <v>1.87220867946189</v>
      </c>
      <c r="N42" s="36" t="n">
        <v>1.11847588838557</v>
      </c>
      <c r="O42" s="36" t="n">
        <f aca="false">SQRT(M42^2+N42^2)</f>
        <v>2.18086075950583</v>
      </c>
      <c r="P42" s="55" t="n">
        <f aca="false">IF(J42="","",MAX(0,J42-1.96*O42/100))</f>
        <v>0.423060191041526</v>
      </c>
      <c r="Q42" s="55" t="n">
        <f aca="false">IF(J42="","",MIN(1,J42+1.96*O42/100))</f>
        <v>0.508549932814155</v>
      </c>
      <c r="R42" s="32" t="str">
        <f aca="false">IF(L42="","",IF(ABS(L42)&lt;=O42,"Yes","No"))</f>
        <v>No</v>
      </c>
      <c r="S42" s="32" t="str">
        <f aca="false">IF(L42="","",IF(ABS(L42)&lt;=1.96*O42,"Yes","No"))</f>
        <v>No</v>
      </c>
      <c r="T42" s="54" t="n">
        <f aca="false">IF(D42="","",ROUND(SQRT(((D42+G42)*O42/100)^2+(J42*(D42+G42)*0.06991)^2),0))</f>
        <v>73</v>
      </c>
      <c r="U42" s="32"/>
    </row>
    <row r="43" customFormat="false" ht="15" hidden="false" customHeight="false" outlineLevel="0" collapsed="false">
      <c r="A43" s="32" t="s">
        <v>157</v>
      </c>
      <c r="B43" s="32" t="s">
        <v>176</v>
      </c>
      <c r="C43" s="32" t="s">
        <v>129</v>
      </c>
      <c r="D43" s="54" t="n">
        <v>6983</v>
      </c>
      <c r="E43" s="54" t="n">
        <v>6668</v>
      </c>
      <c r="F43" s="65" t="n">
        <f aca="false">IF(E43="","",D43-E43)</f>
        <v>315</v>
      </c>
      <c r="G43" s="54" t="n">
        <v>5475</v>
      </c>
      <c r="H43" s="54" t="n">
        <v>5856</v>
      </c>
      <c r="I43" s="65" t="n">
        <f aca="false">IF(H43="","",G43-H43)</f>
        <v>-381</v>
      </c>
      <c r="J43" s="55" t="n">
        <f aca="false">IF(OR(D43="",D43+G43=0),"",D43/(D43+G43))</f>
        <v>0.560523358484508</v>
      </c>
      <c r="K43" s="55" t="n">
        <f aca="false">IF(E43="","",E43/(E43+H43))</f>
        <v>0.532417757904823</v>
      </c>
      <c r="L43" s="66" t="n">
        <f aca="false">IF(OR(K43="",J43=""),"",(J43-K43)*100)</f>
        <v>2.81056005796853</v>
      </c>
      <c r="M43" s="36" t="n">
        <v>1.87671567400173</v>
      </c>
      <c r="N43" s="36" t="n">
        <v>1.11847588838557</v>
      </c>
      <c r="O43" s="36" t="n">
        <f aca="false">SQRT(M43^2+N43^2)</f>
        <v>2.18473111250415</v>
      </c>
      <c r="P43" s="55" t="n">
        <f aca="false">IF(J43="","",MAX(0,J43-1.96*O43/100))</f>
        <v>0.517702628679427</v>
      </c>
      <c r="Q43" s="55" t="n">
        <f aca="false">IF(J43="","",MIN(1,J43+1.96*O43/100))</f>
        <v>0.603344088289589</v>
      </c>
      <c r="R43" s="32" t="str">
        <f aca="false">IF(L43="","",IF(ABS(L43)&lt;=O43,"Yes","No"))</f>
        <v>No</v>
      </c>
      <c r="S43" s="32" t="str">
        <f aca="false">IF(L43="","",IF(ABS(L43)&lt;=1.96*O43,"Yes","No"))</f>
        <v>Yes</v>
      </c>
      <c r="T43" s="54" t="n">
        <f aca="false">IF(D43="","",ROUND(SQRT(((D43+G43)*O43/100)^2+(J43*(D43+G43)*0.0639)^2),0))</f>
        <v>523</v>
      </c>
      <c r="U43" s="32"/>
    </row>
    <row r="44" customFormat="false" ht="15" hidden="false" customHeight="false" outlineLevel="0" collapsed="false">
      <c r="A44" s="32" t="s">
        <v>157</v>
      </c>
      <c r="B44" s="32" t="s">
        <v>177</v>
      </c>
      <c r="C44" s="32" t="s">
        <v>129</v>
      </c>
      <c r="D44" s="54" t="n">
        <v>7499</v>
      </c>
      <c r="E44" s="54" t="n">
        <v>7495</v>
      </c>
      <c r="F44" s="65" t="n">
        <f aca="false">IF(E44="","",D44-E44)</f>
        <v>4</v>
      </c>
      <c r="G44" s="54" t="n">
        <v>6704</v>
      </c>
      <c r="H44" s="54" t="n">
        <v>7011</v>
      </c>
      <c r="I44" s="65" t="n">
        <f aca="false">IF(H44="","",G44-H44)</f>
        <v>-307</v>
      </c>
      <c r="J44" s="55" t="n">
        <f aca="false">IF(OR(D44="",D44+G44=0),"",D44/(D44+G44))</f>
        <v>0.527987044990495</v>
      </c>
      <c r="K44" s="55" t="n">
        <f aca="false">IF(E44="","",E44/(E44+H44))</f>
        <v>0.516682751964704</v>
      </c>
      <c r="L44" s="66" t="n">
        <f aca="false">IF(OR(K44="",J44=""),"",(J44-K44)*100)</f>
        <v>1.13042930257907</v>
      </c>
      <c r="M44" s="36" t="n">
        <v>1.87671567400173</v>
      </c>
      <c r="N44" s="36" t="n">
        <v>1.11847588838557</v>
      </c>
      <c r="O44" s="36" t="n">
        <f aca="false">SQRT(M44^2+N44^2)</f>
        <v>2.18473111250415</v>
      </c>
      <c r="P44" s="55" t="n">
        <f aca="false">IF(J44="","",MAX(0,J44-1.96*O44/100))</f>
        <v>0.485166315185414</v>
      </c>
      <c r="Q44" s="55" t="n">
        <f aca="false">IF(J44="","",MIN(1,J44+1.96*O44/100))</f>
        <v>0.570807774795576</v>
      </c>
      <c r="R44" s="32" t="str">
        <f aca="false">IF(L44="","",IF(ABS(L44)&lt;=O44,"Yes","No"))</f>
        <v>Yes</v>
      </c>
      <c r="S44" s="32" t="str">
        <f aca="false">IF(L44="","",IF(ABS(L44)&lt;=1.96*O44,"Yes","No"))</f>
        <v>Yes</v>
      </c>
      <c r="T44" s="54" t="n">
        <f aca="false">IF(D44="","",ROUND(SQRT(((D44+G44)*O44/100)^2+(J44*(D44+G44)*0.0639)^2),0))</f>
        <v>571</v>
      </c>
      <c r="U44" s="32"/>
    </row>
    <row r="45" customFormat="false" ht="15" hidden="false" customHeight="false" outlineLevel="0" collapsed="false">
      <c r="A45" s="32" t="s">
        <v>157</v>
      </c>
      <c r="B45" s="32" t="s">
        <v>178</v>
      </c>
      <c r="C45" s="32" t="s">
        <v>129</v>
      </c>
      <c r="D45" s="54" t="n">
        <v>2339</v>
      </c>
      <c r="E45" s="54" t="n">
        <v>2222</v>
      </c>
      <c r="F45" s="65" t="n">
        <f aca="false">IF(E45="","",D45-E45)</f>
        <v>117</v>
      </c>
      <c r="G45" s="54" t="n">
        <v>2896</v>
      </c>
      <c r="H45" s="54" t="n">
        <v>2955</v>
      </c>
      <c r="I45" s="65" t="n">
        <f aca="false">IF(H45="","",G45-H45)</f>
        <v>-59</v>
      </c>
      <c r="J45" s="55" t="n">
        <f aca="false">IF(OR(D45="",D45+G45=0),"",D45/(D45+G45))</f>
        <v>0.446800382043935</v>
      </c>
      <c r="K45" s="55" t="n">
        <f aca="false">IF(E45="","",E45/(E45+H45))</f>
        <v>0.42920610392119</v>
      </c>
      <c r="L45" s="66" t="n">
        <f aca="false">IF(OR(K45="",J45=""),"",(J45-K45)*100)</f>
        <v>1.75942781227452</v>
      </c>
      <c r="M45" s="36" t="n">
        <v>1.87671567400173</v>
      </c>
      <c r="N45" s="36" t="n">
        <v>1.11847588838557</v>
      </c>
      <c r="O45" s="36" t="n">
        <f aca="false">SQRT(M45^2+N45^2)</f>
        <v>2.18473111250415</v>
      </c>
      <c r="P45" s="55" t="n">
        <f aca="false">IF(J45="","",MAX(0,J45-1.96*O45/100))</f>
        <v>0.403979652238854</v>
      </c>
      <c r="Q45" s="55" t="n">
        <f aca="false">IF(J45="","",MIN(1,J45+1.96*O45/100))</f>
        <v>0.489621111849017</v>
      </c>
      <c r="R45" s="32" t="str">
        <f aca="false">IF(L45="","",IF(ABS(L45)&lt;=O45,"Yes","No"))</f>
        <v>Yes</v>
      </c>
      <c r="S45" s="32" t="str">
        <f aca="false">IF(L45="","",IF(ABS(L45)&lt;=1.96*O45,"Yes","No"))</f>
        <v>Yes</v>
      </c>
      <c r="T45" s="54" t="n">
        <f aca="false">IF(D45="","",ROUND(SQRT(((D45+G45)*O45/100)^2+(J45*(D45+G45)*0.0639)^2),0))</f>
        <v>188</v>
      </c>
      <c r="U45" s="32"/>
    </row>
    <row r="46" customFormat="false" ht="15" hidden="false" customHeight="false" outlineLevel="0" collapsed="false">
      <c r="A46" s="32" t="s">
        <v>157</v>
      </c>
      <c r="B46" s="32" t="s">
        <v>179</v>
      </c>
      <c r="C46" s="32" t="s">
        <v>129</v>
      </c>
      <c r="D46" s="54" t="n">
        <v>4991</v>
      </c>
      <c r="E46" s="54" t="n">
        <v>4817</v>
      </c>
      <c r="F46" s="65" t="n">
        <f aca="false">IF(E46="","",D46-E46)</f>
        <v>174</v>
      </c>
      <c r="G46" s="54" t="n">
        <v>5342</v>
      </c>
      <c r="H46" s="54" t="n">
        <v>5501</v>
      </c>
      <c r="I46" s="65" t="n">
        <f aca="false">IF(H46="","",G46-H46)</f>
        <v>-159</v>
      </c>
      <c r="J46" s="55" t="n">
        <f aca="false">IF(OR(D46="",D46+G46=0),"",D46/(D46+G46))</f>
        <v>0.483015581147779</v>
      </c>
      <c r="K46" s="55" t="n">
        <f aca="false">IF(E46="","",E46/(E46+H46))</f>
        <v>0.466854041480907</v>
      </c>
      <c r="L46" s="66" t="n">
        <f aca="false">IF(OR(K46="",J46=""),"",(J46-K46)*100)</f>
        <v>1.61615396668718</v>
      </c>
      <c r="M46" s="36" t="n">
        <v>1.87671567400173</v>
      </c>
      <c r="N46" s="36" t="n">
        <v>1.11847588838557</v>
      </c>
      <c r="O46" s="36" t="n">
        <f aca="false">SQRT(M46^2+N46^2)</f>
        <v>2.18473111250415</v>
      </c>
      <c r="P46" s="55" t="n">
        <f aca="false">IF(J46="","",MAX(0,J46-1.96*O46/100))</f>
        <v>0.440194851342698</v>
      </c>
      <c r="Q46" s="55" t="n">
        <f aca="false">IF(J46="","",MIN(1,J46+1.96*O46/100))</f>
        <v>0.52583631095286</v>
      </c>
      <c r="R46" s="32" t="str">
        <f aca="false">IF(L46="","",IF(ABS(L46)&lt;=O46,"Yes","No"))</f>
        <v>Yes</v>
      </c>
      <c r="S46" s="32" t="str">
        <f aca="false">IF(L46="","",IF(ABS(L46)&lt;=1.96*O46,"Yes","No"))</f>
        <v>Yes</v>
      </c>
      <c r="T46" s="54" t="n">
        <f aca="false">IF(D46="","",ROUND(SQRT(((D46+G46)*O46/100)^2+(J46*(D46+G46)*0.0639)^2),0))</f>
        <v>391</v>
      </c>
      <c r="U46" s="32"/>
    </row>
    <row r="47" customFormat="false" ht="15" hidden="false" customHeight="false" outlineLevel="0" collapsed="false">
      <c r="A47" s="32" t="s">
        <v>157</v>
      </c>
      <c r="B47" s="32" t="s">
        <v>180</v>
      </c>
      <c r="C47" s="32" t="s">
        <v>129</v>
      </c>
      <c r="D47" s="54" t="n">
        <v>1397</v>
      </c>
      <c r="E47" s="54" t="n">
        <v>1231</v>
      </c>
      <c r="F47" s="65" t="n">
        <f aca="false">IF(E47="","",D47-E47)</f>
        <v>166</v>
      </c>
      <c r="G47" s="54" t="n">
        <v>2414</v>
      </c>
      <c r="H47" s="54" t="n">
        <v>2578</v>
      </c>
      <c r="I47" s="65" t="n">
        <f aca="false">IF(H47="","",G47-H47)</f>
        <v>-164</v>
      </c>
      <c r="J47" s="55" t="n">
        <f aca="false">IF(OR(D47="",D47+G47=0),"",D47/(D47+G47))</f>
        <v>0.366570453949095</v>
      </c>
      <c r="K47" s="55" t="n">
        <f aca="false">IF(E47="","",E47/(E47+H47))</f>
        <v>0.323181937516409</v>
      </c>
      <c r="L47" s="66" t="n">
        <f aca="false">IF(OR(K47="",J47=""),"",(J47-K47)*100)</f>
        <v>4.33885164326862</v>
      </c>
      <c r="M47" s="36" t="n">
        <v>1.87671567400173</v>
      </c>
      <c r="N47" s="36" t="n">
        <v>1.11847588838557</v>
      </c>
      <c r="O47" s="36" t="n">
        <f aca="false">SQRT(M47^2+N47^2)</f>
        <v>2.18473111250415</v>
      </c>
      <c r="P47" s="55" t="n">
        <f aca="false">IF(J47="","",MAX(0,J47-1.96*O47/100))</f>
        <v>0.323749724144013</v>
      </c>
      <c r="Q47" s="55" t="n">
        <f aca="false">IF(J47="","",MIN(1,J47+1.96*O47/100))</f>
        <v>0.409391183754176</v>
      </c>
      <c r="R47" s="32" t="str">
        <f aca="false">IF(L47="","",IF(ABS(L47)&lt;=O47,"Yes","No"))</f>
        <v>No</v>
      </c>
      <c r="S47" s="32" t="str">
        <f aca="false">IF(L47="","",IF(ABS(L47)&lt;=1.96*O47,"Yes","No"))</f>
        <v>No</v>
      </c>
      <c r="T47" s="54" t="n">
        <f aca="false">IF(D47="","",ROUND(SQRT(((D47+G47)*O47/100)^2+(J47*(D47+G47)*0.0639)^2),0))</f>
        <v>122</v>
      </c>
      <c r="U47" s="32"/>
    </row>
    <row r="48" customFormat="false" ht="15" hidden="false" customHeight="false" outlineLevel="0" collapsed="false">
      <c r="A48" s="32" t="s">
        <v>157</v>
      </c>
      <c r="B48" s="32" t="s">
        <v>181</v>
      </c>
      <c r="C48" s="32" t="s">
        <v>129</v>
      </c>
      <c r="D48" s="54" t="n">
        <v>1182</v>
      </c>
      <c r="E48" s="54" t="n">
        <v>1073</v>
      </c>
      <c r="F48" s="65" t="n">
        <f aca="false">IF(E48="","",D48-E48)</f>
        <v>109</v>
      </c>
      <c r="G48" s="54" t="n">
        <v>2043</v>
      </c>
      <c r="H48" s="54" t="n">
        <v>2156</v>
      </c>
      <c r="I48" s="65" t="n">
        <f aca="false">IF(H48="","",G48-H48)</f>
        <v>-113</v>
      </c>
      <c r="J48" s="55" t="n">
        <f aca="false">IF(OR(D48="",D48+G48=0),"",D48/(D48+G48))</f>
        <v>0.366511627906977</v>
      </c>
      <c r="K48" s="55" t="n">
        <f aca="false">IF(E48="","",E48/(E48+H48))</f>
        <v>0.332301021988232</v>
      </c>
      <c r="L48" s="66" t="n">
        <f aca="false">IF(OR(K48="",J48=""),"",(J48-K48)*100)</f>
        <v>3.42106059187451</v>
      </c>
      <c r="M48" s="36" t="n">
        <v>1.87220867946189</v>
      </c>
      <c r="N48" s="36" t="n">
        <v>1.11847588838557</v>
      </c>
      <c r="O48" s="36" t="n">
        <f aca="false">SQRT(M48^2+N48^2)</f>
        <v>2.18086075950583</v>
      </c>
      <c r="P48" s="55" t="n">
        <f aca="false">IF(J48="","",MAX(0,J48-1.96*O48/100))</f>
        <v>0.323766757020663</v>
      </c>
      <c r="Q48" s="55" t="n">
        <f aca="false">IF(J48="","",MIN(1,J48+1.96*O48/100))</f>
        <v>0.409256498793291</v>
      </c>
      <c r="R48" s="32" t="str">
        <f aca="false">IF(L48="","",IF(ABS(L48)&lt;=O48,"Yes","No"))</f>
        <v>No</v>
      </c>
      <c r="S48" s="32" t="str">
        <f aca="false">IF(L48="","",IF(ABS(L48)&lt;=1.96*O48,"Yes","No"))</f>
        <v>Yes</v>
      </c>
      <c r="T48" s="54" t="n">
        <f aca="false">IF(D48="","",ROUND(SQRT(((D48+G48)*O48/100)^2+(J48*(D48+G48)*0.06991)^2),0))</f>
        <v>109</v>
      </c>
      <c r="U48" s="32"/>
    </row>
    <row r="49" customFormat="false" ht="15" hidden="false" customHeight="false" outlineLevel="0" collapsed="false">
      <c r="A49" s="32" t="s">
        <v>157</v>
      </c>
      <c r="B49" s="32" t="s">
        <v>182</v>
      </c>
      <c r="C49" s="32" t="s">
        <v>129</v>
      </c>
      <c r="D49" s="54" t="n">
        <v>7878</v>
      </c>
      <c r="E49" s="54" t="n">
        <v>7458</v>
      </c>
      <c r="F49" s="65" t="n">
        <f aca="false">IF(E49="","",D49-E49)</f>
        <v>420</v>
      </c>
      <c r="G49" s="54" t="n">
        <v>6251</v>
      </c>
      <c r="H49" s="54" t="n">
        <v>6731</v>
      </c>
      <c r="I49" s="65" t="n">
        <f aca="false">IF(H49="","",G49-H49)</f>
        <v>-480</v>
      </c>
      <c r="J49" s="55" t="n">
        <f aca="false">IF(OR(D49="",D49+G49=0),"",D49/(D49+G49))</f>
        <v>0.557576615471725</v>
      </c>
      <c r="K49" s="55" t="n">
        <f aca="false">IF(E49="","",E49/(E49+H49))</f>
        <v>0.525618436817253</v>
      </c>
      <c r="L49" s="66" t="n">
        <f aca="false">IF(OR(K49="",J49=""),"",(J49-K49)*100)</f>
        <v>3.19581786544719</v>
      </c>
      <c r="M49" s="36" t="n">
        <v>1.87671567400173</v>
      </c>
      <c r="N49" s="36" t="n">
        <v>1.11847588838557</v>
      </c>
      <c r="O49" s="36" t="n">
        <f aca="false">SQRT(M49^2+N49^2)</f>
        <v>2.18473111250415</v>
      </c>
      <c r="P49" s="55" t="n">
        <f aca="false">IF(J49="","",MAX(0,J49-1.96*O49/100))</f>
        <v>0.514755885666643</v>
      </c>
      <c r="Q49" s="55" t="n">
        <f aca="false">IF(J49="","",MIN(1,J49+1.96*O49/100))</f>
        <v>0.600397345276806</v>
      </c>
      <c r="R49" s="32" t="str">
        <f aca="false">IF(L49="","",IF(ABS(L49)&lt;=O49,"Yes","No"))</f>
        <v>No</v>
      </c>
      <c r="S49" s="32" t="str">
        <f aca="false">IF(L49="","",IF(ABS(L49)&lt;=1.96*O49,"Yes","No"))</f>
        <v>Yes</v>
      </c>
      <c r="T49" s="54" t="n">
        <f aca="false">IF(D49="","",ROUND(SQRT(((D49+G49)*O49/100)^2+(J49*(D49+G49)*0.0639)^2),0))</f>
        <v>591</v>
      </c>
      <c r="U49" s="32"/>
    </row>
    <row r="50" customFormat="false" ht="15" hidden="false" customHeight="false" outlineLevel="0" collapsed="false">
      <c r="A50" s="32" t="s">
        <v>183</v>
      </c>
      <c r="B50" s="32" t="s">
        <v>184</v>
      </c>
      <c r="C50" s="32" t="s">
        <v>129</v>
      </c>
      <c r="D50" s="54" t="n">
        <v>521</v>
      </c>
      <c r="E50" s="54" t="n">
        <v>482</v>
      </c>
      <c r="F50" s="65" t="n">
        <f aca="false">IF(E50="","",D50-E50)</f>
        <v>39</v>
      </c>
      <c r="G50" s="54" t="n">
        <v>997</v>
      </c>
      <c r="H50" s="54" t="n">
        <v>987</v>
      </c>
      <c r="I50" s="65" t="n">
        <f aca="false">IF(H50="","",G50-H50)</f>
        <v>10</v>
      </c>
      <c r="J50" s="55" t="n">
        <f aca="false">IF(OR(D50="",D50+G50=0),"",D50/(D50+G50))</f>
        <v>0.343214756258235</v>
      </c>
      <c r="K50" s="55" t="n">
        <f aca="false">IF(E50="","",E50/(E50+H50))</f>
        <v>0.328114363512594</v>
      </c>
      <c r="L50" s="66" t="n">
        <f aca="false">IF(OR(K50="",J50=""),"",(J50-K50)*100)</f>
        <v>1.51003927456409</v>
      </c>
      <c r="M50" s="36" t="n">
        <v>3.35256345132454</v>
      </c>
      <c r="N50" s="36" t="n">
        <v>1.11847588838557</v>
      </c>
      <c r="O50" s="36" t="n">
        <f aca="false">SQRT(M50^2+N50^2)</f>
        <v>3.5342141995155</v>
      </c>
      <c r="P50" s="55" t="n">
        <f aca="false">IF(J50="","",MAX(0,J50-1.96*O50/100))</f>
        <v>0.273944157947731</v>
      </c>
      <c r="Q50" s="55" t="n">
        <f aca="false">IF(J50="","",MIN(1,J50+1.96*O50/100))</f>
        <v>0.412485354568738</v>
      </c>
      <c r="R50" s="32" t="str">
        <f aca="false">IF(L50="","",IF(ABS(L50)&lt;=O50,"Yes","No"))</f>
        <v>Yes</v>
      </c>
      <c r="S50" s="32" t="str">
        <f aca="false">IF(L50="","",IF(ABS(L50)&lt;=1.96*O50,"Yes","No"))</f>
        <v>Yes</v>
      </c>
      <c r="T50" s="54" t="n">
        <f aca="false">IF(D50="","",ROUND(SQRT(((D50+G50)*O50/100)^2+(J50*(D50+G50)*0.09092)^2),0))</f>
        <v>72</v>
      </c>
      <c r="U50" s="32"/>
    </row>
    <row r="51" customFormat="false" ht="15" hidden="false" customHeight="false" outlineLevel="0" collapsed="false">
      <c r="A51" s="32" t="s">
        <v>183</v>
      </c>
      <c r="B51" s="32" t="s">
        <v>186</v>
      </c>
      <c r="C51" s="32" t="s">
        <v>129</v>
      </c>
      <c r="D51" s="54" t="n">
        <v>1517</v>
      </c>
      <c r="E51" s="54" t="n">
        <v>1425</v>
      </c>
      <c r="F51" s="65" t="n">
        <f aca="false">IF(E51="","",D51-E51)</f>
        <v>92</v>
      </c>
      <c r="G51" s="54" t="n">
        <v>2530</v>
      </c>
      <c r="H51" s="54" t="n">
        <v>2491</v>
      </c>
      <c r="I51" s="65" t="n">
        <f aca="false">IF(H51="","",G51-H51)</f>
        <v>39</v>
      </c>
      <c r="J51" s="55" t="n">
        <f aca="false">IF(OR(D51="",D51+G51=0),"",D51/(D51+G51))</f>
        <v>0.374845564615765</v>
      </c>
      <c r="K51" s="55" t="n">
        <f aca="false">IF(E51="","",E51/(E51+H51))</f>
        <v>0.363891726251277</v>
      </c>
      <c r="L51" s="66" t="n">
        <f aca="false">IF(OR(K51="",J51=""),"",(J51-K51)*100)</f>
        <v>1.09538383644879</v>
      </c>
      <c r="M51" s="36" t="n">
        <v>1.87671567400173</v>
      </c>
      <c r="N51" s="36" t="n">
        <v>1.11847588838557</v>
      </c>
      <c r="O51" s="36" t="n">
        <f aca="false">SQRT(M51^2+N51^2)</f>
        <v>2.18473111250415</v>
      </c>
      <c r="P51" s="55" t="n">
        <f aca="false">IF(J51="","",MAX(0,J51-1.96*O51/100))</f>
        <v>0.332024834810683</v>
      </c>
      <c r="Q51" s="55" t="n">
        <f aca="false">IF(J51="","",MIN(1,J51+1.96*O51/100))</f>
        <v>0.417666294420846</v>
      </c>
      <c r="R51" s="32" t="str">
        <f aca="false">IF(L51="","",IF(ABS(L51)&lt;=O51,"Yes","No"))</f>
        <v>Yes</v>
      </c>
      <c r="S51" s="32" t="str">
        <f aca="false">IF(L51="","",IF(ABS(L51)&lt;=1.96*O51,"Yes","No"))</f>
        <v>Yes</v>
      </c>
      <c r="T51" s="54" t="n">
        <f aca="false">IF(D51="","",ROUND(SQRT(((D51+G51)*O51/100)^2+(J51*(D51+G51)*0.0639)^2),0))</f>
        <v>131</v>
      </c>
      <c r="U51" s="32" t="s">
        <v>394</v>
      </c>
    </row>
    <row r="52" customFormat="false" ht="15" hidden="false" customHeight="false" outlineLevel="0" collapsed="false">
      <c r="A52" s="32" t="s">
        <v>183</v>
      </c>
      <c r="B52" s="32" t="s">
        <v>187</v>
      </c>
      <c r="C52" s="32" t="s">
        <v>129</v>
      </c>
      <c r="D52" s="54" t="n">
        <v>589</v>
      </c>
      <c r="E52" s="54" t="n">
        <v>502</v>
      </c>
      <c r="F52" s="65" t="n">
        <f aca="false">IF(E52="","",D52-E52)</f>
        <v>87</v>
      </c>
      <c r="G52" s="54" t="n">
        <v>914</v>
      </c>
      <c r="H52" s="54" t="n">
        <v>795</v>
      </c>
      <c r="I52" s="65" t="n">
        <f aca="false">IF(H52="","",G52-H52)</f>
        <v>119</v>
      </c>
      <c r="J52" s="55" t="n">
        <f aca="false">IF(OR(D52="",D52+G52=0),"",D52/(D52+G52))</f>
        <v>0.391882900864937</v>
      </c>
      <c r="K52" s="55" t="n">
        <f aca="false">IF(E52="","",E52/(E52+H52))</f>
        <v>0.387047031611411</v>
      </c>
      <c r="L52" s="66" t="n">
        <f aca="false">IF(OR(K52="",J52=""),"",(J52-K52)*100)</f>
        <v>0.48358692535258</v>
      </c>
      <c r="M52" s="36" t="n">
        <v>3.35256345132454</v>
      </c>
      <c r="N52" s="36" t="n">
        <v>1.11847588838557</v>
      </c>
      <c r="O52" s="36" t="n">
        <f aca="false">SQRT(M52^2+N52^2)</f>
        <v>3.5342141995155</v>
      </c>
      <c r="P52" s="55" t="n">
        <f aca="false">IF(J52="","",MAX(0,J52-1.96*O52/100))</f>
        <v>0.322612302554433</v>
      </c>
      <c r="Q52" s="55" t="n">
        <f aca="false">IF(J52="","",MIN(1,J52+1.96*O52/100))</f>
        <v>0.461153499175441</v>
      </c>
      <c r="R52" s="32" t="str">
        <f aca="false">IF(L52="","",IF(ABS(L52)&lt;=O52,"Yes","No"))</f>
        <v>Yes</v>
      </c>
      <c r="S52" s="32" t="str">
        <f aca="false">IF(L52="","",IF(ABS(L52)&lt;=1.96*O52,"Yes","No"))</f>
        <v>Yes</v>
      </c>
      <c r="T52" s="54" t="n">
        <f aca="false">IF(D52="","",ROUND(SQRT(((D52+G52)*O52/100)^2+(J52*(D52+G52)*0.09092)^2),0))</f>
        <v>75</v>
      </c>
      <c r="U52" s="32" t="s">
        <v>395</v>
      </c>
    </row>
    <row r="53" customFormat="false" ht="15" hidden="false" customHeight="false" outlineLevel="0" collapsed="false">
      <c r="A53" s="32" t="s">
        <v>188</v>
      </c>
      <c r="B53" s="32" t="s">
        <v>189</v>
      </c>
      <c r="C53" s="32" t="s">
        <v>129</v>
      </c>
      <c r="D53" s="54" t="n">
        <v>1507</v>
      </c>
      <c r="E53" s="54" t="n">
        <v>1432</v>
      </c>
      <c r="F53" s="65" t="n">
        <f aca="false">IF(E53="","",D53-E53)</f>
        <v>75</v>
      </c>
      <c r="G53" s="54" t="n">
        <v>1869</v>
      </c>
      <c r="H53" s="54" t="n">
        <v>1882</v>
      </c>
      <c r="I53" s="65" t="n">
        <f aca="false">IF(H53="","",G53-H53)</f>
        <v>-13</v>
      </c>
      <c r="J53" s="55" t="n">
        <f aca="false">IF(OR(D53="",D53+G53=0),"",D53/(D53+G53))</f>
        <v>0.446386255924171</v>
      </c>
      <c r="K53" s="55" t="n">
        <f aca="false">IF(E53="","",E53/(E53+H53))</f>
        <v>0.432106216053108</v>
      </c>
      <c r="L53" s="66" t="n">
        <f aca="false">IF(OR(K53="",J53=""),"",(J53-K53)*100)</f>
        <v>1.42800398710626</v>
      </c>
      <c r="M53" s="36" t="n">
        <v>1.87220867946189</v>
      </c>
      <c r="N53" s="36" t="n">
        <v>1.11847588838557</v>
      </c>
      <c r="O53" s="36" t="n">
        <f aca="false">SQRT(M53^2+N53^2)</f>
        <v>2.18086075950583</v>
      </c>
      <c r="P53" s="55" t="n">
        <f aca="false">IF(J53="","",MAX(0,J53-1.96*O53/100))</f>
        <v>0.403641385037856</v>
      </c>
      <c r="Q53" s="55" t="n">
        <f aca="false">IF(J53="","",MIN(1,J53+1.96*O53/100))</f>
        <v>0.489131126810485</v>
      </c>
      <c r="R53" s="32" t="str">
        <f aca="false">IF(L53="","",IF(ABS(L53)&lt;=O53,"Yes","No"))</f>
        <v>Yes</v>
      </c>
      <c r="S53" s="32" t="str">
        <f aca="false">IF(L53="","",IF(ABS(L53)&lt;=1.96*O53,"Yes","No"))</f>
        <v>Yes</v>
      </c>
      <c r="T53" s="54" t="n">
        <f aca="false">IF(D53="","",ROUND(SQRT(((D53+G53)*O53/100)^2+(J53*(D53+G53)*0.06991)^2),0))</f>
        <v>129</v>
      </c>
      <c r="U53" s="32"/>
    </row>
    <row r="54" customFormat="false" ht="15" hidden="false" customHeight="false" outlineLevel="0" collapsed="false">
      <c r="A54" s="32" t="s">
        <v>188</v>
      </c>
      <c r="B54" s="32" t="s">
        <v>190</v>
      </c>
      <c r="C54" s="32" t="s">
        <v>129</v>
      </c>
      <c r="D54" s="54" t="n">
        <v>1064</v>
      </c>
      <c r="E54" s="54" t="n">
        <v>965</v>
      </c>
      <c r="F54" s="65" t="n">
        <f aca="false">IF(E54="","",D54-E54)</f>
        <v>99</v>
      </c>
      <c r="G54" s="54" t="n">
        <v>1231</v>
      </c>
      <c r="H54" s="54" t="n">
        <v>1342</v>
      </c>
      <c r="I54" s="65" t="n">
        <f aca="false">IF(H54="","",G54-H54)</f>
        <v>-111</v>
      </c>
      <c r="J54" s="55" t="n">
        <f aca="false">IF(OR(D54="",D54+G54=0),"",D54/(D54+G54))</f>
        <v>0.463616557734205</v>
      </c>
      <c r="K54" s="55" t="n">
        <f aca="false">IF(E54="","",E54/(E54+H54))</f>
        <v>0.418292154312961</v>
      </c>
      <c r="L54" s="66" t="n">
        <f aca="false">IF(OR(K54="",J54=""),"",(J54-K54)*100)</f>
        <v>4.53244034212442</v>
      </c>
      <c r="M54" s="36" t="n">
        <v>1.87220867946189</v>
      </c>
      <c r="N54" s="36" t="n">
        <v>1.11847588838557</v>
      </c>
      <c r="O54" s="36" t="n">
        <f aca="false">SQRT(M54^2+N54^2)</f>
        <v>2.18086075950583</v>
      </c>
      <c r="P54" s="55" t="n">
        <f aca="false">IF(J54="","",MAX(0,J54-1.96*O54/100))</f>
        <v>0.420871686847891</v>
      </c>
      <c r="Q54" s="55" t="n">
        <f aca="false">IF(J54="","",MIN(1,J54+1.96*O54/100))</f>
        <v>0.506361428620519</v>
      </c>
      <c r="R54" s="32" t="str">
        <f aca="false">IF(L54="","",IF(ABS(L54)&lt;=O54,"Yes","No"))</f>
        <v>No</v>
      </c>
      <c r="S54" s="32" t="str">
        <f aca="false">IF(L54="","",IF(ABS(L54)&lt;=1.96*O54,"Yes","No"))</f>
        <v>No</v>
      </c>
      <c r="T54" s="54" t="n">
        <f aca="false">IF(D54="","",ROUND(SQRT(((D54+G54)*O54/100)^2+(J54*(D54+G54)*0.06991)^2),0))</f>
        <v>90</v>
      </c>
      <c r="U54" s="32"/>
    </row>
    <row r="55" customFormat="false" ht="15" hidden="false" customHeight="false" outlineLevel="0" collapsed="false">
      <c r="A55" s="32" t="s">
        <v>188</v>
      </c>
      <c r="B55" s="32" t="s">
        <v>191</v>
      </c>
      <c r="C55" s="32" t="s">
        <v>129</v>
      </c>
      <c r="D55" s="54" t="n">
        <v>606</v>
      </c>
      <c r="E55" s="54" t="n">
        <v>579</v>
      </c>
      <c r="F55" s="65" t="n">
        <f aca="false">IF(E55="","",D55-E55)</f>
        <v>27</v>
      </c>
      <c r="G55" s="54" t="n">
        <v>649</v>
      </c>
      <c r="H55" s="54" t="n">
        <v>695</v>
      </c>
      <c r="I55" s="65" t="n">
        <f aca="false">IF(H55="","",G55-H55)</f>
        <v>-46</v>
      </c>
      <c r="J55" s="55" t="n">
        <f aca="false">IF(OR(D55="",D55+G55=0),"",D55/(D55+G55))</f>
        <v>0.482868525896414</v>
      </c>
      <c r="K55" s="55" t="n">
        <f aca="false">IF(E55="","",E55/(E55+H55))</f>
        <v>0.45447409733124</v>
      </c>
      <c r="L55" s="66" t="n">
        <f aca="false">IF(OR(K55="",J55=""),"",(J55-K55)*100)</f>
        <v>2.83944285651742</v>
      </c>
      <c r="M55" s="36" t="n">
        <v>3.35256345132454</v>
      </c>
      <c r="N55" s="36" t="n">
        <v>1.11847588838557</v>
      </c>
      <c r="O55" s="36" t="n">
        <f aca="false">SQRT(M55^2+N55^2)</f>
        <v>3.5342141995155</v>
      </c>
      <c r="P55" s="55" t="n">
        <f aca="false">IF(J55="","",MAX(0,J55-1.96*O55/100))</f>
        <v>0.413597927585911</v>
      </c>
      <c r="Q55" s="55" t="n">
        <f aca="false">IF(J55="","",MIN(1,J55+1.96*O55/100))</f>
        <v>0.552139124206918</v>
      </c>
      <c r="R55" s="32" t="str">
        <f aca="false">IF(L55="","",IF(ABS(L55)&lt;=O55,"Yes","No"))</f>
        <v>Yes</v>
      </c>
      <c r="S55" s="32" t="str">
        <f aca="false">IF(L55="","",IF(ABS(L55)&lt;=1.96*O55,"Yes","No"))</f>
        <v>Yes</v>
      </c>
      <c r="T55" s="54" t="n">
        <f aca="false">IF(D55="","",ROUND(SQRT(((D55+G55)*O55/100)^2+(J55*(D55+G55)*0.09092)^2),0))</f>
        <v>71</v>
      </c>
      <c r="U55" s="32"/>
    </row>
    <row r="56" customFormat="false" ht="15" hidden="false" customHeight="false" outlineLevel="0" collapsed="false">
      <c r="A56" s="32" t="s">
        <v>188</v>
      </c>
      <c r="B56" s="32" t="s">
        <v>160</v>
      </c>
      <c r="C56" s="32" t="s">
        <v>129</v>
      </c>
      <c r="D56" s="54" t="n">
        <v>17580</v>
      </c>
      <c r="E56" s="54" t="n">
        <v>16692</v>
      </c>
      <c r="F56" s="65" t="n">
        <f aca="false">IF(E56="","",D56-E56)</f>
        <v>888</v>
      </c>
      <c r="G56" s="54" t="n">
        <v>7748</v>
      </c>
      <c r="H56" s="54" t="n">
        <v>8176</v>
      </c>
      <c r="I56" s="65" t="n">
        <f aca="false">IF(H56="","",G56-H56)</f>
        <v>-428</v>
      </c>
      <c r="J56" s="55" t="n">
        <f aca="false">IF(OR(D56="",D56+G56=0),"",D56/(D56+G56))</f>
        <v>0.694093493367025</v>
      </c>
      <c r="K56" s="55" t="n">
        <f aca="false">IF(E56="","",E56/(E56+H56))</f>
        <v>0.671224063052919</v>
      </c>
      <c r="L56" s="66" t="n">
        <f aca="false">IF(OR(K56="",J56=""),"",(J56-K56)*100)</f>
        <v>2.28694303141053</v>
      </c>
      <c r="M56" s="36" t="n">
        <v>1.87671567400173</v>
      </c>
      <c r="N56" s="36" t="n">
        <v>1.11847588838557</v>
      </c>
      <c r="O56" s="36" t="n">
        <f aca="false">SQRT(M56^2+N56^2)</f>
        <v>2.18473111250415</v>
      </c>
      <c r="P56" s="55" t="n">
        <f aca="false">IF(J56="","",MAX(0,J56-1.96*O56/100))</f>
        <v>0.651272763561943</v>
      </c>
      <c r="Q56" s="55" t="n">
        <f aca="false">IF(J56="","",MIN(1,J56+1.96*O56/100))</f>
        <v>0.736914223172106</v>
      </c>
      <c r="R56" s="32" t="str">
        <f aca="false">IF(L56="","",IF(ABS(L56)&lt;=O56,"Yes","No"))</f>
        <v>No</v>
      </c>
      <c r="S56" s="32" t="str">
        <f aca="false">IF(L56="","",IF(ABS(L56)&lt;=1.96*O56,"Yes","No"))</f>
        <v>Yes</v>
      </c>
      <c r="T56" s="54" t="n">
        <f aca="false">IF(D56="","",ROUND(SQRT(((D56+G56)*O56/100)^2+(J56*(D56+G56)*0.0639)^2),0))</f>
        <v>1252</v>
      </c>
      <c r="U56" s="32"/>
    </row>
    <row r="57" customFormat="false" ht="15" hidden="false" customHeight="false" outlineLevel="0" collapsed="false">
      <c r="A57" s="32" t="s">
        <v>188</v>
      </c>
      <c r="B57" s="32" t="s">
        <v>192</v>
      </c>
      <c r="C57" s="32" t="s">
        <v>129</v>
      </c>
      <c r="D57" s="54" t="n">
        <v>8595</v>
      </c>
      <c r="E57" s="54" t="n">
        <v>8164</v>
      </c>
      <c r="F57" s="65" t="n">
        <f aca="false">IF(E57="","",D57-E57)</f>
        <v>431</v>
      </c>
      <c r="G57" s="54" t="n">
        <v>6945</v>
      </c>
      <c r="H57" s="54" t="n">
        <v>7277</v>
      </c>
      <c r="I57" s="65" t="n">
        <f aca="false">IF(H57="","",G57-H57)</f>
        <v>-332</v>
      </c>
      <c r="J57" s="55" t="n">
        <f aca="false">IF(OR(D57="",D57+G57=0),"",D57/(D57+G57))</f>
        <v>0.553088803088803</v>
      </c>
      <c r="K57" s="55" t="n">
        <f aca="false">IF(E57="","",E57/(E57+H57))</f>
        <v>0.528722233015996</v>
      </c>
      <c r="L57" s="66" t="n">
        <f aca="false">IF(OR(K57="",J57=""),"",(J57-K57)*100)</f>
        <v>2.43665700728066</v>
      </c>
      <c r="M57" s="36" t="n">
        <v>1.87671567400173</v>
      </c>
      <c r="N57" s="36" t="n">
        <v>1.11847588838557</v>
      </c>
      <c r="O57" s="36" t="n">
        <f aca="false">SQRT(M57^2+N57^2)</f>
        <v>2.18473111250415</v>
      </c>
      <c r="P57" s="55" t="n">
        <f aca="false">IF(J57="","",MAX(0,J57-1.96*O57/100))</f>
        <v>0.510268073283722</v>
      </c>
      <c r="Q57" s="55" t="n">
        <f aca="false">IF(J57="","",MIN(1,J57+1.96*O57/100))</f>
        <v>0.595909532893885</v>
      </c>
      <c r="R57" s="32" t="str">
        <f aca="false">IF(L57="","",IF(ABS(L57)&lt;=O57,"Yes","No"))</f>
        <v>No</v>
      </c>
      <c r="S57" s="32" t="str">
        <f aca="false">IF(L57="","",IF(ABS(L57)&lt;=1.96*O57,"Yes","No"))</f>
        <v>Yes</v>
      </c>
      <c r="T57" s="54" t="n">
        <f aca="false">IF(D57="","",ROUND(SQRT(((D57+G57)*O57/100)^2+(J57*(D57+G57)*0.0639)^2),0))</f>
        <v>646</v>
      </c>
      <c r="U57" s="32"/>
    </row>
    <row r="58" customFormat="false" ht="15" hidden="false" customHeight="false" outlineLevel="0" collapsed="false">
      <c r="A58" s="32" t="s">
        <v>188</v>
      </c>
      <c r="B58" s="32" t="s">
        <v>193</v>
      </c>
      <c r="C58" s="32" t="s">
        <v>129</v>
      </c>
      <c r="D58" s="54" t="n">
        <v>2115</v>
      </c>
      <c r="E58" s="54" t="n">
        <v>1988</v>
      </c>
      <c r="F58" s="65" t="n">
        <f aca="false">IF(E58="","",D58-E58)</f>
        <v>127</v>
      </c>
      <c r="G58" s="54" t="n">
        <v>3270</v>
      </c>
      <c r="H58" s="54" t="n">
        <v>3385</v>
      </c>
      <c r="I58" s="65" t="n">
        <f aca="false">IF(H58="","",G58-H58)</f>
        <v>-115</v>
      </c>
      <c r="J58" s="55" t="n">
        <f aca="false">IF(OR(D58="",D58+G58=0),"",D58/(D58+G58))</f>
        <v>0.392757660167131</v>
      </c>
      <c r="K58" s="55" t="n">
        <f aca="false">IF(E58="","",E58/(E58+H58))</f>
        <v>0.36999813884236</v>
      </c>
      <c r="L58" s="66" t="n">
        <f aca="false">IF(OR(K58="",J58=""),"",(J58-K58)*100)</f>
        <v>2.2759521324771</v>
      </c>
      <c r="M58" s="36" t="n">
        <v>1.87671567400173</v>
      </c>
      <c r="N58" s="36" t="n">
        <v>1.11847588838557</v>
      </c>
      <c r="O58" s="36" t="n">
        <f aca="false">SQRT(M58^2+N58^2)</f>
        <v>2.18473111250415</v>
      </c>
      <c r="P58" s="55" t="n">
        <f aca="false">IF(J58="","",MAX(0,J58-1.96*O58/100))</f>
        <v>0.34993693036205</v>
      </c>
      <c r="Q58" s="55" t="n">
        <f aca="false">IF(J58="","",MIN(1,J58+1.96*O58/100))</f>
        <v>0.435578389972212</v>
      </c>
      <c r="R58" s="32" t="str">
        <f aca="false">IF(L58="","",IF(ABS(L58)&lt;=O58,"Yes","No"))</f>
        <v>No</v>
      </c>
      <c r="S58" s="32" t="str">
        <f aca="false">IF(L58="","",IF(ABS(L58)&lt;=1.96*O58,"Yes","No"))</f>
        <v>Yes</v>
      </c>
      <c r="T58" s="54" t="n">
        <f aca="false">IF(D58="","",ROUND(SQRT(((D58+G58)*O58/100)^2+(J58*(D58+G58)*0.0639)^2),0))</f>
        <v>179</v>
      </c>
      <c r="U58" s="32"/>
    </row>
    <row r="59" customFormat="false" ht="15" hidden="false" customHeight="false" outlineLevel="0" collapsed="false">
      <c r="A59" s="32" t="s">
        <v>188</v>
      </c>
      <c r="B59" s="32" t="s">
        <v>194</v>
      </c>
      <c r="C59" s="32" t="s">
        <v>129</v>
      </c>
      <c r="D59" s="54" t="n">
        <v>48</v>
      </c>
      <c r="E59" s="54" t="n">
        <v>39</v>
      </c>
      <c r="F59" s="65" t="n">
        <f aca="false">IF(E59="","",D59-E59)</f>
        <v>9</v>
      </c>
      <c r="G59" s="54" t="n">
        <v>72</v>
      </c>
      <c r="H59" s="54" t="n">
        <v>79</v>
      </c>
      <c r="I59" s="65" t="n">
        <f aca="false">IF(H59="","",G59-H59)</f>
        <v>-7</v>
      </c>
      <c r="J59" s="55" t="n">
        <f aca="false">IF(OR(D59="",D59+G59=0),"",D59/(D59+G59))</f>
        <v>0.4</v>
      </c>
      <c r="K59" s="55" t="n">
        <f aca="false">IF(E59="","",E59/(E59+H59))</f>
        <v>0.330508474576271</v>
      </c>
      <c r="L59" s="66" t="n">
        <f aca="false">IF(OR(K59="",J59=""),"",(J59-K59)*100)</f>
        <v>6.94915254237288</v>
      </c>
      <c r="M59" s="36" t="n">
        <v>3.35256345132454</v>
      </c>
      <c r="N59" s="36" t="n">
        <v>1.11847588838557</v>
      </c>
      <c r="O59" s="36" t="n">
        <f aca="false">SQRT(M59^2+N59^2)</f>
        <v>3.5342141995155</v>
      </c>
      <c r="P59" s="55" t="n">
        <f aca="false">IF(J59="","",MAX(0,J59-1.96*O59/100))</f>
        <v>0.330729401689496</v>
      </c>
      <c r="Q59" s="55" t="n">
        <f aca="false">IF(J59="","",MIN(1,J59+1.96*O59/100))</f>
        <v>0.469270598310504</v>
      </c>
      <c r="R59" s="32" t="str">
        <f aca="false">IF(L59="","",IF(ABS(L59)&lt;=O59,"Yes","No"))</f>
        <v>No</v>
      </c>
      <c r="S59" s="32" t="str">
        <f aca="false">IF(L59="","",IF(ABS(L59)&lt;=1.96*O59,"Yes","No"))</f>
        <v>No</v>
      </c>
      <c r="T59" s="54" t="n">
        <f aca="false">IF(D59="","",ROUND(SQRT(((D59+G59)*O59/100)^2+(J59*(D59+G59)*0.09092)^2),0))</f>
        <v>6</v>
      </c>
      <c r="U59" s="32"/>
    </row>
    <row r="60" customFormat="false" ht="15" hidden="false" customHeight="false" outlineLevel="0" collapsed="false">
      <c r="A60" s="32" t="s">
        <v>188</v>
      </c>
      <c r="B60" s="32" t="s">
        <v>195</v>
      </c>
      <c r="C60" s="32" t="s">
        <v>129</v>
      </c>
      <c r="D60" s="54" t="n">
        <v>1345</v>
      </c>
      <c r="E60" s="54" t="n">
        <v>1215</v>
      </c>
      <c r="F60" s="65" t="n">
        <f aca="false">IF(E60="","",D60-E60)</f>
        <v>130</v>
      </c>
      <c r="G60" s="54" t="n">
        <v>1720</v>
      </c>
      <c r="H60" s="54" t="n">
        <v>1784</v>
      </c>
      <c r="I60" s="65" t="n">
        <f aca="false">IF(H60="","",G60-H60)</f>
        <v>-64</v>
      </c>
      <c r="J60" s="55" t="n">
        <f aca="false">IF(OR(D60="",D60+G60=0),"",D60/(D60+G60))</f>
        <v>0.438825448613377</v>
      </c>
      <c r="K60" s="55" t="n">
        <f aca="false">IF(E60="","",E60/(E60+H60))</f>
        <v>0.405135045015005</v>
      </c>
      <c r="L60" s="66" t="n">
        <f aca="false">IF(OR(K60="",J60=""),"",(J60-K60)*100)</f>
        <v>3.36904035983718</v>
      </c>
      <c r="M60" s="36" t="n">
        <v>1.87220867946189</v>
      </c>
      <c r="N60" s="36" t="n">
        <v>1.11847588838557</v>
      </c>
      <c r="O60" s="36" t="n">
        <f aca="false">SQRT(M60^2+N60^2)</f>
        <v>2.18086075950583</v>
      </c>
      <c r="P60" s="55" t="n">
        <f aca="false">IF(J60="","",MAX(0,J60-1.96*O60/100))</f>
        <v>0.396080577727063</v>
      </c>
      <c r="Q60" s="55" t="n">
        <f aca="false">IF(J60="","",MIN(1,J60+1.96*O60/100))</f>
        <v>0.481570319499691</v>
      </c>
      <c r="R60" s="32" t="str">
        <f aca="false">IF(L60="","",IF(ABS(L60)&lt;=O60,"Yes","No"))</f>
        <v>No</v>
      </c>
      <c r="S60" s="32" t="str">
        <f aca="false">IF(L60="","",IF(ABS(L60)&lt;=1.96*O60,"Yes","No"))</f>
        <v>Yes</v>
      </c>
      <c r="T60" s="54" t="n">
        <f aca="false">IF(D60="","",ROUND(SQRT(((D60+G60)*O60/100)^2+(J60*(D60+G60)*0.06991)^2),0))</f>
        <v>115</v>
      </c>
      <c r="U60" s="32"/>
    </row>
    <row r="61" customFormat="false" ht="15" hidden="false" customHeight="false" outlineLevel="0" collapsed="false">
      <c r="A61" s="32" t="s">
        <v>188</v>
      </c>
      <c r="B61" s="32" t="s">
        <v>196</v>
      </c>
      <c r="C61" s="32" t="s">
        <v>129</v>
      </c>
      <c r="D61" s="54" t="n">
        <v>215</v>
      </c>
      <c r="E61" s="54" t="n">
        <v>166</v>
      </c>
      <c r="F61" s="65" t="n">
        <f aca="false">IF(E61="","",D61-E61)</f>
        <v>49</v>
      </c>
      <c r="G61" s="54" t="n">
        <v>297</v>
      </c>
      <c r="H61" s="54" t="n">
        <v>332</v>
      </c>
      <c r="I61" s="65" t="n">
        <f aca="false">IF(H61="","",G61-H61)</f>
        <v>-35</v>
      </c>
      <c r="J61" s="55" t="n">
        <f aca="false">IF(OR(D61="",D61+G61=0),"",D61/(D61+G61))</f>
        <v>0.419921875</v>
      </c>
      <c r="K61" s="55" t="n">
        <f aca="false">IF(E61="","",E61/(E61+H61))</f>
        <v>0.333333333333333</v>
      </c>
      <c r="L61" s="66" t="n">
        <f aca="false">IF(OR(K61="",J61=""),"",(J61-K61)*100)</f>
        <v>8.65885416666667</v>
      </c>
      <c r="M61" s="36" t="n">
        <v>3.35256345132454</v>
      </c>
      <c r="N61" s="36" t="n">
        <v>1.11847588838557</v>
      </c>
      <c r="O61" s="36" t="n">
        <f aca="false">SQRT(M61^2+N61^2)</f>
        <v>3.5342141995155</v>
      </c>
      <c r="P61" s="55" t="n">
        <f aca="false">IF(J61="","",MAX(0,J61-1.96*O61/100))</f>
        <v>0.350651276689496</v>
      </c>
      <c r="Q61" s="55" t="n">
        <f aca="false">IF(J61="","",MIN(1,J61+1.96*O61/100))</f>
        <v>0.489192473310504</v>
      </c>
      <c r="R61" s="32" t="str">
        <f aca="false">IF(L61="","",IF(ABS(L61)&lt;=O61,"Yes","No"))</f>
        <v>No</v>
      </c>
      <c r="S61" s="32" t="str">
        <f aca="false">IF(L61="","",IF(ABS(L61)&lt;=1.96*O61,"Yes","No"))</f>
        <v>No</v>
      </c>
      <c r="T61" s="54" t="n">
        <f aca="false">IF(D61="","",ROUND(SQRT(((D61+G61)*O61/100)^2+(J61*(D61+G61)*0.09092)^2),0))</f>
        <v>27</v>
      </c>
      <c r="U61" s="32"/>
    </row>
    <row r="62" customFormat="false" ht="15" hidden="false" customHeight="false" outlineLevel="0" collapsed="false">
      <c r="A62" s="32" t="s">
        <v>188</v>
      </c>
      <c r="B62" s="32" t="s">
        <v>197</v>
      </c>
      <c r="C62" s="32" t="s">
        <v>129</v>
      </c>
      <c r="D62" s="54" t="n">
        <v>7637</v>
      </c>
      <c r="E62" s="54" t="n">
        <v>7095</v>
      </c>
      <c r="F62" s="65" t="n">
        <f aca="false">IF(E62="","",D62-E62)</f>
        <v>542</v>
      </c>
      <c r="G62" s="54" t="n">
        <v>2770</v>
      </c>
      <c r="H62" s="54" t="n">
        <v>2953</v>
      </c>
      <c r="I62" s="65" t="n">
        <f aca="false">IF(H62="","",G62-H62)</f>
        <v>-183</v>
      </c>
      <c r="J62" s="55" t="n">
        <f aca="false">IF(OR(D62="",D62+G62=0),"",D62/(D62+G62))</f>
        <v>0.733832997021236</v>
      </c>
      <c r="K62" s="55" t="n">
        <f aca="false">IF(E62="","",E62/(E62+H62))</f>
        <v>0.706110668789809</v>
      </c>
      <c r="L62" s="66" t="n">
        <f aca="false">IF(OR(K62="",J62=""),"",(J62-K62)*100)</f>
        <v>2.77223282314268</v>
      </c>
      <c r="M62" s="36" t="n">
        <v>1.87671567400173</v>
      </c>
      <c r="N62" s="36" t="n">
        <v>1.11847588838557</v>
      </c>
      <c r="O62" s="36" t="n">
        <f aca="false">SQRT(M62^2+N62^2)</f>
        <v>2.18473111250415</v>
      </c>
      <c r="P62" s="55" t="n">
        <f aca="false">IF(J62="","",MAX(0,J62-1.96*O62/100))</f>
        <v>0.691012267216154</v>
      </c>
      <c r="Q62" s="55" t="n">
        <f aca="false">IF(J62="","",MIN(1,J62+1.96*O62/100))</f>
        <v>0.776653726826317</v>
      </c>
      <c r="R62" s="32" t="str">
        <f aca="false">IF(L62="","",IF(ABS(L62)&lt;=O62,"Yes","No"))</f>
        <v>No</v>
      </c>
      <c r="S62" s="32" t="str">
        <f aca="false">IF(L62="","",IF(ABS(L62)&lt;=1.96*O62,"Yes","No"))</f>
        <v>Yes</v>
      </c>
      <c r="T62" s="54" t="n">
        <f aca="false">IF(D62="","",ROUND(SQRT(((D62+G62)*O62/100)^2+(J62*(D62+G62)*0.0639)^2),0))</f>
        <v>538</v>
      </c>
      <c r="U62" s="32"/>
    </row>
    <row r="63" customFormat="false" ht="15" hidden="false" customHeight="false" outlineLevel="0" collapsed="false">
      <c r="A63" s="32" t="s">
        <v>188</v>
      </c>
      <c r="B63" s="32" t="s">
        <v>198</v>
      </c>
      <c r="C63" s="32" t="s">
        <v>129</v>
      </c>
      <c r="D63" s="54" t="n">
        <v>5437</v>
      </c>
      <c r="E63" s="54" t="n">
        <v>5038</v>
      </c>
      <c r="F63" s="65" t="n">
        <f aca="false">IF(E63="","",D63-E63)</f>
        <v>399</v>
      </c>
      <c r="G63" s="54" t="n">
        <v>4518</v>
      </c>
      <c r="H63" s="54" t="n">
        <v>4815</v>
      </c>
      <c r="I63" s="65" t="n">
        <f aca="false">IF(H63="","",G63-H63)</f>
        <v>-297</v>
      </c>
      <c r="J63" s="55" t="n">
        <f aca="false">IF(OR(D63="",D63+G63=0),"",D63/(D63+G63))</f>
        <v>0.546157709693621</v>
      </c>
      <c r="K63" s="55" t="n">
        <f aca="false">IF(E63="","",E63/(E63+H63))</f>
        <v>0.511316350350147</v>
      </c>
      <c r="L63" s="66" t="n">
        <f aca="false">IF(OR(K63="",J63=""),"",(J63-K63)*100)</f>
        <v>3.48413593434742</v>
      </c>
      <c r="M63" s="36" t="n">
        <v>1.87671567400173</v>
      </c>
      <c r="N63" s="36" t="n">
        <v>1.11847588838557</v>
      </c>
      <c r="O63" s="36" t="n">
        <f aca="false">SQRT(M63^2+N63^2)</f>
        <v>2.18473111250415</v>
      </c>
      <c r="P63" s="55" t="n">
        <f aca="false">IF(J63="","",MAX(0,J63-1.96*O63/100))</f>
        <v>0.50333697988854</v>
      </c>
      <c r="Q63" s="55" t="n">
        <f aca="false">IF(J63="","",MIN(1,J63+1.96*O63/100))</f>
        <v>0.588978439498703</v>
      </c>
      <c r="R63" s="32" t="str">
        <f aca="false">IF(L63="","",IF(ABS(L63)&lt;=O63,"Yes","No"))</f>
        <v>No</v>
      </c>
      <c r="S63" s="32" t="str">
        <f aca="false">IF(L63="","",IF(ABS(L63)&lt;=1.96*O63,"Yes","No"))</f>
        <v>Yes</v>
      </c>
      <c r="T63" s="54" t="n">
        <f aca="false">IF(D63="","",ROUND(SQRT(((D63+G63)*O63/100)^2+(J63*(D63+G63)*0.0639)^2),0))</f>
        <v>410</v>
      </c>
      <c r="U63" s="32"/>
    </row>
    <row r="64" customFormat="false" ht="15" hidden="false" customHeight="false" outlineLevel="0" collapsed="false">
      <c r="A64" s="32" t="s">
        <v>188</v>
      </c>
      <c r="B64" s="32" t="s">
        <v>199</v>
      </c>
      <c r="C64" s="32" t="s">
        <v>129</v>
      </c>
      <c r="D64" s="54" t="n">
        <v>747</v>
      </c>
      <c r="E64" s="54" t="n">
        <v>768</v>
      </c>
      <c r="F64" s="65" t="n">
        <f aca="false">IF(E64="","",D64-E64)</f>
        <v>-21</v>
      </c>
      <c r="G64" s="54" t="n">
        <v>416</v>
      </c>
      <c r="H64" s="54" t="n">
        <v>460</v>
      </c>
      <c r="I64" s="65" t="n">
        <f aca="false">IF(H64="","",G64-H64)</f>
        <v>-44</v>
      </c>
      <c r="J64" s="55" t="n">
        <f aca="false">IF(OR(D64="",D64+G64=0),"",D64/(D64+G64))</f>
        <v>0.642304385210662</v>
      </c>
      <c r="K64" s="55" t="n">
        <f aca="false">IF(E64="","",E64/(E64+H64))</f>
        <v>0.625407166123778</v>
      </c>
      <c r="L64" s="66" t="n">
        <f aca="false">IF(OR(K64="",J64=""),"",(J64-K64)*100)</f>
        <v>1.68972190868837</v>
      </c>
      <c r="M64" s="36" t="n">
        <v>3.35256345132454</v>
      </c>
      <c r="N64" s="36" t="n">
        <v>1.11847588838557</v>
      </c>
      <c r="O64" s="36" t="n">
        <f aca="false">SQRT(M64^2+N64^2)</f>
        <v>3.5342141995155</v>
      </c>
      <c r="P64" s="55" t="n">
        <f aca="false">IF(J64="","",MAX(0,J64-1.96*O64/100))</f>
        <v>0.573033786900158</v>
      </c>
      <c r="Q64" s="55" t="n">
        <f aca="false">IF(J64="","",MIN(1,J64+1.96*O64/100))</f>
        <v>0.711574983521166</v>
      </c>
      <c r="R64" s="32" t="str">
        <f aca="false">IF(L64="","",IF(ABS(L64)&lt;=O64,"Yes","No"))</f>
        <v>Yes</v>
      </c>
      <c r="S64" s="32" t="str">
        <f aca="false">IF(L64="","",IF(ABS(L64)&lt;=1.96*O64,"Yes","No"))</f>
        <v>Yes</v>
      </c>
      <c r="T64" s="54" t="n">
        <f aca="false">IF(D64="","",ROUND(SQRT(((D64+G64)*O64/100)^2+(J64*(D64+G64)*0.09092)^2),0))</f>
        <v>79</v>
      </c>
      <c r="U64" s="32"/>
    </row>
    <row r="65" customFormat="false" ht="15" hidden="false" customHeight="false" outlineLevel="0" collapsed="false">
      <c r="A65" s="32" t="s">
        <v>188</v>
      </c>
      <c r="B65" s="32" t="s">
        <v>200</v>
      </c>
      <c r="C65" s="32" t="s">
        <v>129</v>
      </c>
      <c r="D65" s="54" t="n">
        <v>117</v>
      </c>
      <c r="E65" s="54" t="n">
        <v>101</v>
      </c>
      <c r="F65" s="65" t="n">
        <f aca="false">IF(E65="","",D65-E65)</f>
        <v>16</v>
      </c>
      <c r="G65" s="54" t="n">
        <v>85</v>
      </c>
      <c r="H65" s="54" t="n">
        <v>100</v>
      </c>
      <c r="I65" s="65" t="n">
        <f aca="false">IF(H65="","",G65-H65)</f>
        <v>-15</v>
      </c>
      <c r="J65" s="55" t="n">
        <f aca="false">IF(OR(D65="",D65+G65=0),"",D65/(D65+G65))</f>
        <v>0.579207920792079</v>
      </c>
      <c r="K65" s="55" t="n">
        <f aca="false">IF(E65="","",E65/(E65+H65))</f>
        <v>0.502487562189055</v>
      </c>
      <c r="L65" s="66" t="n">
        <f aca="false">IF(OR(K65="",J65=""),"",(J65-K65)*100)</f>
        <v>7.67203586030244</v>
      </c>
      <c r="M65" s="36" t="n">
        <v>3.35256345132454</v>
      </c>
      <c r="N65" s="36" t="n">
        <v>1.11847588838557</v>
      </c>
      <c r="O65" s="36" t="n">
        <f aca="false">SQRT(M65^2+N65^2)</f>
        <v>3.5342141995155</v>
      </c>
      <c r="P65" s="55" t="n">
        <f aca="false">IF(J65="","",MAX(0,J65-1.96*O65/100))</f>
        <v>0.509937322481575</v>
      </c>
      <c r="Q65" s="55" t="n">
        <f aca="false">IF(J65="","",MIN(1,J65+1.96*O65/100))</f>
        <v>0.648478519102583</v>
      </c>
      <c r="R65" s="32" t="str">
        <f aca="false">IF(L65="","",IF(ABS(L65)&lt;=O65,"Yes","No"))</f>
        <v>No</v>
      </c>
      <c r="S65" s="32" t="str">
        <f aca="false">IF(L65="","",IF(ABS(L65)&lt;=1.96*O65,"Yes","No"))</f>
        <v>No</v>
      </c>
      <c r="T65" s="54" t="n">
        <f aca="false">IF(D65="","",ROUND(SQRT(((D65+G65)*O65/100)^2+(J65*(D65+G65)*0.09092)^2),0))</f>
        <v>13</v>
      </c>
      <c r="U65" s="32"/>
    </row>
    <row r="66" customFormat="false" ht="15" hidden="false" customHeight="false" outlineLevel="0" collapsed="false">
      <c r="A66" s="32" t="s">
        <v>188</v>
      </c>
      <c r="B66" s="32" t="s">
        <v>166</v>
      </c>
      <c r="C66" s="32" t="s">
        <v>129</v>
      </c>
      <c r="D66" s="54" t="n">
        <v>4393</v>
      </c>
      <c r="E66" s="54" t="n">
        <v>4234</v>
      </c>
      <c r="F66" s="65" t="n">
        <f aca="false">IF(E66="","",D66-E66)</f>
        <v>159</v>
      </c>
      <c r="G66" s="54" t="n">
        <v>3552</v>
      </c>
      <c r="H66" s="54" t="n">
        <v>3699</v>
      </c>
      <c r="I66" s="65" t="n">
        <f aca="false">IF(H66="","",G66-H66)</f>
        <v>-147</v>
      </c>
      <c r="J66" s="55" t="n">
        <f aca="false">IF(OR(D66="",D66+G66=0),"",D66/(D66+G66))</f>
        <v>0.5529263687854</v>
      </c>
      <c r="K66" s="55" t="n">
        <f aca="false">IF(E66="","",E66/(E66+H66))</f>
        <v>0.533719904197655</v>
      </c>
      <c r="L66" s="66" t="n">
        <f aca="false">IF(OR(K66="",J66=""),"",(J66-K66)*100)</f>
        <v>1.92064645877442</v>
      </c>
      <c r="M66" s="36" t="n">
        <v>1.87671567400173</v>
      </c>
      <c r="N66" s="36" t="n">
        <v>1.11847588838557</v>
      </c>
      <c r="O66" s="36" t="n">
        <f aca="false">SQRT(M66^2+N66^2)</f>
        <v>2.18473111250415</v>
      </c>
      <c r="P66" s="55" t="n">
        <f aca="false">IF(J66="","",MAX(0,J66-1.96*O66/100))</f>
        <v>0.510105638980318</v>
      </c>
      <c r="Q66" s="55" t="n">
        <f aca="false">IF(J66="","",MIN(1,J66+1.96*O66/100))</f>
        <v>0.595747098590481</v>
      </c>
      <c r="R66" s="32" t="str">
        <f aca="false">IF(L66="","",IF(ABS(L66)&lt;=O66,"Yes","No"))</f>
        <v>Yes</v>
      </c>
      <c r="S66" s="32" t="str">
        <f aca="false">IF(L66="","",IF(ABS(L66)&lt;=1.96*O66,"Yes","No"))</f>
        <v>Yes</v>
      </c>
      <c r="T66" s="54" t="n">
        <f aca="false">IF(D66="","",ROUND(SQRT(((D66+G66)*O66/100)^2+(J66*(D66+G66)*0.0639)^2),0))</f>
        <v>330</v>
      </c>
      <c r="U66" s="32"/>
    </row>
    <row r="67" customFormat="false" ht="15" hidden="false" customHeight="false" outlineLevel="0" collapsed="false">
      <c r="A67" s="32" t="s">
        <v>188</v>
      </c>
      <c r="B67" s="32" t="s">
        <v>201</v>
      </c>
      <c r="C67" s="32" t="s">
        <v>129</v>
      </c>
      <c r="D67" s="54" t="n">
        <v>1831</v>
      </c>
      <c r="E67" s="54" t="n">
        <v>1646</v>
      </c>
      <c r="F67" s="65" t="n">
        <f aca="false">IF(E67="","",D67-E67)</f>
        <v>185</v>
      </c>
      <c r="G67" s="54" t="n">
        <v>1474</v>
      </c>
      <c r="H67" s="54" t="n">
        <v>1608</v>
      </c>
      <c r="I67" s="65" t="n">
        <f aca="false">IF(H67="","",G67-H67)</f>
        <v>-134</v>
      </c>
      <c r="J67" s="55" t="n">
        <f aca="false">IF(OR(D67="",D67+G67=0),"",D67/(D67+G67))</f>
        <v>0.554009077155825</v>
      </c>
      <c r="K67" s="55" t="n">
        <f aca="false">IF(E67="","",E67/(E67+H67))</f>
        <v>0.505838967424708</v>
      </c>
      <c r="L67" s="66" t="n">
        <f aca="false">IF(OR(K67="",J67=""),"",(J67-K67)*100)</f>
        <v>4.81701097311165</v>
      </c>
      <c r="M67" s="36" t="n">
        <v>1.87220867946189</v>
      </c>
      <c r="N67" s="36" t="n">
        <v>1.11847588838557</v>
      </c>
      <c r="O67" s="36" t="n">
        <f aca="false">SQRT(M67^2+N67^2)</f>
        <v>2.18086075950583</v>
      </c>
      <c r="P67" s="55" t="n">
        <f aca="false">IF(J67="","",MAX(0,J67-1.96*O67/100))</f>
        <v>0.51126420626951</v>
      </c>
      <c r="Q67" s="55" t="n">
        <f aca="false">IF(J67="","",MIN(1,J67+1.96*O67/100))</f>
        <v>0.596753948042139</v>
      </c>
      <c r="R67" s="32" t="str">
        <f aca="false">IF(L67="","",IF(ABS(L67)&lt;=O67,"Yes","No"))</f>
        <v>No</v>
      </c>
      <c r="S67" s="32" t="str">
        <f aca="false">IF(L67="","",IF(ABS(L67)&lt;=1.96*O67,"Yes","No"))</f>
        <v>No</v>
      </c>
      <c r="T67" s="54" t="n">
        <f aca="false">IF(D67="","",ROUND(SQRT(((D67+G67)*O67/100)^2+(J67*(D67+G67)*0.06991)^2),0))</f>
        <v>147</v>
      </c>
      <c r="U67" s="32"/>
    </row>
    <row r="68" customFormat="false" ht="15" hidden="false" customHeight="false" outlineLevel="0" collapsed="false">
      <c r="A68" s="32" t="s">
        <v>188</v>
      </c>
      <c r="B68" s="32" t="s">
        <v>202</v>
      </c>
      <c r="C68" s="32" t="s">
        <v>129</v>
      </c>
      <c r="D68" s="54" t="n">
        <v>2409</v>
      </c>
      <c r="E68" s="54" t="n">
        <v>2137</v>
      </c>
      <c r="F68" s="65" t="n">
        <f aca="false">IF(E68="","",D68-E68)</f>
        <v>272</v>
      </c>
      <c r="G68" s="54" t="n">
        <v>4018</v>
      </c>
      <c r="H68" s="54" t="n">
        <v>4258</v>
      </c>
      <c r="I68" s="65" t="n">
        <f aca="false">IF(H68="","",G68-H68)</f>
        <v>-240</v>
      </c>
      <c r="J68" s="55" t="n">
        <f aca="false">IF(OR(D68="",D68+G68=0),"",D68/(D68+G68))</f>
        <v>0.374824957211763</v>
      </c>
      <c r="K68" s="55" t="n">
        <f aca="false">IF(E68="","",E68/(E68+H68))</f>
        <v>0.334167318217357</v>
      </c>
      <c r="L68" s="66" t="n">
        <f aca="false">IF(OR(K68="",J68=""),"",(J68-K68)*100)</f>
        <v>4.06576389944056</v>
      </c>
      <c r="M68" s="36" t="n">
        <v>1.87671567400173</v>
      </c>
      <c r="N68" s="36" t="n">
        <v>1.11847588838557</v>
      </c>
      <c r="O68" s="36" t="n">
        <f aca="false">SQRT(M68^2+N68^2)</f>
        <v>2.18473111250415</v>
      </c>
      <c r="P68" s="55" t="n">
        <f aca="false">IF(J68="","",MAX(0,J68-1.96*O68/100))</f>
        <v>0.332004227406681</v>
      </c>
      <c r="Q68" s="55" t="n">
        <f aca="false">IF(J68="","",MIN(1,J68+1.96*O68/100))</f>
        <v>0.417645687016844</v>
      </c>
      <c r="R68" s="32" t="str">
        <f aca="false">IF(L68="","",IF(ABS(L68)&lt;=O68,"Yes","No"))</f>
        <v>No</v>
      </c>
      <c r="S68" s="32" t="str">
        <f aca="false">IF(L68="","",IF(ABS(L68)&lt;=1.96*O68,"Yes","No"))</f>
        <v>Yes</v>
      </c>
      <c r="T68" s="54" t="n">
        <f aca="false">IF(D68="","",ROUND(SQRT(((D68+G68)*O68/100)^2+(J68*(D68+G68)*0.0639)^2),0))</f>
        <v>208</v>
      </c>
      <c r="U68" s="32"/>
    </row>
    <row r="69" customFormat="false" ht="15" hidden="false" customHeight="false" outlineLevel="0" collapsed="false">
      <c r="A69" s="32" t="s">
        <v>188</v>
      </c>
      <c r="B69" s="32" t="s">
        <v>203</v>
      </c>
      <c r="C69" s="32" t="s">
        <v>129</v>
      </c>
      <c r="D69" s="54" t="n">
        <v>684</v>
      </c>
      <c r="E69" s="54" t="n">
        <v>580</v>
      </c>
      <c r="F69" s="65" t="n">
        <f aca="false">IF(E69="","",D69-E69)</f>
        <v>104</v>
      </c>
      <c r="G69" s="54" t="n">
        <v>1101</v>
      </c>
      <c r="H69" s="54" t="n">
        <v>1159</v>
      </c>
      <c r="I69" s="65" t="n">
        <f aca="false">IF(H69="","",G69-H69)</f>
        <v>-58</v>
      </c>
      <c r="J69" s="55" t="n">
        <f aca="false">IF(OR(D69="",D69+G69=0),"",D69/(D69+G69))</f>
        <v>0.383193277310924</v>
      </c>
      <c r="K69" s="55" t="n">
        <f aca="false">IF(E69="","",E69/(E69+H69))</f>
        <v>0.333525014376078</v>
      </c>
      <c r="L69" s="66" t="n">
        <f aca="false">IF(OR(K69="",J69=""),"",(J69-K69)*100)</f>
        <v>4.96682629348462</v>
      </c>
      <c r="M69" s="36" t="n">
        <v>1.87220867946189</v>
      </c>
      <c r="N69" s="36" t="n">
        <v>1.11847588838557</v>
      </c>
      <c r="O69" s="36" t="n">
        <f aca="false">SQRT(M69^2+N69^2)</f>
        <v>2.18086075950583</v>
      </c>
      <c r="P69" s="55" t="n">
        <f aca="false">IF(J69="","",MAX(0,J69-1.96*O69/100))</f>
        <v>0.34044840642461</v>
      </c>
      <c r="Q69" s="55" t="n">
        <f aca="false">IF(J69="","",MIN(1,J69+1.96*O69/100))</f>
        <v>0.425938148197239</v>
      </c>
      <c r="R69" s="32" t="str">
        <f aca="false">IF(L69="","",IF(ABS(L69)&lt;=O69,"Yes","No"))</f>
        <v>No</v>
      </c>
      <c r="S69" s="32" t="str">
        <f aca="false">IF(L69="","",IF(ABS(L69)&lt;=1.96*O69,"Yes","No"))</f>
        <v>No</v>
      </c>
      <c r="T69" s="54" t="n">
        <f aca="false">IF(D69="","",ROUND(SQRT(((D69+G69)*O69/100)^2+(J69*(D69+G69)*0.06991)^2),0))</f>
        <v>62</v>
      </c>
      <c r="U69" s="32"/>
    </row>
    <row r="70" customFormat="false" ht="15" hidden="false" customHeight="false" outlineLevel="0" collapsed="false">
      <c r="A70" s="32" t="s">
        <v>188</v>
      </c>
      <c r="B70" s="32" t="s">
        <v>204</v>
      </c>
      <c r="C70" s="32" t="s">
        <v>129</v>
      </c>
      <c r="D70" s="54" t="n">
        <v>2008</v>
      </c>
      <c r="E70" s="54" t="n">
        <v>1879</v>
      </c>
      <c r="F70" s="65" t="n">
        <f aca="false">IF(E70="","",D70-E70)</f>
        <v>129</v>
      </c>
      <c r="G70" s="54" t="n">
        <v>2427</v>
      </c>
      <c r="H70" s="54" t="n">
        <v>2565</v>
      </c>
      <c r="I70" s="65" t="n">
        <f aca="false">IF(H70="","",G70-H70)</f>
        <v>-138</v>
      </c>
      <c r="J70" s="55" t="n">
        <f aca="false">IF(OR(D70="",D70+G70=0),"",D70/(D70+G70))</f>
        <v>0.452762119503946</v>
      </c>
      <c r="K70" s="55" t="n">
        <f aca="false">IF(E70="","",E70/(E70+H70))</f>
        <v>0.422817281728173</v>
      </c>
      <c r="L70" s="66" t="n">
        <f aca="false">IF(OR(K70="",J70=""),"",(J70-K70)*100)</f>
        <v>2.99448377757731</v>
      </c>
      <c r="M70" s="36" t="n">
        <v>1.87671567400173</v>
      </c>
      <c r="N70" s="36" t="n">
        <v>1.11847588838557</v>
      </c>
      <c r="O70" s="36" t="n">
        <f aca="false">SQRT(M70^2+N70^2)</f>
        <v>2.18473111250415</v>
      </c>
      <c r="P70" s="55" t="n">
        <f aca="false">IF(J70="","",MAX(0,J70-1.96*O70/100))</f>
        <v>0.409941389698864</v>
      </c>
      <c r="Q70" s="55" t="n">
        <f aca="false">IF(J70="","",MIN(1,J70+1.96*O70/100))</f>
        <v>0.495582849309027</v>
      </c>
      <c r="R70" s="32" t="str">
        <f aca="false">IF(L70="","",IF(ABS(L70)&lt;=O70,"Yes","No"))</f>
        <v>No</v>
      </c>
      <c r="S70" s="32" t="str">
        <f aca="false">IF(L70="","",IF(ABS(L70)&lt;=1.96*O70,"Yes","No"))</f>
        <v>Yes</v>
      </c>
      <c r="T70" s="54" t="n">
        <f aca="false">IF(D70="","",ROUND(SQRT(((D70+G70)*O70/100)^2+(J70*(D70+G70)*0.0639)^2),0))</f>
        <v>161</v>
      </c>
      <c r="U70" s="32"/>
    </row>
    <row r="71" customFormat="false" ht="15" hidden="false" customHeight="false" outlineLevel="0" collapsed="false">
      <c r="A71" s="32" t="s">
        <v>188</v>
      </c>
      <c r="B71" s="32" t="s">
        <v>205</v>
      </c>
      <c r="C71" s="32" t="s">
        <v>129</v>
      </c>
      <c r="D71" s="54" t="n">
        <v>3531</v>
      </c>
      <c r="E71" s="54" t="n">
        <v>3370</v>
      </c>
      <c r="F71" s="65" t="n">
        <f aca="false">IF(E71="","",D71-E71)</f>
        <v>161</v>
      </c>
      <c r="G71" s="54" t="n">
        <v>3709</v>
      </c>
      <c r="H71" s="54" t="n">
        <v>3831</v>
      </c>
      <c r="I71" s="65" t="n">
        <f aca="false">IF(H71="","",G71-H71)</f>
        <v>-122</v>
      </c>
      <c r="J71" s="55" t="n">
        <f aca="false">IF(OR(D71="",D71+G71=0),"",D71/(D71+G71))</f>
        <v>0.487707182320442</v>
      </c>
      <c r="K71" s="55" t="n">
        <f aca="false">IF(E71="","",E71/(E71+H71))</f>
        <v>0.467990556867102</v>
      </c>
      <c r="L71" s="66" t="n">
        <f aca="false">IF(OR(K71="",J71=""),"",(J71-K71)*100)</f>
        <v>1.97166254533402</v>
      </c>
      <c r="M71" s="36" t="n">
        <v>1.87671567400173</v>
      </c>
      <c r="N71" s="36" t="n">
        <v>1.11847588838557</v>
      </c>
      <c r="O71" s="36" t="n">
        <f aca="false">SQRT(M71^2+N71^2)</f>
        <v>2.18473111250415</v>
      </c>
      <c r="P71" s="55" t="n">
        <f aca="false">IF(J71="","",MAX(0,J71-1.96*O71/100))</f>
        <v>0.444886452515361</v>
      </c>
      <c r="Q71" s="55" t="n">
        <f aca="false">IF(J71="","",MIN(1,J71+1.96*O71/100))</f>
        <v>0.530527912125523</v>
      </c>
      <c r="R71" s="32" t="str">
        <f aca="false">IF(L71="","",IF(ABS(L71)&lt;=O71,"Yes","No"))</f>
        <v>Yes</v>
      </c>
      <c r="S71" s="32" t="str">
        <f aca="false">IF(L71="","",IF(ABS(L71)&lt;=1.96*O71,"Yes","No"))</f>
        <v>Yes</v>
      </c>
      <c r="T71" s="54" t="n">
        <f aca="false">IF(D71="","",ROUND(SQRT(((D71+G71)*O71/100)^2+(J71*(D71+G71)*0.0639)^2),0))</f>
        <v>276</v>
      </c>
      <c r="U71" s="32"/>
    </row>
    <row r="72" customFormat="false" ht="15" hidden="false" customHeight="false" outlineLevel="0" collapsed="false">
      <c r="A72" s="32" t="s">
        <v>188</v>
      </c>
      <c r="B72" s="32" t="s">
        <v>206</v>
      </c>
      <c r="C72" s="32" t="s">
        <v>129</v>
      </c>
      <c r="D72" s="54" t="n">
        <v>2188</v>
      </c>
      <c r="E72" s="54" t="n">
        <v>1920</v>
      </c>
      <c r="F72" s="65" t="n">
        <f aca="false">IF(E72="","",D72-E72)</f>
        <v>268</v>
      </c>
      <c r="G72" s="54" t="n">
        <v>3709</v>
      </c>
      <c r="H72" s="54" t="n">
        <v>3865</v>
      </c>
      <c r="I72" s="65" t="n">
        <f aca="false">IF(H72="","",G72-H72)</f>
        <v>-156</v>
      </c>
      <c r="J72" s="55" t="n">
        <f aca="false">IF(OR(D72="",D72+G72=0),"",D72/(D72+G72))</f>
        <v>0.371036120061048</v>
      </c>
      <c r="K72" s="55" t="n">
        <f aca="false">IF(E72="","",E72/(E72+H72))</f>
        <v>0.331892826274849</v>
      </c>
      <c r="L72" s="66" t="n">
        <f aca="false">IF(OR(K72="",J72=""),"",(J72-K72)*100)</f>
        <v>3.91432937861992</v>
      </c>
      <c r="M72" s="36" t="n">
        <v>1.87671567400173</v>
      </c>
      <c r="N72" s="36" t="n">
        <v>1.11847588838557</v>
      </c>
      <c r="O72" s="36" t="n">
        <f aca="false">SQRT(M72^2+N72^2)</f>
        <v>2.18473111250415</v>
      </c>
      <c r="P72" s="55" t="n">
        <f aca="false">IF(J72="","",MAX(0,J72-1.96*O72/100))</f>
        <v>0.328215390255967</v>
      </c>
      <c r="Q72" s="55" t="n">
        <f aca="false">IF(J72="","",MIN(1,J72+1.96*O72/100))</f>
        <v>0.413856849866129</v>
      </c>
      <c r="R72" s="32" t="str">
        <f aca="false">IF(L72="","",IF(ABS(L72)&lt;=O72,"Yes","No"))</f>
        <v>No</v>
      </c>
      <c r="S72" s="32" t="str">
        <f aca="false">IF(L72="","",IF(ABS(L72)&lt;=1.96*O72,"Yes","No"))</f>
        <v>Yes</v>
      </c>
      <c r="T72" s="54" t="n">
        <f aca="false">IF(D72="","",ROUND(SQRT(((D72+G72)*O72/100)^2+(J72*(D72+G72)*0.0639)^2),0))</f>
        <v>190</v>
      </c>
      <c r="U72" s="32"/>
    </row>
    <row r="73" customFormat="false" ht="15" hidden="false" customHeight="false" outlineLevel="0" collapsed="false">
      <c r="A73" s="32" t="s">
        <v>188</v>
      </c>
      <c r="B73" s="32" t="s">
        <v>207</v>
      </c>
      <c r="C73" s="32" t="s">
        <v>129</v>
      </c>
      <c r="D73" s="54" t="n">
        <v>1706</v>
      </c>
      <c r="E73" s="54" t="n">
        <v>1490</v>
      </c>
      <c r="F73" s="65" t="n">
        <f aca="false">IF(E73="","",D73-E73)</f>
        <v>216</v>
      </c>
      <c r="G73" s="54" t="n">
        <v>1503</v>
      </c>
      <c r="H73" s="54" t="n">
        <v>1627</v>
      </c>
      <c r="I73" s="65" t="n">
        <f aca="false">IF(H73="","",G73-H73)</f>
        <v>-124</v>
      </c>
      <c r="J73" s="55" t="n">
        <f aca="false">IF(OR(D73="",D73+G73=0),"",D73/(D73+G73))</f>
        <v>0.531629791212216</v>
      </c>
      <c r="K73" s="55" t="n">
        <f aca="false">IF(E73="","",E73/(E73+H73))</f>
        <v>0.478023740776388</v>
      </c>
      <c r="L73" s="66" t="n">
        <f aca="false">IF(OR(K73="",J73=""),"",(J73-K73)*100)</f>
        <v>5.36060504358281</v>
      </c>
      <c r="M73" s="36" t="n">
        <v>1.87220867946189</v>
      </c>
      <c r="N73" s="36" t="n">
        <v>1.11847588838557</v>
      </c>
      <c r="O73" s="36" t="n">
        <f aca="false">SQRT(M73^2+N73^2)</f>
        <v>2.18086075950583</v>
      </c>
      <c r="P73" s="55" t="n">
        <f aca="false">IF(J73="","",MAX(0,J73-1.96*O73/100))</f>
        <v>0.488884920325902</v>
      </c>
      <c r="Q73" s="55" t="n">
        <f aca="false">IF(J73="","",MIN(1,J73+1.96*O73/100))</f>
        <v>0.57437466209853</v>
      </c>
      <c r="R73" s="32" t="str">
        <f aca="false">IF(L73="","",IF(ABS(L73)&lt;=O73,"Yes","No"))</f>
        <v>No</v>
      </c>
      <c r="S73" s="32" t="str">
        <f aca="false">IF(L73="","",IF(ABS(L73)&lt;=1.96*O73,"Yes","No"))</f>
        <v>No</v>
      </c>
      <c r="T73" s="54" t="n">
        <f aca="false">IF(D73="","",ROUND(SQRT(((D73+G73)*O73/100)^2+(J73*(D73+G73)*0.06991)^2),0))</f>
        <v>138</v>
      </c>
      <c r="U73" s="32"/>
    </row>
    <row r="74" customFormat="false" ht="15" hidden="false" customHeight="false" outlineLevel="0" collapsed="false">
      <c r="A74" s="32" t="s">
        <v>188</v>
      </c>
      <c r="B74" s="32" t="s">
        <v>208</v>
      </c>
      <c r="C74" s="32" t="s">
        <v>129</v>
      </c>
      <c r="D74" s="54" t="n">
        <v>801</v>
      </c>
      <c r="E74" s="54" t="n">
        <v>731</v>
      </c>
      <c r="F74" s="65" t="n">
        <f aca="false">IF(E74="","",D74-E74)</f>
        <v>70</v>
      </c>
      <c r="G74" s="54" t="n">
        <v>738</v>
      </c>
      <c r="H74" s="54" t="n">
        <v>843</v>
      </c>
      <c r="I74" s="65" t="n">
        <f aca="false">IF(H74="","",G74-H74)</f>
        <v>-105</v>
      </c>
      <c r="J74" s="55" t="n">
        <f aca="false">IF(OR(D74="",D74+G74=0),"",D74/(D74+G74))</f>
        <v>0.52046783625731</v>
      </c>
      <c r="K74" s="55" t="n">
        <f aca="false">IF(E74="","",E74/(E74+H74))</f>
        <v>0.464421855146125</v>
      </c>
      <c r="L74" s="66" t="n">
        <f aca="false">IF(OR(K74="",J74=""),"",(J74-K74)*100)</f>
        <v>5.60459811111855</v>
      </c>
      <c r="M74" s="36" t="n">
        <v>1.87220867946189</v>
      </c>
      <c r="N74" s="36" t="n">
        <v>1.11847588838557</v>
      </c>
      <c r="O74" s="36" t="n">
        <f aca="false">SQRT(M74^2+N74^2)</f>
        <v>2.18086075950583</v>
      </c>
      <c r="P74" s="55" t="n">
        <f aca="false">IF(J74="","",MAX(0,J74-1.96*O74/100))</f>
        <v>0.477722965370996</v>
      </c>
      <c r="Q74" s="55" t="n">
        <f aca="false">IF(J74="","",MIN(1,J74+1.96*O74/100))</f>
        <v>0.563212707143624</v>
      </c>
      <c r="R74" s="32" t="str">
        <f aca="false">IF(L74="","",IF(ABS(L74)&lt;=O74,"Yes","No"))</f>
        <v>No</v>
      </c>
      <c r="S74" s="32" t="str">
        <f aca="false">IF(L74="","",IF(ABS(L74)&lt;=1.96*O74,"Yes","No"))</f>
        <v>No</v>
      </c>
      <c r="T74" s="54" t="n">
        <f aca="false">IF(D74="","",ROUND(SQRT(((D74+G74)*O74/100)^2+(J74*(D74+G74)*0.06991)^2),0))</f>
        <v>65</v>
      </c>
      <c r="U74" s="32"/>
    </row>
    <row r="75" customFormat="false" ht="15" hidden="false" customHeight="false" outlineLevel="0" collapsed="false">
      <c r="A75" s="32" t="s">
        <v>188</v>
      </c>
      <c r="B75" s="32" t="s">
        <v>209</v>
      </c>
      <c r="C75" s="32" t="s">
        <v>129</v>
      </c>
      <c r="D75" s="54" t="n">
        <v>2666</v>
      </c>
      <c r="E75" s="54" t="n">
        <v>2355</v>
      </c>
      <c r="F75" s="65" t="n">
        <f aca="false">IF(E75="","",D75-E75)</f>
        <v>311</v>
      </c>
      <c r="G75" s="54" t="n">
        <v>2523</v>
      </c>
      <c r="H75" s="54" t="n">
        <v>2934</v>
      </c>
      <c r="I75" s="65" t="n">
        <f aca="false">IF(H75="","",G75-H75)</f>
        <v>-411</v>
      </c>
      <c r="J75" s="55" t="n">
        <f aca="false">IF(OR(D75="",D75+G75=0),"",D75/(D75+G75))</f>
        <v>0.513779148198111</v>
      </c>
      <c r="K75" s="55" t="n">
        <f aca="false">IF(E75="","",E75/(E75+H75))</f>
        <v>0.445263754963131</v>
      </c>
      <c r="L75" s="66" t="n">
        <f aca="false">IF(OR(K75="",J75=""),"",(J75-K75)*100)</f>
        <v>6.85153932349804</v>
      </c>
      <c r="M75" s="36" t="n">
        <v>1.87671567400173</v>
      </c>
      <c r="N75" s="36" t="n">
        <v>1.11847588838557</v>
      </c>
      <c r="O75" s="36" t="n">
        <f aca="false">SQRT(M75^2+N75^2)</f>
        <v>2.18473111250415</v>
      </c>
      <c r="P75" s="55" t="n">
        <f aca="false">IF(J75="","",MAX(0,J75-1.96*O75/100))</f>
        <v>0.47095841839303</v>
      </c>
      <c r="Q75" s="55" t="n">
        <f aca="false">IF(J75="","",MIN(1,J75+1.96*O75/100))</f>
        <v>0.556599878003193</v>
      </c>
      <c r="R75" s="32" t="str">
        <f aca="false">IF(L75="","",IF(ABS(L75)&lt;=O75,"Yes","No"))</f>
        <v>No</v>
      </c>
      <c r="S75" s="32" t="str">
        <f aca="false">IF(L75="","",IF(ABS(L75)&lt;=1.96*O75,"Yes","No"))</f>
        <v>No</v>
      </c>
      <c r="T75" s="54" t="n">
        <f aca="false">IF(D75="","",ROUND(SQRT(((D75+G75)*O75/100)^2+(J75*(D75+G75)*0.0639)^2),0))</f>
        <v>205</v>
      </c>
      <c r="U75" s="32"/>
    </row>
    <row r="76" customFormat="false" ht="15" hidden="false" customHeight="false" outlineLevel="0" collapsed="false">
      <c r="A76" s="32" t="s">
        <v>188</v>
      </c>
      <c r="B76" s="32" t="s">
        <v>210</v>
      </c>
      <c r="C76" s="32" t="s">
        <v>129</v>
      </c>
      <c r="D76" s="54" t="n">
        <v>7297</v>
      </c>
      <c r="E76" s="54" t="n">
        <v>6698</v>
      </c>
      <c r="F76" s="65" t="n">
        <f aca="false">IF(E76="","",D76-E76)</f>
        <v>599</v>
      </c>
      <c r="G76" s="54" t="n">
        <v>5950</v>
      </c>
      <c r="H76" s="54" t="n">
        <v>6630</v>
      </c>
      <c r="I76" s="65" t="n">
        <f aca="false">IF(H76="","",G76-H76)</f>
        <v>-680</v>
      </c>
      <c r="J76" s="55" t="n">
        <f aca="false">IF(OR(D76="",D76+G76=0),"",D76/(D76+G76))</f>
        <v>0.550841700007549</v>
      </c>
      <c r="K76" s="55" t="n">
        <f aca="false">IF(E76="","",E76/(E76+H76))</f>
        <v>0.502551020408163</v>
      </c>
      <c r="L76" s="66" t="n">
        <f aca="false">IF(OR(K76="",J76=""),"",(J76-K76)*100)</f>
        <v>4.82906795993856</v>
      </c>
      <c r="M76" s="36" t="n">
        <v>1.87671567400173</v>
      </c>
      <c r="N76" s="36" t="n">
        <v>1.11847588838557</v>
      </c>
      <c r="O76" s="36" t="n">
        <f aca="false">SQRT(M76^2+N76^2)</f>
        <v>2.18473111250415</v>
      </c>
      <c r="P76" s="55" t="n">
        <f aca="false">IF(J76="","",MAX(0,J76-1.96*O76/100))</f>
        <v>0.508020970202467</v>
      </c>
      <c r="Q76" s="55" t="n">
        <f aca="false">IF(J76="","",MIN(1,J76+1.96*O76/100))</f>
        <v>0.59366242981263</v>
      </c>
      <c r="R76" s="32" t="str">
        <f aca="false">IF(L76="","",IF(ABS(L76)&lt;=O76,"Yes","No"))</f>
        <v>No</v>
      </c>
      <c r="S76" s="32" t="str">
        <f aca="false">IF(L76="","",IF(ABS(L76)&lt;=1.96*O76,"Yes","No"))</f>
        <v>No</v>
      </c>
      <c r="T76" s="54" t="n">
        <f aca="false">IF(D76="","",ROUND(SQRT(((D76+G76)*O76/100)^2+(J76*(D76+G76)*0.0639)^2),0))</f>
        <v>549</v>
      </c>
      <c r="U76" s="32"/>
    </row>
    <row r="77" customFormat="false" ht="15" hidden="false" customHeight="false" outlineLevel="0" collapsed="false">
      <c r="A77" s="32" t="s">
        <v>188</v>
      </c>
      <c r="B77" s="32" t="s">
        <v>211</v>
      </c>
      <c r="C77" s="32" t="s">
        <v>129</v>
      </c>
      <c r="D77" s="54" t="n">
        <v>749</v>
      </c>
      <c r="E77" s="54" t="n">
        <v>678</v>
      </c>
      <c r="F77" s="65" t="n">
        <f aca="false">IF(E77="","",D77-E77)</f>
        <v>71</v>
      </c>
      <c r="G77" s="54" t="n">
        <v>1054</v>
      </c>
      <c r="H77" s="54" t="n">
        <v>1089</v>
      </c>
      <c r="I77" s="65" t="n">
        <f aca="false">IF(H77="","",G77-H77)</f>
        <v>-35</v>
      </c>
      <c r="J77" s="55" t="n">
        <f aca="false">IF(OR(D77="",D77+G77=0),"",D77/(D77+G77))</f>
        <v>0.415418746533555</v>
      </c>
      <c r="K77" s="55" t="n">
        <f aca="false">IF(E77="","",E77/(E77+H77))</f>
        <v>0.383701188455009</v>
      </c>
      <c r="L77" s="66" t="n">
        <f aca="false">IF(OR(K77="",J77=""),"",(J77-K77)*100)</f>
        <v>3.17175580785467</v>
      </c>
      <c r="M77" s="36" t="n">
        <v>1.87220867946189</v>
      </c>
      <c r="N77" s="36" t="n">
        <v>1.11847588838557</v>
      </c>
      <c r="O77" s="36" t="n">
        <f aca="false">SQRT(M77^2+N77^2)</f>
        <v>2.18086075950583</v>
      </c>
      <c r="P77" s="55" t="n">
        <f aca="false">IF(J77="","",MAX(0,J77-1.96*O77/100))</f>
        <v>0.372673875647241</v>
      </c>
      <c r="Q77" s="55" t="n">
        <f aca="false">IF(J77="","",MIN(1,J77+1.96*O77/100))</f>
        <v>0.458163617419869</v>
      </c>
      <c r="R77" s="32" t="str">
        <f aca="false">IF(L77="","",IF(ABS(L77)&lt;=O77,"Yes","No"))</f>
        <v>No</v>
      </c>
      <c r="S77" s="32" t="str">
        <f aca="false">IF(L77="","",IF(ABS(L77)&lt;=1.96*O77,"Yes","No"))</f>
        <v>Yes</v>
      </c>
      <c r="T77" s="54" t="n">
        <f aca="false">IF(D77="","",ROUND(SQRT(((D77+G77)*O77/100)^2+(J77*(D77+G77)*0.06991)^2),0))</f>
        <v>65</v>
      </c>
      <c r="U77" s="32"/>
    </row>
    <row r="78" customFormat="false" ht="15" hidden="false" customHeight="false" outlineLevel="0" collapsed="false">
      <c r="A78" s="32" t="s">
        <v>188</v>
      </c>
      <c r="B78" s="32" t="s">
        <v>212</v>
      </c>
      <c r="C78" s="32" t="s">
        <v>129</v>
      </c>
      <c r="D78" s="54" t="n">
        <v>1480</v>
      </c>
      <c r="E78" s="54" t="n">
        <v>1368</v>
      </c>
      <c r="F78" s="65" t="n">
        <f aca="false">IF(E78="","",D78-E78)</f>
        <v>112</v>
      </c>
      <c r="G78" s="54" t="n">
        <v>2380</v>
      </c>
      <c r="H78" s="54" t="n">
        <v>2520</v>
      </c>
      <c r="I78" s="65" t="n">
        <f aca="false">IF(H78="","",G78-H78)</f>
        <v>-140</v>
      </c>
      <c r="J78" s="55" t="n">
        <f aca="false">IF(OR(D78="",D78+G78=0),"",D78/(D78+G78))</f>
        <v>0.383419689119171</v>
      </c>
      <c r="K78" s="55" t="n">
        <f aca="false">IF(E78="","",E78/(E78+H78))</f>
        <v>0.351851851851852</v>
      </c>
      <c r="L78" s="66" t="n">
        <f aca="false">IF(OR(K78="",J78=""),"",(J78-K78)*100)</f>
        <v>3.15678372673191</v>
      </c>
      <c r="M78" s="36" t="n">
        <v>1.87671567400173</v>
      </c>
      <c r="N78" s="36" t="n">
        <v>1.11847588838557</v>
      </c>
      <c r="O78" s="36" t="n">
        <f aca="false">SQRT(M78^2+N78^2)</f>
        <v>2.18473111250415</v>
      </c>
      <c r="P78" s="55" t="n">
        <f aca="false">IF(J78="","",MAX(0,J78-1.96*O78/100))</f>
        <v>0.34059895931409</v>
      </c>
      <c r="Q78" s="55" t="n">
        <f aca="false">IF(J78="","",MIN(1,J78+1.96*O78/100))</f>
        <v>0.426240418924252</v>
      </c>
      <c r="R78" s="32" t="str">
        <f aca="false">IF(L78="","",IF(ABS(L78)&lt;=O78,"Yes","No"))</f>
        <v>No</v>
      </c>
      <c r="S78" s="32" t="str">
        <f aca="false">IF(L78="","",IF(ABS(L78)&lt;=1.96*O78,"Yes","No"))</f>
        <v>Yes</v>
      </c>
      <c r="T78" s="54" t="n">
        <f aca="false">IF(D78="","",ROUND(SQRT(((D78+G78)*O78/100)^2+(J78*(D78+G78)*0.0639)^2),0))</f>
        <v>127</v>
      </c>
      <c r="U78" s="32"/>
    </row>
    <row r="79" customFormat="false" ht="15" hidden="false" customHeight="false" outlineLevel="0" collapsed="false">
      <c r="A79" s="32" t="s">
        <v>188</v>
      </c>
      <c r="B79" s="32" t="s">
        <v>213</v>
      </c>
      <c r="C79" s="32" t="s">
        <v>129</v>
      </c>
      <c r="D79" s="54" t="n">
        <v>94</v>
      </c>
      <c r="E79" s="54" t="n">
        <v>82</v>
      </c>
      <c r="F79" s="65" t="n">
        <f aca="false">IF(E79="","",D79-E79)</f>
        <v>12</v>
      </c>
      <c r="G79" s="54" t="n">
        <v>169</v>
      </c>
      <c r="H79" s="54" t="n">
        <v>171</v>
      </c>
      <c r="I79" s="65" t="n">
        <f aca="false">IF(H79="","",G79-H79)</f>
        <v>-2</v>
      </c>
      <c r="J79" s="55" t="n">
        <f aca="false">IF(OR(D79="",D79+G79=0),"",D79/(D79+G79))</f>
        <v>0.357414448669202</v>
      </c>
      <c r="K79" s="55" t="n">
        <f aca="false">IF(E79="","",E79/(E79+H79))</f>
        <v>0.324110671936759</v>
      </c>
      <c r="L79" s="66" t="n">
        <f aca="false">IF(OR(K79="",J79=""),"",(J79-K79)*100)</f>
        <v>3.33037767324426</v>
      </c>
      <c r="M79" s="36" t="n">
        <v>3.35256345132454</v>
      </c>
      <c r="N79" s="36" t="n">
        <v>1.11847588838557</v>
      </c>
      <c r="O79" s="36" t="n">
        <f aca="false">SQRT(M79^2+N79^2)</f>
        <v>3.5342141995155</v>
      </c>
      <c r="P79" s="55" t="n">
        <f aca="false">IF(J79="","",MAX(0,J79-1.96*O79/100))</f>
        <v>0.288143850358698</v>
      </c>
      <c r="Q79" s="55" t="n">
        <f aca="false">IF(J79="","",MIN(1,J79+1.96*O79/100))</f>
        <v>0.426685046979705</v>
      </c>
      <c r="R79" s="32" t="str">
        <f aca="false">IF(L79="","",IF(ABS(L79)&lt;=O79,"Yes","No"))</f>
        <v>Yes</v>
      </c>
      <c r="S79" s="32" t="str">
        <f aca="false">IF(L79="","",IF(ABS(L79)&lt;=1.96*O79,"Yes","No"))</f>
        <v>Yes</v>
      </c>
      <c r="T79" s="54" t="n">
        <f aca="false">IF(D79="","",ROUND(SQRT(((D79+G79)*O79/100)^2+(J79*(D79+G79)*0.09092)^2),0))</f>
        <v>13</v>
      </c>
      <c r="U79" s="32"/>
    </row>
    <row r="80" customFormat="false" ht="15" hidden="false" customHeight="false" outlineLevel="0" collapsed="false">
      <c r="A80" s="32" t="s">
        <v>188</v>
      </c>
      <c r="B80" s="32" t="s">
        <v>214</v>
      </c>
      <c r="C80" s="32" t="s">
        <v>129</v>
      </c>
      <c r="D80" s="54" t="n">
        <v>385</v>
      </c>
      <c r="E80" s="54" t="n">
        <v>331</v>
      </c>
      <c r="F80" s="65" t="n">
        <f aca="false">IF(E80="","",D80-E80)</f>
        <v>54</v>
      </c>
      <c r="G80" s="54" t="n">
        <v>502</v>
      </c>
      <c r="H80" s="54" t="n">
        <v>571</v>
      </c>
      <c r="I80" s="65" t="n">
        <f aca="false">IF(H80="","",G80-H80)</f>
        <v>-69</v>
      </c>
      <c r="J80" s="55" t="n">
        <f aca="false">IF(OR(D80="",D80+G80=0),"",D80/(D80+G80))</f>
        <v>0.434047350620068</v>
      </c>
      <c r="K80" s="55" t="n">
        <f aca="false">IF(E80="","",E80/(E80+H80))</f>
        <v>0.366962305986696</v>
      </c>
      <c r="L80" s="66" t="n">
        <f aca="false">IF(OR(K80="",J80=""),"",(J80-K80)*100)</f>
        <v>6.70850446333715</v>
      </c>
      <c r="M80" s="36" t="n">
        <v>3.35256345132454</v>
      </c>
      <c r="N80" s="36" t="n">
        <v>1.11847588838557</v>
      </c>
      <c r="O80" s="36" t="n">
        <f aca="false">SQRT(M80^2+N80^2)</f>
        <v>3.5342141995155</v>
      </c>
      <c r="P80" s="55" t="n">
        <f aca="false">IF(J80="","",MAX(0,J80-1.96*O80/100))</f>
        <v>0.364776752309564</v>
      </c>
      <c r="Q80" s="55" t="n">
        <f aca="false">IF(J80="","",MIN(1,J80+1.96*O80/100))</f>
        <v>0.503317948930572</v>
      </c>
      <c r="R80" s="32" t="str">
        <f aca="false">IF(L80="","",IF(ABS(L80)&lt;=O80,"Yes","No"))</f>
        <v>No</v>
      </c>
      <c r="S80" s="32" t="str">
        <f aca="false">IF(L80="","",IF(ABS(L80)&lt;=1.96*O80,"Yes","No"))</f>
        <v>Yes</v>
      </c>
      <c r="T80" s="54" t="n">
        <f aca="false">IF(D80="","",ROUND(SQRT(((D80+G80)*O80/100)^2+(J80*(D80+G80)*0.09092)^2),0))</f>
        <v>47</v>
      </c>
      <c r="U80" s="32"/>
    </row>
    <row r="81" customFormat="false" ht="15" hidden="false" customHeight="false" outlineLevel="0" collapsed="false">
      <c r="A81" s="32" t="s">
        <v>188</v>
      </c>
      <c r="B81" s="32" t="s">
        <v>215</v>
      </c>
      <c r="C81" s="32" t="s">
        <v>129</v>
      </c>
      <c r="D81" s="54" t="n">
        <v>241</v>
      </c>
      <c r="E81" s="54" t="n">
        <v>212</v>
      </c>
      <c r="F81" s="65" t="n">
        <f aca="false">IF(E81="","",D81-E81)</f>
        <v>29</v>
      </c>
      <c r="G81" s="54" t="n">
        <v>284</v>
      </c>
      <c r="H81" s="54" t="n">
        <v>308</v>
      </c>
      <c r="I81" s="65" t="n">
        <f aca="false">IF(H81="","",G81-H81)</f>
        <v>-24</v>
      </c>
      <c r="J81" s="55" t="n">
        <f aca="false">IF(OR(D81="",D81+G81=0),"",D81/(D81+G81))</f>
        <v>0.459047619047619</v>
      </c>
      <c r="K81" s="55" t="n">
        <f aca="false">IF(E81="","",E81/(E81+H81))</f>
        <v>0.407692307692308</v>
      </c>
      <c r="L81" s="66" t="n">
        <f aca="false">IF(OR(K81="",J81=""),"",(J81-K81)*100)</f>
        <v>5.13553113553114</v>
      </c>
      <c r="M81" s="36" t="n">
        <v>3.35256345132454</v>
      </c>
      <c r="N81" s="36" t="n">
        <v>1.11847588838557</v>
      </c>
      <c r="O81" s="36" t="n">
        <f aca="false">SQRT(M81^2+N81^2)</f>
        <v>3.5342141995155</v>
      </c>
      <c r="P81" s="55" t="n">
        <f aca="false">IF(J81="","",MAX(0,J81-1.96*O81/100))</f>
        <v>0.389777020737115</v>
      </c>
      <c r="Q81" s="55" t="n">
        <f aca="false">IF(J81="","",MIN(1,J81+1.96*O81/100))</f>
        <v>0.528318217358123</v>
      </c>
      <c r="R81" s="32" t="str">
        <f aca="false">IF(L81="","",IF(ABS(L81)&lt;=O81,"Yes","No"))</f>
        <v>No</v>
      </c>
      <c r="S81" s="32" t="str">
        <f aca="false">IF(L81="","",IF(ABS(L81)&lt;=1.96*O81,"Yes","No"))</f>
        <v>Yes</v>
      </c>
      <c r="T81" s="54" t="n">
        <f aca="false">IF(D81="","",ROUND(SQRT(((D81+G81)*O81/100)^2+(J81*(D81+G81)*0.09092)^2),0))</f>
        <v>29</v>
      </c>
      <c r="U81" s="32"/>
    </row>
    <row r="82" customFormat="false" ht="15" hidden="false" customHeight="false" outlineLevel="0" collapsed="false">
      <c r="A82" s="32" t="s">
        <v>188</v>
      </c>
      <c r="B82" s="32" t="s">
        <v>216</v>
      </c>
      <c r="C82" s="32" t="s">
        <v>129</v>
      </c>
      <c r="D82" s="54" t="n">
        <v>309</v>
      </c>
      <c r="E82" s="54" t="n">
        <v>272</v>
      </c>
      <c r="F82" s="65" t="n">
        <f aca="false">IF(E82="","",D82-E82)</f>
        <v>37</v>
      </c>
      <c r="G82" s="54" t="n">
        <v>378</v>
      </c>
      <c r="H82" s="54" t="n">
        <v>400</v>
      </c>
      <c r="I82" s="65" t="n">
        <f aca="false">IF(H82="","",G82-H82)</f>
        <v>-22</v>
      </c>
      <c r="J82" s="55" t="n">
        <f aca="false">IF(OR(D82="",D82+G82=0),"",D82/(D82+G82))</f>
        <v>0.449781659388646</v>
      </c>
      <c r="K82" s="55" t="n">
        <f aca="false">IF(E82="","",E82/(E82+H82))</f>
        <v>0.404761904761905</v>
      </c>
      <c r="L82" s="66" t="n">
        <f aca="false">IF(OR(K82="",J82=""),"",(J82-K82)*100)</f>
        <v>4.50197546267415</v>
      </c>
      <c r="M82" s="36" t="n">
        <v>3.35256345132454</v>
      </c>
      <c r="N82" s="36" t="n">
        <v>1.11847588838557</v>
      </c>
      <c r="O82" s="36" t="n">
        <f aca="false">SQRT(M82^2+N82^2)</f>
        <v>3.5342141995155</v>
      </c>
      <c r="P82" s="55" t="n">
        <f aca="false">IF(J82="","",MAX(0,J82-1.96*O82/100))</f>
        <v>0.380511061078143</v>
      </c>
      <c r="Q82" s="55" t="n">
        <f aca="false">IF(J82="","",MIN(1,J82+1.96*O82/100))</f>
        <v>0.51905225769915</v>
      </c>
      <c r="R82" s="32" t="str">
        <f aca="false">IF(L82="","",IF(ABS(L82)&lt;=O82,"Yes","No"))</f>
        <v>No</v>
      </c>
      <c r="S82" s="32" t="str">
        <f aca="false">IF(L82="","",IF(ABS(L82)&lt;=1.96*O82,"Yes","No"))</f>
        <v>Yes</v>
      </c>
      <c r="T82" s="54" t="n">
        <f aca="false">IF(D82="","",ROUND(SQRT(((D82+G82)*O82/100)^2+(J82*(D82+G82)*0.09092)^2),0))</f>
        <v>37</v>
      </c>
      <c r="U82" s="32"/>
    </row>
    <row r="83" customFormat="false" ht="15" hidden="false" customHeight="false" outlineLevel="0" collapsed="false">
      <c r="A83" s="32" t="s">
        <v>188</v>
      </c>
      <c r="B83" s="32" t="s">
        <v>217</v>
      </c>
      <c r="C83" s="32" t="s">
        <v>129</v>
      </c>
      <c r="D83" s="54" t="n">
        <v>1379</v>
      </c>
      <c r="E83" s="54" t="n">
        <v>1207</v>
      </c>
      <c r="F83" s="65" t="n">
        <f aca="false">IF(E83="","",D83-E83)</f>
        <v>172</v>
      </c>
      <c r="G83" s="54" t="n">
        <v>2527</v>
      </c>
      <c r="H83" s="54" t="n">
        <v>2601</v>
      </c>
      <c r="I83" s="65" t="n">
        <f aca="false">IF(H83="","",G83-H83)</f>
        <v>-74</v>
      </c>
      <c r="J83" s="55" t="n">
        <f aca="false">IF(OR(D83="",D83+G83=0),"",D83/(D83+G83))</f>
        <v>0.353046594982079</v>
      </c>
      <c r="K83" s="55" t="n">
        <f aca="false">IF(E83="","",E83/(E83+H83))</f>
        <v>0.316964285714286</v>
      </c>
      <c r="L83" s="66" t="n">
        <f aca="false">IF(OR(K83="",J83=""),"",(J83-K83)*100)</f>
        <v>3.60823092677932</v>
      </c>
      <c r="M83" s="36" t="n">
        <v>1.87671567400173</v>
      </c>
      <c r="N83" s="36" t="n">
        <v>1.11847588838557</v>
      </c>
      <c r="O83" s="36" t="n">
        <f aca="false">SQRT(M83^2+N83^2)</f>
        <v>2.18473111250415</v>
      </c>
      <c r="P83" s="55" t="n">
        <f aca="false">IF(J83="","",MAX(0,J83-1.96*O83/100))</f>
        <v>0.310225865176997</v>
      </c>
      <c r="Q83" s="55" t="n">
        <f aca="false">IF(J83="","",MIN(1,J83+1.96*O83/100))</f>
        <v>0.39586732478716</v>
      </c>
      <c r="R83" s="32" t="str">
        <f aca="false">IF(L83="","",IF(ABS(L83)&lt;=O83,"Yes","No"))</f>
        <v>No</v>
      </c>
      <c r="S83" s="32" t="str">
        <f aca="false">IF(L83="","",IF(ABS(L83)&lt;=1.96*O83,"Yes","No"))</f>
        <v>Yes</v>
      </c>
      <c r="T83" s="54" t="n">
        <f aca="false">IF(D83="","",ROUND(SQRT(((D83+G83)*O83/100)^2+(J83*(D83+G83)*0.0639)^2),0))</f>
        <v>123</v>
      </c>
      <c r="U83" s="32"/>
    </row>
    <row r="84" customFormat="false" ht="15" hidden="false" customHeight="false" outlineLevel="0" collapsed="false">
      <c r="A84" s="32" t="s">
        <v>188</v>
      </c>
      <c r="B84" s="32" t="s">
        <v>218</v>
      </c>
      <c r="C84" s="32" t="s">
        <v>129</v>
      </c>
      <c r="D84" s="54" t="n">
        <v>1989</v>
      </c>
      <c r="E84" s="54" t="n">
        <v>1838</v>
      </c>
      <c r="F84" s="65" t="n">
        <f aca="false">IF(E84="","",D84-E84)</f>
        <v>151</v>
      </c>
      <c r="G84" s="54" t="n">
        <v>2001</v>
      </c>
      <c r="H84" s="54" t="n">
        <v>2112</v>
      </c>
      <c r="I84" s="65" t="n">
        <f aca="false">IF(H84="","",G84-H84)</f>
        <v>-111</v>
      </c>
      <c r="J84" s="55" t="n">
        <f aca="false">IF(OR(D84="",D84+G84=0),"",D84/(D84+G84))</f>
        <v>0.498496240601504</v>
      </c>
      <c r="K84" s="55" t="n">
        <f aca="false">IF(E84="","",E84/(E84+H84))</f>
        <v>0.465316455696203</v>
      </c>
      <c r="L84" s="66" t="n">
        <f aca="false">IF(OR(K84="",J84=""),"",(J84-K84)*100)</f>
        <v>3.31797849053012</v>
      </c>
      <c r="M84" s="36" t="n">
        <v>1.87671567400173</v>
      </c>
      <c r="N84" s="36" t="n">
        <v>1.11847588838557</v>
      </c>
      <c r="O84" s="36" t="n">
        <f aca="false">SQRT(M84^2+N84^2)</f>
        <v>2.18473111250415</v>
      </c>
      <c r="P84" s="55" t="n">
        <f aca="false">IF(J84="","",MAX(0,J84-1.96*O84/100))</f>
        <v>0.455675510796422</v>
      </c>
      <c r="Q84" s="55" t="n">
        <f aca="false">IF(J84="","",MIN(1,J84+1.96*O84/100))</f>
        <v>0.541316970406585</v>
      </c>
      <c r="R84" s="32" t="str">
        <f aca="false">IF(L84="","",IF(ABS(L84)&lt;=O84,"Yes","No"))</f>
        <v>No</v>
      </c>
      <c r="S84" s="32" t="str">
        <f aca="false">IF(L84="","",IF(ABS(L84)&lt;=1.96*O84,"Yes","No"))</f>
        <v>Yes</v>
      </c>
      <c r="T84" s="54" t="n">
        <f aca="false">IF(D84="","",ROUND(SQRT(((D84+G84)*O84/100)^2+(J84*(D84+G84)*0.0639)^2),0))</f>
        <v>154</v>
      </c>
      <c r="U84" s="32"/>
    </row>
    <row r="85" customFormat="false" ht="15" hidden="false" customHeight="false" outlineLevel="0" collapsed="false">
      <c r="A85" s="32" t="s">
        <v>188</v>
      </c>
      <c r="B85" s="32" t="s">
        <v>219</v>
      </c>
      <c r="C85" s="32" t="s">
        <v>129</v>
      </c>
      <c r="D85" s="54" t="n">
        <v>431</v>
      </c>
      <c r="E85" s="54" t="n">
        <v>379</v>
      </c>
      <c r="F85" s="65" t="n">
        <f aca="false">IF(E85="","",D85-E85)</f>
        <v>52</v>
      </c>
      <c r="G85" s="54" t="n">
        <v>565</v>
      </c>
      <c r="H85" s="54" t="n">
        <v>605</v>
      </c>
      <c r="I85" s="65" t="n">
        <f aca="false">IF(H85="","",G85-H85)</f>
        <v>-40</v>
      </c>
      <c r="J85" s="55" t="n">
        <f aca="false">IF(OR(D85="",D85+G85=0),"",D85/(D85+G85))</f>
        <v>0.432730923694779</v>
      </c>
      <c r="K85" s="55" t="n">
        <f aca="false">IF(E85="","",E85/(E85+H85))</f>
        <v>0.385162601626016</v>
      </c>
      <c r="L85" s="66" t="n">
        <f aca="false">IF(OR(K85="",J85=""),"",(J85-K85)*100)</f>
        <v>4.75683220687628</v>
      </c>
      <c r="M85" s="36" t="n">
        <v>3.35256345132454</v>
      </c>
      <c r="N85" s="36" t="n">
        <v>1.11847588838557</v>
      </c>
      <c r="O85" s="36" t="n">
        <f aca="false">SQRT(M85^2+N85^2)</f>
        <v>3.5342141995155</v>
      </c>
      <c r="P85" s="55" t="n">
        <f aca="false">IF(J85="","",MAX(0,J85-1.96*O85/100))</f>
        <v>0.363460325384275</v>
      </c>
      <c r="Q85" s="55" t="n">
        <f aca="false">IF(J85="","",MIN(1,J85+1.96*O85/100))</f>
        <v>0.502001522005283</v>
      </c>
      <c r="R85" s="32" t="str">
        <f aca="false">IF(L85="","",IF(ABS(L85)&lt;=O85,"Yes","No"))</f>
        <v>No</v>
      </c>
      <c r="S85" s="32" t="str">
        <f aca="false">IF(L85="","",IF(ABS(L85)&lt;=1.96*O85,"Yes","No"))</f>
        <v>Yes</v>
      </c>
      <c r="T85" s="54" t="n">
        <f aca="false">IF(D85="","",ROUND(SQRT(((D85+G85)*O85/100)^2+(J85*(D85+G85)*0.09092)^2),0))</f>
        <v>53</v>
      </c>
      <c r="U85" s="32"/>
    </row>
    <row r="86" customFormat="false" ht="15" hidden="false" customHeight="false" outlineLevel="0" collapsed="false">
      <c r="A86" s="32" t="s">
        <v>188</v>
      </c>
      <c r="B86" s="32" t="s">
        <v>180</v>
      </c>
      <c r="C86" s="32" t="s">
        <v>129</v>
      </c>
      <c r="D86" s="54" t="n">
        <v>1159</v>
      </c>
      <c r="E86" s="54" t="n">
        <v>1032</v>
      </c>
      <c r="F86" s="65" t="n">
        <f aca="false">IF(E86="","",D86-E86)</f>
        <v>127</v>
      </c>
      <c r="G86" s="54" t="n">
        <v>1895</v>
      </c>
      <c r="H86" s="54" t="n">
        <v>1971</v>
      </c>
      <c r="I86" s="65" t="n">
        <f aca="false">IF(H86="","",G86-H86)</f>
        <v>-76</v>
      </c>
      <c r="J86" s="55" t="n">
        <f aca="false">IF(OR(D86="",D86+G86=0),"",D86/(D86+G86))</f>
        <v>0.379502292075966</v>
      </c>
      <c r="K86" s="55" t="n">
        <f aca="false">IF(E86="","",E86/(E86+H86))</f>
        <v>0.343656343656344</v>
      </c>
      <c r="L86" s="66" t="n">
        <f aca="false">IF(OR(K86="",J86=""),"",(J86-K86)*100)</f>
        <v>3.58459484196222</v>
      </c>
      <c r="M86" s="36" t="n">
        <v>1.87220867946189</v>
      </c>
      <c r="N86" s="36" t="n">
        <v>1.11847588838557</v>
      </c>
      <c r="O86" s="36" t="n">
        <f aca="false">SQRT(M86^2+N86^2)</f>
        <v>2.18086075950583</v>
      </c>
      <c r="P86" s="55" t="n">
        <f aca="false">IF(J86="","",MAX(0,J86-1.96*O86/100))</f>
        <v>0.336757421189652</v>
      </c>
      <c r="Q86" s="55" t="n">
        <f aca="false">IF(J86="","",MIN(1,J86+1.96*O86/100))</f>
        <v>0.42224716296228</v>
      </c>
      <c r="R86" s="32" t="str">
        <f aca="false">IF(L86="","",IF(ABS(L86)&lt;=O86,"Yes","No"))</f>
        <v>No</v>
      </c>
      <c r="S86" s="32" t="str">
        <f aca="false">IF(L86="","",IF(ABS(L86)&lt;=1.96*O86,"Yes","No"))</f>
        <v>Yes</v>
      </c>
      <c r="T86" s="54" t="n">
        <f aca="false">IF(D86="","",ROUND(SQRT(((D86+G86)*O86/100)^2+(J86*(D86+G86)*0.06991)^2),0))</f>
        <v>105</v>
      </c>
      <c r="U86" s="32"/>
    </row>
    <row r="87" customFormat="false" ht="15" hidden="false" customHeight="false" outlineLevel="0" collapsed="false">
      <c r="A87" s="32" t="s">
        <v>188</v>
      </c>
      <c r="B87" s="32" t="s">
        <v>220</v>
      </c>
      <c r="C87" s="32" t="s">
        <v>129</v>
      </c>
      <c r="D87" s="54" t="n">
        <v>303</v>
      </c>
      <c r="E87" s="54" t="n">
        <v>249</v>
      </c>
      <c r="F87" s="65" t="n">
        <f aca="false">IF(E87="","",D87-E87)</f>
        <v>54</v>
      </c>
      <c r="G87" s="54" t="n">
        <v>257</v>
      </c>
      <c r="H87" s="54" t="n">
        <v>326</v>
      </c>
      <c r="I87" s="65" t="n">
        <f aca="false">IF(H87="","",G87-H87)</f>
        <v>-69</v>
      </c>
      <c r="J87" s="55" t="n">
        <f aca="false">IF(OR(D87="",D87+G87=0),"",D87/(D87+G87))</f>
        <v>0.541071428571429</v>
      </c>
      <c r="K87" s="55" t="n">
        <f aca="false">IF(E87="","",E87/(E87+H87))</f>
        <v>0.43304347826087</v>
      </c>
      <c r="L87" s="66" t="n">
        <f aca="false">IF(OR(K87="",J87=""),"",(J87-K87)*100)</f>
        <v>10.8027950310559</v>
      </c>
      <c r="M87" s="36" t="n">
        <v>3.35256345132454</v>
      </c>
      <c r="N87" s="36" t="n">
        <v>1.11847588838557</v>
      </c>
      <c r="O87" s="36" t="n">
        <f aca="false">SQRT(M87^2+N87^2)</f>
        <v>3.5342141995155</v>
      </c>
      <c r="P87" s="55" t="n">
        <f aca="false">IF(J87="","",MAX(0,J87-1.96*O87/100))</f>
        <v>0.471800830260925</v>
      </c>
      <c r="Q87" s="55" t="n">
        <f aca="false">IF(J87="","",MIN(1,J87+1.96*O87/100))</f>
        <v>0.610342026881932</v>
      </c>
      <c r="R87" s="32" t="str">
        <f aca="false">IF(L87="","",IF(ABS(L87)&lt;=O87,"Yes","No"))</f>
        <v>No</v>
      </c>
      <c r="S87" s="32" t="str">
        <f aca="false">IF(L87="","",IF(ABS(L87)&lt;=1.96*O87,"Yes","No"))</f>
        <v>No</v>
      </c>
      <c r="T87" s="54" t="n">
        <f aca="false">IF(D87="","",ROUND(SQRT(((D87+G87)*O87/100)^2+(J87*(D87+G87)*0.09092)^2),0))</f>
        <v>34</v>
      </c>
      <c r="U87" s="32"/>
    </row>
    <row r="88" customFormat="false" ht="15" hidden="false" customHeight="false" outlineLevel="0" collapsed="false">
      <c r="A88" s="32" t="s">
        <v>188</v>
      </c>
      <c r="B88" s="32" t="s">
        <v>221</v>
      </c>
      <c r="C88" s="32" t="s">
        <v>129</v>
      </c>
      <c r="D88" s="54" t="n">
        <v>1899</v>
      </c>
      <c r="E88" s="54" t="n">
        <v>1767</v>
      </c>
      <c r="F88" s="65" t="n">
        <f aca="false">IF(E88="","",D88-E88)</f>
        <v>132</v>
      </c>
      <c r="G88" s="54" t="n">
        <v>2305</v>
      </c>
      <c r="H88" s="54" t="n">
        <v>2379</v>
      </c>
      <c r="I88" s="65" t="n">
        <f aca="false">IF(H88="","",G88-H88)</f>
        <v>-74</v>
      </c>
      <c r="J88" s="55" t="n">
        <f aca="false">IF(OR(D88="",D88+G88=0),"",D88/(D88+G88))</f>
        <v>0.451712654614653</v>
      </c>
      <c r="K88" s="55" t="n">
        <f aca="false">IF(E88="","",E88/(E88+H88))</f>
        <v>0.426193921852388</v>
      </c>
      <c r="L88" s="66" t="n">
        <f aca="false">IF(OR(K88="",J88=""),"",(J88-K88)*100)</f>
        <v>2.55187327622649</v>
      </c>
      <c r="M88" s="36" t="n">
        <v>1.87671567400173</v>
      </c>
      <c r="N88" s="36" t="n">
        <v>1.11847588838557</v>
      </c>
      <c r="O88" s="36" t="n">
        <f aca="false">SQRT(M88^2+N88^2)</f>
        <v>2.18473111250415</v>
      </c>
      <c r="P88" s="55" t="n">
        <f aca="false">IF(J88="","",MAX(0,J88-1.96*O88/100))</f>
        <v>0.408891924809571</v>
      </c>
      <c r="Q88" s="55" t="n">
        <f aca="false">IF(J88="","",MIN(1,J88+1.96*O88/100))</f>
        <v>0.494533384419734</v>
      </c>
      <c r="R88" s="32" t="str">
        <f aca="false">IF(L88="","",IF(ABS(L88)&lt;=O88,"Yes","No"))</f>
        <v>No</v>
      </c>
      <c r="S88" s="32" t="str">
        <f aca="false">IF(L88="","",IF(ABS(L88)&lt;=1.96*O88,"Yes","No"))</f>
        <v>Yes</v>
      </c>
      <c r="T88" s="54" t="n">
        <f aca="false">IF(D88="","",ROUND(SQRT(((D88+G88)*O88/100)^2+(J88*(D88+G88)*0.0639)^2),0))</f>
        <v>152</v>
      </c>
      <c r="U88" s="32"/>
    </row>
    <row r="89" customFormat="false" ht="15" hidden="false" customHeight="false" outlineLevel="0" collapsed="false">
      <c r="A89" s="32" t="s">
        <v>188</v>
      </c>
      <c r="B89" s="32" t="s">
        <v>222</v>
      </c>
      <c r="C89" s="32" t="s">
        <v>129</v>
      </c>
      <c r="D89" s="54" t="n">
        <v>2057</v>
      </c>
      <c r="E89" s="54" t="n">
        <v>1908</v>
      </c>
      <c r="F89" s="65" t="n">
        <f aca="false">IF(E89="","",D89-E89)</f>
        <v>149</v>
      </c>
      <c r="G89" s="54" t="n">
        <v>1398</v>
      </c>
      <c r="H89" s="54" t="n">
        <v>1518</v>
      </c>
      <c r="I89" s="65" t="n">
        <f aca="false">IF(H89="","",G89-H89)</f>
        <v>-120</v>
      </c>
      <c r="J89" s="55" t="n">
        <f aca="false">IF(OR(D89="",D89+G89=0),"",D89/(D89+G89))</f>
        <v>0.595369030390738</v>
      </c>
      <c r="K89" s="55" t="n">
        <f aca="false">IF(E89="","",E89/(E89+H89))</f>
        <v>0.5569176882662</v>
      </c>
      <c r="L89" s="66" t="n">
        <f aca="false">IF(OR(K89="",J89=""),"",(J89-K89)*100)</f>
        <v>3.84513421245384</v>
      </c>
      <c r="M89" s="36" t="n">
        <v>1.87220867946189</v>
      </c>
      <c r="N89" s="36" t="n">
        <v>1.11847588838557</v>
      </c>
      <c r="O89" s="36" t="n">
        <f aca="false">SQRT(M89^2+N89^2)</f>
        <v>2.18086075950583</v>
      </c>
      <c r="P89" s="55" t="n">
        <f aca="false">IF(J89="","",MAX(0,J89-1.96*O89/100))</f>
        <v>0.552624159504424</v>
      </c>
      <c r="Q89" s="55" t="n">
        <f aca="false">IF(J89="","",MIN(1,J89+1.96*O89/100))</f>
        <v>0.638113901277052</v>
      </c>
      <c r="R89" s="32" t="str">
        <f aca="false">IF(L89="","",IF(ABS(L89)&lt;=O89,"Yes","No"))</f>
        <v>No</v>
      </c>
      <c r="S89" s="32" t="str">
        <f aca="false">IF(L89="","",IF(ABS(L89)&lt;=1.96*O89,"Yes","No"))</f>
        <v>Yes</v>
      </c>
      <c r="T89" s="54" t="n">
        <f aca="false">IF(D89="","",ROUND(SQRT(((D89+G89)*O89/100)^2+(J89*(D89+G89)*0.06991)^2),0))</f>
        <v>162</v>
      </c>
      <c r="U89" s="32"/>
    </row>
    <row r="90" customFormat="false" ht="15" hidden="false" customHeight="false" outlineLevel="0" collapsed="false">
      <c r="A90" s="32" t="s">
        <v>188</v>
      </c>
      <c r="B90" s="32" t="s">
        <v>223</v>
      </c>
      <c r="C90" s="32" t="s">
        <v>129</v>
      </c>
      <c r="D90" s="54" t="n">
        <v>587</v>
      </c>
      <c r="E90" s="54" t="n">
        <v>508</v>
      </c>
      <c r="F90" s="65" t="n">
        <f aca="false">IF(E90="","",D90-E90)</f>
        <v>79</v>
      </c>
      <c r="G90" s="54" t="n">
        <v>681</v>
      </c>
      <c r="H90" s="54" t="n">
        <v>791</v>
      </c>
      <c r="I90" s="65" t="n">
        <f aca="false">IF(H90="","",G90-H90)</f>
        <v>-110</v>
      </c>
      <c r="J90" s="55" t="n">
        <f aca="false">IF(OR(D90="",D90+G90=0),"",D90/(D90+G90))</f>
        <v>0.462933753943218</v>
      </c>
      <c r="K90" s="55" t="n">
        <f aca="false">IF(E90="","",E90/(E90+H90))</f>
        <v>0.391070053887606</v>
      </c>
      <c r="L90" s="66" t="n">
        <f aca="false">IF(OR(K90="",J90=""),"",(J90-K90)*100)</f>
        <v>7.18637000556118</v>
      </c>
      <c r="M90" s="36" t="n">
        <v>3.35256345132454</v>
      </c>
      <c r="N90" s="36" t="n">
        <v>1.11847588838557</v>
      </c>
      <c r="O90" s="36" t="n">
        <f aca="false">SQRT(M90^2+N90^2)</f>
        <v>3.5342141995155</v>
      </c>
      <c r="P90" s="55" t="n">
        <f aca="false">IF(J90="","",MAX(0,J90-1.96*O90/100))</f>
        <v>0.393663155632714</v>
      </c>
      <c r="Q90" s="55" t="n">
        <f aca="false">IF(J90="","",MIN(1,J90+1.96*O90/100))</f>
        <v>0.532204352253721</v>
      </c>
      <c r="R90" s="32" t="str">
        <f aca="false">IF(L90="","",IF(ABS(L90)&lt;=O90,"Yes","No"))</f>
        <v>No</v>
      </c>
      <c r="S90" s="32" t="str">
        <f aca="false">IF(L90="","",IF(ABS(L90)&lt;=1.96*O90,"Yes","No"))</f>
        <v>No</v>
      </c>
      <c r="T90" s="54" t="n">
        <f aca="false">IF(D90="","",ROUND(SQRT(((D90+G90)*O90/100)^2+(J90*(D90+G90)*0.09092)^2),0))</f>
        <v>70</v>
      </c>
      <c r="U90" s="32"/>
    </row>
    <row r="92" customFormat="false" ht="15" hidden="false" customHeight="false" outlineLevel="0" collapsed="false">
      <c r="A92" s="20" t="s">
        <v>351</v>
      </c>
      <c r="B92" s="67"/>
      <c r="C92" s="67"/>
      <c r="D92" s="68" t="n">
        <f aca="false">SUMIF(E2:E90,"&lt;&gt;",D2:D90)</f>
        <v>206204</v>
      </c>
      <c r="E92" s="68" t="n">
        <f aca="false">SUM(E2:E90)</f>
        <v>193125</v>
      </c>
      <c r="F92" s="69" t="n">
        <f aca="false">D92-E92</f>
        <v>13079</v>
      </c>
      <c r="G92" s="68" t="n">
        <f aca="false">SUMIF(H2:H90,"&lt;&gt;",G2:G90)</f>
        <v>184551</v>
      </c>
      <c r="H92" s="68" t="n">
        <f aca="false">SUM(H2:H90)</f>
        <v>195380</v>
      </c>
      <c r="I92" s="69" t="n">
        <f aca="false">G92-H92</f>
        <v>-10829</v>
      </c>
      <c r="J92" s="70" t="n">
        <f aca="false">D92/(D92+G92)</f>
        <v>0.527706619237118</v>
      </c>
      <c r="K92" s="70" t="n">
        <f aca="false">E92/(E92+H92)</f>
        <v>0.497097849448527</v>
      </c>
      <c r="L92" s="71" t="n">
        <f aca="false">(J92-K92)*100</f>
        <v>3.06087697885909</v>
      </c>
      <c r="M92" s="72" t="n">
        <v>0</v>
      </c>
      <c r="N92" s="72" t="n">
        <v>1.11847588838557</v>
      </c>
      <c r="O92" s="72" t="n">
        <f aca="false">SQRT(M92^2+N92^2)</f>
        <v>1.11847588838557</v>
      </c>
      <c r="P92" s="70" t="n">
        <f aca="false">J92-1.96*O92/100</f>
        <v>0.505784491824761</v>
      </c>
      <c r="Q92" s="70" t="n">
        <f aca="false">J92+1.96*O92/100</f>
        <v>0.549628746649475</v>
      </c>
      <c r="R92" s="67" t="str">
        <f aca="false">IF(ABS(L92)&lt;=O92,"Yes","No")</f>
        <v>No</v>
      </c>
      <c r="S92" s="67" t="str">
        <f aca="false">IF(ABS(L92)&lt;=1.96*O92,"Yes","No")</f>
        <v>No</v>
      </c>
      <c r="T92" s="68" t="n">
        <f aca="false">ROUND(SQRT(((D92+G92)*O92/100)^2+(J92*(D92+G92)*0.05027)^2),0)</f>
        <v>11250</v>
      </c>
    </row>
    <row r="93" customFormat="false" ht="15" hidden="false" customHeight="false" outlineLevel="0" collapsed="false">
      <c r="A93" s="20" t="s">
        <v>352</v>
      </c>
      <c r="B93" s="67"/>
      <c r="C93" s="67"/>
      <c r="D93" s="68" t="n">
        <f aca="false">SUM(D2:D90)</f>
        <v>206204</v>
      </c>
      <c r="E93" s="68"/>
      <c r="F93" s="69"/>
      <c r="G93" s="68" t="n">
        <f aca="false">SUM(G2:G90)</f>
        <v>184551</v>
      </c>
      <c r="H93" s="68"/>
      <c r="I93" s="69"/>
      <c r="J93" s="70" t="n">
        <f aca="false">D93/(D93+G93)</f>
        <v>0.527706619237118</v>
      </c>
      <c r="K93" s="70"/>
      <c r="L93" s="71"/>
      <c r="M93" s="72"/>
      <c r="N93" s="72"/>
      <c r="O93" s="72"/>
      <c r="P93" s="70"/>
      <c r="Q93" s="70"/>
      <c r="R93" s="67"/>
      <c r="S93" s="67"/>
      <c r="T93" s="68"/>
    </row>
    <row r="95" customFormat="false" ht="15" hidden="false" customHeight="false" outlineLevel="0" collapsed="false">
      <c r="A95" s="2" t="s">
        <v>353</v>
      </c>
      <c r="F95" s="73" t="n">
        <f aca="false">(SUMIF(F2:F90,"&gt;0")-SUMIF(F2:F90,"&lt;0"))/COUNT(F2:F90)</f>
        <v>147.921348314607</v>
      </c>
    </row>
    <row r="96" customFormat="false" ht="15" hidden="false" customHeight="false" outlineLevel="0" collapsed="false">
      <c r="A96" s="2" t="s">
        <v>354</v>
      </c>
      <c r="F96" s="73" t="n">
        <f aca="false">(SUMIF(I2:I90,"&gt;0")-SUMIF(I2:I90,"&lt;0"))/COUNT(I2:I90)</f>
        <v>129.741573033708</v>
      </c>
    </row>
    <row r="97" customFormat="false" ht="15" hidden="false" customHeight="false" outlineLevel="0" collapsed="false">
      <c r="A97" s="2" t="s">
        <v>355</v>
      </c>
      <c r="F97" s="74" t="n">
        <f aca="false">(SUMIF(L2:L90,"&gt;0")-SUMIF(L2:L90,"&lt;0"))/COUNT(L2:L90)</f>
        <v>4.39475586934809</v>
      </c>
    </row>
    <row r="98" customFormat="false" ht="15" hidden="false" customHeight="false" outlineLevel="0" collapsed="false">
      <c r="A98" s="5" t="s">
        <v>356</v>
      </c>
      <c r="F98" s="75" t="n">
        <f aca="false">SQRT(SUMSQ(L2:L90)/COUNT(L2:L90))</f>
        <v>5.03291069004907</v>
      </c>
    </row>
    <row r="99" customFormat="false" ht="15" hidden="false" customHeight="false" outlineLevel="0" collapsed="false">
      <c r="A99" s="5" t="s">
        <v>357</v>
      </c>
      <c r="F99" s="76" t="n">
        <f aca="false">L92</f>
        <v>3.06087697885909</v>
      </c>
    </row>
    <row r="100" customFormat="false" ht="15" hidden="false" customHeight="false" outlineLevel="0" collapsed="false">
      <c r="A100" s="5" t="s">
        <v>358</v>
      </c>
      <c r="F100" s="75" t="n">
        <f aca="false">SQRT((SUMSQ(L2:L90)-2*L92*SUM(L2:L90)+COUNT(L2:L90)*L92^2)/COUNT(L2:L90))</f>
        <v>2.79205009935942</v>
      </c>
    </row>
    <row r="101" customFormat="false" ht="15" hidden="false" customHeight="false" outlineLevel="0" collapsed="false">
      <c r="A101" s="2" t="s">
        <v>359</v>
      </c>
      <c r="F101" s="77" t="n">
        <f aca="false">D92/E92-1</f>
        <v>0.0677229773462784</v>
      </c>
    </row>
    <row r="102" customFormat="false" ht="15" hidden="false" customHeight="false" outlineLevel="0" collapsed="false">
      <c r="A102" s="5" t="s">
        <v>360</v>
      </c>
      <c r="F102" s="78" t="n">
        <f aca="false">G92/H92-1</f>
        <v>-0.0554253250076774</v>
      </c>
    </row>
    <row r="103" customFormat="false" ht="15" hidden="false" customHeight="false" outlineLevel="0" collapsed="false">
      <c r="A103" s="2" t="s">
        <v>361</v>
      </c>
      <c r="F103" s="77" t="n">
        <f aca="false">(D92+G92)/(E92+H92)-1</f>
        <v>0.00579143125571102</v>
      </c>
    </row>
    <row r="104" customFormat="false" ht="15" hidden="false" customHeight="false" outlineLevel="0" collapsed="false">
      <c r="A104" s="2" t="s">
        <v>362</v>
      </c>
      <c r="F104" s="74" t="n">
        <f aca="false">AVERAGE(O2:O90)</f>
        <v>2.6383519256883</v>
      </c>
    </row>
    <row r="105" customFormat="false" ht="15" hidden="false" customHeight="false" outlineLevel="0" collapsed="false">
      <c r="A105" s="5" t="s">
        <v>363</v>
      </c>
      <c r="F105" s="79" t="n">
        <f aca="false">COUNTIF(R2:R90,"Yes")/(COUNTIF(R2:R90,"Yes")+COUNTIF(R2:R90,"No"))</f>
        <v>0.235955056179775</v>
      </c>
    </row>
    <row r="106" customFormat="false" ht="15" hidden="false" customHeight="false" outlineLevel="0" collapsed="false">
      <c r="A106" s="5" t="s">
        <v>364</v>
      </c>
      <c r="F106" s="79" t="n">
        <f aca="false">COUNTIF(S2:S90,"Yes")/(COUNTIF(S2:S90,"Yes")+COUNTIF(S2:S90,"No"))</f>
        <v>0.651685393258427</v>
      </c>
    </row>
    <row r="107" customFormat="false" ht="15" hidden="false" customHeight="false" outlineLevel="0" collapsed="false">
      <c r="A107" s="2" t="s">
        <v>365</v>
      </c>
      <c r="F107" s="80" t="n">
        <f aca="false">COUNTIFS(L2:L90,"&gt;=-3",L2:L90,"&lt;=3")/COUNT(L2:L90)</f>
        <v>0.337078651685393</v>
      </c>
    </row>
    <row r="108" customFormat="false" ht="15" hidden="false" customHeight="false" outlineLevel="0" collapsed="false">
      <c r="A108" s="2" t="s">
        <v>396</v>
      </c>
      <c r="F108" s="81" t="n">
        <f aca="false">COUNT(E2:E90)</f>
        <v>89</v>
      </c>
    </row>
    <row r="109" customFormat="false" ht="15" hidden="false" customHeight="false" outlineLevel="0" collapsed="false">
      <c r="A109" s="2" t="s">
        <v>367</v>
      </c>
      <c r="F109" s="81" t="n">
        <f aca="false">COUNTA(A2:A90)</f>
        <v>89</v>
      </c>
    </row>
    <row r="111" customFormat="false" ht="15" hidden="false" customHeight="false" outlineLevel="0" collapsed="false">
      <c r="U111" s="5" t="s">
        <v>104</v>
      </c>
    </row>
    <row r="112" customFormat="false" ht="41.75" hidden="false" customHeight="false" outlineLevel="0" collapsed="false">
      <c r="U112" s="64" t="s">
        <v>397</v>
      </c>
    </row>
    <row r="113" customFormat="false" ht="41.75" hidden="false" customHeight="false" outlineLevel="0" collapsed="false">
      <c r="U113" s="64" t="s">
        <v>398</v>
      </c>
    </row>
    <row r="114" customFormat="false" ht="41.75" hidden="false" customHeight="false" outlineLevel="0" collapsed="false">
      <c r="U114" s="64" t="s">
        <v>405</v>
      </c>
    </row>
    <row r="115" customFormat="false" ht="28.35" hidden="false" customHeight="false" outlineLevel="0" collapsed="false">
      <c r="U115" s="64" t="s">
        <v>400</v>
      </c>
    </row>
    <row r="116" customFormat="false" ht="28.35" hidden="false" customHeight="false" outlineLevel="0" collapsed="false">
      <c r="U116" s="64" t="s">
        <v>401</v>
      </c>
    </row>
    <row r="117" customFormat="false" ht="28.35" hidden="false" customHeight="false" outlineLevel="0" collapsed="false">
      <c r="U117" s="64" t="s">
        <v>402</v>
      </c>
    </row>
    <row r="118" customFormat="false" ht="28.35" hidden="false" customHeight="false" outlineLevel="0" collapsed="false">
      <c r="U118" s="64" t="s">
        <v>374</v>
      </c>
    </row>
    <row r="119" customFormat="false" ht="41.75" hidden="false" customHeight="false" outlineLevel="0" collapsed="false">
      <c r="U119" s="64" t="s">
        <v>403</v>
      </c>
    </row>
    <row r="120" customFormat="false" ht="15" hidden="false" customHeight="false" outlineLevel="0" collapsed="false">
      <c r="U120" s="64" t="s">
        <v>404</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77</v>
      </c>
      <c r="B1" s="8" t="s">
        <v>78</v>
      </c>
      <c r="C1" s="8" t="s">
        <v>79</v>
      </c>
      <c r="D1" s="8" t="s">
        <v>334</v>
      </c>
      <c r="E1" s="8" t="s">
        <v>335</v>
      </c>
      <c r="F1" s="8" t="s">
        <v>336</v>
      </c>
      <c r="G1" s="8" t="s">
        <v>379</v>
      </c>
      <c r="H1" s="8" t="s">
        <v>338</v>
      </c>
      <c r="I1" s="8" t="s">
        <v>339</v>
      </c>
      <c r="J1" s="8" t="s">
        <v>340</v>
      </c>
      <c r="K1" s="8" t="s">
        <v>341</v>
      </c>
      <c r="L1" s="8" t="s">
        <v>342</v>
      </c>
      <c r="M1" s="8" t="s">
        <v>391</v>
      </c>
      <c r="N1" s="8" t="s">
        <v>392</v>
      </c>
      <c r="O1" s="8" t="s">
        <v>107</v>
      </c>
      <c r="P1" s="8" t="s">
        <v>345</v>
      </c>
      <c r="Q1" s="8" t="s">
        <v>346</v>
      </c>
      <c r="R1" s="8" t="s">
        <v>347</v>
      </c>
      <c r="S1" s="8" t="s">
        <v>348</v>
      </c>
      <c r="T1" s="8" t="s">
        <v>349</v>
      </c>
      <c r="U1" s="8" t="s">
        <v>350</v>
      </c>
    </row>
    <row r="2" customFormat="false" ht="15" hidden="false" customHeight="false" outlineLevel="0" collapsed="false">
      <c r="A2" s="32" t="s">
        <v>127</v>
      </c>
      <c r="B2" s="32" t="s">
        <v>128</v>
      </c>
      <c r="C2" s="32" t="s">
        <v>129</v>
      </c>
      <c r="D2" s="54" t="n">
        <v>217</v>
      </c>
      <c r="E2" s="54" t="n">
        <v>171</v>
      </c>
      <c r="F2" s="65" t="n">
        <f aca="false">IF(E2="","",D2-E2)</f>
        <v>46</v>
      </c>
      <c r="G2" s="54" t="n">
        <v>319</v>
      </c>
      <c r="H2" s="54" t="n">
        <v>332</v>
      </c>
      <c r="I2" s="65" t="n">
        <f aca="false">IF(H2="","",G2-H2)</f>
        <v>-13</v>
      </c>
      <c r="J2" s="55" t="n">
        <f aca="false">IF(OR(D2="",D2+G2=0),"",D2/(D2+G2))</f>
        <v>0.404850746268657</v>
      </c>
      <c r="K2" s="55" t="n">
        <f aca="false">IF(E2="","",E2/(E2+H2))</f>
        <v>0.339960238568589</v>
      </c>
      <c r="L2" s="66" t="n">
        <f aca="false">IF(OR(K2="",J2=""),"",(J2-K2)*100)</f>
        <v>6.48905077000682</v>
      </c>
      <c r="M2" s="36" t="n">
        <v>3.63105829306161</v>
      </c>
      <c r="N2" s="36" t="n">
        <v>1.11900687197514</v>
      </c>
      <c r="O2" s="36" t="n">
        <f aca="false">SQRT(M2^2+N2^2)</f>
        <v>3.79957375334906</v>
      </c>
      <c r="P2" s="55" t="n">
        <f aca="false">IF(J2="","",MAX(0,J2-1.96*O2/100))</f>
        <v>0.330379100703015</v>
      </c>
      <c r="Q2" s="55" t="n">
        <f aca="false">IF(J2="","",MIN(1,J2+1.96*O2/100))</f>
        <v>0.479322391834298</v>
      </c>
      <c r="R2" s="32" t="str">
        <f aca="false">IF(L2="","",IF(ABS(L2)&lt;=O2,"Yes","No"))</f>
        <v>No</v>
      </c>
      <c r="S2" s="32" t="str">
        <f aca="false">IF(L2="","",IF(ABS(L2)&lt;=1.96*O2,"Yes","No"))</f>
        <v>Yes</v>
      </c>
      <c r="T2" s="54" t="n">
        <f aca="false">IF(D2="","",ROUND(SQRT(((D2+G2)*O2/100)^2+(J2*(D2+G2)*0.09092)^2),0))</f>
        <v>28</v>
      </c>
      <c r="U2" s="32" t="s">
        <v>393</v>
      </c>
    </row>
    <row r="3" customFormat="false" ht="15" hidden="false" customHeight="false" outlineLevel="0" collapsed="false">
      <c r="A3" s="32" t="s">
        <v>127</v>
      </c>
      <c r="B3" s="32" t="s">
        <v>133</v>
      </c>
      <c r="C3" s="32" t="s">
        <v>129</v>
      </c>
      <c r="D3" s="54" t="n">
        <v>134</v>
      </c>
      <c r="E3" s="54" t="n">
        <v>100</v>
      </c>
      <c r="F3" s="65" t="n">
        <f aca="false">IF(E3="","",D3-E3)</f>
        <v>34</v>
      </c>
      <c r="G3" s="54" t="n">
        <v>283</v>
      </c>
      <c r="H3" s="54" t="n">
        <v>303</v>
      </c>
      <c r="I3" s="65" t="n">
        <f aca="false">IF(H3="","",G3-H3)</f>
        <v>-20</v>
      </c>
      <c r="J3" s="55" t="n">
        <f aca="false">IF(OR(D3="",D3+G3=0),"",D3/(D3+G3))</f>
        <v>0.321342925659472</v>
      </c>
      <c r="K3" s="55" t="n">
        <f aca="false">IF(E3="","",E3/(E3+H3))</f>
        <v>0.248138957816377</v>
      </c>
      <c r="L3" s="66" t="n">
        <f aca="false">IF(OR(K3="",J3=""),"",(J3-K3)*100)</f>
        <v>7.32039678430953</v>
      </c>
      <c r="M3" s="36" t="n">
        <v>3.63105829306161</v>
      </c>
      <c r="N3" s="36" t="n">
        <v>1.11900687197514</v>
      </c>
      <c r="O3" s="36" t="n">
        <f aca="false">SQRT(M3^2+N3^2)</f>
        <v>3.79957375334906</v>
      </c>
      <c r="P3" s="55" t="n">
        <f aca="false">IF(J3="","",MAX(0,J3-1.96*O3/100))</f>
        <v>0.246871280093831</v>
      </c>
      <c r="Q3" s="55" t="n">
        <f aca="false">IF(J3="","",MIN(1,J3+1.96*O3/100))</f>
        <v>0.395814571225114</v>
      </c>
      <c r="R3" s="32" t="str">
        <f aca="false">IF(L3="","",IF(ABS(L3)&lt;=O3,"Yes","No"))</f>
        <v>No</v>
      </c>
      <c r="S3" s="32" t="str">
        <f aca="false">IF(L3="","",IF(ABS(L3)&lt;=1.96*O3,"Yes","No"))</f>
        <v>Yes</v>
      </c>
      <c r="T3" s="54" t="n">
        <f aca="false">IF(D3="","",ROUND(SQRT(((D3+G3)*O3/100)^2+(J3*(D3+G3)*0.09092)^2),0))</f>
        <v>20</v>
      </c>
      <c r="U3" s="32" t="s">
        <v>393</v>
      </c>
    </row>
    <row r="4" customFormat="false" ht="15" hidden="false" customHeight="false" outlineLevel="0" collapsed="false">
      <c r="A4" s="32" t="s">
        <v>127</v>
      </c>
      <c r="B4" s="32" t="s">
        <v>134</v>
      </c>
      <c r="C4" s="32" t="s">
        <v>129</v>
      </c>
      <c r="D4" s="54" t="n">
        <v>177</v>
      </c>
      <c r="E4" s="54" t="n">
        <v>111</v>
      </c>
      <c r="F4" s="65" t="n">
        <f aca="false">IF(E4="","",D4-E4)</f>
        <v>66</v>
      </c>
      <c r="G4" s="54" t="n">
        <v>305</v>
      </c>
      <c r="H4" s="54" t="n">
        <v>317</v>
      </c>
      <c r="I4" s="65" t="n">
        <f aca="false">IF(H4="","",G4-H4)</f>
        <v>-12</v>
      </c>
      <c r="J4" s="55" t="n">
        <f aca="false">IF(OR(D4="",D4+G4=0),"",D4/(D4+G4))</f>
        <v>0.367219917012448</v>
      </c>
      <c r="K4" s="55" t="n">
        <f aca="false">IF(E4="","",E4/(E4+H4))</f>
        <v>0.259345794392523</v>
      </c>
      <c r="L4" s="66" t="n">
        <f aca="false">IF(OR(K4="",J4=""),"",(J4-K4)*100)</f>
        <v>10.7874122619925</v>
      </c>
      <c r="M4" s="36" t="n">
        <v>3.63105829306161</v>
      </c>
      <c r="N4" s="36" t="n">
        <v>1.11900687197514</v>
      </c>
      <c r="O4" s="36" t="n">
        <f aca="false">SQRT(M4^2+N4^2)</f>
        <v>3.79957375334906</v>
      </c>
      <c r="P4" s="55" t="n">
        <f aca="false">IF(J4="","",MAX(0,J4-1.96*O4/100))</f>
        <v>0.292748271446807</v>
      </c>
      <c r="Q4" s="55" t="n">
        <f aca="false">IF(J4="","",MIN(1,J4+1.96*O4/100))</f>
        <v>0.44169156257809</v>
      </c>
      <c r="R4" s="32" t="str">
        <f aca="false">IF(L4="","",IF(ABS(L4)&lt;=O4,"Yes","No"))</f>
        <v>No</v>
      </c>
      <c r="S4" s="32" t="str">
        <f aca="false">IF(L4="","",IF(ABS(L4)&lt;=1.96*O4,"Yes","No"))</f>
        <v>No</v>
      </c>
      <c r="T4" s="54" t="n">
        <f aca="false">IF(D4="","",ROUND(SQRT(((D4+G4)*O4/100)^2+(J4*(D4+G4)*0.09092)^2),0))</f>
        <v>24</v>
      </c>
      <c r="U4" s="32" t="s">
        <v>393</v>
      </c>
    </row>
    <row r="5" customFormat="false" ht="15" hidden="false" customHeight="false" outlineLevel="0" collapsed="false">
      <c r="A5" s="32" t="s">
        <v>127</v>
      </c>
      <c r="B5" s="32" t="s">
        <v>135</v>
      </c>
      <c r="C5" s="32" t="s">
        <v>129</v>
      </c>
      <c r="D5" s="54" t="n">
        <v>522</v>
      </c>
      <c r="E5" s="54" t="n">
        <v>390</v>
      </c>
      <c r="F5" s="65" t="n">
        <f aca="false">IF(E5="","",D5-E5)</f>
        <v>132</v>
      </c>
      <c r="G5" s="54" t="n">
        <v>1163</v>
      </c>
      <c r="H5" s="54" t="n">
        <v>1180</v>
      </c>
      <c r="I5" s="65" t="n">
        <f aca="false">IF(H5="","",G5-H5)</f>
        <v>-17</v>
      </c>
      <c r="J5" s="55" t="n">
        <f aca="false">IF(OR(D5="",D5+G5=0),"",D5/(D5+G5))</f>
        <v>0.309792284866469</v>
      </c>
      <c r="K5" s="55" t="n">
        <f aca="false">IF(E5="","",E5/(E5+H5))</f>
        <v>0.248407643312102</v>
      </c>
      <c r="L5" s="66" t="n">
        <f aca="false">IF(OR(K5="",J5=""),"",(J5-K5)*100)</f>
        <v>6.1384641554367</v>
      </c>
      <c r="M5" s="36" t="n">
        <v>2.40842220389472</v>
      </c>
      <c r="N5" s="36" t="n">
        <v>1.11900687197514</v>
      </c>
      <c r="O5" s="36" t="n">
        <f aca="false">SQRT(M5^2+N5^2)</f>
        <v>2.65568708468085</v>
      </c>
      <c r="P5" s="55" t="n">
        <f aca="false">IF(J5="","",MAX(0,J5-1.96*O5/100))</f>
        <v>0.257740818006724</v>
      </c>
      <c r="Q5" s="55" t="n">
        <f aca="false">IF(J5="","",MIN(1,J5+1.96*O5/100))</f>
        <v>0.361843751726214</v>
      </c>
      <c r="R5" s="32" t="str">
        <f aca="false">IF(L5="","",IF(ABS(L5)&lt;=O5,"Yes","No"))</f>
        <v>No</v>
      </c>
      <c r="S5" s="32" t="str">
        <f aca="false">IF(L5="","",IF(ABS(L5)&lt;=1.96*O5,"Yes","No"))</f>
        <v>No</v>
      </c>
      <c r="T5" s="54" t="n">
        <f aca="false">IF(D5="","",ROUND(SQRT(((D5+G5)*O5/100)^2+(J5*(D5+G5)*0.06991)^2),0))</f>
        <v>58</v>
      </c>
      <c r="U5" s="32" t="s">
        <v>393</v>
      </c>
    </row>
    <row r="6" customFormat="false" ht="15" hidden="false" customHeight="false" outlineLevel="0" collapsed="false">
      <c r="A6" s="32" t="s">
        <v>127</v>
      </c>
      <c r="B6" s="32" t="s">
        <v>137</v>
      </c>
      <c r="C6" s="32" t="s">
        <v>129</v>
      </c>
      <c r="D6" s="54" t="n">
        <v>51</v>
      </c>
      <c r="E6" s="54" t="n">
        <v>47</v>
      </c>
      <c r="F6" s="65" t="n">
        <f aca="false">IF(E6="","",D6-E6)</f>
        <v>4</v>
      </c>
      <c r="G6" s="54" t="n">
        <v>75</v>
      </c>
      <c r="H6" s="54" t="n">
        <v>74</v>
      </c>
      <c r="I6" s="65" t="n">
        <f aca="false">IF(H6="","",G6-H6)</f>
        <v>1</v>
      </c>
      <c r="J6" s="55" t="n">
        <f aca="false">IF(OR(D6="",D6+G6=0),"",D6/(D6+G6))</f>
        <v>0.404761904761905</v>
      </c>
      <c r="K6" s="55" t="n">
        <f aca="false">IF(E6="","",E6/(E6+H6))</f>
        <v>0.388429752066116</v>
      </c>
      <c r="L6" s="66" t="n">
        <f aca="false">IF(OR(K6="",J6=""),"",(J6-K6)*100)</f>
        <v>1.63321526957891</v>
      </c>
      <c r="M6" s="36" t="n">
        <v>3.63105829306161</v>
      </c>
      <c r="N6" s="36" t="n">
        <v>1.11900687197514</v>
      </c>
      <c r="O6" s="36" t="n">
        <f aca="false">SQRT(M6^2+N6^2)</f>
        <v>3.79957375334906</v>
      </c>
      <c r="P6" s="55" t="n">
        <f aca="false">IF(J6="","",MAX(0,J6-1.96*O6/100))</f>
        <v>0.330290259196263</v>
      </c>
      <c r="Q6" s="55" t="n">
        <f aca="false">IF(J6="","",MIN(1,J6+1.96*O6/100))</f>
        <v>0.479233550327546</v>
      </c>
      <c r="R6" s="32" t="str">
        <f aca="false">IF(L6="","",IF(ABS(L6)&lt;=O6,"Yes","No"))</f>
        <v>Yes</v>
      </c>
      <c r="S6" s="32" t="str">
        <f aca="false">IF(L6="","",IF(ABS(L6)&lt;=1.96*O6,"Yes","No"))</f>
        <v>Yes</v>
      </c>
      <c r="T6" s="54" t="n">
        <f aca="false">IF(D6="","",ROUND(SQRT(((D6+G6)*O6/100)^2+(J6*(D6+G6)*0.09092)^2),0))</f>
        <v>7</v>
      </c>
      <c r="U6" s="32" t="s">
        <v>393</v>
      </c>
    </row>
    <row r="7" customFormat="false" ht="15" hidden="false" customHeight="false" outlineLevel="0" collapsed="false">
      <c r="A7" s="32" t="s">
        <v>127</v>
      </c>
      <c r="B7" s="32" t="s">
        <v>138</v>
      </c>
      <c r="C7" s="32" t="s">
        <v>129</v>
      </c>
      <c r="D7" s="54" t="n">
        <v>784</v>
      </c>
      <c r="E7" s="54" t="n">
        <v>631</v>
      </c>
      <c r="F7" s="65" t="n">
        <f aca="false">IF(E7="","",D7-E7)</f>
        <v>153</v>
      </c>
      <c r="G7" s="54" t="n">
        <v>1798</v>
      </c>
      <c r="H7" s="54" t="n">
        <v>1828</v>
      </c>
      <c r="I7" s="65" t="n">
        <f aca="false">IF(H7="","",G7-H7)</f>
        <v>-30</v>
      </c>
      <c r="J7" s="55" t="n">
        <f aca="false">IF(OR(D7="",D7+G7=0),"",D7/(D7+G7))</f>
        <v>0.303640588690937</v>
      </c>
      <c r="K7" s="55" t="n">
        <f aca="false">IF(E7="","",E7/(E7+H7))</f>
        <v>0.256608377389183</v>
      </c>
      <c r="L7" s="66" t="n">
        <f aca="false">IF(OR(K7="",J7=""),"",(J7-K7)*100)</f>
        <v>4.70322113017547</v>
      </c>
      <c r="M7" s="36" t="n">
        <v>2.40842220389472</v>
      </c>
      <c r="N7" s="36" t="n">
        <v>1.11900687197514</v>
      </c>
      <c r="O7" s="36" t="n">
        <f aca="false">SQRT(M7^2+N7^2)</f>
        <v>2.65568708468085</v>
      </c>
      <c r="P7" s="55" t="n">
        <f aca="false">IF(J7="","",MAX(0,J7-1.96*O7/100))</f>
        <v>0.251589121831193</v>
      </c>
      <c r="Q7" s="55" t="n">
        <f aca="false">IF(J7="","",MIN(1,J7+1.96*O7/100))</f>
        <v>0.355692055550682</v>
      </c>
      <c r="R7" s="32" t="str">
        <f aca="false">IF(L7="","",IF(ABS(L7)&lt;=O7,"Yes","No"))</f>
        <v>No</v>
      </c>
      <c r="S7" s="32" t="str">
        <f aca="false">IF(L7="","",IF(ABS(L7)&lt;=1.96*O7,"Yes","No"))</f>
        <v>Yes</v>
      </c>
      <c r="T7" s="54" t="n">
        <f aca="false">IF(D7="","",ROUND(SQRT(((D7+G7)*O7/100)^2+(J7*(D7+G7)*0.06991)^2),0))</f>
        <v>88</v>
      </c>
      <c r="U7" s="32" t="s">
        <v>393</v>
      </c>
    </row>
    <row r="8" customFormat="false" ht="15" hidden="false" customHeight="false" outlineLevel="0" collapsed="false">
      <c r="A8" s="32" t="s">
        <v>127</v>
      </c>
      <c r="B8" s="32" t="s">
        <v>139</v>
      </c>
      <c r="C8" s="32" t="s">
        <v>129</v>
      </c>
      <c r="D8" s="54" t="n">
        <v>1282</v>
      </c>
      <c r="E8" s="54" t="n">
        <v>1060</v>
      </c>
      <c r="F8" s="65" t="n">
        <f aca="false">IF(E8="","",D8-E8)</f>
        <v>222</v>
      </c>
      <c r="G8" s="54" t="n">
        <v>1465</v>
      </c>
      <c r="H8" s="54" t="n">
        <v>1517</v>
      </c>
      <c r="I8" s="65" t="n">
        <f aca="false">IF(H8="","",G8-H8)</f>
        <v>-52</v>
      </c>
      <c r="J8" s="55" t="n">
        <f aca="false">IF(OR(D8="",D8+G8=0),"",D8/(D8+G8))</f>
        <v>0.466690935566072</v>
      </c>
      <c r="K8" s="55" t="n">
        <f aca="false">IF(E8="","",E8/(E8+H8))</f>
        <v>0.411331005044626</v>
      </c>
      <c r="L8" s="66" t="n">
        <f aca="false">IF(OR(K8="",J8=""),"",(J8-K8)*100)</f>
        <v>5.53599305214465</v>
      </c>
      <c r="M8" s="36" t="n">
        <v>2.40842220389472</v>
      </c>
      <c r="N8" s="36" t="n">
        <v>1.11900687197514</v>
      </c>
      <c r="O8" s="36" t="n">
        <f aca="false">SQRT(M8^2+N8^2)</f>
        <v>2.65568708468085</v>
      </c>
      <c r="P8" s="55" t="n">
        <f aca="false">IF(J8="","",MAX(0,J8-1.96*O8/100))</f>
        <v>0.414639468706327</v>
      </c>
      <c r="Q8" s="55" t="n">
        <f aca="false">IF(J8="","",MIN(1,J8+1.96*O8/100))</f>
        <v>0.518742402425817</v>
      </c>
      <c r="R8" s="32" t="str">
        <f aca="false">IF(L8="","",IF(ABS(L8)&lt;=O8,"Yes","No"))</f>
        <v>No</v>
      </c>
      <c r="S8" s="32" t="str">
        <f aca="false">IF(L8="","",IF(ABS(L8)&lt;=1.96*O8,"Yes","No"))</f>
        <v>No</v>
      </c>
      <c r="T8" s="54" t="n">
        <f aca="false">IF(D8="","",ROUND(SQRT(((D8+G8)*O8/100)^2+(J8*(D8+G8)*0.06991)^2),0))</f>
        <v>116</v>
      </c>
      <c r="U8" s="32" t="s">
        <v>393</v>
      </c>
    </row>
    <row r="9" customFormat="false" ht="15" hidden="false" customHeight="false" outlineLevel="0" collapsed="false">
      <c r="A9" s="32" t="s">
        <v>127</v>
      </c>
      <c r="B9" s="32" t="s">
        <v>140</v>
      </c>
      <c r="C9" s="32" t="s">
        <v>129</v>
      </c>
      <c r="D9" s="54" t="n">
        <v>373</v>
      </c>
      <c r="E9" s="54" t="n">
        <v>335</v>
      </c>
      <c r="F9" s="65" t="n">
        <f aca="false">IF(E9="","",D9-E9)</f>
        <v>38</v>
      </c>
      <c r="G9" s="54" t="n">
        <v>741</v>
      </c>
      <c r="H9" s="54" t="n">
        <v>766</v>
      </c>
      <c r="I9" s="65" t="n">
        <f aca="false">IF(H9="","",G9-H9)</f>
        <v>-25</v>
      </c>
      <c r="J9" s="55" t="n">
        <f aca="false">IF(OR(D9="",D9+G9=0),"",D9/(D9+G9))</f>
        <v>0.334829443447038</v>
      </c>
      <c r="K9" s="55" t="n">
        <f aca="false">IF(E9="","",E9/(E9+H9))</f>
        <v>0.304268846503179</v>
      </c>
      <c r="L9" s="66" t="n">
        <f aca="false">IF(OR(K9="",J9=""),"",(J9-K9)*100)</f>
        <v>3.05605969438588</v>
      </c>
      <c r="M9" s="36" t="n">
        <v>3.63105829306161</v>
      </c>
      <c r="N9" s="36" t="n">
        <v>1.11900687197514</v>
      </c>
      <c r="O9" s="36" t="n">
        <f aca="false">SQRT(M9^2+N9^2)</f>
        <v>3.79957375334906</v>
      </c>
      <c r="P9" s="55" t="n">
        <f aca="false">IF(J9="","",MAX(0,J9-1.96*O9/100))</f>
        <v>0.260357797881396</v>
      </c>
      <c r="Q9" s="55" t="n">
        <f aca="false">IF(J9="","",MIN(1,J9+1.96*O9/100))</f>
        <v>0.409301089012679</v>
      </c>
      <c r="R9" s="32" t="str">
        <f aca="false">IF(L9="","",IF(ABS(L9)&lt;=O9,"Yes","No"))</f>
        <v>Yes</v>
      </c>
      <c r="S9" s="32" t="str">
        <f aca="false">IF(L9="","",IF(ABS(L9)&lt;=1.96*O9,"Yes","No"))</f>
        <v>Yes</v>
      </c>
      <c r="T9" s="54" t="n">
        <f aca="false">IF(D9="","",ROUND(SQRT(((D9+G9)*O9/100)^2+(J9*(D9+G9)*0.09092)^2),0))</f>
        <v>54</v>
      </c>
      <c r="U9" s="32" t="s">
        <v>393</v>
      </c>
    </row>
    <row r="10" customFormat="false" ht="15" hidden="false" customHeight="false" outlineLevel="0" collapsed="false">
      <c r="A10" s="32" t="s">
        <v>127</v>
      </c>
      <c r="B10" s="32" t="s">
        <v>141</v>
      </c>
      <c r="C10" s="32" t="s">
        <v>129</v>
      </c>
      <c r="D10" s="54" t="n">
        <v>703</v>
      </c>
      <c r="E10" s="54" t="n">
        <v>614</v>
      </c>
      <c r="F10" s="65" t="n">
        <f aca="false">IF(E10="","",D10-E10)</f>
        <v>89</v>
      </c>
      <c r="G10" s="54" t="n">
        <v>805</v>
      </c>
      <c r="H10" s="54" t="n">
        <v>846</v>
      </c>
      <c r="I10" s="65" t="n">
        <f aca="false">IF(H10="","",G10-H10)</f>
        <v>-41</v>
      </c>
      <c r="J10" s="55" t="n">
        <f aca="false">IF(OR(D10="",D10+G10=0),"",D10/(D10+G10))</f>
        <v>0.466180371352785</v>
      </c>
      <c r="K10" s="55" t="n">
        <f aca="false">IF(E10="","",E10/(E10+H10))</f>
        <v>0.420547945205479</v>
      </c>
      <c r="L10" s="66" t="n">
        <f aca="false">IF(OR(K10="",J10=""),"",(J10-K10)*100)</f>
        <v>4.56324261473057</v>
      </c>
      <c r="M10" s="36" t="n">
        <v>3.63105829306161</v>
      </c>
      <c r="N10" s="36" t="n">
        <v>1.11900687197514</v>
      </c>
      <c r="O10" s="36" t="n">
        <f aca="false">SQRT(M10^2+N10^2)</f>
        <v>3.79957375334906</v>
      </c>
      <c r="P10" s="55" t="n">
        <f aca="false">IF(J10="","",MAX(0,J10-1.96*O10/100))</f>
        <v>0.391708725787144</v>
      </c>
      <c r="Q10" s="55" t="n">
        <f aca="false">IF(J10="","",MIN(1,J10+1.96*O10/100))</f>
        <v>0.540652016918427</v>
      </c>
      <c r="R10" s="32" t="str">
        <f aca="false">IF(L10="","",IF(ABS(L10)&lt;=O10,"Yes","No"))</f>
        <v>No</v>
      </c>
      <c r="S10" s="32" t="str">
        <f aca="false">IF(L10="","",IF(ABS(L10)&lt;=1.96*O10,"Yes","No"))</f>
        <v>Yes</v>
      </c>
      <c r="T10" s="54" t="n">
        <f aca="false">IF(D10="","",ROUND(SQRT(((D10+G10)*O10/100)^2+(J10*(D10+G10)*0.09092)^2),0))</f>
        <v>86</v>
      </c>
      <c r="U10" s="32" t="s">
        <v>393</v>
      </c>
    </row>
    <row r="11" customFormat="false" ht="15" hidden="false" customHeight="false" outlineLevel="0" collapsed="false">
      <c r="A11" s="32" t="s">
        <v>127</v>
      </c>
      <c r="B11" s="32" t="s">
        <v>142</v>
      </c>
      <c r="C11" s="32" t="s">
        <v>129</v>
      </c>
      <c r="D11" s="54" t="n">
        <v>42</v>
      </c>
      <c r="E11" s="54" t="n">
        <v>42</v>
      </c>
      <c r="F11" s="65" t="n">
        <f aca="false">IF(E11="","",D11-E11)</f>
        <v>0</v>
      </c>
      <c r="G11" s="54" t="n">
        <v>105</v>
      </c>
      <c r="H11" s="54" t="n">
        <v>99</v>
      </c>
      <c r="I11" s="65" t="n">
        <f aca="false">IF(H11="","",G11-H11)</f>
        <v>6</v>
      </c>
      <c r="J11" s="55" t="n">
        <f aca="false">IF(OR(D11="",D11+G11=0),"",D11/(D11+G11))</f>
        <v>0.285714285714286</v>
      </c>
      <c r="K11" s="55" t="n">
        <f aca="false">IF(E11="","",E11/(E11+H11))</f>
        <v>0.297872340425532</v>
      </c>
      <c r="L11" s="66" t="n">
        <f aca="false">IF(OR(K11="",J11=""),"",(J11-K11)*100)</f>
        <v>-1.21580547112462</v>
      </c>
      <c r="M11" s="36" t="n">
        <v>3.63105829306161</v>
      </c>
      <c r="N11" s="36" t="n">
        <v>1.11900687197514</v>
      </c>
      <c r="O11" s="36" t="n">
        <f aca="false">SQRT(M11^2+N11^2)</f>
        <v>3.79957375334906</v>
      </c>
      <c r="P11" s="55" t="n">
        <f aca="false">IF(J11="","",MAX(0,J11-1.96*O11/100))</f>
        <v>0.211242640148644</v>
      </c>
      <c r="Q11" s="55" t="n">
        <f aca="false">IF(J11="","",MIN(1,J11+1.96*O11/100))</f>
        <v>0.360185931279927</v>
      </c>
      <c r="R11" s="32" t="str">
        <f aca="false">IF(L11="","",IF(ABS(L11)&lt;=O11,"Yes","No"))</f>
        <v>Yes</v>
      </c>
      <c r="S11" s="32" t="str">
        <f aca="false">IF(L11="","",IF(ABS(L11)&lt;=1.96*O11,"Yes","No"))</f>
        <v>Yes</v>
      </c>
      <c r="T11" s="54" t="n">
        <f aca="false">IF(D11="","",ROUND(SQRT(((D11+G11)*O11/100)^2+(J11*(D11+G11)*0.09092)^2),0))</f>
        <v>7</v>
      </c>
      <c r="U11" s="32" t="s">
        <v>393</v>
      </c>
    </row>
    <row r="12" customFormat="false" ht="15" hidden="false" customHeight="false" outlineLevel="0" collapsed="false">
      <c r="A12" s="32" t="s">
        <v>127</v>
      </c>
      <c r="B12" s="32" t="s">
        <v>143</v>
      </c>
      <c r="C12" s="32" t="s">
        <v>129</v>
      </c>
      <c r="D12" s="54" t="n">
        <v>67</v>
      </c>
      <c r="E12" s="54" t="n">
        <v>51</v>
      </c>
      <c r="F12" s="65" t="n">
        <f aca="false">IF(E12="","",D12-E12)</f>
        <v>16</v>
      </c>
      <c r="G12" s="54" t="n">
        <v>217</v>
      </c>
      <c r="H12" s="54" t="n">
        <v>223</v>
      </c>
      <c r="I12" s="65" t="n">
        <f aca="false">IF(H12="","",G12-H12)</f>
        <v>-6</v>
      </c>
      <c r="J12" s="55" t="n">
        <f aca="false">IF(OR(D12="",D12+G12=0),"",D12/(D12+G12))</f>
        <v>0.235915492957746</v>
      </c>
      <c r="K12" s="55" t="n">
        <f aca="false">IF(E12="","",E12/(E12+H12))</f>
        <v>0.186131386861314</v>
      </c>
      <c r="L12" s="66" t="n">
        <f aca="false">IF(OR(K12="",J12=""),"",(J12-K12)*100)</f>
        <v>4.97841060964326</v>
      </c>
      <c r="M12" s="36" t="n">
        <v>3.63105829306161</v>
      </c>
      <c r="N12" s="36" t="n">
        <v>1.11900687197514</v>
      </c>
      <c r="O12" s="36" t="n">
        <f aca="false">SQRT(M12^2+N12^2)</f>
        <v>3.79957375334906</v>
      </c>
      <c r="P12" s="55" t="n">
        <f aca="false">IF(J12="","",MAX(0,J12-1.96*O12/100))</f>
        <v>0.161443847392105</v>
      </c>
      <c r="Q12" s="55" t="n">
        <f aca="false">IF(J12="","",MIN(1,J12+1.96*O12/100))</f>
        <v>0.310387138523388</v>
      </c>
      <c r="R12" s="32" t="str">
        <f aca="false">IF(L12="","",IF(ABS(L12)&lt;=O12,"Yes","No"))</f>
        <v>No</v>
      </c>
      <c r="S12" s="32" t="str">
        <f aca="false">IF(L12="","",IF(ABS(L12)&lt;=1.96*O12,"Yes","No"))</f>
        <v>Yes</v>
      </c>
      <c r="T12" s="54" t="n">
        <f aca="false">IF(D12="","",ROUND(SQRT(((D12+G12)*O12/100)^2+(J12*(D12+G12)*0.09092)^2),0))</f>
        <v>12</v>
      </c>
      <c r="U12" s="32" t="s">
        <v>393</v>
      </c>
    </row>
    <row r="13" customFormat="false" ht="15" hidden="false" customHeight="false" outlineLevel="0" collapsed="false">
      <c r="A13" s="32" t="s">
        <v>127</v>
      </c>
      <c r="B13" s="32" t="s">
        <v>144</v>
      </c>
      <c r="C13" s="32" t="s">
        <v>129</v>
      </c>
      <c r="D13" s="54" t="n">
        <v>1053</v>
      </c>
      <c r="E13" s="54" t="n">
        <v>841</v>
      </c>
      <c r="F13" s="65" t="n">
        <f aca="false">IF(E13="","",D13-E13)</f>
        <v>212</v>
      </c>
      <c r="G13" s="54" t="n">
        <v>1363</v>
      </c>
      <c r="H13" s="54" t="n">
        <v>1410</v>
      </c>
      <c r="I13" s="65" t="n">
        <f aca="false">IF(H13="","",G13-H13)</f>
        <v>-47</v>
      </c>
      <c r="J13" s="55" t="n">
        <f aca="false">IF(OR(D13="",D13+G13=0),"",D13/(D13+G13))</f>
        <v>0.435844370860927</v>
      </c>
      <c r="K13" s="55" t="n">
        <f aca="false">IF(E13="","",E13/(E13+H13))</f>
        <v>0.373611728120835</v>
      </c>
      <c r="L13" s="66" t="n">
        <f aca="false">IF(OR(K13="",J13=""),"",(J13-K13)*100)</f>
        <v>6.22326427400919</v>
      </c>
      <c r="M13" s="36" t="n">
        <v>2.40842220389472</v>
      </c>
      <c r="N13" s="36" t="n">
        <v>1.11900687197514</v>
      </c>
      <c r="O13" s="36" t="n">
        <f aca="false">SQRT(M13^2+N13^2)</f>
        <v>2.65568708468085</v>
      </c>
      <c r="P13" s="55" t="n">
        <f aca="false">IF(J13="","",MAX(0,J13-1.96*O13/100))</f>
        <v>0.383792904001182</v>
      </c>
      <c r="Q13" s="55" t="n">
        <f aca="false">IF(J13="","",MIN(1,J13+1.96*O13/100))</f>
        <v>0.487895837720672</v>
      </c>
      <c r="R13" s="32" t="str">
        <f aca="false">IF(L13="","",IF(ABS(L13)&lt;=O13,"Yes","No"))</f>
        <v>No</v>
      </c>
      <c r="S13" s="32" t="str">
        <f aca="false">IF(L13="","",IF(ABS(L13)&lt;=1.96*O13,"Yes","No"))</f>
        <v>No</v>
      </c>
      <c r="T13" s="54" t="n">
        <f aca="false">IF(D13="","",ROUND(SQRT(((D13+G13)*O13/100)^2+(J13*(D13+G13)*0.06991)^2),0))</f>
        <v>98</v>
      </c>
      <c r="U13" s="32" t="s">
        <v>393</v>
      </c>
    </row>
    <row r="14" customFormat="false" ht="15" hidden="false" customHeight="false" outlineLevel="0" collapsed="false">
      <c r="A14" s="32" t="s">
        <v>127</v>
      </c>
      <c r="B14" s="32" t="s">
        <v>145</v>
      </c>
      <c r="C14" s="32" t="s">
        <v>129</v>
      </c>
      <c r="D14" s="54" t="n">
        <v>600</v>
      </c>
      <c r="E14" s="54" t="n">
        <v>489</v>
      </c>
      <c r="F14" s="65" t="n">
        <f aca="false">IF(E14="","",D14-E14)</f>
        <v>111</v>
      </c>
      <c r="G14" s="54" t="n">
        <v>1178</v>
      </c>
      <c r="H14" s="54" t="n">
        <v>1164</v>
      </c>
      <c r="I14" s="65" t="n">
        <f aca="false">IF(H14="","",G14-H14)</f>
        <v>14</v>
      </c>
      <c r="J14" s="55" t="n">
        <f aca="false">IF(OR(D14="",D14+G14=0),"",D14/(D14+G14))</f>
        <v>0.337457817772778</v>
      </c>
      <c r="K14" s="55" t="n">
        <f aca="false">IF(E14="","",E14/(E14+H14))</f>
        <v>0.295825771324864</v>
      </c>
      <c r="L14" s="66" t="n">
        <f aca="false">IF(OR(K14="",J14=""),"",(J14-K14)*100)</f>
        <v>4.16320464479145</v>
      </c>
      <c r="M14" s="36" t="n">
        <v>2.40842220389472</v>
      </c>
      <c r="N14" s="36" t="n">
        <v>1.11900687197514</v>
      </c>
      <c r="O14" s="36" t="n">
        <f aca="false">SQRT(M14^2+N14^2)</f>
        <v>2.65568708468085</v>
      </c>
      <c r="P14" s="55" t="n">
        <f aca="false">IF(J14="","",MAX(0,J14-1.96*O14/100))</f>
        <v>0.285406350913034</v>
      </c>
      <c r="Q14" s="55" t="n">
        <f aca="false">IF(J14="","",MIN(1,J14+1.96*O14/100))</f>
        <v>0.389509284632523</v>
      </c>
      <c r="R14" s="32" t="str">
        <f aca="false">IF(L14="","",IF(ABS(L14)&lt;=O14,"Yes","No"))</f>
        <v>No</v>
      </c>
      <c r="S14" s="32" t="str">
        <f aca="false">IF(L14="","",IF(ABS(L14)&lt;=1.96*O14,"Yes","No"))</f>
        <v>Yes</v>
      </c>
      <c r="T14" s="54" t="n">
        <f aca="false">IF(D14="","",ROUND(SQRT(((D14+G14)*O14/100)^2+(J14*(D14+G14)*0.06991)^2),0))</f>
        <v>63</v>
      </c>
      <c r="U14" s="32" t="s">
        <v>393</v>
      </c>
    </row>
    <row r="15" customFormat="false" ht="15" hidden="false" customHeight="false" outlineLevel="0" collapsed="false">
      <c r="A15" s="32" t="s">
        <v>127</v>
      </c>
      <c r="B15" s="32" t="s">
        <v>146</v>
      </c>
      <c r="C15" s="32" t="s">
        <v>129</v>
      </c>
      <c r="D15" s="54" t="n">
        <v>723</v>
      </c>
      <c r="E15" s="54" t="n">
        <v>563</v>
      </c>
      <c r="F15" s="65" t="n">
        <f aca="false">IF(E15="","",D15-E15)</f>
        <v>160</v>
      </c>
      <c r="G15" s="54" t="n">
        <v>1593</v>
      </c>
      <c r="H15" s="54" t="n">
        <v>1559</v>
      </c>
      <c r="I15" s="65" t="n">
        <f aca="false">IF(H15="","",G15-H15)</f>
        <v>34</v>
      </c>
      <c r="J15" s="55" t="n">
        <f aca="false">IF(OR(D15="",D15+G15=0),"",D15/(D15+G15))</f>
        <v>0.312176165803109</v>
      </c>
      <c r="K15" s="55" t="n">
        <f aca="false">IF(E15="","",E15/(E15+H15))</f>
        <v>0.265315739868049</v>
      </c>
      <c r="L15" s="66" t="n">
        <f aca="false">IF(OR(K15="",J15=""),"",(J15-K15)*100)</f>
        <v>4.68604259350598</v>
      </c>
      <c r="M15" s="36" t="n">
        <v>2.40842220389472</v>
      </c>
      <c r="N15" s="36" t="n">
        <v>1.11900687197514</v>
      </c>
      <c r="O15" s="36" t="n">
        <f aca="false">SQRT(M15^2+N15^2)</f>
        <v>2.65568708468085</v>
      </c>
      <c r="P15" s="55" t="n">
        <f aca="false">IF(J15="","",MAX(0,J15-1.96*O15/100))</f>
        <v>0.260124698943364</v>
      </c>
      <c r="Q15" s="55" t="n">
        <f aca="false">IF(J15="","",MIN(1,J15+1.96*O15/100))</f>
        <v>0.364227632662854</v>
      </c>
      <c r="R15" s="32" t="str">
        <f aca="false">IF(L15="","",IF(ABS(L15)&lt;=O15,"Yes","No"))</f>
        <v>No</v>
      </c>
      <c r="S15" s="32" t="str">
        <f aca="false">IF(L15="","",IF(ABS(L15)&lt;=1.96*O15,"Yes","No"))</f>
        <v>Yes</v>
      </c>
      <c r="T15" s="54" t="n">
        <f aca="false">IF(D15="","",ROUND(SQRT(((D15+G15)*O15/100)^2+(J15*(D15+G15)*0.06991)^2),0))</f>
        <v>80</v>
      </c>
      <c r="U15" s="32" t="s">
        <v>393</v>
      </c>
    </row>
    <row r="16" customFormat="false" ht="15" hidden="false" customHeight="false" outlineLevel="0" collapsed="false">
      <c r="A16" s="32" t="s">
        <v>127</v>
      </c>
      <c r="B16" s="32" t="s">
        <v>147</v>
      </c>
      <c r="C16" s="32" t="s">
        <v>129</v>
      </c>
      <c r="D16" s="54" t="n">
        <v>719</v>
      </c>
      <c r="E16" s="54" t="n">
        <v>574</v>
      </c>
      <c r="F16" s="65" t="n">
        <f aca="false">IF(E16="","",D16-E16)</f>
        <v>145</v>
      </c>
      <c r="G16" s="54" t="n">
        <v>924</v>
      </c>
      <c r="H16" s="54" t="n">
        <v>963</v>
      </c>
      <c r="I16" s="65" t="n">
        <f aca="false">IF(H16="","",G16-H16)</f>
        <v>-39</v>
      </c>
      <c r="J16" s="55" t="n">
        <f aca="false">IF(OR(D16="",D16+G16=0),"",D16/(D16+G16))</f>
        <v>0.43761412051126</v>
      </c>
      <c r="K16" s="55" t="n">
        <f aca="false">IF(E16="","",E16/(E16+H16))</f>
        <v>0.373454782042941</v>
      </c>
      <c r="L16" s="66" t="n">
        <f aca="false">IF(OR(K16="",J16=""),"",(J16-K16)*100)</f>
        <v>6.41593384683191</v>
      </c>
      <c r="M16" s="36" t="n">
        <v>2.40842220389472</v>
      </c>
      <c r="N16" s="36" t="n">
        <v>1.11900687197514</v>
      </c>
      <c r="O16" s="36" t="n">
        <f aca="false">SQRT(M16^2+N16^2)</f>
        <v>2.65568708468085</v>
      </c>
      <c r="P16" s="55" t="n">
        <f aca="false">IF(J16="","",MAX(0,J16-1.96*O16/100))</f>
        <v>0.385562653651515</v>
      </c>
      <c r="Q16" s="55" t="n">
        <f aca="false">IF(J16="","",MIN(1,J16+1.96*O16/100))</f>
        <v>0.489665587371005</v>
      </c>
      <c r="R16" s="32" t="str">
        <f aca="false">IF(L16="","",IF(ABS(L16)&lt;=O16,"Yes","No"))</f>
        <v>No</v>
      </c>
      <c r="S16" s="32" t="str">
        <f aca="false">IF(L16="","",IF(ABS(L16)&lt;=1.96*O16,"Yes","No"))</f>
        <v>No</v>
      </c>
      <c r="T16" s="54" t="n">
        <f aca="false">IF(D16="","",ROUND(SQRT(((D16+G16)*O16/100)^2+(J16*(D16+G16)*0.06991)^2),0))</f>
        <v>67</v>
      </c>
      <c r="U16" s="32" t="s">
        <v>393</v>
      </c>
    </row>
    <row r="17" customFormat="false" ht="15" hidden="false" customHeight="false" outlineLevel="0" collapsed="false">
      <c r="A17" s="32" t="s">
        <v>127</v>
      </c>
      <c r="B17" s="32" t="s">
        <v>148</v>
      </c>
      <c r="C17" s="32" t="s">
        <v>129</v>
      </c>
      <c r="D17" s="54" t="n">
        <v>160</v>
      </c>
      <c r="E17" s="54" t="n">
        <v>109</v>
      </c>
      <c r="F17" s="65" t="n">
        <f aca="false">IF(E17="","",D17-E17)</f>
        <v>51</v>
      </c>
      <c r="G17" s="54" t="n">
        <v>528</v>
      </c>
      <c r="H17" s="54" t="n">
        <v>531</v>
      </c>
      <c r="I17" s="65" t="n">
        <f aca="false">IF(H17="","",G17-H17)</f>
        <v>-3</v>
      </c>
      <c r="J17" s="55" t="n">
        <f aca="false">IF(OR(D17="",D17+G17=0),"",D17/(D17+G17))</f>
        <v>0.232558139534884</v>
      </c>
      <c r="K17" s="55" t="n">
        <f aca="false">IF(E17="","",E17/(E17+H17))</f>
        <v>0.1703125</v>
      </c>
      <c r="L17" s="66" t="n">
        <f aca="false">IF(OR(K17="",J17=""),"",(J17-K17)*100)</f>
        <v>6.22456395348837</v>
      </c>
      <c r="M17" s="36" t="n">
        <v>3.63105829306161</v>
      </c>
      <c r="N17" s="36" t="n">
        <v>1.11900687197514</v>
      </c>
      <c r="O17" s="36" t="n">
        <f aca="false">SQRT(M17^2+N17^2)</f>
        <v>3.79957375334906</v>
      </c>
      <c r="P17" s="55" t="n">
        <f aca="false">IF(J17="","",MAX(0,J17-1.96*O17/100))</f>
        <v>0.158086493969242</v>
      </c>
      <c r="Q17" s="55" t="n">
        <f aca="false">IF(J17="","",MIN(1,J17+1.96*O17/100))</f>
        <v>0.307029785100525</v>
      </c>
      <c r="R17" s="32" t="str">
        <f aca="false">IF(L17="","",IF(ABS(L17)&lt;=O17,"Yes","No"))</f>
        <v>No</v>
      </c>
      <c r="S17" s="32" t="str">
        <f aca="false">IF(L17="","",IF(ABS(L17)&lt;=1.96*O17,"Yes","No"))</f>
        <v>Yes</v>
      </c>
      <c r="T17" s="54" t="n">
        <f aca="false">IF(D17="","",ROUND(SQRT(((D17+G17)*O17/100)^2+(J17*(D17+G17)*0.09092)^2),0))</f>
        <v>30</v>
      </c>
      <c r="U17" s="32" t="s">
        <v>393</v>
      </c>
    </row>
    <row r="18" customFormat="false" ht="15" hidden="false" customHeight="false" outlineLevel="0" collapsed="false">
      <c r="A18" s="32" t="s">
        <v>127</v>
      </c>
      <c r="B18" s="32" t="s">
        <v>149</v>
      </c>
      <c r="C18" s="32" t="s">
        <v>129</v>
      </c>
      <c r="D18" s="54" t="n">
        <v>1092</v>
      </c>
      <c r="E18" s="54" t="n">
        <v>863</v>
      </c>
      <c r="F18" s="65" t="n">
        <f aca="false">IF(E18="","",D18-E18)</f>
        <v>229</v>
      </c>
      <c r="G18" s="54" t="n">
        <v>1606</v>
      </c>
      <c r="H18" s="54" t="n">
        <v>1676</v>
      </c>
      <c r="I18" s="65" t="n">
        <f aca="false">IF(H18="","",G18-H18)</f>
        <v>-70</v>
      </c>
      <c r="J18" s="55" t="n">
        <f aca="false">IF(OR(D18="",D18+G18=0),"",D18/(D18+G18))</f>
        <v>0.404744255003707</v>
      </c>
      <c r="K18" s="55" t="n">
        <f aca="false">IF(E18="","",E18/(E18+H18))</f>
        <v>0.339897597479323</v>
      </c>
      <c r="L18" s="66" t="n">
        <f aca="false">IF(OR(K18="",J18=""),"",(J18-K18)*100)</f>
        <v>6.48466575243839</v>
      </c>
      <c r="M18" s="36" t="n">
        <v>2.40842220389472</v>
      </c>
      <c r="N18" s="36" t="n">
        <v>1.11900687197514</v>
      </c>
      <c r="O18" s="36" t="n">
        <f aca="false">SQRT(M18^2+N18^2)</f>
        <v>2.65568708468085</v>
      </c>
      <c r="P18" s="55" t="n">
        <f aca="false">IF(J18="","",MAX(0,J18-1.96*O18/100))</f>
        <v>0.352692788143962</v>
      </c>
      <c r="Q18" s="55" t="n">
        <f aca="false">IF(J18="","",MIN(1,J18+1.96*O18/100))</f>
        <v>0.456795721863451</v>
      </c>
      <c r="R18" s="32" t="str">
        <f aca="false">IF(L18="","",IF(ABS(L18)&lt;=O18,"Yes","No"))</f>
        <v>No</v>
      </c>
      <c r="S18" s="32" t="str">
        <f aca="false">IF(L18="","",IF(ABS(L18)&lt;=1.96*O18,"Yes","No"))</f>
        <v>No</v>
      </c>
      <c r="T18" s="54" t="n">
        <f aca="false">IF(D18="","",ROUND(SQRT(((D18+G18)*O18/100)^2+(J18*(D18+G18)*0.06991)^2),0))</f>
        <v>105</v>
      </c>
      <c r="U18" s="32" t="s">
        <v>393</v>
      </c>
    </row>
    <row r="19" customFormat="false" ht="15" hidden="false" customHeight="false" outlineLevel="0" collapsed="false">
      <c r="A19" s="32" t="s">
        <v>127</v>
      </c>
      <c r="B19" s="32" t="s">
        <v>150</v>
      </c>
      <c r="C19" s="32" t="s">
        <v>129</v>
      </c>
      <c r="D19" s="54" t="n">
        <v>78</v>
      </c>
      <c r="E19" s="54" t="n">
        <v>52</v>
      </c>
      <c r="F19" s="65" t="n">
        <f aca="false">IF(E19="","",D19-E19)</f>
        <v>26</v>
      </c>
      <c r="G19" s="54" t="n">
        <v>163</v>
      </c>
      <c r="H19" s="54" t="n">
        <v>167</v>
      </c>
      <c r="I19" s="65" t="n">
        <f aca="false">IF(H19="","",G19-H19)</f>
        <v>-4</v>
      </c>
      <c r="J19" s="55" t="n">
        <f aca="false">IF(OR(D19="",D19+G19=0),"",D19/(D19+G19))</f>
        <v>0.323651452282158</v>
      </c>
      <c r="K19" s="55" t="n">
        <f aca="false">IF(E19="","",E19/(E19+H19))</f>
        <v>0.237442922374429</v>
      </c>
      <c r="L19" s="66" t="n">
        <f aca="false">IF(OR(K19="",J19=""),"",(J19-K19)*100)</f>
        <v>8.62085299077285</v>
      </c>
      <c r="M19" s="36" t="n">
        <v>3.63105829306161</v>
      </c>
      <c r="N19" s="36" t="n">
        <v>1.11900687197514</v>
      </c>
      <c r="O19" s="36" t="n">
        <f aca="false">SQRT(M19^2+N19^2)</f>
        <v>3.79957375334906</v>
      </c>
      <c r="P19" s="55" t="n">
        <f aca="false">IF(J19="","",MAX(0,J19-1.96*O19/100))</f>
        <v>0.249179806716516</v>
      </c>
      <c r="Q19" s="55" t="n">
        <f aca="false">IF(J19="","",MIN(1,J19+1.96*O19/100))</f>
        <v>0.398123097847799</v>
      </c>
      <c r="R19" s="32" t="str">
        <f aca="false">IF(L19="","",IF(ABS(L19)&lt;=O19,"Yes","No"))</f>
        <v>No</v>
      </c>
      <c r="S19" s="32" t="str">
        <f aca="false">IF(L19="","",IF(ABS(L19)&lt;=1.96*O19,"Yes","No"))</f>
        <v>No</v>
      </c>
      <c r="T19" s="54" t="n">
        <f aca="false">IF(D19="","",ROUND(SQRT(((D19+G19)*O19/100)^2+(J19*(D19+G19)*0.09092)^2),0))</f>
        <v>12</v>
      </c>
      <c r="U19" s="32" t="s">
        <v>393</v>
      </c>
    </row>
    <row r="20" customFormat="false" ht="15" hidden="false" customHeight="false" outlineLevel="0" collapsed="false">
      <c r="A20" s="32" t="s">
        <v>127</v>
      </c>
      <c r="B20" s="32" t="s">
        <v>151</v>
      </c>
      <c r="C20" s="32" t="s">
        <v>129</v>
      </c>
      <c r="D20" s="54" t="n">
        <v>2319</v>
      </c>
      <c r="E20" s="54" t="n">
        <v>1997</v>
      </c>
      <c r="F20" s="65" t="n">
        <f aca="false">IF(E20="","",D20-E20)</f>
        <v>322</v>
      </c>
      <c r="G20" s="54" t="n">
        <v>3692</v>
      </c>
      <c r="H20" s="54" t="n">
        <v>3474</v>
      </c>
      <c r="I20" s="65" t="n">
        <f aca="false">IF(H20="","",G20-H20)</f>
        <v>218</v>
      </c>
      <c r="J20" s="55" t="n">
        <f aca="false">IF(OR(D20="",D20+G20=0),"",D20/(D20+G20))</f>
        <v>0.385792713358842</v>
      </c>
      <c r="K20" s="55" t="n">
        <f aca="false">IF(E20="","",E20/(E20+H20))</f>
        <v>0.365015536464997</v>
      </c>
      <c r="L20" s="66" t="n">
        <f aca="false">IF(OR(K20="",J20=""),"",(J20-K20)*100)</f>
        <v>2.07771768938449</v>
      </c>
      <c r="M20" s="36" t="n">
        <v>1.94826691630677</v>
      </c>
      <c r="N20" s="36" t="n">
        <v>1.11900687197514</v>
      </c>
      <c r="O20" s="36" t="n">
        <f aca="false">SQRT(M20^2+N20^2)</f>
        <v>2.24675774321645</v>
      </c>
      <c r="P20" s="55" t="n">
        <f aca="false">IF(J20="","",MAX(0,J20-1.96*O20/100))</f>
        <v>0.3417562615918</v>
      </c>
      <c r="Q20" s="55" t="n">
        <f aca="false">IF(J20="","",MIN(1,J20+1.96*O20/100))</f>
        <v>0.429829165125885</v>
      </c>
      <c r="R20" s="32" t="str">
        <f aca="false">IF(L20="","",IF(ABS(L20)&lt;=O20,"Yes","No"))</f>
        <v>Yes</v>
      </c>
      <c r="S20" s="32" t="str">
        <f aca="false">IF(L20="","",IF(ABS(L20)&lt;=1.96*O20,"Yes","No"))</f>
        <v>Yes</v>
      </c>
      <c r="T20" s="54" t="n">
        <f aca="false">IF(D20="","",ROUND(SQRT(((D20+G20)*O20/100)^2+(J20*(D20+G20)*0.0639)^2),0))</f>
        <v>200</v>
      </c>
      <c r="U20" s="32" t="s">
        <v>393</v>
      </c>
    </row>
    <row r="21" customFormat="false" ht="15" hidden="false" customHeight="false" outlineLevel="0" collapsed="false">
      <c r="A21" s="32" t="s">
        <v>127</v>
      </c>
      <c r="B21" s="32" t="s">
        <v>153</v>
      </c>
      <c r="C21" s="32" t="s">
        <v>129</v>
      </c>
      <c r="D21" s="54" t="n">
        <v>749</v>
      </c>
      <c r="E21" s="54" t="n">
        <v>620</v>
      </c>
      <c r="F21" s="65" t="n">
        <f aca="false">IF(E21="","",D21-E21)</f>
        <v>129</v>
      </c>
      <c r="G21" s="54" t="n">
        <v>823</v>
      </c>
      <c r="H21" s="54" t="n">
        <v>917</v>
      </c>
      <c r="I21" s="65" t="n">
        <f aca="false">IF(H21="","",G21-H21)</f>
        <v>-94</v>
      </c>
      <c r="J21" s="55" t="n">
        <f aca="false">IF(OR(D21="",D21+G21=0),"",D21/(D21+G21))</f>
        <v>0.4764631043257</v>
      </c>
      <c r="K21" s="55" t="n">
        <f aca="false">IF(E21="","",E21/(E21+H21))</f>
        <v>0.403383214053351</v>
      </c>
      <c r="L21" s="66" t="n">
        <f aca="false">IF(OR(K21="",J21=""),"",(J21-K21)*100)</f>
        <v>7.30798902723491</v>
      </c>
      <c r="M21" s="36" t="n">
        <v>2.40842220389472</v>
      </c>
      <c r="N21" s="36" t="n">
        <v>1.11900687197514</v>
      </c>
      <c r="O21" s="36" t="n">
        <f aca="false">SQRT(M21^2+N21^2)</f>
        <v>2.65568708468085</v>
      </c>
      <c r="P21" s="55" t="n">
        <f aca="false">IF(J21="","",MAX(0,J21-1.96*O21/100))</f>
        <v>0.424411637465955</v>
      </c>
      <c r="Q21" s="55" t="n">
        <f aca="false">IF(J21="","",MIN(1,J21+1.96*O21/100))</f>
        <v>0.528514571185445</v>
      </c>
      <c r="R21" s="32" t="str">
        <f aca="false">IF(L21="","",IF(ABS(L21)&lt;=O21,"Yes","No"))</f>
        <v>No</v>
      </c>
      <c r="S21" s="32" t="str">
        <f aca="false">IF(L21="","",IF(ABS(L21)&lt;=1.96*O21,"Yes","No"))</f>
        <v>No</v>
      </c>
      <c r="T21" s="54" t="n">
        <f aca="false">IF(D21="","",ROUND(SQRT(((D21+G21)*O21/100)^2+(J21*(D21+G21)*0.06991)^2),0))</f>
        <v>67</v>
      </c>
      <c r="U21" s="32" t="s">
        <v>393</v>
      </c>
    </row>
    <row r="22" customFormat="false" ht="15" hidden="false" customHeight="false" outlineLevel="0" collapsed="false">
      <c r="A22" s="32" t="s">
        <v>127</v>
      </c>
      <c r="B22" s="32" t="s">
        <v>154</v>
      </c>
      <c r="C22" s="32" t="s">
        <v>129</v>
      </c>
      <c r="D22" s="54" t="n">
        <v>882</v>
      </c>
      <c r="E22" s="54" t="n">
        <v>723</v>
      </c>
      <c r="F22" s="65" t="n">
        <f aca="false">IF(E22="","",D22-E22)</f>
        <v>159</v>
      </c>
      <c r="G22" s="54" t="n">
        <v>1844</v>
      </c>
      <c r="H22" s="54" t="n">
        <v>1892</v>
      </c>
      <c r="I22" s="65" t="n">
        <f aca="false">IF(H22="","",G22-H22)</f>
        <v>-48</v>
      </c>
      <c r="J22" s="55" t="n">
        <f aca="false">IF(OR(D22="",D22+G22=0),"",D22/(D22+G22))</f>
        <v>0.323550990462216</v>
      </c>
      <c r="K22" s="55" t="n">
        <f aca="false">IF(E22="","",E22/(E22+H22))</f>
        <v>0.276481835564054</v>
      </c>
      <c r="L22" s="66" t="n">
        <f aca="false">IF(OR(K22="",J22=""),"",(J22-K22)*100)</f>
        <v>4.70691548981622</v>
      </c>
      <c r="M22" s="36" t="n">
        <v>2.40842220389472</v>
      </c>
      <c r="N22" s="36" t="n">
        <v>1.11900687197514</v>
      </c>
      <c r="O22" s="36" t="n">
        <f aca="false">SQRT(M22^2+N22^2)</f>
        <v>2.65568708468085</v>
      </c>
      <c r="P22" s="55" t="n">
        <f aca="false">IF(J22="","",MAX(0,J22-1.96*O22/100))</f>
        <v>0.271499523602471</v>
      </c>
      <c r="Q22" s="55" t="n">
        <f aca="false">IF(J22="","",MIN(1,J22+1.96*O22/100))</f>
        <v>0.37560245732196</v>
      </c>
      <c r="R22" s="32" t="str">
        <f aca="false">IF(L22="","",IF(ABS(L22)&lt;=O22,"Yes","No"))</f>
        <v>No</v>
      </c>
      <c r="S22" s="32" t="str">
        <f aca="false">IF(L22="","",IF(ABS(L22)&lt;=1.96*O22,"Yes","No"))</f>
        <v>Yes</v>
      </c>
      <c r="T22" s="54" t="n">
        <f aca="false">IF(D22="","",ROUND(SQRT(((D22+G22)*O22/100)^2+(J22*(D22+G22)*0.06991)^2),0))</f>
        <v>95</v>
      </c>
      <c r="U22" s="32" t="s">
        <v>393</v>
      </c>
    </row>
    <row r="23" customFormat="false" ht="15" hidden="false" customHeight="false" outlineLevel="0" collapsed="false">
      <c r="A23" s="32" t="s">
        <v>127</v>
      </c>
      <c r="B23" s="32" t="s">
        <v>155</v>
      </c>
      <c r="C23" s="32" t="s">
        <v>129</v>
      </c>
      <c r="D23" s="54" t="n">
        <v>385</v>
      </c>
      <c r="E23" s="54" t="n">
        <v>323</v>
      </c>
      <c r="F23" s="65" t="n">
        <f aca="false">IF(E23="","",D23-E23)</f>
        <v>62</v>
      </c>
      <c r="G23" s="54" t="n">
        <v>848</v>
      </c>
      <c r="H23" s="54" t="n">
        <v>898</v>
      </c>
      <c r="I23" s="65" t="n">
        <f aca="false">IF(H23="","",G23-H23)</f>
        <v>-50</v>
      </c>
      <c r="J23" s="55" t="n">
        <f aca="false">IF(OR(D23="",D23+G23=0),"",D23/(D23+G23))</f>
        <v>0.312246553122466</v>
      </c>
      <c r="K23" s="55" t="n">
        <f aca="false">IF(E23="","",E23/(E23+H23))</f>
        <v>0.264537264537265</v>
      </c>
      <c r="L23" s="66" t="n">
        <f aca="false">IF(OR(K23="",J23=""),"",(J23-K23)*100)</f>
        <v>4.7709288585201</v>
      </c>
      <c r="M23" s="36" t="n">
        <v>3.63105829306161</v>
      </c>
      <c r="N23" s="36" t="n">
        <v>1.11900687197514</v>
      </c>
      <c r="O23" s="36" t="n">
        <f aca="false">SQRT(M23^2+N23^2)</f>
        <v>3.79957375334906</v>
      </c>
      <c r="P23" s="55" t="n">
        <f aca="false">IF(J23="","",MAX(0,J23-1.96*O23/100))</f>
        <v>0.237774907556824</v>
      </c>
      <c r="Q23" s="55" t="n">
        <f aca="false">IF(J23="","",MIN(1,J23+1.96*O23/100))</f>
        <v>0.386718198688107</v>
      </c>
      <c r="R23" s="32" t="str">
        <f aca="false">IF(L23="","",IF(ABS(L23)&lt;=O23,"Yes","No"))</f>
        <v>No</v>
      </c>
      <c r="S23" s="32" t="str">
        <f aca="false">IF(L23="","",IF(ABS(L23)&lt;=1.96*O23,"Yes","No"))</f>
        <v>Yes</v>
      </c>
      <c r="T23" s="54" t="n">
        <f aca="false">IF(D23="","",ROUND(SQRT(((D23+G23)*O23/100)^2+(J23*(D23+G23)*0.09092)^2),0))</f>
        <v>58</v>
      </c>
      <c r="U23" s="32" t="s">
        <v>393</v>
      </c>
    </row>
    <row r="24" customFormat="false" ht="15" hidden="false" customHeight="false" outlineLevel="0" collapsed="false">
      <c r="A24" s="32" t="s">
        <v>127</v>
      </c>
      <c r="B24" s="32" t="s">
        <v>156</v>
      </c>
      <c r="C24" s="32" t="s">
        <v>129</v>
      </c>
      <c r="D24" s="54" t="n">
        <v>83</v>
      </c>
      <c r="E24" s="54" t="n">
        <v>62</v>
      </c>
      <c r="F24" s="65" t="n">
        <f aca="false">IF(E24="","",D24-E24)</f>
        <v>21</v>
      </c>
      <c r="G24" s="54" t="n">
        <v>91</v>
      </c>
      <c r="H24" s="54" t="n">
        <v>91</v>
      </c>
      <c r="I24" s="65" t="n">
        <f aca="false">IF(H24="","",G24-H24)</f>
        <v>0</v>
      </c>
      <c r="J24" s="55" t="n">
        <f aca="false">IF(OR(D24="",D24+G24=0),"",D24/(D24+G24))</f>
        <v>0.477011494252874</v>
      </c>
      <c r="K24" s="55" t="n">
        <f aca="false">IF(E24="","",E24/(E24+H24))</f>
        <v>0.405228758169935</v>
      </c>
      <c r="L24" s="66" t="n">
        <f aca="false">IF(OR(K24="",J24=""),"",(J24-K24)*100)</f>
        <v>7.17827360829389</v>
      </c>
      <c r="M24" s="36" t="n">
        <v>3.63105829306161</v>
      </c>
      <c r="N24" s="36" t="n">
        <v>1.11900687197514</v>
      </c>
      <c r="O24" s="36" t="n">
        <f aca="false">SQRT(M24^2+N24^2)</f>
        <v>3.79957375334906</v>
      </c>
      <c r="P24" s="55" t="n">
        <f aca="false">IF(J24="","",MAX(0,J24-1.96*O24/100))</f>
        <v>0.402539848687232</v>
      </c>
      <c r="Q24" s="55" t="n">
        <f aca="false">IF(J24="","",MIN(1,J24+1.96*O24/100))</f>
        <v>0.551483139818515</v>
      </c>
      <c r="R24" s="32" t="str">
        <f aca="false">IF(L24="","",IF(ABS(L24)&lt;=O24,"Yes","No"))</f>
        <v>No</v>
      </c>
      <c r="S24" s="32" t="str">
        <f aca="false">IF(L24="","",IF(ABS(L24)&lt;=1.96*O24,"Yes","No"))</f>
        <v>Yes</v>
      </c>
      <c r="T24" s="54" t="n">
        <f aca="false">IF(D24="","",ROUND(SQRT(((D24+G24)*O24/100)^2+(J24*(D24+G24)*0.09092)^2),0))</f>
        <v>10</v>
      </c>
      <c r="U24" s="32" t="s">
        <v>393</v>
      </c>
    </row>
    <row r="25" customFormat="false" ht="15" hidden="false" customHeight="false" outlineLevel="0" collapsed="false">
      <c r="A25" s="32" t="s">
        <v>157</v>
      </c>
      <c r="B25" s="32" t="s">
        <v>158</v>
      </c>
      <c r="C25" s="32" t="s">
        <v>129</v>
      </c>
      <c r="D25" s="54" t="n">
        <v>702</v>
      </c>
      <c r="E25" s="54" t="n">
        <v>644</v>
      </c>
      <c r="F25" s="65" t="n">
        <f aca="false">IF(E25="","",D25-E25)</f>
        <v>58</v>
      </c>
      <c r="G25" s="54" t="n">
        <v>631</v>
      </c>
      <c r="H25" s="54" t="n">
        <v>735</v>
      </c>
      <c r="I25" s="65" t="n">
        <f aca="false">IF(H25="","",G25-H25)</f>
        <v>-104</v>
      </c>
      <c r="J25" s="55" t="n">
        <f aca="false">IF(OR(D25="",D25+G25=0),"",D25/(D25+G25))</f>
        <v>0.526631657914479</v>
      </c>
      <c r="K25" s="55" t="n">
        <f aca="false">IF(E25="","",E25/(E25+H25))</f>
        <v>0.467005076142132</v>
      </c>
      <c r="L25" s="66" t="n">
        <f aca="false">IF(OR(K25="",J25=""),"",(J25-K25)*100)</f>
        <v>5.96265817723466</v>
      </c>
      <c r="M25" s="36" t="n">
        <v>3.63105829306161</v>
      </c>
      <c r="N25" s="36" t="n">
        <v>1.11900687197514</v>
      </c>
      <c r="O25" s="36" t="n">
        <f aca="false">SQRT(M25^2+N25^2)</f>
        <v>3.79957375334906</v>
      </c>
      <c r="P25" s="55" t="n">
        <f aca="false">IF(J25="","",MAX(0,J25-1.96*O25/100))</f>
        <v>0.452160012348837</v>
      </c>
      <c r="Q25" s="55" t="n">
        <f aca="false">IF(J25="","",MIN(1,J25+1.96*O25/100))</f>
        <v>0.60110330348012</v>
      </c>
      <c r="R25" s="32" t="str">
        <f aca="false">IF(L25="","",IF(ABS(L25)&lt;=O25,"Yes","No"))</f>
        <v>No</v>
      </c>
      <c r="S25" s="32" t="str">
        <f aca="false">IF(L25="","",IF(ABS(L25)&lt;=1.96*O25,"Yes","No"))</f>
        <v>Yes</v>
      </c>
      <c r="T25" s="54" t="n">
        <f aca="false">IF(D25="","",ROUND(SQRT(((D25+G25)*O25/100)^2+(J25*(D25+G25)*0.09092)^2),0))</f>
        <v>81</v>
      </c>
      <c r="U25" s="32"/>
    </row>
    <row r="26" customFormat="false" ht="15" hidden="false" customHeight="false" outlineLevel="0" collapsed="false">
      <c r="A26" s="32" t="s">
        <v>157</v>
      </c>
      <c r="B26" s="32" t="s">
        <v>159</v>
      </c>
      <c r="C26" s="32" t="s">
        <v>129</v>
      </c>
      <c r="D26" s="54" t="n">
        <v>29186</v>
      </c>
      <c r="E26" s="54" t="n">
        <v>27952</v>
      </c>
      <c r="F26" s="65" t="n">
        <f aca="false">IF(E26="","",D26-E26)</f>
        <v>1234</v>
      </c>
      <c r="G26" s="54" t="n">
        <v>11180</v>
      </c>
      <c r="H26" s="54" t="n">
        <v>12938</v>
      </c>
      <c r="I26" s="65" t="n">
        <f aca="false">IF(H26="","",G26-H26)</f>
        <v>-1758</v>
      </c>
      <c r="J26" s="55" t="n">
        <f aca="false">IF(OR(D26="",D26+G26=0),"",D26/(D26+G26))</f>
        <v>0.723034236733885</v>
      </c>
      <c r="K26" s="55" t="n">
        <f aca="false">IF(E26="","",E26/(E26+H26))</f>
        <v>0.6835901198337</v>
      </c>
      <c r="L26" s="66" t="n">
        <f aca="false">IF(OR(K26="",J26=""),"",(J26-K26)*100)</f>
        <v>3.94441169001848</v>
      </c>
      <c r="M26" s="36" t="n">
        <v>1.94826691630677</v>
      </c>
      <c r="N26" s="36" t="n">
        <v>1.11900687197514</v>
      </c>
      <c r="O26" s="36" t="n">
        <f aca="false">SQRT(M26^2+N26^2)</f>
        <v>2.24675774321645</v>
      </c>
      <c r="P26" s="55" t="n">
        <f aca="false">IF(J26="","",MAX(0,J26-1.96*O26/100))</f>
        <v>0.678997784966843</v>
      </c>
      <c r="Q26" s="55" t="n">
        <f aca="false">IF(J26="","",MIN(1,J26+1.96*O26/100))</f>
        <v>0.767070688500927</v>
      </c>
      <c r="R26" s="32" t="str">
        <f aca="false">IF(L26="","",IF(ABS(L26)&lt;=O26,"Yes","No"))</f>
        <v>No</v>
      </c>
      <c r="S26" s="32" t="str">
        <f aca="false">IF(L26="","",IF(ABS(L26)&lt;=1.96*O26,"Yes","No"))</f>
        <v>Yes</v>
      </c>
      <c r="T26" s="54" t="n">
        <f aca="false">IF(D26="","",ROUND(SQRT(((D26+G26)*O26/100)^2+(J26*(D26+G26)*0.0639)^2),0))</f>
        <v>2074</v>
      </c>
      <c r="U26" s="32"/>
    </row>
    <row r="27" customFormat="false" ht="15" hidden="false" customHeight="false" outlineLevel="0" collapsed="false">
      <c r="A27" s="32" t="s">
        <v>157</v>
      </c>
      <c r="B27" s="32" t="s">
        <v>160</v>
      </c>
      <c r="C27" s="32" t="s">
        <v>129</v>
      </c>
      <c r="D27" s="54" t="n">
        <v>6720</v>
      </c>
      <c r="E27" s="54" t="n">
        <v>6475</v>
      </c>
      <c r="F27" s="65" t="n">
        <f aca="false">IF(E27="","",D27-E27)</f>
        <v>245</v>
      </c>
      <c r="G27" s="54" t="n">
        <v>3352</v>
      </c>
      <c r="H27" s="54" t="n">
        <v>3784</v>
      </c>
      <c r="I27" s="65" t="n">
        <f aca="false">IF(H27="","",G27-H27)</f>
        <v>-432</v>
      </c>
      <c r="J27" s="55" t="n">
        <f aca="false">IF(OR(D27="",D27+G27=0),"",D27/(D27+G27))</f>
        <v>0.667196187450358</v>
      </c>
      <c r="K27" s="55" t="n">
        <f aca="false">IF(E27="","",E27/(E27+H27))</f>
        <v>0.631153133833707</v>
      </c>
      <c r="L27" s="66" t="n">
        <f aca="false">IF(OR(K27="",J27=""),"",(J27-K27)*100)</f>
        <v>3.60430536166505</v>
      </c>
      <c r="M27" s="36" t="n">
        <v>1.94826691630677</v>
      </c>
      <c r="N27" s="36" t="n">
        <v>1.11900687197514</v>
      </c>
      <c r="O27" s="36" t="n">
        <f aca="false">SQRT(M27^2+N27^2)</f>
        <v>2.24675774321645</v>
      </c>
      <c r="P27" s="55" t="n">
        <f aca="false">IF(J27="","",MAX(0,J27-1.96*O27/100))</f>
        <v>0.623159735683315</v>
      </c>
      <c r="Q27" s="55" t="n">
        <f aca="false">IF(J27="","",MIN(1,J27+1.96*O27/100))</f>
        <v>0.7112326392174</v>
      </c>
      <c r="R27" s="32" t="str">
        <f aca="false">IF(L27="","",IF(ABS(L27)&lt;=O27,"Yes","No"))</f>
        <v>No</v>
      </c>
      <c r="S27" s="32" t="str">
        <f aca="false">IF(L27="","",IF(ABS(L27)&lt;=1.96*O27,"Yes","No"))</f>
        <v>Yes</v>
      </c>
      <c r="T27" s="54" t="n">
        <f aca="false">IF(D27="","",ROUND(SQRT(((D27+G27)*O27/100)^2+(J27*(D27+G27)*0.0639)^2),0))</f>
        <v>485</v>
      </c>
      <c r="U27" s="32"/>
    </row>
    <row r="28" customFormat="false" ht="15" hidden="false" customHeight="false" outlineLevel="0" collapsed="false">
      <c r="A28" s="32" t="s">
        <v>157</v>
      </c>
      <c r="B28" s="32" t="s">
        <v>161</v>
      </c>
      <c r="C28" s="32" t="s">
        <v>129</v>
      </c>
      <c r="D28" s="54" t="n">
        <v>1754</v>
      </c>
      <c r="E28" s="54" t="n">
        <v>1582</v>
      </c>
      <c r="F28" s="65" t="n">
        <f aca="false">IF(E28="","",D28-E28)</f>
        <v>172</v>
      </c>
      <c r="G28" s="54" t="n">
        <v>1289</v>
      </c>
      <c r="H28" s="54" t="n">
        <v>1496</v>
      </c>
      <c r="I28" s="65" t="n">
        <f aca="false">IF(H28="","",G28-H28)</f>
        <v>-207</v>
      </c>
      <c r="J28" s="55" t="n">
        <f aca="false">IF(OR(D28="",D28+G28=0),"",D28/(D28+G28))</f>
        <v>0.576404863621426</v>
      </c>
      <c r="K28" s="55" t="n">
        <f aca="false">IF(E28="","",E28/(E28+H28))</f>
        <v>0.513970110461339</v>
      </c>
      <c r="L28" s="66" t="n">
        <f aca="false">IF(OR(K28="",J28=""),"",(J28-K28)*100)</f>
        <v>6.24347531600876</v>
      </c>
      <c r="M28" s="36" t="n">
        <v>2.40842220389472</v>
      </c>
      <c r="N28" s="36" t="n">
        <v>1.11900687197514</v>
      </c>
      <c r="O28" s="36" t="n">
        <f aca="false">SQRT(M28^2+N28^2)</f>
        <v>2.65568708468085</v>
      </c>
      <c r="P28" s="55" t="n">
        <f aca="false">IF(J28="","",MAX(0,J28-1.96*O28/100))</f>
        <v>0.524353396761682</v>
      </c>
      <c r="Q28" s="55" t="n">
        <f aca="false">IF(J28="","",MIN(1,J28+1.96*O28/100))</f>
        <v>0.628456330481171</v>
      </c>
      <c r="R28" s="32" t="str">
        <f aca="false">IF(L28="","",IF(ABS(L28)&lt;=O28,"Yes","No"))</f>
        <v>No</v>
      </c>
      <c r="S28" s="32" t="str">
        <f aca="false">IF(L28="","",IF(ABS(L28)&lt;=1.96*O28,"Yes","No"))</f>
        <v>No</v>
      </c>
      <c r="T28" s="54" t="n">
        <f aca="false">IF(D28="","",ROUND(SQRT(((D28+G28)*O28/100)^2+(J28*(D28+G28)*0.06991)^2),0))</f>
        <v>147</v>
      </c>
      <c r="U28" s="32"/>
    </row>
    <row r="29" customFormat="false" ht="15" hidden="false" customHeight="false" outlineLevel="0" collapsed="false">
      <c r="A29" s="32" t="s">
        <v>157</v>
      </c>
      <c r="B29" s="32" t="s">
        <v>162</v>
      </c>
      <c r="C29" s="32" t="s">
        <v>129</v>
      </c>
      <c r="D29" s="54" t="n">
        <v>766</v>
      </c>
      <c r="E29" s="54" t="n">
        <v>704</v>
      </c>
      <c r="F29" s="65" t="n">
        <f aca="false">IF(E29="","",D29-E29)</f>
        <v>62</v>
      </c>
      <c r="G29" s="54" t="n">
        <v>699</v>
      </c>
      <c r="H29" s="54" t="n">
        <v>791</v>
      </c>
      <c r="I29" s="65" t="n">
        <f aca="false">IF(H29="","",G29-H29)</f>
        <v>-92</v>
      </c>
      <c r="J29" s="55" t="n">
        <f aca="false">IF(OR(D29="",D29+G29=0),"",D29/(D29+G29))</f>
        <v>0.522866894197952</v>
      </c>
      <c r="K29" s="55" t="n">
        <f aca="false">IF(E29="","",E29/(E29+H29))</f>
        <v>0.470903010033445</v>
      </c>
      <c r="L29" s="66" t="n">
        <f aca="false">IF(OR(K29="",J29=""),"",(J29-K29)*100)</f>
        <v>5.19638841645074</v>
      </c>
      <c r="M29" s="36" t="n">
        <v>3.63105829306161</v>
      </c>
      <c r="N29" s="36" t="n">
        <v>1.11900687197514</v>
      </c>
      <c r="O29" s="36" t="n">
        <f aca="false">SQRT(M29^2+N29^2)</f>
        <v>3.79957375334906</v>
      </c>
      <c r="P29" s="55" t="n">
        <f aca="false">IF(J29="","",MAX(0,J29-1.96*O29/100))</f>
        <v>0.448395248632311</v>
      </c>
      <c r="Q29" s="55" t="n">
        <f aca="false">IF(J29="","",MIN(1,J29+1.96*O29/100))</f>
        <v>0.597338539763594</v>
      </c>
      <c r="R29" s="32" t="str">
        <f aca="false">IF(L29="","",IF(ABS(L29)&lt;=O29,"Yes","No"))</f>
        <v>No</v>
      </c>
      <c r="S29" s="32" t="str">
        <f aca="false">IF(L29="","",IF(ABS(L29)&lt;=1.96*O29,"Yes","No"))</f>
        <v>Yes</v>
      </c>
      <c r="T29" s="54" t="n">
        <f aca="false">IF(D29="","",ROUND(SQRT(((D29+G29)*O29/100)^2+(J29*(D29+G29)*0.09092)^2),0))</f>
        <v>89</v>
      </c>
      <c r="U29" s="32"/>
    </row>
    <row r="30" customFormat="false" ht="15" hidden="false" customHeight="false" outlineLevel="0" collapsed="false">
      <c r="A30" s="32" t="s">
        <v>157</v>
      </c>
      <c r="B30" s="32" t="s">
        <v>163</v>
      </c>
      <c r="C30" s="32" t="s">
        <v>129</v>
      </c>
      <c r="D30" s="54" t="n">
        <v>952</v>
      </c>
      <c r="E30" s="54" t="n">
        <v>878</v>
      </c>
      <c r="F30" s="65" t="n">
        <f aca="false">IF(E30="","",D30-E30)</f>
        <v>74</v>
      </c>
      <c r="G30" s="54" t="n">
        <v>758</v>
      </c>
      <c r="H30" s="54" t="n">
        <v>870</v>
      </c>
      <c r="I30" s="65" t="n">
        <f aca="false">IF(H30="","",G30-H30)</f>
        <v>-112</v>
      </c>
      <c r="J30" s="55" t="n">
        <f aca="false">IF(OR(D30="",D30+G30=0),"",D30/(D30+G30))</f>
        <v>0.55672514619883</v>
      </c>
      <c r="K30" s="55" t="n">
        <f aca="false">IF(E30="","",E30/(E30+H30))</f>
        <v>0.502288329519451</v>
      </c>
      <c r="L30" s="66" t="n">
        <f aca="false">IF(OR(K30="",J30=""),"",(J30-K30)*100)</f>
        <v>5.44368166793796</v>
      </c>
      <c r="M30" s="36" t="n">
        <v>2.40842220389472</v>
      </c>
      <c r="N30" s="36" t="n">
        <v>1.11900687197514</v>
      </c>
      <c r="O30" s="36" t="n">
        <f aca="false">SQRT(M30^2+N30^2)</f>
        <v>2.65568708468085</v>
      </c>
      <c r="P30" s="55" t="n">
        <f aca="false">IF(J30="","",MAX(0,J30-1.96*O30/100))</f>
        <v>0.504673679339086</v>
      </c>
      <c r="Q30" s="55" t="n">
        <f aca="false">IF(J30="","",MIN(1,J30+1.96*O30/100))</f>
        <v>0.608776613058575</v>
      </c>
      <c r="R30" s="32" t="str">
        <f aca="false">IF(L30="","",IF(ABS(L30)&lt;=O30,"Yes","No"))</f>
        <v>No</v>
      </c>
      <c r="S30" s="32" t="str">
        <f aca="false">IF(L30="","",IF(ABS(L30)&lt;=1.96*O30,"Yes","No"))</f>
        <v>No</v>
      </c>
      <c r="T30" s="54" t="n">
        <f aca="false">IF(D30="","",ROUND(SQRT(((D30+G30)*O30/100)^2+(J30*(D30+G30)*0.06991)^2),0))</f>
        <v>81</v>
      </c>
      <c r="U30" s="32"/>
    </row>
    <row r="31" customFormat="false" ht="15" hidden="false" customHeight="false" outlineLevel="0" collapsed="false">
      <c r="A31" s="32" t="s">
        <v>157</v>
      </c>
      <c r="B31" s="32" t="s">
        <v>164</v>
      </c>
      <c r="C31" s="32" t="s">
        <v>129</v>
      </c>
      <c r="D31" s="54" t="n">
        <v>3616</v>
      </c>
      <c r="E31" s="54" t="n">
        <v>3393</v>
      </c>
      <c r="F31" s="65" t="n">
        <f aca="false">IF(E31="","",D31-E31)</f>
        <v>223</v>
      </c>
      <c r="G31" s="54" t="n">
        <v>2893</v>
      </c>
      <c r="H31" s="54" t="n">
        <v>3078</v>
      </c>
      <c r="I31" s="65" t="n">
        <f aca="false">IF(H31="","",G31-H31)</f>
        <v>-185</v>
      </c>
      <c r="J31" s="55" t="n">
        <f aca="false">IF(OR(D31="",D31+G31=0),"",D31/(D31+G31))</f>
        <v>0.555538485174374</v>
      </c>
      <c r="K31" s="55" t="n">
        <f aca="false">IF(E31="","",E31/(E31+H31))</f>
        <v>0.524339360222531</v>
      </c>
      <c r="L31" s="66" t="n">
        <f aca="false">IF(OR(K31="",J31=""),"",(J31-K31)*100)</f>
        <v>3.11991249518427</v>
      </c>
      <c r="M31" s="36" t="n">
        <v>1.94826691630677</v>
      </c>
      <c r="N31" s="36" t="n">
        <v>1.11900687197514</v>
      </c>
      <c r="O31" s="36" t="n">
        <f aca="false">SQRT(M31^2+N31^2)</f>
        <v>2.24675774321645</v>
      </c>
      <c r="P31" s="55" t="n">
        <f aca="false">IF(J31="","",MAX(0,J31-1.96*O31/100))</f>
        <v>0.511502033407332</v>
      </c>
      <c r="Q31" s="55" t="n">
        <f aca="false">IF(J31="","",MIN(1,J31+1.96*O31/100))</f>
        <v>0.599574936941416</v>
      </c>
      <c r="R31" s="32" t="str">
        <f aca="false">IF(L31="","",IF(ABS(L31)&lt;=O31,"Yes","No"))</f>
        <v>No</v>
      </c>
      <c r="S31" s="32" t="str">
        <f aca="false">IF(L31="","",IF(ABS(L31)&lt;=1.96*O31,"Yes","No"))</f>
        <v>Yes</v>
      </c>
      <c r="T31" s="54" t="n">
        <f aca="false">IF(D31="","",ROUND(SQRT(((D31+G31)*O31/100)^2+(J31*(D31+G31)*0.0639)^2),0))</f>
        <v>273</v>
      </c>
      <c r="U31" s="32"/>
    </row>
    <row r="32" customFormat="false" ht="15" hidden="false" customHeight="false" outlineLevel="0" collapsed="false">
      <c r="A32" s="32" t="s">
        <v>157</v>
      </c>
      <c r="B32" s="32" t="s">
        <v>165</v>
      </c>
      <c r="C32" s="32" t="s">
        <v>129</v>
      </c>
      <c r="D32" s="54" t="n">
        <v>1481</v>
      </c>
      <c r="E32" s="54" t="n">
        <v>1481</v>
      </c>
      <c r="F32" s="65" t="n">
        <f aca="false">IF(E32="","",D32-E32)</f>
        <v>0</v>
      </c>
      <c r="G32" s="54" t="n">
        <v>628</v>
      </c>
      <c r="H32" s="54" t="n">
        <v>737</v>
      </c>
      <c r="I32" s="65" t="n">
        <f aca="false">IF(H32="","",G32-H32)</f>
        <v>-109</v>
      </c>
      <c r="J32" s="55" t="n">
        <f aca="false">IF(OR(D32="",D32+G32=0),"",D32/(D32+G32))</f>
        <v>0.702228544333807</v>
      </c>
      <c r="K32" s="55" t="n">
        <f aca="false">IF(E32="","",E32/(E32+H32))</f>
        <v>0.667718665464382</v>
      </c>
      <c r="L32" s="66" t="n">
        <f aca="false">IF(OR(K32="",J32=""),"",(J32-K32)*100)</f>
        <v>3.45098788694251</v>
      </c>
      <c r="M32" s="36" t="n">
        <v>2.40842220389472</v>
      </c>
      <c r="N32" s="36" t="n">
        <v>1.11900687197514</v>
      </c>
      <c r="O32" s="36" t="n">
        <f aca="false">SQRT(M32^2+N32^2)</f>
        <v>2.65568708468085</v>
      </c>
      <c r="P32" s="55" t="n">
        <f aca="false">IF(J32="","",MAX(0,J32-1.96*O32/100))</f>
        <v>0.650177077474063</v>
      </c>
      <c r="Q32" s="55" t="n">
        <f aca="false">IF(J32="","",MIN(1,J32+1.96*O32/100))</f>
        <v>0.754280011193552</v>
      </c>
      <c r="R32" s="32" t="str">
        <f aca="false">IF(L32="","",IF(ABS(L32)&lt;=O32,"Yes","No"))</f>
        <v>No</v>
      </c>
      <c r="S32" s="32" t="str">
        <f aca="false">IF(L32="","",IF(ABS(L32)&lt;=1.96*O32,"Yes","No"))</f>
        <v>Yes</v>
      </c>
      <c r="T32" s="54" t="n">
        <f aca="false">IF(D32="","",ROUND(SQRT(((D32+G32)*O32/100)^2+(J32*(D32+G32)*0.06991)^2),0))</f>
        <v>118</v>
      </c>
      <c r="U32" s="32"/>
    </row>
    <row r="33" customFormat="false" ht="15" hidden="false" customHeight="false" outlineLevel="0" collapsed="false">
      <c r="A33" s="32" t="s">
        <v>157</v>
      </c>
      <c r="B33" s="32" t="s">
        <v>166</v>
      </c>
      <c r="C33" s="32" t="s">
        <v>129</v>
      </c>
      <c r="D33" s="54" t="n">
        <v>404</v>
      </c>
      <c r="E33" s="54" t="n">
        <v>405</v>
      </c>
      <c r="F33" s="65" t="n">
        <f aca="false">IF(E33="","",D33-E33)</f>
        <v>-1</v>
      </c>
      <c r="G33" s="54" t="n">
        <v>276</v>
      </c>
      <c r="H33" s="54" t="n">
        <v>304</v>
      </c>
      <c r="I33" s="65" t="n">
        <f aca="false">IF(H33="","",G33-H33)</f>
        <v>-28</v>
      </c>
      <c r="J33" s="55" t="n">
        <f aca="false">IF(OR(D33="",D33+G33=0),"",D33/(D33+G33))</f>
        <v>0.594117647058824</v>
      </c>
      <c r="K33" s="55" t="n">
        <f aca="false">IF(E33="","",E33/(E33+H33))</f>
        <v>0.571227080394922</v>
      </c>
      <c r="L33" s="66" t="n">
        <f aca="false">IF(OR(K33="",J33=""),"",(J33-K33)*100)</f>
        <v>2.28905666639011</v>
      </c>
      <c r="M33" s="36" t="n">
        <v>3.63105829306161</v>
      </c>
      <c r="N33" s="36" t="n">
        <v>1.11900687197514</v>
      </c>
      <c r="O33" s="36" t="n">
        <f aca="false">SQRT(M33^2+N33^2)</f>
        <v>3.79957375334906</v>
      </c>
      <c r="P33" s="55" t="n">
        <f aca="false">IF(J33="","",MAX(0,J33-1.96*O33/100))</f>
        <v>0.519646001493182</v>
      </c>
      <c r="Q33" s="55" t="n">
        <f aca="false">IF(J33="","",MIN(1,J33+1.96*O33/100))</f>
        <v>0.668589292624465</v>
      </c>
      <c r="R33" s="32" t="str">
        <f aca="false">IF(L33="","",IF(ABS(L33)&lt;=O33,"Yes","No"))</f>
        <v>Yes</v>
      </c>
      <c r="S33" s="32" t="str">
        <f aca="false">IF(L33="","",IF(ABS(L33)&lt;=1.96*O33,"Yes","No"))</f>
        <v>Yes</v>
      </c>
      <c r="T33" s="54" t="n">
        <f aca="false">IF(D33="","",ROUND(SQRT(((D33+G33)*O33/100)^2+(J33*(D33+G33)*0.09092)^2),0))</f>
        <v>45</v>
      </c>
      <c r="U33" s="32"/>
    </row>
    <row r="34" customFormat="false" ht="15" hidden="false" customHeight="false" outlineLevel="0" collapsed="false">
      <c r="A34" s="32" t="s">
        <v>157</v>
      </c>
      <c r="B34" s="32" t="s">
        <v>167</v>
      </c>
      <c r="C34" s="32" t="s">
        <v>129</v>
      </c>
      <c r="D34" s="54" t="n">
        <v>674</v>
      </c>
      <c r="E34" s="54" t="n">
        <v>602</v>
      </c>
      <c r="F34" s="65" t="n">
        <f aca="false">IF(E34="","",D34-E34)</f>
        <v>72</v>
      </c>
      <c r="G34" s="54" t="n">
        <v>1304</v>
      </c>
      <c r="H34" s="54" t="n">
        <v>1339</v>
      </c>
      <c r="I34" s="65" t="n">
        <f aca="false">IF(H34="","",G34-H34)</f>
        <v>-35</v>
      </c>
      <c r="J34" s="55" t="n">
        <f aca="false">IF(OR(D34="",D34+G34=0),"",D34/(D34+G34))</f>
        <v>0.340748230535895</v>
      </c>
      <c r="K34" s="55" t="n">
        <f aca="false">IF(E34="","",E34/(E34+H34))</f>
        <v>0.310149407521896</v>
      </c>
      <c r="L34" s="66" t="n">
        <f aca="false">IF(OR(K34="",J34=""),"",(J34-K34)*100)</f>
        <v>3.0598823013999</v>
      </c>
      <c r="M34" s="36" t="n">
        <v>2.40842220389472</v>
      </c>
      <c r="N34" s="36" t="n">
        <v>1.11900687197514</v>
      </c>
      <c r="O34" s="36" t="n">
        <f aca="false">SQRT(M34^2+N34^2)</f>
        <v>2.65568708468085</v>
      </c>
      <c r="P34" s="55" t="n">
        <f aca="false">IF(J34="","",MAX(0,J34-1.96*O34/100))</f>
        <v>0.28869676367615</v>
      </c>
      <c r="Q34" s="55" t="n">
        <f aca="false">IF(J34="","",MIN(1,J34+1.96*O34/100))</f>
        <v>0.39279969739564</v>
      </c>
      <c r="R34" s="32" t="str">
        <f aca="false">IF(L34="","",IF(ABS(L34)&lt;=O34,"Yes","No"))</f>
        <v>No</v>
      </c>
      <c r="S34" s="32" t="str">
        <f aca="false">IF(L34="","",IF(ABS(L34)&lt;=1.96*O34,"Yes","No"))</f>
        <v>Yes</v>
      </c>
      <c r="T34" s="54" t="n">
        <f aca="false">IF(D34="","",ROUND(SQRT(((D34+G34)*O34/100)^2+(J34*(D34+G34)*0.06991)^2),0))</f>
        <v>71</v>
      </c>
      <c r="U34" s="32"/>
    </row>
    <row r="35" customFormat="false" ht="15" hidden="false" customHeight="false" outlineLevel="0" collapsed="false">
      <c r="A35" s="32" t="s">
        <v>157</v>
      </c>
      <c r="B35" s="32" t="s">
        <v>168</v>
      </c>
      <c r="C35" s="32" t="s">
        <v>129</v>
      </c>
      <c r="D35" s="54" t="n">
        <v>10064</v>
      </c>
      <c r="E35" s="54" t="n">
        <v>9782</v>
      </c>
      <c r="F35" s="65" t="n">
        <f aca="false">IF(E35="","",D35-E35)</f>
        <v>282</v>
      </c>
      <c r="G35" s="54" t="n">
        <v>9523</v>
      </c>
      <c r="H35" s="54" t="n">
        <v>10014</v>
      </c>
      <c r="I35" s="65" t="n">
        <f aca="false">IF(H35="","",G35-H35)</f>
        <v>-491</v>
      </c>
      <c r="J35" s="55" t="n">
        <f aca="false">IF(OR(D35="",D35+G35=0),"",D35/(D35+G35))</f>
        <v>0.513810180221576</v>
      </c>
      <c r="K35" s="55" t="n">
        <f aca="false">IF(E35="","",E35/(E35+H35))</f>
        <v>0.494140230349566</v>
      </c>
      <c r="L35" s="66" t="n">
        <f aca="false">IF(OR(K35="",J35=""),"",(J35-K35)*100)</f>
        <v>1.966994987201</v>
      </c>
      <c r="M35" s="36" t="n">
        <v>1.94826691630677</v>
      </c>
      <c r="N35" s="36" t="n">
        <v>1.11900687197514</v>
      </c>
      <c r="O35" s="36" t="n">
        <f aca="false">SQRT(M35^2+N35^2)</f>
        <v>2.24675774321645</v>
      </c>
      <c r="P35" s="55" t="n">
        <f aca="false">IF(J35="","",MAX(0,J35-1.96*O35/100))</f>
        <v>0.469773728454533</v>
      </c>
      <c r="Q35" s="55" t="n">
        <f aca="false">IF(J35="","",MIN(1,J35+1.96*O35/100))</f>
        <v>0.557846631988618</v>
      </c>
      <c r="R35" s="32" t="str">
        <f aca="false">IF(L35="","",IF(ABS(L35)&lt;=O35,"Yes","No"))</f>
        <v>Yes</v>
      </c>
      <c r="S35" s="32" t="str">
        <f aca="false">IF(L35="","",IF(ABS(L35)&lt;=1.96*O35,"Yes","No"))</f>
        <v>Yes</v>
      </c>
      <c r="T35" s="54" t="n">
        <f aca="false">IF(D35="","",ROUND(SQRT(((D35+G35)*O35/100)^2+(J35*(D35+G35)*0.0639)^2),0))</f>
        <v>779</v>
      </c>
      <c r="U35" s="32"/>
    </row>
    <row r="36" customFormat="false" ht="15" hidden="false" customHeight="false" outlineLevel="0" collapsed="false">
      <c r="A36" s="32" t="s">
        <v>157</v>
      </c>
      <c r="B36" s="32" t="s">
        <v>169</v>
      </c>
      <c r="C36" s="32" t="s">
        <v>129</v>
      </c>
      <c r="D36" s="54" t="n">
        <v>944</v>
      </c>
      <c r="E36" s="54" t="n">
        <v>920</v>
      </c>
      <c r="F36" s="65" t="n">
        <f aca="false">IF(E36="","",D36-E36)</f>
        <v>24</v>
      </c>
      <c r="G36" s="54" t="n">
        <v>1543</v>
      </c>
      <c r="H36" s="54" t="n">
        <v>1596</v>
      </c>
      <c r="I36" s="65" t="n">
        <f aca="false">IF(H36="","",G36-H36)</f>
        <v>-53</v>
      </c>
      <c r="J36" s="55" t="n">
        <f aca="false">IF(OR(D36="",D36+G36=0),"",D36/(D36+G36))</f>
        <v>0.379573783675111</v>
      </c>
      <c r="K36" s="55" t="n">
        <f aca="false">IF(E36="","",E36/(E36+H36))</f>
        <v>0.365659777424483</v>
      </c>
      <c r="L36" s="66" t="n">
        <f aca="false">IF(OR(K36="",J36=""),"",(J36-K36)*100)</f>
        <v>1.39140062506273</v>
      </c>
      <c r="M36" s="36" t="n">
        <v>2.40842220389472</v>
      </c>
      <c r="N36" s="36" t="n">
        <v>1.11900687197514</v>
      </c>
      <c r="O36" s="36" t="n">
        <f aca="false">SQRT(M36^2+N36^2)</f>
        <v>2.65568708468085</v>
      </c>
      <c r="P36" s="55" t="n">
        <f aca="false">IF(J36="","",MAX(0,J36-1.96*O36/100))</f>
        <v>0.327522316815366</v>
      </c>
      <c r="Q36" s="55" t="n">
        <f aca="false">IF(J36="","",MIN(1,J36+1.96*O36/100))</f>
        <v>0.431625250534855</v>
      </c>
      <c r="R36" s="32" t="str">
        <f aca="false">IF(L36="","",IF(ABS(L36)&lt;=O36,"Yes","No"))</f>
        <v>Yes</v>
      </c>
      <c r="S36" s="32" t="str">
        <f aca="false">IF(L36="","",IF(ABS(L36)&lt;=1.96*O36,"Yes","No"))</f>
        <v>Yes</v>
      </c>
      <c r="T36" s="54" t="n">
        <f aca="false">IF(D36="","",ROUND(SQRT(((D36+G36)*O36/100)^2+(J36*(D36+G36)*0.06991)^2),0))</f>
        <v>93</v>
      </c>
      <c r="U36" s="32"/>
    </row>
    <row r="37" customFormat="false" ht="15" hidden="false" customHeight="false" outlineLevel="0" collapsed="false">
      <c r="A37" s="32" t="s">
        <v>157</v>
      </c>
      <c r="B37" s="32" t="s">
        <v>170</v>
      </c>
      <c r="C37" s="32" t="s">
        <v>129</v>
      </c>
      <c r="D37" s="54" t="n">
        <v>529</v>
      </c>
      <c r="E37" s="54" t="n">
        <v>533</v>
      </c>
      <c r="F37" s="65" t="n">
        <f aca="false">IF(E37="","",D37-E37)</f>
        <v>-4</v>
      </c>
      <c r="G37" s="54" t="n">
        <v>930</v>
      </c>
      <c r="H37" s="54" t="n">
        <v>955</v>
      </c>
      <c r="I37" s="65" t="n">
        <f aca="false">IF(H37="","",G37-H37)</f>
        <v>-25</v>
      </c>
      <c r="J37" s="55" t="n">
        <f aca="false">IF(OR(D37="",D37+G37=0),"",D37/(D37+G37))</f>
        <v>0.362577107607951</v>
      </c>
      <c r="K37" s="55" t="n">
        <f aca="false">IF(E37="","",E37/(E37+H37))</f>
        <v>0.358198924731183</v>
      </c>
      <c r="L37" s="66" t="n">
        <f aca="false">IF(OR(K37="",J37=""),"",(J37-K37)*100)</f>
        <v>0.437818287676783</v>
      </c>
      <c r="M37" s="36" t="n">
        <v>3.63105829306161</v>
      </c>
      <c r="N37" s="36" t="n">
        <v>1.11900687197514</v>
      </c>
      <c r="O37" s="36" t="n">
        <f aca="false">SQRT(M37^2+N37^2)</f>
        <v>3.79957375334906</v>
      </c>
      <c r="P37" s="55" t="n">
        <f aca="false">IF(J37="","",MAX(0,J37-1.96*O37/100))</f>
        <v>0.288105462042309</v>
      </c>
      <c r="Q37" s="55" t="n">
        <f aca="false">IF(J37="","",MIN(1,J37+1.96*O37/100))</f>
        <v>0.437048753173592</v>
      </c>
      <c r="R37" s="32" t="str">
        <f aca="false">IF(L37="","",IF(ABS(L37)&lt;=O37,"Yes","No"))</f>
        <v>Yes</v>
      </c>
      <c r="S37" s="32" t="str">
        <f aca="false">IF(L37="","",IF(ABS(L37)&lt;=1.96*O37,"Yes","No"))</f>
        <v>Yes</v>
      </c>
      <c r="T37" s="54" t="n">
        <f aca="false">IF(D37="","",ROUND(SQRT(((D37+G37)*O37/100)^2+(J37*(D37+G37)*0.09092)^2),0))</f>
        <v>73</v>
      </c>
      <c r="U37" s="32"/>
    </row>
    <row r="38" customFormat="false" ht="15" hidden="false" customHeight="false" outlineLevel="0" collapsed="false">
      <c r="A38" s="32" t="s">
        <v>157</v>
      </c>
      <c r="B38" s="32" t="s">
        <v>171</v>
      </c>
      <c r="C38" s="32" t="s">
        <v>129</v>
      </c>
      <c r="D38" s="54" t="n">
        <v>840</v>
      </c>
      <c r="E38" s="54" t="n">
        <v>846</v>
      </c>
      <c r="F38" s="65" t="n">
        <f aca="false">IF(E38="","",D38-E38)</f>
        <v>-6</v>
      </c>
      <c r="G38" s="54" t="n">
        <v>1796</v>
      </c>
      <c r="H38" s="54" t="n">
        <v>1783</v>
      </c>
      <c r="I38" s="65" t="n">
        <f aca="false">IF(H38="","",G38-H38)</f>
        <v>13</v>
      </c>
      <c r="J38" s="55" t="n">
        <f aca="false">IF(OR(D38="",D38+G38=0),"",D38/(D38+G38))</f>
        <v>0.31866464339909</v>
      </c>
      <c r="K38" s="55" t="n">
        <f aca="false">IF(E38="","",E38/(E38+H38))</f>
        <v>0.321795359452263</v>
      </c>
      <c r="L38" s="66" t="n">
        <f aca="false">IF(OR(K38="",J38=""),"",(J38-K38)*100)</f>
        <v>-0.313071605317372</v>
      </c>
      <c r="M38" s="36" t="n">
        <v>2.40842220389472</v>
      </c>
      <c r="N38" s="36" t="n">
        <v>1.11900687197514</v>
      </c>
      <c r="O38" s="36" t="n">
        <f aca="false">SQRT(M38^2+N38^2)</f>
        <v>2.65568708468085</v>
      </c>
      <c r="P38" s="55" t="n">
        <f aca="false">IF(J38="","",MAX(0,J38-1.96*O38/100))</f>
        <v>0.266613176539345</v>
      </c>
      <c r="Q38" s="55" t="n">
        <f aca="false">IF(J38="","",MIN(1,J38+1.96*O38/100))</f>
        <v>0.370716110258834</v>
      </c>
      <c r="R38" s="32" t="str">
        <f aca="false">IF(L38="","",IF(ABS(L38)&lt;=O38,"Yes","No"))</f>
        <v>Yes</v>
      </c>
      <c r="S38" s="32" t="str">
        <f aca="false">IF(L38="","",IF(ABS(L38)&lt;=1.96*O38,"Yes","No"))</f>
        <v>Yes</v>
      </c>
      <c r="T38" s="54" t="n">
        <f aca="false">IF(D38="","",ROUND(SQRT(((D38+G38)*O38/100)^2+(J38*(D38+G38)*0.06991)^2),0))</f>
        <v>91</v>
      </c>
      <c r="U38" s="32"/>
    </row>
    <row r="39" customFormat="false" ht="15" hidden="false" customHeight="false" outlineLevel="0" collapsed="false">
      <c r="A39" s="32" t="s">
        <v>157</v>
      </c>
      <c r="B39" s="32" t="s">
        <v>172</v>
      </c>
      <c r="C39" s="32" t="s">
        <v>129</v>
      </c>
      <c r="D39" s="54" t="n">
        <v>978</v>
      </c>
      <c r="E39" s="54" t="n">
        <v>997</v>
      </c>
      <c r="F39" s="65" t="n">
        <f aca="false">IF(E39="","",D39-E39)</f>
        <v>-19</v>
      </c>
      <c r="G39" s="54" t="n">
        <v>839</v>
      </c>
      <c r="H39" s="54" t="n">
        <v>860</v>
      </c>
      <c r="I39" s="65" t="n">
        <f aca="false">IF(H39="","",G39-H39)</f>
        <v>-21</v>
      </c>
      <c r="J39" s="55" t="n">
        <f aca="false">IF(OR(D39="",D39+G39=0),"",D39/(D39+G39))</f>
        <v>0.538249862410567</v>
      </c>
      <c r="K39" s="55" t="n">
        <f aca="false">IF(E39="","",E39/(E39+H39))</f>
        <v>0.536887452880991</v>
      </c>
      <c r="L39" s="66" t="n">
        <f aca="false">IF(OR(K39="",J39=""),"",(J39-K39)*100)</f>
        <v>0.1362409529576</v>
      </c>
      <c r="M39" s="36" t="n">
        <v>2.40842220389472</v>
      </c>
      <c r="N39" s="36" t="n">
        <v>1.11900687197514</v>
      </c>
      <c r="O39" s="36" t="n">
        <f aca="false">SQRT(M39^2+N39^2)</f>
        <v>2.65568708468085</v>
      </c>
      <c r="P39" s="55" t="n">
        <f aca="false">IF(J39="","",MAX(0,J39-1.96*O39/100))</f>
        <v>0.486198395550822</v>
      </c>
      <c r="Q39" s="55" t="n">
        <f aca="false">IF(J39="","",MIN(1,J39+1.96*O39/100))</f>
        <v>0.590301329270312</v>
      </c>
      <c r="R39" s="32" t="str">
        <f aca="false">IF(L39="","",IF(ABS(L39)&lt;=O39,"Yes","No"))</f>
        <v>Yes</v>
      </c>
      <c r="S39" s="32" t="str">
        <f aca="false">IF(L39="","",IF(ABS(L39)&lt;=1.96*O39,"Yes","No"))</f>
        <v>Yes</v>
      </c>
      <c r="T39" s="54" t="n">
        <f aca="false">IF(D39="","",ROUND(SQRT(((D39+G39)*O39/100)^2+(J39*(D39+G39)*0.06991)^2),0))</f>
        <v>84</v>
      </c>
      <c r="U39" s="32"/>
    </row>
    <row r="40" customFormat="false" ht="15" hidden="false" customHeight="false" outlineLevel="0" collapsed="false">
      <c r="A40" s="32" t="s">
        <v>157</v>
      </c>
      <c r="B40" s="32" t="s">
        <v>173</v>
      </c>
      <c r="C40" s="32" t="s">
        <v>129</v>
      </c>
      <c r="D40" s="54" t="n">
        <v>4159</v>
      </c>
      <c r="E40" s="54" t="n">
        <v>3900</v>
      </c>
      <c r="F40" s="65" t="n">
        <f aca="false">IF(E40="","",D40-E40)</f>
        <v>259</v>
      </c>
      <c r="G40" s="54" t="n">
        <v>5503</v>
      </c>
      <c r="H40" s="54" t="n">
        <v>5859</v>
      </c>
      <c r="I40" s="65" t="n">
        <f aca="false">IF(H40="","",G40-H40)</f>
        <v>-356</v>
      </c>
      <c r="J40" s="55" t="n">
        <f aca="false">IF(OR(D40="",D40+G40=0),"",D40/(D40+G40))</f>
        <v>0.4304491823639</v>
      </c>
      <c r="K40" s="55" t="n">
        <f aca="false">IF(E40="","",E40/(E40+H40))</f>
        <v>0.399631109744851</v>
      </c>
      <c r="L40" s="66" t="n">
        <f aca="false">IF(OR(K40="",J40=""),"",(J40-K40)*100)</f>
        <v>3.0818072619049</v>
      </c>
      <c r="M40" s="36" t="n">
        <v>1.94826691630677</v>
      </c>
      <c r="N40" s="36" t="n">
        <v>1.11900687197514</v>
      </c>
      <c r="O40" s="36" t="n">
        <f aca="false">SQRT(M40^2+N40^2)</f>
        <v>2.24675774321645</v>
      </c>
      <c r="P40" s="55" t="n">
        <f aca="false">IF(J40="","",MAX(0,J40-1.96*O40/100))</f>
        <v>0.386412730596857</v>
      </c>
      <c r="Q40" s="55" t="n">
        <f aca="false">IF(J40="","",MIN(1,J40+1.96*O40/100))</f>
        <v>0.474485634130942</v>
      </c>
      <c r="R40" s="32" t="str">
        <f aca="false">IF(L40="","",IF(ABS(L40)&lt;=O40,"Yes","No"))</f>
        <v>No</v>
      </c>
      <c r="S40" s="32" t="str">
        <f aca="false">IF(L40="","",IF(ABS(L40)&lt;=1.96*O40,"Yes","No"))</f>
        <v>Yes</v>
      </c>
      <c r="T40" s="54" t="n">
        <f aca="false">IF(D40="","",ROUND(SQRT(((D40+G40)*O40/100)^2+(J40*(D40+G40)*0.0639)^2),0))</f>
        <v>343</v>
      </c>
      <c r="U40" s="32"/>
    </row>
    <row r="41" customFormat="false" ht="15" hidden="false" customHeight="false" outlineLevel="0" collapsed="false">
      <c r="A41" s="32" t="s">
        <v>157</v>
      </c>
      <c r="B41" s="32" t="s">
        <v>174</v>
      </c>
      <c r="C41" s="32" t="s">
        <v>129</v>
      </c>
      <c r="D41" s="54" t="n">
        <v>4132</v>
      </c>
      <c r="E41" s="54" t="n">
        <v>4029</v>
      </c>
      <c r="F41" s="65" t="n">
        <f aca="false">IF(E41="","",D41-E41)</f>
        <v>103</v>
      </c>
      <c r="G41" s="54" t="n">
        <v>3988</v>
      </c>
      <c r="H41" s="54" t="n">
        <v>4143</v>
      </c>
      <c r="I41" s="65" t="n">
        <f aca="false">IF(H41="","",G41-H41)</f>
        <v>-155</v>
      </c>
      <c r="J41" s="55" t="n">
        <f aca="false">IF(OR(D41="",D41+G41=0),"",D41/(D41+G41))</f>
        <v>0.508866995073892</v>
      </c>
      <c r="K41" s="55" t="n">
        <f aca="false">IF(E41="","",E41/(E41+H41))</f>
        <v>0.49302496328928</v>
      </c>
      <c r="L41" s="66" t="n">
        <f aca="false">IF(OR(K41="",J41=""),"",(J41-K41)*100)</f>
        <v>1.58420317846112</v>
      </c>
      <c r="M41" s="36" t="n">
        <v>1.94826691630677</v>
      </c>
      <c r="N41" s="36" t="n">
        <v>1.11900687197514</v>
      </c>
      <c r="O41" s="36" t="n">
        <f aca="false">SQRT(M41^2+N41^2)</f>
        <v>2.24675774321645</v>
      </c>
      <c r="P41" s="55" t="n">
        <f aca="false">IF(J41="","",MAX(0,J41-1.96*O41/100))</f>
        <v>0.464830543306849</v>
      </c>
      <c r="Q41" s="55" t="n">
        <f aca="false">IF(J41="","",MIN(1,J41+1.96*O41/100))</f>
        <v>0.552903446840934</v>
      </c>
      <c r="R41" s="32" t="str">
        <f aca="false">IF(L41="","",IF(ABS(L41)&lt;=O41,"Yes","No"))</f>
        <v>Yes</v>
      </c>
      <c r="S41" s="32" t="str">
        <f aca="false">IF(L41="","",IF(ABS(L41)&lt;=1.96*O41,"Yes","No"))</f>
        <v>Yes</v>
      </c>
      <c r="T41" s="54" t="n">
        <f aca="false">IF(D41="","",ROUND(SQRT(((D41+G41)*O41/100)^2+(J41*(D41+G41)*0.0639)^2),0))</f>
        <v>321</v>
      </c>
      <c r="U41" s="32"/>
    </row>
    <row r="42" customFormat="false" ht="15" hidden="false" customHeight="false" outlineLevel="0" collapsed="false">
      <c r="A42" s="32" t="s">
        <v>157</v>
      </c>
      <c r="B42" s="32" t="s">
        <v>175</v>
      </c>
      <c r="C42" s="32" t="s">
        <v>129</v>
      </c>
      <c r="D42" s="54" t="n">
        <v>825</v>
      </c>
      <c r="E42" s="54" t="n">
        <v>748</v>
      </c>
      <c r="F42" s="65" t="n">
        <f aca="false">IF(E42="","",D42-E42)</f>
        <v>77</v>
      </c>
      <c r="G42" s="54" t="n">
        <v>1032</v>
      </c>
      <c r="H42" s="54" t="n">
        <v>1149</v>
      </c>
      <c r="I42" s="65" t="n">
        <f aca="false">IF(H42="","",G42-H42)</f>
        <v>-117</v>
      </c>
      <c r="J42" s="55" t="n">
        <f aca="false">IF(OR(D42="",D42+G42=0),"",D42/(D42+G42))</f>
        <v>0.444264943457189</v>
      </c>
      <c r="K42" s="55" t="n">
        <f aca="false">IF(E42="","",E42/(E42+H42))</f>
        <v>0.394306800210859</v>
      </c>
      <c r="L42" s="66" t="n">
        <f aca="false">IF(OR(K42="",J42=""),"",(J42-K42)*100)</f>
        <v>4.99581432463298</v>
      </c>
      <c r="M42" s="36" t="n">
        <v>2.40842220389472</v>
      </c>
      <c r="N42" s="36" t="n">
        <v>1.11900687197514</v>
      </c>
      <c r="O42" s="36" t="n">
        <f aca="false">SQRT(M42^2+N42^2)</f>
        <v>2.65568708468085</v>
      </c>
      <c r="P42" s="55" t="n">
        <f aca="false">IF(J42="","",MAX(0,J42-1.96*O42/100))</f>
        <v>0.392213476597444</v>
      </c>
      <c r="Q42" s="55" t="n">
        <f aca="false">IF(J42="","",MIN(1,J42+1.96*O42/100))</f>
        <v>0.496316410316934</v>
      </c>
      <c r="R42" s="32" t="str">
        <f aca="false">IF(L42="","",IF(ABS(L42)&lt;=O42,"Yes","No"))</f>
        <v>No</v>
      </c>
      <c r="S42" s="32" t="str">
        <f aca="false">IF(L42="","",IF(ABS(L42)&lt;=1.96*O42,"Yes","No"))</f>
        <v>Yes</v>
      </c>
      <c r="T42" s="54" t="n">
        <f aca="false">IF(D42="","",ROUND(SQRT(((D42+G42)*O42/100)^2+(J42*(D42+G42)*0.06991)^2),0))</f>
        <v>76</v>
      </c>
      <c r="U42" s="32"/>
    </row>
    <row r="43" customFormat="false" ht="15" hidden="false" customHeight="false" outlineLevel="0" collapsed="false">
      <c r="A43" s="32" t="s">
        <v>157</v>
      </c>
      <c r="B43" s="32" t="s">
        <v>176</v>
      </c>
      <c r="C43" s="32" t="s">
        <v>129</v>
      </c>
      <c r="D43" s="54" t="n">
        <v>6922</v>
      </c>
      <c r="E43" s="54" t="n">
        <v>6668</v>
      </c>
      <c r="F43" s="65" t="n">
        <f aca="false">IF(E43="","",D43-E43)</f>
        <v>254</v>
      </c>
      <c r="G43" s="54" t="n">
        <v>5536</v>
      </c>
      <c r="H43" s="54" t="n">
        <v>5856</v>
      </c>
      <c r="I43" s="65" t="n">
        <f aca="false">IF(H43="","",G43-H43)</f>
        <v>-320</v>
      </c>
      <c r="J43" s="55" t="n">
        <f aca="false">IF(OR(D43="",D43+G43=0),"",D43/(D43+G43))</f>
        <v>0.555626906405523</v>
      </c>
      <c r="K43" s="55" t="n">
        <f aca="false">IF(E43="","",E43/(E43+H43))</f>
        <v>0.532417757904823</v>
      </c>
      <c r="L43" s="66" t="n">
        <f aca="false">IF(OR(K43="",J43=""),"",(J43-K43)*100)</f>
        <v>2.32091485006999</v>
      </c>
      <c r="M43" s="36" t="n">
        <v>1.94826691630677</v>
      </c>
      <c r="N43" s="36" t="n">
        <v>1.11900687197514</v>
      </c>
      <c r="O43" s="36" t="n">
        <f aca="false">SQRT(M43^2+N43^2)</f>
        <v>2.24675774321645</v>
      </c>
      <c r="P43" s="55" t="n">
        <f aca="false">IF(J43="","",MAX(0,J43-1.96*O43/100))</f>
        <v>0.51159045463848</v>
      </c>
      <c r="Q43" s="55" t="n">
        <f aca="false">IF(J43="","",MIN(1,J43+1.96*O43/100))</f>
        <v>0.599663358172565</v>
      </c>
      <c r="R43" s="32" t="str">
        <f aca="false">IF(L43="","",IF(ABS(L43)&lt;=O43,"Yes","No"))</f>
        <v>No</v>
      </c>
      <c r="S43" s="32" t="str">
        <f aca="false">IF(L43="","",IF(ABS(L43)&lt;=1.96*O43,"Yes","No"))</f>
        <v>Yes</v>
      </c>
      <c r="T43" s="54" t="n">
        <f aca="false">IF(D43="","",ROUND(SQRT(((D43+G43)*O43/100)^2+(J43*(D43+G43)*0.0639)^2),0))</f>
        <v>523</v>
      </c>
      <c r="U43" s="32"/>
    </row>
    <row r="44" customFormat="false" ht="15" hidden="false" customHeight="false" outlineLevel="0" collapsed="false">
      <c r="A44" s="32" t="s">
        <v>157</v>
      </c>
      <c r="B44" s="32" t="s">
        <v>177</v>
      </c>
      <c r="C44" s="32" t="s">
        <v>129</v>
      </c>
      <c r="D44" s="54" t="n">
        <v>7524</v>
      </c>
      <c r="E44" s="54" t="n">
        <v>7495</v>
      </c>
      <c r="F44" s="65" t="n">
        <f aca="false">IF(E44="","",D44-E44)</f>
        <v>29</v>
      </c>
      <c r="G44" s="54" t="n">
        <v>6679</v>
      </c>
      <c r="H44" s="54" t="n">
        <v>7011</v>
      </c>
      <c r="I44" s="65" t="n">
        <f aca="false">IF(H44="","",G44-H44)</f>
        <v>-332</v>
      </c>
      <c r="J44" s="55" t="n">
        <f aca="false">IF(OR(D44="",D44+G44=0),"",D44/(D44+G44))</f>
        <v>0.529747236499331</v>
      </c>
      <c r="K44" s="55" t="n">
        <f aca="false">IF(E44="","",E44/(E44+H44))</f>
        <v>0.516682751964704</v>
      </c>
      <c r="L44" s="66" t="n">
        <f aca="false">IF(OR(K44="",J44=""),"",(J44-K44)*100)</f>
        <v>1.30644845346268</v>
      </c>
      <c r="M44" s="36" t="n">
        <v>1.94826691630677</v>
      </c>
      <c r="N44" s="36" t="n">
        <v>1.11900687197514</v>
      </c>
      <c r="O44" s="36" t="n">
        <f aca="false">SQRT(M44^2+N44^2)</f>
        <v>2.24675774321645</v>
      </c>
      <c r="P44" s="55" t="n">
        <f aca="false">IF(J44="","",MAX(0,J44-1.96*O44/100))</f>
        <v>0.485710784732289</v>
      </c>
      <c r="Q44" s="55" t="n">
        <f aca="false">IF(J44="","",MIN(1,J44+1.96*O44/100))</f>
        <v>0.573783688266374</v>
      </c>
      <c r="R44" s="32" t="str">
        <f aca="false">IF(L44="","",IF(ABS(L44)&lt;=O44,"Yes","No"))</f>
        <v>Yes</v>
      </c>
      <c r="S44" s="32" t="str">
        <f aca="false">IF(L44="","",IF(ABS(L44)&lt;=1.96*O44,"Yes","No"))</f>
        <v>Yes</v>
      </c>
      <c r="T44" s="54" t="n">
        <f aca="false">IF(D44="","",ROUND(SQRT(((D44+G44)*O44/100)^2+(J44*(D44+G44)*0.0639)^2),0))</f>
        <v>577</v>
      </c>
      <c r="U44" s="32"/>
    </row>
    <row r="45" customFormat="false" ht="15" hidden="false" customHeight="false" outlineLevel="0" collapsed="false">
      <c r="A45" s="32" t="s">
        <v>157</v>
      </c>
      <c r="B45" s="32" t="s">
        <v>178</v>
      </c>
      <c r="C45" s="32" t="s">
        <v>129</v>
      </c>
      <c r="D45" s="54" t="n">
        <v>2352</v>
      </c>
      <c r="E45" s="54" t="n">
        <v>2222</v>
      </c>
      <c r="F45" s="65" t="n">
        <f aca="false">IF(E45="","",D45-E45)</f>
        <v>130</v>
      </c>
      <c r="G45" s="54" t="n">
        <v>2883</v>
      </c>
      <c r="H45" s="54" t="n">
        <v>2955</v>
      </c>
      <c r="I45" s="65" t="n">
        <f aca="false">IF(H45="","",G45-H45)</f>
        <v>-72</v>
      </c>
      <c r="J45" s="55" t="n">
        <f aca="false">IF(OR(D45="",D45+G45=0),"",D45/(D45+G45))</f>
        <v>0.449283667621777</v>
      </c>
      <c r="K45" s="55" t="n">
        <f aca="false">IF(E45="","",E45/(E45+H45))</f>
        <v>0.42920610392119</v>
      </c>
      <c r="L45" s="66" t="n">
        <f aca="false">IF(OR(K45="",J45=""),"",(J45-K45)*100)</f>
        <v>2.00775637005867</v>
      </c>
      <c r="M45" s="36" t="n">
        <v>1.94826691630677</v>
      </c>
      <c r="N45" s="36" t="n">
        <v>1.11900687197514</v>
      </c>
      <c r="O45" s="36" t="n">
        <f aca="false">SQRT(M45^2+N45^2)</f>
        <v>2.24675774321645</v>
      </c>
      <c r="P45" s="55" t="n">
        <f aca="false">IF(J45="","",MAX(0,J45-1.96*O45/100))</f>
        <v>0.405247215854734</v>
      </c>
      <c r="Q45" s="55" t="n">
        <f aca="false">IF(J45="","",MIN(1,J45+1.96*O45/100))</f>
        <v>0.493320119388819</v>
      </c>
      <c r="R45" s="32" t="str">
        <f aca="false">IF(L45="","",IF(ABS(L45)&lt;=O45,"Yes","No"))</f>
        <v>Yes</v>
      </c>
      <c r="S45" s="32" t="str">
        <f aca="false">IF(L45="","",IF(ABS(L45)&lt;=1.96*O45,"Yes","No"))</f>
        <v>Yes</v>
      </c>
      <c r="T45" s="54" t="n">
        <f aca="false">IF(D45="","",ROUND(SQRT(((D45+G45)*O45/100)^2+(J45*(D45+G45)*0.0639)^2),0))</f>
        <v>191</v>
      </c>
      <c r="U45" s="32"/>
    </row>
    <row r="46" customFormat="false" ht="15" hidden="false" customHeight="false" outlineLevel="0" collapsed="false">
      <c r="A46" s="32" t="s">
        <v>157</v>
      </c>
      <c r="B46" s="32" t="s">
        <v>179</v>
      </c>
      <c r="C46" s="32" t="s">
        <v>129</v>
      </c>
      <c r="D46" s="54" t="n">
        <v>5085</v>
      </c>
      <c r="E46" s="54" t="n">
        <v>4817</v>
      </c>
      <c r="F46" s="65" t="n">
        <f aca="false">IF(E46="","",D46-E46)</f>
        <v>268</v>
      </c>
      <c r="G46" s="54" t="n">
        <v>5248</v>
      </c>
      <c r="H46" s="54" t="n">
        <v>5501</v>
      </c>
      <c r="I46" s="65" t="n">
        <f aca="false">IF(H46="","",G46-H46)</f>
        <v>-253</v>
      </c>
      <c r="J46" s="55" t="n">
        <f aca="false">IF(OR(D46="",D46+G46=0),"",D46/(D46+G46))</f>
        <v>0.492112648795122</v>
      </c>
      <c r="K46" s="55" t="n">
        <f aca="false">IF(E46="","",E46/(E46+H46))</f>
        <v>0.466854041480907</v>
      </c>
      <c r="L46" s="66" t="n">
        <f aca="false">IF(OR(K46="",J46=""),"",(J46-K46)*100)</f>
        <v>2.52586073142153</v>
      </c>
      <c r="M46" s="36" t="n">
        <v>1.94826691630677</v>
      </c>
      <c r="N46" s="36" t="n">
        <v>1.11900687197514</v>
      </c>
      <c r="O46" s="36" t="n">
        <f aca="false">SQRT(M46^2+N46^2)</f>
        <v>2.24675774321645</v>
      </c>
      <c r="P46" s="55" t="n">
        <f aca="false">IF(J46="","",MAX(0,J46-1.96*O46/100))</f>
        <v>0.44807619702808</v>
      </c>
      <c r="Q46" s="55" t="n">
        <f aca="false">IF(J46="","",MIN(1,J46+1.96*O46/100))</f>
        <v>0.536149100562165</v>
      </c>
      <c r="R46" s="32" t="str">
        <f aca="false">IF(L46="","",IF(ABS(L46)&lt;=O46,"Yes","No"))</f>
        <v>No</v>
      </c>
      <c r="S46" s="32" t="str">
        <f aca="false">IF(L46="","",IF(ABS(L46)&lt;=1.96*O46,"Yes","No"))</f>
        <v>Yes</v>
      </c>
      <c r="T46" s="54" t="n">
        <f aca="false">IF(D46="","",ROUND(SQRT(((D46+G46)*O46/100)^2+(J46*(D46+G46)*0.0639)^2),0))</f>
        <v>399</v>
      </c>
      <c r="U46" s="32"/>
    </row>
    <row r="47" customFormat="false" ht="15" hidden="false" customHeight="false" outlineLevel="0" collapsed="false">
      <c r="A47" s="32" t="s">
        <v>157</v>
      </c>
      <c r="B47" s="32" t="s">
        <v>180</v>
      </c>
      <c r="C47" s="32" t="s">
        <v>129</v>
      </c>
      <c r="D47" s="54" t="n">
        <v>1366</v>
      </c>
      <c r="E47" s="54" t="n">
        <v>1231</v>
      </c>
      <c r="F47" s="65" t="n">
        <f aca="false">IF(E47="","",D47-E47)</f>
        <v>135</v>
      </c>
      <c r="G47" s="54" t="n">
        <v>2445</v>
      </c>
      <c r="H47" s="54" t="n">
        <v>2578</v>
      </c>
      <c r="I47" s="65" t="n">
        <f aca="false">IF(H47="","",G47-H47)</f>
        <v>-133</v>
      </c>
      <c r="J47" s="55" t="n">
        <f aca="false">IF(OR(D47="",D47+G47=0),"",D47/(D47+G47))</f>
        <v>0.358436106008922</v>
      </c>
      <c r="K47" s="55" t="n">
        <f aca="false">IF(E47="","",E47/(E47+H47))</f>
        <v>0.323181937516409</v>
      </c>
      <c r="L47" s="66" t="n">
        <f aca="false">IF(OR(K47="",J47=""),"",(J47-K47)*100)</f>
        <v>3.52541684925131</v>
      </c>
      <c r="M47" s="36" t="n">
        <v>1.94826691630677</v>
      </c>
      <c r="N47" s="36" t="n">
        <v>1.11900687197514</v>
      </c>
      <c r="O47" s="36" t="n">
        <f aca="false">SQRT(M47^2+N47^2)</f>
        <v>2.24675774321645</v>
      </c>
      <c r="P47" s="55" t="n">
        <f aca="false">IF(J47="","",MAX(0,J47-1.96*O47/100))</f>
        <v>0.314399654241879</v>
      </c>
      <c r="Q47" s="55" t="n">
        <f aca="false">IF(J47="","",MIN(1,J47+1.96*O47/100))</f>
        <v>0.402472557775964</v>
      </c>
      <c r="R47" s="32" t="str">
        <f aca="false">IF(L47="","",IF(ABS(L47)&lt;=O47,"Yes","No"))</f>
        <v>No</v>
      </c>
      <c r="S47" s="32" t="str">
        <f aca="false">IF(L47="","",IF(ABS(L47)&lt;=1.96*O47,"Yes","No"))</f>
        <v>Yes</v>
      </c>
      <c r="T47" s="54" t="n">
        <f aca="false">IF(D47="","",ROUND(SQRT(((D47+G47)*O47/100)^2+(J47*(D47+G47)*0.0639)^2),0))</f>
        <v>122</v>
      </c>
      <c r="U47" s="32"/>
    </row>
    <row r="48" customFormat="false" ht="15" hidden="false" customHeight="false" outlineLevel="0" collapsed="false">
      <c r="A48" s="32" t="s">
        <v>157</v>
      </c>
      <c r="B48" s="32" t="s">
        <v>181</v>
      </c>
      <c r="C48" s="32" t="s">
        <v>129</v>
      </c>
      <c r="D48" s="54" t="n">
        <v>1148</v>
      </c>
      <c r="E48" s="54" t="n">
        <v>1073</v>
      </c>
      <c r="F48" s="65" t="n">
        <f aca="false">IF(E48="","",D48-E48)</f>
        <v>75</v>
      </c>
      <c r="G48" s="54" t="n">
        <v>2077</v>
      </c>
      <c r="H48" s="54" t="n">
        <v>2156</v>
      </c>
      <c r="I48" s="65" t="n">
        <f aca="false">IF(H48="","",G48-H48)</f>
        <v>-79</v>
      </c>
      <c r="J48" s="55" t="n">
        <f aca="false">IF(OR(D48="",D48+G48=0),"",D48/(D48+G48))</f>
        <v>0.355968992248062</v>
      </c>
      <c r="K48" s="55" t="n">
        <f aca="false">IF(E48="","",E48/(E48+H48))</f>
        <v>0.332301021988232</v>
      </c>
      <c r="L48" s="66" t="n">
        <f aca="false">IF(OR(K48="",J48=""),"",(J48-K48)*100)</f>
        <v>2.36679702598304</v>
      </c>
      <c r="M48" s="36" t="n">
        <v>2.40842220389472</v>
      </c>
      <c r="N48" s="36" t="n">
        <v>1.11900687197514</v>
      </c>
      <c r="O48" s="36" t="n">
        <f aca="false">SQRT(M48^2+N48^2)</f>
        <v>2.65568708468085</v>
      </c>
      <c r="P48" s="55" t="n">
        <f aca="false">IF(J48="","",MAX(0,J48-1.96*O48/100))</f>
        <v>0.303917525388317</v>
      </c>
      <c r="Q48" s="55" t="n">
        <f aca="false">IF(J48="","",MIN(1,J48+1.96*O48/100))</f>
        <v>0.408020459107807</v>
      </c>
      <c r="R48" s="32" t="str">
        <f aca="false">IF(L48="","",IF(ABS(L48)&lt;=O48,"Yes","No"))</f>
        <v>Yes</v>
      </c>
      <c r="S48" s="32" t="str">
        <f aca="false">IF(L48="","",IF(ABS(L48)&lt;=1.96*O48,"Yes","No"))</f>
        <v>Yes</v>
      </c>
      <c r="T48" s="54" t="n">
        <f aca="false">IF(D48="","",ROUND(SQRT(((D48+G48)*O48/100)^2+(J48*(D48+G48)*0.06991)^2),0))</f>
        <v>117</v>
      </c>
      <c r="U48" s="32"/>
    </row>
    <row r="49" customFormat="false" ht="15" hidden="false" customHeight="false" outlineLevel="0" collapsed="false">
      <c r="A49" s="32" t="s">
        <v>157</v>
      </c>
      <c r="B49" s="32" t="s">
        <v>182</v>
      </c>
      <c r="C49" s="32" t="s">
        <v>129</v>
      </c>
      <c r="D49" s="54" t="n">
        <v>7892</v>
      </c>
      <c r="E49" s="54" t="n">
        <v>7458</v>
      </c>
      <c r="F49" s="65" t="n">
        <f aca="false">IF(E49="","",D49-E49)</f>
        <v>434</v>
      </c>
      <c r="G49" s="54" t="n">
        <v>6237</v>
      </c>
      <c r="H49" s="54" t="n">
        <v>6731</v>
      </c>
      <c r="I49" s="65" t="n">
        <f aca="false">IF(H49="","",G49-H49)</f>
        <v>-494</v>
      </c>
      <c r="J49" s="55" t="n">
        <f aca="false">IF(OR(D49="",D49+G49=0),"",D49/(D49+G49))</f>
        <v>0.558567485313893</v>
      </c>
      <c r="K49" s="55" t="n">
        <f aca="false">IF(E49="","",E49/(E49+H49))</f>
        <v>0.525618436817253</v>
      </c>
      <c r="L49" s="66" t="n">
        <f aca="false">IF(OR(K49="",J49=""),"",(J49-K49)*100)</f>
        <v>3.29490484966406</v>
      </c>
      <c r="M49" s="36" t="n">
        <v>1.94826691630677</v>
      </c>
      <c r="N49" s="36" t="n">
        <v>1.11900687197514</v>
      </c>
      <c r="O49" s="36" t="n">
        <f aca="false">SQRT(M49^2+N49^2)</f>
        <v>2.24675774321645</v>
      </c>
      <c r="P49" s="55" t="n">
        <f aca="false">IF(J49="","",MAX(0,J49-1.96*O49/100))</f>
        <v>0.514531033546851</v>
      </c>
      <c r="Q49" s="55" t="n">
        <f aca="false">IF(J49="","",MIN(1,J49+1.96*O49/100))</f>
        <v>0.602603937080936</v>
      </c>
      <c r="R49" s="32" t="str">
        <f aca="false">IF(L49="","",IF(ABS(L49)&lt;=O49,"Yes","No"))</f>
        <v>No</v>
      </c>
      <c r="S49" s="32" t="str">
        <f aca="false">IF(L49="","",IF(ABS(L49)&lt;=1.96*O49,"Yes","No"))</f>
        <v>Yes</v>
      </c>
      <c r="T49" s="54" t="n">
        <f aca="false">IF(D49="","",ROUND(SQRT(((D49+G49)*O49/100)^2+(J49*(D49+G49)*0.0639)^2),0))</f>
        <v>596</v>
      </c>
      <c r="U49" s="32"/>
    </row>
    <row r="50" customFormat="false" ht="15" hidden="false" customHeight="false" outlineLevel="0" collapsed="false">
      <c r="A50" s="32" t="s">
        <v>183</v>
      </c>
      <c r="B50" s="32" t="s">
        <v>184</v>
      </c>
      <c r="C50" s="32" t="s">
        <v>129</v>
      </c>
      <c r="D50" s="54" t="n">
        <v>507</v>
      </c>
      <c r="E50" s="54" t="n">
        <v>482</v>
      </c>
      <c r="F50" s="65" t="n">
        <f aca="false">IF(E50="","",D50-E50)</f>
        <v>25</v>
      </c>
      <c r="G50" s="54" t="n">
        <v>1011</v>
      </c>
      <c r="H50" s="54" t="n">
        <v>987</v>
      </c>
      <c r="I50" s="65" t="n">
        <f aca="false">IF(H50="","",G50-H50)</f>
        <v>24</v>
      </c>
      <c r="J50" s="55" t="n">
        <f aca="false">IF(OR(D50="",D50+G50=0),"",D50/(D50+G50))</f>
        <v>0.33399209486166</v>
      </c>
      <c r="K50" s="55" t="n">
        <f aca="false">IF(E50="","",E50/(E50+H50))</f>
        <v>0.328114363512594</v>
      </c>
      <c r="L50" s="66" t="n">
        <f aca="false">IF(OR(K50="",J50=""),"",(J50-K50)*100)</f>
        <v>0.58777313490665</v>
      </c>
      <c r="M50" s="36" t="n">
        <v>3.63105829306161</v>
      </c>
      <c r="N50" s="36" t="n">
        <v>1.11900687197514</v>
      </c>
      <c r="O50" s="36" t="n">
        <f aca="false">SQRT(M50^2+N50^2)</f>
        <v>3.79957375334906</v>
      </c>
      <c r="P50" s="55" t="n">
        <f aca="false">IF(J50="","",MAX(0,J50-1.96*O50/100))</f>
        <v>0.259520449296018</v>
      </c>
      <c r="Q50" s="55" t="n">
        <f aca="false">IF(J50="","",MIN(1,J50+1.96*O50/100))</f>
        <v>0.408463740427302</v>
      </c>
      <c r="R50" s="32" t="str">
        <f aca="false">IF(L50="","",IF(ABS(L50)&lt;=O50,"Yes","No"))</f>
        <v>Yes</v>
      </c>
      <c r="S50" s="32" t="str">
        <f aca="false">IF(L50="","",IF(ABS(L50)&lt;=1.96*O50,"Yes","No"))</f>
        <v>Yes</v>
      </c>
      <c r="T50" s="54" t="n">
        <f aca="false">IF(D50="","",ROUND(SQRT(((D50+G50)*O50/100)^2+(J50*(D50+G50)*0.09092)^2),0))</f>
        <v>74</v>
      </c>
      <c r="U50" s="32"/>
    </row>
    <row r="51" customFormat="false" ht="15" hidden="false" customHeight="false" outlineLevel="0" collapsed="false">
      <c r="A51" s="32" t="s">
        <v>183</v>
      </c>
      <c r="B51" s="32" t="s">
        <v>186</v>
      </c>
      <c r="C51" s="32" t="s">
        <v>129</v>
      </c>
      <c r="D51" s="54" t="n">
        <v>1512</v>
      </c>
      <c r="E51" s="54" t="n">
        <v>1425</v>
      </c>
      <c r="F51" s="65" t="n">
        <f aca="false">IF(E51="","",D51-E51)</f>
        <v>87</v>
      </c>
      <c r="G51" s="54" t="n">
        <v>2535</v>
      </c>
      <c r="H51" s="54" t="n">
        <v>2491</v>
      </c>
      <c r="I51" s="65" t="n">
        <f aca="false">IF(H51="","",G51-H51)</f>
        <v>44</v>
      </c>
      <c r="J51" s="55" t="n">
        <f aca="false">IF(OR(D51="",D51+G51=0),"",D51/(D51+G51))</f>
        <v>0.373610081541883</v>
      </c>
      <c r="K51" s="55" t="n">
        <f aca="false">IF(E51="","",E51/(E51+H51))</f>
        <v>0.363891726251277</v>
      </c>
      <c r="L51" s="66" t="n">
        <f aca="false">IF(OR(K51="",J51=""),"",(J51-K51)*100)</f>
        <v>0.971835529060605</v>
      </c>
      <c r="M51" s="36" t="n">
        <v>1.94826691630677</v>
      </c>
      <c r="N51" s="36" t="n">
        <v>1.11900687197514</v>
      </c>
      <c r="O51" s="36" t="n">
        <f aca="false">SQRT(M51^2+N51^2)</f>
        <v>2.24675774321645</v>
      </c>
      <c r="P51" s="55" t="n">
        <f aca="false">IF(J51="","",MAX(0,J51-1.96*O51/100))</f>
        <v>0.32957362977484</v>
      </c>
      <c r="Q51" s="55" t="n">
        <f aca="false">IF(J51="","",MIN(1,J51+1.96*O51/100))</f>
        <v>0.417646533308925</v>
      </c>
      <c r="R51" s="32" t="str">
        <f aca="false">IF(L51="","",IF(ABS(L51)&lt;=O51,"Yes","No"))</f>
        <v>Yes</v>
      </c>
      <c r="S51" s="32" t="str">
        <f aca="false">IF(L51="","",IF(ABS(L51)&lt;=1.96*O51,"Yes","No"))</f>
        <v>Yes</v>
      </c>
      <c r="T51" s="54" t="n">
        <f aca="false">IF(D51="","",ROUND(SQRT(((D51+G51)*O51/100)^2+(J51*(D51+G51)*0.0639)^2),0))</f>
        <v>133</v>
      </c>
      <c r="U51" s="32" t="s">
        <v>394</v>
      </c>
    </row>
    <row r="52" customFormat="false" ht="15" hidden="false" customHeight="false" outlineLevel="0" collapsed="false">
      <c r="A52" s="32" t="s">
        <v>183</v>
      </c>
      <c r="B52" s="32" t="s">
        <v>187</v>
      </c>
      <c r="C52" s="32" t="s">
        <v>129</v>
      </c>
      <c r="D52" s="54" t="n">
        <v>580</v>
      </c>
      <c r="E52" s="54" t="n">
        <v>502</v>
      </c>
      <c r="F52" s="65" t="n">
        <f aca="false">IF(E52="","",D52-E52)</f>
        <v>78</v>
      </c>
      <c r="G52" s="54" t="n">
        <v>923</v>
      </c>
      <c r="H52" s="54" t="n">
        <v>795</v>
      </c>
      <c r="I52" s="65" t="n">
        <f aca="false">IF(H52="","",G52-H52)</f>
        <v>128</v>
      </c>
      <c r="J52" s="55" t="n">
        <f aca="false">IF(OR(D52="",D52+G52=0),"",D52/(D52+G52))</f>
        <v>0.385894876912841</v>
      </c>
      <c r="K52" s="55" t="n">
        <f aca="false">IF(E52="","",E52/(E52+H52))</f>
        <v>0.387047031611411</v>
      </c>
      <c r="L52" s="66" t="n">
        <f aca="false">IF(OR(K52="",J52=""),"",(J52-K52)*100)</f>
        <v>-0.115215469857</v>
      </c>
      <c r="M52" s="36" t="n">
        <v>3.63105829306161</v>
      </c>
      <c r="N52" s="36" t="n">
        <v>1.11900687197514</v>
      </c>
      <c r="O52" s="36" t="n">
        <f aca="false">SQRT(M52^2+N52^2)</f>
        <v>3.79957375334906</v>
      </c>
      <c r="P52" s="55" t="n">
        <f aca="false">IF(J52="","",MAX(0,J52-1.96*O52/100))</f>
        <v>0.311423231347199</v>
      </c>
      <c r="Q52" s="55" t="n">
        <f aca="false">IF(J52="","",MIN(1,J52+1.96*O52/100))</f>
        <v>0.460366522478483</v>
      </c>
      <c r="R52" s="32" t="str">
        <f aca="false">IF(L52="","",IF(ABS(L52)&lt;=O52,"Yes","No"))</f>
        <v>Yes</v>
      </c>
      <c r="S52" s="32" t="str">
        <f aca="false">IF(L52="","",IF(ABS(L52)&lt;=1.96*O52,"Yes","No"))</f>
        <v>Yes</v>
      </c>
      <c r="T52" s="54" t="n">
        <f aca="false">IF(D52="","",ROUND(SQRT(((D52+G52)*O52/100)^2+(J52*(D52+G52)*0.09092)^2),0))</f>
        <v>78</v>
      </c>
      <c r="U52" s="32" t="s">
        <v>395</v>
      </c>
    </row>
    <row r="53" customFormat="false" ht="15" hidden="false" customHeight="false" outlineLevel="0" collapsed="false">
      <c r="A53" s="32" t="s">
        <v>188</v>
      </c>
      <c r="B53" s="32" t="s">
        <v>189</v>
      </c>
      <c r="C53" s="32" t="s">
        <v>129</v>
      </c>
      <c r="D53" s="54" t="n">
        <v>1482</v>
      </c>
      <c r="E53" s="54" t="n">
        <v>1432</v>
      </c>
      <c r="F53" s="65" t="n">
        <f aca="false">IF(E53="","",D53-E53)</f>
        <v>50</v>
      </c>
      <c r="G53" s="54" t="n">
        <v>1894</v>
      </c>
      <c r="H53" s="54" t="n">
        <v>1882</v>
      </c>
      <c r="I53" s="65" t="n">
        <f aca="false">IF(H53="","",G53-H53)</f>
        <v>12</v>
      </c>
      <c r="J53" s="55" t="n">
        <f aca="false">IF(OR(D53="",D53+G53=0),"",D53/(D53+G53))</f>
        <v>0.438981042654028</v>
      </c>
      <c r="K53" s="55" t="n">
        <f aca="false">IF(E53="","",E53/(E53+H53))</f>
        <v>0.432106216053108</v>
      </c>
      <c r="L53" s="66" t="n">
        <f aca="false">IF(OR(K53="",J53=""),"",(J53-K53)*100)</f>
        <v>0.687482660092043</v>
      </c>
      <c r="M53" s="36" t="n">
        <v>2.40842220389472</v>
      </c>
      <c r="N53" s="36" t="n">
        <v>1.11900687197514</v>
      </c>
      <c r="O53" s="36" t="n">
        <f aca="false">SQRT(M53^2+N53^2)</f>
        <v>2.65568708468085</v>
      </c>
      <c r="P53" s="55" t="n">
        <f aca="false">IF(J53="","",MAX(0,J53-1.96*O53/100))</f>
        <v>0.386929575794284</v>
      </c>
      <c r="Q53" s="55" t="n">
        <f aca="false">IF(J53="","",MIN(1,J53+1.96*O53/100))</f>
        <v>0.491032509513773</v>
      </c>
      <c r="R53" s="32" t="str">
        <f aca="false">IF(L53="","",IF(ABS(L53)&lt;=O53,"Yes","No"))</f>
        <v>Yes</v>
      </c>
      <c r="S53" s="32" t="str">
        <f aca="false">IF(L53="","",IF(ABS(L53)&lt;=1.96*O53,"Yes","No"))</f>
        <v>Yes</v>
      </c>
      <c r="T53" s="54" t="n">
        <f aca="false">IF(D53="","",ROUND(SQRT(((D53+G53)*O53/100)^2+(J53*(D53+G53)*0.06991)^2),0))</f>
        <v>137</v>
      </c>
      <c r="U53" s="32"/>
    </row>
    <row r="54" customFormat="false" ht="15" hidden="false" customHeight="false" outlineLevel="0" collapsed="false">
      <c r="A54" s="32" t="s">
        <v>188</v>
      </c>
      <c r="B54" s="32" t="s">
        <v>190</v>
      </c>
      <c r="C54" s="32" t="s">
        <v>129</v>
      </c>
      <c r="D54" s="54" t="n">
        <v>1039</v>
      </c>
      <c r="E54" s="54" t="n">
        <v>965</v>
      </c>
      <c r="F54" s="65" t="n">
        <f aca="false">IF(E54="","",D54-E54)</f>
        <v>74</v>
      </c>
      <c r="G54" s="54" t="n">
        <v>1256</v>
      </c>
      <c r="H54" s="54" t="n">
        <v>1342</v>
      </c>
      <c r="I54" s="65" t="n">
        <f aca="false">IF(H54="","",G54-H54)</f>
        <v>-86</v>
      </c>
      <c r="J54" s="55" t="n">
        <f aca="false">IF(OR(D54="",D54+G54=0),"",D54/(D54+G54))</f>
        <v>0.452723311546841</v>
      </c>
      <c r="K54" s="55" t="n">
        <f aca="false">IF(E54="","",E54/(E54+H54))</f>
        <v>0.418292154312961</v>
      </c>
      <c r="L54" s="66" t="n">
        <f aca="false">IF(OR(K54="",J54=""),"",(J54-K54)*100)</f>
        <v>3.44311572338804</v>
      </c>
      <c r="M54" s="36" t="n">
        <v>2.40842220389472</v>
      </c>
      <c r="N54" s="36" t="n">
        <v>1.11900687197514</v>
      </c>
      <c r="O54" s="36" t="n">
        <f aca="false">SQRT(M54^2+N54^2)</f>
        <v>2.65568708468085</v>
      </c>
      <c r="P54" s="55" t="n">
        <f aca="false">IF(J54="","",MAX(0,J54-1.96*O54/100))</f>
        <v>0.400671844687096</v>
      </c>
      <c r="Q54" s="55" t="n">
        <f aca="false">IF(J54="","",MIN(1,J54+1.96*O54/100))</f>
        <v>0.504774778406586</v>
      </c>
      <c r="R54" s="32" t="str">
        <f aca="false">IF(L54="","",IF(ABS(L54)&lt;=O54,"Yes","No"))</f>
        <v>No</v>
      </c>
      <c r="S54" s="32" t="str">
        <f aca="false">IF(L54="","",IF(ABS(L54)&lt;=1.96*O54,"Yes","No"))</f>
        <v>Yes</v>
      </c>
      <c r="T54" s="54" t="n">
        <f aca="false">IF(D54="","",ROUND(SQRT(((D54+G54)*O54/100)^2+(J54*(D54+G54)*0.06991)^2),0))</f>
        <v>95</v>
      </c>
      <c r="U54" s="32"/>
    </row>
    <row r="55" customFormat="false" ht="15" hidden="false" customHeight="false" outlineLevel="0" collapsed="false">
      <c r="A55" s="32" t="s">
        <v>188</v>
      </c>
      <c r="B55" s="32" t="s">
        <v>191</v>
      </c>
      <c r="C55" s="32" t="s">
        <v>129</v>
      </c>
      <c r="D55" s="54" t="n">
        <v>603</v>
      </c>
      <c r="E55" s="54" t="n">
        <v>579</v>
      </c>
      <c r="F55" s="65" t="n">
        <f aca="false">IF(E55="","",D55-E55)</f>
        <v>24</v>
      </c>
      <c r="G55" s="54" t="n">
        <v>652</v>
      </c>
      <c r="H55" s="54" t="n">
        <v>695</v>
      </c>
      <c r="I55" s="65" t="n">
        <f aca="false">IF(H55="","",G55-H55)</f>
        <v>-43</v>
      </c>
      <c r="J55" s="55" t="n">
        <f aca="false">IF(OR(D55="",D55+G55=0),"",D55/(D55+G55))</f>
        <v>0.480478087649402</v>
      </c>
      <c r="K55" s="55" t="n">
        <f aca="false">IF(E55="","",E55/(E55+H55))</f>
        <v>0.45447409733124</v>
      </c>
      <c r="L55" s="66" t="n">
        <f aca="false">IF(OR(K55="",J55=""),"",(J55-K55)*100)</f>
        <v>2.60039903181622</v>
      </c>
      <c r="M55" s="36" t="n">
        <v>3.63105829306161</v>
      </c>
      <c r="N55" s="36" t="n">
        <v>1.11900687197514</v>
      </c>
      <c r="O55" s="36" t="n">
        <f aca="false">SQRT(M55^2+N55^2)</f>
        <v>3.79957375334906</v>
      </c>
      <c r="P55" s="55" t="n">
        <f aca="false">IF(J55="","",MAX(0,J55-1.96*O55/100))</f>
        <v>0.406006442083761</v>
      </c>
      <c r="Q55" s="55" t="n">
        <f aca="false">IF(J55="","",MIN(1,J55+1.96*O55/100))</f>
        <v>0.554949733215044</v>
      </c>
      <c r="R55" s="32" t="str">
        <f aca="false">IF(L55="","",IF(ABS(L55)&lt;=O55,"Yes","No"))</f>
        <v>Yes</v>
      </c>
      <c r="S55" s="32" t="str">
        <f aca="false">IF(L55="","",IF(ABS(L55)&lt;=1.96*O55,"Yes","No"))</f>
        <v>Yes</v>
      </c>
      <c r="T55" s="54" t="n">
        <f aca="false">IF(D55="","",ROUND(SQRT(((D55+G55)*O55/100)^2+(J55*(D55+G55)*0.09092)^2),0))</f>
        <v>73</v>
      </c>
      <c r="U55" s="32"/>
    </row>
    <row r="56" customFormat="false" ht="15" hidden="false" customHeight="false" outlineLevel="0" collapsed="false">
      <c r="A56" s="32" t="s">
        <v>188</v>
      </c>
      <c r="B56" s="32" t="s">
        <v>160</v>
      </c>
      <c r="C56" s="32" t="s">
        <v>129</v>
      </c>
      <c r="D56" s="54" t="n">
        <v>17844</v>
      </c>
      <c r="E56" s="54" t="n">
        <v>16692</v>
      </c>
      <c r="F56" s="65" t="n">
        <f aca="false">IF(E56="","",D56-E56)</f>
        <v>1152</v>
      </c>
      <c r="G56" s="54" t="n">
        <v>7484</v>
      </c>
      <c r="H56" s="54" t="n">
        <v>8176</v>
      </c>
      <c r="I56" s="65" t="n">
        <f aca="false">IF(H56="","",G56-H56)</f>
        <v>-692</v>
      </c>
      <c r="J56" s="55" t="n">
        <f aca="false">IF(OR(D56="",D56+G56=0),"",D56/(D56+G56))</f>
        <v>0.704516740366393</v>
      </c>
      <c r="K56" s="55" t="n">
        <f aca="false">IF(E56="","",E56/(E56+H56))</f>
        <v>0.671224063052919</v>
      </c>
      <c r="L56" s="66" t="n">
        <f aca="false">IF(OR(K56="",J56=""),"",(J56-K56)*100)</f>
        <v>3.32926773134735</v>
      </c>
      <c r="M56" s="36" t="n">
        <v>1.94826691630677</v>
      </c>
      <c r="N56" s="36" t="n">
        <v>1.11900687197514</v>
      </c>
      <c r="O56" s="36" t="n">
        <f aca="false">SQRT(M56^2+N56^2)</f>
        <v>2.24675774321645</v>
      </c>
      <c r="P56" s="55" t="n">
        <f aca="false">IF(J56="","",MAX(0,J56-1.96*O56/100))</f>
        <v>0.660480288599351</v>
      </c>
      <c r="Q56" s="55" t="n">
        <f aca="false">IF(J56="","",MIN(1,J56+1.96*O56/100))</f>
        <v>0.748553192133435</v>
      </c>
      <c r="R56" s="32" t="str">
        <f aca="false">IF(L56="","",IF(ABS(L56)&lt;=O56,"Yes","No"))</f>
        <v>No</v>
      </c>
      <c r="S56" s="32" t="str">
        <f aca="false">IF(L56="","",IF(ABS(L56)&lt;=1.96*O56,"Yes","No"))</f>
        <v>Yes</v>
      </c>
      <c r="T56" s="54" t="n">
        <f aca="false">IF(D56="","",ROUND(SQRT(((D56+G56)*O56/100)^2+(J56*(D56+G56)*0.0639)^2),0))</f>
        <v>1274</v>
      </c>
      <c r="U56" s="32"/>
    </row>
    <row r="57" customFormat="false" ht="15" hidden="false" customHeight="false" outlineLevel="0" collapsed="false">
      <c r="A57" s="32" t="s">
        <v>188</v>
      </c>
      <c r="B57" s="32" t="s">
        <v>192</v>
      </c>
      <c r="C57" s="32" t="s">
        <v>129</v>
      </c>
      <c r="D57" s="54" t="n">
        <v>8585</v>
      </c>
      <c r="E57" s="54" t="n">
        <v>8164</v>
      </c>
      <c r="F57" s="65" t="n">
        <f aca="false">IF(E57="","",D57-E57)</f>
        <v>421</v>
      </c>
      <c r="G57" s="54" t="n">
        <v>6955</v>
      </c>
      <c r="H57" s="54" t="n">
        <v>7277</v>
      </c>
      <c r="I57" s="65" t="n">
        <f aca="false">IF(H57="","",G57-H57)</f>
        <v>-322</v>
      </c>
      <c r="J57" s="55" t="n">
        <f aca="false">IF(OR(D57="",D57+G57=0),"",D57/(D57+G57))</f>
        <v>0.552445302445302</v>
      </c>
      <c r="K57" s="55" t="n">
        <f aca="false">IF(E57="","",E57/(E57+H57))</f>
        <v>0.528722233015996</v>
      </c>
      <c r="L57" s="66" t="n">
        <f aca="false">IF(OR(K57="",J57=""),"",(J57-K57)*100)</f>
        <v>2.3723069429306</v>
      </c>
      <c r="M57" s="36" t="n">
        <v>1.94826691630677</v>
      </c>
      <c r="N57" s="36" t="n">
        <v>1.11900687197514</v>
      </c>
      <c r="O57" s="36" t="n">
        <f aca="false">SQRT(M57^2+N57^2)</f>
        <v>2.24675774321645</v>
      </c>
      <c r="P57" s="55" t="n">
        <f aca="false">IF(J57="","",MAX(0,J57-1.96*O57/100))</f>
        <v>0.50840885067826</v>
      </c>
      <c r="Q57" s="55" t="n">
        <f aca="false">IF(J57="","",MIN(1,J57+1.96*O57/100))</f>
        <v>0.596481754212345</v>
      </c>
      <c r="R57" s="32" t="str">
        <f aca="false">IF(L57="","",IF(ABS(L57)&lt;=O57,"Yes","No"))</f>
        <v>No</v>
      </c>
      <c r="S57" s="32" t="str">
        <f aca="false">IF(L57="","",IF(ABS(L57)&lt;=1.96*O57,"Yes","No"))</f>
        <v>Yes</v>
      </c>
      <c r="T57" s="54" t="n">
        <f aca="false">IF(D57="","",ROUND(SQRT(((D57+G57)*O57/100)^2+(J57*(D57+G57)*0.0639)^2),0))</f>
        <v>650</v>
      </c>
      <c r="U57" s="32"/>
    </row>
    <row r="58" customFormat="false" ht="15" hidden="false" customHeight="false" outlineLevel="0" collapsed="false">
      <c r="A58" s="32" t="s">
        <v>188</v>
      </c>
      <c r="B58" s="32" t="s">
        <v>193</v>
      </c>
      <c r="C58" s="32" t="s">
        <v>129</v>
      </c>
      <c r="D58" s="54" t="n">
        <v>2089</v>
      </c>
      <c r="E58" s="54" t="n">
        <v>1988</v>
      </c>
      <c r="F58" s="65" t="n">
        <f aca="false">IF(E58="","",D58-E58)</f>
        <v>101</v>
      </c>
      <c r="G58" s="54" t="n">
        <v>3296</v>
      </c>
      <c r="H58" s="54" t="n">
        <v>3385</v>
      </c>
      <c r="I58" s="65" t="n">
        <f aca="false">IF(H58="","",G58-H58)</f>
        <v>-89</v>
      </c>
      <c r="J58" s="55" t="n">
        <f aca="false">IF(OR(D58="",D58+G58=0),"",D58/(D58+G58))</f>
        <v>0.387929433611885</v>
      </c>
      <c r="K58" s="55" t="n">
        <f aca="false">IF(E58="","",E58/(E58+H58))</f>
        <v>0.36999813884236</v>
      </c>
      <c r="L58" s="66" t="n">
        <f aca="false">IF(OR(K58="",J58=""),"",(J58-K58)*100)</f>
        <v>1.79312947695249</v>
      </c>
      <c r="M58" s="36" t="n">
        <v>1.94826691630677</v>
      </c>
      <c r="N58" s="36" t="n">
        <v>1.11900687197514</v>
      </c>
      <c r="O58" s="36" t="n">
        <f aca="false">SQRT(M58^2+N58^2)</f>
        <v>2.24675774321645</v>
      </c>
      <c r="P58" s="55" t="n">
        <f aca="false">IF(J58="","",MAX(0,J58-1.96*O58/100))</f>
        <v>0.343892981844842</v>
      </c>
      <c r="Q58" s="55" t="n">
        <f aca="false">IF(J58="","",MIN(1,J58+1.96*O58/100))</f>
        <v>0.431965885378927</v>
      </c>
      <c r="R58" s="32" t="str">
        <f aca="false">IF(L58="","",IF(ABS(L58)&lt;=O58,"Yes","No"))</f>
        <v>Yes</v>
      </c>
      <c r="S58" s="32" t="str">
        <f aca="false">IF(L58="","",IF(ABS(L58)&lt;=1.96*O58,"Yes","No"))</f>
        <v>Yes</v>
      </c>
      <c r="T58" s="54" t="n">
        <f aca="false">IF(D58="","",ROUND(SQRT(((D58+G58)*O58/100)^2+(J58*(D58+G58)*0.0639)^2),0))</f>
        <v>180</v>
      </c>
      <c r="U58" s="32"/>
    </row>
    <row r="59" customFormat="false" ht="15" hidden="false" customHeight="false" outlineLevel="0" collapsed="false">
      <c r="A59" s="32" t="s">
        <v>188</v>
      </c>
      <c r="B59" s="32" t="s">
        <v>194</v>
      </c>
      <c r="C59" s="32" t="s">
        <v>129</v>
      </c>
      <c r="D59" s="54" t="n">
        <v>47</v>
      </c>
      <c r="E59" s="54" t="n">
        <v>39</v>
      </c>
      <c r="F59" s="65" t="n">
        <f aca="false">IF(E59="","",D59-E59)</f>
        <v>8</v>
      </c>
      <c r="G59" s="54" t="n">
        <v>73</v>
      </c>
      <c r="H59" s="54" t="n">
        <v>79</v>
      </c>
      <c r="I59" s="65" t="n">
        <f aca="false">IF(H59="","",G59-H59)</f>
        <v>-6</v>
      </c>
      <c r="J59" s="55" t="n">
        <f aca="false">IF(OR(D59="",D59+G59=0),"",D59/(D59+G59))</f>
        <v>0.391666666666667</v>
      </c>
      <c r="K59" s="55" t="n">
        <f aca="false">IF(E59="","",E59/(E59+H59))</f>
        <v>0.330508474576271</v>
      </c>
      <c r="L59" s="66" t="n">
        <f aca="false">IF(OR(K59="",J59=""),"",(J59-K59)*100)</f>
        <v>6.11581920903955</v>
      </c>
      <c r="M59" s="36" t="n">
        <v>3.63105829306161</v>
      </c>
      <c r="N59" s="36" t="n">
        <v>1.11900687197514</v>
      </c>
      <c r="O59" s="36" t="n">
        <f aca="false">SQRT(M59^2+N59^2)</f>
        <v>3.79957375334906</v>
      </c>
      <c r="P59" s="55" t="n">
        <f aca="false">IF(J59="","",MAX(0,J59-1.96*O59/100))</f>
        <v>0.317195021101025</v>
      </c>
      <c r="Q59" s="55" t="n">
        <f aca="false">IF(J59="","",MIN(1,J59+1.96*O59/100))</f>
        <v>0.466138312232308</v>
      </c>
      <c r="R59" s="32" t="str">
        <f aca="false">IF(L59="","",IF(ABS(L59)&lt;=O59,"Yes","No"))</f>
        <v>No</v>
      </c>
      <c r="S59" s="32" t="str">
        <f aca="false">IF(L59="","",IF(ABS(L59)&lt;=1.96*O59,"Yes","No"))</f>
        <v>Yes</v>
      </c>
      <c r="T59" s="54" t="n">
        <f aca="false">IF(D59="","",ROUND(SQRT(((D59+G59)*O59/100)^2+(J59*(D59+G59)*0.09092)^2),0))</f>
        <v>6</v>
      </c>
      <c r="U59" s="32"/>
    </row>
    <row r="60" customFormat="false" ht="15" hidden="false" customHeight="false" outlineLevel="0" collapsed="false">
      <c r="A60" s="32" t="s">
        <v>188</v>
      </c>
      <c r="B60" s="32" t="s">
        <v>195</v>
      </c>
      <c r="C60" s="32" t="s">
        <v>129</v>
      </c>
      <c r="D60" s="54" t="n">
        <v>1322</v>
      </c>
      <c r="E60" s="54" t="n">
        <v>1215</v>
      </c>
      <c r="F60" s="65" t="n">
        <f aca="false">IF(E60="","",D60-E60)</f>
        <v>107</v>
      </c>
      <c r="G60" s="54" t="n">
        <v>1743</v>
      </c>
      <c r="H60" s="54" t="n">
        <v>1784</v>
      </c>
      <c r="I60" s="65" t="n">
        <f aca="false">IF(H60="","",G60-H60)</f>
        <v>-41</v>
      </c>
      <c r="J60" s="55" t="n">
        <f aca="false">IF(OR(D60="",D60+G60=0),"",D60/(D60+G60))</f>
        <v>0.431321370309951</v>
      </c>
      <c r="K60" s="55" t="n">
        <f aca="false">IF(E60="","",E60/(E60+H60))</f>
        <v>0.405135045015005</v>
      </c>
      <c r="L60" s="66" t="n">
        <f aca="false">IF(OR(K60="",J60=""),"",(J60-K60)*100)</f>
        <v>2.6186325294946</v>
      </c>
      <c r="M60" s="36" t="n">
        <v>2.40842220389472</v>
      </c>
      <c r="N60" s="36" t="n">
        <v>1.11900687197514</v>
      </c>
      <c r="O60" s="36" t="n">
        <f aca="false">SQRT(M60^2+N60^2)</f>
        <v>2.65568708468085</v>
      </c>
      <c r="P60" s="55" t="n">
        <f aca="false">IF(J60="","",MAX(0,J60-1.96*O60/100))</f>
        <v>0.379269903450206</v>
      </c>
      <c r="Q60" s="55" t="n">
        <f aca="false">IF(J60="","",MIN(1,J60+1.96*O60/100))</f>
        <v>0.483372837169696</v>
      </c>
      <c r="R60" s="32" t="str">
        <f aca="false">IF(L60="","",IF(ABS(L60)&lt;=O60,"Yes","No"))</f>
        <v>Yes</v>
      </c>
      <c r="S60" s="32" t="str">
        <f aca="false">IF(L60="","",IF(ABS(L60)&lt;=1.96*O60,"Yes","No"))</f>
        <v>Yes</v>
      </c>
      <c r="T60" s="54" t="n">
        <f aca="false">IF(D60="","",ROUND(SQRT(((D60+G60)*O60/100)^2+(J60*(D60+G60)*0.06991)^2),0))</f>
        <v>123</v>
      </c>
      <c r="U60" s="32"/>
    </row>
    <row r="61" customFormat="false" ht="15" hidden="false" customHeight="false" outlineLevel="0" collapsed="false">
      <c r="A61" s="32" t="s">
        <v>188</v>
      </c>
      <c r="B61" s="32" t="s">
        <v>196</v>
      </c>
      <c r="C61" s="32" t="s">
        <v>129</v>
      </c>
      <c r="D61" s="54" t="n">
        <v>211</v>
      </c>
      <c r="E61" s="54" t="n">
        <v>166</v>
      </c>
      <c r="F61" s="65" t="n">
        <f aca="false">IF(E61="","",D61-E61)</f>
        <v>45</v>
      </c>
      <c r="G61" s="54" t="n">
        <v>301</v>
      </c>
      <c r="H61" s="54" t="n">
        <v>332</v>
      </c>
      <c r="I61" s="65" t="n">
        <f aca="false">IF(H61="","",G61-H61)</f>
        <v>-31</v>
      </c>
      <c r="J61" s="55" t="n">
        <f aca="false">IF(OR(D61="",D61+G61=0),"",D61/(D61+G61))</f>
        <v>0.412109375</v>
      </c>
      <c r="K61" s="55" t="n">
        <f aca="false">IF(E61="","",E61/(E61+H61))</f>
        <v>0.333333333333333</v>
      </c>
      <c r="L61" s="66" t="n">
        <f aca="false">IF(OR(K61="",J61=""),"",(J61-K61)*100)</f>
        <v>7.87760416666667</v>
      </c>
      <c r="M61" s="36" t="n">
        <v>3.63105829306161</v>
      </c>
      <c r="N61" s="36" t="n">
        <v>1.11900687197514</v>
      </c>
      <c r="O61" s="36" t="n">
        <f aca="false">SQRT(M61^2+N61^2)</f>
        <v>3.79957375334906</v>
      </c>
      <c r="P61" s="55" t="n">
        <f aca="false">IF(J61="","",MAX(0,J61-1.96*O61/100))</f>
        <v>0.337637729434358</v>
      </c>
      <c r="Q61" s="55" t="n">
        <f aca="false">IF(J61="","",MIN(1,J61+1.96*O61/100))</f>
        <v>0.486581020565642</v>
      </c>
      <c r="R61" s="32" t="str">
        <f aca="false">IF(L61="","",IF(ABS(L61)&lt;=O61,"Yes","No"))</f>
        <v>No</v>
      </c>
      <c r="S61" s="32" t="str">
        <f aca="false">IF(L61="","",IF(ABS(L61)&lt;=1.96*O61,"Yes","No"))</f>
        <v>No</v>
      </c>
      <c r="T61" s="54" t="n">
        <f aca="false">IF(D61="","",ROUND(SQRT(((D61+G61)*O61/100)^2+(J61*(D61+G61)*0.09092)^2),0))</f>
        <v>27</v>
      </c>
      <c r="U61" s="32"/>
    </row>
    <row r="62" customFormat="false" ht="15" hidden="false" customHeight="false" outlineLevel="0" collapsed="false">
      <c r="A62" s="32" t="s">
        <v>188</v>
      </c>
      <c r="B62" s="32" t="s">
        <v>197</v>
      </c>
      <c r="C62" s="32" t="s">
        <v>129</v>
      </c>
      <c r="D62" s="54" t="n">
        <v>7534</v>
      </c>
      <c r="E62" s="54" t="n">
        <v>7095</v>
      </c>
      <c r="F62" s="65" t="n">
        <f aca="false">IF(E62="","",D62-E62)</f>
        <v>439</v>
      </c>
      <c r="G62" s="54" t="n">
        <v>2873</v>
      </c>
      <c r="H62" s="54" t="n">
        <v>2953</v>
      </c>
      <c r="I62" s="65" t="n">
        <f aca="false">IF(H62="","",G62-H62)</f>
        <v>-80</v>
      </c>
      <c r="J62" s="55" t="n">
        <f aca="false">IF(OR(D62="",D62+G62=0),"",D62/(D62+G62))</f>
        <v>0.723935812433939</v>
      </c>
      <c r="K62" s="55" t="n">
        <f aca="false">IF(E62="","",E62/(E62+H62))</f>
        <v>0.706110668789809</v>
      </c>
      <c r="L62" s="66" t="n">
        <f aca="false">IF(OR(K62="",J62=""),"",(J62-K62)*100)</f>
        <v>1.78251436441298</v>
      </c>
      <c r="M62" s="36" t="n">
        <v>1.94826691630677</v>
      </c>
      <c r="N62" s="36" t="n">
        <v>1.11900687197514</v>
      </c>
      <c r="O62" s="36" t="n">
        <f aca="false">SQRT(M62^2+N62^2)</f>
        <v>2.24675774321645</v>
      </c>
      <c r="P62" s="55" t="n">
        <f aca="false">IF(J62="","",MAX(0,J62-1.96*O62/100))</f>
        <v>0.679899360666896</v>
      </c>
      <c r="Q62" s="55" t="n">
        <f aca="false">IF(J62="","",MIN(1,J62+1.96*O62/100))</f>
        <v>0.767972264200981</v>
      </c>
      <c r="R62" s="32" t="str">
        <f aca="false">IF(L62="","",IF(ABS(L62)&lt;=O62,"Yes","No"))</f>
        <v>Yes</v>
      </c>
      <c r="S62" s="32" t="str">
        <f aca="false">IF(L62="","",IF(ABS(L62)&lt;=1.96*O62,"Yes","No"))</f>
        <v>Yes</v>
      </c>
      <c r="T62" s="54" t="n">
        <f aca="false">IF(D62="","",ROUND(SQRT(((D62+G62)*O62/100)^2+(J62*(D62+G62)*0.0639)^2),0))</f>
        <v>535</v>
      </c>
      <c r="U62" s="32"/>
    </row>
    <row r="63" customFormat="false" ht="15" hidden="false" customHeight="false" outlineLevel="0" collapsed="false">
      <c r="A63" s="32" t="s">
        <v>188</v>
      </c>
      <c r="B63" s="32" t="s">
        <v>198</v>
      </c>
      <c r="C63" s="32" t="s">
        <v>129</v>
      </c>
      <c r="D63" s="54" t="n">
        <v>5448</v>
      </c>
      <c r="E63" s="54" t="n">
        <v>5038</v>
      </c>
      <c r="F63" s="65" t="n">
        <f aca="false">IF(E63="","",D63-E63)</f>
        <v>410</v>
      </c>
      <c r="G63" s="54" t="n">
        <v>4507</v>
      </c>
      <c r="H63" s="54" t="n">
        <v>4815</v>
      </c>
      <c r="I63" s="65" t="n">
        <f aca="false">IF(H63="","",G63-H63)</f>
        <v>-308</v>
      </c>
      <c r="J63" s="55" t="n">
        <f aca="false">IF(OR(D63="",D63+G63=0),"",D63/(D63+G63))</f>
        <v>0.547262682069312</v>
      </c>
      <c r="K63" s="55" t="n">
        <f aca="false">IF(E63="","",E63/(E63+H63))</f>
        <v>0.511316350350147</v>
      </c>
      <c r="L63" s="66" t="n">
        <f aca="false">IF(OR(K63="",J63=""),"",(J63-K63)*100)</f>
        <v>3.59463317191648</v>
      </c>
      <c r="M63" s="36" t="n">
        <v>1.94826691630677</v>
      </c>
      <c r="N63" s="36" t="n">
        <v>1.11900687197514</v>
      </c>
      <c r="O63" s="36" t="n">
        <f aca="false">SQRT(M63^2+N63^2)</f>
        <v>2.24675774321645</v>
      </c>
      <c r="P63" s="55" t="n">
        <f aca="false">IF(J63="","",MAX(0,J63-1.96*O63/100))</f>
        <v>0.50322623030227</v>
      </c>
      <c r="Q63" s="55" t="n">
        <f aca="false">IF(J63="","",MIN(1,J63+1.96*O63/100))</f>
        <v>0.591299133836354</v>
      </c>
      <c r="R63" s="32" t="str">
        <f aca="false">IF(L63="","",IF(ABS(L63)&lt;=O63,"Yes","No"))</f>
        <v>No</v>
      </c>
      <c r="S63" s="32" t="str">
        <f aca="false">IF(L63="","",IF(ABS(L63)&lt;=1.96*O63,"Yes","No"))</f>
        <v>Yes</v>
      </c>
      <c r="T63" s="54" t="n">
        <f aca="false">IF(D63="","",ROUND(SQRT(((D63+G63)*O63/100)^2+(J63*(D63+G63)*0.0639)^2),0))</f>
        <v>414</v>
      </c>
      <c r="U63" s="32"/>
    </row>
    <row r="64" customFormat="false" ht="15" hidden="false" customHeight="false" outlineLevel="0" collapsed="false">
      <c r="A64" s="32" t="s">
        <v>188</v>
      </c>
      <c r="B64" s="32" t="s">
        <v>199</v>
      </c>
      <c r="C64" s="32" t="s">
        <v>129</v>
      </c>
      <c r="D64" s="54" t="n">
        <v>768</v>
      </c>
      <c r="E64" s="54" t="n">
        <v>768</v>
      </c>
      <c r="F64" s="65" t="n">
        <f aca="false">IF(E64="","",D64-E64)</f>
        <v>0</v>
      </c>
      <c r="G64" s="54" t="n">
        <v>395</v>
      </c>
      <c r="H64" s="54" t="n">
        <v>460</v>
      </c>
      <c r="I64" s="65" t="n">
        <f aca="false">IF(H64="","",G64-H64)</f>
        <v>-65</v>
      </c>
      <c r="J64" s="55" t="n">
        <f aca="false">IF(OR(D64="",D64+G64=0),"",D64/(D64+G64))</f>
        <v>0.660361134995701</v>
      </c>
      <c r="K64" s="55" t="n">
        <f aca="false">IF(E64="","",E64/(E64+H64))</f>
        <v>0.625407166123778</v>
      </c>
      <c r="L64" s="66" t="n">
        <f aca="false">IF(OR(K64="",J64=""),"",(J64-K64)*100)</f>
        <v>3.49539688719224</v>
      </c>
      <c r="M64" s="36" t="n">
        <v>3.63105829306161</v>
      </c>
      <c r="N64" s="36" t="n">
        <v>1.11900687197514</v>
      </c>
      <c r="O64" s="36" t="n">
        <f aca="false">SQRT(M64^2+N64^2)</f>
        <v>3.79957375334906</v>
      </c>
      <c r="P64" s="55" t="n">
        <f aca="false">IF(J64="","",MAX(0,J64-1.96*O64/100))</f>
        <v>0.585889489430059</v>
      </c>
      <c r="Q64" s="55" t="n">
        <f aca="false">IF(J64="","",MIN(1,J64+1.96*O64/100))</f>
        <v>0.734832780561343</v>
      </c>
      <c r="R64" s="32" t="str">
        <f aca="false">IF(L64="","",IF(ABS(L64)&lt;=O64,"Yes","No"))</f>
        <v>Yes</v>
      </c>
      <c r="S64" s="32" t="str">
        <f aca="false">IF(L64="","",IF(ABS(L64)&lt;=1.96*O64,"Yes","No"))</f>
        <v>Yes</v>
      </c>
      <c r="T64" s="54" t="n">
        <f aca="false">IF(D64="","",ROUND(SQRT(((D64+G64)*O64/100)^2+(J64*(D64+G64)*0.09092)^2),0))</f>
        <v>83</v>
      </c>
      <c r="U64" s="32"/>
    </row>
    <row r="65" customFormat="false" ht="15" hidden="false" customHeight="false" outlineLevel="0" collapsed="false">
      <c r="A65" s="32" t="s">
        <v>188</v>
      </c>
      <c r="B65" s="32" t="s">
        <v>200</v>
      </c>
      <c r="C65" s="32" t="s">
        <v>129</v>
      </c>
      <c r="D65" s="54" t="n">
        <v>117</v>
      </c>
      <c r="E65" s="54" t="n">
        <v>101</v>
      </c>
      <c r="F65" s="65" t="n">
        <f aca="false">IF(E65="","",D65-E65)</f>
        <v>16</v>
      </c>
      <c r="G65" s="54" t="n">
        <v>85</v>
      </c>
      <c r="H65" s="54" t="n">
        <v>100</v>
      </c>
      <c r="I65" s="65" t="n">
        <f aca="false">IF(H65="","",G65-H65)</f>
        <v>-15</v>
      </c>
      <c r="J65" s="55" t="n">
        <f aca="false">IF(OR(D65="",D65+G65=0),"",D65/(D65+G65))</f>
        <v>0.579207920792079</v>
      </c>
      <c r="K65" s="55" t="n">
        <f aca="false">IF(E65="","",E65/(E65+H65))</f>
        <v>0.502487562189055</v>
      </c>
      <c r="L65" s="66" t="n">
        <f aca="false">IF(OR(K65="",J65=""),"",(J65-K65)*100)</f>
        <v>7.67203586030244</v>
      </c>
      <c r="M65" s="36" t="n">
        <v>3.63105829306161</v>
      </c>
      <c r="N65" s="36" t="n">
        <v>1.11900687197514</v>
      </c>
      <c r="O65" s="36" t="n">
        <f aca="false">SQRT(M65^2+N65^2)</f>
        <v>3.79957375334906</v>
      </c>
      <c r="P65" s="55" t="n">
        <f aca="false">IF(J65="","",MAX(0,J65-1.96*O65/100))</f>
        <v>0.504736275226438</v>
      </c>
      <c r="Q65" s="55" t="n">
        <f aca="false">IF(J65="","",MIN(1,J65+1.96*O65/100))</f>
        <v>0.653679566357721</v>
      </c>
      <c r="R65" s="32" t="str">
        <f aca="false">IF(L65="","",IF(ABS(L65)&lt;=O65,"Yes","No"))</f>
        <v>No</v>
      </c>
      <c r="S65" s="32" t="str">
        <f aca="false">IF(L65="","",IF(ABS(L65)&lt;=1.96*O65,"Yes","No"))</f>
        <v>No</v>
      </c>
      <c r="T65" s="54" t="n">
        <f aca="false">IF(D65="","",ROUND(SQRT(((D65+G65)*O65/100)^2+(J65*(D65+G65)*0.09092)^2),0))</f>
        <v>13</v>
      </c>
      <c r="U65" s="32"/>
    </row>
    <row r="66" customFormat="false" ht="15" hidden="false" customHeight="false" outlineLevel="0" collapsed="false">
      <c r="A66" s="32" t="s">
        <v>188</v>
      </c>
      <c r="B66" s="32" t="s">
        <v>166</v>
      </c>
      <c r="C66" s="32" t="s">
        <v>129</v>
      </c>
      <c r="D66" s="54" t="n">
        <v>4385</v>
      </c>
      <c r="E66" s="54" t="n">
        <v>4234</v>
      </c>
      <c r="F66" s="65" t="n">
        <f aca="false">IF(E66="","",D66-E66)</f>
        <v>151</v>
      </c>
      <c r="G66" s="54" t="n">
        <v>3560</v>
      </c>
      <c r="H66" s="54" t="n">
        <v>3699</v>
      </c>
      <c r="I66" s="65" t="n">
        <f aca="false">IF(H66="","",G66-H66)</f>
        <v>-139</v>
      </c>
      <c r="J66" s="55" t="n">
        <f aca="false">IF(OR(D66="",D66+G66=0),"",D66/(D66+G66))</f>
        <v>0.551919446192574</v>
      </c>
      <c r="K66" s="55" t="n">
        <f aca="false">IF(E66="","",E66/(E66+H66))</f>
        <v>0.533719904197655</v>
      </c>
      <c r="L66" s="66" t="n">
        <f aca="false">IF(OR(K66="",J66=""),"",(J66-K66)*100)</f>
        <v>1.81995419949186</v>
      </c>
      <c r="M66" s="36" t="n">
        <v>1.94826691630677</v>
      </c>
      <c r="N66" s="36" t="n">
        <v>1.11900687197514</v>
      </c>
      <c r="O66" s="36" t="n">
        <f aca="false">SQRT(M66^2+N66^2)</f>
        <v>2.24675774321645</v>
      </c>
      <c r="P66" s="55" t="n">
        <f aca="false">IF(J66="","",MAX(0,J66-1.96*O66/100))</f>
        <v>0.507882994425532</v>
      </c>
      <c r="Q66" s="55" t="n">
        <f aca="false">IF(J66="","",MIN(1,J66+1.96*O66/100))</f>
        <v>0.595955897959616</v>
      </c>
      <c r="R66" s="32" t="str">
        <f aca="false">IF(L66="","",IF(ABS(L66)&lt;=O66,"Yes","No"))</f>
        <v>Yes</v>
      </c>
      <c r="S66" s="32" t="str">
        <f aca="false">IF(L66="","",IF(ABS(L66)&lt;=1.96*O66,"Yes","No"))</f>
        <v>Yes</v>
      </c>
      <c r="T66" s="54" t="n">
        <f aca="false">IF(D66="","",ROUND(SQRT(((D66+G66)*O66/100)^2+(J66*(D66+G66)*0.0639)^2),0))</f>
        <v>332</v>
      </c>
      <c r="U66" s="32"/>
    </row>
    <row r="67" customFormat="false" ht="15" hidden="false" customHeight="false" outlineLevel="0" collapsed="false">
      <c r="A67" s="32" t="s">
        <v>188</v>
      </c>
      <c r="B67" s="32" t="s">
        <v>201</v>
      </c>
      <c r="C67" s="32" t="s">
        <v>129</v>
      </c>
      <c r="D67" s="54" t="n">
        <v>1834</v>
      </c>
      <c r="E67" s="54" t="n">
        <v>1646</v>
      </c>
      <c r="F67" s="65" t="n">
        <f aca="false">IF(E67="","",D67-E67)</f>
        <v>188</v>
      </c>
      <c r="G67" s="54" t="n">
        <v>1471</v>
      </c>
      <c r="H67" s="54" t="n">
        <v>1608</v>
      </c>
      <c r="I67" s="65" t="n">
        <f aca="false">IF(H67="","",G67-H67)</f>
        <v>-137</v>
      </c>
      <c r="J67" s="55" t="n">
        <f aca="false">IF(OR(D67="",D67+G67=0),"",D67/(D67+G67))</f>
        <v>0.554916792738275</v>
      </c>
      <c r="K67" s="55" t="n">
        <f aca="false">IF(E67="","",E67/(E67+H67))</f>
        <v>0.505838967424708</v>
      </c>
      <c r="L67" s="66" t="n">
        <f aca="false">IF(OR(K67="",J67=""),"",(J67-K67)*100)</f>
        <v>4.90778253135673</v>
      </c>
      <c r="M67" s="36" t="n">
        <v>2.40842220389472</v>
      </c>
      <c r="N67" s="36" t="n">
        <v>1.11900687197514</v>
      </c>
      <c r="O67" s="36" t="n">
        <f aca="false">SQRT(M67^2+N67^2)</f>
        <v>2.65568708468085</v>
      </c>
      <c r="P67" s="55" t="n">
        <f aca="false">IF(J67="","",MAX(0,J67-1.96*O67/100))</f>
        <v>0.502865325878531</v>
      </c>
      <c r="Q67" s="55" t="n">
        <f aca="false">IF(J67="","",MIN(1,J67+1.96*O67/100))</f>
        <v>0.60696825959802</v>
      </c>
      <c r="R67" s="32" t="str">
        <f aca="false">IF(L67="","",IF(ABS(L67)&lt;=O67,"Yes","No"))</f>
        <v>No</v>
      </c>
      <c r="S67" s="32" t="str">
        <f aca="false">IF(L67="","",IF(ABS(L67)&lt;=1.96*O67,"Yes","No"))</f>
        <v>Yes</v>
      </c>
      <c r="T67" s="54" t="n">
        <f aca="false">IF(D67="","",ROUND(SQRT(((D67+G67)*O67/100)^2+(J67*(D67+G67)*0.06991)^2),0))</f>
        <v>155</v>
      </c>
      <c r="U67" s="32"/>
    </row>
    <row r="68" customFormat="false" ht="15" hidden="false" customHeight="false" outlineLevel="0" collapsed="false">
      <c r="A68" s="32" t="s">
        <v>188</v>
      </c>
      <c r="B68" s="32" t="s">
        <v>202</v>
      </c>
      <c r="C68" s="32" t="s">
        <v>129</v>
      </c>
      <c r="D68" s="54" t="n">
        <v>2360</v>
      </c>
      <c r="E68" s="54" t="n">
        <v>2137</v>
      </c>
      <c r="F68" s="65" t="n">
        <f aca="false">IF(E68="","",D68-E68)</f>
        <v>223</v>
      </c>
      <c r="G68" s="54" t="n">
        <v>4067</v>
      </c>
      <c r="H68" s="54" t="n">
        <v>4258</v>
      </c>
      <c r="I68" s="65" t="n">
        <f aca="false">IF(H68="","",G68-H68)</f>
        <v>-191</v>
      </c>
      <c r="J68" s="55" t="n">
        <f aca="false">IF(OR(D68="",D68+G68=0),"",D68/(D68+G68))</f>
        <v>0.367200871324101</v>
      </c>
      <c r="K68" s="55" t="n">
        <f aca="false">IF(E68="","",E68/(E68+H68))</f>
        <v>0.334167318217357</v>
      </c>
      <c r="L68" s="66" t="n">
        <f aca="false">IF(OR(K68="",J68=""),"",(J68-K68)*100)</f>
        <v>3.30335531067442</v>
      </c>
      <c r="M68" s="36" t="n">
        <v>1.94826691630677</v>
      </c>
      <c r="N68" s="36" t="n">
        <v>1.11900687197514</v>
      </c>
      <c r="O68" s="36" t="n">
        <f aca="false">SQRT(M68^2+N68^2)</f>
        <v>2.24675774321645</v>
      </c>
      <c r="P68" s="55" t="n">
        <f aca="false">IF(J68="","",MAX(0,J68-1.96*O68/100))</f>
        <v>0.323164419557059</v>
      </c>
      <c r="Q68" s="55" t="n">
        <f aca="false">IF(J68="","",MIN(1,J68+1.96*O68/100))</f>
        <v>0.411237323091144</v>
      </c>
      <c r="R68" s="32" t="str">
        <f aca="false">IF(L68="","",IF(ABS(L68)&lt;=O68,"Yes","No"))</f>
        <v>No</v>
      </c>
      <c r="S68" s="32" t="str">
        <f aca="false">IF(L68="","",IF(ABS(L68)&lt;=1.96*O68,"Yes","No"))</f>
        <v>Yes</v>
      </c>
      <c r="T68" s="54" t="n">
        <f aca="false">IF(D68="","",ROUND(SQRT(((D68+G68)*O68/100)^2+(J68*(D68+G68)*0.0639)^2),0))</f>
        <v>209</v>
      </c>
      <c r="U68" s="32"/>
    </row>
    <row r="69" customFormat="false" ht="15" hidden="false" customHeight="false" outlineLevel="0" collapsed="false">
      <c r="A69" s="32" t="s">
        <v>188</v>
      </c>
      <c r="B69" s="32" t="s">
        <v>203</v>
      </c>
      <c r="C69" s="32" t="s">
        <v>129</v>
      </c>
      <c r="D69" s="54" t="n">
        <v>668</v>
      </c>
      <c r="E69" s="54" t="n">
        <v>580</v>
      </c>
      <c r="F69" s="65" t="n">
        <f aca="false">IF(E69="","",D69-E69)</f>
        <v>88</v>
      </c>
      <c r="G69" s="54" t="n">
        <v>1117</v>
      </c>
      <c r="H69" s="54" t="n">
        <v>1159</v>
      </c>
      <c r="I69" s="65" t="n">
        <f aca="false">IF(H69="","",G69-H69)</f>
        <v>-42</v>
      </c>
      <c r="J69" s="55" t="n">
        <f aca="false">IF(OR(D69="",D69+G69=0),"",D69/(D69+G69))</f>
        <v>0.374229691876751</v>
      </c>
      <c r="K69" s="55" t="n">
        <f aca="false">IF(E69="","",E69/(E69+H69))</f>
        <v>0.333525014376078</v>
      </c>
      <c r="L69" s="66" t="n">
        <f aca="false">IF(OR(K69="",J69=""),"",(J69-K69)*100)</f>
        <v>4.07046775006725</v>
      </c>
      <c r="M69" s="36" t="n">
        <v>2.40842220389472</v>
      </c>
      <c r="N69" s="36" t="n">
        <v>1.11900687197514</v>
      </c>
      <c r="O69" s="36" t="n">
        <f aca="false">SQRT(M69^2+N69^2)</f>
        <v>2.65568708468085</v>
      </c>
      <c r="P69" s="55" t="n">
        <f aca="false">IF(J69="","",MAX(0,J69-1.96*O69/100))</f>
        <v>0.322178225017006</v>
      </c>
      <c r="Q69" s="55" t="n">
        <f aca="false">IF(J69="","",MIN(1,J69+1.96*O69/100))</f>
        <v>0.426281158736495</v>
      </c>
      <c r="R69" s="32" t="str">
        <f aca="false">IF(L69="","",IF(ABS(L69)&lt;=O69,"Yes","No"))</f>
        <v>No</v>
      </c>
      <c r="S69" s="32" t="str">
        <f aca="false">IF(L69="","",IF(ABS(L69)&lt;=1.96*O69,"Yes","No"))</f>
        <v>Yes</v>
      </c>
      <c r="T69" s="54" t="n">
        <f aca="false">IF(D69="","",ROUND(SQRT(((D69+G69)*O69/100)^2+(J69*(D69+G69)*0.06991)^2),0))</f>
        <v>67</v>
      </c>
      <c r="U69" s="32"/>
    </row>
    <row r="70" customFormat="false" ht="15" hidden="false" customHeight="false" outlineLevel="0" collapsed="false">
      <c r="A70" s="32" t="s">
        <v>188</v>
      </c>
      <c r="B70" s="32" t="s">
        <v>204</v>
      </c>
      <c r="C70" s="32" t="s">
        <v>129</v>
      </c>
      <c r="D70" s="54" t="n">
        <v>2025</v>
      </c>
      <c r="E70" s="54" t="n">
        <v>1879</v>
      </c>
      <c r="F70" s="65" t="n">
        <f aca="false">IF(E70="","",D70-E70)</f>
        <v>146</v>
      </c>
      <c r="G70" s="54" t="n">
        <v>2410</v>
      </c>
      <c r="H70" s="54" t="n">
        <v>2565</v>
      </c>
      <c r="I70" s="65" t="n">
        <f aca="false">IF(H70="","",G70-H70)</f>
        <v>-155</v>
      </c>
      <c r="J70" s="55" t="n">
        <f aca="false">IF(OR(D70="",D70+G70=0),"",D70/(D70+G70))</f>
        <v>0.456595264937993</v>
      </c>
      <c r="K70" s="55" t="n">
        <f aca="false">IF(E70="","",E70/(E70+H70))</f>
        <v>0.422817281728173</v>
      </c>
      <c r="L70" s="66" t="n">
        <f aca="false">IF(OR(K70="",J70=""),"",(J70-K70)*100)</f>
        <v>3.37779832098204</v>
      </c>
      <c r="M70" s="36" t="n">
        <v>1.94826691630677</v>
      </c>
      <c r="N70" s="36" t="n">
        <v>1.11900687197514</v>
      </c>
      <c r="O70" s="36" t="n">
        <f aca="false">SQRT(M70^2+N70^2)</f>
        <v>2.24675774321645</v>
      </c>
      <c r="P70" s="55" t="n">
        <f aca="false">IF(J70="","",MAX(0,J70-1.96*O70/100))</f>
        <v>0.412558813170951</v>
      </c>
      <c r="Q70" s="55" t="n">
        <f aca="false">IF(J70="","",MIN(1,J70+1.96*O70/100))</f>
        <v>0.500631716705036</v>
      </c>
      <c r="R70" s="32" t="str">
        <f aca="false">IF(L70="","",IF(ABS(L70)&lt;=O70,"Yes","No"))</f>
        <v>No</v>
      </c>
      <c r="S70" s="32" t="str">
        <f aca="false">IF(L70="","",IF(ABS(L70)&lt;=1.96*O70,"Yes","No"))</f>
        <v>Yes</v>
      </c>
      <c r="T70" s="54" t="n">
        <f aca="false">IF(D70="","",ROUND(SQRT(((D70+G70)*O70/100)^2+(J70*(D70+G70)*0.0639)^2),0))</f>
        <v>163</v>
      </c>
      <c r="U70" s="32"/>
    </row>
    <row r="71" customFormat="false" ht="15" hidden="false" customHeight="false" outlineLevel="0" collapsed="false">
      <c r="A71" s="32" t="s">
        <v>188</v>
      </c>
      <c r="B71" s="32" t="s">
        <v>205</v>
      </c>
      <c r="C71" s="32" t="s">
        <v>129</v>
      </c>
      <c r="D71" s="54" t="n">
        <v>3550</v>
      </c>
      <c r="E71" s="54" t="n">
        <v>3370</v>
      </c>
      <c r="F71" s="65" t="n">
        <f aca="false">IF(E71="","",D71-E71)</f>
        <v>180</v>
      </c>
      <c r="G71" s="54" t="n">
        <v>3690</v>
      </c>
      <c r="H71" s="54" t="n">
        <v>3831</v>
      </c>
      <c r="I71" s="65" t="n">
        <f aca="false">IF(H71="","",G71-H71)</f>
        <v>-141</v>
      </c>
      <c r="J71" s="55" t="n">
        <f aca="false">IF(OR(D71="",D71+G71=0),"",D71/(D71+G71))</f>
        <v>0.490331491712707</v>
      </c>
      <c r="K71" s="55" t="n">
        <f aca="false">IF(E71="","",E71/(E71+H71))</f>
        <v>0.467990556867102</v>
      </c>
      <c r="L71" s="66" t="n">
        <f aca="false">IF(OR(K71="",J71=""),"",(J71-K71)*100)</f>
        <v>2.23409348456054</v>
      </c>
      <c r="M71" s="36" t="n">
        <v>1.94826691630677</v>
      </c>
      <c r="N71" s="36" t="n">
        <v>1.11900687197514</v>
      </c>
      <c r="O71" s="36" t="n">
        <f aca="false">SQRT(M71^2+N71^2)</f>
        <v>2.24675774321645</v>
      </c>
      <c r="P71" s="55" t="n">
        <f aca="false">IF(J71="","",MAX(0,J71-1.96*O71/100))</f>
        <v>0.446295039945665</v>
      </c>
      <c r="Q71" s="55" t="n">
        <f aca="false">IF(J71="","",MIN(1,J71+1.96*O71/100))</f>
        <v>0.53436794347975</v>
      </c>
      <c r="R71" s="32" t="str">
        <f aca="false">IF(L71="","",IF(ABS(L71)&lt;=O71,"Yes","No"))</f>
        <v>Yes</v>
      </c>
      <c r="S71" s="32" t="str">
        <f aca="false">IF(L71="","",IF(ABS(L71)&lt;=1.96*O71,"Yes","No"))</f>
        <v>Yes</v>
      </c>
      <c r="T71" s="54" t="n">
        <f aca="false">IF(D71="","",ROUND(SQRT(((D71+G71)*O71/100)^2+(J71*(D71+G71)*0.0639)^2),0))</f>
        <v>279</v>
      </c>
      <c r="U71" s="32"/>
    </row>
    <row r="72" customFormat="false" ht="15" hidden="false" customHeight="false" outlineLevel="0" collapsed="false">
      <c r="A72" s="32" t="s">
        <v>188</v>
      </c>
      <c r="B72" s="32" t="s">
        <v>206</v>
      </c>
      <c r="C72" s="32" t="s">
        <v>129</v>
      </c>
      <c r="D72" s="54" t="n">
        <v>2134</v>
      </c>
      <c r="E72" s="54" t="n">
        <v>1920</v>
      </c>
      <c r="F72" s="65" t="n">
        <f aca="false">IF(E72="","",D72-E72)</f>
        <v>214</v>
      </c>
      <c r="G72" s="54" t="n">
        <v>3763</v>
      </c>
      <c r="H72" s="54" t="n">
        <v>3865</v>
      </c>
      <c r="I72" s="65" t="n">
        <f aca="false">IF(H72="","",G72-H72)</f>
        <v>-102</v>
      </c>
      <c r="J72" s="55" t="n">
        <f aca="false">IF(OR(D72="",D72+G72=0),"",D72/(D72+G72))</f>
        <v>0.361878921485501</v>
      </c>
      <c r="K72" s="55" t="n">
        <f aca="false">IF(E72="","",E72/(E72+H72))</f>
        <v>0.331892826274849</v>
      </c>
      <c r="L72" s="66" t="n">
        <f aca="false">IF(OR(K72="",J72=""),"",(J72-K72)*100)</f>
        <v>2.99860952106524</v>
      </c>
      <c r="M72" s="36" t="n">
        <v>1.94826691630677</v>
      </c>
      <c r="N72" s="36" t="n">
        <v>1.11900687197514</v>
      </c>
      <c r="O72" s="36" t="n">
        <f aca="false">SQRT(M72^2+N72^2)</f>
        <v>2.24675774321645</v>
      </c>
      <c r="P72" s="55" t="n">
        <f aca="false">IF(J72="","",MAX(0,J72-1.96*O72/100))</f>
        <v>0.317842469718459</v>
      </c>
      <c r="Q72" s="55" t="n">
        <f aca="false">IF(J72="","",MIN(1,J72+1.96*O72/100))</f>
        <v>0.405915373252544</v>
      </c>
      <c r="R72" s="32" t="str">
        <f aca="false">IF(L72="","",IF(ABS(L72)&lt;=O72,"Yes","No"))</f>
        <v>No</v>
      </c>
      <c r="S72" s="32" t="str">
        <f aca="false">IF(L72="","",IF(ABS(L72)&lt;=1.96*O72,"Yes","No"))</f>
        <v>Yes</v>
      </c>
      <c r="T72" s="54" t="n">
        <f aca="false">IF(D72="","",ROUND(SQRT(((D72+G72)*O72/100)^2+(J72*(D72+G72)*0.0639)^2),0))</f>
        <v>190</v>
      </c>
      <c r="U72" s="32"/>
    </row>
    <row r="73" customFormat="false" ht="15" hidden="false" customHeight="false" outlineLevel="0" collapsed="false">
      <c r="A73" s="32" t="s">
        <v>188</v>
      </c>
      <c r="B73" s="32" t="s">
        <v>207</v>
      </c>
      <c r="C73" s="32" t="s">
        <v>129</v>
      </c>
      <c r="D73" s="54" t="n">
        <v>1696</v>
      </c>
      <c r="E73" s="54" t="n">
        <v>1490</v>
      </c>
      <c r="F73" s="65" t="n">
        <f aca="false">IF(E73="","",D73-E73)</f>
        <v>206</v>
      </c>
      <c r="G73" s="54" t="n">
        <v>1513</v>
      </c>
      <c r="H73" s="54" t="n">
        <v>1627</v>
      </c>
      <c r="I73" s="65" t="n">
        <f aca="false">IF(H73="","",G73-H73)</f>
        <v>-114</v>
      </c>
      <c r="J73" s="55" t="n">
        <f aca="false">IF(OR(D73="",D73+G73=0),"",D73/(D73+G73))</f>
        <v>0.528513555624805</v>
      </c>
      <c r="K73" s="55" t="n">
        <f aca="false">IF(E73="","",E73/(E73+H73))</f>
        <v>0.478023740776388</v>
      </c>
      <c r="L73" s="66" t="n">
        <f aca="false">IF(OR(K73="",J73=""),"",(J73-K73)*100)</f>
        <v>5.04898148484178</v>
      </c>
      <c r="M73" s="36" t="n">
        <v>2.40842220389472</v>
      </c>
      <c r="N73" s="36" t="n">
        <v>1.11900687197514</v>
      </c>
      <c r="O73" s="36" t="n">
        <f aca="false">SQRT(M73^2+N73^2)</f>
        <v>2.65568708468085</v>
      </c>
      <c r="P73" s="55" t="n">
        <f aca="false">IF(J73="","",MAX(0,J73-1.96*O73/100))</f>
        <v>0.476462088765061</v>
      </c>
      <c r="Q73" s="55" t="n">
        <f aca="false">IF(J73="","",MIN(1,J73+1.96*O73/100))</f>
        <v>0.58056502248455</v>
      </c>
      <c r="R73" s="32" t="str">
        <f aca="false">IF(L73="","",IF(ABS(L73)&lt;=O73,"Yes","No"))</f>
        <v>No</v>
      </c>
      <c r="S73" s="32" t="str">
        <f aca="false">IF(L73="","",IF(ABS(L73)&lt;=1.96*O73,"Yes","No"))</f>
        <v>Yes</v>
      </c>
      <c r="T73" s="54" t="n">
        <f aca="false">IF(D73="","",ROUND(SQRT(((D73+G73)*O73/100)^2+(J73*(D73+G73)*0.06991)^2),0))</f>
        <v>146</v>
      </c>
      <c r="U73" s="32"/>
    </row>
    <row r="74" customFormat="false" ht="15" hidden="false" customHeight="false" outlineLevel="0" collapsed="false">
      <c r="A74" s="32" t="s">
        <v>188</v>
      </c>
      <c r="B74" s="32" t="s">
        <v>208</v>
      </c>
      <c r="C74" s="32" t="s">
        <v>129</v>
      </c>
      <c r="D74" s="54" t="n">
        <v>787</v>
      </c>
      <c r="E74" s="54" t="n">
        <v>731</v>
      </c>
      <c r="F74" s="65" t="n">
        <f aca="false">IF(E74="","",D74-E74)</f>
        <v>56</v>
      </c>
      <c r="G74" s="54" t="n">
        <v>752</v>
      </c>
      <c r="H74" s="54" t="n">
        <v>843</v>
      </c>
      <c r="I74" s="65" t="n">
        <f aca="false">IF(H74="","",G74-H74)</f>
        <v>-91</v>
      </c>
      <c r="J74" s="55" t="n">
        <f aca="false">IF(OR(D74="",D74+G74=0),"",D74/(D74+G74))</f>
        <v>0.51137102014295</v>
      </c>
      <c r="K74" s="55" t="n">
        <f aca="false">IF(E74="","",E74/(E74+H74))</f>
        <v>0.464421855146125</v>
      </c>
      <c r="L74" s="66" t="n">
        <f aca="false">IF(OR(K74="",J74=""),"",(J74-K74)*100)</f>
        <v>4.69491649968255</v>
      </c>
      <c r="M74" s="36" t="n">
        <v>2.40842220389472</v>
      </c>
      <c r="N74" s="36" t="n">
        <v>1.11900687197514</v>
      </c>
      <c r="O74" s="36" t="n">
        <f aca="false">SQRT(M74^2+N74^2)</f>
        <v>2.65568708468085</v>
      </c>
      <c r="P74" s="55" t="n">
        <f aca="false">IF(J74="","",MAX(0,J74-1.96*O74/100))</f>
        <v>0.459319553283205</v>
      </c>
      <c r="Q74" s="55" t="n">
        <f aca="false">IF(J74="","",MIN(1,J74+1.96*O74/100))</f>
        <v>0.563422487002695</v>
      </c>
      <c r="R74" s="32" t="str">
        <f aca="false">IF(L74="","",IF(ABS(L74)&lt;=O74,"Yes","No"))</f>
        <v>No</v>
      </c>
      <c r="S74" s="32" t="str">
        <f aca="false">IF(L74="","",IF(ABS(L74)&lt;=1.96*O74,"Yes","No"))</f>
        <v>Yes</v>
      </c>
      <c r="T74" s="54" t="n">
        <f aca="false">IF(D74="","",ROUND(SQRT(((D74+G74)*O74/100)^2+(J74*(D74+G74)*0.06991)^2),0))</f>
        <v>69</v>
      </c>
      <c r="U74" s="32"/>
    </row>
    <row r="75" customFormat="false" ht="15" hidden="false" customHeight="false" outlineLevel="0" collapsed="false">
      <c r="A75" s="32" t="s">
        <v>188</v>
      </c>
      <c r="B75" s="32" t="s">
        <v>209</v>
      </c>
      <c r="C75" s="32" t="s">
        <v>129</v>
      </c>
      <c r="D75" s="54" t="n">
        <v>2634</v>
      </c>
      <c r="E75" s="54" t="n">
        <v>2355</v>
      </c>
      <c r="F75" s="65" t="n">
        <f aca="false">IF(E75="","",D75-E75)</f>
        <v>279</v>
      </c>
      <c r="G75" s="54" t="n">
        <v>2555</v>
      </c>
      <c r="H75" s="54" t="n">
        <v>2934</v>
      </c>
      <c r="I75" s="65" t="n">
        <f aca="false">IF(H75="","",G75-H75)</f>
        <v>-379</v>
      </c>
      <c r="J75" s="55" t="n">
        <f aca="false">IF(OR(D75="",D75+G75=0),"",D75/(D75+G75))</f>
        <v>0.507612256696859</v>
      </c>
      <c r="K75" s="55" t="n">
        <f aca="false">IF(E75="","",E75/(E75+H75))</f>
        <v>0.445263754963131</v>
      </c>
      <c r="L75" s="66" t="n">
        <f aca="false">IF(OR(K75="",J75=""),"",(J75-K75)*100)</f>
        <v>6.23485017337277</v>
      </c>
      <c r="M75" s="36" t="n">
        <v>1.94826691630677</v>
      </c>
      <c r="N75" s="36" t="n">
        <v>1.11900687197514</v>
      </c>
      <c r="O75" s="36" t="n">
        <f aca="false">SQRT(M75^2+N75^2)</f>
        <v>2.24675774321645</v>
      </c>
      <c r="P75" s="55" t="n">
        <f aca="false">IF(J75="","",MAX(0,J75-1.96*O75/100))</f>
        <v>0.463575804929816</v>
      </c>
      <c r="Q75" s="55" t="n">
        <f aca="false">IF(J75="","",MIN(1,J75+1.96*O75/100))</f>
        <v>0.551648708463901</v>
      </c>
      <c r="R75" s="32" t="str">
        <f aca="false">IF(L75="","",IF(ABS(L75)&lt;=O75,"Yes","No"))</f>
        <v>No</v>
      </c>
      <c r="S75" s="32" t="str">
        <f aca="false">IF(L75="","",IF(ABS(L75)&lt;=1.96*O75,"Yes","No"))</f>
        <v>No</v>
      </c>
      <c r="T75" s="54" t="n">
        <f aca="false">IF(D75="","",ROUND(SQRT(((D75+G75)*O75/100)^2+(J75*(D75+G75)*0.0639)^2),0))</f>
        <v>205</v>
      </c>
      <c r="U75" s="32"/>
    </row>
    <row r="76" customFormat="false" ht="15" hidden="false" customHeight="false" outlineLevel="0" collapsed="false">
      <c r="A76" s="32" t="s">
        <v>188</v>
      </c>
      <c r="B76" s="32" t="s">
        <v>210</v>
      </c>
      <c r="C76" s="32" t="s">
        <v>129</v>
      </c>
      <c r="D76" s="54" t="n">
        <v>7278</v>
      </c>
      <c r="E76" s="54" t="n">
        <v>6698</v>
      </c>
      <c r="F76" s="65" t="n">
        <f aca="false">IF(E76="","",D76-E76)</f>
        <v>580</v>
      </c>
      <c r="G76" s="54" t="n">
        <v>5969</v>
      </c>
      <c r="H76" s="54" t="n">
        <v>6630</v>
      </c>
      <c r="I76" s="65" t="n">
        <f aca="false">IF(H76="","",G76-H76)</f>
        <v>-661</v>
      </c>
      <c r="J76" s="55" t="n">
        <f aca="false">IF(OR(D76="",D76+G76=0),"",D76/(D76+G76))</f>
        <v>0.54940741299917</v>
      </c>
      <c r="K76" s="55" t="n">
        <f aca="false">IF(E76="","",E76/(E76+H76))</f>
        <v>0.502551020408163</v>
      </c>
      <c r="L76" s="66" t="n">
        <f aca="false">IF(OR(K76="",J76=""),"",(J76-K76)*100)</f>
        <v>4.68563925910064</v>
      </c>
      <c r="M76" s="36" t="n">
        <v>1.94826691630677</v>
      </c>
      <c r="N76" s="36" t="n">
        <v>1.11900687197514</v>
      </c>
      <c r="O76" s="36" t="n">
        <f aca="false">SQRT(M76^2+N76^2)</f>
        <v>2.24675774321645</v>
      </c>
      <c r="P76" s="55" t="n">
        <f aca="false">IF(J76="","",MAX(0,J76-1.96*O76/100))</f>
        <v>0.505370961232127</v>
      </c>
      <c r="Q76" s="55" t="n">
        <f aca="false">IF(J76="","",MIN(1,J76+1.96*O76/100))</f>
        <v>0.593443864766212</v>
      </c>
      <c r="R76" s="32" t="str">
        <f aca="false">IF(L76="","",IF(ABS(L76)&lt;=O76,"Yes","No"))</f>
        <v>No</v>
      </c>
      <c r="S76" s="32" t="str">
        <f aca="false">IF(L76="","",IF(ABS(L76)&lt;=1.96*O76,"Yes","No"))</f>
        <v>No</v>
      </c>
      <c r="T76" s="54" t="n">
        <f aca="false">IF(D76="","",ROUND(SQRT(((D76+G76)*O76/100)^2+(J76*(D76+G76)*0.0639)^2),0))</f>
        <v>552</v>
      </c>
      <c r="U76" s="32"/>
    </row>
    <row r="77" customFormat="false" ht="15" hidden="false" customHeight="false" outlineLevel="0" collapsed="false">
      <c r="A77" s="32" t="s">
        <v>188</v>
      </c>
      <c r="B77" s="32" t="s">
        <v>211</v>
      </c>
      <c r="C77" s="32" t="s">
        <v>129</v>
      </c>
      <c r="D77" s="54" t="n">
        <v>741</v>
      </c>
      <c r="E77" s="54" t="n">
        <v>678</v>
      </c>
      <c r="F77" s="65" t="n">
        <f aca="false">IF(E77="","",D77-E77)</f>
        <v>63</v>
      </c>
      <c r="G77" s="54" t="n">
        <v>1062</v>
      </c>
      <c r="H77" s="54" t="n">
        <v>1089</v>
      </c>
      <c r="I77" s="65" t="n">
        <f aca="false">IF(H77="","",G77-H77)</f>
        <v>-27</v>
      </c>
      <c r="J77" s="55" t="n">
        <f aca="false">IF(OR(D77="",D77+G77=0),"",D77/(D77+G77))</f>
        <v>0.410981697171381</v>
      </c>
      <c r="K77" s="55" t="n">
        <f aca="false">IF(E77="","",E77/(E77+H77))</f>
        <v>0.383701188455009</v>
      </c>
      <c r="L77" s="66" t="n">
        <f aca="false">IF(OR(K77="",J77=""),"",(J77-K77)*100)</f>
        <v>2.72805087163726</v>
      </c>
      <c r="M77" s="36" t="n">
        <v>2.40842220389472</v>
      </c>
      <c r="N77" s="36" t="n">
        <v>1.11900687197514</v>
      </c>
      <c r="O77" s="36" t="n">
        <f aca="false">SQRT(M77^2+N77^2)</f>
        <v>2.65568708468085</v>
      </c>
      <c r="P77" s="55" t="n">
        <f aca="false">IF(J77="","",MAX(0,J77-1.96*O77/100))</f>
        <v>0.358930230311636</v>
      </c>
      <c r="Q77" s="55" t="n">
        <f aca="false">IF(J77="","",MIN(1,J77+1.96*O77/100))</f>
        <v>0.463033164031126</v>
      </c>
      <c r="R77" s="32" t="str">
        <f aca="false">IF(L77="","",IF(ABS(L77)&lt;=O77,"Yes","No"))</f>
        <v>No</v>
      </c>
      <c r="S77" s="32" t="str">
        <f aca="false">IF(L77="","",IF(ABS(L77)&lt;=1.96*O77,"Yes","No"))</f>
        <v>Yes</v>
      </c>
      <c r="T77" s="54" t="n">
        <f aca="false">IF(D77="","",ROUND(SQRT(((D77+G77)*O77/100)^2+(J77*(D77+G77)*0.06991)^2),0))</f>
        <v>71</v>
      </c>
      <c r="U77" s="32"/>
    </row>
    <row r="78" customFormat="false" ht="15" hidden="false" customHeight="false" outlineLevel="0" collapsed="false">
      <c r="A78" s="32" t="s">
        <v>188</v>
      </c>
      <c r="B78" s="32" t="s">
        <v>212</v>
      </c>
      <c r="C78" s="32" t="s">
        <v>129</v>
      </c>
      <c r="D78" s="54" t="n">
        <v>1460</v>
      </c>
      <c r="E78" s="54" t="n">
        <v>1368</v>
      </c>
      <c r="F78" s="65" t="n">
        <f aca="false">IF(E78="","",D78-E78)</f>
        <v>92</v>
      </c>
      <c r="G78" s="54" t="n">
        <v>2400</v>
      </c>
      <c r="H78" s="54" t="n">
        <v>2520</v>
      </c>
      <c r="I78" s="65" t="n">
        <f aca="false">IF(H78="","",G78-H78)</f>
        <v>-120</v>
      </c>
      <c r="J78" s="55" t="n">
        <f aca="false">IF(OR(D78="",D78+G78=0),"",D78/(D78+G78))</f>
        <v>0.378238341968912</v>
      </c>
      <c r="K78" s="55" t="n">
        <f aca="false">IF(E78="","",E78/(E78+H78))</f>
        <v>0.351851851851852</v>
      </c>
      <c r="L78" s="66" t="n">
        <f aca="false">IF(OR(K78="",J78=""),"",(J78-K78)*100)</f>
        <v>2.63864901170601</v>
      </c>
      <c r="M78" s="36" t="n">
        <v>1.94826691630677</v>
      </c>
      <c r="N78" s="36" t="n">
        <v>1.11900687197514</v>
      </c>
      <c r="O78" s="36" t="n">
        <f aca="false">SQRT(M78^2+N78^2)</f>
        <v>2.24675774321645</v>
      </c>
      <c r="P78" s="55" t="n">
        <f aca="false">IF(J78="","",MAX(0,J78-1.96*O78/100))</f>
        <v>0.33420189020187</v>
      </c>
      <c r="Q78" s="55" t="n">
        <f aca="false">IF(J78="","",MIN(1,J78+1.96*O78/100))</f>
        <v>0.422274793735954</v>
      </c>
      <c r="R78" s="32" t="str">
        <f aca="false">IF(L78="","",IF(ABS(L78)&lt;=O78,"Yes","No"))</f>
        <v>No</v>
      </c>
      <c r="S78" s="32" t="str">
        <f aca="false">IF(L78="","",IF(ABS(L78)&lt;=1.96*O78,"Yes","No"))</f>
        <v>Yes</v>
      </c>
      <c r="T78" s="54" t="n">
        <f aca="false">IF(D78="","",ROUND(SQRT(((D78+G78)*O78/100)^2+(J78*(D78+G78)*0.0639)^2),0))</f>
        <v>127</v>
      </c>
      <c r="U78" s="32"/>
    </row>
    <row r="79" customFormat="false" ht="15" hidden="false" customHeight="false" outlineLevel="0" collapsed="false">
      <c r="A79" s="32" t="s">
        <v>188</v>
      </c>
      <c r="B79" s="32" t="s">
        <v>213</v>
      </c>
      <c r="C79" s="32" t="s">
        <v>129</v>
      </c>
      <c r="D79" s="54" t="n">
        <v>92</v>
      </c>
      <c r="E79" s="54" t="n">
        <v>82</v>
      </c>
      <c r="F79" s="65" t="n">
        <f aca="false">IF(E79="","",D79-E79)</f>
        <v>10</v>
      </c>
      <c r="G79" s="54" t="n">
        <v>171</v>
      </c>
      <c r="H79" s="54" t="n">
        <v>171</v>
      </c>
      <c r="I79" s="65" t="n">
        <f aca="false">IF(H79="","",G79-H79)</f>
        <v>0</v>
      </c>
      <c r="J79" s="55" t="n">
        <f aca="false">IF(OR(D79="",D79+G79=0),"",D79/(D79+G79))</f>
        <v>0.349809885931559</v>
      </c>
      <c r="K79" s="55" t="n">
        <f aca="false">IF(E79="","",E79/(E79+H79))</f>
        <v>0.324110671936759</v>
      </c>
      <c r="L79" s="66" t="n">
        <f aca="false">IF(OR(K79="",J79=""),"",(J79-K79)*100)</f>
        <v>2.56992139948</v>
      </c>
      <c r="M79" s="36" t="n">
        <v>3.63105829306161</v>
      </c>
      <c r="N79" s="36" t="n">
        <v>1.11900687197514</v>
      </c>
      <c r="O79" s="36" t="n">
        <f aca="false">SQRT(M79^2+N79^2)</f>
        <v>3.79957375334906</v>
      </c>
      <c r="P79" s="55" t="n">
        <f aca="false">IF(J79="","",MAX(0,J79-1.96*O79/100))</f>
        <v>0.275338240365917</v>
      </c>
      <c r="Q79" s="55" t="n">
        <f aca="false">IF(J79="","",MIN(1,J79+1.96*O79/100))</f>
        <v>0.424281531497201</v>
      </c>
      <c r="R79" s="32" t="str">
        <f aca="false">IF(L79="","",IF(ABS(L79)&lt;=O79,"Yes","No"))</f>
        <v>Yes</v>
      </c>
      <c r="S79" s="32" t="str">
        <f aca="false">IF(L79="","",IF(ABS(L79)&lt;=1.96*O79,"Yes","No"))</f>
        <v>Yes</v>
      </c>
      <c r="T79" s="54" t="n">
        <f aca="false">IF(D79="","",ROUND(SQRT(((D79+G79)*O79/100)^2+(J79*(D79+G79)*0.09092)^2),0))</f>
        <v>13</v>
      </c>
      <c r="U79" s="32"/>
    </row>
    <row r="80" customFormat="false" ht="15" hidden="false" customHeight="false" outlineLevel="0" collapsed="false">
      <c r="A80" s="32" t="s">
        <v>188</v>
      </c>
      <c r="B80" s="32" t="s">
        <v>214</v>
      </c>
      <c r="C80" s="32" t="s">
        <v>129</v>
      </c>
      <c r="D80" s="54" t="n">
        <v>378</v>
      </c>
      <c r="E80" s="54" t="n">
        <v>331</v>
      </c>
      <c r="F80" s="65" t="n">
        <f aca="false">IF(E80="","",D80-E80)</f>
        <v>47</v>
      </c>
      <c r="G80" s="54" t="n">
        <v>509</v>
      </c>
      <c r="H80" s="54" t="n">
        <v>571</v>
      </c>
      <c r="I80" s="65" t="n">
        <f aca="false">IF(H80="","",G80-H80)</f>
        <v>-62</v>
      </c>
      <c r="J80" s="55" t="n">
        <f aca="false">IF(OR(D80="",D80+G80=0),"",D80/(D80+G80))</f>
        <v>0.426155580608794</v>
      </c>
      <c r="K80" s="55" t="n">
        <f aca="false">IF(E80="","",E80/(E80+H80))</f>
        <v>0.366962305986696</v>
      </c>
      <c r="L80" s="66" t="n">
        <f aca="false">IF(OR(K80="",J80=""),"",(J80-K80)*100)</f>
        <v>5.91932746220975</v>
      </c>
      <c r="M80" s="36" t="n">
        <v>3.63105829306161</v>
      </c>
      <c r="N80" s="36" t="n">
        <v>1.11900687197514</v>
      </c>
      <c r="O80" s="36" t="n">
        <f aca="false">SQRT(M80^2+N80^2)</f>
        <v>3.79957375334906</v>
      </c>
      <c r="P80" s="55" t="n">
        <f aca="false">IF(J80="","",MAX(0,J80-1.96*O80/100))</f>
        <v>0.351683935043152</v>
      </c>
      <c r="Q80" s="55" t="n">
        <f aca="false">IF(J80="","",MIN(1,J80+1.96*O80/100))</f>
        <v>0.500627226174435</v>
      </c>
      <c r="R80" s="32" t="str">
        <f aca="false">IF(L80="","",IF(ABS(L80)&lt;=O80,"Yes","No"))</f>
        <v>No</v>
      </c>
      <c r="S80" s="32" t="str">
        <f aca="false">IF(L80="","",IF(ABS(L80)&lt;=1.96*O80,"Yes","No"))</f>
        <v>Yes</v>
      </c>
      <c r="T80" s="54" t="n">
        <f aca="false">IF(D80="","",ROUND(SQRT(((D80+G80)*O80/100)^2+(J80*(D80+G80)*0.09092)^2),0))</f>
        <v>48</v>
      </c>
      <c r="U80" s="32"/>
    </row>
    <row r="81" customFormat="false" ht="15" hidden="false" customHeight="false" outlineLevel="0" collapsed="false">
      <c r="A81" s="32" t="s">
        <v>188</v>
      </c>
      <c r="B81" s="32" t="s">
        <v>215</v>
      </c>
      <c r="C81" s="32" t="s">
        <v>129</v>
      </c>
      <c r="D81" s="54" t="n">
        <v>237</v>
      </c>
      <c r="E81" s="54" t="n">
        <v>212</v>
      </c>
      <c r="F81" s="65" t="n">
        <f aca="false">IF(E81="","",D81-E81)</f>
        <v>25</v>
      </c>
      <c r="G81" s="54" t="n">
        <v>288</v>
      </c>
      <c r="H81" s="54" t="n">
        <v>308</v>
      </c>
      <c r="I81" s="65" t="n">
        <f aca="false">IF(H81="","",G81-H81)</f>
        <v>-20</v>
      </c>
      <c r="J81" s="55" t="n">
        <f aca="false">IF(OR(D81="",D81+G81=0),"",D81/(D81+G81))</f>
        <v>0.451428571428571</v>
      </c>
      <c r="K81" s="55" t="n">
        <f aca="false">IF(E81="","",E81/(E81+H81))</f>
        <v>0.407692307692308</v>
      </c>
      <c r="L81" s="66" t="n">
        <f aca="false">IF(OR(K81="",J81=""),"",(J81-K81)*100)</f>
        <v>4.37362637362637</v>
      </c>
      <c r="M81" s="36" t="n">
        <v>3.63105829306161</v>
      </c>
      <c r="N81" s="36" t="n">
        <v>1.11900687197514</v>
      </c>
      <c r="O81" s="36" t="n">
        <f aca="false">SQRT(M81^2+N81^2)</f>
        <v>3.79957375334906</v>
      </c>
      <c r="P81" s="55" t="n">
        <f aca="false">IF(J81="","",MAX(0,J81-1.96*O81/100))</f>
        <v>0.37695692586293</v>
      </c>
      <c r="Q81" s="55" t="n">
        <f aca="false">IF(J81="","",MIN(1,J81+1.96*O81/100))</f>
        <v>0.525900216994213</v>
      </c>
      <c r="R81" s="32" t="str">
        <f aca="false">IF(L81="","",IF(ABS(L81)&lt;=O81,"Yes","No"))</f>
        <v>No</v>
      </c>
      <c r="S81" s="32" t="str">
        <f aca="false">IF(L81="","",IF(ABS(L81)&lt;=1.96*O81,"Yes","No"))</f>
        <v>Yes</v>
      </c>
      <c r="T81" s="54" t="n">
        <f aca="false">IF(D81="","",ROUND(SQRT(((D81+G81)*O81/100)^2+(J81*(D81+G81)*0.09092)^2),0))</f>
        <v>29</v>
      </c>
      <c r="U81" s="32"/>
    </row>
    <row r="82" customFormat="false" ht="15" hidden="false" customHeight="false" outlineLevel="0" collapsed="false">
      <c r="A82" s="32" t="s">
        <v>188</v>
      </c>
      <c r="B82" s="32" t="s">
        <v>216</v>
      </c>
      <c r="C82" s="32" t="s">
        <v>129</v>
      </c>
      <c r="D82" s="54" t="n">
        <v>305</v>
      </c>
      <c r="E82" s="54" t="n">
        <v>272</v>
      </c>
      <c r="F82" s="65" t="n">
        <f aca="false">IF(E82="","",D82-E82)</f>
        <v>33</v>
      </c>
      <c r="G82" s="54" t="n">
        <v>382</v>
      </c>
      <c r="H82" s="54" t="n">
        <v>400</v>
      </c>
      <c r="I82" s="65" t="n">
        <f aca="false">IF(H82="","",G82-H82)</f>
        <v>-18</v>
      </c>
      <c r="J82" s="55" t="n">
        <f aca="false">IF(OR(D82="",D82+G82=0),"",D82/(D82+G82))</f>
        <v>0.443959243085881</v>
      </c>
      <c r="K82" s="55" t="n">
        <f aca="false">IF(E82="","",E82/(E82+H82))</f>
        <v>0.404761904761905</v>
      </c>
      <c r="L82" s="66" t="n">
        <f aca="false">IF(OR(K82="",J82=""),"",(J82-K82)*100)</f>
        <v>3.91973383239759</v>
      </c>
      <c r="M82" s="36" t="n">
        <v>3.63105829306161</v>
      </c>
      <c r="N82" s="36" t="n">
        <v>1.11900687197514</v>
      </c>
      <c r="O82" s="36" t="n">
        <f aca="false">SQRT(M82^2+N82^2)</f>
        <v>3.79957375334906</v>
      </c>
      <c r="P82" s="55" t="n">
        <f aca="false">IF(J82="","",MAX(0,J82-1.96*O82/100))</f>
        <v>0.369487597520239</v>
      </c>
      <c r="Q82" s="55" t="n">
        <f aca="false">IF(J82="","",MIN(1,J82+1.96*O82/100))</f>
        <v>0.518430888651522</v>
      </c>
      <c r="R82" s="32" t="str">
        <f aca="false">IF(L82="","",IF(ABS(L82)&lt;=O82,"Yes","No"))</f>
        <v>No</v>
      </c>
      <c r="S82" s="32" t="str">
        <f aca="false">IF(L82="","",IF(ABS(L82)&lt;=1.96*O82,"Yes","No"))</f>
        <v>Yes</v>
      </c>
      <c r="T82" s="54" t="n">
        <f aca="false">IF(D82="","",ROUND(SQRT(((D82+G82)*O82/100)^2+(J82*(D82+G82)*0.09092)^2),0))</f>
        <v>38</v>
      </c>
      <c r="U82" s="32"/>
    </row>
    <row r="83" customFormat="false" ht="15" hidden="false" customHeight="false" outlineLevel="0" collapsed="false">
      <c r="A83" s="32" t="s">
        <v>188</v>
      </c>
      <c r="B83" s="32" t="s">
        <v>217</v>
      </c>
      <c r="C83" s="32" t="s">
        <v>129</v>
      </c>
      <c r="D83" s="54" t="n">
        <v>1343</v>
      </c>
      <c r="E83" s="54" t="n">
        <v>1207</v>
      </c>
      <c r="F83" s="65" t="n">
        <f aca="false">IF(E83="","",D83-E83)</f>
        <v>136</v>
      </c>
      <c r="G83" s="54" t="n">
        <v>2563</v>
      </c>
      <c r="H83" s="54" t="n">
        <v>2601</v>
      </c>
      <c r="I83" s="65" t="n">
        <f aca="false">IF(H83="","",G83-H83)</f>
        <v>-38</v>
      </c>
      <c r="J83" s="55" t="n">
        <f aca="false">IF(OR(D83="",D83+G83=0),"",D83/(D83+G83))</f>
        <v>0.343830005120328</v>
      </c>
      <c r="K83" s="55" t="n">
        <f aca="false">IF(E83="","",E83/(E83+H83))</f>
        <v>0.316964285714286</v>
      </c>
      <c r="L83" s="66" t="n">
        <f aca="false">IF(OR(K83="",J83=""),"",(J83-K83)*100)</f>
        <v>2.6865719406042</v>
      </c>
      <c r="M83" s="36" t="n">
        <v>1.94826691630677</v>
      </c>
      <c r="N83" s="36" t="n">
        <v>1.11900687197514</v>
      </c>
      <c r="O83" s="36" t="n">
        <f aca="false">SQRT(M83^2+N83^2)</f>
        <v>2.24675774321645</v>
      </c>
      <c r="P83" s="55" t="n">
        <f aca="false">IF(J83="","",MAX(0,J83-1.96*O83/100))</f>
        <v>0.299793553353285</v>
      </c>
      <c r="Q83" s="55" t="n">
        <f aca="false">IF(J83="","",MIN(1,J83+1.96*O83/100))</f>
        <v>0.38786645688737</v>
      </c>
      <c r="R83" s="32" t="str">
        <f aca="false">IF(L83="","",IF(ABS(L83)&lt;=O83,"Yes","No"))</f>
        <v>No</v>
      </c>
      <c r="S83" s="32" t="str">
        <f aca="false">IF(L83="","",IF(ABS(L83)&lt;=1.96*O83,"Yes","No"))</f>
        <v>Yes</v>
      </c>
      <c r="T83" s="54" t="n">
        <f aca="false">IF(D83="","",ROUND(SQRT(((D83+G83)*O83/100)^2+(J83*(D83+G83)*0.0639)^2),0))</f>
        <v>123</v>
      </c>
      <c r="U83" s="32"/>
    </row>
    <row r="84" customFormat="false" ht="15" hidden="false" customHeight="false" outlineLevel="0" collapsed="false">
      <c r="A84" s="32" t="s">
        <v>188</v>
      </c>
      <c r="B84" s="32" t="s">
        <v>218</v>
      </c>
      <c r="C84" s="32" t="s">
        <v>129</v>
      </c>
      <c r="D84" s="54" t="n">
        <v>1991</v>
      </c>
      <c r="E84" s="54" t="n">
        <v>1838</v>
      </c>
      <c r="F84" s="65" t="n">
        <f aca="false">IF(E84="","",D84-E84)</f>
        <v>153</v>
      </c>
      <c r="G84" s="54" t="n">
        <v>1999</v>
      </c>
      <c r="H84" s="54" t="n">
        <v>2112</v>
      </c>
      <c r="I84" s="65" t="n">
        <f aca="false">IF(H84="","",G84-H84)</f>
        <v>-113</v>
      </c>
      <c r="J84" s="55" t="n">
        <f aca="false">IF(OR(D84="",D84+G84=0),"",D84/(D84+G84))</f>
        <v>0.498997493734336</v>
      </c>
      <c r="K84" s="55" t="n">
        <f aca="false">IF(E84="","",E84/(E84+H84))</f>
        <v>0.465316455696203</v>
      </c>
      <c r="L84" s="66" t="n">
        <f aca="false">IF(OR(K84="",J84=""),"",(J84-K84)*100)</f>
        <v>3.36810380381333</v>
      </c>
      <c r="M84" s="36" t="n">
        <v>1.94826691630677</v>
      </c>
      <c r="N84" s="36" t="n">
        <v>1.11900687197514</v>
      </c>
      <c r="O84" s="36" t="n">
        <f aca="false">SQRT(M84^2+N84^2)</f>
        <v>2.24675774321645</v>
      </c>
      <c r="P84" s="55" t="n">
        <f aca="false">IF(J84="","",MAX(0,J84-1.96*O84/100))</f>
        <v>0.454961041967293</v>
      </c>
      <c r="Q84" s="55" t="n">
        <f aca="false">IF(J84="","",MIN(1,J84+1.96*O84/100))</f>
        <v>0.543033945501378</v>
      </c>
      <c r="R84" s="32" t="str">
        <f aca="false">IF(L84="","",IF(ABS(L84)&lt;=O84,"Yes","No"))</f>
        <v>No</v>
      </c>
      <c r="S84" s="32" t="str">
        <f aca="false">IF(L84="","",IF(ABS(L84)&lt;=1.96*O84,"Yes","No"))</f>
        <v>Yes</v>
      </c>
      <c r="T84" s="54" t="n">
        <f aca="false">IF(D84="","",ROUND(SQRT(((D84+G84)*O84/100)^2+(J84*(D84+G84)*0.0639)^2),0))</f>
        <v>156</v>
      </c>
      <c r="U84" s="32"/>
    </row>
    <row r="85" customFormat="false" ht="15" hidden="false" customHeight="false" outlineLevel="0" collapsed="false">
      <c r="A85" s="32" t="s">
        <v>188</v>
      </c>
      <c r="B85" s="32" t="s">
        <v>219</v>
      </c>
      <c r="C85" s="32" t="s">
        <v>129</v>
      </c>
      <c r="D85" s="54" t="n">
        <v>423</v>
      </c>
      <c r="E85" s="54" t="n">
        <v>379</v>
      </c>
      <c r="F85" s="65" t="n">
        <f aca="false">IF(E85="","",D85-E85)</f>
        <v>44</v>
      </c>
      <c r="G85" s="54" t="n">
        <v>573</v>
      </c>
      <c r="H85" s="54" t="n">
        <v>605</v>
      </c>
      <c r="I85" s="65" t="n">
        <f aca="false">IF(H85="","",G85-H85)</f>
        <v>-32</v>
      </c>
      <c r="J85" s="55" t="n">
        <f aca="false">IF(OR(D85="",D85+G85=0),"",D85/(D85+G85))</f>
        <v>0.424698795180723</v>
      </c>
      <c r="K85" s="55" t="n">
        <f aca="false">IF(E85="","",E85/(E85+H85))</f>
        <v>0.385162601626016</v>
      </c>
      <c r="L85" s="66" t="n">
        <f aca="false">IF(OR(K85="",J85=""),"",(J85-K85)*100)</f>
        <v>3.95361935547066</v>
      </c>
      <c r="M85" s="36" t="n">
        <v>3.63105829306161</v>
      </c>
      <c r="N85" s="36" t="n">
        <v>1.11900687197514</v>
      </c>
      <c r="O85" s="36" t="n">
        <f aca="false">SQRT(M85^2+N85^2)</f>
        <v>3.79957375334906</v>
      </c>
      <c r="P85" s="55" t="n">
        <f aca="false">IF(J85="","",MAX(0,J85-1.96*O85/100))</f>
        <v>0.350227149615081</v>
      </c>
      <c r="Q85" s="55" t="n">
        <f aca="false">IF(J85="","",MIN(1,J85+1.96*O85/100))</f>
        <v>0.499170440746365</v>
      </c>
      <c r="R85" s="32" t="str">
        <f aca="false">IF(L85="","",IF(ABS(L85)&lt;=O85,"Yes","No"))</f>
        <v>No</v>
      </c>
      <c r="S85" s="32" t="str">
        <f aca="false">IF(L85="","",IF(ABS(L85)&lt;=1.96*O85,"Yes","No"))</f>
        <v>Yes</v>
      </c>
      <c r="T85" s="54" t="n">
        <f aca="false">IF(D85="","",ROUND(SQRT(((D85+G85)*O85/100)^2+(J85*(D85+G85)*0.09092)^2),0))</f>
        <v>54</v>
      </c>
      <c r="U85" s="32"/>
    </row>
    <row r="86" customFormat="false" ht="15" hidden="false" customHeight="false" outlineLevel="0" collapsed="false">
      <c r="A86" s="32" t="s">
        <v>188</v>
      </c>
      <c r="B86" s="32" t="s">
        <v>180</v>
      </c>
      <c r="C86" s="32" t="s">
        <v>129</v>
      </c>
      <c r="D86" s="54" t="n">
        <v>1138</v>
      </c>
      <c r="E86" s="54" t="n">
        <v>1032</v>
      </c>
      <c r="F86" s="65" t="n">
        <f aca="false">IF(E86="","",D86-E86)</f>
        <v>106</v>
      </c>
      <c r="G86" s="54" t="n">
        <v>1916</v>
      </c>
      <c r="H86" s="54" t="n">
        <v>1971</v>
      </c>
      <c r="I86" s="65" t="n">
        <f aca="false">IF(H86="","",G86-H86)</f>
        <v>-55</v>
      </c>
      <c r="J86" s="55" t="n">
        <f aca="false">IF(OR(D86="",D86+G86=0),"",D86/(D86+G86))</f>
        <v>0.372626064178127</v>
      </c>
      <c r="K86" s="55" t="n">
        <f aca="false">IF(E86="","",E86/(E86+H86))</f>
        <v>0.343656343656344</v>
      </c>
      <c r="L86" s="66" t="n">
        <f aca="false">IF(OR(K86="",J86=""),"",(J86-K86)*100)</f>
        <v>2.89697205217834</v>
      </c>
      <c r="M86" s="36" t="n">
        <v>2.40842220389472</v>
      </c>
      <c r="N86" s="36" t="n">
        <v>1.11900687197514</v>
      </c>
      <c r="O86" s="36" t="n">
        <f aca="false">SQRT(M86^2+N86^2)</f>
        <v>2.65568708468085</v>
      </c>
      <c r="P86" s="55" t="n">
        <f aca="false">IF(J86="","",MAX(0,J86-1.96*O86/100))</f>
        <v>0.320574597318382</v>
      </c>
      <c r="Q86" s="55" t="n">
        <f aca="false">IF(J86="","",MIN(1,J86+1.96*O86/100))</f>
        <v>0.424677531037872</v>
      </c>
      <c r="R86" s="32" t="str">
        <f aca="false">IF(L86="","",IF(ABS(L86)&lt;=O86,"Yes","No"))</f>
        <v>No</v>
      </c>
      <c r="S86" s="32" t="str">
        <f aca="false">IF(L86="","",IF(ABS(L86)&lt;=1.96*O86,"Yes","No"))</f>
        <v>Yes</v>
      </c>
      <c r="T86" s="54" t="n">
        <f aca="false">IF(D86="","",ROUND(SQRT(((D86+G86)*O86/100)^2+(J86*(D86+G86)*0.06991)^2),0))</f>
        <v>114</v>
      </c>
      <c r="U86" s="32"/>
    </row>
    <row r="87" customFormat="false" ht="15" hidden="false" customHeight="false" outlineLevel="0" collapsed="false">
      <c r="A87" s="32" t="s">
        <v>188</v>
      </c>
      <c r="B87" s="32" t="s">
        <v>220</v>
      </c>
      <c r="C87" s="32" t="s">
        <v>129</v>
      </c>
      <c r="D87" s="54" t="n">
        <v>298</v>
      </c>
      <c r="E87" s="54" t="n">
        <v>249</v>
      </c>
      <c r="F87" s="65" t="n">
        <f aca="false">IF(E87="","",D87-E87)</f>
        <v>49</v>
      </c>
      <c r="G87" s="54" t="n">
        <v>262</v>
      </c>
      <c r="H87" s="54" t="n">
        <v>326</v>
      </c>
      <c r="I87" s="65" t="n">
        <f aca="false">IF(H87="","",G87-H87)</f>
        <v>-64</v>
      </c>
      <c r="J87" s="55" t="n">
        <f aca="false">IF(OR(D87="",D87+G87=0),"",D87/(D87+G87))</f>
        <v>0.532142857142857</v>
      </c>
      <c r="K87" s="55" t="n">
        <f aca="false">IF(E87="","",E87/(E87+H87))</f>
        <v>0.43304347826087</v>
      </c>
      <c r="L87" s="66" t="n">
        <f aca="false">IF(OR(K87="",J87=""),"",(J87-K87)*100)</f>
        <v>9.90993788819876</v>
      </c>
      <c r="M87" s="36" t="n">
        <v>3.63105829306161</v>
      </c>
      <c r="N87" s="36" t="n">
        <v>1.11900687197514</v>
      </c>
      <c r="O87" s="36" t="n">
        <f aca="false">SQRT(M87^2+N87^2)</f>
        <v>3.79957375334906</v>
      </c>
      <c r="P87" s="55" t="n">
        <f aca="false">IF(J87="","",MAX(0,J87-1.96*O87/100))</f>
        <v>0.457671211577215</v>
      </c>
      <c r="Q87" s="55" t="n">
        <f aca="false">IF(J87="","",MIN(1,J87+1.96*O87/100))</f>
        <v>0.606614502708499</v>
      </c>
      <c r="R87" s="32" t="str">
        <f aca="false">IF(L87="","",IF(ABS(L87)&lt;=O87,"Yes","No"))</f>
        <v>No</v>
      </c>
      <c r="S87" s="32" t="str">
        <f aca="false">IF(L87="","",IF(ABS(L87)&lt;=1.96*O87,"Yes","No"))</f>
        <v>No</v>
      </c>
      <c r="T87" s="54" t="n">
        <f aca="false">IF(D87="","",ROUND(SQRT(((D87+G87)*O87/100)^2+(J87*(D87+G87)*0.09092)^2),0))</f>
        <v>34</v>
      </c>
      <c r="U87" s="32"/>
    </row>
    <row r="88" customFormat="false" ht="15" hidden="false" customHeight="false" outlineLevel="0" collapsed="false">
      <c r="A88" s="32" t="s">
        <v>188</v>
      </c>
      <c r="B88" s="32" t="s">
        <v>221</v>
      </c>
      <c r="C88" s="32" t="s">
        <v>129</v>
      </c>
      <c r="D88" s="54" t="n">
        <v>1925</v>
      </c>
      <c r="E88" s="54" t="n">
        <v>1767</v>
      </c>
      <c r="F88" s="65" t="n">
        <f aca="false">IF(E88="","",D88-E88)</f>
        <v>158</v>
      </c>
      <c r="G88" s="54" t="n">
        <v>2279</v>
      </c>
      <c r="H88" s="54" t="n">
        <v>2379</v>
      </c>
      <c r="I88" s="65" t="n">
        <f aca="false">IF(H88="","",G88-H88)</f>
        <v>-100</v>
      </c>
      <c r="J88" s="55" t="n">
        <f aca="false">IF(OR(D88="",D88+G88=0),"",D88/(D88+G88))</f>
        <v>0.457897240723121</v>
      </c>
      <c r="K88" s="55" t="n">
        <f aca="false">IF(E88="","",E88/(E88+H88))</f>
        <v>0.426193921852388</v>
      </c>
      <c r="L88" s="66" t="n">
        <f aca="false">IF(OR(K88="",J88=""),"",(J88-K88)*100)</f>
        <v>3.1703318870733</v>
      </c>
      <c r="M88" s="36" t="n">
        <v>1.94826691630677</v>
      </c>
      <c r="N88" s="36" t="n">
        <v>1.11900687197514</v>
      </c>
      <c r="O88" s="36" t="n">
        <f aca="false">SQRT(M88^2+N88^2)</f>
        <v>2.24675774321645</v>
      </c>
      <c r="P88" s="55" t="n">
        <f aca="false">IF(J88="","",MAX(0,J88-1.96*O88/100))</f>
        <v>0.413860788956078</v>
      </c>
      <c r="Q88" s="55" t="n">
        <f aca="false">IF(J88="","",MIN(1,J88+1.96*O88/100))</f>
        <v>0.501933692490163</v>
      </c>
      <c r="R88" s="32" t="str">
        <f aca="false">IF(L88="","",IF(ABS(L88)&lt;=O88,"Yes","No"))</f>
        <v>No</v>
      </c>
      <c r="S88" s="32" t="str">
        <f aca="false">IF(L88="","",IF(ABS(L88)&lt;=1.96*O88,"Yes","No"))</f>
        <v>Yes</v>
      </c>
      <c r="T88" s="54" t="n">
        <f aca="false">IF(D88="","",ROUND(SQRT(((D88+G88)*O88/100)^2+(J88*(D88+G88)*0.0639)^2),0))</f>
        <v>155</v>
      </c>
      <c r="U88" s="32"/>
    </row>
    <row r="89" customFormat="false" ht="15" hidden="false" customHeight="false" outlineLevel="0" collapsed="false">
      <c r="A89" s="32" t="s">
        <v>188</v>
      </c>
      <c r="B89" s="32" t="s">
        <v>222</v>
      </c>
      <c r="C89" s="32" t="s">
        <v>129</v>
      </c>
      <c r="D89" s="54" t="n">
        <v>2056</v>
      </c>
      <c r="E89" s="54" t="n">
        <v>1908</v>
      </c>
      <c r="F89" s="65" t="n">
        <f aca="false">IF(E89="","",D89-E89)</f>
        <v>148</v>
      </c>
      <c r="G89" s="54" t="n">
        <v>1399</v>
      </c>
      <c r="H89" s="54" t="n">
        <v>1518</v>
      </c>
      <c r="I89" s="65" t="n">
        <f aca="false">IF(H89="","",G89-H89)</f>
        <v>-119</v>
      </c>
      <c r="J89" s="55" t="n">
        <f aca="false">IF(OR(D89="",D89+G89=0),"",D89/(D89+G89))</f>
        <v>0.595079594790159</v>
      </c>
      <c r="K89" s="55" t="n">
        <f aca="false">IF(E89="","",E89/(E89+H89))</f>
        <v>0.5569176882662</v>
      </c>
      <c r="L89" s="66" t="n">
        <f aca="false">IF(OR(K89="",J89=""),"",(J89-K89)*100)</f>
        <v>3.81619065239595</v>
      </c>
      <c r="M89" s="36" t="n">
        <v>2.40842220389472</v>
      </c>
      <c r="N89" s="36" t="n">
        <v>1.11900687197514</v>
      </c>
      <c r="O89" s="36" t="n">
        <f aca="false">SQRT(M89^2+N89^2)</f>
        <v>2.65568708468085</v>
      </c>
      <c r="P89" s="55" t="n">
        <f aca="false">IF(J89="","",MAX(0,J89-1.96*O89/100))</f>
        <v>0.543028127930414</v>
      </c>
      <c r="Q89" s="55" t="n">
        <f aca="false">IF(J89="","",MIN(1,J89+1.96*O89/100))</f>
        <v>0.647131061649904</v>
      </c>
      <c r="R89" s="32" t="str">
        <f aca="false">IF(L89="","",IF(ABS(L89)&lt;=O89,"Yes","No"))</f>
        <v>No</v>
      </c>
      <c r="S89" s="32" t="str">
        <f aca="false">IF(L89="","",IF(ABS(L89)&lt;=1.96*O89,"Yes","No"))</f>
        <v>Yes</v>
      </c>
      <c r="T89" s="54" t="n">
        <f aca="false">IF(D89="","",ROUND(SQRT(((D89+G89)*O89/100)^2+(J89*(D89+G89)*0.06991)^2),0))</f>
        <v>171</v>
      </c>
      <c r="U89" s="32"/>
    </row>
    <row r="90" customFormat="false" ht="15" hidden="false" customHeight="false" outlineLevel="0" collapsed="false">
      <c r="A90" s="32" t="s">
        <v>188</v>
      </c>
      <c r="B90" s="32" t="s">
        <v>223</v>
      </c>
      <c r="C90" s="32" t="s">
        <v>129</v>
      </c>
      <c r="D90" s="54" t="n">
        <v>565</v>
      </c>
      <c r="E90" s="54" t="n">
        <v>508</v>
      </c>
      <c r="F90" s="65" t="n">
        <f aca="false">IF(E90="","",D90-E90)</f>
        <v>57</v>
      </c>
      <c r="G90" s="54" t="n">
        <v>703</v>
      </c>
      <c r="H90" s="54" t="n">
        <v>791</v>
      </c>
      <c r="I90" s="65" t="n">
        <f aca="false">IF(H90="","",G90-H90)</f>
        <v>-88</v>
      </c>
      <c r="J90" s="55" t="n">
        <f aca="false">IF(OR(D90="",D90+G90=0),"",D90/(D90+G90))</f>
        <v>0.445583596214511</v>
      </c>
      <c r="K90" s="55" t="n">
        <f aca="false">IF(E90="","",E90/(E90+H90))</f>
        <v>0.391070053887606</v>
      </c>
      <c r="L90" s="66" t="n">
        <f aca="false">IF(OR(K90="",J90=""),"",(J90-K90)*100)</f>
        <v>5.45135423269052</v>
      </c>
      <c r="M90" s="36" t="n">
        <v>3.63105829306161</v>
      </c>
      <c r="N90" s="36" t="n">
        <v>1.11900687197514</v>
      </c>
      <c r="O90" s="36" t="n">
        <f aca="false">SQRT(M90^2+N90^2)</f>
        <v>3.79957375334906</v>
      </c>
      <c r="P90" s="55" t="n">
        <f aca="false">IF(J90="","",MAX(0,J90-1.96*O90/100))</f>
        <v>0.371111950648869</v>
      </c>
      <c r="Q90" s="55" t="n">
        <f aca="false">IF(J90="","",MIN(1,J90+1.96*O90/100))</f>
        <v>0.520055241780153</v>
      </c>
      <c r="R90" s="32" t="str">
        <f aca="false">IF(L90="","",IF(ABS(L90)&lt;=O90,"Yes","No"))</f>
        <v>No</v>
      </c>
      <c r="S90" s="32" t="str">
        <f aca="false">IF(L90="","",IF(ABS(L90)&lt;=1.96*O90,"Yes","No"))</f>
        <v>Yes</v>
      </c>
      <c r="T90" s="54" t="n">
        <f aca="false">IF(D90="","",ROUND(SQRT(((D90+G90)*O90/100)^2+(J90*(D90+G90)*0.09092)^2),0))</f>
        <v>70</v>
      </c>
      <c r="U90" s="32"/>
    </row>
    <row r="92" customFormat="false" ht="15" hidden="false" customHeight="false" outlineLevel="0" collapsed="false">
      <c r="A92" s="20" t="s">
        <v>351</v>
      </c>
      <c r="B92" s="67"/>
      <c r="C92" s="67"/>
      <c r="D92" s="68" t="n">
        <f aca="false">SUMIF(E2:E90,"&lt;&gt;",D2:D90)</f>
        <v>206201</v>
      </c>
      <c r="E92" s="68" t="n">
        <f aca="false">SUM(E2:E90)</f>
        <v>193125</v>
      </c>
      <c r="F92" s="69" t="n">
        <f aca="false">D92-E92</f>
        <v>13076</v>
      </c>
      <c r="G92" s="68" t="n">
        <f aca="false">SUMIF(H2:H90,"&lt;&gt;",G2:G90)</f>
        <v>184554</v>
      </c>
      <c r="H92" s="68" t="n">
        <f aca="false">SUM(H2:H90)</f>
        <v>195380</v>
      </c>
      <c r="I92" s="69" t="n">
        <f aca="false">G92-H92</f>
        <v>-10826</v>
      </c>
      <c r="J92" s="70" t="n">
        <f aca="false">D92/(D92+G92)</f>
        <v>0.527698941792172</v>
      </c>
      <c r="K92" s="70" t="n">
        <f aca="false">E92/(E92+H92)</f>
        <v>0.497097849448527</v>
      </c>
      <c r="L92" s="71" t="n">
        <f aca="false">(J92-K92)*100</f>
        <v>3.06010923436446</v>
      </c>
      <c r="M92" s="72" t="n">
        <v>0</v>
      </c>
      <c r="N92" s="72" t="n">
        <v>1.11900687197514</v>
      </c>
      <c r="O92" s="72" t="n">
        <f aca="false">SQRT(M92^2+N92^2)</f>
        <v>1.11900687197514</v>
      </c>
      <c r="P92" s="70" t="n">
        <f aca="false">J92-1.96*O92/100</f>
        <v>0.505766407101459</v>
      </c>
      <c r="Q92" s="70" t="n">
        <f aca="false">J92+1.96*O92/100</f>
        <v>0.549631476482884</v>
      </c>
      <c r="R92" s="67" t="str">
        <f aca="false">IF(ABS(L92)&lt;=O92,"Yes","No")</f>
        <v>No</v>
      </c>
      <c r="S92" s="67" t="str">
        <f aca="false">IF(ABS(L92)&lt;=1.96*O92,"Yes","No")</f>
        <v>No</v>
      </c>
      <c r="T92" s="68" t="n">
        <f aca="false">ROUND(SQRT(((D92+G92)*O92/100)^2+(J92*(D92+G92)*0.05027)^2),0)</f>
        <v>11250</v>
      </c>
    </row>
    <row r="93" customFormat="false" ht="15" hidden="false" customHeight="false" outlineLevel="0" collapsed="false">
      <c r="A93" s="20" t="s">
        <v>352</v>
      </c>
      <c r="B93" s="67"/>
      <c r="C93" s="67"/>
      <c r="D93" s="68" t="n">
        <f aca="false">SUM(D2:D90)</f>
        <v>206201</v>
      </c>
      <c r="E93" s="68"/>
      <c r="F93" s="69"/>
      <c r="G93" s="68" t="n">
        <f aca="false">SUM(G2:G90)</f>
        <v>184554</v>
      </c>
      <c r="H93" s="68"/>
      <c r="I93" s="69"/>
      <c r="J93" s="70" t="n">
        <f aca="false">D93/(D93+G93)</f>
        <v>0.527698941792172</v>
      </c>
      <c r="K93" s="70"/>
      <c r="L93" s="71"/>
      <c r="M93" s="72"/>
      <c r="N93" s="72"/>
      <c r="O93" s="72"/>
      <c r="P93" s="70"/>
      <c r="Q93" s="70"/>
      <c r="R93" s="67"/>
      <c r="S93" s="67"/>
      <c r="T93" s="68"/>
    </row>
    <row r="95" customFormat="false" ht="15" hidden="false" customHeight="false" outlineLevel="0" collapsed="false">
      <c r="A95" s="2" t="s">
        <v>353</v>
      </c>
      <c r="F95" s="73" t="n">
        <f aca="false">(SUMIF(F2:F90,"&gt;0")-SUMIF(F2:F90,"&lt;0"))/COUNT(F2:F90)</f>
        <v>147.595505617978</v>
      </c>
    </row>
    <row r="96" customFormat="false" ht="15" hidden="false" customHeight="false" outlineLevel="0" collapsed="false">
      <c r="A96" s="2" t="s">
        <v>354</v>
      </c>
      <c r="F96" s="73" t="n">
        <f aca="false">(SUMIF(I2:I90,"&gt;0")-SUMIF(I2:I90,"&lt;0"))/COUNT(I2:I90)</f>
        <v>132.741573033708</v>
      </c>
    </row>
    <row r="97" customFormat="false" ht="15" hidden="false" customHeight="false" outlineLevel="0" collapsed="false">
      <c r="A97" s="2" t="s">
        <v>355</v>
      </c>
      <c r="F97" s="74" t="n">
        <f aca="false">(SUMIF(L2:L90,"&gt;0")-SUMIF(L2:L90,"&lt;0"))/COUNT(L2:L90)</f>
        <v>3.91784085464077</v>
      </c>
    </row>
    <row r="98" customFormat="false" ht="15" hidden="false" customHeight="false" outlineLevel="0" collapsed="false">
      <c r="A98" s="5" t="s">
        <v>356</v>
      </c>
      <c r="F98" s="75" t="n">
        <f aca="false">SQRT(SUMSQ(L2:L90)/COUNT(L2:L90))</f>
        <v>4.47668335720803</v>
      </c>
    </row>
    <row r="99" customFormat="false" ht="15" hidden="false" customHeight="false" outlineLevel="0" collapsed="false">
      <c r="A99" s="5" t="s">
        <v>357</v>
      </c>
      <c r="F99" s="76" t="n">
        <f aca="false">L92</f>
        <v>3.06010923436446</v>
      </c>
    </row>
    <row r="100" customFormat="false" ht="15" hidden="false" customHeight="false" outlineLevel="0" collapsed="false">
      <c r="A100" s="5" t="s">
        <v>358</v>
      </c>
      <c r="F100" s="75" t="n">
        <f aca="false">SQRT((SUMSQ(L2:L90)-2*L92*SUM(L2:L90)+COUNT(L2:L90)*L92^2)/COUNT(L2:L90))</f>
        <v>2.37761170712286</v>
      </c>
    </row>
    <row r="101" customFormat="false" ht="15" hidden="false" customHeight="false" outlineLevel="0" collapsed="false">
      <c r="A101" s="2" t="s">
        <v>359</v>
      </c>
      <c r="F101" s="77" t="n">
        <f aca="false">D92/E92-1</f>
        <v>0.0677074433656959</v>
      </c>
    </row>
    <row r="102" customFormat="false" ht="15" hidden="false" customHeight="false" outlineLevel="0" collapsed="false">
      <c r="A102" s="5" t="s">
        <v>360</v>
      </c>
      <c r="F102" s="78" t="n">
        <f aca="false">G92/H92-1</f>
        <v>-0.0554099703142594</v>
      </c>
    </row>
    <row r="103" customFormat="false" ht="15" hidden="false" customHeight="false" outlineLevel="0" collapsed="false">
      <c r="A103" s="2" t="s">
        <v>361</v>
      </c>
      <c r="F103" s="77" t="n">
        <f aca="false">(D92+G92)/(E92+H92)-1</f>
        <v>0.00579143125571102</v>
      </c>
    </row>
    <row r="104" customFormat="false" ht="15" hidden="false" customHeight="false" outlineLevel="0" collapsed="false">
      <c r="A104" s="2" t="s">
        <v>362</v>
      </c>
      <c r="F104" s="74" t="n">
        <f aca="false">AVERAGE(O2:O90)</f>
        <v>2.90342550958101</v>
      </c>
    </row>
    <row r="105" customFormat="false" ht="15" hidden="false" customHeight="false" outlineLevel="0" collapsed="false">
      <c r="A105" s="5" t="s">
        <v>363</v>
      </c>
      <c r="F105" s="79" t="n">
        <f aca="false">COUNTIF(R2:R90,"Yes")/(COUNTIF(R2:R90,"Yes")+COUNTIF(R2:R90,"No"))</f>
        <v>0.292134831460674</v>
      </c>
    </row>
    <row r="106" customFormat="false" ht="15" hidden="false" customHeight="false" outlineLevel="0" collapsed="false">
      <c r="A106" s="5" t="s">
        <v>364</v>
      </c>
      <c r="F106" s="79" t="n">
        <f aca="false">COUNTIF(S2:S90,"Yes")/(COUNTIF(S2:S90,"Yes")+COUNTIF(S2:S90,"No"))</f>
        <v>0.831460674157303</v>
      </c>
    </row>
    <row r="107" customFormat="false" ht="15" hidden="false" customHeight="false" outlineLevel="0" collapsed="false">
      <c r="A107" s="2" t="s">
        <v>365</v>
      </c>
      <c r="F107" s="80" t="n">
        <f aca="false">COUNTIFS(L2:L90,"&gt;=-3",L2:L90,"&lt;=3")/COUNT(L2:L90)</f>
        <v>0.359550561797753</v>
      </c>
    </row>
    <row r="108" customFormat="false" ht="15" hidden="false" customHeight="false" outlineLevel="0" collapsed="false">
      <c r="A108" s="2" t="s">
        <v>396</v>
      </c>
      <c r="F108" s="81" t="n">
        <f aca="false">COUNT(E2:E90)</f>
        <v>89</v>
      </c>
    </row>
    <row r="109" customFormat="false" ht="15" hidden="false" customHeight="false" outlineLevel="0" collapsed="false">
      <c r="A109" s="2" t="s">
        <v>367</v>
      </c>
      <c r="F109" s="81" t="n">
        <f aca="false">COUNTA(A2:A90)</f>
        <v>89</v>
      </c>
    </row>
    <row r="111" customFormat="false" ht="15" hidden="false" customHeight="false" outlineLevel="0" collapsed="false">
      <c r="U111" s="5" t="s">
        <v>104</v>
      </c>
    </row>
    <row r="112" customFormat="false" ht="41.75" hidden="false" customHeight="false" outlineLevel="0" collapsed="false">
      <c r="U112" s="64" t="s">
        <v>397</v>
      </c>
    </row>
    <row r="113" customFormat="false" ht="41.75" hidden="false" customHeight="false" outlineLevel="0" collapsed="false">
      <c r="U113" s="64" t="s">
        <v>398</v>
      </c>
    </row>
    <row r="114" customFormat="false" ht="41.75" hidden="false" customHeight="false" outlineLevel="0" collapsed="false">
      <c r="U114" s="64" t="s">
        <v>378</v>
      </c>
    </row>
    <row r="115" customFormat="false" ht="28.35" hidden="false" customHeight="false" outlineLevel="0" collapsed="false">
      <c r="U115" s="64" t="s">
        <v>400</v>
      </c>
    </row>
    <row r="116" customFormat="false" ht="28.35" hidden="false" customHeight="false" outlineLevel="0" collapsed="false">
      <c r="U116" s="64" t="s">
        <v>401</v>
      </c>
    </row>
    <row r="117" customFormat="false" ht="28.35" hidden="false" customHeight="false" outlineLevel="0" collapsed="false">
      <c r="U117" s="64" t="s">
        <v>402</v>
      </c>
    </row>
    <row r="118" customFormat="false" ht="28.35" hidden="false" customHeight="false" outlineLevel="0" collapsed="false">
      <c r="U118" s="64" t="s">
        <v>374</v>
      </c>
    </row>
    <row r="119" customFormat="false" ht="41.75" hidden="false" customHeight="false" outlineLevel="0" collapsed="false">
      <c r="U119" s="64" t="s">
        <v>403</v>
      </c>
    </row>
    <row r="120" customFormat="false" ht="15" hidden="false" customHeight="false" outlineLevel="0" collapsed="false">
      <c r="U120" s="64" t="s">
        <v>404</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77</v>
      </c>
      <c r="B1" s="8" t="s">
        <v>78</v>
      </c>
      <c r="C1" s="8" t="s">
        <v>79</v>
      </c>
      <c r="D1" s="8" t="s">
        <v>334</v>
      </c>
      <c r="E1" s="8" t="s">
        <v>335</v>
      </c>
      <c r="F1" s="8" t="s">
        <v>336</v>
      </c>
      <c r="G1" s="8" t="s">
        <v>406</v>
      </c>
      <c r="H1" s="8" t="s">
        <v>338</v>
      </c>
      <c r="I1" s="8" t="s">
        <v>339</v>
      </c>
      <c r="J1" s="8" t="s">
        <v>340</v>
      </c>
      <c r="K1" s="8" t="s">
        <v>341</v>
      </c>
      <c r="L1" s="8" t="s">
        <v>342</v>
      </c>
      <c r="M1" s="8" t="s">
        <v>407</v>
      </c>
      <c r="N1" s="8" t="s">
        <v>408</v>
      </c>
      <c r="O1" s="8" t="s">
        <v>107</v>
      </c>
      <c r="P1" s="8" t="s">
        <v>345</v>
      </c>
      <c r="Q1" s="8" t="s">
        <v>346</v>
      </c>
      <c r="R1" s="8" t="s">
        <v>347</v>
      </c>
      <c r="S1" s="8" t="s">
        <v>348</v>
      </c>
      <c r="T1" s="8" t="s">
        <v>349</v>
      </c>
      <c r="U1" s="8" t="s">
        <v>350</v>
      </c>
    </row>
    <row r="2" customFormat="false" ht="15" hidden="false" customHeight="false" outlineLevel="0" collapsed="false">
      <c r="A2" s="32" t="s">
        <v>127</v>
      </c>
      <c r="B2" s="32" t="s">
        <v>128</v>
      </c>
      <c r="C2" s="32" t="s">
        <v>129</v>
      </c>
      <c r="D2" s="54" t="n">
        <v>185</v>
      </c>
      <c r="E2" s="54" t="n">
        <v>160</v>
      </c>
      <c r="F2" s="65" t="n">
        <f aca="false">IF(E2="","",D2-E2)</f>
        <v>25</v>
      </c>
      <c r="G2" s="54" t="n">
        <v>241</v>
      </c>
      <c r="H2" s="54" t="n">
        <v>221</v>
      </c>
      <c r="I2" s="65" t="n">
        <f aca="false">IF(H2="","",G2-H2)</f>
        <v>20</v>
      </c>
      <c r="J2" s="55" t="n">
        <f aca="false">IF(OR(D2="",D2+G2=0),"",D2/(D2+G2))</f>
        <v>0.434272300469484</v>
      </c>
      <c r="K2" s="55" t="n">
        <f aca="false">IF(E2="","",E2/(E2+H2))</f>
        <v>0.41994750656168</v>
      </c>
      <c r="L2" s="66" t="n">
        <f aca="false">IF(OR(K2="",J2=""),"",(J2-K2)*100)</f>
        <v>1.43247939078038</v>
      </c>
      <c r="M2" s="36" t="n">
        <v>3.17596089782572</v>
      </c>
      <c r="N2" s="36" t="n">
        <v>1.82074442156214</v>
      </c>
      <c r="O2" s="36" t="n">
        <f aca="false">SQRT(M2^2+N2^2)</f>
        <v>3.66085206928218</v>
      </c>
      <c r="P2" s="55" t="n">
        <f aca="false">IF(J2="","",MAX(0,J2-1.96*O2/100))</f>
        <v>0.362519599911553</v>
      </c>
      <c r="Q2" s="55" t="n">
        <f aca="false">IF(J2="","",MIN(1,J2+1.96*O2/100))</f>
        <v>0.506025001027414</v>
      </c>
      <c r="R2" s="32" t="str">
        <f aca="false">IF(L2="","",IF(ABS(L2)&lt;=O2,"Yes","No"))</f>
        <v>Yes</v>
      </c>
      <c r="S2" s="32" t="str">
        <f aca="false">IF(L2="","",IF(ABS(L2)&lt;=1.96*O2,"Yes","No"))</f>
        <v>Yes</v>
      </c>
      <c r="T2" s="54" t="n">
        <f aca="false">IF(D2="","",ROUND(SQRT(((D2+G2)*O2/100)^2+(J2*(D2+G2)*0.07067)^2),0))</f>
        <v>20</v>
      </c>
      <c r="U2" s="32" t="s">
        <v>393</v>
      </c>
    </row>
    <row r="3" customFormat="false" ht="15" hidden="false" customHeight="false" outlineLevel="0" collapsed="false">
      <c r="A3" s="32" t="s">
        <v>127</v>
      </c>
      <c r="B3" s="32" t="s">
        <v>133</v>
      </c>
      <c r="C3" s="32" t="s">
        <v>129</v>
      </c>
      <c r="D3" s="54" t="n">
        <v>112</v>
      </c>
      <c r="E3" s="54" t="n">
        <v>95</v>
      </c>
      <c r="F3" s="65" t="n">
        <f aca="false">IF(E3="","",D3-E3)</f>
        <v>17</v>
      </c>
      <c r="G3" s="54" t="n">
        <v>212</v>
      </c>
      <c r="H3" s="54" t="n">
        <v>192</v>
      </c>
      <c r="I3" s="65" t="n">
        <f aca="false">IF(H3="","",G3-H3)</f>
        <v>20</v>
      </c>
      <c r="J3" s="55" t="n">
        <f aca="false">IF(OR(D3="",D3+G3=0),"",D3/(D3+G3))</f>
        <v>0.345679012345679</v>
      </c>
      <c r="K3" s="55" t="n">
        <f aca="false">IF(E3="","",E3/(E3+H3))</f>
        <v>0.331010452961673</v>
      </c>
      <c r="L3" s="66" t="n">
        <f aca="false">IF(OR(K3="",J3=""),"",(J3-K3)*100)</f>
        <v>1.46685593840065</v>
      </c>
      <c r="M3" s="36" t="n">
        <v>3.17596089782572</v>
      </c>
      <c r="N3" s="36" t="n">
        <v>1.82074442156214</v>
      </c>
      <c r="O3" s="36" t="n">
        <f aca="false">SQRT(M3^2+N3^2)</f>
        <v>3.66085206928218</v>
      </c>
      <c r="P3" s="55" t="n">
        <f aca="false">IF(J3="","",MAX(0,J3-1.96*O3/100))</f>
        <v>0.273926311787748</v>
      </c>
      <c r="Q3" s="55" t="n">
        <f aca="false">IF(J3="","",MIN(1,J3+1.96*O3/100))</f>
        <v>0.41743171290361</v>
      </c>
      <c r="R3" s="32" t="str">
        <f aca="false">IF(L3="","",IF(ABS(L3)&lt;=O3,"Yes","No"))</f>
        <v>Yes</v>
      </c>
      <c r="S3" s="32" t="str">
        <f aca="false">IF(L3="","",IF(ABS(L3)&lt;=1.96*O3,"Yes","No"))</f>
        <v>Yes</v>
      </c>
      <c r="T3" s="54" t="n">
        <f aca="false">IF(D3="","",ROUND(SQRT(((D3+G3)*O3/100)^2+(J3*(D3+G3)*0.07067)^2),0))</f>
        <v>14</v>
      </c>
      <c r="U3" s="32" t="s">
        <v>393</v>
      </c>
    </row>
    <row r="4" customFormat="false" ht="15" hidden="false" customHeight="false" outlineLevel="0" collapsed="false">
      <c r="A4" s="32" t="s">
        <v>127</v>
      </c>
      <c r="B4" s="32" t="s">
        <v>134</v>
      </c>
      <c r="C4" s="32" t="s">
        <v>129</v>
      </c>
      <c r="D4" s="54" t="n">
        <v>116</v>
      </c>
      <c r="E4" s="54" t="n">
        <v>110</v>
      </c>
      <c r="F4" s="65" t="n">
        <f aca="false">IF(E4="","",D4-E4)</f>
        <v>6</v>
      </c>
      <c r="G4" s="54" t="n">
        <v>229</v>
      </c>
      <c r="H4" s="54" t="n">
        <v>175</v>
      </c>
      <c r="I4" s="65" t="n">
        <f aca="false">IF(H4="","",G4-H4)</f>
        <v>54</v>
      </c>
      <c r="J4" s="55" t="n">
        <f aca="false">IF(OR(D4="",D4+G4=0),"",D4/(D4+G4))</f>
        <v>0.336231884057971</v>
      </c>
      <c r="K4" s="55" t="n">
        <f aca="false">IF(E4="","",E4/(E4+H4))</f>
        <v>0.385964912280702</v>
      </c>
      <c r="L4" s="66" t="n">
        <f aca="false">IF(OR(K4="",J4=""),"",(J4-K4)*100)</f>
        <v>-4.97330282227307</v>
      </c>
      <c r="M4" s="36" t="n">
        <v>3.17596089782572</v>
      </c>
      <c r="N4" s="36" t="n">
        <v>1.82074442156214</v>
      </c>
      <c r="O4" s="36" t="n">
        <f aca="false">SQRT(M4^2+N4^2)</f>
        <v>3.66085206928218</v>
      </c>
      <c r="P4" s="55" t="n">
        <f aca="false">IF(J4="","",MAX(0,J4-1.96*O4/100))</f>
        <v>0.26447918350004</v>
      </c>
      <c r="Q4" s="55" t="n">
        <f aca="false">IF(J4="","",MIN(1,J4+1.96*O4/100))</f>
        <v>0.407984584615902</v>
      </c>
      <c r="R4" s="32" t="str">
        <f aca="false">IF(L4="","",IF(ABS(L4)&lt;=O4,"Yes","No"))</f>
        <v>No</v>
      </c>
      <c r="S4" s="32" t="str">
        <f aca="false">IF(L4="","",IF(ABS(L4)&lt;=1.96*O4,"Yes","No"))</f>
        <v>Yes</v>
      </c>
      <c r="T4" s="54" t="n">
        <f aca="false">IF(D4="","",ROUND(SQRT(((D4+G4)*O4/100)^2+(J4*(D4+G4)*0.07067)^2),0))</f>
        <v>15</v>
      </c>
      <c r="U4" s="32" t="s">
        <v>393</v>
      </c>
    </row>
    <row r="5" customFormat="false" ht="15" hidden="false" customHeight="false" outlineLevel="0" collapsed="false">
      <c r="A5" s="32" t="s">
        <v>127</v>
      </c>
      <c r="B5" s="32" t="s">
        <v>135</v>
      </c>
      <c r="C5" s="32" t="s">
        <v>129</v>
      </c>
      <c r="D5" s="54" t="n">
        <v>409</v>
      </c>
      <c r="E5" s="54" t="n">
        <v>369</v>
      </c>
      <c r="F5" s="65" t="n">
        <f aca="false">IF(E5="","",D5-E5)</f>
        <v>40</v>
      </c>
      <c r="G5" s="54" t="n">
        <v>865</v>
      </c>
      <c r="H5" s="54" t="n">
        <v>742</v>
      </c>
      <c r="I5" s="65" t="n">
        <f aca="false">IF(H5="","",G5-H5)</f>
        <v>123</v>
      </c>
      <c r="J5" s="55" t="n">
        <f aca="false">IF(OR(D5="",D5+G5=0),"",D5/(D5+G5))</f>
        <v>0.321036106750392</v>
      </c>
      <c r="K5" s="55" t="n">
        <f aca="false">IF(E5="","",E5/(E5+H5))</f>
        <v>0.332133213321332</v>
      </c>
      <c r="L5" s="66" t="n">
        <f aca="false">IF(OR(K5="",J5=""),"",(J5-K5)*100)</f>
        <v>-1.10971065709397</v>
      </c>
      <c r="M5" s="36" t="n">
        <v>1.87643185227669</v>
      </c>
      <c r="N5" s="36" t="n">
        <v>1.82074442156214</v>
      </c>
      <c r="O5" s="36" t="n">
        <f aca="false">SQRT(M5^2+N5^2)</f>
        <v>2.61459494853184</v>
      </c>
      <c r="P5" s="55" t="n">
        <f aca="false">IF(J5="","",MAX(0,J5-1.96*O5/100))</f>
        <v>0.269790045759168</v>
      </c>
      <c r="Q5" s="55" t="n">
        <f aca="false">IF(J5="","",MIN(1,J5+1.96*O5/100))</f>
        <v>0.372282167741617</v>
      </c>
      <c r="R5" s="32" t="str">
        <f aca="false">IF(L5="","",IF(ABS(L5)&lt;=O5,"Yes","No"))</f>
        <v>Yes</v>
      </c>
      <c r="S5" s="32" t="str">
        <f aca="false">IF(L5="","",IF(ABS(L5)&lt;=1.96*O5,"Yes","No"))</f>
        <v>Yes</v>
      </c>
      <c r="T5" s="54" t="n">
        <f aca="false">IF(D5="","",ROUND(SQRT(((D5+G5)*O5/100)^2+(J5*(D5+G5)*0.05402)^2),0))</f>
        <v>40</v>
      </c>
      <c r="U5" s="32" t="s">
        <v>393</v>
      </c>
    </row>
    <row r="6" customFormat="false" ht="15" hidden="false" customHeight="false" outlineLevel="0" collapsed="false">
      <c r="A6" s="32" t="s">
        <v>127</v>
      </c>
      <c r="B6" s="32" t="s">
        <v>137</v>
      </c>
      <c r="C6" s="32" t="s">
        <v>129</v>
      </c>
      <c r="D6" s="54" t="n">
        <v>41</v>
      </c>
      <c r="E6" s="54" t="n">
        <v>34</v>
      </c>
      <c r="F6" s="65" t="n">
        <f aca="false">IF(E6="","",D6-E6)</f>
        <v>7</v>
      </c>
      <c r="G6" s="54" t="n">
        <v>55</v>
      </c>
      <c r="H6" s="54" t="n">
        <v>43</v>
      </c>
      <c r="I6" s="65" t="n">
        <f aca="false">IF(H6="","",G6-H6)</f>
        <v>12</v>
      </c>
      <c r="J6" s="55" t="n">
        <f aca="false">IF(OR(D6="",D6+G6=0),"",D6/(D6+G6))</f>
        <v>0.427083333333333</v>
      </c>
      <c r="K6" s="55" t="n">
        <f aca="false">IF(E6="","",E6/(E6+H6))</f>
        <v>0.441558441558442</v>
      </c>
      <c r="L6" s="66" t="n">
        <f aca="false">IF(OR(K6="",J6=""),"",(J6-K6)*100)</f>
        <v>-1.44751082251082</v>
      </c>
      <c r="M6" s="36" t="n">
        <v>3.17596089782572</v>
      </c>
      <c r="N6" s="36" t="n">
        <v>1.82074442156214</v>
      </c>
      <c r="O6" s="36" t="n">
        <f aca="false">SQRT(M6^2+N6^2)</f>
        <v>3.66085206928218</v>
      </c>
      <c r="P6" s="55" t="n">
        <f aca="false">IF(J6="","",MAX(0,J6-1.96*O6/100))</f>
        <v>0.355330632775403</v>
      </c>
      <c r="Q6" s="55" t="n">
        <f aca="false">IF(J6="","",MIN(1,J6+1.96*O6/100))</f>
        <v>0.498836033891264</v>
      </c>
      <c r="R6" s="32" t="str">
        <f aca="false">IF(L6="","",IF(ABS(L6)&lt;=O6,"Yes","No"))</f>
        <v>Yes</v>
      </c>
      <c r="S6" s="32" t="str">
        <f aca="false">IF(L6="","",IF(ABS(L6)&lt;=1.96*O6,"Yes","No"))</f>
        <v>Yes</v>
      </c>
      <c r="T6" s="54" t="n">
        <f aca="false">IF(D6="","",ROUND(SQRT(((D6+G6)*O6/100)^2+(J6*(D6+G6)*0.07067)^2),0))</f>
        <v>5</v>
      </c>
      <c r="U6" s="32" t="s">
        <v>393</v>
      </c>
    </row>
    <row r="7" customFormat="false" ht="15" hidden="false" customHeight="false" outlineLevel="0" collapsed="false">
      <c r="A7" s="32" t="s">
        <v>127</v>
      </c>
      <c r="B7" s="32" t="s">
        <v>138</v>
      </c>
      <c r="C7" s="32" t="s">
        <v>129</v>
      </c>
      <c r="D7" s="54" t="n">
        <v>614</v>
      </c>
      <c r="E7" s="54" t="n">
        <v>536</v>
      </c>
      <c r="F7" s="65" t="n">
        <f aca="false">IF(E7="","",D7-E7)</f>
        <v>78</v>
      </c>
      <c r="G7" s="54" t="n">
        <v>1264</v>
      </c>
      <c r="H7" s="54" t="n">
        <v>1122</v>
      </c>
      <c r="I7" s="65" t="n">
        <f aca="false">IF(H7="","",G7-H7)</f>
        <v>142</v>
      </c>
      <c r="J7" s="55" t="n">
        <f aca="false">IF(OR(D7="",D7+G7=0),"",D7/(D7+G7))</f>
        <v>0.326943556975506</v>
      </c>
      <c r="K7" s="55" t="n">
        <f aca="false">IF(E7="","",E7/(E7+H7))</f>
        <v>0.323281061519904</v>
      </c>
      <c r="L7" s="66" t="n">
        <f aca="false">IF(OR(K7="",J7=""),"",(J7-K7)*100)</f>
        <v>0.366249545560238</v>
      </c>
      <c r="M7" s="36" t="n">
        <v>1.87643185227669</v>
      </c>
      <c r="N7" s="36" t="n">
        <v>1.82074442156214</v>
      </c>
      <c r="O7" s="36" t="n">
        <f aca="false">SQRT(M7^2+N7^2)</f>
        <v>2.61459494853184</v>
      </c>
      <c r="P7" s="55" t="n">
        <f aca="false">IF(J7="","",MAX(0,J7-1.96*O7/100))</f>
        <v>0.275697495984282</v>
      </c>
      <c r="Q7" s="55" t="n">
        <f aca="false">IF(J7="","",MIN(1,J7+1.96*O7/100))</f>
        <v>0.37818961796673</v>
      </c>
      <c r="R7" s="32" t="str">
        <f aca="false">IF(L7="","",IF(ABS(L7)&lt;=O7,"Yes","No"))</f>
        <v>Yes</v>
      </c>
      <c r="S7" s="32" t="str">
        <f aca="false">IF(L7="","",IF(ABS(L7)&lt;=1.96*O7,"Yes","No"))</f>
        <v>Yes</v>
      </c>
      <c r="T7" s="54" t="n">
        <f aca="false">IF(D7="","",ROUND(SQRT(((D7+G7)*O7/100)^2+(J7*(D7+G7)*0.05402)^2),0))</f>
        <v>59</v>
      </c>
      <c r="U7" s="32" t="s">
        <v>393</v>
      </c>
    </row>
    <row r="8" customFormat="false" ht="15" hidden="false" customHeight="false" outlineLevel="0" collapsed="false">
      <c r="A8" s="32" t="s">
        <v>127</v>
      </c>
      <c r="B8" s="32" t="s">
        <v>139</v>
      </c>
      <c r="C8" s="32" t="s">
        <v>129</v>
      </c>
      <c r="D8" s="54" t="n">
        <v>965</v>
      </c>
      <c r="E8" s="54" t="n">
        <v>912</v>
      </c>
      <c r="F8" s="65" t="n">
        <f aca="false">IF(E8="","",D8-E8)</f>
        <v>53</v>
      </c>
      <c r="G8" s="54" t="n">
        <v>1183</v>
      </c>
      <c r="H8" s="54" t="n">
        <v>949</v>
      </c>
      <c r="I8" s="65" t="n">
        <f aca="false">IF(H8="","",G8-H8)</f>
        <v>234</v>
      </c>
      <c r="J8" s="55" t="n">
        <f aca="false">IF(OR(D8="",D8+G8=0),"",D8/(D8+G8))</f>
        <v>0.449255121042831</v>
      </c>
      <c r="K8" s="55" t="n">
        <f aca="false">IF(E8="","",E8/(E8+H8))</f>
        <v>0.490059108006448</v>
      </c>
      <c r="L8" s="66" t="n">
        <f aca="false">IF(OR(K8="",J8=""),"",(J8-K8)*100)</f>
        <v>-4.08039869636176</v>
      </c>
      <c r="M8" s="36" t="n">
        <v>1.87643185227669</v>
      </c>
      <c r="N8" s="36" t="n">
        <v>1.82074442156214</v>
      </c>
      <c r="O8" s="36" t="n">
        <f aca="false">SQRT(M8^2+N8^2)</f>
        <v>2.61459494853184</v>
      </c>
      <c r="P8" s="55" t="n">
        <f aca="false">IF(J8="","",MAX(0,J8-1.96*O8/100))</f>
        <v>0.398009060051607</v>
      </c>
      <c r="Q8" s="55" t="n">
        <f aca="false">IF(J8="","",MIN(1,J8+1.96*O8/100))</f>
        <v>0.500501182034055</v>
      </c>
      <c r="R8" s="32" t="str">
        <f aca="false">IF(L8="","",IF(ABS(L8)&lt;=O8,"Yes","No"))</f>
        <v>No</v>
      </c>
      <c r="S8" s="32" t="str">
        <f aca="false">IF(L8="","",IF(ABS(L8)&lt;=1.96*O8,"Yes","No"))</f>
        <v>Yes</v>
      </c>
      <c r="T8" s="54" t="n">
        <f aca="false">IF(D8="","",ROUND(SQRT(((D8+G8)*O8/100)^2+(J8*(D8+G8)*0.05402)^2),0))</f>
        <v>77</v>
      </c>
      <c r="U8" s="32" t="s">
        <v>393</v>
      </c>
    </row>
    <row r="9" customFormat="false" ht="15" hidden="false" customHeight="false" outlineLevel="0" collapsed="false">
      <c r="A9" s="32" t="s">
        <v>127</v>
      </c>
      <c r="B9" s="32" t="s">
        <v>140</v>
      </c>
      <c r="C9" s="32" t="s">
        <v>129</v>
      </c>
      <c r="D9" s="54" t="n">
        <v>277</v>
      </c>
      <c r="E9" s="54" t="n">
        <v>267</v>
      </c>
      <c r="F9" s="65" t="n">
        <f aca="false">IF(E9="","",D9-E9)</f>
        <v>10</v>
      </c>
      <c r="G9" s="54" t="n">
        <v>512</v>
      </c>
      <c r="H9" s="54" t="n">
        <v>495</v>
      </c>
      <c r="I9" s="65" t="n">
        <f aca="false">IF(H9="","",G9-H9)</f>
        <v>17</v>
      </c>
      <c r="J9" s="55" t="n">
        <f aca="false">IF(OR(D9="",D9+G9=0),"",D9/(D9+G9))</f>
        <v>0.351077313054499</v>
      </c>
      <c r="K9" s="55" t="n">
        <f aca="false">IF(E9="","",E9/(E9+H9))</f>
        <v>0.350393700787402</v>
      </c>
      <c r="L9" s="66" t="n">
        <f aca="false">IF(OR(K9="",J9=""),"",(J9-K9)*100)</f>
        <v>0.0683612267097788</v>
      </c>
      <c r="M9" s="36" t="n">
        <v>3.17596089782572</v>
      </c>
      <c r="N9" s="36" t="n">
        <v>1.82074442156214</v>
      </c>
      <c r="O9" s="36" t="n">
        <f aca="false">SQRT(M9^2+N9^2)</f>
        <v>3.66085206928218</v>
      </c>
      <c r="P9" s="55" t="n">
        <f aca="false">IF(J9="","",MAX(0,J9-1.96*O9/100))</f>
        <v>0.279324612496569</v>
      </c>
      <c r="Q9" s="55" t="n">
        <f aca="false">IF(J9="","",MIN(1,J9+1.96*O9/100))</f>
        <v>0.42283001361243</v>
      </c>
      <c r="R9" s="32" t="str">
        <f aca="false">IF(L9="","",IF(ABS(L9)&lt;=O9,"Yes","No"))</f>
        <v>Yes</v>
      </c>
      <c r="S9" s="32" t="str">
        <f aca="false">IF(L9="","",IF(ABS(L9)&lt;=1.96*O9,"Yes","No"))</f>
        <v>Yes</v>
      </c>
      <c r="T9" s="54" t="n">
        <f aca="false">IF(D9="","",ROUND(SQRT(((D9+G9)*O9/100)^2+(J9*(D9+G9)*0.07067)^2),0))</f>
        <v>35</v>
      </c>
      <c r="U9" s="32" t="s">
        <v>393</v>
      </c>
    </row>
    <row r="10" customFormat="false" ht="15" hidden="false" customHeight="false" outlineLevel="0" collapsed="false">
      <c r="A10" s="32" t="s">
        <v>127</v>
      </c>
      <c r="B10" s="32" t="s">
        <v>141</v>
      </c>
      <c r="C10" s="32" t="s">
        <v>129</v>
      </c>
      <c r="D10" s="54" t="n">
        <v>510</v>
      </c>
      <c r="E10" s="54" t="n">
        <v>455</v>
      </c>
      <c r="F10" s="65" t="n">
        <f aca="false">IF(E10="","",D10-E10)</f>
        <v>55</v>
      </c>
      <c r="G10" s="54" t="n">
        <v>502</v>
      </c>
      <c r="H10" s="54" t="n">
        <v>467</v>
      </c>
      <c r="I10" s="65" t="n">
        <f aca="false">IF(H10="","",G10-H10)</f>
        <v>35</v>
      </c>
      <c r="J10" s="55" t="n">
        <f aca="false">IF(OR(D10="",D10+G10=0),"",D10/(D10+G10))</f>
        <v>0.503952569169961</v>
      </c>
      <c r="K10" s="55" t="n">
        <f aca="false">IF(E10="","",E10/(E10+H10))</f>
        <v>0.493492407809111</v>
      </c>
      <c r="L10" s="66" t="n">
        <f aca="false">IF(OR(K10="",J10=""),"",(J10-K10)*100)</f>
        <v>1.04601613608498</v>
      </c>
      <c r="M10" s="36" t="n">
        <v>3.17596089782572</v>
      </c>
      <c r="N10" s="36" t="n">
        <v>1.82074442156214</v>
      </c>
      <c r="O10" s="36" t="n">
        <f aca="false">SQRT(M10^2+N10^2)</f>
        <v>3.66085206928218</v>
      </c>
      <c r="P10" s="55" t="n">
        <f aca="false">IF(J10="","",MAX(0,J10-1.96*O10/100))</f>
        <v>0.43219986861203</v>
      </c>
      <c r="Q10" s="55" t="n">
        <f aca="false">IF(J10="","",MIN(1,J10+1.96*O10/100))</f>
        <v>0.575705269727891</v>
      </c>
      <c r="R10" s="32" t="str">
        <f aca="false">IF(L10="","",IF(ABS(L10)&lt;=O10,"Yes","No"))</f>
        <v>Yes</v>
      </c>
      <c r="S10" s="32" t="str">
        <f aca="false">IF(L10="","",IF(ABS(L10)&lt;=1.96*O10,"Yes","No"))</f>
        <v>Yes</v>
      </c>
      <c r="T10" s="54" t="n">
        <f aca="false">IF(D10="","",ROUND(SQRT(((D10+G10)*O10/100)^2+(J10*(D10+G10)*0.07067)^2),0))</f>
        <v>52</v>
      </c>
      <c r="U10" s="32" t="s">
        <v>393</v>
      </c>
    </row>
    <row r="11" customFormat="false" ht="15" hidden="false" customHeight="false" outlineLevel="0" collapsed="false">
      <c r="A11" s="32" t="s">
        <v>127</v>
      </c>
      <c r="B11" s="32" t="s">
        <v>142</v>
      </c>
      <c r="C11" s="32" t="s">
        <v>129</v>
      </c>
      <c r="D11" s="54" t="n">
        <v>34</v>
      </c>
      <c r="E11" s="54" t="n">
        <v>29</v>
      </c>
      <c r="F11" s="65" t="n">
        <f aca="false">IF(E11="","",D11-E11)</f>
        <v>5</v>
      </c>
      <c r="G11" s="54" t="n">
        <v>77</v>
      </c>
      <c r="H11" s="54" t="n">
        <v>59</v>
      </c>
      <c r="I11" s="65" t="n">
        <f aca="false">IF(H11="","",G11-H11)</f>
        <v>18</v>
      </c>
      <c r="J11" s="55" t="n">
        <f aca="false">IF(OR(D11="",D11+G11=0),"",D11/(D11+G11))</f>
        <v>0.306306306306306</v>
      </c>
      <c r="K11" s="55" t="n">
        <f aca="false">IF(E11="","",E11/(E11+H11))</f>
        <v>0.329545454545455</v>
      </c>
      <c r="L11" s="66" t="n">
        <f aca="false">IF(OR(K11="",J11=""),"",(J11-K11)*100)</f>
        <v>-2.32391482391482</v>
      </c>
      <c r="M11" s="36" t="n">
        <v>3.17596089782572</v>
      </c>
      <c r="N11" s="36" t="n">
        <v>1.82074442156214</v>
      </c>
      <c r="O11" s="36" t="n">
        <f aca="false">SQRT(M11^2+N11^2)</f>
        <v>3.66085206928218</v>
      </c>
      <c r="P11" s="55" t="n">
        <f aca="false">IF(J11="","",MAX(0,J11-1.96*O11/100))</f>
        <v>0.234553605748376</v>
      </c>
      <c r="Q11" s="55" t="n">
        <f aca="false">IF(J11="","",MIN(1,J11+1.96*O11/100))</f>
        <v>0.378059006864237</v>
      </c>
      <c r="R11" s="32" t="str">
        <f aca="false">IF(L11="","",IF(ABS(L11)&lt;=O11,"Yes","No"))</f>
        <v>Yes</v>
      </c>
      <c r="S11" s="32" t="str">
        <f aca="false">IF(L11="","",IF(ABS(L11)&lt;=1.96*O11,"Yes","No"))</f>
        <v>Yes</v>
      </c>
      <c r="T11" s="54" t="n">
        <f aca="false">IF(D11="","",ROUND(SQRT(((D11+G11)*O11/100)^2+(J11*(D11+G11)*0.07067)^2),0))</f>
        <v>5</v>
      </c>
      <c r="U11" s="32" t="s">
        <v>393</v>
      </c>
    </row>
    <row r="12" customFormat="false" ht="15" hidden="false" customHeight="false" outlineLevel="0" collapsed="false">
      <c r="A12" s="32" t="s">
        <v>127</v>
      </c>
      <c r="B12" s="32" t="s">
        <v>143</v>
      </c>
      <c r="C12" s="32" t="s">
        <v>129</v>
      </c>
      <c r="D12" s="54" t="n">
        <v>66</v>
      </c>
      <c r="E12" s="54" t="n">
        <v>41</v>
      </c>
      <c r="F12" s="65" t="n">
        <f aca="false">IF(E12="","",D12-E12)</f>
        <v>25</v>
      </c>
      <c r="G12" s="54" t="n">
        <v>181</v>
      </c>
      <c r="H12" s="54" t="n">
        <v>163</v>
      </c>
      <c r="I12" s="65" t="n">
        <f aca="false">IF(H12="","",G12-H12)</f>
        <v>18</v>
      </c>
      <c r="J12" s="55" t="n">
        <f aca="false">IF(OR(D12="",D12+G12=0),"",D12/(D12+G12))</f>
        <v>0.267206477732794</v>
      </c>
      <c r="K12" s="55" t="n">
        <f aca="false">IF(E12="","",E12/(E12+H12))</f>
        <v>0.200980392156863</v>
      </c>
      <c r="L12" s="66" t="n">
        <f aca="false">IF(OR(K12="",J12=""),"",(J12-K12)*100)</f>
        <v>6.62260855759308</v>
      </c>
      <c r="M12" s="36" t="n">
        <v>3.17596089782572</v>
      </c>
      <c r="N12" s="36" t="n">
        <v>1.82074442156214</v>
      </c>
      <c r="O12" s="36" t="n">
        <f aca="false">SQRT(M12^2+N12^2)</f>
        <v>3.66085206928218</v>
      </c>
      <c r="P12" s="55" t="n">
        <f aca="false">IF(J12="","",MAX(0,J12-1.96*O12/100))</f>
        <v>0.195453777174863</v>
      </c>
      <c r="Q12" s="55" t="n">
        <f aca="false">IF(J12="","",MIN(1,J12+1.96*O12/100))</f>
        <v>0.338959178290724</v>
      </c>
      <c r="R12" s="32" t="str">
        <f aca="false">IF(L12="","",IF(ABS(L12)&lt;=O12,"Yes","No"))</f>
        <v>No</v>
      </c>
      <c r="S12" s="32" t="str">
        <f aca="false">IF(L12="","",IF(ABS(L12)&lt;=1.96*O12,"Yes","No"))</f>
        <v>Yes</v>
      </c>
      <c r="T12" s="54" t="n">
        <f aca="false">IF(D12="","",ROUND(SQRT(((D12+G12)*O12/100)^2+(J12*(D12+G12)*0.07067)^2),0))</f>
        <v>10</v>
      </c>
      <c r="U12" s="32" t="s">
        <v>393</v>
      </c>
    </row>
    <row r="13" customFormat="false" ht="15" hidden="false" customHeight="false" outlineLevel="0" collapsed="false">
      <c r="A13" s="32" t="s">
        <v>127</v>
      </c>
      <c r="B13" s="32" t="s">
        <v>144</v>
      </c>
      <c r="C13" s="32" t="s">
        <v>129</v>
      </c>
      <c r="D13" s="54" t="n">
        <v>698</v>
      </c>
      <c r="E13" s="54" t="n">
        <v>668</v>
      </c>
      <c r="F13" s="65" t="n">
        <f aca="false">IF(E13="","",D13-E13)</f>
        <v>30</v>
      </c>
      <c r="G13" s="54" t="n">
        <v>921</v>
      </c>
      <c r="H13" s="54" t="n">
        <v>766</v>
      </c>
      <c r="I13" s="65" t="n">
        <f aca="false">IF(H13="","",G13-H13)</f>
        <v>155</v>
      </c>
      <c r="J13" s="55" t="n">
        <f aca="false">IF(OR(D13="",D13+G13=0),"",D13/(D13+G13))</f>
        <v>0.43113032736257</v>
      </c>
      <c r="K13" s="55" t="n">
        <f aca="false">IF(E13="","",E13/(E13+H13))</f>
        <v>0.465829846582985</v>
      </c>
      <c r="L13" s="66" t="n">
        <f aca="false">IF(OR(K13="",J13=""),"",(J13-K13)*100)</f>
        <v>-3.46995192204151</v>
      </c>
      <c r="M13" s="36" t="n">
        <v>1.87643185227669</v>
      </c>
      <c r="N13" s="36" t="n">
        <v>1.82074442156214</v>
      </c>
      <c r="O13" s="36" t="n">
        <f aca="false">SQRT(M13^2+N13^2)</f>
        <v>2.61459494853184</v>
      </c>
      <c r="P13" s="55" t="n">
        <f aca="false">IF(J13="","",MAX(0,J13-1.96*O13/100))</f>
        <v>0.379884266371346</v>
      </c>
      <c r="Q13" s="55" t="n">
        <f aca="false">IF(J13="","",MIN(1,J13+1.96*O13/100))</f>
        <v>0.482376388353794</v>
      </c>
      <c r="R13" s="32" t="str">
        <f aca="false">IF(L13="","",IF(ABS(L13)&lt;=O13,"Yes","No"))</f>
        <v>No</v>
      </c>
      <c r="S13" s="32" t="str">
        <f aca="false">IF(L13="","",IF(ABS(L13)&lt;=1.96*O13,"Yes","No"))</f>
        <v>Yes</v>
      </c>
      <c r="T13" s="54" t="n">
        <f aca="false">IF(D13="","",ROUND(SQRT(((D13+G13)*O13/100)^2+(J13*(D13+G13)*0.05402)^2),0))</f>
        <v>57</v>
      </c>
      <c r="U13" s="32" t="s">
        <v>393</v>
      </c>
    </row>
    <row r="14" customFormat="false" ht="15" hidden="false" customHeight="false" outlineLevel="0" collapsed="false">
      <c r="A14" s="32" t="s">
        <v>127</v>
      </c>
      <c r="B14" s="32" t="s">
        <v>145</v>
      </c>
      <c r="C14" s="32" t="s">
        <v>129</v>
      </c>
      <c r="D14" s="54" t="n">
        <v>474</v>
      </c>
      <c r="E14" s="54" t="n">
        <v>402</v>
      </c>
      <c r="F14" s="65" t="n">
        <f aca="false">IF(E14="","",D14-E14)</f>
        <v>72</v>
      </c>
      <c r="G14" s="54" t="n">
        <v>793</v>
      </c>
      <c r="H14" s="54" t="n">
        <v>686</v>
      </c>
      <c r="I14" s="65" t="n">
        <f aca="false">IF(H14="","",G14-H14)</f>
        <v>107</v>
      </c>
      <c r="J14" s="55" t="n">
        <f aca="false">IF(OR(D14="",D14+G14=0),"",D14/(D14+G14))</f>
        <v>0.374112075769534</v>
      </c>
      <c r="K14" s="55" t="n">
        <f aca="false">IF(E14="","",E14/(E14+H14))</f>
        <v>0.369485294117647</v>
      </c>
      <c r="L14" s="66" t="n">
        <f aca="false">IF(OR(K14="",J14=""),"",(J14-K14)*100)</f>
        <v>0.462678165188724</v>
      </c>
      <c r="M14" s="36" t="n">
        <v>1.87643185227669</v>
      </c>
      <c r="N14" s="36" t="n">
        <v>1.82074442156214</v>
      </c>
      <c r="O14" s="36" t="n">
        <f aca="false">SQRT(M14^2+N14^2)</f>
        <v>2.61459494853184</v>
      </c>
      <c r="P14" s="55" t="n">
        <f aca="false">IF(J14="","",MAX(0,J14-1.96*O14/100))</f>
        <v>0.32286601477831</v>
      </c>
      <c r="Q14" s="55" t="n">
        <f aca="false">IF(J14="","",MIN(1,J14+1.96*O14/100))</f>
        <v>0.425358136760758</v>
      </c>
      <c r="R14" s="32" t="str">
        <f aca="false">IF(L14="","",IF(ABS(L14)&lt;=O14,"Yes","No"))</f>
        <v>Yes</v>
      </c>
      <c r="S14" s="32" t="str">
        <f aca="false">IF(L14="","",IF(ABS(L14)&lt;=1.96*O14,"Yes","No"))</f>
        <v>Yes</v>
      </c>
      <c r="T14" s="54" t="n">
        <f aca="false">IF(D14="","",ROUND(SQRT(((D14+G14)*O14/100)^2+(J14*(D14+G14)*0.05402)^2),0))</f>
        <v>42</v>
      </c>
      <c r="U14" s="32" t="s">
        <v>393</v>
      </c>
    </row>
    <row r="15" customFormat="false" ht="15" hidden="false" customHeight="false" outlineLevel="0" collapsed="false">
      <c r="A15" s="32" t="s">
        <v>127</v>
      </c>
      <c r="B15" s="32" t="s">
        <v>146</v>
      </c>
      <c r="C15" s="32" t="s">
        <v>129</v>
      </c>
      <c r="D15" s="54" t="n">
        <v>540</v>
      </c>
      <c r="E15" s="54" t="n">
        <v>510</v>
      </c>
      <c r="F15" s="65" t="n">
        <f aca="false">IF(E15="","",D15-E15)</f>
        <v>30</v>
      </c>
      <c r="G15" s="54" t="n">
        <v>1131</v>
      </c>
      <c r="H15" s="54" t="n">
        <v>960</v>
      </c>
      <c r="I15" s="65" t="n">
        <f aca="false">IF(H15="","",G15-H15)</f>
        <v>171</v>
      </c>
      <c r="J15" s="55" t="n">
        <f aca="false">IF(OR(D15="",D15+G15=0),"",D15/(D15+G15))</f>
        <v>0.323159784560144</v>
      </c>
      <c r="K15" s="55" t="n">
        <f aca="false">IF(E15="","",E15/(E15+H15))</f>
        <v>0.346938775510204</v>
      </c>
      <c r="L15" s="66" t="n">
        <f aca="false">IF(OR(K15="",J15=""),"",(J15-K15)*100)</f>
        <v>-2.37789909500605</v>
      </c>
      <c r="M15" s="36" t="n">
        <v>1.87643185227669</v>
      </c>
      <c r="N15" s="36" t="n">
        <v>1.82074442156214</v>
      </c>
      <c r="O15" s="36" t="n">
        <f aca="false">SQRT(M15^2+N15^2)</f>
        <v>2.61459494853184</v>
      </c>
      <c r="P15" s="55" t="n">
        <f aca="false">IF(J15="","",MAX(0,J15-1.96*O15/100))</f>
        <v>0.27191372356892</v>
      </c>
      <c r="Q15" s="55" t="n">
        <f aca="false">IF(J15="","",MIN(1,J15+1.96*O15/100))</f>
        <v>0.374405845551368</v>
      </c>
      <c r="R15" s="32" t="str">
        <f aca="false">IF(L15="","",IF(ABS(L15)&lt;=O15,"Yes","No"))</f>
        <v>Yes</v>
      </c>
      <c r="S15" s="32" t="str">
        <f aca="false">IF(L15="","",IF(ABS(L15)&lt;=1.96*O15,"Yes","No"))</f>
        <v>Yes</v>
      </c>
      <c r="T15" s="54" t="n">
        <f aca="false">IF(D15="","",ROUND(SQRT(((D15+G15)*O15/100)^2+(J15*(D15+G15)*0.05402)^2),0))</f>
        <v>53</v>
      </c>
      <c r="U15" s="32" t="s">
        <v>393</v>
      </c>
    </row>
    <row r="16" customFormat="false" ht="15" hidden="false" customHeight="false" outlineLevel="0" collapsed="false">
      <c r="A16" s="32" t="s">
        <v>127</v>
      </c>
      <c r="B16" s="32" t="s">
        <v>147</v>
      </c>
      <c r="C16" s="32" t="s">
        <v>129</v>
      </c>
      <c r="D16" s="54" t="n">
        <v>530</v>
      </c>
      <c r="E16" s="54" t="n">
        <v>500</v>
      </c>
      <c r="F16" s="65" t="n">
        <f aca="false">IF(E16="","",D16-E16)</f>
        <v>30</v>
      </c>
      <c r="G16" s="54" t="n">
        <v>691</v>
      </c>
      <c r="H16" s="54" t="n">
        <v>546</v>
      </c>
      <c r="I16" s="65" t="n">
        <f aca="false">IF(H16="","",G16-H16)</f>
        <v>145</v>
      </c>
      <c r="J16" s="55" t="n">
        <f aca="false">IF(OR(D16="",D16+G16=0),"",D16/(D16+G16))</f>
        <v>0.434070434070434</v>
      </c>
      <c r="K16" s="55" t="n">
        <f aca="false">IF(E16="","",E16/(E16+H16))</f>
        <v>0.478011472275335</v>
      </c>
      <c r="L16" s="66" t="n">
        <f aca="false">IF(OR(K16="",J16=""),"",(J16-K16)*100)</f>
        <v>-4.39410382049005</v>
      </c>
      <c r="M16" s="36" t="n">
        <v>1.87643185227669</v>
      </c>
      <c r="N16" s="36" t="n">
        <v>1.82074442156214</v>
      </c>
      <c r="O16" s="36" t="n">
        <f aca="false">SQRT(M16^2+N16^2)</f>
        <v>2.61459494853184</v>
      </c>
      <c r="P16" s="55" t="n">
        <f aca="false">IF(J16="","",MAX(0,J16-1.96*O16/100))</f>
        <v>0.38282437307921</v>
      </c>
      <c r="Q16" s="55" t="n">
        <f aca="false">IF(J16="","",MIN(1,J16+1.96*O16/100))</f>
        <v>0.485316495061658</v>
      </c>
      <c r="R16" s="32" t="str">
        <f aca="false">IF(L16="","",IF(ABS(L16)&lt;=O16,"Yes","No"))</f>
        <v>No</v>
      </c>
      <c r="S16" s="32" t="str">
        <f aca="false">IF(L16="","",IF(ABS(L16)&lt;=1.96*O16,"Yes","No"))</f>
        <v>Yes</v>
      </c>
      <c r="T16" s="54" t="n">
        <f aca="false">IF(D16="","",ROUND(SQRT(((D16+G16)*O16/100)^2+(J16*(D16+G16)*0.05402)^2),0))</f>
        <v>43</v>
      </c>
      <c r="U16" s="32" t="s">
        <v>393</v>
      </c>
    </row>
    <row r="17" customFormat="false" ht="15" hidden="false" customHeight="false" outlineLevel="0" collapsed="false">
      <c r="A17" s="32" t="s">
        <v>127</v>
      </c>
      <c r="B17" s="32" t="s">
        <v>148</v>
      </c>
      <c r="C17" s="32" t="s">
        <v>129</v>
      </c>
      <c r="D17" s="54" t="n">
        <v>132</v>
      </c>
      <c r="E17" s="54" t="n">
        <v>111</v>
      </c>
      <c r="F17" s="65" t="n">
        <f aca="false">IF(E17="","",D17-E17)</f>
        <v>21</v>
      </c>
      <c r="G17" s="54" t="n">
        <v>398</v>
      </c>
      <c r="H17" s="54" t="n">
        <v>372</v>
      </c>
      <c r="I17" s="65" t="n">
        <f aca="false">IF(H17="","",G17-H17)</f>
        <v>26</v>
      </c>
      <c r="J17" s="55" t="n">
        <f aca="false">IF(OR(D17="",D17+G17=0),"",D17/(D17+G17))</f>
        <v>0.249056603773585</v>
      </c>
      <c r="K17" s="55" t="n">
        <f aca="false">IF(E17="","",E17/(E17+H17))</f>
        <v>0.229813664596273</v>
      </c>
      <c r="L17" s="66" t="n">
        <f aca="false">IF(OR(K17="",J17=""),"",(J17-K17)*100)</f>
        <v>1.92429391773116</v>
      </c>
      <c r="M17" s="36" t="n">
        <v>3.17596089782572</v>
      </c>
      <c r="N17" s="36" t="n">
        <v>1.82074442156214</v>
      </c>
      <c r="O17" s="36" t="n">
        <f aca="false">SQRT(M17^2+N17^2)</f>
        <v>3.66085206928218</v>
      </c>
      <c r="P17" s="55" t="n">
        <f aca="false">IF(J17="","",MAX(0,J17-1.96*O17/100))</f>
        <v>0.177303903215654</v>
      </c>
      <c r="Q17" s="55" t="n">
        <f aca="false">IF(J17="","",MIN(1,J17+1.96*O17/100))</f>
        <v>0.320809304331516</v>
      </c>
      <c r="R17" s="32" t="str">
        <f aca="false">IF(L17="","",IF(ABS(L17)&lt;=O17,"Yes","No"))</f>
        <v>Yes</v>
      </c>
      <c r="S17" s="32" t="str">
        <f aca="false">IF(L17="","",IF(ABS(L17)&lt;=1.96*O17,"Yes","No"))</f>
        <v>Yes</v>
      </c>
      <c r="T17" s="54" t="n">
        <f aca="false">IF(D17="","",ROUND(SQRT(((D17+G17)*O17/100)^2+(J17*(D17+G17)*0.07067)^2),0))</f>
        <v>22</v>
      </c>
      <c r="U17" s="32" t="s">
        <v>393</v>
      </c>
    </row>
    <row r="18" customFormat="false" ht="15" hidden="false" customHeight="false" outlineLevel="0" collapsed="false">
      <c r="A18" s="32" t="s">
        <v>127</v>
      </c>
      <c r="B18" s="32" t="s">
        <v>149</v>
      </c>
      <c r="C18" s="32" t="s">
        <v>129</v>
      </c>
      <c r="D18" s="54" t="n">
        <v>799</v>
      </c>
      <c r="E18" s="54" t="n">
        <v>687</v>
      </c>
      <c r="F18" s="65" t="n">
        <f aca="false">IF(E18="","",D18-E18)</f>
        <v>112</v>
      </c>
      <c r="G18" s="54" t="n">
        <v>1034</v>
      </c>
      <c r="H18" s="54" t="n">
        <v>978</v>
      </c>
      <c r="I18" s="65" t="n">
        <f aca="false">IF(H18="","",G18-H18)</f>
        <v>56</v>
      </c>
      <c r="J18" s="55" t="n">
        <f aca="false">IF(OR(D18="",D18+G18=0),"",D18/(D18+G18))</f>
        <v>0.435897435897436</v>
      </c>
      <c r="K18" s="55" t="n">
        <f aca="false">IF(E18="","",E18/(E18+H18))</f>
        <v>0.412612612612613</v>
      </c>
      <c r="L18" s="66" t="n">
        <f aca="false">IF(OR(K18="",J18=""),"",(J18-K18)*100)</f>
        <v>2.32848232848233</v>
      </c>
      <c r="M18" s="36" t="n">
        <v>1.87643185227669</v>
      </c>
      <c r="N18" s="36" t="n">
        <v>1.82074442156214</v>
      </c>
      <c r="O18" s="36" t="n">
        <f aca="false">SQRT(M18^2+N18^2)</f>
        <v>2.61459494853184</v>
      </c>
      <c r="P18" s="55" t="n">
        <f aca="false">IF(J18="","",MAX(0,J18-1.96*O18/100))</f>
        <v>0.384651374906212</v>
      </c>
      <c r="Q18" s="55" t="n">
        <f aca="false">IF(J18="","",MIN(1,J18+1.96*O18/100))</f>
        <v>0.48714349688866</v>
      </c>
      <c r="R18" s="32" t="str">
        <f aca="false">IF(L18="","",IF(ABS(L18)&lt;=O18,"Yes","No"))</f>
        <v>Yes</v>
      </c>
      <c r="S18" s="32" t="str">
        <f aca="false">IF(L18="","",IF(ABS(L18)&lt;=1.96*O18,"Yes","No"))</f>
        <v>Yes</v>
      </c>
      <c r="T18" s="54" t="n">
        <f aca="false">IF(D18="","",ROUND(SQRT(((D18+G18)*O18/100)^2+(J18*(D18+G18)*0.05402)^2),0))</f>
        <v>64</v>
      </c>
      <c r="U18" s="32" t="s">
        <v>393</v>
      </c>
    </row>
    <row r="19" customFormat="false" ht="15" hidden="false" customHeight="false" outlineLevel="0" collapsed="false">
      <c r="A19" s="32" t="s">
        <v>127</v>
      </c>
      <c r="B19" s="32" t="s">
        <v>150</v>
      </c>
      <c r="C19" s="32" t="s">
        <v>129</v>
      </c>
      <c r="D19" s="54" t="n">
        <v>65</v>
      </c>
      <c r="E19" s="54" t="n">
        <v>53</v>
      </c>
      <c r="F19" s="65" t="n">
        <f aca="false">IF(E19="","",D19-E19)</f>
        <v>12</v>
      </c>
      <c r="G19" s="54" t="n">
        <v>111</v>
      </c>
      <c r="H19" s="54" t="n">
        <v>112</v>
      </c>
      <c r="I19" s="65" t="n">
        <f aca="false">IF(H19="","",G19-H19)</f>
        <v>-1</v>
      </c>
      <c r="J19" s="55" t="n">
        <f aca="false">IF(OR(D19="",D19+G19=0),"",D19/(D19+G19))</f>
        <v>0.369318181818182</v>
      </c>
      <c r="K19" s="55" t="n">
        <f aca="false">IF(E19="","",E19/(E19+H19))</f>
        <v>0.321212121212121</v>
      </c>
      <c r="L19" s="66" t="n">
        <f aca="false">IF(OR(K19="",J19=""),"",(J19-K19)*100)</f>
        <v>4.81060606060606</v>
      </c>
      <c r="M19" s="36" t="n">
        <v>3.17596089782572</v>
      </c>
      <c r="N19" s="36" t="n">
        <v>1.82074442156214</v>
      </c>
      <c r="O19" s="36" t="n">
        <f aca="false">SQRT(M19^2+N19^2)</f>
        <v>3.66085206928218</v>
      </c>
      <c r="P19" s="55" t="n">
        <f aca="false">IF(J19="","",MAX(0,J19-1.96*O19/100))</f>
        <v>0.297565481260251</v>
      </c>
      <c r="Q19" s="55" t="n">
        <f aca="false">IF(J19="","",MIN(1,J19+1.96*O19/100))</f>
        <v>0.441070882376113</v>
      </c>
      <c r="R19" s="32" t="str">
        <f aca="false">IF(L19="","",IF(ABS(L19)&lt;=O19,"Yes","No"))</f>
        <v>No</v>
      </c>
      <c r="S19" s="32" t="str">
        <f aca="false">IF(L19="","",IF(ABS(L19)&lt;=1.96*O19,"Yes","No"))</f>
        <v>Yes</v>
      </c>
      <c r="T19" s="54" t="n">
        <f aca="false">IF(D19="","",ROUND(SQRT(((D19+G19)*O19/100)^2+(J19*(D19+G19)*0.07067)^2),0))</f>
        <v>8</v>
      </c>
      <c r="U19" s="32" t="s">
        <v>393</v>
      </c>
    </row>
    <row r="20" customFormat="false" ht="15" hidden="false" customHeight="false" outlineLevel="0" collapsed="false">
      <c r="A20" s="32" t="s">
        <v>127</v>
      </c>
      <c r="B20" s="32" t="s">
        <v>151</v>
      </c>
      <c r="C20" s="32" t="s">
        <v>129</v>
      </c>
      <c r="D20" s="54" t="n">
        <v>1768</v>
      </c>
      <c r="E20" s="54" t="n">
        <v>1453</v>
      </c>
      <c r="F20" s="65" t="n">
        <f aca="false">IF(E20="","",D20-E20)</f>
        <v>315</v>
      </c>
      <c r="G20" s="54" t="n">
        <v>2424</v>
      </c>
      <c r="H20" s="54" t="n">
        <v>2080</v>
      </c>
      <c r="I20" s="65" t="n">
        <f aca="false">IF(H20="","",G20-H20)</f>
        <v>344</v>
      </c>
      <c r="J20" s="55" t="n">
        <f aca="false">IF(OR(D20="",D20+G20=0),"",D20/(D20+G20))</f>
        <v>0.42175572519084</v>
      </c>
      <c r="K20" s="55" t="n">
        <f aca="false">IF(E20="","",E20/(E20+H20))</f>
        <v>0.411265213699406</v>
      </c>
      <c r="L20" s="66" t="n">
        <f aca="false">IF(OR(K20="",J20=""),"",(J20-K20)*100)</f>
        <v>1.04905114914341</v>
      </c>
      <c r="M20" s="36" t="n">
        <v>1.44801768945541</v>
      </c>
      <c r="N20" s="36" t="n">
        <v>1.82074442156214</v>
      </c>
      <c r="O20" s="36" t="n">
        <f aca="false">SQRT(M20^2+N20^2)</f>
        <v>2.32634165109629</v>
      </c>
      <c r="P20" s="55" t="n">
        <f aca="false">IF(J20="","",MAX(0,J20-1.96*O20/100))</f>
        <v>0.376159428829352</v>
      </c>
      <c r="Q20" s="55" t="n">
        <f aca="false">IF(J20="","",MIN(1,J20+1.96*O20/100))</f>
        <v>0.467352021552327</v>
      </c>
      <c r="R20" s="32" t="str">
        <f aca="false">IF(L20="","",IF(ABS(L20)&lt;=O20,"Yes","No"))</f>
        <v>Yes</v>
      </c>
      <c r="S20" s="32" t="str">
        <f aca="false">IF(L20="","",IF(ABS(L20)&lt;=1.96*O20,"Yes","No"))</f>
        <v>Yes</v>
      </c>
      <c r="T20" s="54" t="n">
        <f aca="false">IF(D20="","",ROUND(SQRT(((D20+G20)*O20/100)^2+(J20*(D20+G20)*0.04632)^2),0))</f>
        <v>127</v>
      </c>
      <c r="U20" s="32" t="s">
        <v>393</v>
      </c>
    </row>
    <row r="21" customFormat="false" ht="15" hidden="false" customHeight="false" outlineLevel="0" collapsed="false">
      <c r="A21" s="32" t="s">
        <v>127</v>
      </c>
      <c r="B21" s="32" t="s">
        <v>153</v>
      </c>
      <c r="C21" s="32" t="s">
        <v>129</v>
      </c>
      <c r="D21" s="54" t="n">
        <v>558</v>
      </c>
      <c r="E21" s="54" t="n">
        <v>574</v>
      </c>
      <c r="F21" s="65" t="n">
        <f aca="false">IF(E21="","",D21-E21)</f>
        <v>-16</v>
      </c>
      <c r="G21" s="54" t="n">
        <v>668</v>
      </c>
      <c r="H21" s="54" t="n">
        <v>562</v>
      </c>
      <c r="I21" s="65" t="n">
        <f aca="false">IF(H21="","",G21-H21)</f>
        <v>106</v>
      </c>
      <c r="J21" s="55" t="n">
        <f aca="false">IF(OR(D21="",D21+G21=0),"",D21/(D21+G21))</f>
        <v>0.455138662316476</v>
      </c>
      <c r="K21" s="55" t="n">
        <f aca="false">IF(E21="","",E21/(E21+H21))</f>
        <v>0.505281690140845</v>
      </c>
      <c r="L21" s="66" t="n">
        <f aca="false">IF(OR(K21="",J21=""),"",(J21-K21)*100)</f>
        <v>-5.01430278243688</v>
      </c>
      <c r="M21" s="36" t="n">
        <v>1.87643185227669</v>
      </c>
      <c r="N21" s="36" t="n">
        <v>1.82074442156214</v>
      </c>
      <c r="O21" s="36" t="n">
        <f aca="false">SQRT(M21^2+N21^2)</f>
        <v>2.61459494853184</v>
      </c>
      <c r="P21" s="55" t="n">
        <f aca="false">IF(J21="","",MAX(0,J21-1.96*O21/100))</f>
        <v>0.403892601325252</v>
      </c>
      <c r="Q21" s="55" t="n">
        <f aca="false">IF(J21="","",MIN(1,J21+1.96*O21/100))</f>
        <v>0.5063847233077</v>
      </c>
      <c r="R21" s="32" t="str">
        <f aca="false">IF(L21="","",IF(ABS(L21)&lt;=O21,"Yes","No"))</f>
        <v>No</v>
      </c>
      <c r="S21" s="32" t="str">
        <f aca="false">IF(L21="","",IF(ABS(L21)&lt;=1.96*O21,"Yes","No"))</f>
        <v>Yes</v>
      </c>
      <c r="T21" s="54" t="n">
        <f aca="false">IF(D21="","",ROUND(SQRT(((D21+G21)*O21/100)^2+(J21*(D21+G21)*0.05402)^2),0))</f>
        <v>44</v>
      </c>
      <c r="U21" s="32" t="s">
        <v>393</v>
      </c>
    </row>
    <row r="22" customFormat="false" ht="15" hidden="false" customHeight="false" outlineLevel="0" collapsed="false">
      <c r="A22" s="32" t="s">
        <v>127</v>
      </c>
      <c r="B22" s="32" t="s">
        <v>154</v>
      </c>
      <c r="C22" s="32" t="s">
        <v>129</v>
      </c>
      <c r="D22" s="54" t="n">
        <v>723</v>
      </c>
      <c r="E22" s="54" t="n">
        <v>613</v>
      </c>
      <c r="F22" s="65" t="n">
        <f aca="false">IF(E22="","",D22-E22)</f>
        <v>110</v>
      </c>
      <c r="G22" s="54" t="n">
        <v>1295</v>
      </c>
      <c r="H22" s="54" t="n">
        <v>1136</v>
      </c>
      <c r="I22" s="65" t="n">
        <f aca="false">IF(H22="","",G22-H22)</f>
        <v>159</v>
      </c>
      <c r="J22" s="55" t="n">
        <f aca="false">IF(OR(D22="",D22+G22=0),"",D22/(D22+G22))</f>
        <v>0.358275520317146</v>
      </c>
      <c r="K22" s="55" t="n">
        <f aca="false">IF(E22="","",E22/(E22+H22))</f>
        <v>0.350485991995426</v>
      </c>
      <c r="L22" s="66" t="n">
        <f aca="false">IF(OR(K22="",J22=""),"",(J22-K22)*100)</f>
        <v>0.778952832171975</v>
      </c>
      <c r="M22" s="36" t="n">
        <v>1.87643185227669</v>
      </c>
      <c r="N22" s="36" t="n">
        <v>1.82074442156214</v>
      </c>
      <c r="O22" s="36" t="n">
        <f aca="false">SQRT(M22^2+N22^2)</f>
        <v>2.61459494853184</v>
      </c>
      <c r="P22" s="55" t="n">
        <f aca="false">IF(J22="","",MAX(0,J22-1.96*O22/100))</f>
        <v>0.307029459325922</v>
      </c>
      <c r="Q22" s="55" t="n">
        <f aca="false">IF(J22="","",MIN(1,J22+1.96*O22/100))</f>
        <v>0.40952158130837</v>
      </c>
      <c r="R22" s="32" t="str">
        <f aca="false">IF(L22="","",IF(ABS(L22)&lt;=O22,"Yes","No"))</f>
        <v>Yes</v>
      </c>
      <c r="S22" s="32" t="str">
        <f aca="false">IF(L22="","",IF(ABS(L22)&lt;=1.96*O22,"Yes","No"))</f>
        <v>Yes</v>
      </c>
      <c r="T22" s="54" t="n">
        <f aca="false">IF(D22="","",ROUND(SQRT(((D22+G22)*O22/100)^2+(J22*(D22+G22)*0.05402)^2),0))</f>
        <v>66</v>
      </c>
      <c r="U22" s="32" t="s">
        <v>393</v>
      </c>
    </row>
    <row r="23" customFormat="false" ht="15" hidden="false" customHeight="false" outlineLevel="0" collapsed="false">
      <c r="A23" s="32" t="s">
        <v>127</v>
      </c>
      <c r="B23" s="32" t="s">
        <v>155</v>
      </c>
      <c r="C23" s="32" t="s">
        <v>129</v>
      </c>
      <c r="D23" s="54" t="n">
        <v>306</v>
      </c>
      <c r="E23" s="54" t="n">
        <v>273</v>
      </c>
      <c r="F23" s="65" t="n">
        <f aca="false">IF(E23="","",D23-E23)</f>
        <v>33</v>
      </c>
      <c r="G23" s="54" t="n">
        <v>592</v>
      </c>
      <c r="H23" s="54" t="n">
        <v>574</v>
      </c>
      <c r="I23" s="65" t="n">
        <f aca="false">IF(H23="","",G23-H23)</f>
        <v>18</v>
      </c>
      <c r="J23" s="55" t="n">
        <f aca="false">IF(OR(D23="",D23+G23=0),"",D23/(D23+G23))</f>
        <v>0.34075723830735</v>
      </c>
      <c r="K23" s="55" t="n">
        <f aca="false">IF(E23="","",E23/(E23+H23))</f>
        <v>0.322314049586777</v>
      </c>
      <c r="L23" s="66" t="n">
        <f aca="false">IF(OR(K23="",J23=""),"",(J23-K23)*100)</f>
        <v>1.84431887205728</v>
      </c>
      <c r="M23" s="36" t="n">
        <v>3.17596089782572</v>
      </c>
      <c r="N23" s="36" t="n">
        <v>1.82074442156214</v>
      </c>
      <c r="O23" s="36" t="n">
        <f aca="false">SQRT(M23^2+N23^2)</f>
        <v>3.66085206928218</v>
      </c>
      <c r="P23" s="55" t="n">
        <f aca="false">IF(J23="","",MAX(0,J23-1.96*O23/100))</f>
        <v>0.269004537749419</v>
      </c>
      <c r="Q23" s="55" t="n">
        <f aca="false">IF(J23="","",MIN(1,J23+1.96*O23/100))</f>
        <v>0.41250993886528</v>
      </c>
      <c r="R23" s="32" t="str">
        <f aca="false">IF(L23="","",IF(ABS(L23)&lt;=O23,"Yes","No"))</f>
        <v>Yes</v>
      </c>
      <c r="S23" s="32" t="str">
        <f aca="false">IF(L23="","",IF(ABS(L23)&lt;=1.96*O23,"Yes","No"))</f>
        <v>Yes</v>
      </c>
      <c r="T23" s="54" t="n">
        <f aca="false">IF(D23="","",ROUND(SQRT(((D23+G23)*O23/100)^2+(J23*(D23+G23)*0.07067)^2),0))</f>
        <v>39</v>
      </c>
      <c r="U23" s="32" t="s">
        <v>393</v>
      </c>
    </row>
    <row r="24" customFormat="false" ht="15" hidden="false" customHeight="false" outlineLevel="0" collapsed="false">
      <c r="A24" s="32" t="s">
        <v>127</v>
      </c>
      <c r="B24" s="32" t="s">
        <v>156</v>
      </c>
      <c r="C24" s="32" t="s">
        <v>129</v>
      </c>
      <c r="D24" s="54" t="n">
        <v>46</v>
      </c>
      <c r="E24" s="54" t="n">
        <v>50</v>
      </c>
      <c r="F24" s="65" t="n">
        <f aca="false">IF(E24="","",D24-E24)</f>
        <v>-4</v>
      </c>
      <c r="G24" s="54" t="n">
        <v>60</v>
      </c>
      <c r="H24" s="54" t="n">
        <v>48</v>
      </c>
      <c r="I24" s="65" t="n">
        <f aca="false">IF(H24="","",G24-H24)</f>
        <v>12</v>
      </c>
      <c r="J24" s="55" t="n">
        <f aca="false">IF(OR(D24="",D24+G24=0),"",D24/(D24+G24))</f>
        <v>0.433962264150943</v>
      </c>
      <c r="K24" s="55" t="n">
        <f aca="false">IF(E24="","",E24/(E24+H24))</f>
        <v>0.510204081632653</v>
      </c>
      <c r="L24" s="66" t="n">
        <f aca="false">IF(OR(K24="",J24=""),"",(J24-K24)*100)</f>
        <v>-7.62418174817097</v>
      </c>
      <c r="M24" s="36" t="n">
        <v>3.17596089782572</v>
      </c>
      <c r="N24" s="36" t="n">
        <v>1.82074442156214</v>
      </c>
      <c r="O24" s="36" t="n">
        <f aca="false">SQRT(M24^2+N24^2)</f>
        <v>3.66085206928218</v>
      </c>
      <c r="P24" s="55" t="n">
        <f aca="false">IF(J24="","",MAX(0,J24-1.96*O24/100))</f>
        <v>0.362209563593013</v>
      </c>
      <c r="Q24" s="55" t="n">
        <f aca="false">IF(J24="","",MIN(1,J24+1.96*O24/100))</f>
        <v>0.505714964708874</v>
      </c>
      <c r="R24" s="32" t="str">
        <f aca="false">IF(L24="","",IF(ABS(L24)&lt;=O24,"Yes","No"))</f>
        <v>No</v>
      </c>
      <c r="S24" s="32" t="str">
        <f aca="false">IF(L24="","",IF(ABS(L24)&lt;=1.96*O24,"Yes","No"))</f>
        <v>No</v>
      </c>
      <c r="T24" s="54" t="n">
        <f aca="false">IF(D24="","",ROUND(SQRT(((D24+G24)*O24/100)^2+(J24*(D24+G24)*0.07067)^2),0))</f>
        <v>5</v>
      </c>
      <c r="U24" s="32" t="s">
        <v>393</v>
      </c>
    </row>
    <row r="25" customFormat="false" ht="15" hidden="false" customHeight="false" outlineLevel="0" collapsed="false">
      <c r="A25" s="32" t="s">
        <v>157</v>
      </c>
      <c r="B25" s="32" t="s">
        <v>158</v>
      </c>
      <c r="C25" s="32" t="s">
        <v>129</v>
      </c>
      <c r="D25" s="54" t="n">
        <v>474</v>
      </c>
      <c r="E25" s="54" t="n">
        <v>454</v>
      </c>
      <c r="F25" s="65" t="n">
        <f aca="false">IF(E25="","",D25-E25)</f>
        <v>20</v>
      </c>
      <c r="G25" s="54" t="n">
        <v>466</v>
      </c>
      <c r="H25" s="54" t="n">
        <v>406</v>
      </c>
      <c r="I25" s="65" t="n">
        <f aca="false">IF(H25="","",G25-H25)</f>
        <v>60</v>
      </c>
      <c r="J25" s="55" t="n">
        <f aca="false">IF(OR(D25="",D25+G25=0),"",D25/(D25+G25))</f>
        <v>0.504255319148936</v>
      </c>
      <c r="K25" s="55" t="n">
        <f aca="false">IF(E25="","",E25/(E25+H25))</f>
        <v>0.527906976744186</v>
      </c>
      <c r="L25" s="66" t="n">
        <f aca="false">IF(OR(K25="",J25=""),"",(J25-K25)*100)</f>
        <v>-2.36516575952499</v>
      </c>
      <c r="M25" s="36" t="n">
        <v>3.17596089782572</v>
      </c>
      <c r="N25" s="36" t="n">
        <v>1.82074442156214</v>
      </c>
      <c r="O25" s="36" t="n">
        <f aca="false">SQRT(M25^2+N25^2)</f>
        <v>3.66085206928218</v>
      </c>
      <c r="P25" s="55" t="n">
        <f aca="false">IF(J25="","",MAX(0,J25-1.96*O25/100))</f>
        <v>0.432502618591005</v>
      </c>
      <c r="Q25" s="55" t="n">
        <f aca="false">IF(J25="","",MIN(1,J25+1.96*O25/100))</f>
        <v>0.576008019706867</v>
      </c>
      <c r="R25" s="32" t="str">
        <f aca="false">IF(L25="","",IF(ABS(L25)&lt;=O25,"Yes","No"))</f>
        <v>Yes</v>
      </c>
      <c r="S25" s="32" t="str">
        <f aca="false">IF(L25="","",IF(ABS(L25)&lt;=1.96*O25,"Yes","No"))</f>
        <v>Yes</v>
      </c>
      <c r="T25" s="54" t="n">
        <f aca="false">IF(D25="","",ROUND(SQRT(((D25+G25)*O25/100)^2+(J25*(D25+G25)*0.07067)^2),0))</f>
        <v>48</v>
      </c>
      <c r="U25" s="32"/>
    </row>
    <row r="26" customFormat="false" ht="15" hidden="false" customHeight="false" outlineLevel="0" collapsed="false">
      <c r="A26" s="32" t="s">
        <v>157</v>
      </c>
      <c r="B26" s="32" t="s">
        <v>159</v>
      </c>
      <c r="C26" s="32" t="s">
        <v>129</v>
      </c>
      <c r="D26" s="54" t="n">
        <v>17252</v>
      </c>
      <c r="E26" s="54" t="n">
        <v>19919</v>
      </c>
      <c r="F26" s="65" t="n">
        <f aca="false">IF(E26="","",D26-E26)</f>
        <v>-2667</v>
      </c>
      <c r="G26" s="54" t="n">
        <v>8074</v>
      </c>
      <c r="H26" s="54" t="n">
        <v>7341</v>
      </c>
      <c r="I26" s="65" t="n">
        <f aca="false">IF(H26="","",G26-H26)</f>
        <v>733</v>
      </c>
      <c r="J26" s="55" t="n">
        <f aca="false">IF(OR(D26="",D26+G26=0),"",D26/(D26+G26))</f>
        <v>0.681197188659875</v>
      </c>
      <c r="K26" s="55" t="n">
        <f aca="false">IF(E26="","",E26/(E26+H26))</f>
        <v>0.73070432868672</v>
      </c>
      <c r="L26" s="66" t="n">
        <f aca="false">IF(OR(K26="",J26=""),"",(J26-K26)*100)</f>
        <v>-4.95071400268452</v>
      </c>
      <c r="M26" s="36" t="n">
        <v>1.44801768945541</v>
      </c>
      <c r="N26" s="36" t="n">
        <v>1.82074442156214</v>
      </c>
      <c r="O26" s="36" t="n">
        <f aca="false">SQRT(M26^2+N26^2)</f>
        <v>2.32634165109629</v>
      </c>
      <c r="P26" s="55" t="n">
        <f aca="false">IF(J26="","",MAX(0,J26-1.96*O26/100))</f>
        <v>0.635600892298388</v>
      </c>
      <c r="Q26" s="55" t="n">
        <f aca="false">IF(J26="","",MIN(1,J26+1.96*O26/100))</f>
        <v>0.726793485021363</v>
      </c>
      <c r="R26" s="32" t="str">
        <f aca="false">IF(L26="","",IF(ABS(L26)&lt;=O26,"Yes","No"))</f>
        <v>No</v>
      </c>
      <c r="S26" s="32" t="str">
        <f aca="false">IF(L26="","",IF(ABS(L26)&lt;=1.96*O26,"Yes","No"))</f>
        <v>No</v>
      </c>
      <c r="T26" s="54" t="n">
        <f aca="false">IF(D26="","",ROUND(SQRT(((D26+G26)*O26/100)^2+(J26*(D26+G26)*0.04632)^2),0))</f>
        <v>993</v>
      </c>
      <c r="U26" s="32"/>
    </row>
    <row r="27" customFormat="false" ht="15" hidden="false" customHeight="false" outlineLevel="0" collapsed="false">
      <c r="A27" s="32" t="s">
        <v>157</v>
      </c>
      <c r="B27" s="32" t="s">
        <v>160</v>
      </c>
      <c r="C27" s="32" t="s">
        <v>129</v>
      </c>
      <c r="D27" s="54" t="n">
        <v>4667</v>
      </c>
      <c r="E27" s="54" t="n">
        <v>4700</v>
      </c>
      <c r="F27" s="65" t="n">
        <f aca="false">IF(E27="","",D27-E27)</f>
        <v>-33</v>
      </c>
      <c r="G27" s="54" t="n">
        <v>2684</v>
      </c>
      <c r="H27" s="54" t="n">
        <v>2300</v>
      </c>
      <c r="I27" s="65" t="n">
        <f aca="false">IF(H27="","",G27-H27)</f>
        <v>384</v>
      </c>
      <c r="J27" s="55" t="n">
        <f aca="false">IF(OR(D27="",D27+G27=0),"",D27/(D27+G27))</f>
        <v>0.634879608216569</v>
      </c>
      <c r="K27" s="55" t="n">
        <f aca="false">IF(E27="","",E27/(E27+H27))</f>
        <v>0.671428571428571</v>
      </c>
      <c r="L27" s="66" t="n">
        <f aca="false">IF(OR(K27="",J27=""),"",(J27-K27)*100)</f>
        <v>-3.65489632120022</v>
      </c>
      <c r="M27" s="36" t="n">
        <v>1.44801768945541</v>
      </c>
      <c r="N27" s="36" t="n">
        <v>1.82074442156214</v>
      </c>
      <c r="O27" s="36" t="n">
        <f aca="false">SQRT(M27^2+N27^2)</f>
        <v>2.32634165109629</v>
      </c>
      <c r="P27" s="55" t="n">
        <f aca="false">IF(J27="","",MAX(0,J27-1.96*O27/100))</f>
        <v>0.589283311855082</v>
      </c>
      <c r="Q27" s="55" t="n">
        <f aca="false">IF(J27="","",MIN(1,J27+1.96*O27/100))</f>
        <v>0.680475904578057</v>
      </c>
      <c r="R27" s="32" t="str">
        <f aca="false">IF(L27="","",IF(ABS(L27)&lt;=O27,"Yes","No"))</f>
        <v>No</v>
      </c>
      <c r="S27" s="32" t="str">
        <f aca="false">IF(L27="","",IF(ABS(L27)&lt;=1.96*O27,"Yes","No"))</f>
        <v>Yes</v>
      </c>
      <c r="T27" s="54" t="n">
        <f aca="false">IF(D27="","",ROUND(SQRT(((D27+G27)*O27/100)^2+(J27*(D27+G27)*0.04632)^2),0))</f>
        <v>276</v>
      </c>
      <c r="U27" s="32"/>
    </row>
    <row r="28" customFormat="false" ht="15" hidden="false" customHeight="false" outlineLevel="0" collapsed="false">
      <c r="A28" s="32" t="s">
        <v>157</v>
      </c>
      <c r="B28" s="32" t="s">
        <v>161</v>
      </c>
      <c r="C28" s="32" t="s">
        <v>129</v>
      </c>
      <c r="D28" s="54" t="n">
        <v>1121</v>
      </c>
      <c r="E28" s="54" t="n">
        <v>1137</v>
      </c>
      <c r="F28" s="65" t="n">
        <f aca="false">IF(E28="","",D28-E28)</f>
        <v>-16</v>
      </c>
      <c r="G28" s="54" t="n">
        <v>901</v>
      </c>
      <c r="H28" s="54" t="n">
        <v>821</v>
      </c>
      <c r="I28" s="65" t="n">
        <f aca="false">IF(H28="","",G28-H28)</f>
        <v>80</v>
      </c>
      <c r="J28" s="55" t="n">
        <f aca="false">IF(OR(D28="",D28+G28=0),"",D28/(D28+G28))</f>
        <v>0.554401582591494</v>
      </c>
      <c r="K28" s="55" t="n">
        <f aca="false">IF(E28="","",E28/(E28+H28))</f>
        <v>0.580694586312564</v>
      </c>
      <c r="L28" s="66" t="n">
        <f aca="false">IF(OR(K28="",J28=""),"",(J28-K28)*100)</f>
        <v>-2.62930037210704</v>
      </c>
      <c r="M28" s="36" t="n">
        <v>1.87643185227669</v>
      </c>
      <c r="N28" s="36" t="n">
        <v>1.82074442156214</v>
      </c>
      <c r="O28" s="36" t="n">
        <f aca="false">SQRT(M28^2+N28^2)</f>
        <v>2.61459494853184</v>
      </c>
      <c r="P28" s="55" t="n">
        <f aca="false">IF(J28="","",MAX(0,J28-1.96*O28/100))</f>
        <v>0.50315552160027</v>
      </c>
      <c r="Q28" s="55" t="n">
        <f aca="false">IF(J28="","",MIN(1,J28+1.96*O28/100))</f>
        <v>0.605647643582718</v>
      </c>
      <c r="R28" s="32" t="str">
        <f aca="false">IF(L28="","",IF(ABS(L28)&lt;=O28,"Yes","No"))</f>
        <v>No</v>
      </c>
      <c r="S28" s="32" t="str">
        <f aca="false">IF(L28="","",IF(ABS(L28)&lt;=1.96*O28,"Yes","No"))</f>
        <v>Yes</v>
      </c>
      <c r="T28" s="54" t="n">
        <f aca="false">IF(D28="","",ROUND(SQRT(((D28+G28)*O28/100)^2+(J28*(D28+G28)*0.05402)^2),0))</f>
        <v>80</v>
      </c>
      <c r="U28" s="32"/>
    </row>
    <row r="29" customFormat="false" ht="15" hidden="false" customHeight="false" outlineLevel="0" collapsed="false">
      <c r="A29" s="32" t="s">
        <v>157</v>
      </c>
      <c r="B29" s="32" t="s">
        <v>162</v>
      </c>
      <c r="C29" s="32" t="s">
        <v>129</v>
      </c>
      <c r="D29" s="54" t="n">
        <v>502</v>
      </c>
      <c r="E29" s="54" t="n">
        <v>513</v>
      </c>
      <c r="F29" s="65" t="n">
        <f aca="false">IF(E29="","",D29-E29)</f>
        <v>-11</v>
      </c>
      <c r="G29" s="54" t="n">
        <v>574</v>
      </c>
      <c r="H29" s="54" t="n">
        <v>446</v>
      </c>
      <c r="I29" s="65" t="n">
        <f aca="false">IF(H29="","",G29-H29)</f>
        <v>128</v>
      </c>
      <c r="J29" s="55" t="n">
        <f aca="false">IF(OR(D29="",D29+G29=0),"",D29/(D29+G29))</f>
        <v>0.466542750929368</v>
      </c>
      <c r="K29" s="55" t="n">
        <f aca="false">IF(E29="","",E29/(E29+H29))</f>
        <v>0.534932221063608</v>
      </c>
      <c r="L29" s="66" t="n">
        <f aca="false">IF(OR(K29="",J29=""),"",(J29-K29)*100)</f>
        <v>-6.83894701342399</v>
      </c>
      <c r="M29" s="36" t="n">
        <v>3.17596089782572</v>
      </c>
      <c r="N29" s="36" t="n">
        <v>1.82074442156214</v>
      </c>
      <c r="O29" s="36" t="n">
        <f aca="false">SQRT(M29^2+N29^2)</f>
        <v>3.66085206928218</v>
      </c>
      <c r="P29" s="55" t="n">
        <f aca="false">IF(J29="","",MAX(0,J29-1.96*O29/100))</f>
        <v>0.394790050371437</v>
      </c>
      <c r="Q29" s="55" t="n">
        <f aca="false">IF(J29="","",MIN(1,J29+1.96*O29/100))</f>
        <v>0.538295451487299</v>
      </c>
      <c r="R29" s="32" t="str">
        <f aca="false">IF(L29="","",IF(ABS(L29)&lt;=O29,"Yes","No"))</f>
        <v>No</v>
      </c>
      <c r="S29" s="32" t="str">
        <f aca="false">IF(L29="","",IF(ABS(L29)&lt;=1.96*O29,"Yes","No"))</f>
        <v>Yes</v>
      </c>
      <c r="T29" s="54" t="n">
        <f aca="false">IF(D29="","",ROUND(SQRT(((D29+G29)*O29/100)^2+(J29*(D29+G29)*0.07067)^2),0))</f>
        <v>53</v>
      </c>
      <c r="U29" s="32"/>
    </row>
    <row r="30" customFormat="false" ht="15" hidden="false" customHeight="false" outlineLevel="0" collapsed="false">
      <c r="A30" s="32" t="s">
        <v>157</v>
      </c>
      <c r="B30" s="32" t="s">
        <v>163</v>
      </c>
      <c r="C30" s="32" t="s">
        <v>129</v>
      </c>
      <c r="D30" s="54" t="n">
        <v>662</v>
      </c>
      <c r="E30" s="54" t="n">
        <v>660</v>
      </c>
      <c r="F30" s="65" t="n">
        <f aca="false">IF(E30="","",D30-E30)</f>
        <v>2</v>
      </c>
      <c r="G30" s="54" t="n">
        <v>549</v>
      </c>
      <c r="H30" s="54" t="n">
        <v>515</v>
      </c>
      <c r="I30" s="65" t="n">
        <f aca="false">IF(H30="","",G30-H30)</f>
        <v>34</v>
      </c>
      <c r="J30" s="55" t="n">
        <f aca="false">IF(OR(D30="",D30+G30=0),"",D30/(D30+G30))</f>
        <v>0.546655656482246</v>
      </c>
      <c r="K30" s="55" t="n">
        <f aca="false">IF(E30="","",E30/(E30+H30))</f>
        <v>0.561702127659575</v>
      </c>
      <c r="L30" s="66" t="n">
        <f aca="false">IF(OR(K30="",J30=""),"",(J30-K30)*100)</f>
        <v>-1.50464711773284</v>
      </c>
      <c r="M30" s="36" t="n">
        <v>1.87643185227669</v>
      </c>
      <c r="N30" s="36" t="n">
        <v>1.82074442156214</v>
      </c>
      <c r="O30" s="36" t="n">
        <f aca="false">SQRT(M30^2+N30^2)</f>
        <v>2.61459494853184</v>
      </c>
      <c r="P30" s="55" t="n">
        <f aca="false">IF(J30="","",MAX(0,J30-1.96*O30/100))</f>
        <v>0.495409595491022</v>
      </c>
      <c r="Q30" s="55" t="n">
        <f aca="false">IF(J30="","",MIN(1,J30+1.96*O30/100))</f>
        <v>0.59790171747347</v>
      </c>
      <c r="R30" s="32" t="str">
        <f aca="false">IF(L30="","",IF(ABS(L30)&lt;=O30,"Yes","No"))</f>
        <v>Yes</v>
      </c>
      <c r="S30" s="32" t="str">
        <f aca="false">IF(L30="","",IF(ABS(L30)&lt;=1.96*O30,"Yes","No"))</f>
        <v>Yes</v>
      </c>
      <c r="T30" s="54" t="n">
        <f aca="false">IF(D30="","",ROUND(SQRT(((D30+G30)*O30/100)^2+(J30*(D30+G30)*0.05402)^2),0))</f>
        <v>48</v>
      </c>
      <c r="U30" s="32"/>
    </row>
    <row r="31" customFormat="false" ht="15" hidden="false" customHeight="false" outlineLevel="0" collapsed="false">
      <c r="A31" s="32" t="s">
        <v>157</v>
      </c>
      <c r="B31" s="32" t="s">
        <v>164</v>
      </c>
      <c r="C31" s="32" t="s">
        <v>129</v>
      </c>
      <c r="D31" s="54" t="n">
        <v>2608</v>
      </c>
      <c r="E31" s="54" t="n">
        <v>2434</v>
      </c>
      <c r="F31" s="65" t="n">
        <f aca="false">IF(E31="","",D31-E31)</f>
        <v>174</v>
      </c>
      <c r="G31" s="54" t="n">
        <v>2126</v>
      </c>
      <c r="H31" s="54" t="n">
        <v>1955</v>
      </c>
      <c r="I31" s="65" t="n">
        <f aca="false">IF(H31="","",G31-H31)</f>
        <v>171</v>
      </c>
      <c r="J31" s="55" t="n">
        <f aca="false">IF(OR(D31="",D31+G31=0),"",D31/(D31+G31))</f>
        <v>0.550908322771441</v>
      </c>
      <c r="K31" s="55" t="n">
        <f aca="false">IF(E31="","",E31/(E31+H31))</f>
        <v>0.554568238778765</v>
      </c>
      <c r="L31" s="66" t="n">
        <f aca="false">IF(OR(K31="",J31=""),"",(J31-K31)*100)</f>
        <v>-0.36599160073244</v>
      </c>
      <c r="M31" s="36" t="n">
        <v>1.44801768945541</v>
      </c>
      <c r="N31" s="36" t="n">
        <v>1.82074442156214</v>
      </c>
      <c r="O31" s="36" t="n">
        <f aca="false">SQRT(M31^2+N31^2)</f>
        <v>2.32634165109629</v>
      </c>
      <c r="P31" s="55" t="n">
        <f aca="false">IF(J31="","",MAX(0,J31-1.96*O31/100))</f>
        <v>0.505312026409953</v>
      </c>
      <c r="Q31" s="55" t="n">
        <f aca="false">IF(J31="","",MIN(1,J31+1.96*O31/100))</f>
        <v>0.596504619132928</v>
      </c>
      <c r="R31" s="32" t="str">
        <f aca="false">IF(L31="","",IF(ABS(L31)&lt;=O31,"Yes","No"))</f>
        <v>Yes</v>
      </c>
      <c r="S31" s="32" t="str">
        <f aca="false">IF(L31="","",IF(ABS(L31)&lt;=1.96*O31,"Yes","No"))</f>
        <v>Yes</v>
      </c>
      <c r="T31" s="54" t="n">
        <f aca="false">IF(D31="","",ROUND(SQRT(((D31+G31)*O31/100)^2+(J31*(D31+G31)*0.04632)^2),0))</f>
        <v>163</v>
      </c>
      <c r="U31" s="32"/>
    </row>
    <row r="32" customFormat="false" ht="15" hidden="false" customHeight="false" outlineLevel="0" collapsed="false">
      <c r="A32" s="32" t="s">
        <v>157</v>
      </c>
      <c r="B32" s="32" t="s">
        <v>165</v>
      </c>
      <c r="C32" s="32" t="s">
        <v>129</v>
      </c>
      <c r="D32" s="54" t="n">
        <v>931</v>
      </c>
      <c r="E32" s="54" t="n">
        <v>1077</v>
      </c>
      <c r="F32" s="65" t="n">
        <f aca="false">IF(E32="","",D32-E32)</f>
        <v>-146</v>
      </c>
      <c r="G32" s="54" t="n">
        <v>546</v>
      </c>
      <c r="H32" s="54" t="n">
        <v>463</v>
      </c>
      <c r="I32" s="65" t="n">
        <f aca="false">IF(H32="","",G32-H32)</f>
        <v>83</v>
      </c>
      <c r="J32" s="55" t="n">
        <f aca="false">IF(OR(D32="",D32+G32=0),"",D32/(D32+G32))</f>
        <v>0.630331753554502</v>
      </c>
      <c r="K32" s="55" t="n">
        <f aca="false">IF(E32="","",E32/(E32+H32))</f>
        <v>0.699350649350649</v>
      </c>
      <c r="L32" s="66" t="n">
        <f aca="false">IF(OR(K32="",J32=""),"",(J32-K32)*100)</f>
        <v>-6.90188957961471</v>
      </c>
      <c r="M32" s="36" t="n">
        <v>1.87643185227669</v>
      </c>
      <c r="N32" s="36" t="n">
        <v>1.82074442156214</v>
      </c>
      <c r="O32" s="36" t="n">
        <f aca="false">SQRT(M32^2+N32^2)</f>
        <v>2.61459494853184</v>
      </c>
      <c r="P32" s="55" t="n">
        <f aca="false">IF(J32="","",MAX(0,J32-1.96*O32/100))</f>
        <v>0.579085692563278</v>
      </c>
      <c r="Q32" s="55" t="n">
        <f aca="false">IF(J32="","",MIN(1,J32+1.96*O32/100))</f>
        <v>0.681577814545726</v>
      </c>
      <c r="R32" s="32" t="str">
        <f aca="false">IF(L32="","",IF(ABS(L32)&lt;=O32,"Yes","No"))</f>
        <v>No</v>
      </c>
      <c r="S32" s="32" t="str">
        <f aca="false">IF(L32="","",IF(ABS(L32)&lt;=1.96*O32,"Yes","No"))</f>
        <v>No</v>
      </c>
      <c r="T32" s="54" t="n">
        <f aca="false">IF(D32="","",ROUND(SQRT(((D32+G32)*O32/100)^2+(J32*(D32+G32)*0.05402)^2),0))</f>
        <v>63</v>
      </c>
      <c r="U32" s="32"/>
    </row>
    <row r="33" customFormat="false" ht="15" hidden="false" customHeight="false" outlineLevel="0" collapsed="false">
      <c r="A33" s="32" t="s">
        <v>157</v>
      </c>
      <c r="B33" s="32" t="s">
        <v>166</v>
      </c>
      <c r="C33" s="32" t="s">
        <v>129</v>
      </c>
      <c r="D33" s="54" t="n">
        <v>273</v>
      </c>
      <c r="E33" s="54" t="n">
        <v>294</v>
      </c>
      <c r="F33" s="65" t="n">
        <f aca="false">IF(E33="","",D33-E33)</f>
        <v>-21</v>
      </c>
      <c r="G33" s="54" t="n">
        <v>197</v>
      </c>
      <c r="H33" s="54" t="n">
        <v>198</v>
      </c>
      <c r="I33" s="65" t="n">
        <f aca="false">IF(H33="","",G33-H33)</f>
        <v>-1</v>
      </c>
      <c r="J33" s="55" t="n">
        <f aca="false">IF(OR(D33="",D33+G33=0),"",D33/(D33+G33))</f>
        <v>0.580851063829787</v>
      </c>
      <c r="K33" s="55" t="n">
        <f aca="false">IF(E33="","",E33/(E33+H33))</f>
        <v>0.597560975609756</v>
      </c>
      <c r="L33" s="66" t="n">
        <f aca="false">IF(OR(K33="",J33=""),"",(J33-K33)*100)</f>
        <v>-1.67099117799688</v>
      </c>
      <c r="M33" s="36" t="n">
        <v>3.17596089782572</v>
      </c>
      <c r="N33" s="36" t="n">
        <v>1.82074442156214</v>
      </c>
      <c r="O33" s="36" t="n">
        <f aca="false">SQRT(M33^2+N33^2)</f>
        <v>3.66085206928218</v>
      </c>
      <c r="P33" s="55" t="n">
        <f aca="false">IF(J33="","",MAX(0,J33-1.96*O33/100))</f>
        <v>0.509098363271857</v>
      </c>
      <c r="Q33" s="55" t="n">
        <f aca="false">IF(J33="","",MIN(1,J33+1.96*O33/100))</f>
        <v>0.652603764387718</v>
      </c>
      <c r="R33" s="32" t="str">
        <f aca="false">IF(L33="","",IF(ABS(L33)&lt;=O33,"Yes","No"))</f>
        <v>Yes</v>
      </c>
      <c r="S33" s="32" t="str">
        <f aca="false">IF(L33="","",IF(ABS(L33)&lt;=1.96*O33,"Yes","No"))</f>
        <v>Yes</v>
      </c>
      <c r="T33" s="54" t="n">
        <f aca="false">IF(D33="","",ROUND(SQRT(((D33+G33)*O33/100)^2+(J33*(D33+G33)*0.07067)^2),0))</f>
        <v>26</v>
      </c>
      <c r="U33" s="32"/>
    </row>
    <row r="34" customFormat="false" ht="15" hidden="false" customHeight="false" outlineLevel="0" collapsed="false">
      <c r="A34" s="32" t="s">
        <v>157</v>
      </c>
      <c r="B34" s="32" t="s">
        <v>167</v>
      </c>
      <c r="C34" s="32" t="s">
        <v>129</v>
      </c>
      <c r="D34" s="54" t="n">
        <v>503</v>
      </c>
      <c r="E34" s="54" t="n">
        <v>498</v>
      </c>
      <c r="F34" s="65" t="n">
        <f aca="false">IF(E34="","",D34-E34)</f>
        <v>5</v>
      </c>
      <c r="G34" s="54" t="n">
        <v>990</v>
      </c>
      <c r="H34" s="54" t="n">
        <v>876</v>
      </c>
      <c r="I34" s="65" t="n">
        <f aca="false">IF(H34="","",G34-H34)</f>
        <v>114</v>
      </c>
      <c r="J34" s="55" t="n">
        <f aca="false">IF(OR(D34="",D34+G34=0),"",D34/(D34+G34))</f>
        <v>0.336905559276624</v>
      </c>
      <c r="K34" s="55" t="n">
        <f aca="false">IF(E34="","",E34/(E34+H34))</f>
        <v>0.362445414847162</v>
      </c>
      <c r="L34" s="66" t="n">
        <f aca="false">IF(OR(K34="",J34=""),"",(J34-K34)*100)</f>
        <v>-2.55398555705373</v>
      </c>
      <c r="M34" s="36" t="n">
        <v>1.87643185227669</v>
      </c>
      <c r="N34" s="36" t="n">
        <v>1.82074442156214</v>
      </c>
      <c r="O34" s="36" t="n">
        <f aca="false">SQRT(M34^2+N34^2)</f>
        <v>2.61459494853184</v>
      </c>
      <c r="P34" s="55" t="n">
        <f aca="false">IF(J34="","",MAX(0,J34-1.96*O34/100))</f>
        <v>0.2856594982854</v>
      </c>
      <c r="Q34" s="55" t="n">
        <f aca="false">IF(J34="","",MIN(1,J34+1.96*O34/100))</f>
        <v>0.388151620267848</v>
      </c>
      <c r="R34" s="32" t="str">
        <f aca="false">IF(L34="","",IF(ABS(L34)&lt;=O34,"Yes","No"))</f>
        <v>Yes</v>
      </c>
      <c r="S34" s="32" t="str">
        <f aca="false">IF(L34="","",IF(ABS(L34)&lt;=1.96*O34,"Yes","No"))</f>
        <v>Yes</v>
      </c>
      <c r="T34" s="54" t="n">
        <f aca="false">IF(D34="","",ROUND(SQRT(((D34+G34)*O34/100)^2+(J34*(D34+G34)*0.05402)^2),0))</f>
        <v>48</v>
      </c>
      <c r="U34" s="32"/>
    </row>
    <row r="35" customFormat="false" ht="15" hidden="false" customHeight="false" outlineLevel="0" collapsed="false">
      <c r="A35" s="32" t="s">
        <v>157</v>
      </c>
      <c r="B35" s="32" t="s">
        <v>168</v>
      </c>
      <c r="C35" s="32" t="s">
        <v>129</v>
      </c>
      <c r="D35" s="54" t="n">
        <v>7885</v>
      </c>
      <c r="E35" s="54" t="n">
        <v>7236</v>
      </c>
      <c r="F35" s="65" t="n">
        <f aca="false">IF(E35="","",D35-E35)</f>
        <v>649</v>
      </c>
      <c r="G35" s="54" t="n">
        <v>7030</v>
      </c>
      <c r="H35" s="54" t="n">
        <v>6846</v>
      </c>
      <c r="I35" s="65" t="n">
        <f aca="false">IF(H35="","",G35-H35)</f>
        <v>184</v>
      </c>
      <c r="J35" s="55" t="n">
        <f aca="false">IF(OR(D35="",D35+G35=0),"",D35/(D35+G35))</f>
        <v>0.528662420382166</v>
      </c>
      <c r="K35" s="55" t="n">
        <f aca="false">IF(E35="","",E35/(E35+H35))</f>
        <v>0.513847464848743</v>
      </c>
      <c r="L35" s="66" t="n">
        <f aca="false">IF(OR(K35="",J35=""),"",(J35-K35)*100)</f>
        <v>1.48149555334225</v>
      </c>
      <c r="M35" s="36" t="n">
        <v>1.44801768945541</v>
      </c>
      <c r="N35" s="36" t="n">
        <v>1.82074442156214</v>
      </c>
      <c r="O35" s="36" t="n">
        <f aca="false">SQRT(M35^2+N35^2)</f>
        <v>2.32634165109629</v>
      </c>
      <c r="P35" s="55" t="n">
        <f aca="false">IF(J35="","",MAX(0,J35-1.96*O35/100))</f>
        <v>0.483066124020678</v>
      </c>
      <c r="Q35" s="55" t="n">
        <f aca="false">IF(J35="","",MIN(1,J35+1.96*O35/100))</f>
        <v>0.574258716743653</v>
      </c>
      <c r="R35" s="32" t="str">
        <f aca="false">IF(L35="","",IF(ABS(L35)&lt;=O35,"Yes","No"))</f>
        <v>Yes</v>
      </c>
      <c r="S35" s="32" t="str">
        <f aca="false">IF(L35="","",IF(ABS(L35)&lt;=1.96*O35,"Yes","No"))</f>
        <v>Yes</v>
      </c>
      <c r="T35" s="54" t="n">
        <f aca="false">IF(D35="","",ROUND(SQRT(((D35+G35)*O35/100)^2+(J35*(D35+G35)*0.04632)^2),0))</f>
        <v>504</v>
      </c>
      <c r="U35" s="32"/>
    </row>
    <row r="36" customFormat="false" ht="15" hidden="false" customHeight="false" outlineLevel="0" collapsed="false">
      <c r="A36" s="32" t="s">
        <v>157</v>
      </c>
      <c r="B36" s="32" t="s">
        <v>169</v>
      </c>
      <c r="C36" s="32" t="s">
        <v>129</v>
      </c>
      <c r="D36" s="54" t="n">
        <v>745</v>
      </c>
      <c r="E36" s="54" t="n">
        <v>738</v>
      </c>
      <c r="F36" s="65" t="n">
        <f aca="false">IF(E36="","",D36-E36)</f>
        <v>7</v>
      </c>
      <c r="G36" s="54" t="n">
        <v>1244</v>
      </c>
      <c r="H36" s="54" t="n">
        <v>1114</v>
      </c>
      <c r="I36" s="65" t="n">
        <f aca="false">IF(H36="","",G36-H36)</f>
        <v>130</v>
      </c>
      <c r="J36" s="55" t="n">
        <f aca="false">IF(OR(D36="",D36+G36=0),"",D36/(D36+G36))</f>
        <v>0.374560080442433</v>
      </c>
      <c r="K36" s="55" t="n">
        <f aca="false">IF(E36="","",E36/(E36+H36))</f>
        <v>0.398488120950324</v>
      </c>
      <c r="L36" s="66" t="n">
        <f aca="false">IF(OR(K36="",J36=""),"",(J36-K36)*100)</f>
        <v>-2.39280405078906</v>
      </c>
      <c r="M36" s="36" t="n">
        <v>1.87643185227669</v>
      </c>
      <c r="N36" s="36" t="n">
        <v>1.82074442156214</v>
      </c>
      <c r="O36" s="36" t="n">
        <f aca="false">SQRT(M36^2+N36^2)</f>
        <v>2.61459494853184</v>
      </c>
      <c r="P36" s="55" t="n">
        <f aca="false">IF(J36="","",MAX(0,J36-1.96*O36/100))</f>
        <v>0.323314019451209</v>
      </c>
      <c r="Q36" s="55" t="n">
        <f aca="false">IF(J36="","",MIN(1,J36+1.96*O36/100))</f>
        <v>0.425806141433657</v>
      </c>
      <c r="R36" s="32" t="str">
        <f aca="false">IF(L36="","",IF(ABS(L36)&lt;=O36,"Yes","No"))</f>
        <v>Yes</v>
      </c>
      <c r="S36" s="32" t="str">
        <f aca="false">IF(L36="","",IF(ABS(L36)&lt;=1.96*O36,"Yes","No"))</f>
        <v>Yes</v>
      </c>
      <c r="T36" s="54" t="n">
        <f aca="false">IF(D36="","",ROUND(SQRT(((D36+G36)*O36/100)^2+(J36*(D36+G36)*0.05402)^2),0))</f>
        <v>66</v>
      </c>
      <c r="U36" s="32"/>
    </row>
    <row r="37" customFormat="false" ht="15" hidden="false" customHeight="false" outlineLevel="0" collapsed="false">
      <c r="A37" s="32" t="s">
        <v>157</v>
      </c>
      <c r="B37" s="32" t="s">
        <v>170</v>
      </c>
      <c r="C37" s="32" t="s">
        <v>129</v>
      </c>
      <c r="D37" s="54" t="n">
        <v>400</v>
      </c>
      <c r="E37" s="54" t="n">
        <v>411</v>
      </c>
      <c r="F37" s="65" t="n">
        <f aca="false">IF(E37="","",D37-E37)</f>
        <v>-11</v>
      </c>
      <c r="G37" s="54" t="n">
        <v>727</v>
      </c>
      <c r="H37" s="54" t="n">
        <v>680</v>
      </c>
      <c r="I37" s="65" t="n">
        <f aca="false">IF(H37="","",G37-H37)</f>
        <v>47</v>
      </c>
      <c r="J37" s="55" t="n">
        <f aca="false">IF(OR(D37="",D37+G37=0),"",D37/(D37+G37))</f>
        <v>0.354924578527063</v>
      </c>
      <c r="K37" s="55" t="n">
        <f aca="false">IF(E37="","",E37/(E37+H37))</f>
        <v>0.376718606782768</v>
      </c>
      <c r="L37" s="66" t="n">
        <f aca="false">IF(OR(K37="",J37=""),"",(J37-K37)*100)</f>
        <v>-2.17940282557051</v>
      </c>
      <c r="M37" s="36" t="n">
        <v>3.17596089782572</v>
      </c>
      <c r="N37" s="36" t="n">
        <v>1.82074442156214</v>
      </c>
      <c r="O37" s="36" t="n">
        <f aca="false">SQRT(M37^2+N37^2)</f>
        <v>3.66085206928218</v>
      </c>
      <c r="P37" s="55" t="n">
        <f aca="false">IF(J37="","",MAX(0,J37-1.96*O37/100))</f>
        <v>0.283171877969132</v>
      </c>
      <c r="Q37" s="55" t="n">
        <f aca="false">IF(J37="","",MIN(1,J37+1.96*O37/100))</f>
        <v>0.426677279084994</v>
      </c>
      <c r="R37" s="32" t="str">
        <f aca="false">IF(L37="","",IF(ABS(L37)&lt;=O37,"Yes","No"))</f>
        <v>Yes</v>
      </c>
      <c r="S37" s="32" t="str">
        <f aca="false">IF(L37="","",IF(ABS(L37)&lt;=1.96*O37,"Yes","No"))</f>
        <v>Yes</v>
      </c>
      <c r="T37" s="54" t="n">
        <f aca="false">IF(D37="","",ROUND(SQRT(((D37+G37)*O37/100)^2+(J37*(D37+G37)*0.07067)^2),0))</f>
        <v>50</v>
      </c>
      <c r="U37" s="32"/>
    </row>
    <row r="38" customFormat="false" ht="15" hidden="false" customHeight="false" outlineLevel="0" collapsed="false">
      <c r="A38" s="32" t="s">
        <v>157</v>
      </c>
      <c r="B38" s="32" t="s">
        <v>171</v>
      </c>
      <c r="C38" s="32" t="s">
        <v>129</v>
      </c>
      <c r="D38" s="54" t="n">
        <v>652</v>
      </c>
      <c r="E38" s="54" t="n">
        <v>623</v>
      </c>
      <c r="F38" s="65" t="n">
        <f aca="false">IF(E38="","",D38-E38)</f>
        <v>29</v>
      </c>
      <c r="G38" s="54" t="n">
        <v>1354</v>
      </c>
      <c r="H38" s="54" t="n">
        <v>1233</v>
      </c>
      <c r="I38" s="65" t="n">
        <f aca="false">IF(H38="","",G38-H38)</f>
        <v>121</v>
      </c>
      <c r="J38" s="55" t="n">
        <f aca="false">IF(OR(D38="",D38+G38=0),"",D38/(D38+G38))</f>
        <v>0.325024925224327</v>
      </c>
      <c r="K38" s="55" t="n">
        <f aca="false">IF(E38="","",E38/(E38+H38))</f>
        <v>0.335668103448276</v>
      </c>
      <c r="L38" s="66" t="n">
        <f aca="false">IF(OR(K38="",J38=""),"",(J38-K38)*100)</f>
        <v>-1.06431782239488</v>
      </c>
      <c r="M38" s="36" t="n">
        <v>1.87643185227669</v>
      </c>
      <c r="N38" s="36" t="n">
        <v>1.82074442156214</v>
      </c>
      <c r="O38" s="36" t="n">
        <f aca="false">SQRT(M38^2+N38^2)</f>
        <v>2.61459494853184</v>
      </c>
      <c r="P38" s="55" t="n">
        <f aca="false">IF(J38="","",MAX(0,J38-1.96*O38/100))</f>
        <v>0.273778864233103</v>
      </c>
      <c r="Q38" s="55" t="n">
        <f aca="false">IF(J38="","",MIN(1,J38+1.96*O38/100))</f>
        <v>0.376270986215551</v>
      </c>
      <c r="R38" s="32" t="str">
        <f aca="false">IF(L38="","",IF(ABS(L38)&lt;=O38,"Yes","No"))</f>
        <v>Yes</v>
      </c>
      <c r="S38" s="32" t="str">
        <f aca="false">IF(L38="","",IF(ABS(L38)&lt;=1.96*O38,"Yes","No"))</f>
        <v>Yes</v>
      </c>
      <c r="T38" s="54" t="n">
        <f aca="false">IF(D38="","",ROUND(SQRT(((D38+G38)*O38/100)^2+(J38*(D38+G38)*0.05402)^2),0))</f>
        <v>63</v>
      </c>
      <c r="U38" s="32"/>
    </row>
    <row r="39" customFormat="false" ht="15" hidden="false" customHeight="false" outlineLevel="0" collapsed="false">
      <c r="A39" s="32" t="s">
        <v>157</v>
      </c>
      <c r="B39" s="32" t="s">
        <v>172</v>
      </c>
      <c r="C39" s="32" t="s">
        <v>129</v>
      </c>
      <c r="D39" s="54" t="n">
        <v>678</v>
      </c>
      <c r="E39" s="54" t="n">
        <v>691</v>
      </c>
      <c r="F39" s="65" t="n">
        <f aca="false">IF(E39="","",D39-E39)</f>
        <v>-13</v>
      </c>
      <c r="G39" s="54" t="n">
        <v>665</v>
      </c>
      <c r="H39" s="54" t="n">
        <v>584</v>
      </c>
      <c r="I39" s="65" t="n">
        <f aca="false">IF(H39="","",G39-H39)</f>
        <v>81</v>
      </c>
      <c r="J39" s="55" t="n">
        <f aca="false">IF(OR(D39="",D39+G39=0),"",D39/(D39+G39))</f>
        <v>0.504839910647803</v>
      </c>
      <c r="K39" s="55" t="n">
        <f aca="false">IF(E39="","",E39/(E39+H39))</f>
        <v>0.541960784313726</v>
      </c>
      <c r="L39" s="66" t="n">
        <f aca="false">IF(OR(K39="",J39=""),"",(J39-K39)*100)</f>
        <v>-3.71208736659221</v>
      </c>
      <c r="M39" s="36" t="n">
        <v>1.87643185227669</v>
      </c>
      <c r="N39" s="36" t="n">
        <v>1.82074442156214</v>
      </c>
      <c r="O39" s="36" t="n">
        <f aca="false">SQRT(M39^2+N39^2)</f>
        <v>2.61459494853184</v>
      </c>
      <c r="P39" s="55" t="n">
        <f aca="false">IF(J39="","",MAX(0,J39-1.96*O39/100))</f>
        <v>0.453593849656579</v>
      </c>
      <c r="Q39" s="55" t="n">
        <f aca="false">IF(J39="","",MIN(1,J39+1.96*O39/100))</f>
        <v>0.556085971639027</v>
      </c>
      <c r="R39" s="32" t="str">
        <f aca="false">IF(L39="","",IF(ABS(L39)&lt;=O39,"Yes","No"))</f>
        <v>No</v>
      </c>
      <c r="S39" s="32" t="str">
        <f aca="false">IF(L39="","",IF(ABS(L39)&lt;=1.96*O39,"Yes","No"))</f>
        <v>Yes</v>
      </c>
      <c r="T39" s="54" t="n">
        <f aca="false">IF(D39="","",ROUND(SQRT(((D39+G39)*O39/100)^2+(J39*(D39+G39)*0.05402)^2),0))</f>
        <v>51</v>
      </c>
      <c r="U39" s="32"/>
    </row>
    <row r="40" customFormat="false" ht="15" hidden="false" customHeight="false" outlineLevel="0" collapsed="false">
      <c r="A40" s="32" t="s">
        <v>157</v>
      </c>
      <c r="B40" s="32" t="s">
        <v>173</v>
      </c>
      <c r="C40" s="32" t="s">
        <v>129</v>
      </c>
      <c r="D40" s="54" t="n">
        <v>3276</v>
      </c>
      <c r="E40" s="54" t="n">
        <v>2780</v>
      </c>
      <c r="F40" s="65" t="n">
        <f aca="false">IF(E40="","",D40-E40)</f>
        <v>496</v>
      </c>
      <c r="G40" s="54" t="n">
        <v>4013</v>
      </c>
      <c r="H40" s="54" t="n">
        <v>3849</v>
      </c>
      <c r="I40" s="65" t="n">
        <f aca="false">IF(H40="","",G40-H40)</f>
        <v>164</v>
      </c>
      <c r="J40" s="55" t="n">
        <f aca="false">IF(OR(D40="",D40+G40=0),"",D40/(D40+G40))</f>
        <v>0.449444368226094</v>
      </c>
      <c r="K40" s="55" t="n">
        <f aca="false">IF(E40="","",E40/(E40+H40))</f>
        <v>0.419369437320863</v>
      </c>
      <c r="L40" s="66" t="n">
        <f aca="false">IF(OR(K40="",J40=""),"",(J40-K40)*100)</f>
        <v>3.00749309052313</v>
      </c>
      <c r="M40" s="36" t="n">
        <v>1.44801768945541</v>
      </c>
      <c r="N40" s="36" t="n">
        <v>1.82074442156214</v>
      </c>
      <c r="O40" s="36" t="n">
        <f aca="false">SQRT(M40^2+N40^2)</f>
        <v>2.32634165109629</v>
      </c>
      <c r="P40" s="55" t="n">
        <f aca="false">IF(J40="","",MAX(0,J40-1.96*O40/100))</f>
        <v>0.403848071864607</v>
      </c>
      <c r="Q40" s="55" t="n">
        <f aca="false">IF(J40="","",MIN(1,J40+1.96*O40/100))</f>
        <v>0.495040664587582</v>
      </c>
      <c r="R40" s="32" t="str">
        <f aca="false">IF(L40="","",IF(ABS(L40)&lt;=O40,"Yes","No"))</f>
        <v>No</v>
      </c>
      <c r="S40" s="32" t="str">
        <f aca="false">IF(L40="","",IF(ABS(L40)&lt;=1.96*O40,"Yes","No"))</f>
        <v>Yes</v>
      </c>
      <c r="T40" s="54" t="n">
        <f aca="false">IF(D40="","",ROUND(SQRT(((D40+G40)*O40/100)^2+(J40*(D40+G40)*0.04632)^2),0))</f>
        <v>228</v>
      </c>
      <c r="U40" s="32"/>
    </row>
    <row r="41" customFormat="false" ht="15" hidden="false" customHeight="false" outlineLevel="0" collapsed="false">
      <c r="A41" s="32" t="s">
        <v>157</v>
      </c>
      <c r="B41" s="32" t="s">
        <v>174</v>
      </c>
      <c r="C41" s="32" t="s">
        <v>129</v>
      </c>
      <c r="D41" s="54" t="n">
        <v>3027</v>
      </c>
      <c r="E41" s="54" t="n">
        <v>2945</v>
      </c>
      <c r="F41" s="65" t="n">
        <f aca="false">IF(E41="","",D41-E41)</f>
        <v>82</v>
      </c>
      <c r="G41" s="54" t="n">
        <v>3093</v>
      </c>
      <c r="H41" s="54" t="n">
        <v>2844</v>
      </c>
      <c r="I41" s="65" t="n">
        <f aca="false">IF(H41="","",G41-H41)</f>
        <v>249</v>
      </c>
      <c r="J41" s="55" t="n">
        <f aca="false">IF(OR(D41="",D41+G41=0),"",D41/(D41+G41))</f>
        <v>0.494607843137255</v>
      </c>
      <c r="K41" s="55" t="n">
        <f aca="false">IF(E41="","",E41/(E41+H41))</f>
        <v>0.50872344100881</v>
      </c>
      <c r="L41" s="66" t="n">
        <f aca="false">IF(OR(K41="",J41=""),"",(J41-K41)*100)</f>
        <v>-1.41155978715549</v>
      </c>
      <c r="M41" s="36" t="n">
        <v>1.44801768945541</v>
      </c>
      <c r="N41" s="36" t="n">
        <v>1.82074442156214</v>
      </c>
      <c r="O41" s="36" t="n">
        <f aca="false">SQRT(M41^2+N41^2)</f>
        <v>2.32634165109629</v>
      </c>
      <c r="P41" s="55" t="n">
        <f aca="false">IF(J41="","",MAX(0,J41-1.96*O41/100))</f>
        <v>0.449011546775768</v>
      </c>
      <c r="Q41" s="55" t="n">
        <f aca="false">IF(J41="","",MIN(1,J41+1.96*O41/100))</f>
        <v>0.540204139498742</v>
      </c>
      <c r="R41" s="32" t="str">
        <f aca="false">IF(L41="","",IF(ABS(L41)&lt;=O41,"Yes","No"))</f>
        <v>Yes</v>
      </c>
      <c r="S41" s="32" t="str">
        <f aca="false">IF(L41="","",IF(ABS(L41)&lt;=1.96*O41,"Yes","No"))</f>
        <v>Yes</v>
      </c>
      <c r="T41" s="54" t="n">
        <f aca="false">IF(D41="","",ROUND(SQRT(((D41+G41)*O41/100)^2+(J41*(D41+G41)*0.04632)^2),0))</f>
        <v>200</v>
      </c>
      <c r="U41" s="32"/>
    </row>
    <row r="42" customFormat="false" ht="15" hidden="false" customHeight="false" outlineLevel="0" collapsed="false">
      <c r="A42" s="32" t="s">
        <v>157</v>
      </c>
      <c r="B42" s="32" t="s">
        <v>175</v>
      </c>
      <c r="C42" s="32" t="s">
        <v>129</v>
      </c>
      <c r="D42" s="54" t="n">
        <v>574</v>
      </c>
      <c r="E42" s="54" t="n">
        <v>537</v>
      </c>
      <c r="F42" s="65" t="n">
        <f aca="false">IF(E42="","",D42-E42)</f>
        <v>37</v>
      </c>
      <c r="G42" s="54" t="n">
        <v>623</v>
      </c>
      <c r="H42" s="54" t="n">
        <v>626</v>
      </c>
      <c r="I42" s="65" t="n">
        <f aca="false">IF(H42="","",G42-H42)</f>
        <v>-3</v>
      </c>
      <c r="J42" s="55" t="n">
        <f aca="false">IF(OR(D42="",D42+G42=0),"",D42/(D42+G42))</f>
        <v>0.47953216374269</v>
      </c>
      <c r="K42" s="55" t="n">
        <f aca="false">IF(E42="","",E42/(E42+H42))</f>
        <v>0.461736887360275</v>
      </c>
      <c r="L42" s="66" t="n">
        <f aca="false">IF(OR(K42="",J42=""),"",(J42-K42)*100)</f>
        <v>1.77952763824149</v>
      </c>
      <c r="M42" s="36" t="n">
        <v>1.87643185227669</v>
      </c>
      <c r="N42" s="36" t="n">
        <v>1.82074442156214</v>
      </c>
      <c r="O42" s="36" t="n">
        <f aca="false">SQRT(M42^2+N42^2)</f>
        <v>2.61459494853184</v>
      </c>
      <c r="P42" s="55" t="n">
        <f aca="false">IF(J42="","",MAX(0,J42-1.96*O42/100))</f>
        <v>0.428286102751466</v>
      </c>
      <c r="Q42" s="55" t="n">
        <f aca="false">IF(J42="","",MIN(1,J42+1.96*O42/100))</f>
        <v>0.530778224733914</v>
      </c>
      <c r="R42" s="32" t="str">
        <f aca="false">IF(L42="","",IF(ABS(L42)&lt;=O42,"Yes","No"))</f>
        <v>Yes</v>
      </c>
      <c r="S42" s="32" t="str">
        <f aca="false">IF(L42="","",IF(ABS(L42)&lt;=1.96*O42,"Yes","No"))</f>
        <v>Yes</v>
      </c>
      <c r="T42" s="54" t="n">
        <f aca="false">IF(D42="","",ROUND(SQRT(((D42+G42)*O42/100)^2+(J42*(D42+G42)*0.05402)^2),0))</f>
        <v>44</v>
      </c>
      <c r="U42" s="32"/>
    </row>
    <row r="43" customFormat="false" ht="15" hidden="false" customHeight="false" outlineLevel="0" collapsed="false">
      <c r="A43" s="32" t="s">
        <v>157</v>
      </c>
      <c r="B43" s="32" t="s">
        <v>176</v>
      </c>
      <c r="C43" s="32" t="s">
        <v>129</v>
      </c>
      <c r="D43" s="54" t="n">
        <v>4957</v>
      </c>
      <c r="E43" s="54" t="n">
        <v>5009</v>
      </c>
      <c r="F43" s="65" t="n">
        <f aca="false">IF(E43="","",D43-E43)</f>
        <v>-52</v>
      </c>
      <c r="G43" s="54" t="n">
        <v>4313</v>
      </c>
      <c r="H43" s="54" t="n">
        <v>3839</v>
      </c>
      <c r="I43" s="65" t="n">
        <f aca="false">IF(H43="","",G43-H43)</f>
        <v>474</v>
      </c>
      <c r="J43" s="55" t="n">
        <f aca="false">IF(OR(D43="",D43+G43=0),"",D43/(D43+G43))</f>
        <v>0.534735706580367</v>
      </c>
      <c r="K43" s="55" t="n">
        <f aca="false">IF(E43="","",E43/(E43+H43))</f>
        <v>0.566116636528029</v>
      </c>
      <c r="L43" s="66" t="n">
        <f aca="false">IF(OR(K43="",J43=""),"",(J43-K43)*100)</f>
        <v>-3.13809299476622</v>
      </c>
      <c r="M43" s="36" t="n">
        <v>1.44801768945541</v>
      </c>
      <c r="N43" s="36" t="n">
        <v>1.82074442156214</v>
      </c>
      <c r="O43" s="36" t="n">
        <f aca="false">SQRT(M43^2+N43^2)</f>
        <v>2.32634165109629</v>
      </c>
      <c r="P43" s="55" t="n">
        <f aca="false">IF(J43="","",MAX(0,J43-1.96*O43/100))</f>
        <v>0.489139410218879</v>
      </c>
      <c r="Q43" s="55" t="n">
        <f aca="false">IF(J43="","",MIN(1,J43+1.96*O43/100))</f>
        <v>0.580332002941854</v>
      </c>
      <c r="R43" s="32" t="str">
        <f aca="false">IF(L43="","",IF(ABS(L43)&lt;=O43,"Yes","No"))</f>
        <v>No</v>
      </c>
      <c r="S43" s="32" t="str">
        <f aca="false">IF(L43="","",IF(ABS(L43)&lt;=1.96*O43,"Yes","No"))</f>
        <v>Yes</v>
      </c>
      <c r="T43" s="54" t="n">
        <f aca="false">IF(D43="","",ROUND(SQRT(((D43+G43)*O43/100)^2+(J43*(D43+G43)*0.04632)^2),0))</f>
        <v>315</v>
      </c>
      <c r="U43" s="32"/>
    </row>
    <row r="44" customFormat="false" ht="15" hidden="false" customHeight="false" outlineLevel="0" collapsed="false">
      <c r="A44" s="32" t="s">
        <v>157</v>
      </c>
      <c r="B44" s="32" t="s">
        <v>177</v>
      </c>
      <c r="C44" s="32" t="s">
        <v>129</v>
      </c>
      <c r="D44" s="54" t="n">
        <v>5452</v>
      </c>
      <c r="E44" s="54" t="n">
        <v>5137</v>
      </c>
      <c r="F44" s="65" t="n">
        <f aca="false">IF(E44="","",D44-E44)</f>
        <v>315</v>
      </c>
      <c r="G44" s="54" t="n">
        <v>4595</v>
      </c>
      <c r="H44" s="54" t="n">
        <v>4495</v>
      </c>
      <c r="I44" s="65" t="n">
        <f aca="false">IF(H44="","",G44-H44)</f>
        <v>100</v>
      </c>
      <c r="J44" s="55" t="n">
        <f aca="false">IF(OR(D44="",D44+G44=0),"",D44/(D44+G44))</f>
        <v>0.542649547128496</v>
      </c>
      <c r="K44" s="55" t="n">
        <f aca="false">IF(E44="","",E44/(E44+H44))</f>
        <v>0.533326411960133</v>
      </c>
      <c r="L44" s="66" t="n">
        <f aca="false">IF(OR(K44="",J44=""),"",(J44-K44)*100)</f>
        <v>0.932313516836325</v>
      </c>
      <c r="M44" s="36" t="n">
        <v>1.44801768945541</v>
      </c>
      <c r="N44" s="36" t="n">
        <v>1.82074442156214</v>
      </c>
      <c r="O44" s="36" t="n">
        <f aca="false">SQRT(M44^2+N44^2)</f>
        <v>2.32634165109629</v>
      </c>
      <c r="P44" s="55" t="n">
        <f aca="false">IF(J44="","",MAX(0,J44-1.96*O44/100))</f>
        <v>0.497053250767009</v>
      </c>
      <c r="Q44" s="55" t="n">
        <f aca="false">IF(J44="","",MIN(1,J44+1.96*O44/100))</f>
        <v>0.588245843489983</v>
      </c>
      <c r="R44" s="32" t="str">
        <f aca="false">IF(L44="","",IF(ABS(L44)&lt;=O44,"Yes","No"))</f>
        <v>Yes</v>
      </c>
      <c r="S44" s="32" t="str">
        <f aca="false">IF(L44="","",IF(ABS(L44)&lt;=1.96*O44,"Yes","No"))</f>
        <v>Yes</v>
      </c>
      <c r="T44" s="54" t="n">
        <f aca="false">IF(D44="","",ROUND(SQRT(((D44+G44)*O44/100)^2+(J44*(D44+G44)*0.04632)^2),0))</f>
        <v>344</v>
      </c>
      <c r="U44" s="32"/>
    </row>
    <row r="45" customFormat="false" ht="15" hidden="false" customHeight="false" outlineLevel="0" collapsed="false">
      <c r="A45" s="32" t="s">
        <v>157</v>
      </c>
      <c r="B45" s="32" t="s">
        <v>178</v>
      </c>
      <c r="C45" s="32" t="s">
        <v>129</v>
      </c>
      <c r="D45" s="54" t="n">
        <v>1739</v>
      </c>
      <c r="E45" s="54" t="n">
        <v>1663</v>
      </c>
      <c r="F45" s="65" t="n">
        <f aca="false">IF(E45="","",D45-E45)</f>
        <v>76</v>
      </c>
      <c r="G45" s="54" t="n">
        <v>2202</v>
      </c>
      <c r="H45" s="54" t="n">
        <v>1974</v>
      </c>
      <c r="I45" s="65" t="n">
        <f aca="false">IF(H45="","",G45-H45)</f>
        <v>228</v>
      </c>
      <c r="J45" s="55" t="n">
        <f aca="false">IF(OR(D45="",D45+G45=0),"",D45/(D45+G45))</f>
        <v>0.44125856381629</v>
      </c>
      <c r="K45" s="55" t="n">
        <f aca="false">IF(E45="","",E45/(E45+H45))</f>
        <v>0.457244982128128</v>
      </c>
      <c r="L45" s="66" t="n">
        <f aca="false">IF(OR(K45="",J45=""),"",(J45-K45)*100)</f>
        <v>-1.59864183118373</v>
      </c>
      <c r="M45" s="36" t="n">
        <v>1.44801768945541</v>
      </c>
      <c r="N45" s="36" t="n">
        <v>1.82074442156214</v>
      </c>
      <c r="O45" s="36" t="n">
        <f aca="false">SQRT(M45^2+N45^2)</f>
        <v>2.32634165109629</v>
      </c>
      <c r="P45" s="55" t="n">
        <f aca="false">IF(J45="","",MAX(0,J45-1.96*O45/100))</f>
        <v>0.395662267454803</v>
      </c>
      <c r="Q45" s="55" t="n">
        <f aca="false">IF(J45="","",MIN(1,J45+1.96*O45/100))</f>
        <v>0.486854860177778</v>
      </c>
      <c r="R45" s="32" t="str">
        <f aca="false">IF(L45="","",IF(ABS(L45)&lt;=O45,"Yes","No"))</f>
        <v>Yes</v>
      </c>
      <c r="S45" s="32" t="str">
        <f aca="false">IF(L45="","",IF(ABS(L45)&lt;=1.96*O45,"Yes","No"))</f>
        <v>Yes</v>
      </c>
      <c r="T45" s="54" t="n">
        <f aca="false">IF(D45="","",ROUND(SQRT(((D45+G45)*O45/100)^2+(J45*(D45+G45)*0.04632)^2),0))</f>
        <v>122</v>
      </c>
      <c r="U45" s="32"/>
    </row>
    <row r="46" customFormat="false" ht="15" hidden="false" customHeight="false" outlineLevel="0" collapsed="false">
      <c r="A46" s="32" t="s">
        <v>157</v>
      </c>
      <c r="B46" s="32" t="s">
        <v>179</v>
      </c>
      <c r="C46" s="32" t="s">
        <v>129</v>
      </c>
      <c r="D46" s="54" t="n">
        <v>3949</v>
      </c>
      <c r="E46" s="54" t="n">
        <v>3652</v>
      </c>
      <c r="F46" s="65" t="n">
        <f aca="false">IF(E46="","",D46-E46)</f>
        <v>297</v>
      </c>
      <c r="G46" s="54" t="n">
        <v>4100</v>
      </c>
      <c r="H46" s="54" t="n">
        <v>3768</v>
      </c>
      <c r="I46" s="65" t="n">
        <f aca="false">IF(H46="","",G46-H46)</f>
        <v>332</v>
      </c>
      <c r="J46" s="55" t="n">
        <f aca="false">IF(OR(D46="",D46+G46=0),"",D46/(D46+G46))</f>
        <v>0.490619952789166</v>
      </c>
      <c r="K46" s="55" t="n">
        <f aca="false">IF(E46="","",E46/(E46+H46))</f>
        <v>0.492183288409704</v>
      </c>
      <c r="L46" s="66" t="n">
        <f aca="false">IF(OR(K46="",J46=""),"",(J46-K46)*100)</f>
        <v>-0.156333562053712</v>
      </c>
      <c r="M46" s="36" t="n">
        <v>1.44801768945541</v>
      </c>
      <c r="N46" s="36" t="n">
        <v>1.82074442156214</v>
      </c>
      <c r="O46" s="36" t="n">
        <f aca="false">SQRT(M46^2+N46^2)</f>
        <v>2.32634165109629</v>
      </c>
      <c r="P46" s="55" t="n">
        <f aca="false">IF(J46="","",MAX(0,J46-1.96*O46/100))</f>
        <v>0.445023656427679</v>
      </c>
      <c r="Q46" s="55" t="n">
        <f aca="false">IF(J46="","",MIN(1,J46+1.96*O46/100))</f>
        <v>0.536216249150654</v>
      </c>
      <c r="R46" s="32" t="str">
        <f aca="false">IF(L46="","",IF(ABS(L46)&lt;=O46,"Yes","No"))</f>
        <v>Yes</v>
      </c>
      <c r="S46" s="32" t="str">
        <f aca="false">IF(L46="","",IF(ABS(L46)&lt;=1.96*O46,"Yes","No"))</f>
        <v>Yes</v>
      </c>
      <c r="T46" s="54" t="n">
        <f aca="false">IF(D46="","",ROUND(SQRT(((D46+G46)*O46/100)^2+(J46*(D46+G46)*0.04632)^2),0))</f>
        <v>262</v>
      </c>
      <c r="U46" s="32"/>
    </row>
    <row r="47" customFormat="false" ht="15" hidden="false" customHeight="false" outlineLevel="0" collapsed="false">
      <c r="A47" s="32" t="s">
        <v>157</v>
      </c>
      <c r="B47" s="32" t="s">
        <v>180</v>
      </c>
      <c r="C47" s="32" t="s">
        <v>129</v>
      </c>
      <c r="D47" s="54" t="n">
        <v>997</v>
      </c>
      <c r="E47" s="54" t="n">
        <v>875</v>
      </c>
      <c r="F47" s="65" t="n">
        <f aca="false">IF(E47="","",D47-E47)</f>
        <v>122</v>
      </c>
      <c r="G47" s="54" t="n">
        <v>1798</v>
      </c>
      <c r="H47" s="54" t="n">
        <v>1592</v>
      </c>
      <c r="I47" s="65" t="n">
        <f aca="false">IF(H47="","",G47-H47)</f>
        <v>206</v>
      </c>
      <c r="J47" s="55" t="n">
        <f aca="false">IF(OR(D47="",D47+G47=0),"",D47/(D47+G47))</f>
        <v>0.356708407871199</v>
      </c>
      <c r="K47" s="55" t="n">
        <f aca="false">IF(E47="","",E47/(E47+H47))</f>
        <v>0.35468179975679</v>
      </c>
      <c r="L47" s="66" t="n">
        <f aca="false">IF(OR(K47="",J47=""),"",(J47-K47)*100)</f>
        <v>0.202660811440891</v>
      </c>
      <c r="M47" s="36" t="n">
        <v>1.44801768945541</v>
      </c>
      <c r="N47" s="36" t="n">
        <v>1.82074442156214</v>
      </c>
      <c r="O47" s="36" t="n">
        <f aca="false">SQRT(M47^2+N47^2)</f>
        <v>2.32634165109629</v>
      </c>
      <c r="P47" s="55" t="n">
        <f aca="false">IF(J47="","",MAX(0,J47-1.96*O47/100))</f>
        <v>0.311112111509711</v>
      </c>
      <c r="Q47" s="55" t="n">
        <f aca="false">IF(J47="","",MIN(1,J47+1.96*O47/100))</f>
        <v>0.402304704232686</v>
      </c>
      <c r="R47" s="32" t="str">
        <f aca="false">IF(L47="","",IF(ABS(L47)&lt;=O47,"Yes","No"))</f>
        <v>Yes</v>
      </c>
      <c r="S47" s="32" t="str">
        <f aca="false">IF(L47="","",IF(ABS(L47)&lt;=1.96*O47,"Yes","No"))</f>
        <v>Yes</v>
      </c>
      <c r="T47" s="54" t="n">
        <f aca="false">IF(D47="","",ROUND(SQRT(((D47+G47)*O47/100)^2+(J47*(D47+G47)*0.04632)^2),0))</f>
        <v>80</v>
      </c>
      <c r="U47" s="32"/>
    </row>
    <row r="48" customFormat="false" ht="15" hidden="false" customHeight="false" outlineLevel="0" collapsed="false">
      <c r="A48" s="32" t="s">
        <v>157</v>
      </c>
      <c r="B48" s="32" t="s">
        <v>181</v>
      </c>
      <c r="C48" s="32" t="s">
        <v>129</v>
      </c>
      <c r="D48" s="54" t="n">
        <v>836</v>
      </c>
      <c r="E48" s="54" t="n">
        <v>822</v>
      </c>
      <c r="F48" s="65" t="n">
        <f aca="false">IF(E48="","",D48-E48)</f>
        <v>14</v>
      </c>
      <c r="G48" s="54" t="n">
        <v>1656</v>
      </c>
      <c r="H48" s="54" t="n">
        <v>1519</v>
      </c>
      <c r="I48" s="65" t="n">
        <f aca="false">IF(H48="","",G48-H48)</f>
        <v>137</v>
      </c>
      <c r="J48" s="55" t="n">
        <f aca="false">IF(OR(D48="",D48+G48=0),"",D48/(D48+G48))</f>
        <v>0.335473515248796</v>
      </c>
      <c r="K48" s="55" t="n">
        <f aca="false">IF(E48="","",E48/(E48+H48))</f>
        <v>0.351131994873986</v>
      </c>
      <c r="L48" s="66" t="n">
        <f aca="false">IF(OR(K48="",J48=""),"",(J48-K48)*100)</f>
        <v>-1.56584796251893</v>
      </c>
      <c r="M48" s="36" t="n">
        <v>1.87643185227669</v>
      </c>
      <c r="N48" s="36" t="n">
        <v>1.82074442156214</v>
      </c>
      <c r="O48" s="36" t="n">
        <f aca="false">SQRT(M48^2+N48^2)</f>
        <v>2.61459494853184</v>
      </c>
      <c r="P48" s="55" t="n">
        <f aca="false">IF(J48="","",MAX(0,J48-1.96*O48/100))</f>
        <v>0.284227454257572</v>
      </c>
      <c r="Q48" s="55" t="n">
        <f aca="false">IF(J48="","",MIN(1,J48+1.96*O48/100))</f>
        <v>0.38671957624002</v>
      </c>
      <c r="R48" s="32" t="str">
        <f aca="false">IF(L48="","",IF(ABS(L48)&lt;=O48,"Yes","No"))</f>
        <v>Yes</v>
      </c>
      <c r="S48" s="32" t="str">
        <f aca="false">IF(L48="","",IF(ABS(L48)&lt;=1.96*O48,"Yes","No"))</f>
        <v>Yes</v>
      </c>
      <c r="T48" s="54" t="n">
        <f aca="false">IF(D48="","",ROUND(SQRT(((D48+G48)*O48/100)^2+(J48*(D48+G48)*0.05402)^2),0))</f>
        <v>79</v>
      </c>
      <c r="U48" s="32"/>
    </row>
    <row r="49" customFormat="false" ht="15" hidden="false" customHeight="false" outlineLevel="0" collapsed="false">
      <c r="A49" s="32" t="s">
        <v>157</v>
      </c>
      <c r="B49" s="32" t="s">
        <v>182</v>
      </c>
      <c r="C49" s="32" t="s">
        <v>129</v>
      </c>
      <c r="D49" s="54" t="n">
        <v>5204</v>
      </c>
      <c r="E49" s="54" t="n">
        <v>5195</v>
      </c>
      <c r="F49" s="65" t="n">
        <f aca="false">IF(E49="","",D49-E49)</f>
        <v>9</v>
      </c>
      <c r="G49" s="54" t="n">
        <v>4467</v>
      </c>
      <c r="H49" s="54" t="n">
        <v>4070</v>
      </c>
      <c r="I49" s="65" t="n">
        <f aca="false">IF(H49="","",G49-H49)</f>
        <v>397</v>
      </c>
      <c r="J49" s="55" t="n">
        <f aca="false">IF(OR(D49="",D49+G49=0),"",D49/(D49+G49))</f>
        <v>0.538103608727122</v>
      </c>
      <c r="K49" s="55" t="n">
        <f aca="false">IF(E49="","",E49/(E49+H49))</f>
        <v>0.560712358337831</v>
      </c>
      <c r="L49" s="66" t="n">
        <f aca="false">IF(OR(K49="",J49=""),"",(J49-K49)*100)</f>
        <v>-2.26087496107081</v>
      </c>
      <c r="M49" s="36" t="n">
        <v>1.44801768945541</v>
      </c>
      <c r="N49" s="36" t="n">
        <v>1.82074442156214</v>
      </c>
      <c r="O49" s="36" t="n">
        <f aca="false">SQRT(M49^2+N49^2)</f>
        <v>2.32634165109629</v>
      </c>
      <c r="P49" s="55" t="n">
        <f aca="false">IF(J49="","",MAX(0,J49-1.96*O49/100))</f>
        <v>0.492507312365635</v>
      </c>
      <c r="Q49" s="55" t="n">
        <f aca="false">IF(J49="","",MIN(1,J49+1.96*O49/100))</f>
        <v>0.58369990508861</v>
      </c>
      <c r="R49" s="32" t="str">
        <f aca="false">IF(L49="","",IF(ABS(L49)&lt;=O49,"Yes","No"))</f>
        <v>Yes</v>
      </c>
      <c r="S49" s="32" t="str">
        <f aca="false">IF(L49="","",IF(ABS(L49)&lt;=1.96*O49,"Yes","No"))</f>
        <v>Yes</v>
      </c>
      <c r="T49" s="54" t="n">
        <f aca="false">IF(D49="","",ROUND(SQRT(((D49+G49)*O49/100)^2+(J49*(D49+G49)*0.04632)^2),0))</f>
        <v>330</v>
      </c>
      <c r="U49" s="32"/>
    </row>
    <row r="50" customFormat="false" ht="15" hidden="false" customHeight="false" outlineLevel="0" collapsed="false">
      <c r="A50" s="32" t="s">
        <v>183</v>
      </c>
      <c r="B50" s="32" t="s">
        <v>184</v>
      </c>
      <c r="C50" s="32" t="s">
        <v>129</v>
      </c>
      <c r="D50" s="54" t="n">
        <v>398</v>
      </c>
      <c r="E50" s="54" t="n">
        <v>330</v>
      </c>
      <c r="F50" s="65" t="n">
        <f aca="false">IF(E50="","",D50-E50)</f>
        <v>68</v>
      </c>
      <c r="G50" s="54" t="n">
        <v>690</v>
      </c>
      <c r="H50" s="54" t="n">
        <v>632</v>
      </c>
      <c r="I50" s="65" t="n">
        <f aca="false">IF(H50="","",G50-H50)</f>
        <v>58</v>
      </c>
      <c r="J50" s="55" t="n">
        <f aca="false">IF(OR(D50="",D50+G50=0),"",D50/(D50+G50))</f>
        <v>0.365808823529412</v>
      </c>
      <c r="K50" s="55" t="n">
        <f aca="false">IF(E50="","",E50/(E50+H50))</f>
        <v>0.343035343035343</v>
      </c>
      <c r="L50" s="66" t="n">
        <f aca="false">IF(OR(K50="",J50=""),"",(J50-K50)*100)</f>
        <v>2.27734804940687</v>
      </c>
      <c r="M50" s="36" t="n">
        <v>3.17596089782572</v>
      </c>
      <c r="N50" s="36" t="n">
        <v>1.82074442156214</v>
      </c>
      <c r="O50" s="36" t="n">
        <f aca="false">SQRT(M50^2+N50^2)</f>
        <v>3.66085206928218</v>
      </c>
      <c r="P50" s="55" t="n">
        <f aca="false">IF(J50="","",MAX(0,J50-1.96*O50/100))</f>
        <v>0.294056122971481</v>
      </c>
      <c r="Q50" s="55" t="n">
        <f aca="false">IF(J50="","",MIN(1,J50+1.96*O50/100))</f>
        <v>0.437561524087342</v>
      </c>
      <c r="R50" s="32" t="str">
        <f aca="false">IF(L50="","",IF(ABS(L50)&lt;=O50,"Yes","No"))</f>
        <v>Yes</v>
      </c>
      <c r="S50" s="32" t="str">
        <f aca="false">IF(L50="","",IF(ABS(L50)&lt;=1.96*O50,"Yes","No"))</f>
        <v>Yes</v>
      </c>
      <c r="T50" s="54" t="n">
        <f aca="false">IF(D50="","",ROUND(SQRT(((D50+G50)*O50/100)^2+(J50*(D50+G50)*0.07067)^2),0))</f>
        <v>49</v>
      </c>
      <c r="U50" s="32"/>
    </row>
    <row r="51" customFormat="false" ht="15" hidden="false" customHeight="false" outlineLevel="0" collapsed="false">
      <c r="A51" s="32" t="s">
        <v>183</v>
      </c>
      <c r="B51" s="32" t="s">
        <v>186</v>
      </c>
      <c r="C51" s="32" t="s">
        <v>129</v>
      </c>
      <c r="D51" s="54" t="n">
        <v>1047</v>
      </c>
      <c r="E51" s="54" t="n">
        <v>1009</v>
      </c>
      <c r="F51" s="65" t="n">
        <f aca="false">IF(E51="","",D51-E51)</f>
        <v>38</v>
      </c>
      <c r="G51" s="54" t="n">
        <v>1626</v>
      </c>
      <c r="H51" s="54" t="n">
        <v>1471</v>
      </c>
      <c r="I51" s="65" t="n">
        <f aca="false">IF(H51="","",G51-H51)</f>
        <v>155</v>
      </c>
      <c r="J51" s="55" t="n">
        <f aca="false">IF(OR(D51="",D51+G51=0),"",D51/(D51+G51))</f>
        <v>0.391694725028058</v>
      </c>
      <c r="K51" s="55" t="n">
        <f aca="false">IF(E51="","",E51/(E51+H51))</f>
        <v>0.406854838709677</v>
      </c>
      <c r="L51" s="66" t="n">
        <f aca="false">IF(OR(K51="",J51=""),"",(J51-K51)*100)</f>
        <v>-1.51601136816191</v>
      </c>
      <c r="M51" s="36" t="n">
        <v>1.44801768945541</v>
      </c>
      <c r="N51" s="36" t="n">
        <v>1.82074442156214</v>
      </c>
      <c r="O51" s="36" t="n">
        <f aca="false">SQRT(M51^2+N51^2)</f>
        <v>2.32634165109629</v>
      </c>
      <c r="P51" s="55" t="n">
        <f aca="false">IF(J51="","",MAX(0,J51-1.96*O51/100))</f>
        <v>0.346098428666571</v>
      </c>
      <c r="Q51" s="55" t="n">
        <f aca="false">IF(J51="","",MIN(1,J51+1.96*O51/100))</f>
        <v>0.437291021389546</v>
      </c>
      <c r="R51" s="32" t="str">
        <f aca="false">IF(L51="","",IF(ABS(L51)&lt;=O51,"Yes","No"))</f>
        <v>Yes</v>
      </c>
      <c r="S51" s="32" t="str">
        <f aca="false">IF(L51="","",IF(ABS(L51)&lt;=1.96*O51,"Yes","No"))</f>
        <v>Yes</v>
      </c>
      <c r="T51" s="54" t="n">
        <f aca="false">IF(D51="","",ROUND(SQRT(((D51+G51)*O51/100)^2+(J51*(D51+G51)*0.04632)^2),0))</f>
        <v>79</v>
      </c>
      <c r="U51" s="32" t="s">
        <v>394</v>
      </c>
    </row>
    <row r="52" customFormat="false" ht="15" hidden="false" customHeight="false" outlineLevel="0" collapsed="false">
      <c r="A52" s="32" t="s">
        <v>183</v>
      </c>
      <c r="B52" s="32" t="s">
        <v>187</v>
      </c>
      <c r="C52" s="32" t="s">
        <v>129</v>
      </c>
      <c r="D52" s="54" t="n">
        <v>422</v>
      </c>
      <c r="E52" s="54" t="n">
        <v>358</v>
      </c>
      <c r="F52" s="65" t="n">
        <f aca="false">IF(E52="","",D52-E52)</f>
        <v>64</v>
      </c>
      <c r="G52" s="54" t="n">
        <v>687</v>
      </c>
      <c r="H52" s="54" t="n">
        <v>503</v>
      </c>
      <c r="I52" s="65" t="n">
        <f aca="false">IF(H52="","",G52-H52)</f>
        <v>184</v>
      </c>
      <c r="J52" s="55" t="n">
        <f aca="false">IF(OR(D52="",D52+G52=0),"",D52/(D52+G52))</f>
        <v>0.380522993688007</v>
      </c>
      <c r="K52" s="55" t="n">
        <f aca="false">IF(E52="","",E52/(E52+H52))</f>
        <v>0.415795586527294</v>
      </c>
      <c r="L52" s="66" t="n">
        <f aca="false">IF(OR(K52="",J52=""),"",(J52-K52)*100)</f>
        <v>-3.52725928392866</v>
      </c>
      <c r="M52" s="36" t="n">
        <v>3.17596089782572</v>
      </c>
      <c r="N52" s="36" t="n">
        <v>1.82074442156214</v>
      </c>
      <c r="O52" s="36" t="n">
        <f aca="false">SQRT(M52^2+N52^2)</f>
        <v>3.66085206928218</v>
      </c>
      <c r="P52" s="55" t="n">
        <f aca="false">IF(J52="","",MAX(0,J52-1.96*O52/100))</f>
        <v>0.308770293130077</v>
      </c>
      <c r="Q52" s="55" t="n">
        <f aca="false">IF(J52="","",MIN(1,J52+1.96*O52/100))</f>
        <v>0.452275694245938</v>
      </c>
      <c r="R52" s="32" t="str">
        <f aca="false">IF(L52="","",IF(ABS(L52)&lt;=O52,"Yes","No"))</f>
        <v>Yes</v>
      </c>
      <c r="S52" s="32" t="str">
        <f aca="false">IF(L52="","",IF(ABS(L52)&lt;=1.96*O52,"Yes","No"))</f>
        <v>Yes</v>
      </c>
      <c r="T52" s="54" t="n">
        <f aca="false">IF(D52="","",ROUND(SQRT(((D52+G52)*O52/100)^2+(J52*(D52+G52)*0.07067)^2),0))</f>
        <v>50</v>
      </c>
      <c r="U52" s="32" t="s">
        <v>395</v>
      </c>
    </row>
    <row r="53" customFormat="false" ht="15" hidden="false" customHeight="false" outlineLevel="0" collapsed="false">
      <c r="A53" s="32" t="s">
        <v>188</v>
      </c>
      <c r="B53" s="32" t="s">
        <v>189</v>
      </c>
      <c r="C53" s="32" t="s">
        <v>129</v>
      </c>
      <c r="D53" s="54" t="n">
        <v>1051</v>
      </c>
      <c r="E53" s="54" t="n">
        <v>908</v>
      </c>
      <c r="F53" s="65" t="n">
        <f aca="false">IF(E53="","",D53-E53)</f>
        <v>143</v>
      </c>
      <c r="G53" s="54" t="n">
        <v>1280</v>
      </c>
      <c r="H53" s="54" t="n">
        <v>1196</v>
      </c>
      <c r="I53" s="65" t="n">
        <f aca="false">IF(H53="","",G53-H53)</f>
        <v>84</v>
      </c>
      <c r="J53" s="55" t="n">
        <f aca="false">IF(OR(D53="",D53+G53=0),"",D53/(D53+G53))</f>
        <v>0.450879450879451</v>
      </c>
      <c r="K53" s="55" t="n">
        <f aca="false">IF(E53="","",E53/(E53+H53))</f>
        <v>0.431558935361217</v>
      </c>
      <c r="L53" s="66" t="n">
        <f aca="false">IF(OR(K53="",J53=""),"",(J53-K53)*100)</f>
        <v>1.93205155182341</v>
      </c>
      <c r="M53" s="36" t="n">
        <v>1.87643185227669</v>
      </c>
      <c r="N53" s="36" t="n">
        <v>1.82074442156214</v>
      </c>
      <c r="O53" s="36" t="n">
        <f aca="false">SQRT(M53^2+N53^2)</f>
        <v>2.61459494853184</v>
      </c>
      <c r="P53" s="55" t="n">
        <f aca="false">IF(J53="","",MAX(0,J53-1.96*O53/100))</f>
        <v>0.399633389888227</v>
      </c>
      <c r="Q53" s="55" t="n">
        <f aca="false">IF(J53="","",MIN(1,J53+1.96*O53/100))</f>
        <v>0.502125511870675</v>
      </c>
      <c r="R53" s="32" t="str">
        <f aca="false">IF(L53="","",IF(ABS(L53)&lt;=O53,"Yes","No"))</f>
        <v>Yes</v>
      </c>
      <c r="S53" s="32" t="str">
        <f aca="false">IF(L53="","",IF(ABS(L53)&lt;=1.96*O53,"Yes","No"))</f>
        <v>Yes</v>
      </c>
      <c r="T53" s="54" t="n">
        <f aca="false">IF(D53="","",ROUND(SQRT(((D53+G53)*O53/100)^2+(J53*(D53+G53)*0.05402)^2),0))</f>
        <v>83</v>
      </c>
      <c r="U53" s="32"/>
    </row>
    <row r="54" customFormat="false" ht="15" hidden="false" customHeight="false" outlineLevel="0" collapsed="false">
      <c r="A54" s="32" t="s">
        <v>188</v>
      </c>
      <c r="B54" s="32" t="s">
        <v>190</v>
      </c>
      <c r="C54" s="32" t="s">
        <v>129</v>
      </c>
      <c r="D54" s="54" t="n">
        <v>710</v>
      </c>
      <c r="E54" s="54" t="n">
        <v>701</v>
      </c>
      <c r="F54" s="65" t="n">
        <f aca="false">IF(E54="","",D54-E54)</f>
        <v>9</v>
      </c>
      <c r="G54" s="54" t="n">
        <v>849</v>
      </c>
      <c r="H54" s="54" t="n">
        <v>780</v>
      </c>
      <c r="I54" s="65" t="n">
        <f aca="false">IF(H54="","",G54-H54)</f>
        <v>69</v>
      </c>
      <c r="J54" s="55" t="n">
        <f aca="false">IF(OR(D54="",D54+G54=0),"",D54/(D54+G54))</f>
        <v>0.4554201411161</v>
      </c>
      <c r="K54" s="55" t="n">
        <f aca="false">IF(E54="","",E54/(E54+H54))</f>
        <v>0.473328831870358</v>
      </c>
      <c r="L54" s="66" t="n">
        <f aca="false">IF(OR(K54="",J54=""),"",(J54-K54)*100)</f>
        <v>-1.79086907542578</v>
      </c>
      <c r="M54" s="36" t="n">
        <v>1.87643185227669</v>
      </c>
      <c r="N54" s="36" t="n">
        <v>1.82074442156214</v>
      </c>
      <c r="O54" s="36" t="n">
        <f aca="false">SQRT(M54^2+N54^2)</f>
        <v>2.61459494853184</v>
      </c>
      <c r="P54" s="55" t="n">
        <f aca="false">IF(J54="","",MAX(0,J54-1.96*O54/100))</f>
        <v>0.404174080124876</v>
      </c>
      <c r="Q54" s="55" t="n">
        <f aca="false">IF(J54="","",MIN(1,J54+1.96*O54/100))</f>
        <v>0.506666202107324</v>
      </c>
      <c r="R54" s="32" t="str">
        <f aca="false">IF(L54="","",IF(ABS(L54)&lt;=O54,"Yes","No"))</f>
        <v>Yes</v>
      </c>
      <c r="S54" s="32" t="str">
        <f aca="false">IF(L54="","",IF(ABS(L54)&lt;=1.96*O54,"Yes","No"))</f>
        <v>Yes</v>
      </c>
      <c r="T54" s="54" t="n">
        <f aca="false">IF(D54="","",ROUND(SQRT(((D54+G54)*O54/100)^2+(J54*(D54+G54)*0.05402)^2),0))</f>
        <v>56</v>
      </c>
      <c r="U54" s="32"/>
    </row>
    <row r="55" customFormat="false" ht="15" hidden="false" customHeight="false" outlineLevel="0" collapsed="false">
      <c r="A55" s="32" t="s">
        <v>188</v>
      </c>
      <c r="B55" s="32" t="s">
        <v>191</v>
      </c>
      <c r="C55" s="32" t="s">
        <v>129</v>
      </c>
      <c r="D55" s="54" t="n">
        <v>432</v>
      </c>
      <c r="E55" s="54" t="n">
        <v>368</v>
      </c>
      <c r="F55" s="65" t="n">
        <f aca="false">IF(E55="","",D55-E55)</f>
        <v>64</v>
      </c>
      <c r="G55" s="54" t="n">
        <v>415</v>
      </c>
      <c r="H55" s="54" t="n">
        <v>408</v>
      </c>
      <c r="I55" s="65" t="n">
        <f aca="false">IF(H55="","",G55-H55)</f>
        <v>7</v>
      </c>
      <c r="J55" s="55" t="n">
        <f aca="false">IF(OR(D55="",D55+G55=0),"",D55/(D55+G55))</f>
        <v>0.510035419126328</v>
      </c>
      <c r="K55" s="55" t="n">
        <f aca="false">IF(E55="","",E55/(E55+H55))</f>
        <v>0.474226804123711</v>
      </c>
      <c r="L55" s="66" t="n">
        <f aca="false">IF(OR(K55="",J55=""),"",(J55-K55)*100)</f>
        <v>3.58086150026169</v>
      </c>
      <c r="M55" s="36" t="n">
        <v>3.17596089782572</v>
      </c>
      <c r="N55" s="36" t="n">
        <v>1.82074442156214</v>
      </c>
      <c r="O55" s="36" t="n">
        <f aca="false">SQRT(M55^2+N55^2)</f>
        <v>3.66085206928218</v>
      </c>
      <c r="P55" s="55" t="n">
        <f aca="false">IF(J55="","",MAX(0,J55-1.96*O55/100))</f>
        <v>0.438282718568398</v>
      </c>
      <c r="Q55" s="55" t="n">
        <f aca="false">IF(J55="","",MIN(1,J55+1.96*O55/100))</f>
        <v>0.581788119684259</v>
      </c>
      <c r="R55" s="32" t="str">
        <f aca="false">IF(L55="","",IF(ABS(L55)&lt;=O55,"Yes","No"))</f>
        <v>Yes</v>
      </c>
      <c r="S55" s="32" t="str">
        <f aca="false">IF(L55="","",IF(ABS(L55)&lt;=1.96*O55,"Yes","No"))</f>
        <v>Yes</v>
      </c>
      <c r="T55" s="54" t="n">
        <f aca="false">IF(D55="","",ROUND(SQRT(((D55+G55)*O55/100)^2+(J55*(D55+G55)*0.07067)^2),0))</f>
        <v>44</v>
      </c>
      <c r="U55" s="32"/>
    </row>
    <row r="56" customFormat="false" ht="15" hidden="false" customHeight="false" outlineLevel="0" collapsed="false">
      <c r="A56" s="32" t="s">
        <v>188</v>
      </c>
      <c r="B56" s="32" t="s">
        <v>160</v>
      </c>
      <c r="C56" s="32" t="s">
        <v>129</v>
      </c>
      <c r="D56" s="54" t="n">
        <v>11645</v>
      </c>
      <c r="E56" s="54" t="n">
        <v>12121</v>
      </c>
      <c r="F56" s="65" t="n">
        <f aca="false">IF(E56="","",D56-E56)</f>
        <v>-476</v>
      </c>
      <c r="G56" s="54" t="n">
        <v>5818</v>
      </c>
      <c r="H56" s="54" t="n">
        <v>4931</v>
      </c>
      <c r="I56" s="65" t="n">
        <f aca="false">IF(H56="","",G56-H56)</f>
        <v>887</v>
      </c>
      <c r="J56" s="55" t="n">
        <f aca="false">IF(OR(D56="",D56+G56=0),"",D56/(D56+G56))</f>
        <v>0.666838458455019</v>
      </c>
      <c r="K56" s="55" t="n">
        <f aca="false">IF(E56="","",E56/(E56+H56))</f>
        <v>0.710825709594183</v>
      </c>
      <c r="L56" s="66" t="n">
        <f aca="false">IF(OR(K56="",J56=""),"",(J56-K56)*100)</f>
        <v>-4.39872511391632</v>
      </c>
      <c r="M56" s="36" t="n">
        <v>1.44801768945541</v>
      </c>
      <c r="N56" s="36" t="n">
        <v>1.82074442156214</v>
      </c>
      <c r="O56" s="36" t="n">
        <f aca="false">SQRT(M56^2+N56^2)</f>
        <v>2.32634165109629</v>
      </c>
      <c r="P56" s="55" t="n">
        <f aca="false">IF(J56="","",MAX(0,J56-1.96*O56/100))</f>
        <v>0.621242162093532</v>
      </c>
      <c r="Q56" s="55" t="n">
        <f aca="false">IF(J56="","",MIN(1,J56+1.96*O56/100))</f>
        <v>0.712434754816507</v>
      </c>
      <c r="R56" s="32" t="str">
        <f aca="false">IF(L56="","",IF(ABS(L56)&lt;=O56,"Yes","No"))</f>
        <v>No</v>
      </c>
      <c r="S56" s="32" t="str">
        <f aca="false">IF(L56="","",IF(ABS(L56)&lt;=1.96*O56,"Yes","No"))</f>
        <v>Yes</v>
      </c>
      <c r="T56" s="54" t="n">
        <f aca="false">IF(D56="","",ROUND(SQRT(((D56+G56)*O56/100)^2+(J56*(D56+G56)*0.04632)^2),0))</f>
        <v>675</v>
      </c>
      <c r="U56" s="32"/>
    </row>
    <row r="57" customFormat="false" ht="15" hidden="false" customHeight="false" outlineLevel="0" collapsed="false">
      <c r="A57" s="32" t="s">
        <v>188</v>
      </c>
      <c r="B57" s="32" t="s">
        <v>192</v>
      </c>
      <c r="C57" s="32" t="s">
        <v>129</v>
      </c>
      <c r="D57" s="54" t="n">
        <v>6353</v>
      </c>
      <c r="E57" s="54" t="n">
        <v>5576</v>
      </c>
      <c r="F57" s="65" t="n">
        <f aca="false">IF(E57="","",D57-E57)</f>
        <v>777</v>
      </c>
      <c r="G57" s="54" t="n">
        <v>4849</v>
      </c>
      <c r="H57" s="54" t="n">
        <v>4673</v>
      </c>
      <c r="I57" s="65" t="n">
        <f aca="false">IF(H57="","",G57-H57)</f>
        <v>176</v>
      </c>
      <c r="J57" s="55" t="n">
        <f aca="false">IF(OR(D57="",D57+G57=0),"",D57/(D57+G57))</f>
        <v>0.567130869487592</v>
      </c>
      <c r="K57" s="55" t="n">
        <f aca="false">IF(E57="","",E57/(E57+H57))</f>
        <v>0.544053078349107</v>
      </c>
      <c r="L57" s="66" t="n">
        <f aca="false">IF(OR(K57="",J57=""),"",(J57-K57)*100)</f>
        <v>2.30777911384843</v>
      </c>
      <c r="M57" s="36" t="n">
        <v>1.44801768945541</v>
      </c>
      <c r="N57" s="36" t="n">
        <v>1.82074442156214</v>
      </c>
      <c r="O57" s="36" t="n">
        <f aca="false">SQRT(M57^2+N57^2)</f>
        <v>2.32634165109629</v>
      </c>
      <c r="P57" s="55" t="n">
        <f aca="false">IF(J57="","",MAX(0,J57-1.96*O57/100))</f>
        <v>0.521534573126104</v>
      </c>
      <c r="Q57" s="55" t="n">
        <f aca="false">IF(J57="","",MIN(1,J57+1.96*O57/100))</f>
        <v>0.612727165849079</v>
      </c>
      <c r="R57" s="32" t="str">
        <f aca="false">IF(L57="","",IF(ABS(L57)&lt;=O57,"Yes","No"))</f>
        <v>Yes</v>
      </c>
      <c r="S57" s="32" t="str">
        <f aca="false">IF(L57="","",IF(ABS(L57)&lt;=1.96*O57,"Yes","No"))</f>
        <v>Yes</v>
      </c>
      <c r="T57" s="54" t="n">
        <f aca="false">IF(D57="","",ROUND(SQRT(((D57+G57)*O57/100)^2+(J57*(D57+G57)*0.04632)^2),0))</f>
        <v>393</v>
      </c>
      <c r="U57" s="32"/>
    </row>
    <row r="58" customFormat="false" ht="15" hidden="false" customHeight="false" outlineLevel="0" collapsed="false">
      <c r="A58" s="32" t="s">
        <v>188</v>
      </c>
      <c r="B58" s="32" t="s">
        <v>193</v>
      </c>
      <c r="C58" s="32" t="s">
        <v>129</v>
      </c>
      <c r="D58" s="54" t="n">
        <v>1543</v>
      </c>
      <c r="E58" s="54" t="n">
        <v>1370</v>
      </c>
      <c r="F58" s="65" t="n">
        <f aca="false">IF(E58="","",D58-E58)</f>
        <v>173</v>
      </c>
      <c r="G58" s="54" t="n">
        <v>2480</v>
      </c>
      <c r="H58" s="54" t="n">
        <v>2143</v>
      </c>
      <c r="I58" s="65" t="n">
        <f aca="false">IF(H58="","",G58-H58)</f>
        <v>337</v>
      </c>
      <c r="J58" s="55" t="n">
        <f aca="false">IF(OR(D58="",D58+G58=0),"",D58/(D58+G58))</f>
        <v>0.383544618443947</v>
      </c>
      <c r="K58" s="55" t="n">
        <f aca="false">IF(E58="","",E58/(E58+H58))</f>
        <v>0.389980074010817</v>
      </c>
      <c r="L58" s="66" t="n">
        <f aca="false">IF(OR(K58="",J58=""),"",(J58-K58)*100)</f>
        <v>-0.643545556686964</v>
      </c>
      <c r="M58" s="36" t="n">
        <v>1.44801768945541</v>
      </c>
      <c r="N58" s="36" t="n">
        <v>1.82074442156214</v>
      </c>
      <c r="O58" s="36" t="n">
        <f aca="false">SQRT(M58^2+N58^2)</f>
        <v>2.32634165109629</v>
      </c>
      <c r="P58" s="55" t="n">
        <f aca="false">IF(J58="","",MAX(0,J58-1.96*O58/100))</f>
        <v>0.33794832208246</v>
      </c>
      <c r="Q58" s="55" t="n">
        <f aca="false">IF(J58="","",MIN(1,J58+1.96*O58/100))</f>
        <v>0.429140914805435</v>
      </c>
      <c r="R58" s="32" t="str">
        <f aca="false">IF(L58="","",IF(ABS(L58)&lt;=O58,"Yes","No"))</f>
        <v>Yes</v>
      </c>
      <c r="S58" s="32" t="str">
        <f aca="false">IF(L58="","",IF(ABS(L58)&lt;=1.96*O58,"Yes","No"))</f>
        <v>Yes</v>
      </c>
      <c r="T58" s="54" t="n">
        <f aca="false">IF(D58="","",ROUND(SQRT(((D58+G58)*O58/100)^2+(J58*(D58+G58)*0.04632)^2),0))</f>
        <v>118</v>
      </c>
      <c r="U58" s="32"/>
    </row>
    <row r="59" customFormat="false" ht="15" hidden="false" customHeight="false" outlineLevel="0" collapsed="false">
      <c r="A59" s="32" t="s">
        <v>188</v>
      </c>
      <c r="B59" s="32" t="s">
        <v>194</v>
      </c>
      <c r="C59" s="32" t="s">
        <v>129</v>
      </c>
      <c r="D59" s="54" t="n">
        <v>31</v>
      </c>
      <c r="E59" s="54" t="n">
        <v>30</v>
      </c>
      <c r="F59" s="65" t="n">
        <f aca="false">IF(E59="","",D59-E59)</f>
        <v>1</v>
      </c>
      <c r="G59" s="54" t="n">
        <v>52</v>
      </c>
      <c r="H59" s="54" t="n">
        <v>36</v>
      </c>
      <c r="I59" s="65" t="n">
        <f aca="false">IF(H59="","",G59-H59)</f>
        <v>16</v>
      </c>
      <c r="J59" s="55" t="n">
        <f aca="false">IF(OR(D59="",D59+G59=0),"",D59/(D59+G59))</f>
        <v>0.373493975903614</v>
      </c>
      <c r="K59" s="55" t="n">
        <f aca="false">IF(E59="","",E59/(E59+H59))</f>
        <v>0.454545454545455</v>
      </c>
      <c r="L59" s="66" t="n">
        <f aca="false">IF(OR(K59="",J59=""),"",(J59-K59)*100)</f>
        <v>-8.10514786418401</v>
      </c>
      <c r="M59" s="36" t="n">
        <v>3.17596089782572</v>
      </c>
      <c r="N59" s="36" t="n">
        <v>1.82074442156214</v>
      </c>
      <c r="O59" s="36" t="n">
        <f aca="false">SQRT(M59^2+N59^2)</f>
        <v>3.66085206928218</v>
      </c>
      <c r="P59" s="55" t="n">
        <f aca="false">IF(J59="","",MAX(0,J59-1.96*O59/100))</f>
        <v>0.301741275345684</v>
      </c>
      <c r="Q59" s="55" t="n">
        <f aca="false">IF(J59="","",MIN(1,J59+1.96*O59/100))</f>
        <v>0.445246676461545</v>
      </c>
      <c r="R59" s="32" t="str">
        <f aca="false">IF(L59="","",IF(ABS(L59)&lt;=O59,"Yes","No"))</f>
        <v>No</v>
      </c>
      <c r="S59" s="32" t="str">
        <f aca="false">IF(L59="","",IF(ABS(L59)&lt;=1.96*O59,"Yes","No"))</f>
        <v>No</v>
      </c>
      <c r="T59" s="54" t="n">
        <f aca="false">IF(D59="","",ROUND(SQRT(((D59+G59)*O59/100)^2+(J59*(D59+G59)*0.07067)^2),0))</f>
        <v>4</v>
      </c>
      <c r="U59" s="32"/>
    </row>
    <row r="60" customFormat="false" ht="15" hidden="false" customHeight="false" outlineLevel="0" collapsed="false">
      <c r="A60" s="32" t="s">
        <v>188</v>
      </c>
      <c r="B60" s="32" t="s">
        <v>195</v>
      </c>
      <c r="C60" s="32" t="s">
        <v>129</v>
      </c>
      <c r="D60" s="54" t="n">
        <v>974</v>
      </c>
      <c r="E60" s="54" t="n">
        <v>840</v>
      </c>
      <c r="F60" s="65" t="n">
        <f aca="false">IF(E60="","",D60-E60)</f>
        <v>134</v>
      </c>
      <c r="G60" s="54" t="n">
        <v>1241</v>
      </c>
      <c r="H60" s="54" t="n">
        <v>1151</v>
      </c>
      <c r="I60" s="65" t="n">
        <f aca="false">IF(H60="","",G60-H60)</f>
        <v>90</v>
      </c>
      <c r="J60" s="55" t="n">
        <f aca="false">IF(OR(D60="",D60+G60=0),"",D60/(D60+G60))</f>
        <v>0.439729119638826</v>
      </c>
      <c r="K60" s="55" t="n">
        <f aca="false">IF(E60="","",E60/(E60+H60))</f>
        <v>0.421898543445505</v>
      </c>
      <c r="L60" s="66" t="n">
        <f aca="false">IF(OR(K60="",J60=""),"",(J60-K60)*100)</f>
        <v>1.78305761933214</v>
      </c>
      <c r="M60" s="36" t="n">
        <v>1.87643185227669</v>
      </c>
      <c r="N60" s="36" t="n">
        <v>1.82074442156214</v>
      </c>
      <c r="O60" s="36" t="n">
        <f aca="false">SQRT(M60^2+N60^2)</f>
        <v>2.61459494853184</v>
      </c>
      <c r="P60" s="55" t="n">
        <f aca="false">IF(J60="","",MAX(0,J60-1.96*O60/100))</f>
        <v>0.388483058647602</v>
      </c>
      <c r="Q60" s="55" t="n">
        <f aca="false">IF(J60="","",MIN(1,J60+1.96*O60/100))</f>
        <v>0.49097518063005</v>
      </c>
      <c r="R60" s="32" t="str">
        <f aca="false">IF(L60="","",IF(ABS(L60)&lt;=O60,"Yes","No"))</f>
        <v>Yes</v>
      </c>
      <c r="S60" s="32" t="str">
        <f aca="false">IF(L60="","",IF(ABS(L60)&lt;=1.96*O60,"Yes","No"))</f>
        <v>Yes</v>
      </c>
      <c r="T60" s="54" t="n">
        <f aca="false">IF(D60="","",ROUND(SQRT(((D60+G60)*O60/100)^2+(J60*(D60+G60)*0.05402)^2),0))</f>
        <v>78</v>
      </c>
      <c r="U60" s="32"/>
    </row>
    <row r="61" customFormat="false" ht="15" hidden="false" customHeight="false" outlineLevel="0" collapsed="false">
      <c r="A61" s="32" t="s">
        <v>188</v>
      </c>
      <c r="B61" s="32" t="s">
        <v>196</v>
      </c>
      <c r="C61" s="32" t="s">
        <v>129</v>
      </c>
      <c r="D61" s="54" t="n">
        <v>146</v>
      </c>
      <c r="E61" s="54" t="n">
        <v>130</v>
      </c>
      <c r="F61" s="65" t="n">
        <f aca="false">IF(E61="","",D61-E61)</f>
        <v>16</v>
      </c>
      <c r="G61" s="54" t="n">
        <v>190</v>
      </c>
      <c r="H61" s="54" t="n">
        <v>203</v>
      </c>
      <c r="I61" s="65" t="n">
        <f aca="false">IF(H61="","",G61-H61)</f>
        <v>-13</v>
      </c>
      <c r="J61" s="55" t="n">
        <f aca="false">IF(OR(D61="",D61+G61=0),"",D61/(D61+G61))</f>
        <v>0.43452380952381</v>
      </c>
      <c r="K61" s="55" t="n">
        <f aca="false">IF(E61="","",E61/(E61+H61))</f>
        <v>0.39039039039039</v>
      </c>
      <c r="L61" s="66" t="n">
        <f aca="false">IF(OR(K61="",J61=""),"",(J61-K61)*100)</f>
        <v>4.41334191334192</v>
      </c>
      <c r="M61" s="36" t="n">
        <v>3.17596089782572</v>
      </c>
      <c r="N61" s="36" t="n">
        <v>1.82074442156214</v>
      </c>
      <c r="O61" s="36" t="n">
        <f aca="false">SQRT(M61^2+N61^2)</f>
        <v>3.66085206928218</v>
      </c>
      <c r="P61" s="55" t="n">
        <f aca="false">IF(J61="","",MAX(0,J61-1.96*O61/100))</f>
        <v>0.362771108965879</v>
      </c>
      <c r="Q61" s="55" t="n">
        <f aca="false">IF(J61="","",MIN(1,J61+1.96*O61/100))</f>
        <v>0.50627651008174</v>
      </c>
      <c r="R61" s="32" t="str">
        <f aca="false">IF(L61="","",IF(ABS(L61)&lt;=O61,"Yes","No"))</f>
        <v>No</v>
      </c>
      <c r="S61" s="32" t="str">
        <f aca="false">IF(L61="","",IF(ABS(L61)&lt;=1.96*O61,"Yes","No"))</f>
        <v>Yes</v>
      </c>
      <c r="T61" s="54" t="n">
        <f aca="false">IF(D61="","",ROUND(SQRT(((D61+G61)*O61/100)^2+(J61*(D61+G61)*0.07067)^2),0))</f>
        <v>16</v>
      </c>
      <c r="U61" s="32"/>
    </row>
    <row r="62" customFormat="false" ht="15" hidden="false" customHeight="false" outlineLevel="0" collapsed="false">
      <c r="A62" s="32" t="s">
        <v>188</v>
      </c>
      <c r="B62" s="32" t="s">
        <v>197</v>
      </c>
      <c r="C62" s="32" t="s">
        <v>129</v>
      </c>
      <c r="D62" s="54" t="n">
        <v>4521</v>
      </c>
      <c r="E62" s="54" t="n">
        <v>5059</v>
      </c>
      <c r="F62" s="65" t="n">
        <f aca="false">IF(E62="","",D62-E62)</f>
        <v>-538</v>
      </c>
      <c r="G62" s="54" t="n">
        <v>2257</v>
      </c>
      <c r="H62" s="54" t="n">
        <v>1583</v>
      </c>
      <c r="I62" s="65" t="n">
        <f aca="false">IF(H62="","",G62-H62)</f>
        <v>674</v>
      </c>
      <c r="J62" s="55" t="n">
        <f aca="false">IF(OR(D62="",D62+G62=0),"",D62/(D62+G62))</f>
        <v>0.66701091767483</v>
      </c>
      <c r="K62" s="55" t="n">
        <f aca="false">IF(E62="","",E62/(E62+H62))</f>
        <v>0.761668172237278</v>
      </c>
      <c r="L62" s="66" t="n">
        <f aca="false">IF(OR(K62="",J62=""),"",(J62-K62)*100)</f>
        <v>-9.46572545624476</v>
      </c>
      <c r="M62" s="36" t="n">
        <v>1.44801768945541</v>
      </c>
      <c r="N62" s="36" t="n">
        <v>1.82074442156214</v>
      </c>
      <c r="O62" s="36" t="n">
        <f aca="false">SQRT(M62^2+N62^2)</f>
        <v>2.32634165109629</v>
      </c>
      <c r="P62" s="55" t="n">
        <f aca="false">IF(J62="","",MAX(0,J62-1.96*O62/100))</f>
        <v>0.621414621313343</v>
      </c>
      <c r="Q62" s="55" t="n">
        <f aca="false">IF(J62="","",MIN(1,J62+1.96*O62/100))</f>
        <v>0.712607214036318</v>
      </c>
      <c r="R62" s="32" t="str">
        <f aca="false">IF(L62="","",IF(ABS(L62)&lt;=O62,"Yes","No"))</f>
        <v>No</v>
      </c>
      <c r="S62" s="32" t="str">
        <f aca="false">IF(L62="","",IF(ABS(L62)&lt;=1.96*O62,"Yes","No"))</f>
        <v>No</v>
      </c>
      <c r="T62" s="54" t="n">
        <f aca="false">IF(D62="","",ROUND(SQRT(((D62+G62)*O62/100)^2+(J62*(D62+G62)*0.04632)^2),0))</f>
        <v>262</v>
      </c>
      <c r="U62" s="32"/>
    </row>
    <row r="63" customFormat="false" ht="15" hidden="false" customHeight="false" outlineLevel="0" collapsed="false">
      <c r="A63" s="32" t="s">
        <v>188</v>
      </c>
      <c r="B63" s="32" t="s">
        <v>198</v>
      </c>
      <c r="C63" s="32" t="s">
        <v>129</v>
      </c>
      <c r="D63" s="54" t="n">
        <v>3912</v>
      </c>
      <c r="E63" s="54" t="n">
        <v>3565</v>
      </c>
      <c r="F63" s="65" t="n">
        <f aca="false">IF(E63="","",D63-E63)</f>
        <v>347</v>
      </c>
      <c r="G63" s="54" t="n">
        <v>3291</v>
      </c>
      <c r="H63" s="54" t="n">
        <v>3017</v>
      </c>
      <c r="I63" s="65" t="n">
        <f aca="false">IF(H63="","",G63-H63)</f>
        <v>274</v>
      </c>
      <c r="J63" s="55" t="n">
        <f aca="false">IF(OR(D63="",D63+G63=0),"",D63/(D63+G63))</f>
        <v>0.543107038733861</v>
      </c>
      <c r="K63" s="55" t="n">
        <f aca="false">IF(E63="","",E63/(E63+H63))</f>
        <v>0.541628684290489</v>
      </c>
      <c r="L63" s="66" t="n">
        <f aca="false">IF(OR(K63="",J63=""),"",(J63-K63)*100)</f>
        <v>0.147835444337174</v>
      </c>
      <c r="M63" s="36" t="n">
        <v>1.44801768945541</v>
      </c>
      <c r="N63" s="36" t="n">
        <v>1.82074442156214</v>
      </c>
      <c r="O63" s="36" t="n">
        <f aca="false">SQRT(M63^2+N63^2)</f>
        <v>2.32634165109629</v>
      </c>
      <c r="P63" s="55" t="n">
        <f aca="false">IF(J63="","",MAX(0,J63-1.96*O63/100))</f>
        <v>0.497510742372374</v>
      </c>
      <c r="Q63" s="55" t="n">
        <f aca="false">IF(J63="","",MIN(1,J63+1.96*O63/100))</f>
        <v>0.588703335095348</v>
      </c>
      <c r="R63" s="32" t="str">
        <f aca="false">IF(L63="","",IF(ABS(L63)&lt;=O63,"Yes","No"))</f>
        <v>Yes</v>
      </c>
      <c r="S63" s="32" t="str">
        <f aca="false">IF(L63="","",IF(ABS(L63)&lt;=1.96*O63,"Yes","No"))</f>
        <v>Yes</v>
      </c>
      <c r="T63" s="54" t="n">
        <f aca="false">IF(D63="","",ROUND(SQRT(((D63+G63)*O63/100)^2+(J63*(D63+G63)*0.04632)^2),0))</f>
        <v>247</v>
      </c>
      <c r="U63" s="32"/>
    </row>
    <row r="64" customFormat="false" ht="15" hidden="false" customHeight="false" outlineLevel="0" collapsed="false">
      <c r="A64" s="32" t="s">
        <v>188</v>
      </c>
      <c r="B64" s="32" t="s">
        <v>199</v>
      </c>
      <c r="C64" s="32" t="s">
        <v>129</v>
      </c>
      <c r="D64" s="54" t="n">
        <v>456</v>
      </c>
      <c r="E64" s="54" t="n">
        <v>497</v>
      </c>
      <c r="F64" s="65" t="n">
        <f aca="false">IF(E64="","",D64-E64)</f>
        <v>-41</v>
      </c>
      <c r="G64" s="54" t="n">
        <v>275</v>
      </c>
      <c r="H64" s="54" t="n">
        <v>253</v>
      </c>
      <c r="I64" s="65" t="n">
        <f aca="false">IF(H64="","",G64-H64)</f>
        <v>22</v>
      </c>
      <c r="J64" s="55" t="n">
        <f aca="false">IF(OR(D64="",D64+G64=0),"",D64/(D64+G64))</f>
        <v>0.623803009575923</v>
      </c>
      <c r="K64" s="55" t="n">
        <f aca="false">IF(E64="","",E64/(E64+H64))</f>
        <v>0.662666666666667</v>
      </c>
      <c r="L64" s="66" t="n">
        <f aca="false">IF(OR(K64="",J64=""),"",(J64-K64)*100)</f>
        <v>-3.88636570907432</v>
      </c>
      <c r="M64" s="36" t="n">
        <v>3.17596089782572</v>
      </c>
      <c r="N64" s="36" t="n">
        <v>1.82074442156214</v>
      </c>
      <c r="O64" s="36" t="n">
        <f aca="false">SQRT(M64^2+N64^2)</f>
        <v>3.66085206928218</v>
      </c>
      <c r="P64" s="55" t="n">
        <f aca="false">IF(J64="","",MAX(0,J64-1.96*O64/100))</f>
        <v>0.552050309017993</v>
      </c>
      <c r="Q64" s="55" t="n">
        <f aca="false">IF(J64="","",MIN(1,J64+1.96*O64/100))</f>
        <v>0.695555710133854</v>
      </c>
      <c r="R64" s="32" t="str">
        <f aca="false">IF(L64="","",IF(ABS(L64)&lt;=O64,"Yes","No"))</f>
        <v>No</v>
      </c>
      <c r="S64" s="32" t="str">
        <f aca="false">IF(L64="","",IF(ABS(L64)&lt;=1.96*O64,"Yes","No"))</f>
        <v>Yes</v>
      </c>
      <c r="T64" s="54" t="n">
        <f aca="false">IF(D64="","",ROUND(SQRT(((D64+G64)*O64/100)^2+(J64*(D64+G64)*0.07067)^2),0))</f>
        <v>42</v>
      </c>
      <c r="U64" s="32"/>
    </row>
    <row r="65" customFormat="false" ht="15" hidden="false" customHeight="false" outlineLevel="0" collapsed="false">
      <c r="A65" s="32" t="s">
        <v>188</v>
      </c>
      <c r="B65" s="32" t="s">
        <v>200</v>
      </c>
      <c r="C65" s="32" t="s">
        <v>129</v>
      </c>
      <c r="D65" s="54" t="n">
        <v>62</v>
      </c>
      <c r="E65" s="54" t="n">
        <v>72</v>
      </c>
      <c r="F65" s="65" t="n">
        <f aca="false">IF(E65="","",D65-E65)</f>
        <v>-10</v>
      </c>
      <c r="G65" s="54" t="n">
        <v>60</v>
      </c>
      <c r="H65" s="54" t="n">
        <v>39</v>
      </c>
      <c r="I65" s="65" t="n">
        <f aca="false">IF(H65="","",G65-H65)</f>
        <v>21</v>
      </c>
      <c r="J65" s="55" t="n">
        <f aca="false">IF(OR(D65="",D65+G65=0),"",D65/(D65+G65))</f>
        <v>0.508196721311475</v>
      </c>
      <c r="K65" s="55" t="n">
        <f aca="false">IF(E65="","",E65/(E65+H65))</f>
        <v>0.648648648648649</v>
      </c>
      <c r="L65" s="66" t="n">
        <f aca="false">IF(OR(K65="",J65=""),"",(J65-K65)*100)</f>
        <v>-14.0451927337173</v>
      </c>
      <c r="M65" s="36" t="n">
        <v>3.17596089782572</v>
      </c>
      <c r="N65" s="36" t="n">
        <v>1.82074442156214</v>
      </c>
      <c r="O65" s="36" t="n">
        <f aca="false">SQRT(M65^2+N65^2)</f>
        <v>3.66085206928218</v>
      </c>
      <c r="P65" s="55" t="n">
        <f aca="false">IF(J65="","",MAX(0,J65-1.96*O65/100))</f>
        <v>0.436444020753545</v>
      </c>
      <c r="Q65" s="55" t="n">
        <f aca="false">IF(J65="","",MIN(1,J65+1.96*O65/100))</f>
        <v>0.579949421869406</v>
      </c>
      <c r="R65" s="32" t="str">
        <f aca="false">IF(L65="","",IF(ABS(L65)&lt;=O65,"Yes","No"))</f>
        <v>No</v>
      </c>
      <c r="S65" s="32" t="str">
        <f aca="false">IF(L65="","",IF(ABS(L65)&lt;=1.96*O65,"Yes","No"))</f>
        <v>No</v>
      </c>
      <c r="T65" s="54" t="n">
        <f aca="false">IF(D65="","",ROUND(SQRT(((D65+G65)*O65/100)^2+(J65*(D65+G65)*0.07067)^2),0))</f>
        <v>6</v>
      </c>
      <c r="U65" s="32"/>
    </row>
    <row r="66" customFormat="false" ht="15" hidden="false" customHeight="false" outlineLevel="0" collapsed="false">
      <c r="A66" s="32" t="s">
        <v>188</v>
      </c>
      <c r="B66" s="32" t="s">
        <v>166</v>
      </c>
      <c r="C66" s="32" t="s">
        <v>129</v>
      </c>
      <c r="D66" s="54" t="n">
        <v>3272</v>
      </c>
      <c r="E66" s="54" t="n">
        <v>3075</v>
      </c>
      <c r="F66" s="65" t="n">
        <f aca="false">IF(E66="","",D66-E66)</f>
        <v>197</v>
      </c>
      <c r="G66" s="54" t="n">
        <v>2838</v>
      </c>
      <c r="H66" s="54" t="n">
        <v>2610</v>
      </c>
      <c r="I66" s="65" t="n">
        <f aca="false">IF(H66="","",G66-H66)</f>
        <v>228</v>
      </c>
      <c r="J66" s="55" t="n">
        <f aca="false">IF(OR(D66="",D66+G66=0),"",D66/(D66+G66))</f>
        <v>0.535515548281506</v>
      </c>
      <c r="K66" s="55" t="n">
        <f aca="false">IF(E66="","",E66/(E66+H66))</f>
        <v>0.54089709762533</v>
      </c>
      <c r="L66" s="66" t="n">
        <f aca="false">IF(OR(K66="",J66=""),"",(J66-K66)*100)</f>
        <v>-0.538154934382407</v>
      </c>
      <c r="M66" s="36" t="n">
        <v>1.44801768945541</v>
      </c>
      <c r="N66" s="36" t="n">
        <v>1.82074442156214</v>
      </c>
      <c r="O66" s="36" t="n">
        <f aca="false">SQRT(M66^2+N66^2)</f>
        <v>2.32634165109629</v>
      </c>
      <c r="P66" s="55" t="n">
        <f aca="false">IF(J66="","",MAX(0,J66-1.96*O66/100))</f>
        <v>0.489919251920018</v>
      </c>
      <c r="Q66" s="55" t="n">
        <f aca="false">IF(J66="","",MIN(1,J66+1.96*O66/100))</f>
        <v>0.581111844642993</v>
      </c>
      <c r="R66" s="32" t="str">
        <f aca="false">IF(L66="","",IF(ABS(L66)&lt;=O66,"Yes","No"))</f>
        <v>Yes</v>
      </c>
      <c r="S66" s="32" t="str">
        <f aca="false">IF(L66="","",IF(ABS(L66)&lt;=1.96*O66,"Yes","No"))</f>
        <v>Yes</v>
      </c>
      <c r="T66" s="54" t="n">
        <f aca="false">IF(D66="","",ROUND(SQRT(((D66+G66)*O66/100)^2+(J66*(D66+G66)*0.04632)^2),0))</f>
        <v>208</v>
      </c>
      <c r="U66" s="32"/>
    </row>
    <row r="67" customFormat="false" ht="15" hidden="false" customHeight="false" outlineLevel="0" collapsed="false">
      <c r="A67" s="32" t="s">
        <v>188</v>
      </c>
      <c r="B67" s="32" t="s">
        <v>201</v>
      </c>
      <c r="C67" s="32" t="s">
        <v>129</v>
      </c>
      <c r="D67" s="54" t="n">
        <v>1272</v>
      </c>
      <c r="E67" s="54" t="n">
        <v>1246</v>
      </c>
      <c r="F67" s="65" t="n">
        <f aca="false">IF(E67="","",D67-E67)</f>
        <v>26</v>
      </c>
      <c r="G67" s="54" t="n">
        <v>1077</v>
      </c>
      <c r="H67" s="54" t="n">
        <v>966</v>
      </c>
      <c r="I67" s="65" t="n">
        <f aca="false">IF(H67="","",G67-H67)</f>
        <v>111</v>
      </c>
      <c r="J67" s="55" t="n">
        <f aca="false">IF(OR(D67="",D67+G67=0),"",D67/(D67+G67))</f>
        <v>0.541507024265645</v>
      </c>
      <c r="K67" s="55" t="n">
        <f aca="false">IF(E67="","",E67/(E67+H67))</f>
        <v>0.563291139240506</v>
      </c>
      <c r="L67" s="66" t="n">
        <f aca="false">IF(OR(K67="",J67=""),"",(J67-K67)*100)</f>
        <v>-2.17841149748613</v>
      </c>
      <c r="M67" s="36" t="n">
        <v>1.87643185227669</v>
      </c>
      <c r="N67" s="36" t="n">
        <v>1.82074442156214</v>
      </c>
      <c r="O67" s="36" t="n">
        <f aca="false">SQRT(M67^2+N67^2)</f>
        <v>2.61459494853184</v>
      </c>
      <c r="P67" s="55" t="n">
        <f aca="false">IF(J67="","",MAX(0,J67-1.96*O67/100))</f>
        <v>0.490260963274421</v>
      </c>
      <c r="Q67" s="55" t="n">
        <f aca="false">IF(J67="","",MIN(1,J67+1.96*O67/100))</f>
        <v>0.592753085256869</v>
      </c>
      <c r="R67" s="32" t="str">
        <f aca="false">IF(L67="","",IF(ABS(L67)&lt;=O67,"Yes","No"))</f>
        <v>Yes</v>
      </c>
      <c r="S67" s="32" t="str">
        <f aca="false">IF(L67="","",IF(ABS(L67)&lt;=1.96*O67,"Yes","No"))</f>
        <v>Yes</v>
      </c>
      <c r="T67" s="54" t="n">
        <f aca="false">IF(D67="","",ROUND(SQRT(((D67+G67)*O67/100)^2+(J67*(D67+G67)*0.05402)^2),0))</f>
        <v>92</v>
      </c>
      <c r="U67" s="32"/>
    </row>
    <row r="68" customFormat="false" ht="15" hidden="false" customHeight="false" outlineLevel="0" collapsed="false">
      <c r="A68" s="32" t="s">
        <v>188</v>
      </c>
      <c r="B68" s="32" t="s">
        <v>202</v>
      </c>
      <c r="C68" s="32" t="s">
        <v>129</v>
      </c>
      <c r="D68" s="54" t="n">
        <v>1914</v>
      </c>
      <c r="E68" s="54" t="n">
        <v>1543</v>
      </c>
      <c r="F68" s="65" t="n">
        <f aca="false">IF(E68="","",D68-E68)</f>
        <v>371</v>
      </c>
      <c r="G68" s="54" t="n">
        <v>2816</v>
      </c>
      <c r="H68" s="54" t="n">
        <v>2708</v>
      </c>
      <c r="I68" s="65" t="n">
        <f aca="false">IF(H68="","",G68-H68)</f>
        <v>108</v>
      </c>
      <c r="J68" s="55" t="n">
        <f aca="false">IF(OR(D68="",D68+G68=0),"",D68/(D68+G68))</f>
        <v>0.404651162790698</v>
      </c>
      <c r="K68" s="55" t="n">
        <f aca="false">IF(E68="","",E68/(E68+H68))</f>
        <v>0.36297341801929</v>
      </c>
      <c r="L68" s="66" t="n">
        <f aca="false">IF(OR(K68="",J68=""),"",(J68-K68)*100)</f>
        <v>4.16777447714081</v>
      </c>
      <c r="M68" s="36" t="n">
        <v>1.44801768945541</v>
      </c>
      <c r="N68" s="36" t="n">
        <v>1.82074442156214</v>
      </c>
      <c r="O68" s="36" t="n">
        <f aca="false">SQRT(M68^2+N68^2)</f>
        <v>2.32634165109629</v>
      </c>
      <c r="P68" s="55" t="n">
        <f aca="false">IF(J68="","",MAX(0,J68-1.96*O68/100))</f>
        <v>0.35905486642921</v>
      </c>
      <c r="Q68" s="55" t="n">
        <f aca="false">IF(J68="","",MIN(1,J68+1.96*O68/100))</f>
        <v>0.450247459152185</v>
      </c>
      <c r="R68" s="32" t="str">
        <f aca="false">IF(L68="","",IF(ABS(L68)&lt;=O68,"Yes","No"))</f>
        <v>No</v>
      </c>
      <c r="S68" s="32" t="str">
        <f aca="false">IF(L68="","",IF(ABS(L68)&lt;=1.96*O68,"Yes","No"))</f>
        <v>Yes</v>
      </c>
      <c r="T68" s="54" t="n">
        <f aca="false">IF(D68="","",ROUND(SQRT(((D68+G68)*O68/100)^2+(J68*(D68+G68)*0.04632)^2),0))</f>
        <v>141</v>
      </c>
      <c r="U68" s="32"/>
    </row>
    <row r="69" customFormat="false" ht="15" hidden="false" customHeight="false" outlineLevel="0" collapsed="false">
      <c r="A69" s="32" t="s">
        <v>188</v>
      </c>
      <c r="B69" s="32" t="s">
        <v>203</v>
      </c>
      <c r="C69" s="32" t="s">
        <v>129</v>
      </c>
      <c r="D69" s="54" t="n">
        <v>483</v>
      </c>
      <c r="E69" s="54" t="n">
        <v>474</v>
      </c>
      <c r="F69" s="65" t="n">
        <f aca="false">IF(E69="","",D69-E69)</f>
        <v>9</v>
      </c>
      <c r="G69" s="54" t="n">
        <v>850</v>
      </c>
      <c r="H69" s="54" t="n">
        <v>678</v>
      </c>
      <c r="I69" s="65" t="n">
        <f aca="false">IF(H69="","",G69-H69)</f>
        <v>172</v>
      </c>
      <c r="J69" s="55" t="n">
        <f aca="false">IF(OR(D69="",D69+G69=0),"",D69/(D69+G69))</f>
        <v>0.362340585146287</v>
      </c>
      <c r="K69" s="55" t="n">
        <f aca="false">IF(E69="","",E69/(E69+H69))</f>
        <v>0.411458333333333</v>
      </c>
      <c r="L69" s="66" t="n">
        <f aca="false">IF(OR(K69="",J69=""),"",(J69-K69)*100)</f>
        <v>-4.91177481870467</v>
      </c>
      <c r="M69" s="36" t="n">
        <v>1.87643185227669</v>
      </c>
      <c r="N69" s="36" t="n">
        <v>1.82074442156214</v>
      </c>
      <c r="O69" s="36" t="n">
        <f aca="false">SQRT(M69^2+N69^2)</f>
        <v>2.61459494853184</v>
      </c>
      <c r="P69" s="55" t="n">
        <f aca="false">IF(J69="","",MAX(0,J69-1.96*O69/100))</f>
        <v>0.311094524155063</v>
      </c>
      <c r="Q69" s="55" t="n">
        <f aca="false">IF(J69="","",MIN(1,J69+1.96*O69/100))</f>
        <v>0.413586646137511</v>
      </c>
      <c r="R69" s="32" t="str">
        <f aca="false">IF(L69="","",IF(ABS(L69)&lt;=O69,"Yes","No"))</f>
        <v>No</v>
      </c>
      <c r="S69" s="32" t="str">
        <f aca="false">IF(L69="","",IF(ABS(L69)&lt;=1.96*O69,"Yes","No"))</f>
        <v>Yes</v>
      </c>
      <c r="T69" s="54" t="n">
        <f aca="false">IF(D69="","",ROUND(SQRT(((D69+G69)*O69/100)^2+(J69*(D69+G69)*0.05402)^2),0))</f>
        <v>44</v>
      </c>
      <c r="U69" s="32"/>
    </row>
    <row r="70" customFormat="false" ht="15" hidden="false" customHeight="false" outlineLevel="0" collapsed="false">
      <c r="A70" s="32" t="s">
        <v>188</v>
      </c>
      <c r="B70" s="32" t="s">
        <v>204</v>
      </c>
      <c r="C70" s="32" t="s">
        <v>129</v>
      </c>
      <c r="D70" s="54" t="n">
        <v>1479</v>
      </c>
      <c r="E70" s="54" t="n">
        <v>1320</v>
      </c>
      <c r="F70" s="65" t="n">
        <f aca="false">IF(E70="","",D70-E70)</f>
        <v>159</v>
      </c>
      <c r="G70" s="54" t="n">
        <v>1805</v>
      </c>
      <c r="H70" s="54" t="n">
        <v>1650</v>
      </c>
      <c r="I70" s="65" t="n">
        <f aca="false">IF(H70="","",G70-H70)</f>
        <v>155</v>
      </c>
      <c r="J70" s="55" t="n">
        <f aca="false">IF(OR(D70="",D70+G70=0),"",D70/(D70+G70))</f>
        <v>0.450365408038977</v>
      </c>
      <c r="K70" s="55" t="n">
        <f aca="false">IF(E70="","",E70/(E70+H70))</f>
        <v>0.444444444444444</v>
      </c>
      <c r="L70" s="66" t="n">
        <f aca="false">IF(OR(K70="",J70=""),"",(J70-K70)*100)</f>
        <v>0.592096359453243</v>
      </c>
      <c r="M70" s="36" t="n">
        <v>1.44801768945541</v>
      </c>
      <c r="N70" s="36" t="n">
        <v>1.82074442156214</v>
      </c>
      <c r="O70" s="36" t="n">
        <f aca="false">SQRT(M70^2+N70^2)</f>
        <v>2.32634165109629</v>
      </c>
      <c r="P70" s="55" t="n">
        <f aca="false">IF(J70="","",MAX(0,J70-1.96*O70/100))</f>
        <v>0.404769111677489</v>
      </c>
      <c r="Q70" s="55" t="n">
        <f aca="false">IF(J70="","",MIN(1,J70+1.96*O70/100))</f>
        <v>0.495961704400464</v>
      </c>
      <c r="R70" s="32" t="str">
        <f aca="false">IF(L70="","",IF(ABS(L70)&lt;=O70,"Yes","No"))</f>
        <v>Yes</v>
      </c>
      <c r="S70" s="32" t="str">
        <f aca="false">IF(L70="","",IF(ABS(L70)&lt;=1.96*O70,"Yes","No"))</f>
        <v>Yes</v>
      </c>
      <c r="T70" s="54" t="n">
        <f aca="false">IF(D70="","",ROUND(SQRT(((D70+G70)*O70/100)^2+(J70*(D70+G70)*0.04632)^2),0))</f>
        <v>103</v>
      </c>
      <c r="U70" s="32"/>
    </row>
    <row r="71" customFormat="false" ht="15" hidden="false" customHeight="false" outlineLevel="0" collapsed="false">
      <c r="A71" s="32" t="s">
        <v>188</v>
      </c>
      <c r="B71" s="32" t="s">
        <v>205</v>
      </c>
      <c r="C71" s="32" t="s">
        <v>129</v>
      </c>
      <c r="D71" s="54" t="n">
        <v>2625</v>
      </c>
      <c r="E71" s="54" t="n">
        <v>2540</v>
      </c>
      <c r="F71" s="65" t="n">
        <f aca="false">IF(E71="","",D71-E71)</f>
        <v>85</v>
      </c>
      <c r="G71" s="54" t="n">
        <v>2987</v>
      </c>
      <c r="H71" s="54" t="n">
        <v>2624</v>
      </c>
      <c r="I71" s="65" t="n">
        <f aca="false">IF(H71="","",G71-H71)</f>
        <v>363</v>
      </c>
      <c r="J71" s="55" t="n">
        <f aca="false">IF(OR(D71="",D71+G71=0),"",D71/(D71+G71))</f>
        <v>0.467747683535282</v>
      </c>
      <c r="K71" s="55" t="n">
        <f aca="false">IF(E71="","",E71/(E71+H71))</f>
        <v>0.491866769945779</v>
      </c>
      <c r="L71" s="66" t="n">
        <f aca="false">IF(OR(K71="",J71=""),"",(J71-K71)*100)</f>
        <v>-2.41190864104969</v>
      </c>
      <c r="M71" s="36" t="n">
        <v>1.44801768945541</v>
      </c>
      <c r="N71" s="36" t="n">
        <v>1.82074442156214</v>
      </c>
      <c r="O71" s="36" t="n">
        <f aca="false">SQRT(M71^2+N71^2)</f>
        <v>2.32634165109629</v>
      </c>
      <c r="P71" s="55" t="n">
        <f aca="false">IF(J71="","",MAX(0,J71-1.96*O71/100))</f>
        <v>0.422151387173794</v>
      </c>
      <c r="Q71" s="55" t="n">
        <f aca="false">IF(J71="","",MIN(1,J71+1.96*O71/100))</f>
        <v>0.513343979896769</v>
      </c>
      <c r="R71" s="32" t="str">
        <f aca="false">IF(L71="","",IF(ABS(L71)&lt;=O71,"Yes","No"))</f>
        <v>No</v>
      </c>
      <c r="S71" s="32" t="str">
        <f aca="false">IF(L71="","",IF(ABS(L71)&lt;=1.96*O71,"Yes","No"))</f>
        <v>Yes</v>
      </c>
      <c r="T71" s="54" t="n">
        <f aca="false">IF(D71="","",ROUND(SQRT(((D71+G71)*O71/100)^2+(J71*(D71+G71)*0.04632)^2),0))</f>
        <v>178</v>
      </c>
      <c r="U71" s="32"/>
    </row>
    <row r="72" customFormat="false" ht="15" hidden="false" customHeight="false" outlineLevel="0" collapsed="false">
      <c r="A72" s="32" t="s">
        <v>188</v>
      </c>
      <c r="B72" s="32" t="s">
        <v>206</v>
      </c>
      <c r="C72" s="32" t="s">
        <v>129</v>
      </c>
      <c r="D72" s="54" t="n">
        <v>1617</v>
      </c>
      <c r="E72" s="54" t="n">
        <v>1404</v>
      </c>
      <c r="F72" s="65" t="n">
        <f aca="false">IF(E72="","",D72-E72)</f>
        <v>213</v>
      </c>
      <c r="G72" s="54" t="n">
        <v>2737</v>
      </c>
      <c r="H72" s="54" t="n">
        <v>2512</v>
      </c>
      <c r="I72" s="65" t="n">
        <f aca="false">IF(H72="","",G72-H72)</f>
        <v>225</v>
      </c>
      <c r="J72" s="55" t="n">
        <f aca="false">IF(OR(D72="",D72+G72=0),"",D72/(D72+G72))</f>
        <v>0.371382636655949</v>
      </c>
      <c r="K72" s="55" t="n">
        <f aca="false">IF(E72="","",E72/(E72+H72))</f>
        <v>0.3585291113381</v>
      </c>
      <c r="L72" s="66" t="n">
        <f aca="false">IF(OR(K72="",J72=""),"",(J72-K72)*100)</f>
        <v>1.28535253178484</v>
      </c>
      <c r="M72" s="36" t="n">
        <v>1.44801768945541</v>
      </c>
      <c r="N72" s="36" t="n">
        <v>1.82074442156214</v>
      </c>
      <c r="O72" s="36" t="n">
        <f aca="false">SQRT(M72^2+N72^2)</f>
        <v>2.32634165109629</v>
      </c>
      <c r="P72" s="55" t="n">
        <f aca="false">IF(J72="","",MAX(0,J72-1.96*O72/100))</f>
        <v>0.325786340294461</v>
      </c>
      <c r="Q72" s="55" t="n">
        <f aca="false">IF(J72="","",MIN(1,J72+1.96*O72/100))</f>
        <v>0.416978933017436</v>
      </c>
      <c r="R72" s="32" t="str">
        <f aca="false">IF(L72="","",IF(ABS(L72)&lt;=O72,"Yes","No"))</f>
        <v>Yes</v>
      </c>
      <c r="S72" s="32" t="str">
        <f aca="false">IF(L72="","",IF(ABS(L72)&lt;=1.96*O72,"Yes","No"))</f>
        <v>Yes</v>
      </c>
      <c r="T72" s="54" t="n">
        <f aca="false">IF(D72="","",ROUND(SQRT(((D72+G72)*O72/100)^2+(J72*(D72+G72)*0.04632)^2),0))</f>
        <v>126</v>
      </c>
      <c r="U72" s="32"/>
    </row>
    <row r="73" customFormat="false" ht="15" hidden="false" customHeight="false" outlineLevel="0" collapsed="false">
      <c r="A73" s="32" t="s">
        <v>188</v>
      </c>
      <c r="B73" s="32" t="s">
        <v>207</v>
      </c>
      <c r="C73" s="32" t="s">
        <v>129</v>
      </c>
      <c r="D73" s="54" t="n">
        <v>1185</v>
      </c>
      <c r="E73" s="54" t="n">
        <v>1128</v>
      </c>
      <c r="F73" s="65" t="n">
        <f aca="false">IF(E73="","",D73-E73)</f>
        <v>57</v>
      </c>
      <c r="G73" s="54" t="n">
        <v>1165</v>
      </c>
      <c r="H73" s="54" t="n">
        <v>998</v>
      </c>
      <c r="I73" s="65" t="n">
        <f aca="false">IF(H73="","",G73-H73)</f>
        <v>167</v>
      </c>
      <c r="J73" s="55" t="n">
        <f aca="false">IF(OR(D73="",D73+G73=0),"",D73/(D73+G73))</f>
        <v>0.504255319148936</v>
      </c>
      <c r="K73" s="55" t="n">
        <f aca="false">IF(E73="","",E73/(E73+H73))</f>
        <v>0.530573847601129</v>
      </c>
      <c r="L73" s="66" t="n">
        <f aca="false">IF(OR(K73="",J73=""),"",(J73-K73)*100)</f>
        <v>-2.63185284521927</v>
      </c>
      <c r="M73" s="36" t="n">
        <v>1.87643185227669</v>
      </c>
      <c r="N73" s="36" t="n">
        <v>1.82074442156214</v>
      </c>
      <c r="O73" s="36" t="n">
        <f aca="false">SQRT(M73^2+N73^2)</f>
        <v>2.61459494853184</v>
      </c>
      <c r="P73" s="55" t="n">
        <f aca="false">IF(J73="","",MAX(0,J73-1.96*O73/100))</f>
        <v>0.453009258157712</v>
      </c>
      <c r="Q73" s="55" t="n">
        <f aca="false">IF(J73="","",MIN(1,J73+1.96*O73/100))</f>
        <v>0.55550138014016</v>
      </c>
      <c r="R73" s="32" t="str">
        <f aca="false">IF(L73="","",IF(ABS(L73)&lt;=O73,"Yes","No"))</f>
        <v>No</v>
      </c>
      <c r="S73" s="32" t="str">
        <f aca="false">IF(L73="","",IF(ABS(L73)&lt;=1.96*O73,"Yes","No"))</f>
        <v>Yes</v>
      </c>
      <c r="T73" s="54" t="n">
        <f aca="false">IF(D73="","",ROUND(SQRT(((D73+G73)*O73/100)^2+(J73*(D73+G73)*0.05402)^2),0))</f>
        <v>89</v>
      </c>
      <c r="U73" s="32"/>
    </row>
    <row r="74" customFormat="false" ht="15" hidden="false" customHeight="false" outlineLevel="0" collapsed="false">
      <c r="A74" s="32" t="s">
        <v>188</v>
      </c>
      <c r="B74" s="32" t="s">
        <v>208</v>
      </c>
      <c r="C74" s="32" t="s">
        <v>129</v>
      </c>
      <c r="D74" s="54" t="n">
        <v>563</v>
      </c>
      <c r="E74" s="54" t="n">
        <v>536</v>
      </c>
      <c r="F74" s="65" t="n">
        <f aca="false">IF(E74="","",D74-E74)</f>
        <v>27</v>
      </c>
      <c r="G74" s="54" t="n">
        <v>585</v>
      </c>
      <c r="H74" s="54" t="n">
        <v>521</v>
      </c>
      <c r="I74" s="65" t="n">
        <f aca="false">IF(H74="","",G74-H74)</f>
        <v>64</v>
      </c>
      <c r="J74" s="55" t="n">
        <f aca="false">IF(OR(D74="",D74+G74=0),"",D74/(D74+G74))</f>
        <v>0.490418118466899</v>
      </c>
      <c r="K74" s="55" t="n">
        <f aca="false">IF(E74="","",E74/(E74+H74))</f>
        <v>0.507095553453169</v>
      </c>
      <c r="L74" s="66" t="n">
        <f aca="false">IF(OR(K74="",J74=""),"",(J74-K74)*100)</f>
        <v>-1.66774349862704</v>
      </c>
      <c r="M74" s="36" t="n">
        <v>1.87643185227669</v>
      </c>
      <c r="N74" s="36" t="n">
        <v>1.82074442156214</v>
      </c>
      <c r="O74" s="36" t="n">
        <f aca="false">SQRT(M74^2+N74^2)</f>
        <v>2.61459494853184</v>
      </c>
      <c r="P74" s="55" t="n">
        <f aca="false">IF(J74="","",MAX(0,J74-1.96*O74/100))</f>
        <v>0.439172057475675</v>
      </c>
      <c r="Q74" s="55" t="n">
        <f aca="false">IF(J74="","",MIN(1,J74+1.96*O74/100))</f>
        <v>0.541664179458123</v>
      </c>
      <c r="R74" s="32" t="str">
        <f aca="false">IF(L74="","",IF(ABS(L74)&lt;=O74,"Yes","No"))</f>
        <v>Yes</v>
      </c>
      <c r="S74" s="32" t="str">
        <f aca="false">IF(L74="","",IF(ABS(L74)&lt;=1.96*O74,"Yes","No"))</f>
        <v>Yes</v>
      </c>
      <c r="T74" s="54" t="n">
        <f aca="false">IF(D74="","",ROUND(SQRT(((D74+G74)*O74/100)^2+(J74*(D74+G74)*0.05402)^2),0))</f>
        <v>43</v>
      </c>
      <c r="U74" s="32"/>
    </row>
    <row r="75" customFormat="false" ht="15" hidden="false" customHeight="false" outlineLevel="0" collapsed="false">
      <c r="A75" s="32" t="s">
        <v>188</v>
      </c>
      <c r="B75" s="32" t="s">
        <v>209</v>
      </c>
      <c r="C75" s="32" t="s">
        <v>129</v>
      </c>
      <c r="D75" s="54" t="n">
        <v>1871</v>
      </c>
      <c r="E75" s="54" t="n">
        <v>1650</v>
      </c>
      <c r="F75" s="65" t="n">
        <f aca="false">IF(E75="","",D75-E75)</f>
        <v>221</v>
      </c>
      <c r="G75" s="54" t="n">
        <v>1682</v>
      </c>
      <c r="H75" s="54" t="n">
        <v>1634</v>
      </c>
      <c r="I75" s="65" t="n">
        <f aca="false">IF(H75="","",G75-H75)</f>
        <v>48</v>
      </c>
      <c r="J75" s="55" t="n">
        <f aca="false">IF(OR(D75="",D75+G75=0),"",D75/(D75+G75))</f>
        <v>0.52659724176752</v>
      </c>
      <c r="K75" s="55" t="n">
        <f aca="false">IF(E75="","",E75/(E75+H75))</f>
        <v>0.502436053593179</v>
      </c>
      <c r="L75" s="66" t="n">
        <f aca="false">IF(OR(K75="",J75=""),"",(J75-K75)*100)</f>
        <v>2.41611881743414</v>
      </c>
      <c r="M75" s="36" t="n">
        <v>1.44801768945541</v>
      </c>
      <c r="N75" s="36" t="n">
        <v>1.82074442156214</v>
      </c>
      <c r="O75" s="36" t="n">
        <f aca="false">SQRT(M75^2+N75^2)</f>
        <v>2.32634165109629</v>
      </c>
      <c r="P75" s="55" t="n">
        <f aca="false">IF(J75="","",MAX(0,J75-1.96*O75/100))</f>
        <v>0.481000945406033</v>
      </c>
      <c r="Q75" s="55" t="n">
        <f aca="false">IF(J75="","",MIN(1,J75+1.96*O75/100))</f>
        <v>0.572193538129008</v>
      </c>
      <c r="R75" s="32" t="str">
        <f aca="false">IF(L75="","",IF(ABS(L75)&lt;=O75,"Yes","No"))</f>
        <v>No</v>
      </c>
      <c r="S75" s="32" t="str">
        <f aca="false">IF(L75="","",IF(ABS(L75)&lt;=1.96*O75,"Yes","No"))</f>
        <v>Yes</v>
      </c>
      <c r="T75" s="54" t="n">
        <f aca="false">IF(D75="","",ROUND(SQRT(((D75+G75)*O75/100)^2+(J75*(D75+G75)*0.04632)^2),0))</f>
        <v>120</v>
      </c>
      <c r="U75" s="32"/>
    </row>
    <row r="76" customFormat="false" ht="15" hidden="false" customHeight="false" outlineLevel="0" collapsed="false">
      <c r="A76" s="32" t="s">
        <v>188</v>
      </c>
      <c r="B76" s="32" t="s">
        <v>210</v>
      </c>
      <c r="C76" s="32" t="s">
        <v>129</v>
      </c>
      <c r="D76" s="54" t="n">
        <v>5233</v>
      </c>
      <c r="E76" s="54" t="n">
        <v>4804</v>
      </c>
      <c r="F76" s="65" t="n">
        <f aca="false">IF(E76="","",D76-E76)</f>
        <v>429</v>
      </c>
      <c r="G76" s="54" t="n">
        <v>4251</v>
      </c>
      <c r="H76" s="54" t="n">
        <v>4095</v>
      </c>
      <c r="I76" s="65" t="n">
        <f aca="false">IF(H76="","",G76-H76)</f>
        <v>156</v>
      </c>
      <c r="J76" s="55" t="n">
        <f aca="false">IF(OR(D76="",D76+G76=0),"",D76/(D76+G76))</f>
        <v>0.551771404470688</v>
      </c>
      <c r="K76" s="55" t="n">
        <f aca="false">IF(E76="","",E76/(E76+H76))</f>
        <v>0.539835936622092</v>
      </c>
      <c r="L76" s="66" t="n">
        <f aca="false">IF(OR(K76="",J76=""),"",(J76-K76)*100)</f>
        <v>1.19354678485951</v>
      </c>
      <c r="M76" s="36" t="n">
        <v>1.44801768945541</v>
      </c>
      <c r="N76" s="36" t="n">
        <v>1.82074442156214</v>
      </c>
      <c r="O76" s="36" t="n">
        <f aca="false">SQRT(M76^2+N76^2)</f>
        <v>2.32634165109629</v>
      </c>
      <c r="P76" s="55" t="n">
        <f aca="false">IF(J76="","",MAX(0,J76-1.96*O76/100))</f>
        <v>0.5061751081092</v>
      </c>
      <c r="Q76" s="55" t="n">
        <f aca="false">IF(J76="","",MIN(1,J76+1.96*O76/100))</f>
        <v>0.597367700832175</v>
      </c>
      <c r="R76" s="32" t="str">
        <f aca="false">IF(L76="","",IF(ABS(L76)&lt;=O76,"Yes","No"))</f>
        <v>Yes</v>
      </c>
      <c r="S76" s="32" t="str">
        <f aca="false">IF(L76="","",IF(ABS(L76)&lt;=1.96*O76,"Yes","No"))</f>
        <v>Yes</v>
      </c>
      <c r="T76" s="54" t="n">
        <f aca="false">IF(D76="","",ROUND(SQRT(((D76+G76)*O76/100)^2+(J76*(D76+G76)*0.04632)^2),0))</f>
        <v>328</v>
      </c>
      <c r="U76" s="32"/>
    </row>
    <row r="77" customFormat="false" ht="15" hidden="false" customHeight="false" outlineLevel="0" collapsed="false">
      <c r="A77" s="32" t="s">
        <v>188</v>
      </c>
      <c r="B77" s="32" t="s">
        <v>211</v>
      </c>
      <c r="C77" s="32" t="s">
        <v>129</v>
      </c>
      <c r="D77" s="54" t="n">
        <v>535</v>
      </c>
      <c r="E77" s="54" t="n">
        <v>484</v>
      </c>
      <c r="F77" s="65" t="n">
        <f aca="false">IF(E77="","",D77-E77)</f>
        <v>51</v>
      </c>
      <c r="G77" s="54" t="n">
        <v>716</v>
      </c>
      <c r="H77" s="54" t="n">
        <v>685</v>
      </c>
      <c r="I77" s="65" t="n">
        <f aca="false">IF(H77="","",G77-H77)</f>
        <v>31</v>
      </c>
      <c r="J77" s="55" t="n">
        <f aca="false">IF(OR(D77="",D77+G77=0),"",D77/(D77+G77))</f>
        <v>0.427657873701039</v>
      </c>
      <c r="K77" s="55" t="n">
        <f aca="false">IF(E77="","",E77/(E77+H77))</f>
        <v>0.414029084687767</v>
      </c>
      <c r="L77" s="66" t="n">
        <f aca="false">IF(OR(K77="",J77=""),"",(J77-K77)*100)</f>
        <v>1.36287890132719</v>
      </c>
      <c r="M77" s="36" t="n">
        <v>1.87643185227669</v>
      </c>
      <c r="N77" s="36" t="n">
        <v>1.82074442156214</v>
      </c>
      <c r="O77" s="36" t="n">
        <f aca="false">SQRT(M77^2+N77^2)</f>
        <v>2.61459494853184</v>
      </c>
      <c r="P77" s="55" t="n">
        <f aca="false">IF(J77="","",MAX(0,J77-1.96*O77/100))</f>
        <v>0.376411812709815</v>
      </c>
      <c r="Q77" s="55" t="n">
        <f aca="false">IF(J77="","",MIN(1,J77+1.96*O77/100))</f>
        <v>0.478903934692263</v>
      </c>
      <c r="R77" s="32" t="str">
        <f aca="false">IF(L77="","",IF(ABS(L77)&lt;=O77,"Yes","No"))</f>
        <v>Yes</v>
      </c>
      <c r="S77" s="32" t="str">
        <f aca="false">IF(L77="","",IF(ABS(L77)&lt;=1.96*O77,"Yes","No"))</f>
        <v>Yes</v>
      </c>
      <c r="T77" s="54" t="n">
        <f aca="false">IF(D77="","",ROUND(SQRT(((D77+G77)*O77/100)^2+(J77*(D77+G77)*0.05402)^2),0))</f>
        <v>44</v>
      </c>
      <c r="U77" s="32"/>
    </row>
    <row r="78" customFormat="false" ht="15" hidden="false" customHeight="false" outlineLevel="0" collapsed="false">
      <c r="A78" s="32" t="s">
        <v>188</v>
      </c>
      <c r="B78" s="32" t="s">
        <v>212</v>
      </c>
      <c r="C78" s="32" t="s">
        <v>129</v>
      </c>
      <c r="D78" s="54" t="n">
        <v>1091</v>
      </c>
      <c r="E78" s="54" t="n">
        <v>1016</v>
      </c>
      <c r="F78" s="65" t="n">
        <f aca="false">IF(E78="","",D78-E78)</f>
        <v>75</v>
      </c>
      <c r="G78" s="54" t="n">
        <v>1756</v>
      </c>
      <c r="H78" s="54" t="n">
        <v>1531</v>
      </c>
      <c r="I78" s="65" t="n">
        <f aca="false">IF(H78="","",G78-H78)</f>
        <v>225</v>
      </c>
      <c r="J78" s="55" t="n">
        <f aca="false">IF(OR(D78="",D78+G78=0),"",D78/(D78+G78))</f>
        <v>0.383210396909027</v>
      </c>
      <c r="K78" s="55" t="n">
        <f aca="false">IF(E78="","",E78/(E78+H78))</f>
        <v>0.398900667451904</v>
      </c>
      <c r="L78" s="66" t="n">
        <f aca="false">IF(OR(K78="",J78=""),"",(J78-K78)*100)</f>
        <v>-1.56902705428772</v>
      </c>
      <c r="M78" s="36" t="n">
        <v>1.44801768945541</v>
      </c>
      <c r="N78" s="36" t="n">
        <v>1.82074442156214</v>
      </c>
      <c r="O78" s="36" t="n">
        <f aca="false">SQRT(M78^2+N78^2)</f>
        <v>2.32634165109629</v>
      </c>
      <c r="P78" s="55" t="n">
        <f aca="false">IF(J78="","",MAX(0,J78-1.96*O78/100))</f>
        <v>0.33761410054754</v>
      </c>
      <c r="Q78" s="55" t="n">
        <f aca="false">IF(J78="","",MIN(1,J78+1.96*O78/100))</f>
        <v>0.428806693270514</v>
      </c>
      <c r="R78" s="32" t="str">
        <f aca="false">IF(L78="","",IF(ABS(L78)&lt;=O78,"Yes","No"))</f>
        <v>Yes</v>
      </c>
      <c r="S78" s="32" t="str">
        <f aca="false">IF(L78="","",IF(ABS(L78)&lt;=1.96*O78,"Yes","No"))</f>
        <v>Yes</v>
      </c>
      <c r="T78" s="54" t="n">
        <f aca="false">IF(D78="","",ROUND(SQRT(((D78+G78)*O78/100)^2+(J78*(D78+G78)*0.04632)^2),0))</f>
        <v>83</v>
      </c>
      <c r="U78" s="32"/>
    </row>
    <row r="79" customFormat="false" ht="15" hidden="false" customHeight="false" outlineLevel="0" collapsed="false">
      <c r="A79" s="32" t="s">
        <v>188</v>
      </c>
      <c r="B79" s="32" t="s">
        <v>213</v>
      </c>
      <c r="C79" s="32" t="s">
        <v>129</v>
      </c>
      <c r="D79" s="54" t="n">
        <v>68</v>
      </c>
      <c r="E79" s="54" t="n">
        <v>62</v>
      </c>
      <c r="F79" s="65" t="n">
        <f aca="false">IF(E79="","",D79-E79)</f>
        <v>6</v>
      </c>
      <c r="G79" s="54" t="n">
        <v>113</v>
      </c>
      <c r="H79" s="54" t="n">
        <v>104</v>
      </c>
      <c r="I79" s="65" t="n">
        <f aca="false">IF(H79="","",G79-H79)</f>
        <v>9</v>
      </c>
      <c r="J79" s="55" t="n">
        <f aca="false">IF(OR(D79="",D79+G79=0),"",D79/(D79+G79))</f>
        <v>0.375690607734807</v>
      </c>
      <c r="K79" s="55" t="n">
        <f aca="false">IF(E79="","",E79/(E79+H79))</f>
        <v>0.373493975903614</v>
      </c>
      <c r="L79" s="66" t="n">
        <f aca="false">IF(OR(K79="",J79=""),"",(J79-K79)*100)</f>
        <v>0.219663183119218</v>
      </c>
      <c r="M79" s="36" t="n">
        <v>3.17596089782572</v>
      </c>
      <c r="N79" s="36" t="n">
        <v>1.82074442156214</v>
      </c>
      <c r="O79" s="36" t="n">
        <f aca="false">SQRT(M79^2+N79^2)</f>
        <v>3.66085206928218</v>
      </c>
      <c r="P79" s="55" t="n">
        <f aca="false">IF(J79="","",MAX(0,J79-1.96*O79/100))</f>
        <v>0.303937907176876</v>
      </c>
      <c r="Q79" s="55" t="n">
        <f aca="false">IF(J79="","",MIN(1,J79+1.96*O79/100))</f>
        <v>0.447443308292737</v>
      </c>
      <c r="R79" s="32" t="str">
        <f aca="false">IF(L79="","",IF(ABS(L79)&lt;=O79,"Yes","No"))</f>
        <v>Yes</v>
      </c>
      <c r="S79" s="32" t="str">
        <f aca="false">IF(L79="","",IF(ABS(L79)&lt;=1.96*O79,"Yes","No"))</f>
        <v>Yes</v>
      </c>
      <c r="T79" s="54" t="n">
        <f aca="false">IF(D79="","",ROUND(SQRT(((D79+G79)*O79/100)^2+(J79*(D79+G79)*0.07067)^2),0))</f>
        <v>8</v>
      </c>
      <c r="U79" s="32"/>
    </row>
    <row r="80" customFormat="false" ht="15" hidden="false" customHeight="false" outlineLevel="0" collapsed="false">
      <c r="A80" s="32" t="s">
        <v>188</v>
      </c>
      <c r="B80" s="32" t="s">
        <v>214</v>
      </c>
      <c r="C80" s="32" t="s">
        <v>129</v>
      </c>
      <c r="D80" s="54" t="n">
        <v>267</v>
      </c>
      <c r="E80" s="54" t="n">
        <v>243</v>
      </c>
      <c r="F80" s="65" t="n">
        <f aca="false">IF(E80="","",D80-E80)</f>
        <v>24</v>
      </c>
      <c r="G80" s="54" t="n">
        <v>329</v>
      </c>
      <c r="H80" s="54" t="n">
        <v>335</v>
      </c>
      <c r="I80" s="65" t="n">
        <f aca="false">IF(H80="","",G80-H80)</f>
        <v>-6</v>
      </c>
      <c r="J80" s="55" t="n">
        <f aca="false">IF(OR(D80="",D80+G80=0),"",D80/(D80+G80))</f>
        <v>0.447986577181208</v>
      </c>
      <c r="K80" s="55" t="n">
        <f aca="false">IF(E80="","",E80/(E80+H80))</f>
        <v>0.420415224913495</v>
      </c>
      <c r="L80" s="66" t="n">
        <f aca="false">IF(OR(K80="",J80=""),"",(J80-K80)*100)</f>
        <v>2.75713522677132</v>
      </c>
      <c r="M80" s="36" t="n">
        <v>3.17596089782572</v>
      </c>
      <c r="N80" s="36" t="n">
        <v>1.82074442156214</v>
      </c>
      <c r="O80" s="36" t="n">
        <f aca="false">SQRT(M80^2+N80^2)</f>
        <v>3.66085206928218</v>
      </c>
      <c r="P80" s="55" t="n">
        <f aca="false">IF(J80="","",MAX(0,J80-1.96*O80/100))</f>
        <v>0.376233876623277</v>
      </c>
      <c r="Q80" s="55" t="n">
        <f aca="false">IF(J80="","",MIN(1,J80+1.96*O80/100))</f>
        <v>0.519739277739139</v>
      </c>
      <c r="R80" s="32" t="str">
        <f aca="false">IF(L80="","",IF(ABS(L80)&lt;=O80,"Yes","No"))</f>
        <v>Yes</v>
      </c>
      <c r="S80" s="32" t="str">
        <f aca="false">IF(L80="","",IF(ABS(L80)&lt;=1.96*O80,"Yes","No"))</f>
        <v>Yes</v>
      </c>
      <c r="T80" s="54" t="n">
        <f aca="false">IF(D80="","",ROUND(SQRT(((D80+G80)*O80/100)^2+(J80*(D80+G80)*0.07067)^2),0))</f>
        <v>29</v>
      </c>
      <c r="U80" s="32"/>
    </row>
    <row r="81" customFormat="false" ht="15" hidden="false" customHeight="false" outlineLevel="0" collapsed="false">
      <c r="A81" s="32" t="s">
        <v>188</v>
      </c>
      <c r="B81" s="32" t="s">
        <v>215</v>
      </c>
      <c r="C81" s="32" t="s">
        <v>129</v>
      </c>
      <c r="D81" s="54" t="n">
        <v>159</v>
      </c>
      <c r="E81" s="54" t="n">
        <v>142</v>
      </c>
      <c r="F81" s="65" t="n">
        <f aca="false">IF(E81="","",D81-E81)</f>
        <v>17</v>
      </c>
      <c r="G81" s="54" t="n">
        <v>204</v>
      </c>
      <c r="H81" s="54" t="n">
        <v>172</v>
      </c>
      <c r="I81" s="65" t="n">
        <f aca="false">IF(H81="","",G81-H81)</f>
        <v>32</v>
      </c>
      <c r="J81" s="55" t="n">
        <f aca="false">IF(OR(D81="",D81+G81=0),"",D81/(D81+G81))</f>
        <v>0.43801652892562</v>
      </c>
      <c r="K81" s="55" t="n">
        <f aca="false">IF(E81="","",E81/(E81+H81))</f>
        <v>0.452229299363057</v>
      </c>
      <c r="L81" s="66" t="n">
        <f aca="false">IF(OR(K81="",J81=""),"",(J81-K81)*100)</f>
        <v>-1.42127704374375</v>
      </c>
      <c r="M81" s="36" t="n">
        <v>3.17596089782572</v>
      </c>
      <c r="N81" s="36" t="n">
        <v>1.82074442156214</v>
      </c>
      <c r="O81" s="36" t="n">
        <f aca="false">SQRT(M81^2+N81^2)</f>
        <v>3.66085206928218</v>
      </c>
      <c r="P81" s="55" t="n">
        <f aca="false">IF(J81="","",MAX(0,J81-1.96*O81/100))</f>
        <v>0.366263828367689</v>
      </c>
      <c r="Q81" s="55" t="n">
        <f aca="false">IF(J81="","",MIN(1,J81+1.96*O81/100))</f>
        <v>0.509769229483551</v>
      </c>
      <c r="R81" s="32" t="str">
        <f aca="false">IF(L81="","",IF(ABS(L81)&lt;=O81,"Yes","No"))</f>
        <v>Yes</v>
      </c>
      <c r="S81" s="32" t="str">
        <f aca="false">IF(L81="","",IF(ABS(L81)&lt;=1.96*O81,"Yes","No"))</f>
        <v>Yes</v>
      </c>
      <c r="T81" s="54" t="n">
        <f aca="false">IF(D81="","",ROUND(SQRT(((D81+G81)*O81/100)^2+(J81*(D81+G81)*0.07067)^2),0))</f>
        <v>17</v>
      </c>
      <c r="U81" s="32"/>
    </row>
    <row r="82" customFormat="false" ht="15" hidden="false" customHeight="false" outlineLevel="0" collapsed="false">
      <c r="A82" s="32" t="s">
        <v>188</v>
      </c>
      <c r="B82" s="32" t="s">
        <v>216</v>
      </c>
      <c r="C82" s="32" t="s">
        <v>129</v>
      </c>
      <c r="D82" s="54" t="n">
        <v>225</v>
      </c>
      <c r="E82" s="54" t="n">
        <v>192</v>
      </c>
      <c r="F82" s="65" t="n">
        <f aca="false">IF(E82="","",D82-E82)</f>
        <v>33</v>
      </c>
      <c r="G82" s="54" t="n">
        <v>253</v>
      </c>
      <c r="H82" s="54" t="n">
        <v>253</v>
      </c>
      <c r="I82" s="65" t="n">
        <f aca="false">IF(H82="","",G82-H82)</f>
        <v>0</v>
      </c>
      <c r="J82" s="55" t="n">
        <f aca="false">IF(OR(D82="",D82+G82=0),"",D82/(D82+G82))</f>
        <v>0.47071129707113</v>
      </c>
      <c r="K82" s="55" t="n">
        <f aca="false">IF(E82="","",E82/(E82+H82))</f>
        <v>0.431460674157303</v>
      </c>
      <c r="L82" s="66" t="n">
        <f aca="false">IF(OR(K82="",J82=""),"",(J82-K82)*100)</f>
        <v>3.92506229138263</v>
      </c>
      <c r="M82" s="36" t="n">
        <v>3.17596089782572</v>
      </c>
      <c r="N82" s="36" t="n">
        <v>1.82074442156214</v>
      </c>
      <c r="O82" s="36" t="n">
        <f aca="false">SQRT(M82^2+N82^2)</f>
        <v>3.66085206928218</v>
      </c>
      <c r="P82" s="55" t="n">
        <f aca="false">IF(J82="","",MAX(0,J82-1.96*O82/100))</f>
        <v>0.398958596513199</v>
      </c>
      <c r="Q82" s="55" t="n">
        <f aca="false">IF(J82="","",MIN(1,J82+1.96*O82/100))</f>
        <v>0.54246399762906</v>
      </c>
      <c r="R82" s="32" t="str">
        <f aca="false">IF(L82="","",IF(ABS(L82)&lt;=O82,"Yes","No"))</f>
        <v>No</v>
      </c>
      <c r="S82" s="32" t="str">
        <f aca="false">IF(L82="","",IF(ABS(L82)&lt;=1.96*O82,"Yes","No"))</f>
        <v>Yes</v>
      </c>
      <c r="T82" s="54" t="n">
        <f aca="false">IF(D82="","",ROUND(SQRT(((D82+G82)*O82/100)^2+(J82*(D82+G82)*0.07067)^2),0))</f>
        <v>24</v>
      </c>
      <c r="U82" s="32"/>
    </row>
    <row r="83" customFormat="false" ht="15" hidden="false" customHeight="false" outlineLevel="0" collapsed="false">
      <c r="A83" s="32" t="s">
        <v>188</v>
      </c>
      <c r="B83" s="32" t="s">
        <v>217</v>
      </c>
      <c r="C83" s="32" t="s">
        <v>129</v>
      </c>
      <c r="D83" s="54" t="n">
        <v>1064</v>
      </c>
      <c r="E83" s="54" t="n">
        <v>967</v>
      </c>
      <c r="F83" s="65" t="n">
        <f aca="false">IF(E83="","",D83-E83)</f>
        <v>97</v>
      </c>
      <c r="G83" s="54" t="n">
        <v>1873</v>
      </c>
      <c r="H83" s="54" t="n">
        <v>1709</v>
      </c>
      <c r="I83" s="65" t="n">
        <f aca="false">IF(H83="","",G83-H83)</f>
        <v>164</v>
      </c>
      <c r="J83" s="55" t="n">
        <f aca="false">IF(OR(D83="",D83+G83=0),"",D83/(D83+G83))</f>
        <v>0.36227442969016</v>
      </c>
      <c r="K83" s="55" t="n">
        <f aca="false">IF(E83="","",E83/(E83+H83))</f>
        <v>0.36136023916293</v>
      </c>
      <c r="L83" s="66" t="n">
        <f aca="false">IF(OR(K83="",J83=""),"",(J83-K83)*100)</f>
        <v>0.0914190527230296</v>
      </c>
      <c r="M83" s="36" t="n">
        <v>1.44801768945541</v>
      </c>
      <c r="N83" s="36" t="n">
        <v>1.82074442156214</v>
      </c>
      <c r="O83" s="36" t="n">
        <f aca="false">SQRT(M83^2+N83^2)</f>
        <v>2.32634165109629</v>
      </c>
      <c r="P83" s="55" t="n">
        <f aca="false">IF(J83="","",MAX(0,J83-1.96*O83/100))</f>
        <v>0.316678133328673</v>
      </c>
      <c r="Q83" s="55" t="n">
        <f aca="false">IF(J83="","",MIN(1,J83+1.96*O83/100))</f>
        <v>0.407870726051647</v>
      </c>
      <c r="R83" s="32" t="str">
        <f aca="false">IF(L83="","",IF(ABS(L83)&lt;=O83,"Yes","No"))</f>
        <v>Yes</v>
      </c>
      <c r="S83" s="32" t="str">
        <f aca="false">IF(L83="","",IF(ABS(L83)&lt;=1.96*O83,"Yes","No"))</f>
        <v>Yes</v>
      </c>
      <c r="T83" s="54" t="n">
        <f aca="false">IF(D83="","",ROUND(SQRT(((D83+G83)*O83/100)^2+(J83*(D83+G83)*0.04632)^2),0))</f>
        <v>84</v>
      </c>
      <c r="U83" s="32"/>
    </row>
    <row r="84" customFormat="false" ht="15" hidden="false" customHeight="false" outlineLevel="0" collapsed="false">
      <c r="A84" s="32" t="s">
        <v>188</v>
      </c>
      <c r="B84" s="32" t="s">
        <v>218</v>
      </c>
      <c r="C84" s="32" t="s">
        <v>129</v>
      </c>
      <c r="D84" s="54" t="n">
        <v>1415</v>
      </c>
      <c r="E84" s="54" t="n">
        <v>1261</v>
      </c>
      <c r="F84" s="65" t="n">
        <f aca="false">IF(E84="","",D84-E84)</f>
        <v>154</v>
      </c>
      <c r="G84" s="54" t="n">
        <v>1449</v>
      </c>
      <c r="H84" s="54" t="n">
        <v>1262</v>
      </c>
      <c r="I84" s="65" t="n">
        <f aca="false">IF(H84="","",G84-H84)</f>
        <v>187</v>
      </c>
      <c r="J84" s="55" t="n">
        <f aca="false">IF(OR(D84="",D84+G84=0),"",D84/(D84+G84))</f>
        <v>0.494064245810056</v>
      </c>
      <c r="K84" s="55" t="n">
        <f aca="false">IF(E84="","",E84/(E84+H84))</f>
        <v>0.499801823226318</v>
      </c>
      <c r="L84" s="66" t="n">
        <f aca="false">IF(OR(K84="",J84=""),"",(J84-K84)*100)</f>
        <v>-0.573757741626202</v>
      </c>
      <c r="M84" s="36" t="n">
        <v>1.44801768945541</v>
      </c>
      <c r="N84" s="36" t="n">
        <v>1.82074442156214</v>
      </c>
      <c r="O84" s="36" t="n">
        <f aca="false">SQRT(M84^2+N84^2)</f>
        <v>2.32634165109629</v>
      </c>
      <c r="P84" s="55" t="n">
        <f aca="false">IF(J84="","",MAX(0,J84-1.96*O84/100))</f>
        <v>0.448467949448569</v>
      </c>
      <c r="Q84" s="55" t="n">
        <f aca="false">IF(J84="","",MIN(1,J84+1.96*O84/100))</f>
        <v>0.539660542171543</v>
      </c>
      <c r="R84" s="32" t="str">
        <f aca="false">IF(L84="","",IF(ABS(L84)&lt;=O84,"Yes","No"))</f>
        <v>Yes</v>
      </c>
      <c r="S84" s="32" t="str">
        <f aca="false">IF(L84="","",IF(ABS(L84)&lt;=1.96*O84,"Yes","No"))</f>
        <v>Yes</v>
      </c>
      <c r="T84" s="54" t="n">
        <f aca="false">IF(D84="","",ROUND(SQRT(((D84+G84)*O84/100)^2+(J84*(D84+G84)*0.04632)^2),0))</f>
        <v>93</v>
      </c>
      <c r="U84" s="32"/>
    </row>
    <row r="85" customFormat="false" ht="15" hidden="false" customHeight="false" outlineLevel="0" collapsed="false">
      <c r="A85" s="32" t="s">
        <v>188</v>
      </c>
      <c r="B85" s="32" t="s">
        <v>219</v>
      </c>
      <c r="C85" s="32" t="s">
        <v>129</v>
      </c>
      <c r="D85" s="54" t="n">
        <v>281</v>
      </c>
      <c r="E85" s="54" t="n">
        <v>250</v>
      </c>
      <c r="F85" s="65" t="n">
        <f aca="false">IF(E85="","",D85-E85)</f>
        <v>31</v>
      </c>
      <c r="G85" s="54" t="n">
        <v>365</v>
      </c>
      <c r="H85" s="54" t="n">
        <v>344</v>
      </c>
      <c r="I85" s="65" t="n">
        <f aca="false">IF(H85="","",G85-H85)</f>
        <v>21</v>
      </c>
      <c r="J85" s="55" t="n">
        <f aca="false">IF(OR(D85="",D85+G85=0),"",D85/(D85+G85))</f>
        <v>0.434984520123839</v>
      </c>
      <c r="K85" s="55" t="n">
        <f aca="false">IF(E85="","",E85/(E85+H85))</f>
        <v>0.420875420875421</v>
      </c>
      <c r="L85" s="66" t="n">
        <f aca="false">IF(OR(K85="",J85=""),"",(J85-K85)*100)</f>
        <v>1.41090992484181</v>
      </c>
      <c r="M85" s="36" t="n">
        <v>3.17596089782572</v>
      </c>
      <c r="N85" s="36" t="n">
        <v>1.82074442156214</v>
      </c>
      <c r="O85" s="36" t="n">
        <f aca="false">SQRT(M85^2+N85^2)</f>
        <v>3.66085206928218</v>
      </c>
      <c r="P85" s="55" t="n">
        <f aca="false">IF(J85="","",MAX(0,J85-1.96*O85/100))</f>
        <v>0.363231819565908</v>
      </c>
      <c r="Q85" s="55" t="n">
        <f aca="false">IF(J85="","",MIN(1,J85+1.96*O85/100))</f>
        <v>0.50673722068177</v>
      </c>
      <c r="R85" s="32" t="str">
        <f aca="false">IF(L85="","",IF(ABS(L85)&lt;=O85,"Yes","No"))</f>
        <v>Yes</v>
      </c>
      <c r="S85" s="32" t="str">
        <f aca="false">IF(L85="","",IF(ABS(L85)&lt;=1.96*O85,"Yes","No"))</f>
        <v>Yes</v>
      </c>
      <c r="T85" s="54" t="n">
        <f aca="false">IF(D85="","",ROUND(SQRT(((D85+G85)*O85/100)^2+(J85*(D85+G85)*0.07067)^2),0))</f>
        <v>31</v>
      </c>
      <c r="U85" s="32"/>
    </row>
    <row r="86" customFormat="false" ht="15" hidden="false" customHeight="false" outlineLevel="0" collapsed="false">
      <c r="A86" s="32" t="s">
        <v>188</v>
      </c>
      <c r="B86" s="32" t="s">
        <v>180</v>
      </c>
      <c r="C86" s="32" t="s">
        <v>129</v>
      </c>
      <c r="D86" s="54" t="n">
        <v>841</v>
      </c>
      <c r="E86" s="54" t="n">
        <v>724</v>
      </c>
      <c r="F86" s="65" t="n">
        <f aca="false">IF(E86="","",D86-E86)</f>
        <v>117</v>
      </c>
      <c r="G86" s="54" t="n">
        <v>1326</v>
      </c>
      <c r="H86" s="54" t="n">
        <v>1138</v>
      </c>
      <c r="I86" s="65" t="n">
        <f aca="false">IF(H86="","",G86-H86)</f>
        <v>188</v>
      </c>
      <c r="J86" s="55" t="n">
        <f aca="false">IF(OR(D86="",D86+G86=0),"",D86/(D86+G86))</f>
        <v>0.388094139363175</v>
      </c>
      <c r="K86" s="55" t="n">
        <f aca="false">IF(E86="","",E86/(E86+H86))</f>
        <v>0.388829215896885</v>
      </c>
      <c r="L86" s="66" t="n">
        <f aca="false">IF(OR(K86="",J86=""),"",(J86-K86)*100)</f>
        <v>-0.0735076533710188</v>
      </c>
      <c r="M86" s="36" t="n">
        <v>1.87643185227669</v>
      </c>
      <c r="N86" s="36" t="n">
        <v>1.82074442156214</v>
      </c>
      <c r="O86" s="36" t="n">
        <f aca="false">SQRT(M86^2+N86^2)</f>
        <v>2.61459494853184</v>
      </c>
      <c r="P86" s="55" t="n">
        <f aca="false">IF(J86="","",MAX(0,J86-1.96*O86/100))</f>
        <v>0.336848078371951</v>
      </c>
      <c r="Q86" s="55" t="n">
        <f aca="false">IF(J86="","",MIN(1,J86+1.96*O86/100))</f>
        <v>0.439340200354399</v>
      </c>
      <c r="R86" s="32" t="str">
        <f aca="false">IF(L86="","",IF(ABS(L86)&lt;=O86,"Yes","No"))</f>
        <v>Yes</v>
      </c>
      <c r="S86" s="32" t="str">
        <f aca="false">IF(L86="","",IF(ABS(L86)&lt;=1.96*O86,"Yes","No"))</f>
        <v>Yes</v>
      </c>
      <c r="T86" s="54" t="n">
        <f aca="false">IF(D86="","",ROUND(SQRT(((D86+G86)*O86/100)^2+(J86*(D86+G86)*0.05402)^2),0))</f>
        <v>73</v>
      </c>
      <c r="U86" s="32"/>
    </row>
    <row r="87" customFormat="false" ht="15" hidden="false" customHeight="false" outlineLevel="0" collapsed="false">
      <c r="A87" s="32" t="s">
        <v>188</v>
      </c>
      <c r="B87" s="32" t="s">
        <v>220</v>
      </c>
      <c r="C87" s="32" t="s">
        <v>129</v>
      </c>
      <c r="D87" s="54" t="n">
        <v>184</v>
      </c>
      <c r="E87" s="54" t="n">
        <v>190</v>
      </c>
      <c r="F87" s="65" t="n">
        <f aca="false">IF(E87="","",D87-E87)</f>
        <v>-6</v>
      </c>
      <c r="G87" s="54" t="n">
        <v>216</v>
      </c>
      <c r="H87" s="54" t="n">
        <v>165</v>
      </c>
      <c r="I87" s="65" t="n">
        <f aca="false">IF(H87="","",G87-H87)</f>
        <v>51</v>
      </c>
      <c r="J87" s="55" t="n">
        <f aca="false">IF(OR(D87="",D87+G87=0),"",D87/(D87+G87))</f>
        <v>0.46</v>
      </c>
      <c r="K87" s="55" t="n">
        <f aca="false">IF(E87="","",E87/(E87+H87))</f>
        <v>0.535211267605634</v>
      </c>
      <c r="L87" s="66" t="n">
        <f aca="false">IF(OR(K87="",J87=""),"",(J87-K87)*100)</f>
        <v>-7.52112676056337</v>
      </c>
      <c r="M87" s="36" t="n">
        <v>3.17596089782572</v>
      </c>
      <c r="N87" s="36" t="n">
        <v>1.82074442156214</v>
      </c>
      <c r="O87" s="36" t="n">
        <f aca="false">SQRT(M87^2+N87^2)</f>
        <v>3.66085206928218</v>
      </c>
      <c r="P87" s="55" t="n">
        <f aca="false">IF(J87="","",MAX(0,J87-1.96*O87/100))</f>
        <v>0.388247299442069</v>
      </c>
      <c r="Q87" s="55" t="n">
        <f aca="false">IF(J87="","",MIN(1,J87+1.96*O87/100))</f>
        <v>0.531752700557931</v>
      </c>
      <c r="R87" s="32" t="str">
        <f aca="false">IF(L87="","",IF(ABS(L87)&lt;=O87,"Yes","No"))</f>
        <v>No</v>
      </c>
      <c r="S87" s="32" t="str">
        <f aca="false">IF(L87="","",IF(ABS(L87)&lt;=1.96*O87,"Yes","No"))</f>
        <v>No</v>
      </c>
      <c r="T87" s="54" t="n">
        <f aca="false">IF(D87="","",ROUND(SQRT(((D87+G87)*O87/100)^2+(J87*(D87+G87)*0.07067)^2),0))</f>
        <v>20</v>
      </c>
      <c r="U87" s="32"/>
    </row>
    <row r="88" customFormat="false" ht="15" hidden="false" customHeight="false" outlineLevel="0" collapsed="false">
      <c r="A88" s="32" t="s">
        <v>188</v>
      </c>
      <c r="B88" s="32" t="s">
        <v>221</v>
      </c>
      <c r="C88" s="32" t="s">
        <v>129</v>
      </c>
      <c r="D88" s="54" t="n">
        <v>1381</v>
      </c>
      <c r="E88" s="54" t="n">
        <v>1296</v>
      </c>
      <c r="F88" s="65" t="n">
        <f aca="false">IF(E88="","",D88-E88)</f>
        <v>85</v>
      </c>
      <c r="G88" s="54" t="n">
        <v>1695</v>
      </c>
      <c r="H88" s="54" t="n">
        <v>1534</v>
      </c>
      <c r="I88" s="65" t="n">
        <f aca="false">IF(H88="","",G88-H88)</f>
        <v>161</v>
      </c>
      <c r="J88" s="55" t="n">
        <f aca="false">IF(OR(D88="",D88+G88=0),"",D88/(D88+G88))</f>
        <v>0.448959687906372</v>
      </c>
      <c r="K88" s="55" t="n">
        <f aca="false">IF(E88="","",E88/(E88+H88))</f>
        <v>0.457950530035336</v>
      </c>
      <c r="L88" s="66" t="n">
        <f aca="false">IF(OR(K88="",J88=""),"",(J88-K88)*100)</f>
        <v>-0.899084212896378</v>
      </c>
      <c r="M88" s="36" t="n">
        <v>1.44801768945541</v>
      </c>
      <c r="N88" s="36" t="n">
        <v>1.82074442156214</v>
      </c>
      <c r="O88" s="36" t="n">
        <f aca="false">SQRT(M88^2+N88^2)</f>
        <v>2.32634165109629</v>
      </c>
      <c r="P88" s="55" t="n">
        <f aca="false">IF(J88="","",MAX(0,J88-1.96*O88/100))</f>
        <v>0.403363391544885</v>
      </c>
      <c r="Q88" s="55" t="n">
        <f aca="false">IF(J88="","",MIN(1,J88+1.96*O88/100))</f>
        <v>0.494555984267859</v>
      </c>
      <c r="R88" s="32" t="str">
        <f aca="false">IF(L88="","",IF(ABS(L88)&lt;=O88,"Yes","No"))</f>
        <v>Yes</v>
      </c>
      <c r="S88" s="32" t="str">
        <f aca="false">IF(L88="","",IF(ABS(L88)&lt;=1.96*O88,"Yes","No"))</f>
        <v>Yes</v>
      </c>
      <c r="T88" s="54" t="n">
        <f aca="false">IF(D88="","",ROUND(SQRT(((D88+G88)*O88/100)^2+(J88*(D88+G88)*0.04632)^2),0))</f>
        <v>96</v>
      </c>
      <c r="U88" s="32"/>
    </row>
    <row r="89" customFormat="false" ht="15" hidden="false" customHeight="false" outlineLevel="0" collapsed="false">
      <c r="A89" s="32" t="s">
        <v>188</v>
      </c>
      <c r="B89" s="32" t="s">
        <v>222</v>
      </c>
      <c r="C89" s="32" t="s">
        <v>129</v>
      </c>
      <c r="D89" s="54" t="n">
        <v>1317</v>
      </c>
      <c r="E89" s="54" t="n">
        <v>1247</v>
      </c>
      <c r="F89" s="65" t="n">
        <f aca="false">IF(E89="","",D89-E89)</f>
        <v>70</v>
      </c>
      <c r="G89" s="54" t="n">
        <v>900</v>
      </c>
      <c r="H89" s="54" t="n">
        <v>810</v>
      </c>
      <c r="I89" s="65" t="n">
        <f aca="false">IF(H89="","",G89-H89)</f>
        <v>90</v>
      </c>
      <c r="J89" s="55" t="n">
        <f aca="false">IF(OR(D89="",D89+G89=0),"",D89/(D89+G89))</f>
        <v>0.59404600811908</v>
      </c>
      <c r="K89" s="55" t="n">
        <f aca="false">IF(E89="","",E89/(E89+H89))</f>
        <v>0.606222654350997</v>
      </c>
      <c r="L89" s="66" t="n">
        <f aca="false">IF(OR(K89="",J89=""),"",(J89-K89)*100)</f>
        <v>-1.21766462319168</v>
      </c>
      <c r="M89" s="36" t="n">
        <v>1.87643185227669</v>
      </c>
      <c r="N89" s="36" t="n">
        <v>1.82074442156214</v>
      </c>
      <c r="O89" s="36" t="n">
        <f aca="false">SQRT(M89^2+N89^2)</f>
        <v>2.61459494853184</v>
      </c>
      <c r="P89" s="55" t="n">
        <f aca="false">IF(J89="","",MAX(0,J89-1.96*O89/100))</f>
        <v>0.542799947127856</v>
      </c>
      <c r="Q89" s="55" t="n">
        <f aca="false">IF(J89="","",MIN(1,J89+1.96*O89/100))</f>
        <v>0.645292069110304</v>
      </c>
      <c r="R89" s="32" t="str">
        <f aca="false">IF(L89="","",IF(ABS(L89)&lt;=O89,"Yes","No"))</f>
        <v>Yes</v>
      </c>
      <c r="S89" s="32" t="str">
        <f aca="false">IF(L89="","",IF(ABS(L89)&lt;=1.96*O89,"Yes","No"))</f>
        <v>Yes</v>
      </c>
      <c r="T89" s="54" t="n">
        <f aca="false">IF(D89="","",ROUND(SQRT(((D89+G89)*O89/100)^2+(J89*(D89+G89)*0.05402)^2),0))</f>
        <v>92</v>
      </c>
      <c r="U89" s="32"/>
    </row>
    <row r="90" customFormat="false" ht="15" hidden="false" customHeight="false" outlineLevel="0" collapsed="false">
      <c r="A90" s="32" t="s">
        <v>188</v>
      </c>
      <c r="B90" s="32" t="s">
        <v>223</v>
      </c>
      <c r="C90" s="32" t="s">
        <v>129</v>
      </c>
      <c r="D90" s="54" t="n">
        <v>430</v>
      </c>
      <c r="E90" s="54" t="n">
        <v>362</v>
      </c>
      <c r="F90" s="65" t="n">
        <f aca="false">IF(E90="","",D90-E90)</f>
        <v>68</v>
      </c>
      <c r="G90" s="54" t="n">
        <v>474</v>
      </c>
      <c r="H90" s="54" t="n">
        <v>437</v>
      </c>
      <c r="I90" s="65" t="n">
        <f aca="false">IF(H90="","",G90-H90)</f>
        <v>37</v>
      </c>
      <c r="J90" s="55" t="n">
        <f aca="false">IF(OR(D90="",D90+G90=0),"",D90/(D90+G90))</f>
        <v>0.475663716814159</v>
      </c>
      <c r="K90" s="55" t="n">
        <f aca="false">IF(E90="","",E90/(E90+H90))</f>
        <v>0.453066332916145</v>
      </c>
      <c r="L90" s="66" t="n">
        <f aca="false">IF(OR(K90="",J90=""),"",(J90-K90)*100)</f>
        <v>2.25973838980141</v>
      </c>
      <c r="M90" s="36" t="n">
        <v>3.17596089782572</v>
      </c>
      <c r="N90" s="36" t="n">
        <v>1.82074442156214</v>
      </c>
      <c r="O90" s="36" t="n">
        <f aca="false">SQRT(M90^2+N90^2)</f>
        <v>3.66085206928218</v>
      </c>
      <c r="P90" s="55" t="n">
        <f aca="false">IF(J90="","",MAX(0,J90-1.96*O90/100))</f>
        <v>0.403911016256229</v>
      </c>
      <c r="Q90" s="55" t="n">
        <f aca="false">IF(J90="","",MIN(1,J90+1.96*O90/100))</f>
        <v>0.54741641737209</v>
      </c>
      <c r="R90" s="32" t="str">
        <f aca="false">IF(L90="","",IF(ABS(L90)&lt;=O90,"Yes","No"))</f>
        <v>Yes</v>
      </c>
      <c r="S90" s="32" t="str">
        <f aca="false">IF(L90="","",IF(ABS(L90)&lt;=1.96*O90,"Yes","No"))</f>
        <v>Yes</v>
      </c>
      <c r="T90" s="54" t="n">
        <f aca="false">IF(D90="","",ROUND(SQRT(((D90+G90)*O90/100)^2+(J90*(D90+G90)*0.07067)^2),0))</f>
        <v>45</v>
      </c>
      <c r="U90" s="32"/>
    </row>
    <row r="92" customFormat="false" ht="15" hidden="false" customHeight="false" outlineLevel="0" collapsed="false">
      <c r="A92" s="20" t="s">
        <v>351</v>
      </c>
      <c r="B92" s="67"/>
      <c r="C92" s="67"/>
      <c r="D92" s="68" t="n">
        <f aca="false">SUMIF(E2:E90,"&lt;&gt;",D2:D90)</f>
        <v>143807</v>
      </c>
      <c r="E92" s="68" t="n">
        <f aca="false">SUM(E2:E90)</f>
        <v>139992</v>
      </c>
      <c r="F92" s="69" t="n">
        <f aca="false">D92-E92</f>
        <v>3815</v>
      </c>
      <c r="G92" s="68" t="n">
        <f aca="false">SUMIF(H2:H90,"&lt;&gt;",G2:G90)</f>
        <v>134948</v>
      </c>
      <c r="H92" s="68" t="n">
        <f aca="false">SUM(H2:H90)</f>
        <v>122296</v>
      </c>
      <c r="I92" s="69" t="n">
        <f aca="false">G92-H92</f>
        <v>12652</v>
      </c>
      <c r="J92" s="70" t="n">
        <f aca="false">D92/(D92+G92)</f>
        <v>0.515890297931876</v>
      </c>
      <c r="K92" s="70" t="n">
        <f aca="false">E92/(E92+H92)</f>
        <v>0.533733910815592</v>
      </c>
      <c r="L92" s="71" t="n">
        <f aca="false">(J92-K92)*100</f>
        <v>-1.78436128837164</v>
      </c>
      <c r="M92" s="72" t="n">
        <v>0</v>
      </c>
      <c r="N92" s="72" t="n">
        <v>1.82074442156214</v>
      </c>
      <c r="O92" s="72" t="n">
        <f aca="false">SQRT(M92^2+N92^2)</f>
        <v>1.82074442156214</v>
      </c>
      <c r="P92" s="70" t="n">
        <f aca="false">J92-1.96*O92/100</f>
        <v>0.480203707269258</v>
      </c>
      <c r="Q92" s="70" t="n">
        <f aca="false">J92+1.96*O92/100</f>
        <v>0.551576888594494</v>
      </c>
      <c r="R92" s="67" t="str">
        <f aca="false">IF(ABS(L92)&lt;=O92,"Yes","No")</f>
        <v>Yes</v>
      </c>
      <c r="S92" s="67" t="str">
        <f aca="false">IF(ABS(L92)&lt;=1.96*O92,"Yes","No")</f>
        <v>Yes</v>
      </c>
      <c r="T92" s="68" t="n">
        <f aca="false">ROUND(SQRT(((D92+G92)*O92/100)^2+(J92*(D92+G92)*0.035)^2),0)</f>
        <v>7148</v>
      </c>
    </row>
    <row r="93" customFormat="false" ht="15" hidden="false" customHeight="false" outlineLevel="0" collapsed="false">
      <c r="A93" s="20" t="s">
        <v>352</v>
      </c>
      <c r="B93" s="67"/>
      <c r="C93" s="67"/>
      <c r="D93" s="68" t="n">
        <f aca="false">SUM(D2:D90)</f>
        <v>143807</v>
      </c>
      <c r="E93" s="68"/>
      <c r="F93" s="69"/>
      <c r="G93" s="68" t="n">
        <f aca="false">SUM(G2:G90)</f>
        <v>134948</v>
      </c>
      <c r="H93" s="68"/>
      <c r="I93" s="69"/>
      <c r="J93" s="70" t="n">
        <f aca="false">D93/(D93+G93)</f>
        <v>0.515890297931876</v>
      </c>
      <c r="K93" s="70"/>
      <c r="L93" s="71"/>
      <c r="M93" s="72"/>
      <c r="N93" s="72"/>
      <c r="O93" s="72"/>
      <c r="P93" s="70"/>
      <c r="Q93" s="70"/>
      <c r="R93" s="67"/>
      <c r="S93" s="67"/>
      <c r="T93" s="68"/>
    </row>
    <row r="95" customFormat="false" ht="15" hidden="false" customHeight="false" outlineLevel="0" collapsed="false">
      <c r="A95" s="2" t="s">
        <v>353</v>
      </c>
      <c r="F95" s="73" t="n">
        <f aca="false">(SUMIF(F2:F90,"&gt;0")-SUMIF(F2:F90,"&lt;0"))/COUNT(F2:F90)</f>
        <v>134.123595505618</v>
      </c>
    </row>
    <row r="96" customFormat="false" ht="15" hidden="false" customHeight="false" outlineLevel="0" collapsed="false">
      <c r="A96" s="2" t="s">
        <v>354</v>
      </c>
      <c r="F96" s="73" t="n">
        <f aca="false">(SUMIF(I2:I90,"&gt;0")-SUMIF(I2:I90,"&lt;0"))/COUNT(I2:I90)</f>
        <v>142.696629213483</v>
      </c>
    </row>
    <row r="97" customFormat="false" ht="15" hidden="false" customHeight="false" outlineLevel="0" collapsed="false">
      <c r="A97" s="2" t="s">
        <v>355</v>
      </c>
      <c r="F97" s="74" t="n">
        <f aca="false">(SUMIF(L2:L90,"&gt;0")-SUMIF(L2:L90,"&lt;0"))/COUNT(L2:L90)</f>
        <v>2.63431818209934</v>
      </c>
    </row>
    <row r="98" customFormat="false" ht="15" hidden="false" customHeight="false" outlineLevel="0" collapsed="false">
      <c r="A98" s="5" t="s">
        <v>356</v>
      </c>
      <c r="F98" s="75" t="n">
        <f aca="false">SQRT(SUMSQ(L2:L90)/COUNT(L2:L90))</f>
        <v>3.51336107742943</v>
      </c>
    </row>
    <row r="99" customFormat="false" ht="15" hidden="false" customHeight="false" outlineLevel="0" collapsed="false">
      <c r="A99" s="5" t="s">
        <v>357</v>
      </c>
      <c r="F99" s="76" t="n">
        <f aca="false">L92</f>
        <v>-1.78436128837164</v>
      </c>
    </row>
    <row r="100" customFormat="false" ht="15" hidden="false" customHeight="false" outlineLevel="0" collapsed="false">
      <c r="A100" s="5" t="s">
        <v>358</v>
      </c>
      <c r="F100" s="75" t="n">
        <f aca="false">SQRT((SUMSQ(L2:L90)-2*L92*SUM(L2:L90)+COUNT(L2:L90)*L92^2)/COUNT(L2:L90))</f>
        <v>3.42322091594876</v>
      </c>
    </row>
    <row r="101" customFormat="false" ht="15" hidden="false" customHeight="false" outlineLevel="0" collapsed="false">
      <c r="A101" s="2" t="s">
        <v>359</v>
      </c>
      <c r="F101" s="77" t="n">
        <f aca="false">D92/E92-1</f>
        <v>0.0272515572318419</v>
      </c>
    </row>
    <row r="102" customFormat="false" ht="15" hidden="false" customHeight="false" outlineLevel="0" collapsed="false">
      <c r="A102" s="5" t="s">
        <v>360</v>
      </c>
      <c r="F102" s="78" t="n">
        <f aca="false">G92/H92-1</f>
        <v>0.103453915091254</v>
      </c>
    </row>
    <row r="103" customFormat="false" ht="15" hidden="false" customHeight="false" outlineLevel="0" collapsed="false">
      <c r="A103" s="2" t="s">
        <v>361</v>
      </c>
      <c r="F103" s="77" t="n">
        <f aca="false">(D92+G92)/(E92+H92)-1</f>
        <v>0.0627821326175806</v>
      </c>
    </row>
    <row r="104" customFormat="false" ht="15" hidden="false" customHeight="false" outlineLevel="0" collapsed="false">
      <c r="A104" s="2" t="s">
        <v>362</v>
      </c>
      <c r="F104" s="74" t="n">
        <f aca="false">AVERAGE(O2:O90)</f>
        <v>2.87010185526716</v>
      </c>
    </row>
    <row r="105" customFormat="false" ht="15" hidden="false" customHeight="false" outlineLevel="0" collapsed="false">
      <c r="A105" s="5" t="s">
        <v>363</v>
      </c>
      <c r="F105" s="79" t="n">
        <f aca="false">COUNTIF(R2:R90,"Yes")/(COUNTIF(R2:R90,"Yes")+COUNTIF(R2:R90,"No"))</f>
        <v>0.674157303370787</v>
      </c>
    </row>
    <row r="106" customFormat="false" ht="15" hidden="false" customHeight="false" outlineLevel="0" collapsed="false">
      <c r="A106" s="5" t="s">
        <v>364</v>
      </c>
      <c r="F106" s="79" t="n">
        <f aca="false">COUNTIF(S2:S90,"Yes")/(COUNTIF(S2:S90,"Yes")+COUNTIF(S2:S90,"No"))</f>
        <v>0.921348314606742</v>
      </c>
    </row>
    <row r="107" customFormat="false" ht="15" hidden="false" customHeight="false" outlineLevel="0" collapsed="false">
      <c r="A107" s="2" t="s">
        <v>365</v>
      </c>
      <c r="F107" s="80" t="n">
        <f aca="false">COUNTIFS(L2:L90,"&gt;=-3",L2:L90,"&lt;=3")/COUNT(L2:L90)</f>
        <v>0.696629213483146</v>
      </c>
    </row>
    <row r="108" customFormat="false" ht="15" hidden="false" customHeight="false" outlineLevel="0" collapsed="false">
      <c r="A108" s="2" t="s">
        <v>409</v>
      </c>
      <c r="F108" s="81" t="n">
        <f aca="false">COUNT(E2:E90)</f>
        <v>89</v>
      </c>
    </row>
    <row r="109" customFormat="false" ht="15" hidden="false" customHeight="false" outlineLevel="0" collapsed="false">
      <c r="A109" s="2" t="s">
        <v>367</v>
      </c>
      <c r="F109" s="81" t="n">
        <f aca="false">COUNTA(A2:A90)</f>
        <v>89</v>
      </c>
    </row>
    <row r="111" customFormat="false" ht="15" hidden="false" customHeight="false" outlineLevel="0" collapsed="false">
      <c r="U111" s="5" t="s">
        <v>104</v>
      </c>
    </row>
    <row r="112" customFormat="false" ht="41.75" hidden="false" customHeight="false" outlineLevel="0" collapsed="false">
      <c r="U112" s="64" t="s">
        <v>410</v>
      </c>
    </row>
    <row r="113" customFormat="false" ht="41.75" hidden="false" customHeight="false" outlineLevel="0" collapsed="false">
      <c r="U113" s="64" t="s">
        <v>411</v>
      </c>
    </row>
    <row r="114" customFormat="false" ht="15" hidden="false" customHeight="false" outlineLevel="0" collapsed="false">
      <c r="U114" s="64" t="s">
        <v>412</v>
      </c>
    </row>
    <row r="115" customFormat="false" ht="28.35" hidden="false" customHeight="false" outlineLevel="0" collapsed="false">
      <c r="U115" s="64" t="s">
        <v>413</v>
      </c>
    </row>
    <row r="116" customFormat="false" ht="28.35" hidden="false" customHeight="false" outlineLevel="0" collapsed="false">
      <c r="U116" s="64" t="s">
        <v>414</v>
      </c>
    </row>
    <row r="117" customFormat="false" ht="28.35" hidden="false" customHeight="false" outlineLevel="0" collapsed="false">
      <c r="U117" s="64" t="s">
        <v>415</v>
      </c>
    </row>
    <row r="118" customFormat="false" ht="28.35" hidden="false" customHeight="false" outlineLevel="0" collapsed="false">
      <c r="U118" s="64" t="s">
        <v>374</v>
      </c>
    </row>
    <row r="119" customFormat="false" ht="41.75" hidden="false" customHeight="false" outlineLevel="0" collapsed="false">
      <c r="U119" s="64" t="s">
        <v>416</v>
      </c>
    </row>
    <row r="120" customFormat="false" ht="15" hidden="false" customHeight="false" outlineLevel="0" collapsed="false">
      <c r="U120" s="64" t="s">
        <v>417</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77</v>
      </c>
      <c r="B1" s="8" t="s">
        <v>78</v>
      </c>
      <c r="C1" s="8" t="s">
        <v>79</v>
      </c>
      <c r="D1" s="8" t="s">
        <v>334</v>
      </c>
      <c r="E1" s="8" t="s">
        <v>335</v>
      </c>
      <c r="F1" s="8" t="s">
        <v>336</v>
      </c>
      <c r="G1" s="8" t="s">
        <v>406</v>
      </c>
      <c r="H1" s="8" t="s">
        <v>338</v>
      </c>
      <c r="I1" s="8" t="s">
        <v>339</v>
      </c>
      <c r="J1" s="8" t="s">
        <v>340</v>
      </c>
      <c r="K1" s="8" t="s">
        <v>341</v>
      </c>
      <c r="L1" s="8" t="s">
        <v>342</v>
      </c>
      <c r="M1" s="8" t="s">
        <v>407</v>
      </c>
      <c r="N1" s="8" t="s">
        <v>408</v>
      </c>
      <c r="O1" s="8" t="s">
        <v>107</v>
      </c>
      <c r="P1" s="8" t="s">
        <v>345</v>
      </c>
      <c r="Q1" s="8" t="s">
        <v>346</v>
      </c>
      <c r="R1" s="8" t="s">
        <v>347</v>
      </c>
      <c r="S1" s="8" t="s">
        <v>348</v>
      </c>
      <c r="T1" s="8" t="s">
        <v>349</v>
      </c>
      <c r="U1" s="8" t="s">
        <v>350</v>
      </c>
    </row>
    <row r="2" customFormat="false" ht="15" hidden="false" customHeight="false" outlineLevel="0" collapsed="false">
      <c r="A2" s="32" t="s">
        <v>127</v>
      </c>
      <c r="B2" s="32" t="s">
        <v>128</v>
      </c>
      <c r="C2" s="32" t="s">
        <v>129</v>
      </c>
      <c r="D2" s="54" t="n">
        <v>196</v>
      </c>
      <c r="E2" s="54" t="n">
        <v>160</v>
      </c>
      <c r="F2" s="65" t="n">
        <f aca="false">IF(E2="","",D2-E2)</f>
        <v>36</v>
      </c>
      <c r="G2" s="54" t="n">
        <v>230</v>
      </c>
      <c r="H2" s="54" t="n">
        <v>221</v>
      </c>
      <c r="I2" s="65" t="n">
        <f aca="false">IF(H2="","",G2-H2)</f>
        <v>9</v>
      </c>
      <c r="J2" s="55" t="n">
        <f aca="false">IF(OR(D2="",D2+G2=0),"",D2/(D2+G2))</f>
        <v>0.460093896713615</v>
      </c>
      <c r="K2" s="55" t="n">
        <f aca="false">IF(E2="","",E2/(E2+H2))</f>
        <v>0.41994750656168</v>
      </c>
      <c r="L2" s="66" t="n">
        <f aca="false">IF(OR(K2="",J2=""),"",(J2-K2)*100)</f>
        <v>4.01463901519352</v>
      </c>
      <c r="M2" s="36" t="n">
        <v>3.10792193660115</v>
      </c>
      <c r="N2" s="36" t="n">
        <v>1.82027350848151</v>
      </c>
      <c r="O2" s="36" t="n">
        <f aca="false">SQRT(M2^2+N2^2)</f>
        <v>3.60174602237391</v>
      </c>
      <c r="P2" s="55" t="n">
        <f aca="false">IF(J2="","",MAX(0,J2-1.96*O2/100))</f>
        <v>0.389499674675086</v>
      </c>
      <c r="Q2" s="55" t="n">
        <f aca="false">IF(J2="","",MIN(1,J2+1.96*O2/100))</f>
        <v>0.530688118752144</v>
      </c>
      <c r="R2" s="32" t="str">
        <f aca="false">IF(L2="","",IF(ABS(L2)&lt;=O2,"Yes","No"))</f>
        <v>No</v>
      </c>
      <c r="S2" s="32" t="str">
        <f aca="false">IF(L2="","",IF(ABS(L2)&lt;=1.96*O2,"Yes","No"))</f>
        <v>Yes</v>
      </c>
      <c r="T2" s="54" t="n">
        <f aca="false">IF(D2="","",ROUND(SQRT(((D2+G2)*O2/100)^2+(J2*(D2+G2)*0.07067)^2),0))</f>
        <v>21</v>
      </c>
      <c r="U2" s="32" t="s">
        <v>393</v>
      </c>
    </row>
    <row r="3" customFormat="false" ht="15" hidden="false" customHeight="false" outlineLevel="0" collapsed="false">
      <c r="A3" s="32" t="s">
        <v>127</v>
      </c>
      <c r="B3" s="32" t="s">
        <v>133</v>
      </c>
      <c r="C3" s="32" t="s">
        <v>129</v>
      </c>
      <c r="D3" s="54" t="n">
        <v>117</v>
      </c>
      <c r="E3" s="54" t="n">
        <v>95</v>
      </c>
      <c r="F3" s="65" t="n">
        <f aca="false">IF(E3="","",D3-E3)</f>
        <v>22</v>
      </c>
      <c r="G3" s="54" t="n">
        <v>207</v>
      </c>
      <c r="H3" s="54" t="n">
        <v>192</v>
      </c>
      <c r="I3" s="65" t="n">
        <f aca="false">IF(H3="","",G3-H3)</f>
        <v>15</v>
      </c>
      <c r="J3" s="55" t="n">
        <f aca="false">IF(OR(D3="",D3+G3=0),"",D3/(D3+G3))</f>
        <v>0.361111111111111</v>
      </c>
      <c r="K3" s="55" t="n">
        <f aca="false">IF(E3="","",E3/(E3+H3))</f>
        <v>0.331010452961673</v>
      </c>
      <c r="L3" s="66" t="n">
        <f aca="false">IF(OR(K3="",J3=""),"",(J3-K3)*100)</f>
        <v>3.01006581494386</v>
      </c>
      <c r="M3" s="36" t="n">
        <v>3.10792193660115</v>
      </c>
      <c r="N3" s="36" t="n">
        <v>1.82027350848151</v>
      </c>
      <c r="O3" s="36" t="n">
        <f aca="false">SQRT(M3^2+N3^2)</f>
        <v>3.60174602237391</v>
      </c>
      <c r="P3" s="55" t="n">
        <f aca="false">IF(J3="","",MAX(0,J3-1.96*O3/100))</f>
        <v>0.290516889072583</v>
      </c>
      <c r="Q3" s="55" t="n">
        <f aca="false">IF(J3="","",MIN(1,J3+1.96*O3/100))</f>
        <v>0.43170533314964</v>
      </c>
      <c r="R3" s="32" t="str">
        <f aca="false">IF(L3="","",IF(ABS(L3)&lt;=O3,"Yes","No"))</f>
        <v>Yes</v>
      </c>
      <c r="S3" s="32" t="str">
        <f aca="false">IF(L3="","",IF(ABS(L3)&lt;=1.96*O3,"Yes","No"))</f>
        <v>Yes</v>
      </c>
      <c r="T3" s="54" t="n">
        <f aca="false">IF(D3="","",ROUND(SQRT(((D3+G3)*O3/100)^2+(J3*(D3+G3)*0.07067)^2),0))</f>
        <v>14</v>
      </c>
      <c r="U3" s="32" t="s">
        <v>393</v>
      </c>
    </row>
    <row r="4" customFormat="false" ht="15" hidden="false" customHeight="false" outlineLevel="0" collapsed="false">
      <c r="A4" s="32" t="s">
        <v>127</v>
      </c>
      <c r="B4" s="32" t="s">
        <v>134</v>
      </c>
      <c r="C4" s="32" t="s">
        <v>129</v>
      </c>
      <c r="D4" s="54" t="n">
        <v>115</v>
      </c>
      <c r="E4" s="54" t="n">
        <v>110</v>
      </c>
      <c r="F4" s="65" t="n">
        <f aca="false">IF(E4="","",D4-E4)</f>
        <v>5</v>
      </c>
      <c r="G4" s="54" t="n">
        <v>230</v>
      </c>
      <c r="H4" s="54" t="n">
        <v>175</v>
      </c>
      <c r="I4" s="65" t="n">
        <f aca="false">IF(H4="","",G4-H4)</f>
        <v>55</v>
      </c>
      <c r="J4" s="55" t="n">
        <f aca="false">IF(OR(D4="",D4+G4=0),"",D4/(D4+G4))</f>
        <v>0.333333333333333</v>
      </c>
      <c r="K4" s="55" t="n">
        <f aca="false">IF(E4="","",E4/(E4+H4))</f>
        <v>0.385964912280702</v>
      </c>
      <c r="L4" s="66" t="n">
        <f aca="false">IF(OR(K4="",J4=""),"",(J4-K4)*100)</f>
        <v>-5.26315789473684</v>
      </c>
      <c r="M4" s="36" t="n">
        <v>3.10792193660115</v>
      </c>
      <c r="N4" s="36" t="n">
        <v>1.82027350848151</v>
      </c>
      <c r="O4" s="36" t="n">
        <f aca="false">SQRT(M4^2+N4^2)</f>
        <v>3.60174602237391</v>
      </c>
      <c r="P4" s="55" t="n">
        <f aca="false">IF(J4="","",MAX(0,J4-1.96*O4/100))</f>
        <v>0.262739111294805</v>
      </c>
      <c r="Q4" s="55" t="n">
        <f aca="false">IF(J4="","",MIN(1,J4+1.96*O4/100))</f>
        <v>0.403927555371862</v>
      </c>
      <c r="R4" s="32" t="str">
        <f aca="false">IF(L4="","",IF(ABS(L4)&lt;=O4,"Yes","No"))</f>
        <v>No</v>
      </c>
      <c r="S4" s="32" t="str">
        <f aca="false">IF(L4="","",IF(ABS(L4)&lt;=1.96*O4,"Yes","No"))</f>
        <v>Yes</v>
      </c>
      <c r="T4" s="54" t="n">
        <f aca="false">IF(D4="","",ROUND(SQRT(((D4+G4)*O4/100)^2+(J4*(D4+G4)*0.07067)^2),0))</f>
        <v>15</v>
      </c>
      <c r="U4" s="32" t="s">
        <v>393</v>
      </c>
    </row>
    <row r="5" customFormat="false" ht="15" hidden="false" customHeight="false" outlineLevel="0" collapsed="false">
      <c r="A5" s="32" t="s">
        <v>127</v>
      </c>
      <c r="B5" s="32" t="s">
        <v>135</v>
      </c>
      <c r="C5" s="32" t="s">
        <v>129</v>
      </c>
      <c r="D5" s="54" t="n">
        <v>390</v>
      </c>
      <c r="E5" s="54" t="n">
        <v>369</v>
      </c>
      <c r="F5" s="65" t="n">
        <f aca="false">IF(E5="","",D5-E5)</f>
        <v>21</v>
      </c>
      <c r="G5" s="54" t="n">
        <v>884</v>
      </c>
      <c r="H5" s="54" t="n">
        <v>742</v>
      </c>
      <c r="I5" s="65" t="n">
        <f aca="false">IF(H5="","",G5-H5)</f>
        <v>142</v>
      </c>
      <c r="J5" s="55" t="n">
        <f aca="false">IF(OR(D5="",D5+G5=0),"",D5/(D5+G5))</f>
        <v>0.306122448979592</v>
      </c>
      <c r="K5" s="55" t="n">
        <f aca="false">IF(E5="","",E5/(E5+H5))</f>
        <v>0.332133213321332</v>
      </c>
      <c r="L5" s="66" t="n">
        <f aca="false">IF(OR(K5="",J5=""),"",(J5-K5)*100)</f>
        <v>-2.60107643417403</v>
      </c>
      <c r="M5" s="36" t="n">
        <v>2.06728657077428</v>
      </c>
      <c r="N5" s="36" t="n">
        <v>1.82027350848151</v>
      </c>
      <c r="O5" s="36" t="n">
        <f aca="false">SQRT(M5^2+N5^2)</f>
        <v>2.75446354330263</v>
      </c>
      <c r="P5" s="55" t="n">
        <f aca="false">IF(J5="","",MAX(0,J5-1.96*O5/100))</f>
        <v>0.25213496353086</v>
      </c>
      <c r="Q5" s="55" t="n">
        <f aca="false">IF(J5="","",MIN(1,J5+1.96*O5/100))</f>
        <v>0.360109934428323</v>
      </c>
      <c r="R5" s="32" t="str">
        <f aca="false">IF(L5="","",IF(ABS(L5)&lt;=O5,"Yes","No"))</f>
        <v>Yes</v>
      </c>
      <c r="S5" s="32" t="str">
        <f aca="false">IF(L5="","",IF(ABS(L5)&lt;=1.96*O5,"Yes","No"))</f>
        <v>Yes</v>
      </c>
      <c r="T5" s="54" t="n">
        <f aca="false">IF(D5="","",ROUND(SQRT(((D5+G5)*O5/100)^2+(J5*(D5+G5)*0.05402)^2),0))</f>
        <v>41</v>
      </c>
      <c r="U5" s="32" t="s">
        <v>393</v>
      </c>
    </row>
    <row r="6" customFormat="false" ht="15" hidden="false" customHeight="false" outlineLevel="0" collapsed="false">
      <c r="A6" s="32" t="s">
        <v>127</v>
      </c>
      <c r="B6" s="32" t="s">
        <v>137</v>
      </c>
      <c r="C6" s="32" t="s">
        <v>129</v>
      </c>
      <c r="D6" s="54" t="n">
        <v>39</v>
      </c>
      <c r="E6" s="54" t="n">
        <v>34</v>
      </c>
      <c r="F6" s="65" t="n">
        <f aca="false">IF(E6="","",D6-E6)</f>
        <v>5</v>
      </c>
      <c r="G6" s="54" t="n">
        <v>57</v>
      </c>
      <c r="H6" s="54" t="n">
        <v>43</v>
      </c>
      <c r="I6" s="65" t="n">
        <f aca="false">IF(H6="","",G6-H6)</f>
        <v>14</v>
      </c>
      <c r="J6" s="55" t="n">
        <f aca="false">IF(OR(D6="",D6+G6=0),"",D6/(D6+G6))</f>
        <v>0.40625</v>
      </c>
      <c r="K6" s="55" t="n">
        <f aca="false">IF(E6="","",E6/(E6+H6))</f>
        <v>0.441558441558442</v>
      </c>
      <c r="L6" s="66" t="n">
        <f aca="false">IF(OR(K6="",J6=""),"",(J6-K6)*100)</f>
        <v>-3.53084415584415</v>
      </c>
      <c r="M6" s="36" t="n">
        <v>3.10792193660115</v>
      </c>
      <c r="N6" s="36" t="n">
        <v>1.82027350848151</v>
      </c>
      <c r="O6" s="36" t="n">
        <f aca="false">SQRT(M6^2+N6^2)</f>
        <v>3.60174602237391</v>
      </c>
      <c r="P6" s="55" t="n">
        <f aca="false">IF(J6="","",MAX(0,J6-1.96*O6/100))</f>
        <v>0.335655777961471</v>
      </c>
      <c r="Q6" s="55" t="n">
        <f aca="false">IF(J6="","",MIN(1,J6+1.96*O6/100))</f>
        <v>0.476844222038529</v>
      </c>
      <c r="R6" s="32" t="str">
        <f aca="false">IF(L6="","",IF(ABS(L6)&lt;=O6,"Yes","No"))</f>
        <v>Yes</v>
      </c>
      <c r="S6" s="32" t="str">
        <f aca="false">IF(L6="","",IF(ABS(L6)&lt;=1.96*O6,"Yes","No"))</f>
        <v>Yes</v>
      </c>
      <c r="T6" s="54" t="n">
        <f aca="false">IF(D6="","",ROUND(SQRT(((D6+G6)*O6/100)^2+(J6*(D6+G6)*0.07067)^2),0))</f>
        <v>4</v>
      </c>
      <c r="U6" s="32" t="s">
        <v>393</v>
      </c>
    </row>
    <row r="7" customFormat="false" ht="15" hidden="false" customHeight="false" outlineLevel="0" collapsed="false">
      <c r="A7" s="32" t="s">
        <v>127</v>
      </c>
      <c r="B7" s="32" t="s">
        <v>138</v>
      </c>
      <c r="C7" s="32" t="s">
        <v>129</v>
      </c>
      <c r="D7" s="54" t="n">
        <v>618</v>
      </c>
      <c r="E7" s="54" t="n">
        <v>536</v>
      </c>
      <c r="F7" s="65" t="n">
        <f aca="false">IF(E7="","",D7-E7)</f>
        <v>82</v>
      </c>
      <c r="G7" s="54" t="n">
        <v>1260</v>
      </c>
      <c r="H7" s="54" t="n">
        <v>1122</v>
      </c>
      <c r="I7" s="65" t="n">
        <f aca="false">IF(H7="","",G7-H7)</f>
        <v>138</v>
      </c>
      <c r="J7" s="55" t="n">
        <f aca="false">IF(OR(D7="",D7+G7=0),"",D7/(D7+G7))</f>
        <v>0.329073482428115</v>
      </c>
      <c r="K7" s="55" t="n">
        <f aca="false">IF(E7="","",E7/(E7+H7))</f>
        <v>0.323281061519904</v>
      </c>
      <c r="L7" s="66" t="n">
        <f aca="false">IF(OR(K7="",J7=""),"",(J7-K7)*100)</f>
        <v>0.579242090821153</v>
      </c>
      <c r="M7" s="36" t="n">
        <v>2.06728657077428</v>
      </c>
      <c r="N7" s="36" t="n">
        <v>1.82027350848151</v>
      </c>
      <c r="O7" s="36" t="n">
        <f aca="false">SQRT(M7^2+N7^2)</f>
        <v>2.75446354330263</v>
      </c>
      <c r="P7" s="55" t="n">
        <f aca="false">IF(J7="","",MAX(0,J7-1.96*O7/100))</f>
        <v>0.275085996979383</v>
      </c>
      <c r="Q7" s="55" t="n">
        <f aca="false">IF(J7="","",MIN(1,J7+1.96*O7/100))</f>
        <v>0.383060967876847</v>
      </c>
      <c r="R7" s="32" t="str">
        <f aca="false">IF(L7="","",IF(ABS(L7)&lt;=O7,"Yes","No"))</f>
        <v>Yes</v>
      </c>
      <c r="S7" s="32" t="str">
        <f aca="false">IF(L7="","",IF(ABS(L7)&lt;=1.96*O7,"Yes","No"))</f>
        <v>Yes</v>
      </c>
      <c r="T7" s="54" t="n">
        <f aca="false">IF(D7="","",ROUND(SQRT(((D7+G7)*O7/100)^2+(J7*(D7+G7)*0.05402)^2),0))</f>
        <v>62</v>
      </c>
      <c r="U7" s="32" t="s">
        <v>393</v>
      </c>
    </row>
    <row r="8" customFormat="false" ht="15" hidden="false" customHeight="false" outlineLevel="0" collapsed="false">
      <c r="A8" s="32" t="s">
        <v>127</v>
      </c>
      <c r="B8" s="32" t="s">
        <v>139</v>
      </c>
      <c r="C8" s="32" t="s">
        <v>129</v>
      </c>
      <c r="D8" s="54" t="n">
        <v>1008</v>
      </c>
      <c r="E8" s="54" t="n">
        <v>912</v>
      </c>
      <c r="F8" s="65" t="n">
        <f aca="false">IF(E8="","",D8-E8)</f>
        <v>96</v>
      </c>
      <c r="G8" s="54" t="n">
        <v>1140</v>
      </c>
      <c r="H8" s="54" t="n">
        <v>949</v>
      </c>
      <c r="I8" s="65" t="n">
        <f aca="false">IF(H8="","",G8-H8)</f>
        <v>191</v>
      </c>
      <c r="J8" s="55" t="n">
        <f aca="false">IF(OR(D8="",D8+G8=0),"",D8/(D8+G8))</f>
        <v>0.46927374301676</v>
      </c>
      <c r="K8" s="55" t="n">
        <f aca="false">IF(E8="","",E8/(E8+H8))</f>
        <v>0.490059108006448</v>
      </c>
      <c r="L8" s="66" t="n">
        <f aca="false">IF(OR(K8="",J8=""),"",(J8-K8)*100)</f>
        <v>-2.07853649896884</v>
      </c>
      <c r="M8" s="36" t="n">
        <v>2.06728657077428</v>
      </c>
      <c r="N8" s="36" t="n">
        <v>1.82027350848151</v>
      </c>
      <c r="O8" s="36" t="n">
        <f aca="false">SQRT(M8^2+N8^2)</f>
        <v>2.75446354330263</v>
      </c>
      <c r="P8" s="55" t="n">
        <f aca="false">IF(J8="","",MAX(0,J8-1.96*O8/100))</f>
        <v>0.415286257568028</v>
      </c>
      <c r="Q8" s="55" t="n">
        <f aca="false">IF(J8="","",MIN(1,J8+1.96*O8/100))</f>
        <v>0.523261228465491</v>
      </c>
      <c r="R8" s="32" t="str">
        <f aca="false">IF(L8="","",IF(ABS(L8)&lt;=O8,"Yes","No"))</f>
        <v>Yes</v>
      </c>
      <c r="S8" s="32" t="str">
        <f aca="false">IF(L8="","",IF(ABS(L8)&lt;=1.96*O8,"Yes","No"))</f>
        <v>Yes</v>
      </c>
      <c r="T8" s="54" t="n">
        <f aca="false">IF(D8="","",ROUND(SQRT(((D8+G8)*O8/100)^2+(J8*(D8+G8)*0.05402)^2),0))</f>
        <v>80</v>
      </c>
      <c r="U8" s="32" t="s">
        <v>393</v>
      </c>
    </row>
    <row r="9" customFormat="false" ht="15" hidden="false" customHeight="false" outlineLevel="0" collapsed="false">
      <c r="A9" s="32" t="s">
        <v>127</v>
      </c>
      <c r="B9" s="32" t="s">
        <v>140</v>
      </c>
      <c r="C9" s="32" t="s">
        <v>129</v>
      </c>
      <c r="D9" s="54" t="n">
        <v>281</v>
      </c>
      <c r="E9" s="54" t="n">
        <v>267</v>
      </c>
      <c r="F9" s="65" t="n">
        <f aca="false">IF(E9="","",D9-E9)</f>
        <v>14</v>
      </c>
      <c r="G9" s="54" t="n">
        <v>508</v>
      </c>
      <c r="H9" s="54" t="n">
        <v>495</v>
      </c>
      <c r="I9" s="65" t="n">
        <f aca="false">IF(H9="","",G9-H9)</f>
        <v>13</v>
      </c>
      <c r="J9" s="55" t="n">
        <f aca="false">IF(OR(D9="",D9+G9=0),"",D9/(D9+G9))</f>
        <v>0.356147021546261</v>
      </c>
      <c r="K9" s="55" t="n">
        <f aca="false">IF(E9="","",E9/(E9+H9))</f>
        <v>0.350393700787402</v>
      </c>
      <c r="L9" s="66" t="n">
        <f aca="false">IF(OR(K9="",J9=""),"",(J9-K9)*100)</f>
        <v>0.575332075885954</v>
      </c>
      <c r="M9" s="36" t="n">
        <v>3.10792193660115</v>
      </c>
      <c r="N9" s="36" t="n">
        <v>1.82027350848151</v>
      </c>
      <c r="O9" s="36" t="n">
        <f aca="false">SQRT(M9^2+N9^2)</f>
        <v>3.60174602237391</v>
      </c>
      <c r="P9" s="55" t="n">
        <f aca="false">IF(J9="","",MAX(0,J9-1.96*O9/100))</f>
        <v>0.285552799507733</v>
      </c>
      <c r="Q9" s="55" t="n">
        <f aca="false">IF(J9="","",MIN(1,J9+1.96*O9/100))</f>
        <v>0.42674124358479</v>
      </c>
      <c r="R9" s="32" t="str">
        <f aca="false">IF(L9="","",IF(ABS(L9)&lt;=O9,"Yes","No"))</f>
        <v>Yes</v>
      </c>
      <c r="S9" s="32" t="str">
        <f aca="false">IF(L9="","",IF(ABS(L9)&lt;=1.96*O9,"Yes","No"))</f>
        <v>Yes</v>
      </c>
      <c r="T9" s="54" t="n">
        <f aca="false">IF(D9="","",ROUND(SQRT(((D9+G9)*O9/100)^2+(J9*(D9+G9)*0.07067)^2),0))</f>
        <v>35</v>
      </c>
      <c r="U9" s="32" t="s">
        <v>393</v>
      </c>
    </row>
    <row r="10" customFormat="false" ht="15" hidden="false" customHeight="false" outlineLevel="0" collapsed="false">
      <c r="A10" s="32" t="s">
        <v>127</v>
      </c>
      <c r="B10" s="32" t="s">
        <v>141</v>
      </c>
      <c r="C10" s="32" t="s">
        <v>129</v>
      </c>
      <c r="D10" s="54" t="n">
        <v>492</v>
      </c>
      <c r="E10" s="54" t="n">
        <v>455</v>
      </c>
      <c r="F10" s="65" t="n">
        <f aca="false">IF(E10="","",D10-E10)</f>
        <v>37</v>
      </c>
      <c r="G10" s="54" t="n">
        <v>520</v>
      </c>
      <c r="H10" s="54" t="n">
        <v>467</v>
      </c>
      <c r="I10" s="65" t="n">
        <f aca="false">IF(H10="","",G10-H10)</f>
        <v>53</v>
      </c>
      <c r="J10" s="55" t="n">
        <f aca="false">IF(OR(D10="",D10+G10=0),"",D10/(D10+G10))</f>
        <v>0.486166007905138</v>
      </c>
      <c r="K10" s="55" t="n">
        <f aca="false">IF(E10="","",E10/(E10+H10))</f>
        <v>0.493492407809111</v>
      </c>
      <c r="L10" s="66" t="n">
        <f aca="false">IF(OR(K10="",J10=""),"",(J10-K10)*100)</f>
        <v>-0.732639990397227</v>
      </c>
      <c r="M10" s="36" t="n">
        <v>3.10792193660115</v>
      </c>
      <c r="N10" s="36" t="n">
        <v>1.82027350848151</v>
      </c>
      <c r="O10" s="36" t="n">
        <f aca="false">SQRT(M10^2+N10^2)</f>
        <v>3.60174602237391</v>
      </c>
      <c r="P10" s="55" t="n">
        <f aca="false">IF(J10="","",MAX(0,J10-1.96*O10/100))</f>
        <v>0.41557178586661</v>
      </c>
      <c r="Q10" s="55" t="n">
        <f aca="false">IF(J10="","",MIN(1,J10+1.96*O10/100))</f>
        <v>0.556760229943667</v>
      </c>
      <c r="R10" s="32" t="str">
        <f aca="false">IF(L10="","",IF(ABS(L10)&lt;=O10,"Yes","No"))</f>
        <v>Yes</v>
      </c>
      <c r="S10" s="32" t="str">
        <f aca="false">IF(L10="","",IF(ABS(L10)&lt;=1.96*O10,"Yes","No"))</f>
        <v>Yes</v>
      </c>
      <c r="T10" s="54" t="n">
        <f aca="false">IF(D10="","",ROUND(SQRT(((D10+G10)*O10/100)^2+(J10*(D10+G10)*0.07067)^2),0))</f>
        <v>50</v>
      </c>
      <c r="U10" s="32" t="s">
        <v>393</v>
      </c>
    </row>
    <row r="11" customFormat="false" ht="15" hidden="false" customHeight="false" outlineLevel="0" collapsed="false">
      <c r="A11" s="32" t="s">
        <v>127</v>
      </c>
      <c r="B11" s="32" t="s">
        <v>142</v>
      </c>
      <c r="C11" s="32" t="s">
        <v>129</v>
      </c>
      <c r="D11" s="54" t="n">
        <v>37</v>
      </c>
      <c r="E11" s="54" t="n">
        <v>29</v>
      </c>
      <c r="F11" s="65" t="n">
        <f aca="false">IF(E11="","",D11-E11)</f>
        <v>8</v>
      </c>
      <c r="G11" s="54" t="n">
        <v>74</v>
      </c>
      <c r="H11" s="54" t="n">
        <v>59</v>
      </c>
      <c r="I11" s="65" t="n">
        <f aca="false">IF(H11="","",G11-H11)</f>
        <v>15</v>
      </c>
      <c r="J11" s="55" t="n">
        <f aca="false">IF(OR(D11="",D11+G11=0),"",D11/(D11+G11))</f>
        <v>0.333333333333333</v>
      </c>
      <c r="K11" s="55" t="n">
        <f aca="false">IF(E11="","",E11/(E11+H11))</f>
        <v>0.329545454545455</v>
      </c>
      <c r="L11" s="66" t="n">
        <f aca="false">IF(OR(K11="",J11=""),"",(J11-K11)*100)</f>
        <v>0.378787878787878</v>
      </c>
      <c r="M11" s="36" t="n">
        <v>3.10792193660115</v>
      </c>
      <c r="N11" s="36" t="n">
        <v>1.82027350848151</v>
      </c>
      <c r="O11" s="36" t="n">
        <f aca="false">SQRT(M11^2+N11^2)</f>
        <v>3.60174602237391</v>
      </c>
      <c r="P11" s="55" t="n">
        <f aca="false">IF(J11="","",MAX(0,J11-1.96*O11/100))</f>
        <v>0.262739111294805</v>
      </c>
      <c r="Q11" s="55" t="n">
        <f aca="false">IF(J11="","",MIN(1,J11+1.96*O11/100))</f>
        <v>0.403927555371862</v>
      </c>
      <c r="R11" s="32" t="str">
        <f aca="false">IF(L11="","",IF(ABS(L11)&lt;=O11,"Yes","No"))</f>
        <v>Yes</v>
      </c>
      <c r="S11" s="32" t="str">
        <f aca="false">IF(L11="","",IF(ABS(L11)&lt;=1.96*O11,"Yes","No"))</f>
        <v>Yes</v>
      </c>
      <c r="T11" s="54" t="n">
        <f aca="false">IF(D11="","",ROUND(SQRT(((D11+G11)*O11/100)^2+(J11*(D11+G11)*0.07067)^2),0))</f>
        <v>5</v>
      </c>
      <c r="U11" s="32" t="s">
        <v>393</v>
      </c>
    </row>
    <row r="12" customFormat="false" ht="15" hidden="false" customHeight="false" outlineLevel="0" collapsed="false">
      <c r="A12" s="32" t="s">
        <v>127</v>
      </c>
      <c r="B12" s="32" t="s">
        <v>143</v>
      </c>
      <c r="C12" s="32" t="s">
        <v>129</v>
      </c>
      <c r="D12" s="54" t="n">
        <v>52</v>
      </c>
      <c r="E12" s="54" t="n">
        <v>41</v>
      </c>
      <c r="F12" s="65" t="n">
        <f aca="false">IF(E12="","",D12-E12)</f>
        <v>11</v>
      </c>
      <c r="G12" s="54" t="n">
        <v>195</v>
      </c>
      <c r="H12" s="54" t="n">
        <v>163</v>
      </c>
      <c r="I12" s="65" t="n">
        <f aca="false">IF(H12="","",G12-H12)</f>
        <v>32</v>
      </c>
      <c r="J12" s="55" t="n">
        <f aca="false">IF(OR(D12="",D12+G12=0),"",D12/(D12+G12))</f>
        <v>0.210526315789474</v>
      </c>
      <c r="K12" s="55" t="n">
        <f aca="false">IF(E12="","",E12/(E12+H12))</f>
        <v>0.200980392156863</v>
      </c>
      <c r="L12" s="66" t="n">
        <f aca="false">IF(OR(K12="",J12=""),"",(J12-K12)*100)</f>
        <v>0.954592363261092</v>
      </c>
      <c r="M12" s="36" t="n">
        <v>3.10792193660115</v>
      </c>
      <c r="N12" s="36" t="n">
        <v>1.82027350848151</v>
      </c>
      <c r="O12" s="36" t="n">
        <f aca="false">SQRT(M12^2+N12^2)</f>
        <v>3.60174602237391</v>
      </c>
      <c r="P12" s="55" t="n">
        <f aca="false">IF(J12="","",MAX(0,J12-1.96*O12/100))</f>
        <v>0.139932093750945</v>
      </c>
      <c r="Q12" s="55" t="n">
        <f aca="false">IF(J12="","",MIN(1,J12+1.96*O12/100))</f>
        <v>0.281120537828002</v>
      </c>
      <c r="R12" s="32" t="str">
        <f aca="false">IF(L12="","",IF(ABS(L12)&lt;=O12,"Yes","No"))</f>
        <v>Yes</v>
      </c>
      <c r="S12" s="32" t="str">
        <f aca="false">IF(L12="","",IF(ABS(L12)&lt;=1.96*O12,"Yes","No"))</f>
        <v>Yes</v>
      </c>
      <c r="T12" s="54" t="n">
        <f aca="false">IF(D12="","",ROUND(SQRT(((D12+G12)*O12/100)^2+(J12*(D12+G12)*0.07067)^2),0))</f>
        <v>10</v>
      </c>
      <c r="U12" s="32" t="s">
        <v>393</v>
      </c>
    </row>
    <row r="13" customFormat="false" ht="15" hidden="false" customHeight="false" outlineLevel="0" collapsed="false">
      <c r="A13" s="32" t="s">
        <v>127</v>
      </c>
      <c r="B13" s="32" t="s">
        <v>144</v>
      </c>
      <c r="C13" s="32" t="s">
        <v>129</v>
      </c>
      <c r="D13" s="54" t="n">
        <v>699</v>
      </c>
      <c r="E13" s="54" t="n">
        <v>668</v>
      </c>
      <c r="F13" s="65" t="n">
        <f aca="false">IF(E13="","",D13-E13)</f>
        <v>31</v>
      </c>
      <c r="G13" s="54" t="n">
        <v>920</v>
      </c>
      <c r="H13" s="54" t="n">
        <v>766</v>
      </c>
      <c r="I13" s="65" t="n">
        <f aca="false">IF(H13="","",G13-H13)</f>
        <v>154</v>
      </c>
      <c r="J13" s="55" t="n">
        <f aca="false">IF(OR(D13="",D13+G13=0),"",D13/(D13+G13))</f>
        <v>0.431747992588017</v>
      </c>
      <c r="K13" s="55" t="n">
        <f aca="false">IF(E13="","",E13/(E13+H13))</f>
        <v>0.465829846582985</v>
      </c>
      <c r="L13" s="66" t="n">
        <f aca="false">IF(OR(K13="",J13=""),"",(J13-K13)*100)</f>
        <v>-3.40818539949674</v>
      </c>
      <c r="M13" s="36" t="n">
        <v>2.06728657077428</v>
      </c>
      <c r="N13" s="36" t="n">
        <v>1.82027350848151</v>
      </c>
      <c r="O13" s="36" t="n">
        <f aca="false">SQRT(M13^2+N13^2)</f>
        <v>2.75446354330263</v>
      </c>
      <c r="P13" s="55" t="n">
        <f aca="false">IF(J13="","",MAX(0,J13-1.96*O13/100))</f>
        <v>0.377760507139286</v>
      </c>
      <c r="Q13" s="55" t="n">
        <f aca="false">IF(J13="","",MIN(1,J13+1.96*O13/100))</f>
        <v>0.485735478036749</v>
      </c>
      <c r="R13" s="32" t="str">
        <f aca="false">IF(L13="","",IF(ABS(L13)&lt;=O13,"Yes","No"))</f>
        <v>No</v>
      </c>
      <c r="S13" s="32" t="str">
        <f aca="false">IF(L13="","",IF(ABS(L13)&lt;=1.96*O13,"Yes","No"))</f>
        <v>Yes</v>
      </c>
      <c r="T13" s="54" t="n">
        <f aca="false">IF(D13="","",ROUND(SQRT(((D13+G13)*O13/100)^2+(J13*(D13+G13)*0.05402)^2),0))</f>
        <v>58</v>
      </c>
      <c r="U13" s="32" t="s">
        <v>393</v>
      </c>
    </row>
    <row r="14" customFormat="false" ht="15" hidden="false" customHeight="false" outlineLevel="0" collapsed="false">
      <c r="A14" s="32" t="s">
        <v>127</v>
      </c>
      <c r="B14" s="32" t="s">
        <v>145</v>
      </c>
      <c r="C14" s="32" t="s">
        <v>129</v>
      </c>
      <c r="D14" s="54" t="n">
        <v>447</v>
      </c>
      <c r="E14" s="54" t="n">
        <v>402</v>
      </c>
      <c r="F14" s="65" t="n">
        <f aca="false">IF(E14="","",D14-E14)</f>
        <v>45</v>
      </c>
      <c r="G14" s="54" t="n">
        <v>820</v>
      </c>
      <c r="H14" s="54" t="n">
        <v>686</v>
      </c>
      <c r="I14" s="65" t="n">
        <f aca="false">IF(H14="","",G14-H14)</f>
        <v>134</v>
      </c>
      <c r="J14" s="55" t="n">
        <f aca="false">IF(OR(D14="",D14+G14=0),"",D14/(D14+G14))</f>
        <v>0.352801894238358</v>
      </c>
      <c r="K14" s="55" t="n">
        <f aca="false">IF(E14="","",E14/(E14+H14))</f>
        <v>0.369485294117647</v>
      </c>
      <c r="L14" s="66" t="n">
        <f aca="false">IF(OR(K14="",J14=""),"",(J14-K14)*100)</f>
        <v>-1.66833998792887</v>
      </c>
      <c r="M14" s="36" t="n">
        <v>2.06728657077428</v>
      </c>
      <c r="N14" s="36" t="n">
        <v>1.82027350848151</v>
      </c>
      <c r="O14" s="36" t="n">
        <f aca="false">SQRT(M14^2+N14^2)</f>
        <v>2.75446354330263</v>
      </c>
      <c r="P14" s="55" t="n">
        <f aca="false">IF(J14="","",MAX(0,J14-1.96*O14/100))</f>
        <v>0.298814408789627</v>
      </c>
      <c r="Q14" s="55" t="n">
        <f aca="false">IF(J14="","",MIN(1,J14+1.96*O14/100))</f>
        <v>0.40678937968709</v>
      </c>
      <c r="R14" s="32" t="str">
        <f aca="false">IF(L14="","",IF(ABS(L14)&lt;=O14,"Yes","No"))</f>
        <v>Yes</v>
      </c>
      <c r="S14" s="32" t="str">
        <f aca="false">IF(L14="","",IF(ABS(L14)&lt;=1.96*O14,"Yes","No"))</f>
        <v>Yes</v>
      </c>
      <c r="T14" s="54" t="n">
        <f aca="false">IF(D14="","",ROUND(SQRT(((D14+G14)*O14/100)^2+(J14*(D14+G14)*0.05402)^2),0))</f>
        <v>42</v>
      </c>
      <c r="U14" s="32" t="s">
        <v>393</v>
      </c>
    </row>
    <row r="15" customFormat="false" ht="15" hidden="false" customHeight="false" outlineLevel="0" collapsed="false">
      <c r="A15" s="32" t="s">
        <v>127</v>
      </c>
      <c r="B15" s="32" t="s">
        <v>146</v>
      </c>
      <c r="C15" s="32" t="s">
        <v>129</v>
      </c>
      <c r="D15" s="54" t="n">
        <v>531</v>
      </c>
      <c r="E15" s="54" t="n">
        <v>510</v>
      </c>
      <c r="F15" s="65" t="n">
        <f aca="false">IF(E15="","",D15-E15)</f>
        <v>21</v>
      </c>
      <c r="G15" s="54" t="n">
        <v>1140</v>
      </c>
      <c r="H15" s="54" t="n">
        <v>960</v>
      </c>
      <c r="I15" s="65" t="n">
        <f aca="false">IF(H15="","",G15-H15)</f>
        <v>180</v>
      </c>
      <c r="J15" s="55" t="n">
        <f aca="false">IF(OR(D15="",D15+G15=0),"",D15/(D15+G15))</f>
        <v>0.317773788150808</v>
      </c>
      <c r="K15" s="55" t="n">
        <f aca="false">IF(E15="","",E15/(E15+H15))</f>
        <v>0.346938775510204</v>
      </c>
      <c r="L15" s="66" t="n">
        <f aca="false">IF(OR(K15="",J15=""),"",(J15-K15)*100)</f>
        <v>-2.91649873593962</v>
      </c>
      <c r="M15" s="36" t="n">
        <v>2.06728657077428</v>
      </c>
      <c r="N15" s="36" t="n">
        <v>1.82027350848151</v>
      </c>
      <c r="O15" s="36" t="n">
        <f aca="false">SQRT(M15^2+N15^2)</f>
        <v>2.75446354330263</v>
      </c>
      <c r="P15" s="55" t="n">
        <f aca="false">IF(J15="","",MAX(0,J15-1.96*O15/100))</f>
        <v>0.263786302702076</v>
      </c>
      <c r="Q15" s="55" t="n">
        <f aca="false">IF(J15="","",MIN(1,J15+1.96*O15/100))</f>
        <v>0.37176127359954</v>
      </c>
      <c r="R15" s="32" t="str">
        <f aca="false">IF(L15="","",IF(ABS(L15)&lt;=O15,"Yes","No"))</f>
        <v>No</v>
      </c>
      <c r="S15" s="32" t="str">
        <f aca="false">IF(L15="","",IF(ABS(L15)&lt;=1.96*O15,"Yes","No"))</f>
        <v>Yes</v>
      </c>
      <c r="T15" s="54" t="n">
        <f aca="false">IF(D15="","",ROUND(SQRT(((D15+G15)*O15/100)^2+(J15*(D15+G15)*0.05402)^2),0))</f>
        <v>54</v>
      </c>
      <c r="U15" s="32" t="s">
        <v>393</v>
      </c>
    </row>
    <row r="16" customFormat="false" ht="15" hidden="false" customHeight="false" outlineLevel="0" collapsed="false">
      <c r="A16" s="32" t="s">
        <v>127</v>
      </c>
      <c r="B16" s="32" t="s">
        <v>147</v>
      </c>
      <c r="C16" s="32" t="s">
        <v>129</v>
      </c>
      <c r="D16" s="54" t="n">
        <v>530</v>
      </c>
      <c r="E16" s="54" t="n">
        <v>500</v>
      </c>
      <c r="F16" s="65" t="n">
        <f aca="false">IF(E16="","",D16-E16)</f>
        <v>30</v>
      </c>
      <c r="G16" s="54" t="n">
        <v>691</v>
      </c>
      <c r="H16" s="54" t="n">
        <v>546</v>
      </c>
      <c r="I16" s="65" t="n">
        <f aca="false">IF(H16="","",G16-H16)</f>
        <v>145</v>
      </c>
      <c r="J16" s="55" t="n">
        <f aca="false">IF(OR(D16="",D16+G16=0),"",D16/(D16+G16))</f>
        <v>0.434070434070434</v>
      </c>
      <c r="K16" s="55" t="n">
        <f aca="false">IF(E16="","",E16/(E16+H16))</f>
        <v>0.478011472275335</v>
      </c>
      <c r="L16" s="66" t="n">
        <f aca="false">IF(OR(K16="",J16=""),"",(J16-K16)*100)</f>
        <v>-4.39410382049005</v>
      </c>
      <c r="M16" s="36" t="n">
        <v>2.06728657077428</v>
      </c>
      <c r="N16" s="36" t="n">
        <v>1.82027350848151</v>
      </c>
      <c r="O16" s="36" t="n">
        <f aca="false">SQRT(M16^2+N16^2)</f>
        <v>2.75446354330263</v>
      </c>
      <c r="P16" s="55" t="n">
        <f aca="false">IF(J16="","",MAX(0,J16-1.96*O16/100))</f>
        <v>0.380082948621703</v>
      </c>
      <c r="Q16" s="55" t="n">
        <f aca="false">IF(J16="","",MIN(1,J16+1.96*O16/100))</f>
        <v>0.488057919519166</v>
      </c>
      <c r="R16" s="32" t="str">
        <f aca="false">IF(L16="","",IF(ABS(L16)&lt;=O16,"Yes","No"))</f>
        <v>No</v>
      </c>
      <c r="S16" s="32" t="str">
        <f aca="false">IF(L16="","",IF(ABS(L16)&lt;=1.96*O16,"Yes","No"))</f>
        <v>Yes</v>
      </c>
      <c r="T16" s="54" t="n">
        <f aca="false">IF(D16="","",ROUND(SQRT(((D16+G16)*O16/100)^2+(J16*(D16+G16)*0.05402)^2),0))</f>
        <v>44</v>
      </c>
      <c r="U16" s="32" t="s">
        <v>393</v>
      </c>
    </row>
    <row r="17" customFormat="false" ht="15" hidden="false" customHeight="false" outlineLevel="0" collapsed="false">
      <c r="A17" s="32" t="s">
        <v>127</v>
      </c>
      <c r="B17" s="32" t="s">
        <v>148</v>
      </c>
      <c r="C17" s="32" t="s">
        <v>129</v>
      </c>
      <c r="D17" s="54" t="n">
        <v>114</v>
      </c>
      <c r="E17" s="54" t="n">
        <v>111</v>
      </c>
      <c r="F17" s="65" t="n">
        <f aca="false">IF(E17="","",D17-E17)</f>
        <v>3</v>
      </c>
      <c r="G17" s="54" t="n">
        <v>416</v>
      </c>
      <c r="H17" s="54" t="n">
        <v>372</v>
      </c>
      <c r="I17" s="65" t="n">
        <f aca="false">IF(H17="","",G17-H17)</f>
        <v>44</v>
      </c>
      <c r="J17" s="55" t="n">
        <f aca="false">IF(OR(D17="",D17+G17=0),"",D17/(D17+G17))</f>
        <v>0.215094339622642</v>
      </c>
      <c r="K17" s="55" t="n">
        <f aca="false">IF(E17="","",E17/(E17+H17))</f>
        <v>0.229813664596273</v>
      </c>
      <c r="L17" s="66" t="n">
        <f aca="false">IF(OR(K17="",J17=""),"",(J17-K17)*100)</f>
        <v>-1.47193249736318</v>
      </c>
      <c r="M17" s="36" t="n">
        <v>3.10792193660115</v>
      </c>
      <c r="N17" s="36" t="n">
        <v>1.82027350848151</v>
      </c>
      <c r="O17" s="36" t="n">
        <f aca="false">SQRT(M17^2+N17^2)</f>
        <v>3.60174602237391</v>
      </c>
      <c r="P17" s="55" t="n">
        <f aca="false">IF(J17="","",MAX(0,J17-1.96*O17/100))</f>
        <v>0.144500117584113</v>
      </c>
      <c r="Q17" s="55" t="n">
        <f aca="false">IF(J17="","",MIN(1,J17+1.96*O17/100))</f>
        <v>0.28568856166117</v>
      </c>
      <c r="R17" s="32" t="str">
        <f aca="false">IF(L17="","",IF(ABS(L17)&lt;=O17,"Yes","No"))</f>
        <v>Yes</v>
      </c>
      <c r="S17" s="32" t="str">
        <f aca="false">IF(L17="","",IF(ABS(L17)&lt;=1.96*O17,"Yes","No"))</f>
        <v>Yes</v>
      </c>
      <c r="T17" s="54" t="n">
        <f aca="false">IF(D17="","",ROUND(SQRT(((D17+G17)*O17/100)^2+(J17*(D17+G17)*0.07067)^2),0))</f>
        <v>21</v>
      </c>
      <c r="U17" s="32" t="s">
        <v>393</v>
      </c>
    </row>
    <row r="18" customFormat="false" ht="15" hidden="false" customHeight="false" outlineLevel="0" collapsed="false">
      <c r="A18" s="32" t="s">
        <v>127</v>
      </c>
      <c r="B18" s="32" t="s">
        <v>149</v>
      </c>
      <c r="C18" s="32" t="s">
        <v>129</v>
      </c>
      <c r="D18" s="54" t="n">
        <v>800</v>
      </c>
      <c r="E18" s="54" t="n">
        <v>687</v>
      </c>
      <c r="F18" s="65" t="n">
        <f aca="false">IF(E18="","",D18-E18)</f>
        <v>113</v>
      </c>
      <c r="G18" s="54" t="n">
        <v>1033</v>
      </c>
      <c r="H18" s="54" t="n">
        <v>978</v>
      </c>
      <c r="I18" s="65" t="n">
        <f aca="false">IF(H18="","",G18-H18)</f>
        <v>55</v>
      </c>
      <c r="J18" s="55" t="n">
        <f aca="false">IF(OR(D18="",D18+G18=0),"",D18/(D18+G18))</f>
        <v>0.436442989634479</v>
      </c>
      <c r="K18" s="55" t="n">
        <f aca="false">IF(E18="","",E18/(E18+H18))</f>
        <v>0.412612612612613</v>
      </c>
      <c r="L18" s="66" t="n">
        <f aca="false">IF(OR(K18="",J18=""),"",(J18-K18)*100)</f>
        <v>2.38303770218664</v>
      </c>
      <c r="M18" s="36" t="n">
        <v>2.06728657077428</v>
      </c>
      <c r="N18" s="36" t="n">
        <v>1.82027350848151</v>
      </c>
      <c r="O18" s="36" t="n">
        <f aca="false">SQRT(M18^2+N18^2)</f>
        <v>2.75446354330263</v>
      </c>
      <c r="P18" s="55" t="n">
        <f aca="false">IF(J18="","",MAX(0,J18-1.96*O18/100))</f>
        <v>0.382455504185747</v>
      </c>
      <c r="Q18" s="55" t="n">
        <f aca="false">IF(J18="","",MIN(1,J18+1.96*O18/100))</f>
        <v>0.490430475083211</v>
      </c>
      <c r="R18" s="32" t="str">
        <f aca="false">IF(L18="","",IF(ABS(L18)&lt;=O18,"Yes","No"))</f>
        <v>Yes</v>
      </c>
      <c r="S18" s="32" t="str">
        <f aca="false">IF(L18="","",IF(ABS(L18)&lt;=1.96*O18,"Yes","No"))</f>
        <v>Yes</v>
      </c>
      <c r="T18" s="54" t="n">
        <f aca="false">IF(D18="","",ROUND(SQRT(((D18+G18)*O18/100)^2+(J18*(D18+G18)*0.05402)^2),0))</f>
        <v>66</v>
      </c>
      <c r="U18" s="32" t="s">
        <v>393</v>
      </c>
    </row>
    <row r="19" customFormat="false" ht="15" hidden="false" customHeight="false" outlineLevel="0" collapsed="false">
      <c r="A19" s="32" t="s">
        <v>127</v>
      </c>
      <c r="B19" s="32" t="s">
        <v>150</v>
      </c>
      <c r="C19" s="32" t="s">
        <v>129</v>
      </c>
      <c r="D19" s="54" t="n">
        <v>68</v>
      </c>
      <c r="E19" s="54" t="n">
        <v>53</v>
      </c>
      <c r="F19" s="65" t="n">
        <f aca="false">IF(E19="","",D19-E19)</f>
        <v>15</v>
      </c>
      <c r="G19" s="54" t="n">
        <v>108</v>
      </c>
      <c r="H19" s="54" t="n">
        <v>112</v>
      </c>
      <c r="I19" s="65" t="n">
        <f aca="false">IF(H19="","",G19-H19)</f>
        <v>-4</v>
      </c>
      <c r="J19" s="55" t="n">
        <f aca="false">IF(OR(D19="",D19+G19=0),"",D19/(D19+G19))</f>
        <v>0.386363636363636</v>
      </c>
      <c r="K19" s="55" t="n">
        <f aca="false">IF(E19="","",E19/(E19+H19))</f>
        <v>0.321212121212121</v>
      </c>
      <c r="L19" s="66" t="n">
        <f aca="false">IF(OR(K19="",J19=""),"",(J19-K19)*100)</f>
        <v>6.51515151515151</v>
      </c>
      <c r="M19" s="36" t="n">
        <v>3.10792193660115</v>
      </c>
      <c r="N19" s="36" t="n">
        <v>1.82027350848151</v>
      </c>
      <c r="O19" s="36" t="n">
        <f aca="false">SQRT(M19^2+N19^2)</f>
        <v>3.60174602237391</v>
      </c>
      <c r="P19" s="55" t="n">
        <f aca="false">IF(J19="","",MAX(0,J19-1.96*O19/100))</f>
        <v>0.315769414325108</v>
      </c>
      <c r="Q19" s="55" t="n">
        <f aca="false">IF(J19="","",MIN(1,J19+1.96*O19/100))</f>
        <v>0.456957858402165</v>
      </c>
      <c r="R19" s="32" t="str">
        <f aca="false">IF(L19="","",IF(ABS(L19)&lt;=O19,"Yes","No"))</f>
        <v>No</v>
      </c>
      <c r="S19" s="32" t="str">
        <f aca="false">IF(L19="","",IF(ABS(L19)&lt;=1.96*O19,"Yes","No"))</f>
        <v>Yes</v>
      </c>
      <c r="T19" s="54" t="n">
        <f aca="false">IF(D19="","",ROUND(SQRT(((D19+G19)*O19/100)^2+(J19*(D19+G19)*0.07067)^2),0))</f>
        <v>8</v>
      </c>
      <c r="U19" s="32" t="s">
        <v>393</v>
      </c>
    </row>
    <row r="20" customFormat="false" ht="15" hidden="false" customHeight="false" outlineLevel="0" collapsed="false">
      <c r="A20" s="32" t="s">
        <v>127</v>
      </c>
      <c r="B20" s="32" t="s">
        <v>151</v>
      </c>
      <c r="C20" s="32" t="s">
        <v>129</v>
      </c>
      <c r="D20" s="54" t="n">
        <v>1816</v>
      </c>
      <c r="E20" s="54" t="n">
        <v>1453</v>
      </c>
      <c r="F20" s="65" t="n">
        <f aca="false">IF(E20="","",D20-E20)</f>
        <v>363</v>
      </c>
      <c r="G20" s="54" t="n">
        <v>2376</v>
      </c>
      <c r="H20" s="54" t="n">
        <v>2080</v>
      </c>
      <c r="I20" s="65" t="n">
        <f aca="false">IF(H20="","",G20-H20)</f>
        <v>296</v>
      </c>
      <c r="J20" s="55" t="n">
        <f aca="false">IF(OR(D20="",D20+G20=0),"",D20/(D20+G20))</f>
        <v>0.433206106870229</v>
      </c>
      <c r="K20" s="55" t="n">
        <f aca="false">IF(E20="","",E20/(E20+H20))</f>
        <v>0.411265213699406</v>
      </c>
      <c r="L20" s="66" t="n">
        <f aca="false">IF(OR(K20="",J20=""),"",(J20-K20)*100)</f>
        <v>2.19408931708234</v>
      </c>
      <c r="M20" s="36" t="n">
        <v>1.29919264864539</v>
      </c>
      <c r="N20" s="36" t="n">
        <v>1.82027350848151</v>
      </c>
      <c r="O20" s="36" t="n">
        <f aca="false">SQRT(M20^2+N20^2)</f>
        <v>2.23635801784371</v>
      </c>
      <c r="P20" s="55" t="n">
        <f aca="false">IF(J20="","",MAX(0,J20-1.96*O20/100))</f>
        <v>0.389373489720492</v>
      </c>
      <c r="Q20" s="55" t="n">
        <f aca="false">IF(J20="","",MIN(1,J20+1.96*O20/100))</f>
        <v>0.477038724019966</v>
      </c>
      <c r="R20" s="32" t="str">
        <f aca="false">IF(L20="","",IF(ABS(L20)&lt;=O20,"Yes","No"))</f>
        <v>Yes</v>
      </c>
      <c r="S20" s="32" t="str">
        <f aca="false">IF(L20="","",IF(ABS(L20)&lt;=1.96*O20,"Yes","No"))</f>
        <v>Yes</v>
      </c>
      <c r="T20" s="54" t="n">
        <f aca="false">IF(D20="","",ROUND(SQRT(((D20+G20)*O20/100)^2+(J20*(D20+G20)*0.04632)^2),0))</f>
        <v>126</v>
      </c>
      <c r="U20" s="32" t="s">
        <v>393</v>
      </c>
    </row>
    <row r="21" customFormat="false" ht="15" hidden="false" customHeight="false" outlineLevel="0" collapsed="false">
      <c r="A21" s="32" t="s">
        <v>127</v>
      </c>
      <c r="B21" s="32" t="s">
        <v>153</v>
      </c>
      <c r="C21" s="32" t="s">
        <v>129</v>
      </c>
      <c r="D21" s="54" t="n">
        <v>548</v>
      </c>
      <c r="E21" s="54" t="n">
        <v>574</v>
      </c>
      <c r="F21" s="65" t="n">
        <f aca="false">IF(E21="","",D21-E21)</f>
        <v>-26</v>
      </c>
      <c r="G21" s="54" t="n">
        <v>678</v>
      </c>
      <c r="H21" s="54" t="n">
        <v>562</v>
      </c>
      <c r="I21" s="65" t="n">
        <f aca="false">IF(H21="","",G21-H21)</f>
        <v>116</v>
      </c>
      <c r="J21" s="55" t="n">
        <f aca="false">IF(OR(D21="",D21+G21=0),"",D21/(D21+G21))</f>
        <v>0.446982055464927</v>
      </c>
      <c r="K21" s="55" t="n">
        <f aca="false">IF(E21="","",E21/(E21+H21))</f>
        <v>0.505281690140845</v>
      </c>
      <c r="L21" s="66" t="n">
        <f aca="false">IF(OR(K21="",J21=""),"",(J21-K21)*100)</f>
        <v>-5.82996346759185</v>
      </c>
      <c r="M21" s="36" t="n">
        <v>2.06728657077428</v>
      </c>
      <c r="N21" s="36" t="n">
        <v>1.82027350848151</v>
      </c>
      <c r="O21" s="36" t="n">
        <f aca="false">SQRT(M21^2+N21^2)</f>
        <v>2.75446354330263</v>
      </c>
      <c r="P21" s="55" t="n">
        <f aca="false">IF(J21="","",MAX(0,J21-1.96*O21/100))</f>
        <v>0.392994570016195</v>
      </c>
      <c r="Q21" s="55" t="n">
        <f aca="false">IF(J21="","",MIN(1,J21+1.96*O21/100))</f>
        <v>0.500969540913658</v>
      </c>
      <c r="R21" s="32" t="str">
        <f aca="false">IF(L21="","",IF(ABS(L21)&lt;=O21,"Yes","No"))</f>
        <v>No</v>
      </c>
      <c r="S21" s="32" t="str">
        <f aca="false">IF(L21="","",IF(ABS(L21)&lt;=1.96*O21,"Yes","No"))</f>
        <v>No</v>
      </c>
      <c r="T21" s="54" t="n">
        <f aca="false">IF(D21="","",ROUND(SQRT(((D21+G21)*O21/100)^2+(J21*(D21+G21)*0.05402)^2),0))</f>
        <v>45</v>
      </c>
      <c r="U21" s="32" t="s">
        <v>393</v>
      </c>
    </row>
    <row r="22" customFormat="false" ht="15" hidden="false" customHeight="false" outlineLevel="0" collapsed="false">
      <c r="A22" s="32" t="s">
        <v>127</v>
      </c>
      <c r="B22" s="32" t="s">
        <v>154</v>
      </c>
      <c r="C22" s="32" t="s">
        <v>129</v>
      </c>
      <c r="D22" s="54" t="n">
        <v>705</v>
      </c>
      <c r="E22" s="54" t="n">
        <v>613</v>
      </c>
      <c r="F22" s="65" t="n">
        <f aca="false">IF(E22="","",D22-E22)</f>
        <v>92</v>
      </c>
      <c r="G22" s="54" t="n">
        <v>1313</v>
      </c>
      <c r="H22" s="54" t="n">
        <v>1136</v>
      </c>
      <c r="I22" s="65" t="n">
        <f aca="false">IF(H22="","",G22-H22)</f>
        <v>177</v>
      </c>
      <c r="J22" s="55" t="n">
        <f aca="false">IF(OR(D22="",D22+G22=0),"",D22/(D22+G22))</f>
        <v>0.349355797819623</v>
      </c>
      <c r="K22" s="55" t="n">
        <f aca="false">IF(E22="","",E22/(E22+H22))</f>
        <v>0.350485991995426</v>
      </c>
      <c r="L22" s="66" t="n">
        <f aca="false">IF(OR(K22="",J22=""),"",(J22-K22)*100)</f>
        <v>-0.113019417580257</v>
      </c>
      <c r="M22" s="36" t="n">
        <v>2.06728657077428</v>
      </c>
      <c r="N22" s="36" t="n">
        <v>1.82027350848151</v>
      </c>
      <c r="O22" s="36" t="n">
        <f aca="false">SQRT(M22^2+N22^2)</f>
        <v>2.75446354330263</v>
      </c>
      <c r="P22" s="55" t="n">
        <f aca="false">IF(J22="","",MAX(0,J22-1.96*O22/100))</f>
        <v>0.295368312370892</v>
      </c>
      <c r="Q22" s="55" t="n">
        <f aca="false">IF(J22="","",MIN(1,J22+1.96*O22/100))</f>
        <v>0.403343283268355</v>
      </c>
      <c r="R22" s="32" t="str">
        <f aca="false">IF(L22="","",IF(ABS(L22)&lt;=O22,"Yes","No"))</f>
        <v>Yes</v>
      </c>
      <c r="S22" s="32" t="str">
        <f aca="false">IF(L22="","",IF(ABS(L22)&lt;=1.96*O22,"Yes","No"))</f>
        <v>Yes</v>
      </c>
      <c r="T22" s="54" t="n">
        <f aca="false">IF(D22="","",ROUND(SQRT(((D22+G22)*O22/100)^2+(J22*(D22+G22)*0.05402)^2),0))</f>
        <v>67</v>
      </c>
      <c r="U22" s="32" t="s">
        <v>393</v>
      </c>
    </row>
    <row r="23" customFormat="false" ht="15" hidden="false" customHeight="false" outlineLevel="0" collapsed="false">
      <c r="A23" s="32" t="s">
        <v>127</v>
      </c>
      <c r="B23" s="32" t="s">
        <v>155</v>
      </c>
      <c r="C23" s="32" t="s">
        <v>129</v>
      </c>
      <c r="D23" s="54" t="n">
        <v>308</v>
      </c>
      <c r="E23" s="54" t="n">
        <v>273</v>
      </c>
      <c r="F23" s="65" t="n">
        <f aca="false">IF(E23="","",D23-E23)</f>
        <v>35</v>
      </c>
      <c r="G23" s="54" t="n">
        <v>590</v>
      </c>
      <c r="H23" s="54" t="n">
        <v>574</v>
      </c>
      <c r="I23" s="65" t="n">
        <f aca="false">IF(H23="","",G23-H23)</f>
        <v>16</v>
      </c>
      <c r="J23" s="55" t="n">
        <f aca="false">IF(OR(D23="",D23+G23=0),"",D23/(D23+G23))</f>
        <v>0.342984409799555</v>
      </c>
      <c r="K23" s="55" t="n">
        <f aca="false">IF(E23="","",E23/(E23+H23))</f>
        <v>0.322314049586777</v>
      </c>
      <c r="L23" s="66" t="n">
        <f aca="false">IF(OR(K23="",J23=""),"",(J23-K23)*100)</f>
        <v>2.06703602127777</v>
      </c>
      <c r="M23" s="36" t="n">
        <v>3.10792193660115</v>
      </c>
      <c r="N23" s="36" t="n">
        <v>1.82027350848151</v>
      </c>
      <c r="O23" s="36" t="n">
        <f aca="false">SQRT(M23^2+N23^2)</f>
        <v>3.60174602237391</v>
      </c>
      <c r="P23" s="55" t="n">
        <f aca="false">IF(J23="","",MAX(0,J23-1.96*O23/100))</f>
        <v>0.272390187761026</v>
      </c>
      <c r="Q23" s="55" t="n">
        <f aca="false">IF(J23="","",MIN(1,J23+1.96*O23/100))</f>
        <v>0.413578631838083</v>
      </c>
      <c r="R23" s="32" t="str">
        <f aca="false">IF(L23="","",IF(ABS(L23)&lt;=O23,"Yes","No"))</f>
        <v>Yes</v>
      </c>
      <c r="S23" s="32" t="str">
        <f aca="false">IF(L23="","",IF(ABS(L23)&lt;=1.96*O23,"Yes","No"))</f>
        <v>Yes</v>
      </c>
      <c r="T23" s="54" t="n">
        <f aca="false">IF(D23="","",ROUND(SQRT(((D23+G23)*O23/100)^2+(J23*(D23+G23)*0.07067)^2),0))</f>
        <v>39</v>
      </c>
      <c r="U23" s="32" t="s">
        <v>393</v>
      </c>
    </row>
    <row r="24" customFormat="false" ht="15" hidden="false" customHeight="false" outlineLevel="0" collapsed="false">
      <c r="A24" s="32" t="s">
        <v>127</v>
      </c>
      <c r="B24" s="32" t="s">
        <v>156</v>
      </c>
      <c r="C24" s="32" t="s">
        <v>129</v>
      </c>
      <c r="D24" s="54" t="n">
        <v>45</v>
      </c>
      <c r="E24" s="54" t="n">
        <v>50</v>
      </c>
      <c r="F24" s="65" t="n">
        <f aca="false">IF(E24="","",D24-E24)</f>
        <v>-5</v>
      </c>
      <c r="G24" s="54" t="n">
        <v>61</v>
      </c>
      <c r="H24" s="54" t="n">
        <v>48</v>
      </c>
      <c r="I24" s="65" t="n">
        <f aca="false">IF(H24="","",G24-H24)</f>
        <v>13</v>
      </c>
      <c r="J24" s="55" t="n">
        <f aca="false">IF(OR(D24="",D24+G24=0),"",D24/(D24+G24))</f>
        <v>0.424528301886792</v>
      </c>
      <c r="K24" s="55" t="n">
        <f aca="false">IF(E24="","",E24/(E24+H24))</f>
        <v>0.510204081632653</v>
      </c>
      <c r="L24" s="66" t="n">
        <f aca="false">IF(OR(K24="",J24=""),"",(J24-K24)*100)</f>
        <v>-8.56757797458606</v>
      </c>
      <c r="M24" s="36" t="n">
        <v>3.10792193660115</v>
      </c>
      <c r="N24" s="36" t="n">
        <v>1.82027350848151</v>
      </c>
      <c r="O24" s="36" t="n">
        <f aca="false">SQRT(M24^2+N24^2)</f>
        <v>3.60174602237391</v>
      </c>
      <c r="P24" s="55" t="n">
        <f aca="false">IF(J24="","",MAX(0,J24-1.96*O24/100))</f>
        <v>0.353934079848264</v>
      </c>
      <c r="Q24" s="55" t="n">
        <f aca="false">IF(J24="","",MIN(1,J24+1.96*O24/100))</f>
        <v>0.495122523925321</v>
      </c>
      <c r="R24" s="32" t="str">
        <f aca="false">IF(L24="","",IF(ABS(L24)&lt;=O24,"Yes","No"))</f>
        <v>No</v>
      </c>
      <c r="S24" s="32" t="str">
        <f aca="false">IF(L24="","",IF(ABS(L24)&lt;=1.96*O24,"Yes","No"))</f>
        <v>No</v>
      </c>
      <c r="T24" s="54" t="n">
        <f aca="false">IF(D24="","",ROUND(SQRT(((D24+G24)*O24/100)^2+(J24*(D24+G24)*0.07067)^2),0))</f>
        <v>5</v>
      </c>
      <c r="U24" s="32" t="s">
        <v>393</v>
      </c>
    </row>
    <row r="25" customFormat="false" ht="15" hidden="false" customHeight="false" outlineLevel="0" collapsed="false">
      <c r="A25" s="32" t="s">
        <v>157</v>
      </c>
      <c r="B25" s="32" t="s">
        <v>158</v>
      </c>
      <c r="C25" s="32" t="s">
        <v>129</v>
      </c>
      <c r="D25" s="54" t="n">
        <v>475</v>
      </c>
      <c r="E25" s="54" t="n">
        <v>454</v>
      </c>
      <c r="F25" s="65" t="n">
        <f aca="false">IF(E25="","",D25-E25)</f>
        <v>21</v>
      </c>
      <c r="G25" s="54" t="n">
        <v>465</v>
      </c>
      <c r="H25" s="54" t="n">
        <v>406</v>
      </c>
      <c r="I25" s="65" t="n">
        <f aca="false">IF(H25="","",G25-H25)</f>
        <v>59</v>
      </c>
      <c r="J25" s="55" t="n">
        <f aca="false">IF(OR(D25="",D25+G25=0),"",D25/(D25+G25))</f>
        <v>0.50531914893617</v>
      </c>
      <c r="K25" s="55" t="n">
        <f aca="false">IF(E25="","",E25/(E25+H25))</f>
        <v>0.527906976744186</v>
      </c>
      <c r="L25" s="66" t="n">
        <f aca="false">IF(OR(K25="",J25=""),"",(J25-K25)*100)</f>
        <v>-2.25878278080158</v>
      </c>
      <c r="M25" s="36" t="n">
        <v>3.10792193660115</v>
      </c>
      <c r="N25" s="36" t="n">
        <v>1.82027350848151</v>
      </c>
      <c r="O25" s="36" t="n">
        <f aca="false">SQRT(M25^2+N25^2)</f>
        <v>3.60174602237391</v>
      </c>
      <c r="P25" s="55" t="n">
        <f aca="false">IF(J25="","",MAX(0,J25-1.96*O25/100))</f>
        <v>0.434724926897642</v>
      </c>
      <c r="Q25" s="55" t="n">
        <f aca="false">IF(J25="","",MIN(1,J25+1.96*O25/100))</f>
        <v>0.575913370974699</v>
      </c>
      <c r="R25" s="32" t="str">
        <f aca="false">IF(L25="","",IF(ABS(L25)&lt;=O25,"Yes","No"))</f>
        <v>Yes</v>
      </c>
      <c r="S25" s="32" t="str">
        <f aca="false">IF(L25="","",IF(ABS(L25)&lt;=1.96*O25,"Yes","No"))</f>
        <v>Yes</v>
      </c>
      <c r="T25" s="54" t="n">
        <f aca="false">IF(D25="","",ROUND(SQRT(((D25+G25)*O25/100)^2+(J25*(D25+G25)*0.07067)^2),0))</f>
        <v>48</v>
      </c>
      <c r="U25" s="32"/>
    </row>
    <row r="26" customFormat="false" ht="15" hidden="false" customHeight="false" outlineLevel="0" collapsed="false">
      <c r="A26" s="32" t="s">
        <v>157</v>
      </c>
      <c r="B26" s="32" t="s">
        <v>159</v>
      </c>
      <c r="C26" s="32" t="s">
        <v>129</v>
      </c>
      <c r="D26" s="54" t="n">
        <v>18353</v>
      </c>
      <c r="E26" s="54" t="n">
        <v>19919</v>
      </c>
      <c r="F26" s="65" t="n">
        <f aca="false">IF(E26="","",D26-E26)</f>
        <v>-1566</v>
      </c>
      <c r="G26" s="54" t="n">
        <v>6973</v>
      </c>
      <c r="H26" s="54" t="n">
        <v>7341</v>
      </c>
      <c r="I26" s="65" t="n">
        <f aca="false">IF(H26="","",G26-H26)</f>
        <v>-368</v>
      </c>
      <c r="J26" s="55" t="n">
        <f aca="false">IF(OR(D26="",D26+G26=0),"",D26/(D26+G26))</f>
        <v>0.724670299297165</v>
      </c>
      <c r="K26" s="55" t="n">
        <f aca="false">IF(E26="","",E26/(E26+H26))</f>
        <v>0.73070432868672</v>
      </c>
      <c r="L26" s="66" t="n">
        <f aca="false">IF(OR(K26="",J26=""),"",(J26-K26)*100)</f>
        <v>-0.603402938955544</v>
      </c>
      <c r="M26" s="36" t="n">
        <v>1.29919264864539</v>
      </c>
      <c r="N26" s="36" t="n">
        <v>1.82027350848151</v>
      </c>
      <c r="O26" s="36" t="n">
        <f aca="false">SQRT(M26^2+N26^2)</f>
        <v>2.23635801784371</v>
      </c>
      <c r="P26" s="55" t="n">
        <f aca="false">IF(J26="","",MAX(0,J26-1.96*O26/100))</f>
        <v>0.680837682147428</v>
      </c>
      <c r="Q26" s="55" t="n">
        <f aca="false">IF(J26="","",MIN(1,J26+1.96*O26/100))</f>
        <v>0.768502916446902</v>
      </c>
      <c r="R26" s="32" t="str">
        <f aca="false">IF(L26="","",IF(ABS(L26)&lt;=O26,"Yes","No"))</f>
        <v>Yes</v>
      </c>
      <c r="S26" s="32" t="str">
        <f aca="false">IF(L26="","",IF(ABS(L26)&lt;=1.96*O26,"Yes","No"))</f>
        <v>Yes</v>
      </c>
      <c r="T26" s="54" t="n">
        <f aca="false">IF(D26="","",ROUND(SQRT(((D26+G26)*O26/100)^2+(J26*(D26+G26)*0.04632)^2),0))</f>
        <v>1022</v>
      </c>
      <c r="U26" s="32"/>
    </row>
    <row r="27" customFormat="false" ht="15" hidden="false" customHeight="false" outlineLevel="0" collapsed="false">
      <c r="A27" s="32" t="s">
        <v>157</v>
      </c>
      <c r="B27" s="32" t="s">
        <v>160</v>
      </c>
      <c r="C27" s="32" t="s">
        <v>129</v>
      </c>
      <c r="D27" s="54" t="n">
        <v>4967</v>
      </c>
      <c r="E27" s="54" t="n">
        <v>4700</v>
      </c>
      <c r="F27" s="65" t="n">
        <f aca="false">IF(E27="","",D27-E27)</f>
        <v>267</v>
      </c>
      <c r="G27" s="54" t="n">
        <v>2384</v>
      </c>
      <c r="H27" s="54" t="n">
        <v>2300</v>
      </c>
      <c r="I27" s="65" t="n">
        <f aca="false">IF(H27="","",G27-H27)</f>
        <v>84</v>
      </c>
      <c r="J27" s="55" t="n">
        <f aca="false">IF(OR(D27="",D27+G27=0),"",D27/(D27+G27))</f>
        <v>0.675690382260917</v>
      </c>
      <c r="K27" s="55" t="n">
        <f aca="false">IF(E27="","",E27/(E27+H27))</f>
        <v>0.671428571428571</v>
      </c>
      <c r="L27" s="66" t="n">
        <f aca="false">IF(OR(K27="",J27=""),"",(J27-K27)*100)</f>
        <v>0.426181083234556</v>
      </c>
      <c r="M27" s="36" t="n">
        <v>1.29919264864539</v>
      </c>
      <c r="N27" s="36" t="n">
        <v>1.82027350848151</v>
      </c>
      <c r="O27" s="36" t="n">
        <f aca="false">SQRT(M27^2+N27^2)</f>
        <v>2.23635801784371</v>
      </c>
      <c r="P27" s="55" t="n">
        <f aca="false">IF(J27="","",MAX(0,J27-1.96*O27/100))</f>
        <v>0.63185776511118</v>
      </c>
      <c r="Q27" s="55" t="n">
        <f aca="false">IF(J27="","",MIN(1,J27+1.96*O27/100))</f>
        <v>0.719522999410654</v>
      </c>
      <c r="R27" s="32" t="str">
        <f aca="false">IF(L27="","",IF(ABS(L27)&lt;=O27,"Yes","No"))</f>
        <v>Yes</v>
      </c>
      <c r="S27" s="32" t="str">
        <f aca="false">IF(L27="","",IF(ABS(L27)&lt;=1.96*O27,"Yes","No"))</f>
        <v>Yes</v>
      </c>
      <c r="T27" s="54" t="n">
        <f aca="false">IF(D27="","",ROUND(SQRT(((D27+G27)*O27/100)^2+(J27*(D27+G27)*0.04632)^2),0))</f>
        <v>283</v>
      </c>
      <c r="U27" s="32"/>
    </row>
    <row r="28" customFormat="false" ht="15" hidden="false" customHeight="false" outlineLevel="0" collapsed="false">
      <c r="A28" s="32" t="s">
        <v>157</v>
      </c>
      <c r="B28" s="32" t="s">
        <v>161</v>
      </c>
      <c r="C28" s="32" t="s">
        <v>129</v>
      </c>
      <c r="D28" s="54" t="n">
        <v>1102</v>
      </c>
      <c r="E28" s="54" t="n">
        <v>1137</v>
      </c>
      <c r="F28" s="65" t="n">
        <f aca="false">IF(E28="","",D28-E28)</f>
        <v>-35</v>
      </c>
      <c r="G28" s="54" t="n">
        <v>920</v>
      </c>
      <c r="H28" s="54" t="n">
        <v>821</v>
      </c>
      <c r="I28" s="65" t="n">
        <f aca="false">IF(H28="","",G28-H28)</f>
        <v>99</v>
      </c>
      <c r="J28" s="55" t="n">
        <f aca="false">IF(OR(D28="",D28+G28=0),"",D28/(D28+G28))</f>
        <v>0.545004945598417</v>
      </c>
      <c r="K28" s="55" t="n">
        <f aca="false">IF(E28="","",E28/(E28+H28))</f>
        <v>0.580694586312564</v>
      </c>
      <c r="L28" s="66" t="n">
        <f aca="false">IF(OR(K28="",J28=""),"",(J28-K28)*100)</f>
        <v>-3.56896407141465</v>
      </c>
      <c r="M28" s="36" t="n">
        <v>2.06728657077428</v>
      </c>
      <c r="N28" s="36" t="n">
        <v>1.82027350848151</v>
      </c>
      <c r="O28" s="36" t="n">
        <f aca="false">SQRT(M28^2+N28^2)</f>
        <v>2.75446354330263</v>
      </c>
      <c r="P28" s="55" t="n">
        <f aca="false">IF(J28="","",MAX(0,J28-1.96*O28/100))</f>
        <v>0.491017460149686</v>
      </c>
      <c r="Q28" s="55" t="n">
        <f aca="false">IF(J28="","",MIN(1,J28+1.96*O28/100))</f>
        <v>0.598992431047149</v>
      </c>
      <c r="R28" s="32" t="str">
        <f aca="false">IF(L28="","",IF(ABS(L28)&lt;=O28,"Yes","No"))</f>
        <v>No</v>
      </c>
      <c r="S28" s="32" t="str">
        <f aca="false">IF(L28="","",IF(ABS(L28)&lt;=1.96*O28,"Yes","No"))</f>
        <v>Yes</v>
      </c>
      <c r="T28" s="54" t="n">
        <f aca="false">IF(D28="","",ROUND(SQRT(((D28+G28)*O28/100)^2+(J28*(D28+G28)*0.05402)^2),0))</f>
        <v>82</v>
      </c>
      <c r="U28" s="32"/>
    </row>
    <row r="29" customFormat="false" ht="15" hidden="false" customHeight="false" outlineLevel="0" collapsed="false">
      <c r="A29" s="32" t="s">
        <v>157</v>
      </c>
      <c r="B29" s="32" t="s">
        <v>162</v>
      </c>
      <c r="C29" s="32" t="s">
        <v>129</v>
      </c>
      <c r="D29" s="54" t="n">
        <v>530</v>
      </c>
      <c r="E29" s="54" t="n">
        <v>513</v>
      </c>
      <c r="F29" s="65" t="n">
        <f aca="false">IF(E29="","",D29-E29)</f>
        <v>17</v>
      </c>
      <c r="G29" s="54" t="n">
        <v>546</v>
      </c>
      <c r="H29" s="54" t="n">
        <v>446</v>
      </c>
      <c r="I29" s="65" t="n">
        <f aca="false">IF(H29="","",G29-H29)</f>
        <v>100</v>
      </c>
      <c r="J29" s="55" t="n">
        <f aca="false">IF(OR(D29="",D29+G29=0),"",D29/(D29+G29))</f>
        <v>0.492565055762082</v>
      </c>
      <c r="K29" s="55" t="n">
        <f aca="false">IF(E29="","",E29/(E29+H29))</f>
        <v>0.534932221063608</v>
      </c>
      <c r="L29" s="66" t="n">
        <f aca="false">IF(OR(K29="",J29=""),"",(J29-K29)*100)</f>
        <v>-4.23671653015262</v>
      </c>
      <c r="M29" s="36" t="n">
        <v>3.10792193660115</v>
      </c>
      <c r="N29" s="36" t="n">
        <v>1.82027350848151</v>
      </c>
      <c r="O29" s="36" t="n">
        <f aca="false">SQRT(M29^2+N29^2)</f>
        <v>3.60174602237391</v>
      </c>
      <c r="P29" s="55" t="n">
        <f aca="false">IF(J29="","",MAX(0,J29-1.96*O29/100))</f>
        <v>0.421970833723553</v>
      </c>
      <c r="Q29" s="55" t="n">
        <f aca="false">IF(J29="","",MIN(1,J29+1.96*O29/100))</f>
        <v>0.56315927780061</v>
      </c>
      <c r="R29" s="32" t="str">
        <f aca="false">IF(L29="","",IF(ABS(L29)&lt;=O29,"Yes","No"))</f>
        <v>No</v>
      </c>
      <c r="S29" s="32" t="str">
        <f aca="false">IF(L29="","",IF(ABS(L29)&lt;=1.96*O29,"Yes","No"))</f>
        <v>Yes</v>
      </c>
      <c r="T29" s="54" t="n">
        <f aca="false">IF(D29="","",ROUND(SQRT(((D29+G29)*O29/100)^2+(J29*(D29+G29)*0.07067)^2),0))</f>
        <v>54</v>
      </c>
      <c r="U29" s="32"/>
    </row>
    <row r="30" customFormat="false" ht="15" hidden="false" customHeight="false" outlineLevel="0" collapsed="false">
      <c r="A30" s="32" t="s">
        <v>157</v>
      </c>
      <c r="B30" s="32" t="s">
        <v>163</v>
      </c>
      <c r="C30" s="32" t="s">
        <v>129</v>
      </c>
      <c r="D30" s="54" t="n">
        <v>687</v>
      </c>
      <c r="E30" s="54" t="n">
        <v>660</v>
      </c>
      <c r="F30" s="65" t="n">
        <f aca="false">IF(E30="","",D30-E30)</f>
        <v>27</v>
      </c>
      <c r="G30" s="54" t="n">
        <v>524</v>
      </c>
      <c r="H30" s="54" t="n">
        <v>515</v>
      </c>
      <c r="I30" s="65" t="n">
        <f aca="false">IF(H30="","",G30-H30)</f>
        <v>9</v>
      </c>
      <c r="J30" s="55" t="n">
        <f aca="false">IF(OR(D30="",D30+G30=0),"",D30/(D30+G30))</f>
        <v>0.567299752270851</v>
      </c>
      <c r="K30" s="55" t="n">
        <f aca="false">IF(E30="","",E30/(E30+H30))</f>
        <v>0.561702127659575</v>
      </c>
      <c r="L30" s="66" t="n">
        <f aca="false">IF(OR(K30="",J30=""),"",(J30-K30)*100)</f>
        <v>0.5597624611276</v>
      </c>
      <c r="M30" s="36" t="n">
        <v>2.06728657077428</v>
      </c>
      <c r="N30" s="36" t="n">
        <v>1.82027350848151</v>
      </c>
      <c r="O30" s="36" t="n">
        <f aca="false">SQRT(M30^2+N30^2)</f>
        <v>2.75446354330263</v>
      </c>
      <c r="P30" s="55" t="n">
        <f aca="false">IF(J30="","",MAX(0,J30-1.96*O30/100))</f>
        <v>0.513312266822119</v>
      </c>
      <c r="Q30" s="55" t="n">
        <f aca="false">IF(J30="","",MIN(1,J30+1.96*O30/100))</f>
        <v>0.621287237719582</v>
      </c>
      <c r="R30" s="32" t="str">
        <f aca="false">IF(L30="","",IF(ABS(L30)&lt;=O30,"Yes","No"))</f>
        <v>Yes</v>
      </c>
      <c r="S30" s="32" t="str">
        <f aca="false">IF(L30="","",IF(ABS(L30)&lt;=1.96*O30,"Yes","No"))</f>
        <v>Yes</v>
      </c>
      <c r="T30" s="54" t="n">
        <f aca="false">IF(D30="","",ROUND(SQRT(((D30+G30)*O30/100)^2+(J30*(D30+G30)*0.05402)^2),0))</f>
        <v>50</v>
      </c>
      <c r="U30" s="32"/>
    </row>
    <row r="31" customFormat="false" ht="15" hidden="false" customHeight="false" outlineLevel="0" collapsed="false">
      <c r="A31" s="32" t="s">
        <v>157</v>
      </c>
      <c r="B31" s="32" t="s">
        <v>164</v>
      </c>
      <c r="C31" s="32" t="s">
        <v>129</v>
      </c>
      <c r="D31" s="54" t="n">
        <v>2613</v>
      </c>
      <c r="E31" s="54" t="n">
        <v>2434</v>
      </c>
      <c r="F31" s="65" t="n">
        <f aca="false">IF(E31="","",D31-E31)</f>
        <v>179</v>
      </c>
      <c r="G31" s="54" t="n">
        <v>2121</v>
      </c>
      <c r="H31" s="54" t="n">
        <v>1955</v>
      </c>
      <c r="I31" s="65" t="n">
        <f aca="false">IF(H31="","",G31-H31)</f>
        <v>166</v>
      </c>
      <c r="J31" s="55" t="n">
        <f aca="false">IF(OR(D31="",D31+G31=0),"",D31/(D31+G31))</f>
        <v>0.551964512040558</v>
      </c>
      <c r="K31" s="55" t="n">
        <f aca="false">IF(E31="","",E31/(E31+H31))</f>
        <v>0.554568238778765</v>
      </c>
      <c r="L31" s="66" t="n">
        <f aca="false">IF(OR(K31="",J31=""),"",(J31-K31)*100)</f>
        <v>-0.260372673820741</v>
      </c>
      <c r="M31" s="36" t="n">
        <v>1.29919264864539</v>
      </c>
      <c r="N31" s="36" t="n">
        <v>1.82027350848151</v>
      </c>
      <c r="O31" s="36" t="n">
        <f aca="false">SQRT(M31^2+N31^2)</f>
        <v>2.23635801784371</v>
      </c>
      <c r="P31" s="55" t="n">
        <f aca="false">IF(J31="","",MAX(0,J31-1.96*O31/100))</f>
        <v>0.508131894890821</v>
      </c>
      <c r="Q31" s="55" t="n">
        <f aca="false">IF(J31="","",MIN(1,J31+1.96*O31/100))</f>
        <v>0.595797129190294</v>
      </c>
      <c r="R31" s="32" t="str">
        <f aca="false">IF(L31="","",IF(ABS(L31)&lt;=O31,"Yes","No"))</f>
        <v>Yes</v>
      </c>
      <c r="S31" s="32" t="str">
        <f aca="false">IF(L31="","",IF(ABS(L31)&lt;=1.96*O31,"Yes","No"))</f>
        <v>Yes</v>
      </c>
      <c r="T31" s="54" t="n">
        <f aca="false">IF(D31="","",ROUND(SQRT(((D31+G31)*O31/100)^2+(J31*(D31+G31)*0.04632)^2),0))</f>
        <v>161</v>
      </c>
      <c r="U31" s="32"/>
    </row>
    <row r="32" customFormat="false" ht="15" hidden="false" customHeight="false" outlineLevel="0" collapsed="false">
      <c r="A32" s="32" t="s">
        <v>157</v>
      </c>
      <c r="B32" s="32" t="s">
        <v>165</v>
      </c>
      <c r="C32" s="32" t="s">
        <v>129</v>
      </c>
      <c r="D32" s="54" t="n">
        <v>1036</v>
      </c>
      <c r="E32" s="54" t="n">
        <v>1077</v>
      </c>
      <c r="F32" s="65" t="n">
        <f aca="false">IF(E32="","",D32-E32)</f>
        <v>-41</v>
      </c>
      <c r="G32" s="54" t="n">
        <v>441</v>
      </c>
      <c r="H32" s="54" t="n">
        <v>463</v>
      </c>
      <c r="I32" s="65" t="n">
        <f aca="false">IF(H32="","",G32-H32)</f>
        <v>-22</v>
      </c>
      <c r="J32" s="55" t="n">
        <f aca="false">IF(OR(D32="",D32+G32=0),"",D32/(D32+G32))</f>
        <v>0.701421800947867</v>
      </c>
      <c r="K32" s="55" t="n">
        <f aca="false">IF(E32="","",E32/(E32+H32))</f>
        <v>0.699350649350649</v>
      </c>
      <c r="L32" s="66" t="n">
        <f aca="false">IF(OR(K32="",J32=""),"",(J32-K32)*100)</f>
        <v>0.207115159721794</v>
      </c>
      <c r="M32" s="36" t="n">
        <v>2.06728657077428</v>
      </c>
      <c r="N32" s="36" t="n">
        <v>1.82027350848151</v>
      </c>
      <c r="O32" s="36" t="n">
        <f aca="false">SQRT(M32^2+N32^2)</f>
        <v>2.75446354330263</v>
      </c>
      <c r="P32" s="55" t="n">
        <f aca="false">IF(J32="","",MAX(0,J32-1.96*O32/100))</f>
        <v>0.647434315499136</v>
      </c>
      <c r="Q32" s="55" t="n">
        <f aca="false">IF(J32="","",MIN(1,J32+1.96*O32/100))</f>
        <v>0.755409286396599</v>
      </c>
      <c r="R32" s="32" t="str">
        <f aca="false">IF(L32="","",IF(ABS(L32)&lt;=O32,"Yes","No"))</f>
        <v>Yes</v>
      </c>
      <c r="S32" s="32" t="str">
        <f aca="false">IF(L32="","",IF(ABS(L32)&lt;=1.96*O32,"Yes","No"))</f>
        <v>Yes</v>
      </c>
      <c r="T32" s="54" t="n">
        <f aca="false">IF(D32="","",ROUND(SQRT(((D32+G32)*O32/100)^2+(J32*(D32+G32)*0.05402)^2),0))</f>
        <v>69</v>
      </c>
      <c r="U32" s="32"/>
    </row>
    <row r="33" customFormat="false" ht="15" hidden="false" customHeight="false" outlineLevel="0" collapsed="false">
      <c r="A33" s="32" t="s">
        <v>157</v>
      </c>
      <c r="B33" s="32" t="s">
        <v>166</v>
      </c>
      <c r="C33" s="32" t="s">
        <v>129</v>
      </c>
      <c r="D33" s="54" t="n">
        <v>281</v>
      </c>
      <c r="E33" s="54" t="n">
        <v>294</v>
      </c>
      <c r="F33" s="65" t="n">
        <f aca="false">IF(E33="","",D33-E33)</f>
        <v>-13</v>
      </c>
      <c r="G33" s="54" t="n">
        <v>189</v>
      </c>
      <c r="H33" s="54" t="n">
        <v>198</v>
      </c>
      <c r="I33" s="65" t="n">
        <f aca="false">IF(H33="","",G33-H33)</f>
        <v>-9</v>
      </c>
      <c r="J33" s="55" t="n">
        <f aca="false">IF(OR(D33="",D33+G33=0),"",D33/(D33+G33))</f>
        <v>0.597872340425532</v>
      </c>
      <c r="K33" s="55" t="n">
        <f aca="false">IF(E33="","",E33/(E33+H33))</f>
        <v>0.597560975609756</v>
      </c>
      <c r="L33" s="66" t="n">
        <f aca="false">IF(OR(K33="",J33=""),"",(J33-K33)*100)</f>
        <v>0.0311364815775872</v>
      </c>
      <c r="M33" s="36" t="n">
        <v>3.10792193660115</v>
      </c>
      <c r="N33" s="36" t="n">
        <v>1.82027350848151</v>
      </c>
      <c r="O33" s="36" t="n">
        <f aca="false">SQRT(M33^2+N33^2)</f>
        <v>3.60174602237391</v>
      </c>
      <c r="P33" s="55" t="n">
        <f aca="false">IF(J33="","",MAX(0,J33-1.96*O33/100))</f>
        <v>0.527278118387003</v>
      </c>
      <c r="Q33" s="55" t="n">
        <f aca="false">IF(J33="","",MIN(1,J33+1.96*O33/100))</f>
        <v>0.66846656246406</v>
      </c>
      <c r="R33" s="32" t="str">
        <f aca="false">IF(L33="","",IF(ABS(L33)&lt;=O33,"Yes","No"))</f>
        <v>Yes</v>
      </c>
      <c r="S33" s="32" t="str">
        <f aca="false">IF(L33="","",IF(ABS(L33)&lt;=1.96*O33,"Yes","No"))</f>
        <v>Yes</v>
      </c>
      <c r="T33" s="54" t="n">
        <f aca="false">IF(D33="","",ROUND(SQRT(((D33+G33)*O33/100)^2+(J33*(D33+G33)*0.07067)^2),0))</f>
        <v>26</v>
      </c>
      <c r="U33" s="32"/>
    </row>
    <row r="34" customFormat="false" ht="15" hidden="false" customHeight="false" outlineLevel="0" collapsed="false">
      <c r="A34" s="32" t="s">
        <v>157</v>
      </c>
      <c r="B34" s="32" t="s">
        <v>167</v>
      </c>
      <c r="C34" s="32" t="s">
        <v>129</v>
      </c>
      <c r="D34" s="54" t="n">
        <v>501</v>
      </c>
      <c r="E34" s="54" t="n">
        <v>498</v>
      </c>
      <c r="F34" s="65" t="n">
        <f aca="false">IF(E34="","",D34-E34)</f>
        <v>3</v>
      </c>
      <c r="G34" s="54" t="n">
        <v>992</v>
      </c>
      <c r="H34" s="54" t="n">
        <v>876</v>
      </c>
      <c r="I34" s="65" t="n">
        <f aca="false">IF(H34="","",G34-H34)</f>
        <v>116</v>
      </c>
      <c r="J34" s="55" t="n">
        <f aca="false">IF(OR(D34="",D34+G34=0),"",D34/(D34+G34))</f>
        <v>0.33556597454789</v>
      </c>
      <c r="K34" s="55" t="n">
        <f aca="false">IF(E34="","",E34/(E34+H34))</f>
        <v>0.362445414847162</v>
      </c>
      <c r="L34" s="66" t="n">
        <f aca="false">IF(OR(K34="",J34=""),"",(J34-K34)*100)</f>
        <v>-2.68794402992714</v>
      </c>
      <c r="M34" s="36" t="n">
        <v>2.06728657077428</v>
      </c>
      <c r="N34" s="36" t="n">
        <v>1.82027350848151</v>
      </c>
      <c r="O34" s="36" t="n">
        <f aca="false">SQRT(M34^2+N34^2)</f>
        <v>2.75446354330263</v>
      </c>
      <c r="P34" s="55" t="n">
        <f aca="false">IF(J34="","",MAX(0,J34-1.96*O34/100))</f>
        <v>0.281578489099159</v>
      </c>
      <c r="Q34" s="55" t="n">
        <f aca="false">IF(J34="","",MIN(1,J34+1.96*O34/100))</f>
        <v>0.389553459996622</v>
      </c>
      <c r="R34" s="32" t="str">
        <f aca="false">IF(L34="","",IF(ABS(L34)&lt;=O34,"Yes","No"))</f>
        <v>Yes</v>
      </c>
      <c r="S34" s="32" t="str">
        <f aca="false">IF(L34="","",IF(ABS(L34)&lt;=1.96*O34,"Yes","No"))</f>
        <v>Yes</v>
      </c>
      <c r="T34" s="54" t="n">
        <f aca="false">IF(D34="","",ROUND(SQRT(((D34+G34)*O34/100)^2+(J34*(D34+G34)*0.05402)^2),0))</f>
        <v>49</v>
      </c>
      <c r="U34" s="32"/>
    </row>
    <row r="35" customFormat="false" ht="15" hidden="false" customHeight="false" outlineLevel="0" collapsed="false">
      <c r="A35" s="32" t="s">
        <v>157</v>
      </c>
      <c r="B35" s="32" t="s">
        <v>168</v>
      </c>
      <c r="C35" s="32" t="s">
        <v>129</v>
      </c>
      <c r="D35" s="54" t="n">
        <v>7689</v>
      </c>
      <c r="E35" s="54" t="n">
        <v>7236</v>
      </c>
      <c r="F35" s="65" t="n">
        <f aca="false">IF(E35="","",D35-E35)</f>
        <v>453</v>
      </c>
      <c r="G35" s="54" t="n">
        <v>7226</v>
      </c>
      <c r="H35" s="54" t="n">
        <v>6846</v>
      </c>
      <c r="I35" s="65" t="n">
        <f aca="false">IF(H35="","",G35-H35)</f>
        <v>380</v>
      </c>
      <c r="J35" s="55" t="n">
        <f aca="false">IF(OR(D35="",D35+G35=0),"",D35/(D35+G35))</f>
        <v>0.51552128729467</v>
      </c>
      <c r="K35" s="55" t="n">
        <f aca="false">IF(E35="","",E35/(E35+H35))</f>
        <v>0.513847464848743</v>
      </c>
      <c r="L35" s="66" t="n">
        <f aca="false">IF(OR(K35="",J35=""),"",(J35-K35)*100)</f>
        <v>0.167382244592673</v>
      </c>
      <c r="M35" s="36" t="n">
        <v>1.29919264864539</v>
      </c>
      <c r="N35" s="36" t="n">
        <v>1.82027350848151</v>
      </c>
      <c r="O35" s="36" t="n">
        <f aca="false">SQRT(M35^2+N35^2)</f>
        <v>2.23635801784371</v>
      </c>
      <c r="P35" s="55" t="n">
        <f aca="false">IF(J35="","",MAX(0,J35-1.96*O35/100))</f>
        <v>0.471688670144933</v>
      </c>
      <c r="Q35" s="55" t="n">
        <f aca="false">IF(J35="","",MIN(1,J35+1.96*O35/100))</f>
        <v>0.559353904444407</v>
      </c>
      <c r="R35" s="32" t="str">
        <f aca="false">IF(L35="","",IF(ABS(L35)&lt;=O35,"Yes","No"))</f>
        <v>Yes</v>
      </c>
      <c r="S35" s="32" t="str">
        <f aca="false">IF(L35="","",IF(ABS(L35)&lt;=1.96*O35,"Yes","No"))</f>
        <v>Yes</v>
      </c>
      <c r="T35" s="54" t="n">
        <f aca="false">IF(D35="","",ROUND(SQRT(((D35+G35)*O35/100)^2+(J35*(D35+G35)*0.04632)^2),0))</f>
        <v>488</v>
      </c>
      <c r="U35" s="32"/>
    </row>
    <row r="36" customFormat="false" ht="15" hidden="false" customHeight="false" outlineLevel="0" collapsed="false">
      <c r="A36" s="32" t="s">
        <v>157</v>
      </c>
      <c r="B36" s="32" t="s">
        <v>169</v>
      </c>
      <c r="C36" s="32" t="s">
        <v>129</v>
      </c>
      <c r="D36" s="54" t="n">
        <v>705</v>
      </c>
      <c r="E36" s="54" t="n">
        <v>738</v>
      </c>
      <c r="F36" s="65" t="n">
        <f aca="false">IF(E36="","",D36-E36)</f>
        <v>-33</v>
      </c>
      <c r="G36" s="54" t="n">
        <v>1284</v>
      </c>
      <c r="H36" s="54" t="n">
        <v>1114</v>
      </c>
      <c r="I36" s="65" t="n">
        <f aca="false">IF(H36="","",G36-H36)</f>
        <v>170</v>
      </c>
      <c r="J36" s="55" t="n">
        <f aca="false">IF(OR(D36="",D36+G36=0),"",D36/(D36+G36))</f>
        <v>0.354449472096531</v>
      </c>
      <c r="K36" s="55" t="n">
        <f aca="false">IF(E36="","",E36/(E36+H36))</f>
        <v>0.398488120950324</v>
      </c>
      <c r="L36" s="66" t="n">
        <f aca="false">IF(OR(K36="",J36=""),"",(J36-K36)*100)</f>
        <v>-4.4038648853793</v>
      </c>
      <c r="M36" s="36" t="n">
        <v>2.06728657077428</v>
      </c>
      <c r="N36" s="36" t="n">
        <v>1.82027350848151</v>
      </c>
      <c r="O36" s="36" t="n">
        <f aca="false">SQRT(M36^2+N36^2)</f>
        <v>2.75446354330263</v>
      </c>
      <c r="P36" s="55" t="n">
        <f aca="false">IF(J36="","",MAX(0,J36-1.96*O36/100))</f>
        <v>0.300461986647799</v>
      </c>
      <c r="Q36" s="55" t="n">
        <f aca="false">IF(J36="","",MIN(1,J36+1.96*O36/100))</f>
        <v>0.408436957545263</v>
      </c>
      <c r="R36" s="32" t="str">
        <f aca="false">IF(L36="","",IF(ABS(L36)&lt;=O36,"Yes","No"))</f>
        <v>No</v>
      </c>
      <c r="S36" s="32" t="str">
        <f aca="false">IF(L36="","",IF(ABS(L36)&lt;=1.96*O36,"Yes","No"))</f>
        <v>Yes</v>
      </c>
      <c r="T36" s="54" t="n">
        <f aca="false">IF(D36="","",ROUND(SQRT(((D36+G36)*O36/100)^2+(J36*(D36+G36)*0.05402)^2),0))</f>
        <v>67</v>
      </c>
      <c r="U36" s="32"/>
    </row>
    <row r="37" customFormat="false" ht="15" hidden="false" customHeight="false" outlineLevel="0" collapsed="false">
      <c r="A37" s="32" t="s">
        <v>157</v>
      </c>
      <c r="B37" s="32" t="s">
        <v>170</v>
      </c>
      <c r="C37" s="32" t="s">
        <v>129</v>
      </c>
      <c r="D37" s="54" t="n">
        <v>399</v>
      </c>
      <c r="E37" s="54" t="n">
        <v>411</v>
      </c>
      <c r="F37" s="65" t="n">
        <f aca="false">IF(E37="","",D37-E37)</f>
        <v>-12</v>
      </c>
      <c r="G37" s="54" t="n">
        <v>728</v>
      </c>
      <c r="H37" s="54" t="n">
        <v>680</v>
      </c>
      <c r="I37" s="65" t="n">
        <f aca="false">IF(H37="","",G37-H37)</f>
        <v>48</v>
      </c>
      <c r="J37" s="55" t="n">
        <f aca="false">IF(OR(D37="",D37+G37=0),"",D37/(D37+G37))</f>
        <v>0.354037267080745</v>
      </c>
      <c r="K37" s="55" t="n">
        <f aca="false">IF(E37="","",E37/(E37+H37))</f>
        <v>0.376718606782768</v>
      </c>
      <c r="L37" s="66" t="n">
        <f aca="false">IF(OR(K37="",J37=""),"",(J37-K37)*100)</f>
        <v>-2.26813397020227</v>
      </c>
      <c r="M37" s="36" t="n">
        <v>3.10792193660115</v>
      </c>
      <c r="N37" s="36" t="n">
        <v>1.82027350848151</v>
      </c>
      <c r="O37" s="36" t="n">
        <f aca="false">SQRT(M37^2+N37^2)</f>
        <v>3.60174602237391</v>
      </c>
      <c r="P37" s="55" t="n">
        <f aca="false">IF(J37="","",MAX(0,J37-1.96*O37/100))</f>
        <v>0.283443045042217</v>
      </c>
      <c r="Q37" s="55" t="n">
        <f aca="false">IF(J37="","",MIN(1,J37+1.96*O37/100))</f>
        <v>0.424631489119274</v>
      </c>
      <c r="R37" s="32" t="str">
        <f aca="false">IF(L37="","",IF(ABS(L37)&lt;=O37,"Yes","No"))</f>
        <v>Yes</v>
      </c>
      <c r="S37" s="32" t="str">
        <f aca="false">IF(L37="","",IF(ABS(L37)&lt;=1.96*O37,"Yes","No"))</f>
        <v>Yes</v>
      </c>
      <c r="T37" s="54" t="n">
        <f aca="false">IF(D37="","",ROUND(SQRT(((D37+G37)*O37/100)^2+(J37*(D37+G37)*0.07067)^2),0))</f>
        <v>49</v>
      </c>
      <c r="U37" s="32"/>
    </row>
    <row r="38" customFormat="false" ht="15" hidden="false" customHeight="false" outlineLevel="0" collapsed="false">
      <c r="A38" s="32" t="s">
        <v>157</v>
      </c>
      <c r="B38" s="32" t="s">
        <v>171</v>
      </c>
      <c r="C38" s="32" t="s">
        <v>129</v>
      </c>
      <c r="D38" s="54" t="n">
        <v>618</v>
      </c>
      <c r="E38" s="54" t="n">
        <v>623</v>
      </c>
      <c r="F38" s="65" t="n">
        <f aca="false">IF(E38="","",D38-E38)</f>
        <v>-5</v>
      </c>
      <c r="G38" s="54" t="n">
        <v>1388</v>
      </c>
      <c r="H38" s="54" t="n">
        <v>1233</v>
      </c>
      <c r="I38" s="65" t="n">
        <f aca="false">IF(H38="","",G38-H38)</f>
        <v>155</v>
      </c>
      <c r="J38" s="55" t="n">
        <f aca="false">IF(OR(D38="",D38+G38=0),"",D38/(D38+G38))</f>
        <v>0.308075772681954</v>
      </c>
      <c r="K38" s="55" t="n">
        <f aca="false">IF(E38="","",E38/(E38+H38))</f>
        <v>0.335668103448276</v>
      </c>
      <c r="L38" s="66" t="n">
        <f aca="false">IF(OR(K38="",J38=""),"",(J38-K38)*100)</f>
        <v>-2.75923307663217</v>
      </c>
      <c r="M38" s="36" t="n">
        <v>2.06728657077428</v>
      </c>
      <c r="N38" s="36" t="n">
        <v>1.82027350848151</v>
      </c>
      <c r="O38" s="36" t="n">
        <f aca="false">SQRT(M38^2+N38^2)</f>
        <v>2.75446354330263</v>
      </c>
      <c r="P38" s="55" t="n">
        <f aca="false">IF(J38="","",MAX(0,J38-1.96*O38/100))</f>
        <v>0.254088287233223</v>
      </c>
      <c r="Q38" s="55" t="n">
        <f aca="false">IF(J38="","",MIN(1,J38+1.96*O38/100))</f>
        <v>0.362063258130686</v>
      </c>
      <c r="R38" s="32" t="str">
        <f aca="false">IF(L38="","",IF(ABS(L38)&lt;=O38,"Yes","No"))</f>
        <v>No</v>
      </c>
      <c r="S38" s="32" t="str">
        <f aca="false">IF(L38="","",IF(ABS(L38)&lt;=1.96*O38,"Yes","No"))</f>
        <v>Yes</v>
      </c>
      <c r="T38" s="54" t="n">
        <f aca="false">IF(D38="","",ROUND(SQRT(((D38+G38)*O38/100)^2+(J38*(D38+G38)*0.05402)^2),0))</f>
        <v>65</v>
      </c>
      <c r="U38" s="32"/>
    </row>
    <row r="39" customFormat="false" ht="15" hidden="false" customHeight="false" outlineLevel="0" collapsed="false">
      <c r="A39" s="32" t="s">
        <v>157</v>
      </c>
      <c r="B39" s="32" t="s">
        <v>172</v>
      </c>
      <c r="C39" s="32" t="s">
        <v>129</v>
      </c>
      <c r="D39" s="54" t="n">
        <v>681</v>
      </c>
      <c r="E39" s="54" t="n">
        <v>691</v>
      </c>
      <c r="F39" s="65" t="n">
        <f aca="false">IF(E39="","",D39-E39)</f>
        <v>-10</v>
      </c>
      <c r="G39" s="54" t="n">
        <v>662</v>
      </c>
      <c r="H39" s="54" t="n">
        <v>584</v>
      </c>
      <c r="I39" s="65" t="n">
        <f aca="false">IF(H39="","",G39-H39)</f>
        <v>78</v>
      </c>
      <c r="J39" s="55" t="n">
        <f aca="false">IF(OR(D39="",D39+G39=0),"",D39/(D39+G39))</f>
        <v>0.507073715562174</v>
      </c>
      <c r="K39" s="55" t="n">
        <f aca="false">IF(E39="","",E39/(E39+H39))</f>
        <v>0.541960784313726</v>
      </c>
      <c r="L39" s="66" t="n">
        <f aca="false">IF(OR(K39="",J39=""),"",(J39-K39)*100)</f>
        <v>-3.48870687515512</v>
      </c>
      <c r="M39" s="36" t="n">
        <v>2.06728657077428</v>
      </c>
      <c r="N39" s="36" t="n">
        <v>1.82027350848151</v>
      </c>
      <c r="O39" s="36" t="n">
        <f aca="false">SQRT(M39^2+N39^2)</f>
        <v>2.75446354330263</v>
      </c>
      <c r="P39" s="55" t="n">
        <f aca="false">IF(J39="","",MAX(0,J39-1.96*O39/100))</f>
        <v>0.453086230113443</v>
      </c>
      <c r="Q39" s="55" t="n">
        <f aca="false">IF(J39="","",MIN(1,J39+1.96*O39/100))</f>
        <v>0.561061201010906</v>
      </c>
      <c r="R39" s="32" t="str">
        <f aca="false">IF(L39="","",IF(ABS(L39)&lt;=O39,"Yes","No"))</f>
        <v>No</v>
      </c>
      <c r="S39" s="32" t="str">
        <f aca="false">IF(L39="","",IF(ABS(L39)&lt;=1.96*O39,"Yes","No"))</f>
        <v>Yes</v>
      </c>
      <c r="T39" s="54" t="n">
        <f aca="false">IF(D39="","",ROUND(SQRT(((D39+G39)*O39/100)^2+(J39*(D39+G39)*0.05402)^2),0))</f>
        <v>52</v>
      </c>
      <c r="U39" s="32"/>
    </row>
    <row r="40" customFormat="false" ht="15" hidden="false" customHeight="false" outlineLevel="0" collapsed="false">
      <c r="A40" s="32" t="s">
        <v>157</v>
      </c>
      <c r="B40" s="32" t="s">
        <v>173</v>
      </c>
      <c r="C40" s="32" t="s">
        <v>129</v>
      </c>
      <c r="D40" s="54" t="n">
        <v>3215</v>
      </c>
      <c r="E40" s="54" t="n">
        <v>2780</v>
      </c>
      <c r="F40" s="65" t="n">
        <f aca="false">IF(E40="","",D40-E40)</f>
        <v>435</v>
      </c>
      <c r="G40" s="54" t="n">
        <v>4074</v>
      </c>
      <c r="H40" s="54" t="n">
        <v>3849</v>
      </c>
      <c r="I40" s="65" t="n">
        <f aca="false">IF(H40="","",G40-H40)</f>
        <v>225</v>
      </c>
      <c r="J40" s="55" t="n">
        <f aca="false">IF(OR(D40="",D40+G40=0),"",D40/(D40+G40))</f>
        <v>0.441075593359857</v>
      </c>
      <c r="K40" s="55" t="n">
        <f aca="false">IF(E40="","",E40/(E40+H40))</f>
        <v>0.419369437320863</v>
      </c>
      <c r="L40" s="66" t="n">
        <f aca="false">IF(OR(K40="",J40=""),"",(J40-K40)*100)</f>
        <v>2.17061560389945</v>
      </c>
      <c r="M40" s="36" t="n">
        <v>1.29919264864539</v>
      </c>
      <c r="N40" s="36" t="n">
        <v>1.82027350848151</v>
      </c>
      <c r="O40" s="36" t="n">
        <f aca="false">SQRT(M40^2+N40^2)</f>
        <v>2.23635801784371</v>
      </c>
      <c r="P40" s="55" t="n">
        <f aca="false">IF(J40="","",MAX(0,J40-1.96*O40/100))</f>
        <v>0.397242976210121</v>
      </c>
      <c r="Q40" s="55" t="n">
        <f aca="false">IF(J40="","",MIN(1,J40+1.96*O40/100))</f>
        <v>0.484908210509594</v>
      </c>
      <c r="R40" s="32" t="str">
        <f aca="false">IF(L40="","",IF(ABS(L40)&lt;=O40,"Yes","No"))</f>
        <v>Yes</v>
      </c>
      <c r="S40" s="32" t="str">
        <f aca="false">IF(L40="","",IF(ABS(L40)&lt;=1.96*O40,"Yes","No"))</f>
        <v>Yes</v>
      </c>
      <c r="T40" s="54" t="n">
        <f aca="false">IF(D40="","",ROUND(SQRT(((D40+G40)*O40/100)^2+(J40*(D40+G40)*0.04632)^2),0))</f>
        <v>221</v>
      </c>
      <c r="U40" s="32"/>
    </row>
    <row r="41" customFormat="false" ht="15" hidden="false" customHeight="false" outlineLevel="0" collapsed="false">
      <c r="A41" s="32" t="s">
        <v>157</v>
      </c>
      <c r="B41" s="32" t="s">
        <v>174</v>
      </c>
      <c r="C41" s="32" t="s">
        <v>129</v>
      </c>
      <c r="D41" s="54" t="n">
        <v>2888</v>
      </c>
      <c r="E41" s="54" t="n">
        <v>2945</v>
      </c>
      <c r="F41" s="65" t="n">
        <f aca="false">IF(E41="","",D41-E41)</f>
        <v>-57</v>
      </c>
      <c r="G41" s="54" t="n">
        <v>3232</v>
      </c>
      <c r="H41" s="54" t="n">
        <v>2844</v>
      </c>
      <c r="I41" s="65" t="n">
        <f aca="false">IF(H41="","",G41-H41)</f>
        <v>388</v>
      </c>
      <c r="J41" s="55" t="n">
        <f aca="false">IF(OR(D41="",D41+G41=0),"",D41/(D41+G41))</f>
        <v>0.471895424836601</v>
      </c>
      <c r="K41" s="55" t="n">
        <f aca="false">IF(E41="","",E41/(E41+H41))</f>
        <v>0.50872344100881</v>
      </c>
      <c r="L41" s="66" t="n">
        <f aca="false">IF(OR(K41="",J41=""),"",(J41-K41)*100)</f>
        <v>-3.68280161722085</v>
      </c>
      <c r="M41" s="36" t="n">
        <v>1.29919264864539</v>
      </c>
      <c r="N41" s="36" t="n">
        <v>1.82027350848151</v>
      </c>
      <c r="O41" s="36" t="n">
        <f aca="false">SQRT(M41^2+N41^2)</f>
        <v>2.23635801784371</v>
      </c>
      <c r="P41" s="55" t="n">
        <f aca="false">IF(J41="","",MAX(0,J41-1.96*O41/100))</f>
        <v>0.428062807686865</v>
      </c>
      <c r="Q41" s="55" t="n">
        <f aca="false">IF(J41="","",MIN(1,J41+1.96*O41/100))</f>
        <v>0.515728041986338</v>
      </c>
      <c r="R41" s="32" t="str">
        <f aca="false">IF(L41="","",IF(ABS(L41)&lt;=O41,"Yes","No"))</f>
        <v>No</v>
      </c>
      <c r="S41" s="32" t="str">
        <f aca="false">IF(L41="","",IF(ABS(L41)&lt;=1.96*O41,"Yes","No"))</f>
        <v>Yes</v>
      </c>
      <c r="T41" s="54" t="n">
        <f aca="false">IF(D41="","",ROUND(SQRT(((D41+G41)*O41/100)^2+(J41*(D41+G41)*0.04632)^2),0))</f>
        <v>191</v>
      </c>
      <c r="U41" s="32"/>
    </row>
    <row r="42" customFormat="false" ht="15" hidden="false" customHeight="false" outlineLevel="0" collapsed="false">
      <c r="A42" s="32" t="s">
        <v>157</v>
      </c>
      <c r="B42" s="32" t="s">
        <v>175</v>
      </c>
      <c r="C42" s="32" t="s">
        <v>129</v>
      </c>
      <c r="D42" s="54" t="n">
        <v>561</v>
      </c>
      <c r="E42" s="54" t="n">
        <v>537</v>
      </c>
      <c r="F42" s="65" t="n">
        <f aca="false">IF(E42="","",D42-E42)</f>
        <v>24</v>
      </c>
      <c r="G42" s="54" t="n">
        <v>636</v>
      </c>
      <c r="H42" s="54" t="n">
        <v>626</v>
      </c>
      <c r="I42" s="65" t="n">
        <f aca="false">IF(H42="","",G42-H42)</f>
        <v>10</v>
      </c>
      <c r="J42" s="55" t="n">
        <f aca="false">IF(OR(D42="",D42+G42=0),"",D42/(D42+G42))</f>
        <v>0.468671679197995</v>
      </c>
      <c r="K42" s="55" t="n">
        <f aca="false">IF(E42="","",E42/(E42+H42))</f>
        <v>0.461736887360275</v>
      </c>
      <c r="L42" s="66" t="n">
        <f aca="false">IF(OR(K42="",J42=""),"",(J42-K42)*100)</f>
        <v>0.693479183771983</v>
      </c>
      <c r="M42" s="36" t="n">
        <v>2.06728657077428</v>
      </c>
      <c r="N42" s="36" t="n">
        <v>1.82027350848151</v>
      </c>
      <c r="O42" s="36" t="n">
        <f aca="false">SQRT(M42^2+N42^2)</f>
        <v>2.75446354330263</v>
      </c>
      <c r="P42" s="55" t="n">
        <f aca="false">IF(J42="","",MAX(0,J42-1.96*O42/100))</f>
        <v>0.414684193749263</v>
      </c>
      <c r="Q42" s="55" t="n">
        <f aca="false">IF(J42="","",MIN(1,J42+1.96*O42/100))</f>
        <v>0.522659164646727</v>
      </c>
      <c r="R42" s="32" t="str">
        <f aca="false">IF(L42="","",IF(ABS(L42)&lt;=O42,"Yes","No"))</f>
        <v>Yes</v>
      </c>
      <c r="S42" s="32" t="str">
        <f aca="false">IF(L42="","",IF(ABS(L42)&lt;=1.96*O42,"Yes","No"))</f>
        <v>Yes</v>
      </c>
      <c r="T42" s="54" t="n">
        <f aca="false">IF(D42="","",ROUND(SQRT(((D42+G42)*O42/100)^2+(J42*(D42+G42)*0.05402)^2),0))</f>
        <v>45</v>
      </c>
      <c r="U42" s="32"/>
    </row>
    <row r="43" customFormat="false" ht="15" hidden="false" customHeight="false" outlineLevel="0" collapsed="false">
      <c r="A43" s="32" t="s">
        <v>157</v>
      </c>
      <c r="B43" s="32" t="s">
        <v>176</v>
      </c>
      <c r="C43" s="32" t="s">
        <v>129</v>
      </c>
      <c r="D43" s="54" t="n">
        <v>4834</v>
      </c>
      <c r="E43" s="54" t="n">
        <v>5009</v>
      </c>
      <c r="F43" s="65" t="n">
        <f aca="false">IF(E43="","",D43-E43)</f>
        <v>-175</v>
      </c>
      <c r="G43" s="54" t="n">
        <v>4436</v>
      </c>
      <c r="H43" s="54" t="n">
        <v>3839</v>
      </c>
      <c r="I43" s="65" t="n">
        <f aca="false">IF(H43="","",G43-H43)</f>
        <v>597</v>
      </c>
      <c r="J43" s="55" t="n">
        <f aca="false">IF(OR(D43="",D43+G43=0),"",D43/(D43+G43))</f>
        <v>0.521467098166127</v>
      </c>
      <c r="K43" s="55" t="n">
        <f aca="false">IF(E43="","",E43/(E43+H43))</f>
        <v>0.566116636528029</v>
      </c>
      <c r="L43" s="66" t="n">
        <f aca="false">IF(OR(K43="",J43=""),"",(J43-K43)*100)</f>
        <v>-4.46495383619017</v>
      </c>
      <c r="M43" s="36" t="n">
        <v>1.29919264864539</v>
      </c>
      <c r="N43" s="36" t="n">
        <v>1.82027350848151</v>
      </c>
      <c r="O43" s="36" t="n">
        <f aca="false">SQRT(M43^2+N43^2)</f>
        <v>2.23635801784371</v>
      </c>
      <c r="P43" s="55" t="n">
        <f aca="false">IF(J43="","",MAX(0,J43-1.96*O43/100))</f>
        <v>0.477634481016391</v>
      </c>
      <c r="Q43" s="55" t="n">
        <f aca="false">IF(J43="","",MIN(1,J43+1.96*O43/100))</f>
        <v>0.565299715315864</v>
      </c>
      <c r="R43" s="32" t="str">
        <f aca="false">IF(L43="","",IF(ABS(L43)&lt;=O43,"Yes","No"))</f>
        <v>No</v>
      </c>
      <c r="S43" s="32" t="str">
        <f aca="false">IF(L43="","",IF(ABS(L43)&lt;=1.96*O43,"Yes","No"))</f>
        <v>No</v>
      </c>
      <c r="T43" s="54" t="n">
        <f aca="false">IF(D43="","",ROUND(SQRT(((D43+G43)*O43/100)^2+(J43*(D43+G43)*0.04632)^2),0))</f>
        <v>305</v>
      </c>
      <c r="U43" s="32"/>
    </row>
    <row r="44" customFormat="false" ht="15" hidden="false" customHeight="false" outlineLevel="0" collapsed="false">
      <c r="A44" s="32" t="s">
        <v>157</v>
      </c>
      <c r="B44" s="32" t="s">
        <v>177</v>
      </c>
      <c r="C44" s="32" t="s">
        <v>129</v>
      </c>
      <c r="D44" s="54" t="n">
        <v>5227</v>
      </c>
      <c r="E44" s="54" t="n">
        <v>5137</v>
      </c>
      <c r="F44" s="65" t="n">
        <f aca="false">IF(E44="","",D44-E44)</f>
        <v>90</v>
      </c>
      <c r="G44" s="54" t="n">
        <v>4820</v>
      </c>
      <c r="H44" s="54" t="n">
        <v>4495</v>
      </c>
      <c r="I44" s="65" t="n">
        <f aca="false">IF(H44="","",G44-H44)</f>
        <v>325</v>
      </c>
      <c r="J44" s="55" t="n">
        <f aca="false">IF(OR(D44="",D44+G44=0),"",D44/(D44+G44))</f>
        <v>0.520254802428586</v>
      </c>
      <c r="K44" s="55" t="n">
        <f aca="false">IF(E44="","",E44/(E44+H44))</f>
        <v>0.533326411960133</v>
      </c>
      <c r="L44" s="66" t="n">
        <f aca="false">IF(OR(K44="",J44=""),"",(J44-K44)*100)</f>
        <v>-1.30716095315472</v>
      </c>
      <c r="M44" s="36" t="n">
        <v>1.29919264864539</v>
      </c>
      <c r="N44" s="36" t="n">
        <v>1.82027350848151</v>
      </c>
      <c r="O44" s="36" t="n">
        <f aca="false">SQRT(M44^2+N44^2)</f>
        <v>2.23635801784371</v>
      </c>
      <c r="P44" s="55" t="n">
        <f aca="false">IF(J44="","",MAX(0,J44-1.96*O44/100))</f>
        <v>0.476422185278849</v>
      </c>
      <c r="Q44" s="55" t="n">
        <f aca="false">IF(J44="","",MIN(1,J44+1.96*O44/100))</f>
        <v>0.564087419578322</v>
      </c>
      <c r="R44" s="32" t="str">
        <f aca="false">IF(L44="","",IF(ABS(L44)&lt;=O44,"Yes","No"))</f>
        <v>Yes</v>
      </c>
      <c r="S44" s="32" t="str">
        <f aca="false">IF(L44="","",IF(ABS(L44)&lt;=1.96*O44,"Yes","No"))</f>
        <v>Yes</v>
      </c>
      <c r="T44" s="54" t="n">
        <f aca="false">IF(D44="","",ROUND(SQRT(((D44+G44)*O44/100)^2+(J44*(D44+G44)*0.04632)^2),0))</f>
        <v>330</v>
      </c>
      <c r="U44" s="32"/>
    </row>
    <row r="45" customFormat="false" ht="15" hidden="false" customHeight="false" outlineLevel="0" collapsed="false">
      <c r="A45" s="32" t="s">
        <v>157</v>
      </c>
      <c r="B45" s="32" t="s">
        <v>178</v>
      </c>
      <c r="C45" s="32" t="s">
        <v>129</v>
      </c>
      <c r="D45" s="54" t="n">
        <v>1710</v>
      </c>
      <c r="E45" s="54" t="n">
        <v>1663</v>
      </c>
      <c r="F45" s="65" t="n">
        <f aca="false">IF(E45="","",D45-E45)</f>
        <v>47</v>
      </c>
      <c r="G45" s="54" t="n">
        <v>2231</v>
      </c>
      <c r="H45" s="54" t="n">
        <v>1974</v>
      </c>
      <c r="I45" s="65" t="n">
        <f aca="false">IF(H45="","",G45-H45)</f>
        <v>257</v>
      </c>
      <c r="J45" s="55" t="n">
        <f aca="false">IF(OR(D45="",D45+G45=0),"",D45/(D45+G45))</f>
        <v>0.43390002537427</v>
      </c>
      <c r="K45" s="55" t="n">
        <f aca="false">IF(E45="","",E45/(E45+H45))</f>
        <v>0.457244982128128</v>
      </c>
      <c r="L45" s="66" t="n">
        <f aca="false">IF(OR(K45="",J45=""),"",(J45-K45)*100)</f>
        <v>-2.33449567538571</v>
      </c>
      <c r="M45" s="36" t="n">
        <v>1.29919264864539</v>
      </c>
      <c r="N45" s="36" t="n">
        <v>1.82027350848151</v>
      </c>
      <c r="O45" s="36" t="n">
        <f aca="false">SQRT(M45^2+N45^2)</f>
        <v>2.23635801784371</v>
      </c>
      <c r="P45" s="55" t="n">
        <f aca="false">IF(J45="","",MAX(0,J45-1.96*O45/100))</f>
        <v>0.390067408224534</v>
      </c>
      <c r="Q45" s="55" t="n">
        <f aca="false">IF(J45="","",MIN(1,J45+1.96*O45/100))</f>
        <v>0.477732642524007</v>
      </c>
      <c r="R45" s="32" t="str">
        <f aca="false">IF(L45="","",IF(ABS(L45)&lt;=O45,"Yes","No"))</f>
        <v>No</v>
      </c>
      <c r="S45" s="32" t="str">
        <f aca="false">IF(L45="","",IF(ABS(L45)&lt;=1.96*O45,"Yes","No"))</f>
        <v>Yes</v>
      </c>
      <c r="T45" s="54" t="n">
        <f aca="false">IF(D45="","",ROUND(SQRT(((D45+G45)*O45/100)^2+(J45*(D45+G45)*0.04632)^2),0))</f>
        <v>118</v>
      </c>
      <c r="U45" s="32"/>
    </row>
    <row r="46" customFormat="false" ht="15" hidden="false" customHeight="false" outlineLevel="0" collapsed="false">
      <c r="A46" s="32" t="s">
        <v>157</v>
      </c>
      <c r="B46" s="32" t="s">
        <v>179</v>
      </c>
      <c r="C46" s="32" t="s">
        <v>129</v>
      </c>
      <c r="D46" s="54" t="n">
        <v>3691</v>
      </c>
      <c r="E46" s="54" t="n">
        <v>3652</v>
      </c>
      <c r="F46" s="65" t="n">
        <f aca="false">IF(E46="","",D46-E46)</f>
        <v>39</v>
      </c>
      <c r="G46" s="54" t="n">
        <v>4358</v>
      </c>
      <c r="H46" s="54" t="n">
        <v>3768</v>
      </c>
      <c r="I46" s="65" t="n">
        <f aca="false">IF(H46="","",G46-H46)</f>
        <v>590</v>
      </c>
      <c r="J46" s="55" t="n">
        <f aca="false">IF(OR(D46="",D46+G46=0),"",D46/(D46+G46))</f>
        <v>0.458566281525655</v>
      </c>
      <c r="K46" s="55" t="n">
        <f aca="false">IF(E46="","",E46/(E46+H46))</f>
        <v>0.492183288409704</v>
      </c>
      <c r="L46" s="66" t="n">
        <f aca="false">IF(OR(K46="",J46=""),"",(J46-K46)*100)</f>
        <v>-3.36170068840481</v>
      </c>
      <c r="M46" s="36" t="n">
        <v>1.29919264864539</v>
      </c>
      <c r="N46" s="36" t="n">
        <v>1.82027350848151</v>
      </c>
      <c r="O46" s="36" t="n">
        <f aca="false">SQRT(M46^2+N46^2)</f>
        <v>2.23635801784371</v>
      </c>
      <c r="P46" s="55" t="n">
        <f aca="false">IF(J46="","",MAX(0,J46-1.96*O46/100))</f>
        <v>0.414733664375919</v>
      </c>
      <c r="Q46" s="55" t="n">
        <f aca="false">IF(J46="","",MIN(1,J46+1.96*O46/100))</f>
        <v>0.502398898675392</v>
      </c>
      <c r="R46" s="32" t="str">
        <f aca="false">IF(L46="","",IF(ABS(L46)&lt;=O46,"Yes","No"))</f>
        <v>No</v>
      </c>
      <c r="S46" s="32" t="str">
        <f aca="false">IF(L46="","",IF(ABS(L46)&lt;=1.96*O46,"Yes","No"))</f>
        <v>Yes</v>
      </c>
      <c r="T46" s="54" t="n">
        <f aca="false">IF(D46="","",ROUND(SQRT(((D46+G46)*O46/100)^2+(J46*(D46+G46)*0.04632)^2),0))</f>
        <v>248</v>
      </c>
      <c r="U46" s="32"/>
    </row>
    <row r="47" customFormat="false" ht="15" hidden="false" customHeight="false" outlineLevel="0" collapsed="false">
      <c r="A47" s="32" t="s">
        <v>157</v>
      </c>
      <c r="B47" s="32" t="s">
        <v>180</v>
      </c>
      <c r="C47" s="32" t="s">
        <v>129</v>
      </c>
      <c r="D47" s="54" t="n">
        <v>985</v>
      </c>
      <c r="E47" s="54" t="n">
        <v>875</v>
      </c>
      <c r="F47" s="65" t="n">
        <f aca="false">IF(E47="","",D47-E47)</f>
        <v>110</v>
      </c>
      <c r="G47" s="54" t="n">
        <v>1810</v>
      </c>
      <c r="H47" s="54" t="n">
        <v>1592</v>
      </c>
      <c r="I47" s="65" t="n">
        <f aca="false">IF(H47="","",G47-H47)</f>
        <v>218</v>
      </c>
      <c r="J47" s="55" t="n">
        <f aca="false">IF(OR(D47="",D47+G47=0),"",D47/(D47+G47))</f>
        <v>0.352415026833631</v>
      </c>
      <c r="K47" s="55" t="n">
        <f aca="false">IF(E47="","",E47/(E47+H47))</f>
        <v>0.35468179975679</v>
      </c>
      <c r="L47" s="66" t="n">
        <f aca="false">IF(OR(K47="",J47=""),"",(J47-K47)*100)</f>
        <v>-0.226677292315819</v>
      </c>
      <c r="M47" s="36" t="n">
        <v>1.29919264864539</v>
      </c>
      <c r="N47" s="36" t="n">
        <v>1.82027350848151</v>
      </c>
      <c r="O47" s="36" t="n">
        <f aca="false">SQRT(M47^2+N47^2)</f>
        <v>2.23635801784371</v>
      </c>
      <c r="P47" s="55" t="n">
        <f aca="false">IF(J47="","",MAX(0,J47-1.96*O47/100))</f>
        <v>0.308582409683895</v>
      </c>
      <c r="Q47" s="55" t="n">
        <f aca="false">IF(J47="","",MIN(1,J47+1.96*O47/100))</f>
        <v>0.396247643983368</v>
      </c>
      <c r="R47" s="32" t="str">
        <f aca="false">IF(L47="","",IF(ABS(L47)&lt;=O47,"Yes","No"))</f>
        <v>Yes</v>
      </c>
      <c r="S47" s="32" t="str">
        <f aca="false">IF(L47="","",IF(ABS(L47)&lt;=1.96*O47,"Yes","No"))</f>
        <v>Yes</v>
      </c>
      <c r="T47" s="54" t="n">
        <f aca="false">IF(D47="","",ROUND(SQRT(((D47+G47)*O47/100)^2+(J47*(D47+G47)*0.04632)^2),0))</f>
        <v>77</v>
      </c>
      <c r="U47" s="32"/>
    </row>
    <row r="48" customFormat="false" ht="15" hidden="false" customHeight="false" outlineLevel="0" collapsed="false">
      <c r="A48" s="32" t="s">
        <v>157</v>
      </c>
      <c r="B48" s="32" t="s">
        <v>181</v>
      </c>
      <c r="C48" s="32" t="s">
        <v>129</v>
      </c>
      <c r="D48" s="54" t="n">
        <v>838</v>
      </c>
      <c r="E48" s="54" t="n">
        <v>822</v>
      </c>
      <c r="F48" s="65" t="n">
        <f aca="false">IF(E48="","",D48-E48)</f>
        <v>16</v>
      </c>
      <c r="G48" s="54" t="n">
        <v>1654</v>
      </c>
      <c r="H48" s="54" t="n">
        <v>1519</v>
      </c>
      <c r="I48" s="65" t="n">
        <f aca="false">IF(H48="","",G48-H48)</f>
        <v>135</v>
      </c>
      <c r="J48" s="55" t="n">
        <f aca="false">IF(OR(D48="",D48+G48=0),"",D48/(D48+G48))</f>
        <v>0.336276083467095</v>
      </c>
      <c r="K48" s="55" t="n">
        <f aca="false">IF(E48="","",E48/(E48+H48))</f>
        <v>0.351131994873986</v>
      </c>
      <c r="L48" s="66" t="n">
        <f aca="false">IF(OR(K48="",J48=""),"",(J48-K48)*100)</f>
        <v>-1.48559114068908</v>
      </c>
      <c r="M48" s="36" t="n">
        <v>2.06728657077428</v>
      </c>
      <c r="N48" s="36" t="n">
        <v>1.82027350848151</v>
      </c>
      <c r="O48" s="36" t="n">
        <f aca="false">SQRT(M48^2+N48^2)</f>
        <v>2.75446354330263</v>
      </c>
      <c r="P48" s="55" t="n">
        <f aca="false">IF(J48="","",MAX(0,J48-1.96*O48/100))</f>
        <v>0.282288598018363</v>
      </c>
      <c r="Q48" s="55" t="n">
        <f aca="false">IF(J48="","",MIN(1,J48+1.96*O48/100))</f>
        <v>0.390263568915826</v>
      </c>
      <c r="R48" s="32" t="str">
        <f aca="false">IF(L48="","",IF(ABS(L48)&lt;=O48,"Yes","No"))</f>
        <v>Yes</v>
      </c>
      <c r="S48" s="32" t="str">
        <f aca="false">IF(L48="","",IF(ABS(L48)&lt;=1.96*O48,"Yes","No"))</f>
        <v>Yes</v>
      </c>
      <c r="T48" s="54" t="n">
        <f aca="false">IF(D48="","",ROUND(SQRT(((D48+G48)*O48/100)^2+(J48*(D48+G48)*0.05402)^2),0))</f>
        <v>82</v>
      </c>
      <c r="U48" s="32"/>
    </row>
    <row r="49" customFormat="false" ht="15" hidden="false" customHeight="false" outlineLevel="0" collapsed="false">
      <c r="A49" s="32" t="s">
        <v>157</v>
      </c>
      <c r="B49" s="32" t="s">
        <v>182</v>
      </c>
      <c r="C49" s="32" t="s">
        <v>129</v>
      </c>
      <c r="D49" s="54" t="n">
        <v>5519</v>
      </c>
      <c r="E49" s="54" t="n">
        <v>5195</v>
      </c>
      <c r="F49" s="65" t="n">
        <f aca="false">IF(E49="","",D49-E49)</f>
        <v>324</v>
      </c>
      <c r="G49" s="54" t="n">
        <v>4152</v>
      </c>
      <c r="H49" s="54" t="n">
        <v>4070</v>
      </c>
      <c r="I49" s="65" t="n">
        <f aca="false">IF(H49="","",G49-H49)</f>
        <v>82</v>
      </c>
      <c r="J49" s="55" t="n">
        <f aca="false">IF(OR(D49="",D49+G49=0),"",D49/(D49+G49))</f>
        <v>0.570675214558991</v>
      </c>
      <c r="K49" s="55" t="n">
        <f aca="false">IF(E49="","",E49/(E49+H49))</f>
        <v>0.560712358337831</v>
      </c>
      <c r="L49" s="66" t="n">
        <f aca="false">IF(OR(K49="",J49=""),"",(J49-K49)*100)</f>
        <v>0.996285622116033</v>
      </c>
      <c r="M49" s="36" t="n">
        <v>1.29919264864539</v>
      </c>
      <c r="N49" s="36" t="n">
        <v>1.82027350848151</v>
      </c>
      <c r="O49" s="36" t="n">
        <f aca="false">SQRT(M49^2+N49^2)</f>
        <v>2.23635801784371</v>
      </c>
      <c r="P49" s="55" t="n">
        <f aca="false">IF(J49="","",MAX(0,J49-1.96*O49/100))</f>
        <v>0.526842597409254</v>
      </c>
      <c r="Q49" s="55" t="n">
        <f aca="false">IF(J49="","",MIN(1,J49+1.96*O49/100))</f>
        <v>0.614507831708728</v>
      </c>
      <c r="R49" s="32" t="str">
        <f aca="false">IF(L49="","",IF(ABS(L49)&lt;=O49,"Yes","No"))</f>
        <v>Yes</v>
      </c>
      <c r="S49" s="32" t="str">
        <f aca="false">IF(L49="","",IF(ABS(L49)&lt;=1.96*O49,"Yes","No"))</f>
        <v>Yes</v>
      </c>
      <c r="T49" s="54" t="n">
        <f aca="false">IF(D49="","",ROUND(SQRT(((D49+G49)*O49/100)^2+(J49*(D49+G49)*0.04632)^2),0))</f>
        <v>335</v>
      </c>
      <c r="U49" s="32"/>
    </row>
    <row r="50" customFormat="false" ht="15" hidden="false" customHeight="false" outlineLevel="0" collapsed="false">
      <c r="A50" s="32" t="s">
        <v>183</v>
      </c>
      <c r="B50" s="32" t="s">
        <v>184</v>
      </c>
      <c r="C50" s="32" t="s">
        <v>129</v>
      </c>
      <c r="D50" s="54" t="n">
        <v>387</v>
      </c>
      <c r="E50" s="54" t="n">
        <v>330</v>
      </c>
      <c r="F50" s="65" t="n">
        <f aca="false">IF(E50="","",D50-E50)</f>
        <v>57</v>
      </c>
      <c r="G50" s="54" t="n">
        <v>701</v>
      </c>
      <c r="H50" s="54" t="n">
        <v>632</v>
      </c>
      <c r="I50" s="65" t="n">
        <f aca="false">IF(H50="","",G50-H50)</f>
        <v>69</v>
      </c>
      <c r="J50" s="55" t="n">
        <f aca="false">IF(OR(D50="",D50+G50=0),"",D50/(D50+G50))</f>
        <v>0.355698529411765</v>
      </c>
      <c r="K50" s="55" t="n">
        <f aca="false">IF(E50="","",E50/(E50+H50))</f>
        <v>0.343035343035343</v>
      </c>
      <c r="L50" s="66" t="n">
        <f aca="false">IF(OR(K50="",J50=""),"",(J50-K50)*100)</f>
        <v>1.26631863764217</v>
      </c>
      <c r="M50" s="36" t="n">
        <v>3.10792193660115</v>
      </c>
      <c r="N50" s="36" t="n">
        <v>1.82027350848151</v>
      </c>
      <c r="O50" s="36" t="n">
        <f aca="false">SQRT(M50^2+N50^2)</f>
        <v>3.60174602237391</v>
      </c>
      <c r="P50" s="55" t="n">
        <f aca="false">IF(J50="","",MAX(0,J50-1.96*O50/100))</f>
        <v>0.285104307373236</v>
      </c>
      <c r="Q50" s="55" t="n">
        <f aca="false">IF(J50="","",MIN(1,J50+1.96*O50/100))</f>
        <v>0.426292751450293</v>
      </c>
      <c r="R50" s="32" t="str">
        <f aca="false">IF(L50="","",IF(ABS(L50)&lt;=O50,"Yes","No"))</f>
        <v>Yes</v>
      </c>
      <c r="S50" s="32" t="str">
        <f aca="false">IF(L50="","",IF(ABS(L50)&lt;=1.96*O50,"Yes","No"))</f>
        <v>Yes</v>
      </c>
      <c r="T50" s="54" t="n">
        <f aca="false">IF(D50="","",ROUND(SQRT(((D50+G50)*O50/100)^2+(J50*(D50+G50)*0.07067)^2),0))</f>
        <v>48</v>
      </c>
      <c r="U50" s="32"/>
    </row>
    <row r="51" customFormat="false" ht="15" hidden="false" customHeight="false" outlineLevel="0" collapsed="false">
      <c r="A51" s="32" t="s">
        <v>183</v>
      </c>
      <c r="B51" s="32" t="s">
        <v>186</v>
      </c>
      <c r="C51" s="32" t="s">
        <v>129</v>
      </c>
      <c r="D51" s="54" t="n">
        <v>967</v>
      </c>
      <c r="E51" s="54" t="n">
        <v>1009</v>
      </c>
      <c r="F51" s="65" t="n">
        <f aca="false">IF(E51="","",D51-E51)</f>
        <v>-42</v>
      </c>
      <c r="G51" s="54" t="n">
        <v>1706</v>
      </c>
      <c r="H51" s="54" t="n">
        <v>1471</v>
      </c>
      <c r="I51" s="65" t="n">
        <f aca="false">IF(H51="","",G51-H51)</f>
        <v>235</v>
      </c>
      <c r="J51" s="55" t="n">
        <f aca="false">IF(OR(D51="",D51+G51=0),"",D51/(D51+G51))</f>
        <v>0.361765806210251</v>
      </c>
      <c r="K51" s="55" t="n">
        <f aca="false">IF(E51="","",E51/(E51+H51))</f>
        <v>0.406854838709677</v>
      </c>
      <c r="L51" s="66" t="n">
        <f aca="false">IF(OR(K51="",J51=""),"",(J51-K51)*100)</f>
        <v>-4.50890324994268</v>
      </c>
      <c r="M51" s="36" t="n">
        <v>1.29919264864539</v>
      </c>
      <c r="N51" s="36" t="n">
        <v>1.82027350848151</v>
      </c>
      <c r="O51" s="36" t="n">
        <f aca="false">SQRT(M51^2+N51^2)</f>
        <v>2.23635801784371</v>
      </c>
      <c r="P51" s="55" t="n">
        <f aca="false">IF(J51="","",MAX(0,J51-1.96*O51/100))</f>
        <v>0.317933189060514</v>
      </c>
      <c r="Q51" s="55" t="n">
        <f aca="false">IF(J51="","",MIN(1,J51+1.96*O51/100))</f>
        <v>0.405598423359987</v>
      </c>
      <c r="R51" s="32" t="str">
        <f aca="false">IF(L51="","",IF(ABS(L51)&lt;=O51,"Yes","No"))</f>
        <v>No</v>
      </c>
      <c r="S51" s="32" t="str">
        <f aca="false">IF(L51="","",IF(ABS(L51)&lt;=1.96*O51,"Yes","No"))</f>
        <v>No</v>
      </c>
      <c r="T51" s="54" t="n">
        <f aca="false">IF(D51="","",ROUND(SQRT(((D51+G51)*O51/100)^2+(J51*(D51+G51)*0.04632)^2),0))</f>
        <v>75</v>
      </c>
      <c r="U51" s="32" t="s">
        <v>394</v>
      </c>
    </row>
    <row r="52" customFormat="false" ht="15" hidden="false" customHeight="false" outlineLevel="0" collapsed="false">
      <c r="A52" s="32" t="s">
        <v>183</v>
      </c>
      <c r="B52" s="32" t="s">
        <v>187</v>
      </c>
      <c r="C52" s="32" t="s">
        <v>129</v>
      </c>
      <c r="D52" s="54" t="n">
        <v>424</v>
      </c>
      <c r="E52" s="54" t="n">
        <v>358</v>
      </c>
      <c r="F52" s="65" t="n">
        <f aca="false">IF(E52="","",D52-E52)</f>
        <v>66</v>
      </c>
      <c r="G52" s="54" t="n">
        <v>685</v>
      </c>
      <c r="H52" s="54" t="n">
        <v>503</v>
      </c>
      <c r="I52" s="65" t="n">
        <f aca="false">IF(H52="","",G52-H52)</f>
        <v>182</v>
      </c>
      <c r="J52" s="55" t="n">
        <f aca="false">IF(OR(D52="",D52+G52=0),"",D52/(D52+G52))</f>
        <v>0.382326420198377</v>
      </c>
      <c r="K52" s="55" t="n">
        <f aca="false">IF(E52="","",E52/(E52+H52))</f>
        <v>0.415795586527294</v>
      </c>
      <c r="L52" s="66" t="n">
        <f aca="false">IF(OR(K52="",J52=""),"",(J52-K52)*100)</f>
        <v>-3.34691663289169</v>
      </c>
      <c r="M52" s="36" t="n">
        <v>3.10792193660115</v>
      </c>
      <c r="N52" s="36" t="n">
        <v>1.82027350848151</v>
      </c>
      <c r="O52" s="36" t="n">
        <f aca="false">SQRT(M52^2+N52^2)</f>
        <v>3.60174602237391</v>
      </c>
      <c r="P52" s="55" t="n">
        <f aca="false">IF(J52="","",MAX(0,J52-1.96*O52/100))</f>
        <v>0.311732198159848</v>
      </c>
      <c r="Q52" s="55" t="n">
        <f aca="false">IF(J52="","",MIN(1,J52+1.96*O52/100))</f>
        <v>0.452920642236906</v>
      </c>
      <c r="R52" s="32" t="str">
        <f aca="false">IF(L52="","",IF(ABS(L52)&lt;=O52,"Yes","No"))</f>
        <v>Yes</v>
      </c>
      <c r="S52" s="32" t="str">
        <f aca="false">IF(L52="","",IF(ABS(L52)&lt;=1.96*O52,"Yes","No"))</f>
        <v>Yes</v>
      </c>
      <c r="T52" s="54" t="n">
        <f aca="false">IF(D52="","",ROUND(SQRT(((D52+G52)*O52/100)^2+(J52*(D52+G52)*0.07067)^2),0))</f>
        <v>50</v>
      </c>
      <c r="U52" s="32" t="s">
        <v>395</v>
      </c>
    </row>
    <row r="53" customFormat="false" ht="15" hidden="false" customHeight="false" outlineLevel="0" collapsed="false">
      <c r="A53" s="32" t="s">
        <v>188</v>
      </c>
      <c r="B53" s="32" t="s">
        <v>189</v>
      </c>
      <c r="C53" s="32" t="s">
        <v>129</v>
      </c>
      <c r="D53" s="54" t="n">
        <v>996</v>
      </c>
      <c r="E53" s="54" t="n">
        <v>908</v>
      </c>
      <c r="F53" s="65" t="n">
        <f aca="false">IF(E53="","",D53-E53)</f>
        <v>88</v>
      </c>
      <c r="G53" s="54" t="n">
        <v>1335</v>
      </c>
      <c r="H53" s="54" t="n">
        <v>1196</v>
      </c>
      <c r="I53" s="65" t="n">
        <f aca="false">IF(H53="","",G53-H53)</f>
        <v>139</v>
      </c>
      <c r="J53" s="55" t="n">
        <f aca="false">IF(OR(D53="",D53+G53=0),"",D53/(D53+G53))</f>
        <v>0.427284427284427</v>
      </c>
      <c r="K53" s="55" t="n">
        <f aca="false">IF(E53="","",E53/(E53+H53))</f>
        <v>0.431558935361217</v>
      </c>
      <c r="L53" s="66" t="n">
        <f aca="false">IF(OR(K53="",J53=""),"",(J53-K53)*100)</f>
        <v>-0.427450807678947</v>
      </c>
      <c r="M53" s="36" t="n">
        <v>2.06728657077428</v>
      </c>
      <c r="N53" s="36" t="n">
        <v>1.82027350848151</v>
      </c>
      <c r="O53" s="36" t="n">
        <f aca="false">SQRT(M53^2+N53^2)</f>
        <v>2.75446354330263</v>
      </c>
      <c r="P53" s="55" t="n">
        <f aca="false">IF(J53="","",MAX(0,J53-1.96*O53/100))</f>
        <v>0.373296941835696</v>
      </c>
      <c r="Q53" s="55" t="n">
        <f aca="false">IF(J53="","",MIN(1,J53+1.96*O53/100))</f>
        <v>0.481271912733159</v>
      </c>
      <c r="R53" s="32" t="str">
        <f aca="false">IF(L53="","",IF(ABS(L53)&lt;=O53,"Yes","No"))</f>
        <v>Yes</v>
      </c>
      <c r="S53" s="32" t="str">
        <f aca="false">IF(L53="","",IF(ABS(L53)&lt;=1.96*O53,"Yes","No"))</f>
        <v>Yes</v>
      </c>
      <c r="T53" s="54" t="n">
        <f aca="false">IF(D53="","",ROUND(SQRT(((D53+G53)*O53/100)^2+(J53*(D53+G53)*0.05402)^2),0))</f>
        <v>84</v>
      </c>
      <c r="U53" s="32"/>
    </row>
    <row r="54" customFormat="false" ht="15" hidden="false" customHeight="false" outlineLevel="0" collapsed="false">
      <c r="A54" s="32" t="s">
        <v>188</v>
      </c>
      <c r="B54" s="32" t="s">
        <v>190</v>
      </c>
      <c r="C54" s="32" t="s">
        <v>129</v>
      </c>
      <c r="D54" s="54" t="n">
        <v>698</v>
      </c>
      <c r="E54" s="54" t="n">
        <v>701</v>
      </c>
      <c r="F54" s="65" t="n">
        <f aca="false">IF(E54="","",D54-E54)</f>
        <v>-3</v>
      </c>
      <c r="G54" s="54" t="n">
        <v>861</v>
      </c>
      <c r="H54" s="54" t="n">
        <v>780</v>
      </c>
      <c r="I54" s="65" t="n">
        <f aca="false">IF(H54="","",G54-H54)</f>
        <v>81</v>
      </c>
      <c r="J54" s="55" t="n">
        <f aca="false">IF(OR(D54="",D54+G54=0),"",D54/(D54+G54))</f>
        <v>0.44772289929442</v>
      </c>
      <c r="K54" s="55" t="n">
        <f aca="false">IF(E54="","",E54/(E54+H54))</f>
        <v>0.473328831870358</v>
      </c>
      <c r="L54" s="66" t="n">
        <f aca="false">IF(OR(K54="",J54=""),"",(J54-K54)*100)</f>
        <v>-2.56059325759384</v>
      </c>
      <c r="M54" s="36" t="n">
        <v>2.06728657077428</v>
      </c>
      <c r="N54" s="36" t="n">
        <v>1.82027350848151</v>
      </c>
      <c r="O54" s="36" t="n">
        <f aca="false">SQRT(M54^2+N54^2)</f>
        <v>2.75446354330263</v>
      </c>
      <c r="P54" s="55" t="n">
        <f aca="false">IF(J54="","",MAX(0,J54-1.96*O54/100))</f>
        <v>0.393735413845688</v>
      </c>
      <c r="Q54" s="55" t="n">
        <f aca="false">IF(J54="","",MIN(1,J54+1.96*O54/100))</f>
        <v>0.501710384743151</v>
      </c>
      <c r="R54" s="32" t="str">
        <f aca="false">IF(L54="","",IF(ABS(L54)&lt;=O54,"Yes","No"))</f>
        <v>Yes</v>
      </c>
      <c r="S54" s="32" t="str">
        <f aca="false">IF(L54="","",IF(ABS(L54)&lt;=1.96*O54,"Yes","No"))</f>
        <v>Yes</v>
      </c>
      <c r="T54" s="54" t="n">
        <f aca="false">IF(D54="","",ROUND(SQRT(((D54+G54)*O54/100)^2+(J54*(D54+G54)*0.05402)^2),0))</f>
        <v>57</v>
      </c>
      <c r="U54" s="32"/>
    </row>
    <row r="55" customFormat="false" ht="15" hidden="false" customHeight="false" outlineLevel="0" collapsed="false">
      <c r="A55" s="32" t="s">
        <v>188</v>
      </c>
      <c r="B55" s="32" t="s">
        <v>191</v>
      </c>
      <c r="C55" s="32" t="s">
        <v>129</v>
      </c>
      <c r="D55" s="54" t="n">
        <v>422</v>
      </c>
      <c r="E55" s="54" t="n">
        <v>368</v>
      </c>
      <c r="F55" s="65" t="n">
        <f aca="false">IF(E55="","",D55-E55)</f>
        <v>54</v>
      </c>
      <c r="G55" s="54" t="n">
        <v>425</v>
      </c>
      <c r="H55" s="54" t="n">
        <v>408</v>
      </c>
      <c r="I55" s="65" t="n">
        <f aca="false">IF(H55="","",G55-H55)</f>
        <v>17</v>
      </c>
      <c r="J55" s="55" t="n">
        <f aca="false">IF(OR(D55="",D55+G55=0),"",D55/(D55+G55))</f>
        <v>0.498229043683589</v>
      </c>
      <c r="K55" s="55" t="n">
        <f aca="false">IF(E55="","",E55/(E55+H55))</f>
        <v>0.474226804123711</v>
      </c>
      <c r="L55" s="66" t="n">
        <f aca="false">IF(OR(K55="",J55=""),"",(J55-K55)*100)</f>
        <v>2.40022395598778</v>
      </c>
      <c r="M55" s="36" t="n">
        <v>3.10792193660115</v>
      </c>
      <c r="N55" s="36" t="n">
        <v>1.82027350848151</v>
      </c>
      <c r="O55" s="36" t="n">
        <f aca="false">SQRT(M55^2+N55^2)</f>
        <v>3.60174602237391</v>
      </c>
      <c r="P55" s="55" t="n">
        <f aca="false">IF(J55="","",MAX(0,J55-1.96*O55/100))</f>
        <v>0.427634821645061</v>
      </c>
      <c r="Q55" s="55" t="n">
        <f aca="false">IF(J55="","",MIN(1,J55+1.96*O55/100))</f>
        <v>0.568823265722118</v>
      </c>
      <c r="R55" s="32" t="str">
        <f aca="false">IF(L55="","",IF(ABS(L55)&lt;=O55,"Yes","No"))</f>
        <v>Yes</v>
      </c>
      <c r="S55" s="32" t="str">
        <f aca="false">IF(L55="","",IF(ABS(L55)&lt;=1.96*O55,"Yes","No"))</f>
        <v>Yes</v>
      </c>
      <c r="T55" s="54" t="n">
        <f aca="false">IF(D55="","",ROUND(SQRT(((D55+G55)*O55/100)^2+(J55*(D55+G55)*0.07067)^2),0))</f>
        <v>43</v>
      </c>
      <c r="U55" s="32"/>
    </row>
    <row r="56" customFormat="false" ht="15" hidden="false" customHeight="false" outlineLevel="0" collapsed="false">
      <c r="A56" s="32" t="s">
        <v>188</v>
      </c>
      <c r="B56" s="32" t="s">
        <v>160</v>
      </c>
      <c r="C56" s="32" t="s">
        <v>129</v>
      </c>
      <c r="D56" s="54" t="n">
        <v>12037</v>
      </c>
      <c r="E56" s="54" t="n">
        <v>12121</v>
      </c>
      <c r="F56" s="65" t="n">
        <f aca="false">IF(E56="","",D56-E56)</f>
        <v>-84</v>
      </c>
      <c r="G56" s="54" t="n">
        <v>5426</v>
      </c>
      <c r="H56" s="54" t="n">
        <v>4931</v>
      </c>
      <c r="I56" s="65" t="n">
        <f aca="false">IF(H56="","",G56-H56)</f>
        <v>495</v>
      </c>
      <c r="J56" s="55" t="n">
        <f aca="false">IF(OR(D56="",D56+G56=0),"",D56/(D56+G56))</f>
        <v>0.689285918799748</v>
      </c>
      <c r="K56" s="55" t="n">
        <f aca="false">IF(E56="","",E56/(E56+H56))</f>
        <v>0.710825709594183</v>
      </c>
      <c r="L56" s="66" t="n">
        <f aca="false">IF(OR(K56="",J56=""),"",(J56-K56)*100)</f>
        <v>-2.15397907944345</v>
      </c>
      <c r="M56" s="36" t="n">
        <v>1.29919264864539</v>
      </c>
      <c r="N56" s="36" t="n">
        <v>1.82027350848151</v>
      </c>
      <c r="O56" s="36" t="n">
        <f aca="false">SQRT(M56^2+N56^2)</f>
        <v>2.23635801784371</v>
      </c>
      <c r="P56" s="55" t="n">
        <f aca="false">IF(J56="","",MAX(0,J56-1.96*O56/100))</f>
        <v>0.645453301650011</v>
      </c>
      <c r="Q56" s="55" t="n">
        <f aca="false">IF(J56="","",MIN(1,J56+1.96*O56/100))</f>
        <v>0.733118535949485</v>
      </c>
      <c r="R56" s="32" t="str">
        <f aca="false">IF(L56="","",IF(ABS(L56)&lt;=O56,"Yes","No"))</f>
        <v>Yes</v>
      </c>
      <c r="S56" s="32" t="str">
        <f aca="false">IF(L56="","",IF(ABS(L56)&lt;=1.96*O56,"Yes","No"))</f>
        <v>Yes</v>
      </c>
      <c r="T56" s="54" t="n">
        <f aca="false">IF(D56="","",ROUND(SQRT(((D56+G56)*O56/100)^2+(J56*(D56+G56)*0.04632)^2),0))</f>
        <v>681</v>
      </c>
      <c r="U56" s="32"/>
    </row>
    <row r="57" customFormat="false" ht="15" hidden="false" customHeight="false" outlineLevel="0" collapsed="false">
      <c r="A57" s="32" t="s">
        <v>188</v>
      </c>
      <c r="B57" s="32" t="s">
        <v>192</v>
      </c>
      <c r="C57" s="32" t="s">
        <v>129</v>
      </c>
      <c r="D57" s="54" t="n">
        <v>6291</v>
      </c>
      <c r="E57" s="54" t="n">
        <v>5576</v>
      </c>
      <c r="F57" s="65" t="n">
        <f aca="false">IF(E57="","",D57-E57)</f>
        <v>715</v>
      </c>
      <c r="G57" s="54" t="n">
        <v>4911</v>
      </c>
      <c r="H57" s="54" t="n">
        <v>4673</v>
      </c>
      <c r="I57" s="65" t="n">
        <f aca="false">IF(H57="","",G57-H57)</f>
        <v>238</v>
      </c>
      <c r="J57" s="55" t="n">
        <f aca="false">IF(OR(D57="",D57+G57=0),"",D57/(D57+G57))</f>
        <v>0.561596143545795</v>
      </c>
      <c r="K57" s="55" t="n">
        <f aca="false">IF(E57="","",E57/(E57+H57))</f>
        <v>0.544053078349107</v>
      </c>
      <c r="L57" s="66" t="n">
        <f aca="false">IF(OR(K57="",J57=""),"",(J57-K57)*100)</f>
        <v>1.75430651966881</v>
      </c>
      <c r="M57" s="36" t="n">
        <v>1.29919264864539</v>
      </c>
      <c r="N57" s="36" t="n">
        <v>1.82027350848151</v>
      </c>
      <c r="O57" s="36" t="n">
        <f aca="false">SQRT(M57^2+N57^2)</f>
        <v>2.23635801784371</v>
      </c>
      <c r="P57" s="55" t="n">
        <f aca="false">IF(J57="","",MAX(0,J57-1.96*O57/100))</f>
        <v>0.517763526396059</v>
      </c>
      <c r="Q57" s="55" t="n">
        <f aca="false">IF(J57="","",MIN(1,J57+1.96*O57/100))</f>
        <v>0.605428760695532</v>
      </c>
      <c r="R57" s="32" t="str">
        <f aca="false">IF(L57="","",IF(ABS(L57)&lt;=O57,"Yes","No"))</f>
        <v>Yes</v>
      </c>
      <c r="S57" s="32" t="str">
        <f aca="false">IF(L57="","",IF(ABS(L57)&lt;=1.96*O57,"Yes","No"))</f>
        <v>Yes</v>
      </c>
      <c r="T57" s="54" t="n">
        <f aca="false">IF(D57="","",ROUND(SQRT(((D57+G57)*O57/100)^2+(J57*(D57+G57)*0.04632)^2),0))</f>
        <v>384</v>
      </c>
      <c r="U57" s="32"/>
    </row>
    <row r="58" customFormat="false" ht="15" hidden="false" customHeight="false" outlineLevel="0" collapsed="false">
      <c r="A58" s="32" t="s">
        <v>188</v>
      </c>
      <c r="B58" s="32" t="s">
        <v>193</v>
      </c>
      <c r="C58" s="32" t="s">
        <v>129</v>
      </c>
      <c r="D58" s="54" t="n">
        <v>1259</v>
      </c>
      <c r="E58" s="54" t="n">
        <v>1370</v>
      </c>
      <c r="F58" s="65" t="n">
        <f aca="false">IF(E58="","",D58-E58)</f>
        <v>-111</v>
      </c>
      <c r="G58" s="54" t="n">
        <v>2764</v>
      </c>
      <c r="H58" s="54" t="n">
        <v>2143</v>
      </c>
      <c r="I58" s="65" t="n">
        <f aca="false">IF(H58="","",G58-H58)</f>
        <v>621</v>
      </c>
      <c r="J58" s="55" t="n">
        <f aca="false">IF(OR(D58="",D58+G58=0),"",D58/(D58+G58))</f>
        <v>0.312950534427045</v>
      </c>
      <c r="K58" s="55" t="n">
        <f aca="false">IF(E58="","",E58/(E58+H58))</f>
        <v>0.389980074010817</v>
      </c>
      <c r="L58" s="66" t="n">
        <f aca="false">IF(OR(K58="",J58=""),"",(J58-K58)*100)</f>
        <v>-7.70295395837725</v>
      </c>
      <c r="M58" s="36" t="n">
        <v>1.29919264864539</v>
      </c>
      <c r="N58" s="36" t="n">
        <v>1.82027350848151</v>
      </c>
      <c r="O58" s="36" t="n">
        <f aca="false">SQRT(M58^2+N58^2)</f>
        <v>2.23635801784371</v>
      </c>
      <c r="P58" s="55" t="n">
        <f aca="false">IF(J58="","",MAX(0,J58-1.96*O58/100))</f>
        <v>0.269117917277308</v>
      </c>
      <c r="Q58" s="55" t="n">
        <f aca="false">IF(J58="","",MIN(1,J58+1.96*O58/100))</f>
        <v>0.356783151576781</v>
      </c>
      <c r="R58" s="32" t="str">
        <f aca="false">IF(L58="","",IF(ABS(L58)&lt;=O58,"Yes","No"))</f>
        <v>No</v>
      </c>
      <c r="S58" s="32" t="str">
        <f aca="false">IF(L58="","",IF(ABS(L58)&lt;=1.96*O58,"Yes","No"))</f>
        <v>No</v>
      </c>
      <c r="T58" s="54" t="n">
        <f aca="false">IF(D58="","",ROUND(SQRT(((D58+G58)*O58/100)^2+(J58*(D58+G58)*0.04632)^2),0))</f>
        <v>107</v>
      </c>
      <c r="U58" s="32"/>
    </row>
    <row r="59" customFormat="false" ht="15" hidden="false" customHeight="false" outlineLevel="0" collapsed="false">
      <c r="A59" s="32" t="s">
        <v>188</v>
      </c>
      <c r="B59" s="32" t="s">
        <v>194</v>
      </c>
      <c r="C59" s="32" t="s">
        <v>129</v>
      </c>
      <c r="D59" s="54" t="n">
        <v>30</v>
      </c>
      <c r="E59" s="54" t="n">
        <v>30</v>
      </c>
      <c r="F59" s="65" t="n">
        <f aca="false">IF(E59="","",D59-E59)</f>
        <v>0</v>
      </c>
      <c r="G59" s="54" t="n">
        <v>53</v>
      </c>
      <c r="H59" s="54" t="n">
        <v>36</v>
      </c>
      <c r="I59" s="65" t="n">
        <f aca="false">IF(H59="","",G59-H59)</f>
        <v>17</v>
      </c>
      <c r="J59" s="55" t="n">
        <f aca="false">IF(OR(D59="",D59+G59=0),"",D59/(D59+G59))</f>
        <v>0.36144578313253</v>
      </c>
      <c r="K59" s="55" t="n">
        <f aca="false">IF(E59="","",E59/(E59+H59))</f>
        <v>0.454545454545455</v>
      </c>
      <c r="L59" s="66" t="n">
        <f aca="false">IF(OR(K59="",J59=""),"",(J59-K59)*100)</f>
        <v>-9.30996714129244</v>
      </c>
      <c r="M59" s="36" t="n">
        <v>3.10792193660115</v>
      </c>
      <c r="N59" s="36" t="n">
        <v>1.82027350848151</v>
      </c>
      <c r="O59" s="36" t="n">
        <f aca="false">SQRT(M59^2+N59^2)</f>
        <v>3.60174602237391</v>
      </c>
      <c r="P59" s="55" t="n">
        <f aca="false">IF(J59="","",MAX(0,J59-1.96*O59/100))</f>
        <v>0.290851561094002</v>
      </c>
      <c r="Q59" s="55" t="n">
        <f aca="false">IF(J59="","",MIN(1,J59+1.96*O59/100))</f>
        <v>0.432040005171059</v>
      </c>
      <c r="R59" s="32" t="str">
        <f aca="false">IF(L59="","",IF(ABS(L59)&lt;=O59,"Yes","No"))</f>
        <v>No</v>
      </c>
      <c r="S59" s="32" t="str">
        <f aca="false">IF(L59="","",IF(ABS(L59)&lt;=1.96*O59,"Yes","No"))</f>
        <v>No</v>
      </c>
      <c r="T59" s="54" t="n">
        <f aca="false">IF(D59="","",ROUND(SQRT(((D59+G59)*O59/100)^2+(J59*(D59+G59)*0.07067)^2),0))</f>
        <v>4</v>
      </c>
      <c r="U59" s="32"/>
    </row>
    <row r="60" customFormat="false" ht="15" hidden="false" customHeight="false" outlineLevel="0" collapsed="false">
      <c r="A60" s="32" t="s">
        <v>188</v>
      </c>
      <c r="B60" s="32" t="s">
        <v>195</v>
      </c>
      <c r="C60" s="32" t="s">
        <v>129</v>
      </c>
      <c r="D60" s="54" t="n">
        <v>968</v>
      </c>
      <c r="E60" s="54" t="n">
        <v>840</v>
      </c>
      <c r="F60" s="65" t="n">
        <f aca="false">IF(E60="","",D60-E60)</f>
        <v>128</v>
      </c>
      <c r="G60" s="54" t="n">
        <v>1247</v>
      </c>
      <c r="H60" s="54" t="n">
        <v>1151</v>
      </c>
      <c r="I60" s="65" t="n">
        <f aca="false">IF(H60="","",G60-H60)</f>
        <v>96</v>
      </c>
      <c r="J60" s="55" t="n">
        <f aca="false">IF(OR(D60="",D60+G60=0),"",D60/(D60+G60))</f>
        <v>0.437020316027088</v>
      </c>
      <c r="K60" s="55" t="n">
        <f aca="false">IF(E60="","",E60/(E60+H60))</f>
        <v>0.421898543445505</v>
      </c>
      <c r="L60" s="66" t="n">
        <f aca="false">IF(OR(K60="",J60=""),"",(J60-K60)*100)</f>
        <v>1.51217725815833</v>
      </c>
      <c r="M60" s="36" t="n">
        <v>2.06728657077428</v>
      </c>
      <c r="N60" s="36" t="n">
        <v>1.82027350848151</v>
      </c>
      <c r="O60" s="36" t="n">
        <f aca="false">SQRT(M60^2+N60^2)</f>
        <v>2.75446354330263</v>
      </c>
      <c r="P60" s="55" t="n">
        <f aca="false">IF(J60="","",MAX(0,J60-1.96*O60/100))</f>
        <v>0.383032830578356</v>
      </c>
      <c r="Q60" s="55" t="n">
        <f aca="false">IF(J60="","",MIN(1,J60+1.96*O60/100))</f>
        <v>0.49100780147582</v>
      </c>
      <c r="R60" s="32" t="str">
        <f aca="false">IF(L60="","",IF(ABS(L60)&lt;=O60,"Yes","No"))</f>
        <v>Yes</v>
      </c>
      <c r="S60" s="32" t="str">
        <f aca="false">IF(L60="","",IF(ABS(L60)&lt;=1.96*O60,"Yes","No"))</f>
        <v>Yes</v>
      </c>
      <c r="T60" s="54" t="n">
        <f aca="false">IF(D60="","",ROUND(SQRT(((D60+G60)*O60/100)^2+(J60*(D60+G60)*0.05402)^2),0))</f>
        <v>80</v>
      </c>
      <c r="U60" s="32"/>
    </row>
    <row r="61" customFormat="false" ht="15" hidden="false" customHeight="false" outlineLevel="0" collapsed="false">
      <c r="A61" s="32" t="s">
        <v>188</v>
      </c>
      <c r="B61" s="32" t="s">
        <v>196</v>
      </c>
      <c r="C61" s="32" t="s">
        <v>129</v>
      </c>
      <c r="D61" s="54" t="n">
        <v>141</v>
      </c>
      <c r="E61" s="54" t="n">
        <v>130</v>
      </c>
      <c r="F61" s="65" t="n">
        <f aca="false">IF(E61="","",D61-E61)</f>
        <v>11</v>
      </c>
      <c r="G61" s="54" t="n">
        <v>195</v>
      </c>
      <c r="H61" s="54" t="n">
        <v>203</v>
      </c>
      <c r="I61" s="65" t="n">
        <f aca="false">IF(H61="","",G61-H61)</f>
        <v>-8</v>
      </c>
      <c r="J61" s="55" t="n">
        <f aca="false">IF(OR(D61="",D61+G61=0),"",D61/(D61+G61))</f>
        <v>0.419642857142857</v>
      </c>
      <c r="K61" s="55" t="n">
        <f aca="false">IF(E61="","",E61/(E61+H61))</f>
        <v>0.39039039039039</v>
      </c>
      <c r="L61" s="66" t="n">
        <f aca="false">IF(OR(K61="",J61=""),"",(J61-K61)*100)</f>
        <v>2.92524667524668</v>
      </c>
      <c r="M61" s="36" t="n">
        <v>3.10792193660115</v>
      </c>
      <c r="N61" s="36" t="n">
        <v>1.82027350848151</v>
      </c>
      <c r="O61" s="36" t="n">
        <f aca="false">SQRT(M61^2+N61^2)</f>
        <v>3.60174602237391</v>
      </c>
      <c r="P61" s="55" t="n">
        <f aca="false">IF(J61="","",MAX(0,J61-1.96*O61/100))</f>
        <v>0.349048635104329</v>
      </c>
      <c r="Q61" s="55" t="n">
        <f aca="false">IF(J61="","",MIN(1,J61+1.96*O61/100))</f>
        <v>0.490237079181386</v>
      </c>
      <c r="R61" s="32" t="str">
        <f aca="false">IF(L61="","",IF(ABS(L61)&lt;=O61,"Yes","No"))</f>
        <v>Yes</v>
      </c>
      <c r="S61" s="32" t="str">
        <f aca="false">IF(L61="","",IF(ABS(L61)&lt;=1.96*O61,"Yes","No"))</f>
        <v>Yes</v>
      </c>
      <c r="T61" s="54" t="n">
        <f aca="false">IF(D61="","",ROUND(SQRT(((D61+G61)*O61/100)^2+(J61*(D61+G61)*0.07067)^2),0))</f>
        <v>16</v>
      </c>
      <c r="U61" s="32"/>
    </row>
    <row r="62" customFormat="false" ht="15" hidden="false" customHeight="false" outlineLevel="0" collapsed="false">
      <c r="A62" s="32" t="s">
        <v>188</v>
      </c>
      <c r="B62" s="32" t="s">
        <v>197</v>
      </c>
      <c r="C62" s="32" t="s">
        <v>129</v>
      </c>
      <c r="D62" s="54" t="n">
        <v>4905</v>
      </c>
      <c r="E62" s="54" t="n">
        <v>5059</v>
      </c>
      <c r="F62" s="65" t="n">
        <f aca="false">IF(E62="","",D62-E62)</f>
        <v>-154</v>
      </c>
      <c r="G62" s="54" t="n">
        <v>1873</v>
      </c>
      <c r="H62" s="54" t="n">
        <v>1583</v>
      </c>
      <c r="I62" s="65" t="n">
        <f aca="false">IF(H62="","",G62-H62)</f>
        <v>290</v>
      </c>
      <c r="J62" s="55" t="n">
        <f aca="false">IF(OR(D62="",D62+G62=0),"",D62/(D62+G62))</f>
        <v>0.723664797875479</v>
      </c>
      <c r="K62" s="55" t="n">
        <f aca="false">IF(E62="","",E62/(E62+H62))</f>
        <v>0.761668172237278</v>
      </c>
      <c r="L62" s="66" t="n">
        <f aca="false">IF(OR(K62="",J62=""),"",(J62-K62)*100)</f>
        <v>-3.80033743617985</v>
      </c>
      <c r="M62" s="36" t="n">
        <v>1.29919264864539</v>
      </c>
      <c r="N62" s="36" t="n">
        <v>1.82027350848151</v>
      </c>
      <c r="O62" s="36" t="n">
        <f aca="false">SQRT(M62^2+N62^2)</f>
        <v>2.23635801784371</v>
      </c>
      <c r="P62" s="55" t="n">
        <f aca="false">IF(J62="","",MAX(0,J62-1.96*O62/100))</f>
        <v>0.679832180725743</v>
      </c>
      <c r="Q62" s="55" t="n">
        <f aca="false">IF(J62="","",MIN(1,J62+1.96*O62/100))</f>
        <v>0.767497415025216</v>
      </c>
      <c r="R62" s="32" t="str">
        <f aca="false">IF(L62="","",IF(ABS(L62)&lt;=O62,"Yes","No"))</f>
        <v>No</v>
      </c>
      <c r="S62" s="32" t="str">
        <f aca="false">IF(L62="","",IF(ABS(L62)&lt;=1.96*O62,"Yes","No"))</f>
        <v>Yes</v>
      </c>
      <c r="T62" s="54" t="n">
        <f aca="false">IF(D62="","",ROUND(SQRT(((D62+G62)*O62/100)^2+(J62*(D62+G62)*0.04632)^2),0))</f>
        <v>273</v>
      </c>
      <c r="U62" s="32"/>
    </row>
    <row r="63" customFormat="false" ht="15" hidden="false" customHeight="false" outlineLevel="0" collapsed="false">
      <c r="A63" s="32" t="s">
        <v>188</v>
      </c>
      <c r="B63" s="32" t="s">
        <v>198</v>
      </c>
      <c r="C63" s="32" t="s">
        <v>129</v>
      </c>
      <c r="D63" s="54" t="n">
        <v>3738</v>
      </c>
      <c r="E63" s="54" t="n">
        <v>3565</v>
      </c>
      <c r="F63" s="65" t="n">
        <f aca="false">IF(E63="","",D63-E63)</f>
        <v>173</v>
      </c>
      <c r="G63" s="54" t="n">
        <v>3465</v>
      </c>
      <c r="H63" s="54" t="n">
        <v>3017</v>
      </c>
      <c r="I63" s="65" t="n">
        <f aca="false">IF(H63="","",G63-H63)</f>
        <v>448</v>
      </c>
      <c r="J63" s="55" t="n">
        <f aca="false">IF(OR(D63="",D63+G63=0),"",D63/(D63+G63))</f>
        <v>0.518950437317784</v>
      </c>
      <c r="K63" s="55" t="n">
        <f aca="false">IF(E63="","",E63/(E63+H63))</f>
        <v>0.541628684290489</v>
      </c>
      <c r="L63" s="66" t="n">
        <f aca="false">IF(OR(K63="",J63=""),"",(J63-K63)*100)</f>
        <v>-2.26782469727049</v>
      </c>
      <c r="M63" s="36" t="n">
        <v>1.29919264864539</v>
      </c>
      <c r="N63" s="36" t="n">
        <v>1.82027350848151</v>
      </c>
      <c r="O63" s="36" t="n">
        <f aca="false">SQRT(M63^2+N63^2)</f>
        <v>2.23635801784371</v>
      </c>
      <c r="P63" s="55" t="n">
        <f aca="false">IF(J63="","",MAX(0,J63-1.96*O63/100))</f>
        <v>0.475117820168048</v>
      </c>
      <c r="Q63" s="55" t="n">
        <f aca="false">IF(J63="","",MIN(1,J63+1.96*O63/100))</f>
        <v>0.562783054467521</v>
      </c>
      <c r="R63" s="32" t="str">
        <f aca="false">IF(L63="","",IF(ABS(L63)&lt;=O63,"Yes","No"))</f>
        <v>No</v>
      </c>
      <c r="S63" s="32" t="str">
        <f aca="false">IF(L63="","",IF(ABS(L63)&lt;=1.96*O63,"Yes","No"))</f>
        <v>Yes</v>
      </c>
      <c r="T63" s="54" t="n">
        <f aca="false">IF(D63="","",ROUND(SQRT(((D63+G63)*O63/100)^2+(J63*(D63+G63)*0.04632)^2),0))</f>
        <v>236</v>
      </c>
      <c r="U63" s="32"/>
    </row>
    <row r="64" customFormat="false" ht="15" hidden="false" customHeight="false" outlineLevel="0" collapsed="false">
      <c r="A64" s="32" t="s">
        <v>188</v>
      </c>
      <c r="B64" s="32" t="s">
        <v>199</v>
      </c>
      <c r="C64" s="32" t="s">
        <v>129</v>
      </c>
      <c r="D64" s="54" t="n">
        <v>489</v>
      </c>
      <c r="E64" s="54" t="n">
        <v>497</v>
      </c>
      <c r="F64" s="65" t="n">
        <f aca="false">IF(E64="","",D64-E64)</f>
        <v>-8</v>
      </c>
      <c r="G64" s="54" t="n">
        <v>242</v>
      </c>
      <c r="H64" s="54" t="n">
        <v>253</v>
      </c>
      <c r="I64" s="65" t="n">
        <f aca="false">IF(H64="","",G64-H64)</f>
        <v>-11</v>
      </c>
      <c r="J64" s="55" t="n">
        <f aca="false">IF(OR(D64="",D64+G64=0),"",D64/(D64+G64))</f>
        <v>0.668946648426813</v>
      </c>
      <c r="K64" s="55" t="n">
        <f aca="false">IF(E64="","",E64/(E64+H64))</f>
        <v>0.662666666666667</v>
      </c>
      <c r="L64" s="66" t="n">
        <f aca="false">IF(OR(K64="",J64=""),"",(J64-K64)*100)</f>
        <v>0.627998176014599</v>
      </c>
      <c r="M64" s="36" t="n">
        <v>3.10792193660115</v>
      </c>
      <c r="N64" s="36" t="n">
        <v>1.82027350848151</v>
      </c>
      <c r="O64" s="36" t="n">
        <f aca="false">SQRT(M64^2+N64^2)</f>
        <v>3.60174602237391</v>
      </c>
      <c r="P64" s="55" t="n">
        <f aca="false">IF(J64="","",MAX(0,J64-1.96*O64/100))</f>
        <v>0.598352426388284</v>
      </c>
      <c r="Q64" s="55" t="n">
        <f aca="false">IF(J64="","",MIN(1,J64+1.96*O64/100))</f>
        <v>0.739540870465341</v>
      </c>
      <c r="R64" s="32" t="str">
        <f aca="false">IF(L64="","",IF(ABS(L64)&lt;=O64,"Yes","No"))</f>
        <v>Yes</v>
      </c>
      <c r="S64" s="32" t="str">
        <f aca="false">IF(L64="","",IF(ABS(L64)&lt;=1.96*O64,"Yes","No"))</f>
        <v>Yes</v>
      </c>
      <c r="T64" s="54" t="n">
        <f aca="false">IF(D64="","",ROUND(SQRT(((D64+G64)*O64/100)^2+(J64*(D64+G64)*0.07067)^2),0))</f>
        <v>43</v>
      </c>
      <c r="U64" s="32"/>
    </row>
    <row r="65" customFormat="false" ht="15" hidden="false" customHeight="false" outlineLevel="0" collapsed="false">
      <c r="A65" s="32" t="s">
        <v>188</v>
      </c>
      <c r="B65" s="32" t="s">
        <v>200</v>
      </c>
      <c r="C65" s="32" t="s">
        <v>129</v>
      </c>
      <c r="D65" s="54" t="n">
        <v>63</v>
      </c>
      <c r="E65" s="54" t="n">
        <v>72</v>
      </c>
      <c r="F65" s="65" t="n">
        <f aca="false">IF(E65="","",D65-E65)</f>
        <v>-9</v>
      </c>
      <c r="G65" s="54" t="n">
        <v>59</v>
      </c>
      <c r="H65" s="54" t="n">
        <v>39</v>
      </c>
      <c r="I65" s="65" t="n">
        <f aca="false">IF(H65="","",G65-H65)</f>
        <v>20</v>
      </c>
      <c r="J65" s="55" t="n">
        <f aca="false">IF(OR(D65="",D65+G65=0),"",D65/(D65+G65))</f>
        <v>0.516393442622951</v>
      </c>
      <c r="K65" s="55" t="n">
        <f aca="false">IF(E65="","",E65/(E65+H65))</f>
        <v>0.648648648648649</v>
      </c>
      <c r="L65" s="66" t="n">
        <f aca="false">IF(OR(K65="",J65=""),"",(J65-K65)*100)</f>
        <v>-13.2255206025698</v>
      </c>
      <c r="M65" s="36" t="n">
        <v>3.10792193660115</v>
      </c>
      <c r="N65" s="36" t="n">
        <v>1.82027350848151</v>
      </c>
      <c r="O65" s="36" t="n">
        <f aca="false">SQRT(M65^2+N65^2)</f>
        <v>3.60174602237391</v>
      </c>
      <c r="P65" s="55" t="n">
        <f aca="false">IF(J65="","",MAX(0,J65-1.96*O65/100))</f>
        <v>0.445799220584422</v>
      </c>
      <c r="Q65" s="55" t="n">
        <f aca="false">IF(J65="","",MIN(1,J65+1.96*O65/100))</f>
        <v>0.586987664661479</v>
      </c>
      <c r="R65" s="32" t="str">
        <f aca="false">IF(L65="","",IF(ABS(L65)&lt;=O65,"Yes","No"))</f>
        <v>No</v>
      </c>
      <c r="S65" s="32" t="str">
        <f aca="false">IF(L65="","",IF(ABS(L65)&lt;=1.96*O65,"Yes","No"))</f>
        <v>No</v>
      </c>
      <c r="T65" s="54" t="n">
        <f aca="false">IF(D65="","",ROUND(SQRT(((D65+G65)*O65/100)^2+(J65*(D65+G65)*0.07067)^2),0))</f>
        <v>6</v>
      </c>
      <c r="U65" s="32"/>
    </row>
    <row r="66" customFormat="false" ht="15" hidden="false" customHeight="false" outlineLevel="0" collapsed="false">
      <c r="A66" s="32" t="s">
        <v>188</v>
      </c>
      <c r="B66" s="32" t="s">
        <v>166</v>
      </c>
      <c r="C66" s="32" t="s">
        <v>129</v>
      </c>
      <c r="D66" s="54" t="n">
        <v>2871</v>
      </c>
      <c r="E66" s="54" t="n">
        <v>3075</v>
      </c>
      <c r="F66" s="65" t="n">
        <f aca="false">IF(E66="","",D66-E66)</f>
        <v>-204</v>
      </c>
      <c r="G66" s="54" t="n">
        <v>3239</v>
      </c>
      <c r="H66" s="54" t="n">
        <v>2610</v>
      </c>
      <c r="I66" s="65" t="n">
        <f aca="false">IF(H66="","",G66-H66)</f>
        <v>629</v>
      </c>
      <c r="J66" s="55" t="n">
        <f aca="false">IF(OR(D66="",D66+G66=0),"",D66/(D66+G66))</f>
        <v>0.469885433715221</v>
      </c>
      <c r="K66" s="55" t="n">
        <f aca="false">IF(E66="","",E66/(E66+H66))</f>
        <v>0.54089709762533</v>
      </c>
      <c r="L66" s="66" t="n">
        <f aca="false">IF(OR(K66="",J66=""),"",(J66-K66)*100)</f>
        <v>-7.10116639101088</v>
      </c>
      <c r="M66" s="36" t="n">
        <v>1.29919264864539</v>
      </c>
      <c r="N66" s="36" t="n">
        <v>1.82027350848151</v>
      </c>
      <c r="O66" s="36" t="n">
        <f aca="false">SQRT(M66^2+N66^2)</f>
        <v>2.23635801784371</v>
      </c>
      <c r="P66" s="55" t="n">
        <f aca="false">IF(J66="","",MAX(0,J66-1.96*O66/100))</f>
        <v>0.426052816565484</v>
      </c>
      <c r="Q66" s="55" t="n">
        <f aca="false">IF(J66="","",MIN(1,J66+1.96*O66/100))</f>
        <v>0.513718050864958</v>
      </c>
      <c r="R66" s="32" t="str">
        <f aca="false">IF(L66="","",IF(ABS(L66)&lt;=O66,"Yes","No"))</f>
        <v>No</v>
      </c>
      <c r="S66" s="32" t="str">
        <f aca="false">IF(L66="","",IF(ABS(L66)&lt;=1.96*O66,"Yes","No"))</f>
        <v>No</v>
      </c>
      <c r="T66" s="54" t="n">
        <f aca="false">IF(D66="","",ROUND(SQRT(((D66+G66)*O66/100)^2+(J66*(D66+G66)*0.04632)^2),0))</f>
        <v>191</v>
      </c>
      <c r="U66" s="32"/>
    </row>
    <row r="67" customFormat="false" ht="15" hidden="false" customHeight="false" outlineLevel="0" collapsed="false">
      <c r="A67" s="32" t="s">
        <v>188</v>
      </c>
      <c r="B67" s="32" t="s">
        <v>201</v>
      </c>
      <c r="C67" s="32" t="s">
        <v>129</v>
      </c>
      <c r="D67" s="54" t="n">
        <v>1325</v>
      </c>
      <c r="E67" s="54" t="n">
        <v>1246</v>
      </c>
      <c r="F67" s="65" t="n">
        <f aca="false">IF(E67="","",D67-E67)</f>
        <v>79</v>
      </c>
      <c r="G67" s="54" t="n">
        <v>1024</v>
      </c>
      <c r="H67" s="54" t="n">
        <v>966</v>
      </c>
      <c r="I67" s="65" t="n">
        <f aca="false">IF(H67="","",G67-H67)</f>
        <v>58</v>
      </c>
      <c r="J67" s="55" t="n">
        <f aca="false">IF(OR(D67="",D67+G67=0),"",D67/(D67+G67))</f>
        <v>0.56406981694338</v>
      </c>
      <c r="K67" s="55" t="n">
        <f aca="false">IF(E67="","",E67/(E67+H67))</f>
        <v>0.563291139240506</v>
      </c>
      <c r="L67" s="66" t="n">
        <f aca="false">IF(OR(K67="",J67=""),"",(J67-K67)*100)</f>
        <v>0.0778677702873876</v>
      </c>
      <c r="M67" s="36" t="n">
        <v>2.06728657077428</v>
      </c>
      <c r="N67" s="36" t="n">
        <v>1.82027350848151</v>
      </c>
      <c r="O67" s="36" t="n">
        <f aca="false">SQRT(M67^2+N67^2)</f>
        <v>2.75446354330263</v>
      </c>
      <c r="P67" s="55" t="n">
        <f aca="false">IF(J67="","",MAX(0,J67-1.96*O67/100))</f>
        <v>0.510082331494649</v>
      </c>
      <c r="Q67" s="55" t="n">
        <f aca="false">IF(J67="","",MIN(1,J67+1.96*O67/100))</f>
        <v>0.618057302392112</v>
      </c>
      <c r="R67" s="32" t="str">
        <f aca="false">IF(L67="","",IF(ABS(L67)&lt;=O67,"Yes","No"))</f>
        <v>Yes</v>
      </c>
      <c r="S67" s="32" t="str">
        <f aca="false">IF(L67="","",IF(ABS(L67)&lt;=1.96*O67,"Yes","No"))</f>
        <v>Yes</v>
      </c>
      <c r="T67" s="54" t="n">
        <f aca="false">IF(D67="","",ROUND(SQRT(((D67+G67)*O67/100)^2+(J67*(D67+G67)*0.05402)^2),0))</f>
        <v>96</v>
      </c>
      <c r="U67" s="32"/>
    </row>
    <row r="68" customFormat="false" ht="15" hidden="false" customHeight="false" outlineLevel="0" collapsed="false">
      <c r="A68" s="32" t="s">
        <v>188</v>
      </c>
      <c r="B68" s="32" t="s">
        <v>202</v>
      </c>
      <c r="C68" s="32" t="s">
        <v>129</v>
      </c>
      <c r="D68" s="54" t="n">
        <v>1873</v>
      </c>
      <c r="E68" s="54" t="n">
        <v>1543</v>
      </c>
      <c r="F68" s="65" t="n">
        <f aca="false">IF(E68="","",D68-E68)</f>
        <v>330</v>
      </c>
      <c r="G68" s="54" t="n">
        <v>2857</v>
      </c>
      <c r="H68" s="54" t="n">
        <v>2708</v>
      </c>
      <c r="I68" s="65" t="n">
        <f aca="false">IF(H68="","",G68-H68)</f>
        <v>149</v>
      </c>
      <c r="J68" s="55" t="n">
        <f aca="false">IF(OR(D68="",D68+G68=0),"",D68/(D68+G68))</f>
        <v>0.395983086680761</v>
      </c>
      <c r="K68" s="55" t="n">
        <f aca="false">IF(E68="","",E68/(E68+H68))</f>
        <v>0.36297341801929</v>
      </c>
      <c r="L68" s="66" t="n">
        <f aca="false">IF(OR(K68="",J68=""),"",(J68-K68)*100)</f>
        <v>3.30096686614715</v>
      </c>
      <c r="M68" s="36" t="n">
        <v>1.29919264864539</v>
      </c>
      <c r="N68" s="36" t="n">
        <v>1.82027350848151</v>
      </c>
      <c r="O68" s="36" t="n">
        <f aca="false">SQRT(M68^2+N68^2)</f>
        <v>2.23635801784371</v>
      </c>
      <c r="P68" s="55" t="n">
        <f aca="false">IF(J68="","",MAX(0,J68-1.96*O68/100))</f>
        <v>0.352150469531024</v>
      </c>
      <c r="Q68" s="55" t="n">
        <f aca="false">IF(J68="","",MIN(1,J68+1.96*O68/100))</f>
        <v>0.439815703830498</v>
      </c>
      <c r="R68" s="32" t="str">
        <f aca="false">IF(L68="","",IF(ABS(L68)&lt;=O68,"Yes","No"))</f>
        <v>No</v>
      </c>
      <c r="S68" s="32" t="str">
        <f aca="false">IF(L68="","",IF(ABS(L68)&lt;=1.96*O68,"Yes","No"))</f>
        <v>Yes</v>
      </c>
      <c r="T68" s="54" t="n">
        <f aca="false">IF(D68="","",ROUND(SQRT(((D68+G68)*O68/100)^2+(J68*(D68+G68)*0.04632)^2),0))</f>
        <v>137</v>
      </c>
      <c r="U68" s="32"/>
    </row>
    <row r="69" customFormat="false" ht="15" hidden="false" customHeight="false" outlineLevel="0" collapsed="false">
      <c r="A69" s="32" t="s">
        <v>188</v>
      </c>
      <c r="B69" s="32" t="s">
        <v>203</v>
      </c>
      <c r="C69" s="32" t="s">
        <v>129</v>
      </c>
      <c r="D69" s="54" t="n">
        <v>440</v>
      </c>
      <c r="E69" s="54" t="n">
        <v>474</v>
      </c>
      <c r="F69" s="65" t="n">
        <f aca="false">IF(E69="","",D69-E69)</f>
        <v>-34</v>
      </c>
      <c r="G69" s="54" t="n">
        <v>893</v>
      </c>
      <c r="H69" s="54" t="n">
        <v>678</v>
      </c>
      <c r="I69" s="65" t="n">
        <f aca="false">IF(H69="","",G69-H69)</f>
        <v>215</v>
      </c>
      <c r="J69" s="55" t="n">
        <f aca="false">IF(OR(D69="",D69+G69=0),"",D69/(D69+G69))</f>
        <v>0.330082520630158</v>
      </c>
      <c r="K69" s="55" t="n">
        <f aca="false">IF(E69="","",E69/(E69+H69))</f>
        <v>0.411458333333333</v>
      </c>
      <c r="L69" s="66" t="n">
        <f aca="false">IF(OR(K69="",J69=""),"",(J69-K69)*100)</f>
        <v>-8.13758127031758</v>
      </c>
      <c r="M69" s="36" t="n">
        <v>2.06728657077428</v>
      </c>
      <c r="N69" s="36" t="n">
        <v>1.82027350848151</v>
      </c>
      <c r="O69" s="36" t="n">
        <f aca="false">SQRT(M69^2+N69^2)</f>
        <v>2.75446354330263</v>
      </c>
      <c r="P69" s="55" t="n">
        <f aca="false">IF(J69="","",MAX(0,J69-1.96*O69/100))</f>
        <v>0.276095035181426</v>
      </c>
      <c r="Q69" s="55" t="n">
        <f aca="false">IF(J69="","",MIN(1,J69+1.96*O69/100))</f>
        <v>0.384070006078889</v>
      </c>
      <c r="R69" s="32" t="str">
        <f aca="false">IF(L69="","",IF(ABS(L69)&lt;=O69,"Yes","No"))</f>
        <v>No</v>
      </c>
      <c r="S69" s="32" t="str">
        <f aca="false">IF(L69="","",IF(ABS(L69)&lt;=1.96*O69,"Yes","No"))</f>
        <v>No</v>
      </c>
      <c r="T69" s="54" t="n">
        <f aca="false">IF(D69="","",ROUND(SQRT(((D69+G69)*O69/100)^2+(J69*(D69+G69)*0.05402)^2),0))</f>
        <v>44</v>
      </c>
      <c r="U69" s="32"/>
    </row>
    <row r="70" customFormat="false" ht="15" hidden="false" customHeight="false" outlineLevel="0" collapsed="false">
      <c r="A70" s="32" t="s">
        <v>188</v>
      </c>
      <c r="B70" s="32" t="s">
        <v>204</v>
      </c>
      <c r="C70" s="32" t="s">
        <v>129</v>
      </c>
      <c r="D70" s="54" t="n">
        <v>1424</v>
      </c>
      <c r="E70" s="54" t="n">
        <v>1320</v>
      </c>
      <c r="F70" s="65" t="n">
        <f aca="false">IF(E70="","",D70-E70)</f>
        <v>104</v>
      </c>
      <c r="G70" s="54" t="n">
        <v>1860</v>
      </c>
      <c r="H70" s="54" t="n">
        <v>1650</v>
      </c>
      <c r="I70" s="65" t="n">
        <f aca="false">IF(H70="","",G70-H70)</f>
        <v>210</v>
      </c>
      <c r="J70" s="55" t="n">
        <f aca="false">IF(OR(D70="",D70+G70=0),"",D70/(D70+G70))</f>
        <v>0.433617539585871</v>
      </c>
      <c r="K70" s="55" t="n">
        <f aca="false">IF(E70="","",E70/(E70+H70))</f>
        <v>0.444444444444444</v>
      </c>
      <c r="L70" s="66" t="n">
        <f aca="false">IF(OR(K70="",J70=""),"",(J70-K70)*100)</f>
        <v>-1.08269048585735</v>
      </c>
      <c r="M70" s="36" t="n">
        <v>1.29919264864539</v>
      </c>
      <c r="N70" s="36" t="n">
        <v>1.82027350848151</v>
      </c>
      <c r="O70" s="36" t="n">
        <f aca="false">SQRT(M70^2+N70^2)</f>
        <v>2.23635801784371</v>
      </c>
      <c r="P70" s="55" t="n">
        <f aca="false">IF(J70="","",MAX(0,J70-1.96*O70/100))</f>
        <v>0.389784922436134</v>
      </c>
      <c r="Q70" s="55" t="n">
        <f aca="false">IF(J70="","",MIN(1,J70+1.96*O70/100))</f>
        <v>0.477450156735608</v>
      </c>
      <c r="R70" s="32" t="str">
        <f aca="false">IF(L70="","",IF(ABS(L70)&lt;=O70,"Yes","No"))</f>
        <v>Yes</v>
      </c>
      <c r="S70" s="32" t="str">
        <f aca="false">IF(L70="","",IF(ABS(L70)&lt;=1.96*O70,"Yes","No"))</f>
        <v>Yes</v>
      </c>
      <c r="T70" s="54" t="n">
        <f aca="false">IF(D70="","",ROUND(SQRT(((D70+G70)*O70/100)^2+(J70*(D70+G70)*0.04632)^2),0))</f>
        <v>99</v>
      </c>
      <c r="U70" s="32"/>
    </row>
    <row r="71" customFormat="false" ht="15" hidden="false" customHeight="false" outlineLevel="0" collapsed="false">
      <c r="A71" s="32" t="s">
        <v>188</v>
      </c>
      <c r="B71" s="32" t="s">
        <v>205</v>
      </c>
      <c r="C71" s="32" t="s">
        <v>129</v>
      </c>
      <c r="D71" s="54" t="n">
        <v>2581</v>
      </c>
      <c r="E71" s="54" t="n">
        <v>2540</v>
      </c>
      <c r="F71" s="65" t="n">
        <f aca="false">IF(E71="","",D71-E71)</f>
        <v>41</v>
      </c>
      <c r="G71" s="54" t="n">
        <v>3031</v>
      </c>
      <c r="H71" s="54" t="n">
        <v>2624</v>
      </c>
      <c r="I71" s="65" t="n">
        <f aca="false">IF(H71="","",G71-H71)</f>
        <v>407</v>
      </c>
      <c r="J71" s="55" t="n">
        <f aca="false">IF(OR(D71="",D71+G71=0),"",D71/(D71+G71))</f>
        <v>0.459907341411262</v>
      </c>
      <c r="K71" s="55" t="n">
        <f aca="false">IF(E71="","",E71/(E71+H71))</f>
        <v>0.491866769945779</v>
      </c>
      <c r="L71" s="66" t="n">
        <f aca="false">IF(OR(K71="",J71=""),"",(J71-K71)*100)</f>
        <v>-3.19594285345169</v>
      </c>
      <c r="M71" s="36" t="n">
        <v>1.29919264864539</v>
      </c>
      <c r="N71" s="36" t="n">
        <v>1.82027350848151</v>
      </c>
      <c r="O71" s="36" t="n">
        <f aca="false">SQRT(M71^2+N71^2)</f>
        <v>2.23635801784371</v>
      </c>
      <c r="P71" s="55" t="n">
        <f aca="false">IF(J71="","",MAX(0,J71-1.96*O71/100))</f>
        <v>0.416074724261525</v>
      </c>
      <c r="Q71" s="55" t="n">
        <f aca="false">IF(J71="","",MIN(1,J71+1.96*O71/100))</f>
        <v>0.503739958560998</v>
      </c>
      <c r="R71" s="32" t="str">
        <f aca="false">IF(L71="","",IF(ABS(L71)&lt;=O71,"Yes","No"))</f>
        <v>No</v>
      </c>
      <c r="S71" s="32" t="str">
        <f aca="false">IF(L71="","",IF(ABS(L71)&lt;=1.96*O71,"Yes","No"))</f>
        <v>Yes</v>
      </c>
      <c r="T71" s="54" t="n">
        <f aca="false">IF(D71="","",ROUND(SQRT(((D71+G71)*O71/100)^2+(J71*(D71+G71)*0.04632)^2),0))</f>
        <v>173</v>
      </c>
      <c r="U71" s="32"/>
    </row>
    <row r="72" customFormat="false" ht="15" hidden="false" customHeight="false" outlineLevel="0" collapsed="false">
      <c r="A72" s="32" t="s">
        <v>188</v>
      </c>
      <c r="B72" s="32" t="s">
        <v>206</v>
      </c>
      <c r="C72" s="32" t="s">
        <v>129</v>
      </c>
      <c r="D72" s="54" t="n">
        <v>1590</v>
      </c>
      <c r="E72" s="54" t="n">
        <v>1404</v>
      </c>
      <c r="F72" s="65" t="n">
        <f aca="false">IF(E72="","",D72-E72)</f>
        <v>186</v>
      </c>
      <c r="G72" s="54" t="n">
        <v>2764</v>
      </c>
      <c r="H72" s="54" t="n">
        <v>2512</v>
      </c>
      <c r="I72" s="65" t="n">
        <f aca="false">IF(H72="","",G72-H72)</f>
        <v>252</v>
      </c>
      <c r="J72" s="55" t="n">
        <f aca="false">IF(OR(D72="",D72+G72=0),"",D72/(D72+G72))</f>
        <v>0.36518144235186</v>
      </c>
      <c r="K72" s="55" t="n">
        <f aca="false">IF(E72="","",E72/(E72+H72))</f>
        <v>0.3585291113381</v>
      </c>
      <c r="L72" s="66" t="n">
        <f aca="false">IF(OR(K72="",J72=""),"",(J72-K72)*100)</f>
        <v>0.665233101376023</v>
      </c>
      <c r="M72" s="36" t="n">
        <v>1.29919264864539</v>
      </c>
      <c r="N72" s="36" t="n">
        <v>1.82027350848151</v>
      </c>
      <c r="O72" s="36" t="n">
        <f aca="false">SQRT(M72^2+N72^2)</f>
        <v>2.23635801784371</v>
      </c>
      <c r="P72" s="55" t="n">
        <f aca="false">IF(J72="","",MAX(0,J72-1.96*O72/100))</f>
        <v>0.321348825202124</v>
      </c>
      <c r="Q72" s="55" t="n">
        <f aca="false">IF(J72="","",MIN(1,J72+1.96*O72/100))</f>
        <v>0.409014059501597</v>
      </c>
      <c r="R72" s="32" t="str">
        <f aca="false">IF(L72="","",IF(ABS(L72)&lt;=O72,"Yes","No"))</f>
        <v>Yes</v>
      </c>
      <c r="S72" s="32" t="str">
        <f aca="false">IF(L72="","",IF(ABS(L72)&lt;=1.96*O72,"Yes","No"))</f>
        <v>Yes</v>
      </c>
      <c r="T72" s="54" t="n">
        <f aca="false">IF(D72="","",ROUND(SQRT(((D72+G72)*O72/100)^2+(J72*(D72+G72)*0.04632)^2),0))</f>
        <v>122</v>
      </c>
      <c r="U72" s="32"/>
    </row>
    <row r="73" customFormat="false" ht="15" hidden="false" customHeight="false" outlineLevel="0" collapsed="false">
      <c r="A73" s="32" t="s">
        <v>188</v>
      </c>
      <c r="B73" s="32" t="s">
        <v>207</v>
      </c>
      <c r="C73" s="32" t="s">
        <v>129</v>
      </c>
      <c r="D73" s="54" t="n">
        <v>1193</v>
      </c>
      <c r="E73" s="54" t="n">
        <v>1128</v>
      </c>
      <c r="F73" s="65" t="n">
        <f aca="false">IF(E73="","",D73-E73)</f>
        <v>65</v>
      </c>
      <c r="G73" s="54" t="n">
        <v>1157</v>
      </c>
      <c r="H73" s="54" t="n">
        <v>998</v>
      </c>
      <c r="I73" s="65" t="n">
        <f aca="false">IF(H73="","",G73-H73)</f>
        <v>159</v>
      </c>
      <c r="J73" s="55" t="n">
        <f aca="false">IF(OR(D73="",D73+G73=0),"",D73/(D73+G73))</f>
        <v>0.507659574468085</v>
      </c>
      <c r="K73" s="55" t="n">
        <f aca="false">IF(E73="","",E73/(E73+H73))</f>
        <v>0.530573847601129</v>
      </c>
      <c r="L73" s="66" t="n">
        <f aca="false">IF(OR(K73="",J73=""),"",(J73-K73)*100)</f>
        <v>-2.29142731330438</v>
      </c>
      <c r="M73" s="36" t="n">
        <v>2.06728657077428</v>
      </c>
      <c r="N73" s="36" t="n">
        <v>1.82027350848151</v>
      </c>
      <c r="O73" s="36" t="n">
        <f aca="false">SQRT(M73^2+N73^2)</f>
        <v>2.75446354330263</v>
      </c>
      <c r="P73" s="55" t="n">
        <f aca="false">IF(J73="","",MAX(0,J73-1.96*O73/100))</f>
        <v>0.453672089019354</v>
      </c>
      <c r="Q73" s="55" t="n">
        <f aca="false">IF(J73="","",MIN(1,J73+1.96*O73/100))</f>
        <v>0.561647059916817</v>
      </c>
      <c r="R73" s="32" t="str">
        <f aca="false">IF(L73="","",IF(ABS(L73)&lt;=O73,"Yes","No"))</f>
        <v>Yes</v>
      </c>
      <c r="S73" s="32" t="str">
        <f aca="false">IF(L73="","",IF(ABS(L73)&lt;=1.96*O73,"Yes","No"))</f>
        <v>Yes</v>
      </c>
      <c r="T73" s="54" t="n">
        <f aca="false">IF(D73="","",ROUND(SQRT(((D73+G73)*O73/100)^2+(J73*(D73+G73)*0.05402)^2),0))</f>
        <v>91</v>
      </c>
      <c r="U73" s="32"/>
    </row>
    <row r="74" customFormat="false" ht="15" hidden="false" customHeight="false" outlineLevel="0" collapsed="false">
      <c r="A74" s="32" t="s">
        <v>188</v>
      </c>
      <c r="B74" s="32" t="s">
        <v>208</v>
      </c>
      <c r="C74" s="32" t="s">
        <v>129</v>
      </c>
      <c r="D74" s="54" t="n">
        <v>562</v>
      </c>
      <c r="E74" s="54" t="n">
        <v>536</v>
      </c>
      <c r="F74" s="65" t="n">
        <f aca="false">IF(E74="","",D74-E74)</f>
        <v>26</v>
      </c>
      <c r="G74" s="54" t="n">
        <v>586</v>
      </c>
      <c r="H74" s="54" t="n">
        <v>521</v>
      </c>
      <c r="I74" s="65" t="n">
        <f aca="false">IF(H74="","",G74-H74)</f>
        <v>65</v>
      </c>
      <c r="J74" s="55" t="n">
        <f aca="false">IF(OR(D74="",D74+G74=0),"",D74/(D74+G74))</f>
        <v>0.489547038327526</v>
      </c>
      <c r="K74" s="55" t="n">
        <f aca="false">IF(E74="","",E74/(E74+H74))</f>
        <v>0.507095553453169</v>
      </c>
      <c r="L74" s="66" t="n">
        <f aca="false">IF(OR(K74="",J74=""),"",(J74-K74)*100)</f>
        <v>-1.75485151256433</v>
      </c>
      <c r="M74" s="36" t="n">
        <v>2.06728657077428</v>
      </c>
      <c r="N74" s="36" t="n">
        <v>1.82027350848151</v>
      </c>
      <c r="O74" s="36" t="n">
        <f aca="false">SQRT(M74^2+N74^2)</f>
        <v>2.75446354330263</v>
      </c>
      <c r="P74" s="55" t="n">
        <f aca="false">IF(J74="","",MAX(0,J74-1.96*O74/100))</f>
        <v>0.435559552878795</v>
      </c>
      <c r="Q74" s="55" t="n">
        <f aca="false">IF(J74="","",MIN(1,J74+1.96*O74/100))</f>
        <v>0.543534523776258</v>
      </c>
      <c r="R74" s="32" t="str">
        <f aca="false">IF(L74="","",IF(ABS(L74)&lt;=O74,"Yes","No"))</f>
        <v>Yes</v>
      </c>
      <c r="S74" s="32" t="str">
        <f aca="false">IF(L74="","",IF(ABS(L74)&lt;=1.96*O74,"Yes","No"))</f>
        <v>Yes</v>
      </c>
      <c r="T74" s="54" t="n">
        <f aca="false">IF(D74="","",ROUND(SQRT(((D74+G74)*O74/100)^2+(J74*(D74+G74)*0.05402)^2),0))</f>
        <v>44</v>
      </c>
      <c r="U74" s="32"/>
    </row>
    <row r="75" customFormat="false" ht="15" hidden="false" customHeight="false" outlineLevel="0" collapsed="false">
      <c r="A75" s="32" t="s">
        <v>188</v>
      </c>
      <c r="B75" s="32" t="s">
        <v>209</v>
      </c>
      <c r="C75" s="32" t="s">
        <v>129</v>
      </c>
      <c r="D75" s="54" t="n">
        <v>1811</v>
      </c>
      <c r="E75" s="54" t="n">
        <v>1650</v>
      </c>
      <c r="F75" s="65" t="n">
        <f aca="false">IF(E75="","",D75-E75)</f>
        <v>161</v>
      </c>
      <c r="G75" s="54" t="n">
        <v>1742</v>
      </c>
      <c r="H75" s="54" t="n">
        <v>1634</v>
      </c>
      <c r="I75" s="65" t="n">
        <f aca="false">IF(H75="","",G75-H75)</f>
        <v>108</v>
      </c>
      <c r="J75" s="55" t="n">
        <f aca="false">IF(OR(D75="",D75+G75=0),"",D75/(D75+G75))</f>
        <v>0.509710104137349</v>
      </c>
      <c r="K75" s="55" t="n">
        <f aca="false">IF(E75="","",E75/(E75+H75))</f>
        <v>0.502436053593179</v>
      </c>
      <c r="L75" s="66" t="n">
        <f aca="false">IF(OR(K75="",J75=""),"",(J75-K75)*100)</f>
        <v>0.727405054416974</v>
      </c>
      <c r="M75" s="36" t="n">
        <v>1.29919264864539</v>
      </c>
      <c r="N75" s="36" t="n">
        <v>1.82027350848151</v>
      </c>
      <c r="O75" s="36" t="n">
        <f aca="false">SQRT(M75^2+N75^2)</f>
        <v>2.23635801784371</v>
      </c>
      <c r="P75" s="55" t="n">
        <f aca="false">IF(J75="","",MAX(0,J75-1.96*O75/100))</f>
        <v>0.465877486987612</v>
      </c>
      <c r="Q75" s="55" t="n">
        <f aca="false">IF(J75="","",MIN(1,J75+1.96*O75/100))</f>
        <v>0.553542721287085</v>
      </c>
      <c r="R75" s="32" t="str">
        <f aca="false">IF(L75="","",IF(ABS(L75)&lt;=O75,"Yes","No"))</f>
        <v>Yes</v>
      </c>
      <c r="S75" s="32" t="str">
        <f aca="false">IF(L75="","",IF(ABS(L75)&lt;=1.96*O75,"Yes","No"))</f>
        <v>Yes</v>
      </c>
      <c r="T75" s="54" t="n">
        <f aca="false">IF(D75="","",ROUND(SQRT(((D75+G75)*O75/100)^2+(J75*(D75+G75)*0.04632)^2),0))</f>
        <v>116</v>
      </c>
      <c r="U75" s="32"/>
    </row>
    <row r="76" customFormat="false" ht="15" hidden="false" customHeight="false" outlineLevel="0" collapsed="false">
      <c r="A76" s="32" t="s">
        <v>188</v>
      </c>
      <c r="B76" s="32" t="s">
        <v>210</v>
      </c>
      <c r="C76" s="32" t="s">
        <v>129</v>
      </c>
      <c r="D76" s="54" t="n">
        <v>5101</v>
      </c>
      <c r="E76" s="54" t="n">
        <v>4804</v>
      </c>
      <c r="F76" s="65" t="n">
        <f aca="false">IF(E76="","",D76-E76)</f>
        <v>297</v>
      </c>
      <c r="G76" s="54" t="n">
        <v>4383</v>
      </c>
      <c r="H76" s="54" t="n">
        <v>4095</v>
      </c>
      <c r="I76" s="65" t="n">
        <f aca="false">IF(H76="","",G76-H76)</f>
        <v>288</v>
      </c>
      <c r="J76" s="55" t="n">
        <f aca="false">IF(OR(D76="",D76+G76=0),"",D76/(D76+G76))</f>
        <v>0.537853226486715</v>
      </c>
      <c r="K76" s="55" t="n">
        <f aca="false">IF(E76="","",E76/(E76+H76))</f>
        <v>0.539835936622092</v>
      </c>
      <c r="L76" s="66" t="n">
        <f aca="false">IF(OR(K76="",J76=""),"",(J76-K76)*100)</f>
        <v>-0.198271013537787</v>
      </c>
      <c r="M76" s="36" t="n">
        <v>1.29919264864539</v>
      </c>
      <c r="N76" s="36" t="n">
        <v>1.82027350848151</v>
      </c>
      <c r="O76" s="36" t="n">
        <f aca="false">SQRT(M76^2+N76^2)</f>
        <v>2.23635801784371</v>
      </c>
      <c r="P76" s="55" t="n">
        <f aca="false">IF(J76="","",MAX(0,J76-1.96*O76/100))</f>
        <v>0.494020609336978</v>
      </c>
      <c r="Q76" s="55" t="n">
        <f aca="false">IF(J76="","",MIN(1,J76+1.96*O76/100))</f>
        <v>0.581685843636451</v>
      </c>
      <c r="R76" s="32" t="str">
        <f aca="false">IF(L76="","",IF(ABS(L76)&lt;=O76,"Yes","No"))</f>
        <v>Yes</v>
      </c>
      <c r="S76" s="32" t="str">
        <f aca="false">IF(L76="","",IF(ABS(L76)&lt;=1.96*O76,"Yes","No"))</f>
        <v>Yes</v>
      </c>
      <c r="T76" s="54" t="n">
        <f aca="false">IF(D76="","",ROUND(SQRT(((D76+G76)*O76/100)^2+(J76*(D76+G76)*0.04632)^2),0))</f>
        <v>318</v>
      </c>
      <c r="U76" s="32"/>
    </row>
    <row r="77" customFormat="false" ht="15" hidden="false" customHeight="false" outlineLevel="0" collapsed="false">
      <c r="A77" s="32" t="s">
        <v>188</v>
      </c>
      <c r="B77" s="32" t="s">
        <v>211</v>
      </c>
      <c r="C77" s="32" t="s">
        <v>129</v>
      </c>
      <c r="D77" s="54" t="n">
        <v>551</v>
      </c>
      <c r="E77" s="54" t="n">
        <v>484</v>
      </c>
      <c r="F77" s="65" t="n">
        <f aca="false">IF(E77="","",D77-E77)</f>
        <v>67</v>
      </c>
      <c r="G77" s="54" t="n">
        <v>700</v>
      </c>
      <c r="H77" s="54" t="n">
        <v>685</v>
      </c>
      <c r="I77" s="65" t="n">
        <f aca="false">IF(H77="","",G77-H77)</f>
        <v>15</v>
      </c>
      <c r="J77" s="55" t="n">
        <f aca="false">IF(OR(D77="",D77+G77=0),"",D77/(D77+G77))</f>
        <v>0.440447641886491</v>
      </c>
      <c r="K77" s="55" t="n">
        <f aca="false">IF(E77="","",E77/(E77+H77))</f>
        <v>0.414029084687767</v>
      </c>
      <c r="L77" s="66" t="n">
        <f aca="false">IF(OR(K77="",J77=""),"",(J77-K77)*100)</f>
        <v>2.64185571987235</v>
      </c>
      <c r="M77" s="36" t="n">
        <v>2.06728657077428</v>
      </c>
      <c r="N77" s="36" t="n">
        <v>1.82027350848151</v>
      </c>
      <c r="O77" s="36" t="n">
        <f aca="false">SQRT(M77^2+N77^2)</f>
        <v>2.75446354330263</v>
      </c>
      <c r="P77" s="55" t="n">
        <f aca="false">IF(J77="","",MAX(0,J77-1.96*O77/100))</f>
        <v>0.386460156437759</v>
      </c>
      <c r="Q77" s="55" t="n">
        <f aca="false">IF(J77="","",MIN(1,J77+1.96*O77/100))</f>
        <v>0.494435127335222</v>
      </c>
      <c r="R77" s="32" t="str">
        <f aca="false">IF(L77="","",IF(ABS(L77)&lt;=O77,"Yes","No"))</f>
        <v>Yes</v>
      </c>
      <c r="S77" s="32" t="str">
        <f aca="false">IF(L77="","",IF(ABS(L77)&lt;=1.96*O77,"Yes","No"))</f>
        <v>Yes</v>
      </c>
      <c r="T77" s="54" t="n">
        <f aca="false">IF(D77="","",ROUND(SQRT(((D77+G77)*O77/100)^2+(J77*(D77+G77)*0.05402)^2),0))</f>
        <v>46</v>
      </c>
      <c r="U77" s="32"/>
    </row>
    <row r="78" customFormat="false" ht="15" hidden="false" customHeight="false" outlineLevel="0" collapsed="false">
      <c r="A78" s="32" t="s">
        <v>188</v>
      </c>
      <c r="B78" s="32" t="s">
        <v>212</v>
      </c>
      <c r="C78" s="32" t="s">
        <v>129</v>
      </c>
      <c r="D78" s="54" t="n">
        <v>1081</v>
      </c>
      <c r="E78" s="54" t="n">
        <v>1016</v>
      </c>
      <c r="F78" s="65" t="n">
        <f aca="false">IF(E78="","",D78-E78)</f>
        <v>65</v>
      </c>
      <c r="G78" s="54" t="n">
        <v>1766</v>
      </c>
      <c r="H78" s="54" t="n">
        <v>1531</v>
      </c>
      <c r="I78" s="65" t="n">
        <f aca="false">IF(H78="","",G78-H78)</f>
        <v>235</v>
      </c>
      <c r="J78" s="55" t="n">
        <f aca="false">IF(OR(D78="",D78+G78=0),"",D78/(D78+G78))</f>
        <v>0.379697927643133</v>
      </c>
      <c r="K78" s="55" t="n">
        <f aca="false">IF(E78="","",E78/(E78+H78))</f>
        <v>0.398900667451904</v>
      </c>
      <c r="L78" s="66" t="n">
        <f aca="false">IF(OR(K78="",J78=""),"",(J78-K78)*100)</f>
        <v>-1.92027398087711</v>
      </c>
      <c r="M78" s="36" t="n">
        <v>1.29919264864539</v>
      </c>
      <c r="N78" s="36" t="n">
        <v>1.82027350848151</v>
      </c>
      <c r="O78" s="36" t="n">
        <f aca="false">SQRT(M78^2+N78^2)</f>
        <v>2.23635801784371</v>
      </c>
      <c r="P78" s="55" t="n">
        <f aca="false">IF(J78="","",MAX(0,J78-1.96*O78/100))</f>
        <v>0.335865310493397</v>
      </c>
      <c r="Q78" s="55" t="n">
        <f aca="false">IF(J78="","",MIN(1,J78+1.96*O78/100))</f>
        <v>0.42353054479287</v>
      </c>
      <c r="R78" s="32" t="str">
        <f aca="false">IF(L78="","",IF(ABS(L78)&lt;=O78,"Yes","No"))</f>
        <v>Yes</v>
      </c>
      <c r="S78" s="32" t="str">
        <f aca="false">IF(L78="","",IF(ABS(L78)&lt;=1.96*O78,"Yes","No"))</f>
        <v>Yes</v>
      </c>
      <c r="T78" s="54" t="n">
        <f aca="false">IF(D78="","",ROUND(SQRT(((D78+G78)*O78/100)^2+(J78*(D78+G78)*0.04632)^2),0))</f>
        <v>81</v>
      </c>
      <c r="U78" s="32"/>
    </row>
    <row r="79" customFormat="false" ht="15" hidden="false" customHeight="false" outlineLevel="0" collapsed="false">
      <c r="A79" s="32" t="s">
        <v>188</v>
      </c>
      <c r="B79" s="32" t="s">
        <v>213</v>
      </c>
      <c r="C79" s="32" t="s">
        <v>129</v>
      </c>
      <c r="D79" s="54" t="n">
        <v>65</v>
      </c>
      <c r="E79" s="54" t="n">
        <v>62</v>
      </c>
      <c r="F79" s="65" t="n">
        <f aca="false">IF(E79="","",D79-E79)</f>
        <v>3</v>
      </c>
      <c r="G79" s="54" t="n">
        <v>116</v>
      </c>
      <c r="H79" s="54" t="n">
        <v>104</v>
      </c>
      <c r="I79" s="65" t="n">
        <f aca="false">IF(H79="","",G79-H79)</f>
        <v>12</v>
      </c>
      <c r="J79" s="55" t="n">
        <f aca="false">IF(OR(D79="",D79+G79=0),"",D79/(D79+G79))</f>
        <v>0.359116022099448</v>
      </c>
      <c r="K79" s="55" t="n">
        <f aca="false">IF(E79="","",E79/(E79+H79))</f>
        <v>0.373493975903614</v>
      </c>
      <c r="L79" s="66" t="n">
        <f aca="false">IF(OR(K79="",J79=""),"",(J79-K79)*100)</f>
        <v>-1.43779538041669</v>
      </c>
      <c r="M79" s="36" t="n">
        <v>3.10792193660115</v>
      </c>
      <c r="N79" s="36" t="n">
        <v>1.82027350848151</v>
      </c>
      <c r="O79" s="36" t="n">
        <f aca="false">SQRT(M79^2+N79^2)</f>
        <v>3.60174602237391</v>
      </c>
      <c r="P79" s="55" t="n">
        <f aca="false">IF(J79="","",MAX(0,J79-1.96*O79/100))</f>
        <v>0.288521800060919</v>
      </c>
      <c r="Q79" s="55" t="n">
        <f aca="false">IF(J79="","",MIN(1,J79+1.96*O79/100))</f>
        <v>0.429710244137976</v>
      </c>
      <c r="R79" s="32" t="str">
        <f aca="false">IF(L79="","",IF(ABS(L79)&lt;=O79,"Yes","No"))</f>
        <v>Yes</v>
      </c>
      <c r="S79" s="32" t="str">
        <f aca="false">IF(L79="","",IF(ABS(L79)&lt;=1.96*O79,"Yes","No"))</f>
        <v>Yes</v>
      </c>
      <c r="T79" s="54" t="n">
        <f aca="false">IF(D79="","",ROUND(SQRT(((D79+G79)*O79/100)^2+(J79*(D79+G79)*0.07067)^2),0))</f>
        <v>8</v>
      </c>
      <c r="U79" s="32"/>
    </row>
    <row r="80" customFormat="false" ht="15" hidden="false" customHeight="false" outlineLevel="0" collapsed="false">
      <c r="A80" s="32" t="s">
        <v>188</v>
      </c>
      <c r="B80" s="32" t="s">
        <v>214</v>
      </c>
      <c r="C80" s="32" t="s">
        <v>129</v>
      </c>
      <c r="D80" s="54" t="n">
        <v>268</v>
      </c>
      <c r="E80" s="54" t="n">
        <v>243</v>
      </c>
      <c r="F80" s="65" t="n">
        <f aca="false">IF(E80="","",D80-E80)</f>
        <v>25</v>
      </c>
      <c r="G80" s="54" t="n">
        <v>328</v>
      </c>
      <c r="H80" s="54" t="n">
        <v>335</v>
      </c>
      <c r="I80" s="65" t="n">
        <f aca="false">IF(H80="","",G80-H80)</f>
        <v>-7</v>
      </c>
      <c r="J80" s="55" t="n">
        <f aca="false">IF(OR(D80="",D80+G80=0),"",D80/(D80+G80))</f>
        <v>0.449664429530201</v>
      </c>
      <c r="K80" s="55" t="n">
        <f aca="false">IF(E80="","",E80/(E80+H80))</f>
        <v>0.420415224913495</v>
      </c>
      <c r="L80" s="66" t="n">
        <f aca="false">IF(OR(K80="",J80=""),"",(J80-K80)*100)</f>
        <v>2.92492046167066</v>
      </c>
      <c r="M80" s="36" t="n">
        <v>3.10792193660115</v>
      </c>
      <c r="N80" s="36" t="n">
        <v>1.82027350848151</v>
      </c>
      <c r="O80" s="36" t="n">
        <f aca="false">SQRT(M80^2+N80^2)</f>
        <v>3.60174602237391</v>
      </c>
      <c r="P80" s="55" t="n">
        <f aca="false">IF(J80="","",MAX(0,J80-1.96*O80/100))</f>
        <v>0.379070207491673</v>
      </c>
      <c r="Q80" s="55" t="n">
        <f aca="false">IF(J80="","",MIN(1,J80+1.96*O80/100))</f>
        <v>0.52025865156873</v>
      </c>
      <c r="R80" s="32" t="str">
        <f aca="false">IF(L80="","",IF(ABS(L80)&lt;=O80,"Yes","No"))</f>
        <v>Yes</v>
      </c>
      <c r="S80" s="32" t="str">
        <f aca="false">IF(L80="","",IF(ABS(L80)&lt;=1.96*O80,"Yes","No"))</f>
        <v>Yes</v>
      </c>
      <c r="T80" s="54" t="n">
        <f aca="false">IF(D80="","",ROUND(SQRT(((D80+G80)*O80/100)^2+(J80*(D80+G80)*0.07067)^2),0))</f>
        <v>29</v>
      </c>
      <c r="U80" s="32"/>
    </row>
    <row r="81" customFormat="false" ht="15" hidden="false" customHeight="false" outlineLevel="0" collapsed="false">
      <c r="A81" s="32" t="s">
        <v>188</v>
      </c>
      <c r="B81" s="32" t="s">
        <v>215</v>
      </c>
      <c r="C81" s="32" t="s">
        <v>129</v>
      </c>
      <c r="D81" s="54" t="n">
        <v>159</v>
      </c>
      <c r="E81" s="54" t="n">
        <v>142</v>
      </c>
      <c r="F81" s="65" t="n">
        <f aca="false">IF(E81="","",D81-E81)</f>
        <v>17</v>
      </c>
      <c r="G81" s="54" t="n">
        <v>204</v>
      </c>
      <c r="H81" s="54" t="n">
        <v>172</v>
      </c>
      <c r="I81" s="65" t="n">
        <f aca="false">IF(H81="","",G81-H81)</f>
        <v>32</v>
      </c>
      <c r="J81" s="55" t="n">
        <f aca="false">IF(OR(D81="",D81+G81=0),"",D81/(D81+G81))</f>
        <v>0.43801652892562</v>
      </c>
      <c r="K81" s="55" t="n">
        <f aca="false">IF(E81="","",E81/(E81+H81))</f>
        <v>0.452229299363057</v>
      </c>
      <c r="L81" s="66" t="n">
        <f aca="false">IF(OR(K81="",J81=""),"",(J81-K81)*100)</f>
        <v>-1.42127704374375</v>
      </c>
      <c r="M81" s="36" t="n">
        <v>3.10792193660115</v>
      </c>
      <c r="N81" s="36" t="n">
        <v>1.82027350848151</v>
      </c>
      <c r="O81" s="36" t="n">
        <f aca="false">SQRT(M81^2+N81^2)</f>
        <v>3.60174602237391</v>
      </c>
      <c r="P81" s="55" t="n">
        <f aca="false">IF(J81="","",MAX(0,J81-1.96*O81/100))</f>
        <v>0.367422306887091</v>
      </c>
      <c r="Q81" s="55" t="n">
        <f aca="false">IF(J81="","",MIN(1,J81+1.96*O81/100))</f>
        <v>0.508610750964148</v>
      </c>
      <c r="R81" s="32" t="str">
        <f aca="false">IF(L81="","",IF(ABS(L81)&lt;=O81,"Yes","No"))</f>
        <v>Yes</v>
      </c>
      <c r="S81" s="32" t="str">
        <f aca="false">IF(L81="","",IF(ABS(L81)&lt;=1.96*O81,"Yes","No"))</f>
        <v>Yes</v>
      </c>
      <c r="T81" s="54" t="n">
        <f aca="false">IF(D81="","",ROUND(SQRT(((D81+G81)*O81/100)^2+(J81*(D81+G81)*0.07067)^2),0))</f>
        <v>17</v>
      </c>
      <c r="U81" s="32"/>
    </row>
    <row r="82" customFormat="false" ht="15" hidden="false" customHeight="false" outlineLevel="0" collapsed="false">
      <c r="A82" s="32" t="s">
        <v>188</v>
      </c>
      <c r="B82" s="32" t="s">
        <v>216</v>
      </c>
      <c r="C82" s="32" t="s">
        <v>129</v>
      </c>
      <c r="D82" s="54" t="n">
        <v>227</v>
      </c>
      <c r="E82" s="54" t="n">
        <v>192</v>
      </c>
      <c r="F82" s="65" t="n">
        <f aca="false">IF(E82="","",D82-E82)</f>
        <v>35</v>
      </c>
      <c r="G82" s="54" t="n">
        <v>251</v>
      </c>
      <c r="H82" s="54" t="n">
        <v>253</v>
      </c>
      <c r="I82" s="65" t="n">
        <f aca="false">IF(H82="","",G82-H82)</f>
        <v>-2</v>
      </c>
      <c r="J82" s="55" t="n">
        <f aca="false">IF(OR(D82="",D82+G82=0),"",D82/(D82+G82))</f>
        <v>0.47489539748954</v>
      </c>
      <c r="K82" s="55" t="n">
        <f aca="false">IF(E82="","",E82/(E82+H82))</f>
        <v>0.431460674157303</v>
      </c>
      <c r="L82" s="66" t="n">
        <f aca="false">IF(OR(K82="",J82=""),"",(J82-K82)*100)</f>
        <v>4.34347233322364</v>
      </c>
      <c r="M82" s="36" t="n">
        <v>3.10792193660115</v>
      </c>
      <c r="N82" s="36" t="n">
        <v>1.82027350848151</v>
      </c>
      <c r="O82" s="36" t="n">
        <f aca="false">SQRT(M82^2+N82^2)</f>
        <v>3.60174602237391</v>
      </c>
      <c r="P82" s="55" t="n">
        <f aca="false">IF(J82="","",MAX(0,J82-1.96*O82/100))</f>
        <v>0.404301175451011</v>
      </c>
      <c r="Q82" s="55" t="n">
        <f aca="false">IF(J82="","",MIN(1,J82+1.96*O82/100))</f>
        <v>0.545489619528068</v>
      </c>
      <c r="R82" s="32" t="str">
        <f aca="false">IF(L82="","",IF(ABS(L82)&lt;=O82,"Yes","No"))</f>
        <v>No</v>
      </c>
      <c r="S82" s="32" t="str">
        <f aca="false">IF(L82="","",IF(ABS(L82)&lt;=1.96*O82,"Yes","No"))</f>
        <v>Yes</v>
      </c>
      <c r="T82" s="54" t="n">
        <f aca="false">IF(D82="","",ROUND(SQRT(((D82+G82)*O82/100)^2+(J82*(D82+G82)*0.07067)^2),0))</f>
        <v>24</v>
      </c>
      <c r="U82" s="32"/>
    </row>
    <row r="83" customFormat="false" ht="15" hidden="false" customHeight="false" outlineLevel="0" collapsed="false">
      <c r="A83" s="32" t="s">
        <v>188</v>
      </c>
      <c r="B83" s="32" t="s">
        <v>217</v>
      </c>
      <c r="C83" s="32" t="s">
        <v>129</v>
      </c>
      <c r="D83" s="54" t="n">
        <v>1010</v>
      </c>
      <c r="E83" s="54" t="n">
        <v>967</v>
      </c>
      <c r="F83" s="65" t="n">
        <f aca="false">IF(E83="","",D83-E83)</f>
        <v>43</v>
      </c>
      <c r="G83" s="54" t="n">
        <v>1927</v>
      </c>
      <c r="H83" s="54" t="n">
        <v>1709</v>
      </c>
      <c r="I83" s="65" t="n">
        <f aca="false">IF(H83="","",G83-H83)</f>
        <v>218</v>
      </c>
      <c r="J83" s="55" t="n">
        <f aca="false">IF(OR(D83="",D83+G83=0),"",D83/(D83+G83))</f>
        <v>0.343888321416411</v>
      </c>
      <c r="K83" s="55" t="n">
        <f aca="false">IF(E83="","",E83/(E83+H83))</f>
        <v>0.36136023916293</v>
      </c>
      <c r="L83" s="66" t="n">
        <f aca="false">IF(OR(K83="",J83=""),"",(J83-K83)*100)</f>
        <v>-1.74719177465185</v>
      </c>
      <c r="M83" s="36" t="n">
        <v>1.29919264864539</v>
      </c>
      <c r="N83" s="36" t="n">
        <v>1.82027350848151</v>
      </c>
      <c r="O83" s="36" t="n">
        <f aca="false">SQRT(M83^2+N83^2)</f>
        <v>2.23635801784371</v>
      </c>
      <c r="P83" s="55" t="n">
        <f aca="false">IF(J83="","",MAX(0,J83-1.96*O83/100))</f>
        <v>0.300055704266675</v>
      </c>
      <c r="Q83" s="55" t="n">
        <f aca="false">IF(J83="","",MIN(1,J83+1.96*O83/100))</f>
        <v>0.387720938566148</v>
      </c>
      <c r="R83" s="32" t="str">
        <f aca="false">IF(L83="","",IF(ABS(L83)&lt;=O83,"Yes","No"))</f>
        <v>Yes</v>
      </c>
      <c r="S83" s="32" t="str">
        <f aca="false">IF(L83="","",IF(ABS(L83)&lt;=1.96*O83,"Yes","No"))</f>
        <v>Yes</v>
      </c>
      <c r="T83" s="54" t="n">
        <f aca="false">IF(D83="","",ROUND(SQRT(((D83+G83)*O83/100)^2+(J83*(D83+G83)*0.04632)^2),0))</f>
        <v>81</v>
      </c>
      <c r="U83" s="32"/>
    </row>
    <row r="84" customFormat="false" ht="15" hidden="false" customHeight="false" outlineLevel="0" collapsed="false">
      <c r="A84" s="32" t="s">
        <v>188</v>
      </c>
      <c r="B84" s="32" t="s">
        <v>218</v>
      </c>
      <c r="C84" s="32" t="s">
        <v>129</v>
      </c>
      <c r="D84" s="54" t="n">
        <v>1441</v>
      </c>
      <c r="E84" s="54" t="n">
        <v>1261</v>
      </c>
      <c r="F84" s="65" t="n">
        <f aca="false">IF(E84="","",D84-E84)</f>
        <v>180</v>
      </c>
      <c r="G84" s="54" t="n">
        <v>1423</v>
      </c>
      <c r="H84" s="54" t="n">
        <v>1262</v>
      </c>
      <c r="I84" s="65" t="n">
        <f aca="false">IF(H84="","",G84-H84)</f>
        <v>161</v>
      </c>
      <c r="J84" s="55" t="n">
        <f aca="false">IF(OR(D84="",D84+G84=0),"",D84/(D84+G84))</f>
        <v>0.503142458100559</v>
      </c>
      <c r="K84" s="55" t="n">
        <f aca="false">IF(E84="","",E84/(E84+H84))</f>
        <v>0.499801823226318</v>
      </c>
      <c r="L84" s="66" t="n">
        <f aca="false">IF(OR(K84="",J84=""),"",(J84-K84)*100)</f>
        <v>0.33406348742408</v>
      </c>
      <c r="M84" s="36" t="n">
        <v>1.29919264864539</v>
      </c>
      <c r="N84" s="36" t="n">
        <v>1.82027350848151</v>
      </c>
      <c r="O84" s="36" t="n">
        <f aca="false">SQRT(M84^2+N84^2)</f>
        <v>2.23635801784371</v>
      </c>
      <c r="P84" s="55" t="n">
        <f aca="false">IF(J84="","",MAX(0,J84-1.96*O84/100))</f>
        <v>0.459309840950822</v>
      </c>
      <c r="Q84" s="55" t="n">
        <f aca="false">IF(J84="","",MIN(1,J84+1.96*O84/100))</f>
        <v>0.546975075250295</v>
      </c>
      <c r="R84" s="32" t="str">
        <f aca="false">IF(L84="","",IF(ABS(L84)&lt;=O84,"Yes","No"))</f>
        <v>Yes</v>
      </c>
      <c r="S84" s="32" t="str">
        <f aca="false">IF(L84="","",IF(ABS(L84)&lt;=1.96*O84,"Yes","No"))</f>
        <v>Yes</v>
      </c>
      <c r="T84" s="54" t="n">
        <f aca="false">IF(D84="","",ROUND(SQRT(((D84+G84)*O84/100)^2+(J84*(D84+G84)*0.04632)^2),0))</f>
        <v>93</v>
      </c>
      <c r="U84" s="32"/>
    </row>
    <row r="85" customFormat="false" ht="15" hidden="false" customHeight="false" outlineLevel="0" collapsed="false">
      <c r="A85" s="32" t="s">
        <v>188</v>
      </c>
      <c r="B85" s="32" t="s">
        <v>219</v>
      </c>
      <c r="C85" s="32" t="s">
        <v>129</v>
      </c>
      <c r="D85" s="54" t="n">
        <v>284</v>
      </c>
      <c r="E85" s="54" t="n">
        <v>250</v>
      </c>
      <c r="F85" s="65" t="n">
        <f aca="false">IF(E85="","",D85-E85)</f>
        <v>34</v>
      </c>
      <c r="G85" s="54" t="n">
        <v>362</v>
      </c>
      <c r="H85" s="54" t="n">
        <v>344</v>
      </c>
      <c r="I85" s="65" t="n">
        <f aca="false">IF(H85="","",G85-H85)</f>
        <v>18</v>
      </c>
      <c r="J85" s="55" t="n">
        <f aca="false">IF(OR(D85="",D85+G85=0),"",D85/(D85+G85))</f>
        <v>0.439628482972136</v>
      </c>
      <c r="K85" s="55" t="n">
        <f aca="false">IF(E85="","",E85/(E85+H85))</f>
        <v>0.420875420875421</v>
      </c>
      <c r="L85" s="66" t="n">
        <f aca="false">IF(OR(K85="",J85=""),"",(J85-K85)*100)</f>
        <v>1.87530620967153</v>
      </c>
      <c r="M85" s="36" t="n">
        <v>3.10792193660115</v>
      </c>
      <c r="N85" s="36" t="n">
        <v>1.82027350848151</v>
      </c>
      <c r="O85" s="36" t="n">
        <f aca="false">SQRT(M85^2+N85^2)</f>
        <v>3.60174602237391</v>
      </c>
      <c r="P85" s="55" t="n">
        <f aca="false">IF(J85="","",MAX(0,J85-1.96*O85/100))</f>
        <v>0.369034260933608</v>
      </c>
      <c r="Q85" s="55" t="n">
        <f aca="false">IF(J85="","",MIN(1,J85+1.96*O85/100))</f>
        <v>0.510222705010665</v>
      </c>
      <c r="R85" s="32" t="str">
        <f aca="false">IF(L85="","",IF(ABS(L85)&lt;=O85,"Yes","No"))</f>
        <v>Yes</v>
      </c>
      <c r="S85" s="32" t="str">
        <f aca="false">IF(L85="","",IF(ABS(L85)&lt;=1.96*O85,"Yes","No"))</f>
        <v>Yes</v>
      </c>
      <c r="T85" s="54" t="n">
        <f aca="false">IF(D85="","",ROUND(SQRT(((D85+G85)*O85/100)^2+(J85*(D85+G85)*0.07067)^2),0))</f>
        <v>31</v>
      </c>
      <c r="U85" s="32"/>
    </row>
    <row r="86" customFormat="false" ht="15" hidden="false" customHeight="false" outlineLevel="0" collapsed="false">
      <c r="A86" s="32" t="s">
        <v>188</v>
      </c>
      <c r="B86" s="32" t="s">
        <v>180</v>
      </c>
      <c r="C86" s="32" t="s">
        <v>129</v>
      </c>
      <c r="D86" s="54" t="n">
        <v>809</v>
      </c>
      <c r="E86" s="54" t="n">
        <v>724</v>
      </c>
      <c r="F86" s="65" t="n">
        <f aca="false">IF(E86="","",D86-E86)</f>
        <v>85</v>
      </c>
      <c r="G86" s="54" t="n">
        <v>1358</v>
      </c>
      <c r="H86" s="54" t="n">
        <v>1138</v>
      </c>
      <c r="I86" s="65" t="n">
        <f aca="false">IF(H86="","",G86-H86)</f>
        <v>220</v>
      </c>
      <c r="J86" s="55" t="n">
        <f aca="false">IF(OR(D86="",D86+G86=0),"",D86/(D86+G86))</f>
        <v>0.373327180433779</v>
      </c>
      <c r="K86" s="55" t="n">
        <f aca="false">IF(E86="","",E86/(E86+H86))</f>
        <v>0.388829215896885</v>
      </c>
      <c r="L86" s="66" t="n">
        <f aca="false">IF(OR(K86="",J86=""),"",(J86-K86)*100)</f>
        <v>-1.55020354631056</v>
      </c>
      <c r="M86" s="36" t="n">
        <v>2.06728657077428</v>
      </c>
      <c r="N86" s="36" t="n">
        <v>1.82027350848151</v>
      </c>
      <c r="O86" s="36" t="n">
        <f aca="false">SQRT(M86^2+N86^2)</f>
        <v>2.75446354330263</v>
      </c>
      <c r="P86" s="55" t="n">
        <f aca="false">IF(J86="","",MAX(0,J86-1.96*O86/100))</f>
        <v>0.319339694985048</v>
      </c>
      <c r="Q86" s="55" t="n">
        <f aca="false">IF(J86="","",MIN(1,J86+1.96*O86/100))</f>
        <v>0.427314665882511</v>
      </c>
      <c r="R86" s="32" t="str">
        <f aca="false">IF(L86="","",IF(ABS(L86)&lt;=O86,"Yes","No"))</f>
        <v>Yes</v>
      </c>
      <c r="S86" s="32" t="str">
        <f aca="false">IF(L86="","",IF(ABS(L86)&lt;=1.96*O86,"Yes","No"))</f>
        <v>Yes</v>
      </c>
      <c r="T86" s="54" t="n">
        <f aca="false">IF(D86="","",ROUND(SQRT(((D86+G86)*O86/100)^2+(J86*(D86+G86)*0.05402)^2),0))</f>
        <v>74</v>
      </c>
      <c r="U86" s="32"/>
    </row>
    <row r="87" customFormat="false" ht="15" hidden="false" customHeight="false" outlineLevel="0" collapsed="false">
      <c r="A87" s="32" t="s">
        <v>188</v>
      </c>
      <c r="B87" s="32" t="s">
        <v>220</v>
      </c>
      <c r="C87" s="32" t="s">
        <v>129</v>
      </c>
      <c r="D87" s="54" t="n">
        <v>205</v>
      </c>
      <c r="E87" s="54" t="n">
        <v>190</v>
      </c>
      <c r="F87" s="65" t="n">
        <f aca="false">IF(E87="","",D87-E87)</f>
        <v>15</v>
      </c>
      <c r="G87" s="54" t="n">
        <v>195</v>
      </c>
      <c r="H87" s="54" t="n">
        <v>165</v>
      </c>
      <c r="I87" s="65" t="n">
        <f aca="false">IF(H87="","",G87-H87)</f>
        <v>30</v>
      </c>
      <c r="J87" s="55" t="n">
        <f aca="false">IF(OR(D87="",D87+G87=0),"",D87/(D87+G87))</f>
        <v>0.5125</v>
      </c>
      <c r="K87" s="55" t="n">
        <f aca="false">IF(E87="","",E87/(E87+H87))</f>
        <v>0.535211267605634</v>
      </c>
      <c r="L87" s="66" t="n">
        <f aca="false">IF(OR(K87="",J87=""),"",(J87-K87)*100)</f>
        <v>-2.27112676056338</v>
      </c>
      <c r="M87" s="36" t="n">
        <v>3.10792193660115</v>
      </c>
      <c r="N87" s="36" t="n">
        <v>1.82027350848151</v>
      </c>
      <c r="O87" s="36" t="n">
        <f aca="false">SQRT(M87^2+N87^2)</f>
        <v>3.60174602237391</v>
      </c>
      <c r="P87" s="55" t="n">
        <f aca="false">IF(J87="","",MAX(0,J87-1.96*O87/100))</f>
        <v>0.441905777961471</v>
      </c>
      <c r="Q87" s="55" t="n">
        <f aca="false">IF(J87="","",MIN(1,J87+1.96*O87/100))</f>
        <v>0.583094222038529</v>
      </c>
      <c r="R87" s="32" t="str">
        <f aca="false">IF(L87="","",IF(ABS(L87)&lt;=O87,"Yes","No"))</f>
        <v>Yes</v>
      </c>
      <c r="S87" s="32" t="str">
        <f aca="false">IF(L87="","",IF(ABS(L87)&lt;=1.96*O87,"Yes","No"))</f>
        <v>Yes</v>
      </c>
      <c r="T87" s="54" t="n">
        <f aca="false">IF(D87="","",ROUND(SQRT(((D87+G87)*O87/100)^2+(J87*(D87+G87)*0.07067)^2),0))</f>
        <v>20</v>
      </c>
      <c r="U87" s="32"/>
    </row>
    <row r="88" customFormat="false" ht="15" hidden="false" customHeight="false" outlineLevel="0" collapsed="false">
      <c r="A88" s="32" t="s">
        <v>188</v>
      </c>
      <c r="B88" s="32" t="s">
        <v>221</v>
      </c>
      <c r="C88" s="32" t="s">
        <v>129</v>
      </c>
      <c r="D88" s="54" t="n">
        <v>1289</v>
      </c>
      <c r="E88" s="54" t="n">
        <v>1296</v>
      </c>
      <c r="F88" s="65" t="n">
        <f aca="false">IF(E88="","",D88-E88)</f>
        <v>-7</v>
      </c>
      <c r="G88" s="54" t="n">
        <v>1787</v>
      </c>
      <c r="H88" s="54" t="n">
        <v>1534</v>
      </c>
      <c r="I88" s="65" t="n">
        <f aca="false">IF(H88="","",G88-H88)</f>
        <v>253</v>
      </c>
      <c r="J88" s="55" t="n">
        <f aca="false">IF(OR(D88="",D88+G88=0),"",D88/(D88+G88))</f>
        <v>0.419050715214564</v>
      </c>
      <c r="K88" s="55" t="n">
        <f aca="false">IF(E88="","",E88/(E88+H88))</f>
        <v>0.457950530035336</v>
      </c>
      <c r="L88" s="66" t="n">
        <f aca="false">IF(OR(K88="",J88=""),"",(J88-K88)*100)</f>
        <v>-3.88998148207713</v>
      </c>
      <c r="M88" s="36" t="n">
        <v>1.29919264864539</v>
      </c>
      <c r="N88" s="36" t="n">
        <v>1.82027350848151</v>
      </c>
      <c r="O88" s="36" t="n">
        <f aca="false">SQRT(M88^2+N88^2)</f>
        <v>2.23635801784371</v>
      </c>
      <c r="P88" s="55" t="n">
        <f aca="false">IF(J88="","",MAX(0,J88-1.96*O88/100))</f>
        <v>0.375218098064828</v>
      </c>
      <c r="Q88" s="55" t="n">
        <f aca="false">IF(J88="","",MIN(1,J88+1.96*O88/100))</f>
        <v>0.462883332364301</v>
      </c>
      <c r="R88" s="32" t="str">
        <f aca="false">IF(L88="","",IF(ABS(L88)&lt;=O88,"Yes","No"))</f>
        <v>No</v>
      </c>
      <c r="S88" s="32" t="str">
        <f aca="false">IF(L88="","",IF(ABS(L88)&lt;=1.96*O88,"Yes","No"))</f>
        <v>Yes</v>
      </c>
      <c r="T88" s="54" t="n">
        <f aca="false">IF(D88="","",ROUND(SQRT(((D88+G88)*O88/100)^2+(J88*(D88+G88)*0.04632)^2),0))</f>
        <v>91</v>
      </c>
      <c r="U88" s="32"/>
    </row>
    <row r="89" customFormat="false" ht="15" hidden="false" customHeight="false" outlineLevel="0" collapsed="false">
      <c r="A89" s="32" t="s">
        <v>188</v>
      </c>
      <c r="B89" s="32" t="s">
        <v>222</v>
      </c>
      <c r="C89" s="32" t="s">
        <v>129</v>
      </c>
      <c r="D89" s="54" t="n">
        <v>1338</v>
      </c>
      <c r="E89" s="54" t="n">
        <v>1247</v>
      </c>
      <c r="F89" s="65" t="n">
        <f aca="false">IF(E89="","",D89-E89)</f>
        <v>91</v>
      </c>
      <c r="G89" s="54" t="n">
        <v>879</v>
      </c>
      <c r="H89" s="54" t="n">
        <v>810</v>
      </c>
      <c r="I89" s="65" t="n">
        <f aca="false">IF(H89="","",G89-H89)</f>
        <v>69</v>
      </c>
      <c r="J89" s="55" t="n">
        <f aca="false">IF(OR(D89="",D89+G89=0),"",D89/(D89+G89))</f>
        <v>0.603518267929635</v>
      </c>
      <c r="K89" s="55" t="n">
        <f aca="false">IF(E89="","",E89/(E89+H89))</f>
        <v>0.606222654350997</v>
      </c>
      <c r="L89" s="66" t="n">
        <f aca="false">IF(OR(K89="",J89=""),"",(J89-K89)*100)</f>
        <v>-0.270438642136206</v>
      </c>
      <c r="M89" s="36" t="n">
        <v>2.06728657077428</v>
      </c>
      <c r="N89" s="36" t="n">
        <v>1.82027350848151</v>
      </c>
      <c r="O89" s="36" t="n">
        <f aca="false">SQRT(M89^2+N89^2)</f>
        <v>2.75446354330263</v>
      </c>
      <c r="P89" s="55" t="n">
        <f aca="false">IF(J89="","",MAX(0,J89-1.96*O89/100))</f>
        <v>0.549530782480903</v>
      </c>
      <c r="Q89" s="55" t="n">
        <f aca="false">IF(J89="","",MIN(1,J89+1.96*O89/100))</f>
        <v>0.657505753378366</v>
      </c>
      <c r="R89" s="32" t="str">
        <f aca="false">IF(L89="","",IF(ABS(L89)&lt;=O89,"Yes","No"))</f>
        <v>Yes</v>
      </c>
      <c r="S89" s="32" t="str">
        <f aca="false">IF(L89="","",IF(ABS(L89)&lt;=1.96*O89,"Yes","No"))</f>
        <v>Yes</v>
      </c>
      <c r="T89" s="54" t="n">
        <f aca="false">IF(D89="","",ROUND(SQRT(((D89+G89)*O89/100)^2+(J89*(D89+G89)*0.05402)^2),0))</f>
        <v>95</v>
      </c>
      <c r="U89" s="32"/>
    </row>
    <row r="90" customFormat="false" ht="15" hidden="false" customHeight="false" outlineLevel="0" collapsed="false">
      <c r="A90" s="32" t="s">
        <v>188</v>
      </c>
      <c r="B90" s="32" t="s">
        <v>223</v>
      </c>
      <c r="C90" s="32" t="s">
        <v>129</v>
      </c>
      <c r="D90" s="54" t="n">
        <v>435</v>
      </c>
      <c r="E90" s="54" t="n">
        <v>362</v>
      </c>
      <c r="F90" s="65" t="n">
        <f aca="false">IF(E90="","",D90-E90)</f>
        <v>73</v>
      </c>
      <c r="G90" s="54" t="n">
        <v>469</v>
      </c>
      <c r="H90" s="54" t="n">
        <v>437</v>
      </c>
      <c r="I90" s="65" t="n">
        <f aca="false">IF(H90="","",G90-H90)</f>
        <v>32</v>
      </c>
      <c r="J90" s="55" t="n">
        <f aca="false">IF(OR(D90="",D90+G90=0),"",D90/(D90+G90))</f>
        <v>0.481194690265487</v>
      </c>
      <c r="K90" s="55" t="n">
        <f aca="false">IF(E90="","",E90/(E90+H90))</f>
        <v>0.453066332916145</v>
      </c>
      <c r="L90" s="66" t="n">
        <f aca="false">IF(OR(K90="",J90=""),"",(J90-K90)*100)</f>
        <v>2.81283573493416</v>
      </c>
      <c r="M90" s="36" t="n">
        <v>3.10792193660115</v>
      </c>
      <c r="N90" s="36" t="n">
        <v>1.82027350848151</v>
      </c>
      <c r="O90" s="36" t="n">
        <f aca="false">SQRT(M90^2+N90^2)</f>
        <v>3.60174602237391</v>
      </c>
      <c r="P90" s="55" t="n">
        <f aca="false">IF(J90="","",MAX(0,J90-1.96*O90/100))</f>
        <v>0.410600468226958</v>
      </c>
      <c r="Q90" s="55" t="n">
        <f aca="false">IF(J90="","",MIN(1,J90+1.96*O90/100))</f>
        <v>0.551788912304015</v>
      </c>
      <c r="R90" s="32" t="str">
        <f aca="false">IF(L90="","",IF(ABS(L90)&lt;=O90,"Yes","No"))</f>
        <v>Yes</v>
      </c>
      <c r="S90" s="32" t="str">
        <f aca="false">IF(L90="","",IF(ABS(L90)&lt;=1.96*O90,"Yes","No"))</f>
        <v>Yes</v>
      </c>
      <c r="T90" s="54" t="n">
        <f aca="false">IF(D90="","",ROUND(SQRT(((D90+G90)*O90/100)^2+(J90*(D90+G90)*0.07067)^2),0))</f>
        <v>45</v>
      </c>
      <c r="U90" s="32"/>
    </row>
    <row r="92" customFormat="false" ht="15" hidden="false" customHeight="false" outlineLevel="0" collapsed="false">
      <c r="A92" s="20" t="s">
        <v>351</v>
      </c>
      <c r="B92" s="67"/>
      <c r="C92" s="67"/>
      <c r="D92" s="68" t="n">
        <f aca="false">SUMIF(E2:E90,"&lt;&gt;",D2:D90)</f>
        <v>143809</v>
      </c>
      <c r="E92" s="68" t="n">
        <f aca="false">SUM(E2:E90)</f>
        <v>139992</v>
      </c>
      <c r="F92" s="69" t="n">
        <f aca="false">D92-E92</f>
        <v>3817</v>
      </c>
      <c r="G92" s="68" t="n">
        <f aca="false">SUMIF(H2:H90,"&lt;&gt;",G2:G90)</f>
        <v>134946</v>
      </c>
      <c r="H92" s="68" t="n">
        <f aca="false">SUM(H2:H90)</f>
        <v>122296</v>
      </c>
      <c r="I92" s="69" t="n">
        <f aca="false">G92-H92</f>
        <v>12650</v>
      </c>
      <c r="J92" s="70" t="n">
        <f aca="false">D92/(D92+G92)</f>
        <v>0.515897472691073</v>
      </c>
      <c r="K92" s="70" t="n">
        <f aca="false">E92/(E92+H92)</f>
        <v>0.533733910815592</v>
      </c>
      <c r="L92" s="71" t="n">
        <f aca="false">(J92-K92)*100</f>
        <v>-1.78364381245193</v>
      </c>
      <c r="M92" s="72" t="n">
        <v>0</v>
      </c>
      <c r="N92" s="72" t="n">
        <v>1.82027350848151</v>
      </c>
      <c r="O92" s="72" t="n">
        <f aca="false">SQRT(M92^2+N92^2)</f>
        <v>1.82027350848151</v>
      </c>
      <c r="P92" s="70" t="n">
        <f aca="false">J92-1.96*O92/100</f>
        <v>0.480220111924835</v>
      </c>
      <c r="Q92" s="70" t="n">
        <f aca="false">J92+1.96*O92/100</f>
        <v>0.551574833457311</v>
      </c>
      <c r="R92" s="67" t="str">
        <f aca="false">IF(ABS(L92)&lt;=O92,"Yes","No")</f>
        <v>Yes</v>
      </c>
      <c r="S92" s="67" t="str">
        <f aca="false">IF(ABS(L92)&lt;=1.96*O92,"Yes","No")</f>
        <v>Yes</v>
      </c>
      <c r="T92" s="68" t="n">
        <f aca="false">ROUND(SQRT(((D92+G92)*O92/100)^2+(J92*(D92+G92)*0.035)^2),0)</f>
        <v>7147</v>
      </c>
    </row>
    <row r="93" customFormat="false" ht="15" hidden="false" customHeight="false" outlineLevel="0" collapsed="false">
      <c r="A93" s="20" t="s">
        <v>352</v>
      </c>
      <c r="B93" s="67"/>
      <c r="C93" s="67"/>
      <c r="D93" s="68" t="n">
        <f aca="false">SUM(D2:D90)</f>
        <v>143809</v>
      </c>
      <c r="E93" s="68"/>
      <c r="F93" s="69"/>
      <c r="G93" s="68" t="n">
        <f aca="false">SUM(G2:G90)</f>
        <v>134946</v>
      </c>
      <c r="H93" s="68"/>
      <c r="I93" s="69"/>
      <c r="J93" s="70" t="n">
        <f aca="false">D93/(D93+G93)</f>
        <v>0.515897472691073</v>
      </c>
      <c r="K93" s="70"/>
      <c r="L93" s="71"/>
      <c r="M93" s="72"/>
      <c r="N93" s="72"/>
      <c r="O93" s="72"/>
      <c r="P93" s="70"/>
      <c r="Q93" s="70"/>
      <c r="R93" s="67"/>
      <c r="S93" s="67"/>
      <c r="T93" s="68"/>
    </row>
    <row r="95" customFormat="false" ht="15" hidden="false" customHeight="false" outlineLevel="0" collapsed="false">
      <c r="A95" s="2" t="s">
        <v>353</v>
      </c>
      <c r="F95" s="73" t="n">
        <f aca="false">(SUMIF(F2:F90,"&gt;0")-SUMIF(F2:F90,"&lt;0"))/COUNT(F2:F90)</f>
        <v>102.078651685393</v>
      </c>
    </row>
    <row r="96" customFormat="false" ht="15" hidden="false" customHeight="false" outlineLevel="0" collapsed="false">
      <c r="A96" s="2" t="s">
        <v>354</v>
      </c>
      <c r="F96" s="73" t="n">
        <f aca="false">(SUMIF(I2:I90,"&gt;0")-SUMIF(I2:I90,"&lt;0"))/COUNT(I2:I90)</f>
        <v>151.820224719101</v>
      </c>
    </row>
    <row r="97" customFormat="false" ht="15" hidden="false" customHeight="false" outlineLevel="0" collapsed="false">
      <c r="A97" s="2" t="s">
        <v>355</v>
      </c>
      <c r="F97" s="74" t="n">
        <f aca="false">(SUMIF(L2:L90,"&gt;0")-SUMIF(L2:L90,"&lt;0"))/COUNT(L2:L90)</f>
        <v>2.6029682609139</v>
      </c>
    </row>
    <row r="98" customFormat="false" ht="15" hidden="false" customHeight="false" outlineLevel="0" collapsed="false">
      <c r="A98" s="5" t="s">
        <v>356</v>
      </c>
      <c r="F98" s="75" t="n">
        <f aca="false">SQRT(SUMSQ(L2:L90)/COUNT(L2:L90))</f>
        <v>3.46627065926759</v>
      </c>
    </row>
    <row r="99" customFormat="false" ht="15" hidden="false" customHeight="false" outlineLevel="0" collapsed="false">
      <c r="A99" s="5" t="s">
        <v>357</v>
      </c>
      <c r="F99" s="76" t="n">
        <f aca="false">L92</f>
        <v>-1.78364381245193</v>
      </c>
    </row>
    <row r="100" customFormat="false" ht="15" hidden="false" customHeight="false" outlineLevel="0" collapsed="false">
      <c r="A100" s="5" t="s">
        <v>358</v>
      </c>
      <c r="F100" s="75" t="n">
        <f aca="false">SQRT((SUMSQ(L2:L90)-2*L92*SUM(L2:L90)+COUNT(L2:L90)*L92^2)/COUNT(L2:L90))</f>
        <v>3.25108114380113</v>
      </c>
    </row>
    <row r="101" customFormat="false" ht="15" hidden="false" customHeight="false" outlineLevel="0" collapsed="false">
      <c r="A101" s="2" t="s">
        <v>359</v>
      </c>
      <c r="F101" s="77" t="n">
        <f aca="false">D92/E92-1</f>
        <v>0.0272658437625006</v>
      </c>
    </row>
    <row r="102" customFormat="false" ht="15" hidden="false" customHeight="false" outlineLevel="0" collapsed="false">
      <c r="A102" s="5" t="s">
        <v>360</v>
      </c>
      <c r="F102" s="78" t="n">
        <f aca="false">G92/H92-1</f>
        <v>0.103437561326617</v>
      </c>
    </row>
    <row r="103" customFormat="false" ht="15" hidden="false" customHeight="false" outlineLevel="0" collapsed="false">
      <c r="A103" s="2" t="s">
        <v>361</v>
      </c>
      <c r="F103" s="77" t="n">
        <f aca="false">(D92+G92)/(E92+H92)-1</f>
        <v>0.0627821326175806</v>
      </c>
    </row>
    <row r="104" customFormat="false" ht="15" hidden="false" customHeight="false" outlineLevel="0" collapsed="false">
      <c r="A104" s="2" t="s">
        <v>362</v>
      </c>
      <c r="F104" s="74" t="n">
        <f aca="false">AVERAGE(O2:O90)</f>
        <v>2.86542206699219</v>
      </c>
    </row>
    <row r="105" customFormat="false" ht="15" hidden="false" customHeight="false" outlineLevel="0" collapsed="false">
      <c r="A105" s="5" t="s">
        <v>363</v>
      </c>
      <c r="F105" s="79" t="n">
        <f aca="false">COUNTIF(R2:R90,"Yes")/(COUNTIF(R2:R90,"Yes")+COUNTIF(R2:R90,"No"))</f>
        <v>0.674157303370787</v>
      </c>
    </row>
    <row r="106" customFormat="false" ht="15" hidden="false" customHeight="false" outlineLevel="0" collapsed="false">
      <c r="A106" s="5" t="s">
        <v>364</v>
      </c>
      <c r="F106" s="79" t="n">
        <f aca="false">COUNTIF(S2:S90,"Yes")/(COUNTIF(S2:S90,"Yes")+COUNTIF(S2:S90,"No"))</f>
        <v>0.898876404494382</v>
      </c>
    </row>
    <row r="107" customFormat="false" ht="15" hidden="false" customHeight="false" outlineLevel="0" collapsed="false">
      <c r="A107" s="2" t="s">
        <v>365</v>
      </c>
      <c r="F107" s="80" t="n">
        <f aca="false">COUNTIFS(L2:L90,"&gt;=-3",L2:L90,"&lt;=3")/COUNT(L2:L90)</f>
        <v>0.685393258426966</v>
      </c>
    </row>
    <row r="108" customFormat="false" ht="15" hidden="false" customHeight="false" outlineLevel="0" collapsed="false">
      <c r="A108" s="2" t="s">
        <v>409</v>
      </c>
      <c r="F108" s="81" t="n">
        <f aca="false">COUNT(E2:E90)</f>
        <v>89</v>
      </c>
    </row>
    <row r="109" customFormat="false" ht="15" hidden="false" customHeight="false" outlineLevel="0" collapsed="false">
      <c r="A109" s="2" t="s">
        <v>367</v>
      </c>
      <c r="F109" s="81" t="n">
        <f aca="false">COUNTA(A2:A90)</f>
        <v>89</v>
      </c>
    </row>
    <row r="111" customFormat="false" ht="15" hidden="false" customHeight="false" outlineLevel="0" collapsed="false">
      <c r="U111" s="5" t="s">
        <v>104</v>
      </c>
    </row>
    <row r="112" customFormat="false" ht="41.75" hidden="false" customHeight="false" outlineLevel="0" collapsed="false">
      <c r="U112" s="64" t="s">
        <v>410</v>
      </c>
    </row>
    <row r="113" customFormat="false" ht="41.75" hidden="false" customHeight="false" outlineLevel="0" collapsed="false">
      <c r="U113" s="64" t="s">
        <v>411</v>
      </c>
    </row>
    <row r="114" customFormat="false" ht="28.35" hidden="false" customHeight="false" outlineLevel="0" collapsed="false">
      <c r="U114" s="64" t="s">
        <v>418</v>
      </c>
    </row>
    <row r="115" customFormat="false" ht="28.35" hidden="false" customHeight="false" outlineLevel="0" collapsed="false">
      <c r="U115" s="64" t="s">
        <v>413</v>
      </c>
    </row>
    <row r="116" customFormat="false" ht="28.35" hidden="false" customHeight="false" outlineLevel="0" collapsed="false">
      <c r="U116" s="64" t="s">
        <v>414</v>
      </c>
    </row>
    <row r="117" customFormat="false" ht="28.35" hidden="false" customHeight="false" outlineLevel="0" collapsed="false">
      <c r="U117" s="64" t="s">
        <v>415</v>
      </c>
    </row>
    <row r="118" customFormat="false" ht="28.35" hidden="false" customHeight="false" outlineLevel="0" collapsed="false">
      <c r="U118" s="64" t="s">
        <v>374</v>
      </c>
    </row>
    <row r="119" customFormat="false" ht="41.75" hidden="false" customHeight="false" outlineLevel="0" collapsed="false">
      <c r="U119" s="64" t="s">
        <v>416</v>
      </c>
    </row>
    <row r="120" customFormat="false" ht="15" hidden="false" customHeight="false" outlineLevel="0" collapsed="false">
      <c r="U120" s="64" t="s">
        <v>417</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77</v>
      </c>
      <c r="B1" s="8" t="s">
        <v>78</v>
      </c>
      <c r="C1" s="8" t="s">
        <v>79</v>
      </c>
      <c r="D1" s="8" t="s">
        <v>334</v>
      </c>
      <c r="E1" s="8" t="s">
        <v>335</v>
      </c>
      <c r="F1" s="8" t="s">
        <v>336</v>
      </c>
      <c r="G1" s="8" t="s">
        <v>406</v>
      </c>
      <c r="H1" s="8" t="s">
        <v>338</v>
      </c>
      <c r="I1" s="8" t="s">
        <v>339</v>
      </c>
      <c r="J1" s="8" t="s">
        <v>340</v>
      </c>
      <c r="K1" s="8" t="s">
        <v>341</v>
      </c>
      <c r="L1" s="8" t="s">
        <v>342</v>
      </c>
      <c r="M1" s="8" t="s">
        <v>407</v>
      </c>
      <c r="N1" s="8" t="s">
        <v>408</v>
      </c>
      <c r="O1" s="8" t="s">
        <v>107</v>
      </c>
      <c r="P1" s="8" t="s">
        <v>345</v>
      </c>
      <c r="Q1" s="8" t="s">
        <v>346</v>
      </c>
      <c r="R1" s="8" t="s">
        <v>347</v>
      </c>
      <c r="S1" s="8" t="s">
        <v>348</v>
      </c>
      <c r="T1" s="8" t="s">
        <v>349</v>
      </c>
      <c r="U1" s="8" t="s">
        <v>350</v>
      </c>
    </row>
    <row r="2" customFormat="false" ht="15" hidden="false" customHeight="false" outlineLevel="0" collapsed="false">
      <c r="A2" s="32" t="s">
        <v>127</v>
      </c>
      <c r="B2" s="32" t="s">
        <v>128</v>
      </c>
      <c r="C2" s="32" t="s">
        <v>129</v>
      </c>
      <c r="D2" s="54" t="n">
        <v>177</v>
      </c>
      <c r="E2" s="54" t="n">
        <v>160</v>
      </c>
      <c r="F2" s="65" t="n">
        <f aca="false">IF(E2="","",D2-E2)</f>
        <v>17</v>
      </c>
      <c r="G2" s="54" t="n">
        <v>249</v>
      </c>
      <c r="H2" s="54" t="n">
        <v>221</v>
      </c>
      <c r="I2" s="65" t="n">
        <f aca="false">IF(H2="","",G2-H2)</f>
        <v>28</v>
      </c>
      <c r="J2" s="55" t="n">
        <f aca="false">IF(OR(D2="",D2+G2=0),"",D2/(D2+G2))</f>
        <v>0.415492957746479</v>
      </c>
      <c r="K2" s="55" t="n">
        <f aca="false">IF(E2="","",E2/(E2+H2))</f>
        <v>0.41994750656168</v>
      </c>
      <c r="L2" s="66" t="n">
        <f aca="false">IF(OR(K2="",J2=""),"",(J2-K2)*100)</f>
        <v>-0.445454881520091</v>
      </c>
      <c r="M2" s="36" t="n">
        <v>3.1224752494797</v>
      </c>
      <c r="N2" s="36" t="n">
        <v>1.82016957332208</v>
      </c>
      <c r="O2" s="36" t="n">
        <f aca="false">SQRT(M2^2+N2^2)</f>
        <v>3.61425911623126</v>
      </c>
      <c r="P2" s="55" t="n">
        <f aca="false">IF(J2="","",MAX(0,J2-1.96*O2/100))</f>
        <v>0.344653479068346</v>
      </c>
      <c r="Q2" s="55" t="n">
        <f aca="false">IF(J2="","",MIN(1,J2+1.96*O2/100))</f>
        <v>0.486332436424612</v>
      </c>
      <c r="R2" s="32" t="str">
        <f aca="false">IF(L2="","",IF(ABS(L2)&lt;=O2,"Yes","No"))</f>
        <v>Yes</v>
      </c>
      <c r="S2" s="32" t="str">
        <f aca="false">IF(L2="","",IF(ABS(L2)&lt;=1.96*O2,"Yes","No"))</f>
        <v>Yes</v>
      </c>
      <c r="T2" s="54" t="n">
        <f aca="false">IF(D2="","",ROUND(SQRT(((D2+G2)*O2/100)^2+(J2*(D2+G2)*0.07067)^2),0))</f>
        <v>20</v>
      </c>
      <c r="U2" s="32" t="s">
        <v>393</v>
      </c>
    </row>
    <row r="3" customFormat="false" ht="15" hidden="false" customHeight="false" outlineLevel="0" collapsed="false">
      <c r="A3" s="32" t="s">
        <v>127</v>
      </c>
      <c r="B3" s="32" t="s">
        <v>133</v>
      </c>
      <c r="C3" s="32" t="s">
        <v>129</v>
      </c>
      <c r="D3" s="54" t="n">
        <v>100</v>
      </c>
      <c r="E3" s="54" t="n">
        <v>95</v>
      </c>
      <c r="F3" s="65" t="n">
        <f aca="false">IF(E3="","",D3-E3)</f>
        <v>5</v>
      </c>
      <c r="G3" s="54" t="n">
        <v>224</v>
      </c>
      <c r="H3" s="54" t="n">
        <v>192</v>
      </c>
      <c r="I3" s="65" t="n">
        <f aca="false">IF(H3="","",G3-H3)</f>
        <v>32</v>
      </c>
      <c r="J3" s="55" t="n">
        <f aca="false">IF(OR(D3="",D3+G3=0),"",D3/(D3+G3))</f>
        <v>0.308641975308642</v>
      </c>
      <c r="K3" s="55" t="n">
        <f aca="false">IF(E3="","",E3/(E3+H3))</f>
        <v>0.331010452961673</v>
      </c>
      <c r="L3" s="66" t="n">
        <f aca="false">IF(OR(K3="",J3=""),"",(J3-K3)*100)</f>
        <v>-2.23684776530305</v>
      </c>
      <c r="M3" s="36" t="n">
        <v>3.1224752494797</v>
      </c>
      <c r="N3" s="36" t="n">
        <v>1.82016957332208</v>
      </c>
      <c r="O3" s="36" t="n">
        <f aca="false">SQRT(M3^2+N3^2)</f>
        <v>3.61425911623126</v>
      </c>
      <c r="P3" s="55" t="n">
        <f aca="false">IF(J3="","",MAX(0,J3-1.96*O3/100))</f>
        <v>0.237802496630509</v>
      </c>
      <c r="Q3" s="55" t="n">
        <f aca="false">IF(J3="","",MIN(1,J3+1.96*O3/100))</f>
        <v>0.379481453986775</v>
      </c>
      <c r="R3" s="32" t="str">
        <f aca="false">IF(L3="","",IF(ABS(L3)&lt;=O3,"Yes","No"))</f>
        <v>Yes</v>
      </c>
      <c r="S3" s="32" t="str">
        <f aca="false">IF(L3="","",IF(ABS(L3)&lt;=1.96*O3,"Yes","No"))</f>
        <v>Yes</v>
      </c>
      <c r="T3" s="54" t="n">
        <f aca="false">IF(D3="","",ROUND(SQRT(((D3+G3)*O3/100)^2+(J3*(D3+G3)*0.07067)^2),0))</f>
        <v>14</v>
      </c>
      <c r="U3" s="32" t="s">
        <v>393</v>
      </c>
    </row>
    <row r="4" customFormat="false" ht="15" hidden="false" customHeight="false" outlineLevel="0" collapsed="false">
      <c r="A4" s="32" t="s">
        <v>127</v>
      </c>
      <c r="B4" s="32" t="s">
        <v>134</v>
      </c>
      <c r="C4" s="32" t="s">
        <v>129</v>
      </c>
      <c r="D4" s="54" t="n">
        <v>102</v>
      </c>
      <c r="E4" s="54" t="n">
        <v>110</v>
      </c>
      <c r="F4" s="65" t="n">
        <f aca="false">IF(E4="","",D4-E4)</f>
        <v>-8</v>
      </c>
      <c r="G4" s="54" t="n">
        <v>243</v>
      </c>
      <c r="H4" s="54" t="n">
        <v>175</v>
      </c>
      <c r="I4" s="65" t="n">
        <f aca="false">IF(H4="","",G4-H4)</f>
        <v>68</v>
      </c>
      <c r="J4" s="55" t="n">
        <f aca="false">IF(OR(D4="",D4+G4=0),"",D4/(D4+G4))</f>
        <v>0.295652173913044</v>
      </c>
      <c r="K4" s="55" t="n">
        <f aca="false">IF(E4="","",E4/(E4+H4))</f>
        <v>0.385964912280702</v>
      </c>
      <c r="L4" s="66" t="n">
        <f aca="false">IF(OR(K4="",J4=""),"",(J4-K4)*100)</f>
        <v>-9.03127383676582</v>
      </c>
      <c r="M4" s="36" t="n">
        <v>3.1224752494797</v>
      </c>
      <c r="N4" s="36" t="n">
        <v>1.82016957332208</v>
      </c>
      <c r="O4" s="36" t="n">
        <f aca="false">SQRT(M4^2+N4^2)</f>
        <v>3.61425911623126</v>
      </c>
      <c r="P4" s="55" t="n">
        <f aca="false">IF(J4="","",MAX(0,J4-1.96*O4/100))</f>
        <v>0.224812695234911</v>
      </c>
      <c r="Q4" s="55" t="n">
        <f aca="false">IF(J4="","",MIN(1,J4+1.96*O4/100))</f>
        <v>0.366491652591176</v>
      </c>
      <c r="R4" s="32" t="str">
        <f aca="false">IF(L4="","",IF(ABS(L4)&lt;=O4,"Yes","No"))</f>
        <v>No</v>
      </c>
      <c r="S4" s="32" t="str">
        <f aca="false">IF(L4="","",IF(ABS(L4)&lt;=1.96*O4,"Yes","No"))</f>
        <v>No</v>
      </c>
      <c r="T4" s="54" t="n">
        <f aca="false">IF(D4="","",ROUND(SQRT(((D4+G4)*O4/100)^2+(J4*(D4+G4)*0.07067)^2),0))</f>
        <v>14</v>
      </c>
      <c r="U4" s="32" t="s">
        <v>393</v>
      </c>
    </row>
    <row r="5" customFormat="false" ht="15" hidden="false" customHeight="false" outlineLevel="0" collapsed="false">
      <c r="A5" s="32" t="s">
        <v>127</v>
      </c>
      <c r="B5" s="32" t="s">
        <v>135</v>
      </c>
      <c r="C5" s="32" t="s">
        <v>129</v>
      </c>
      <c r="D5" s="54" t="n">
        <v>351</v>
      </c>
      <c r="E5" s="54" t="n">
        <v>369</v>
      </c>
      <c r="F5" s="65" t="n">
        <f aca="false">IF(E5="","",D5-E5)</f>
        <v>-18</v>
      </c>
      <c r="G5" s="54" t="n">
        <v>923</v>
      </c>
      <c r="H5" s="54" t="n">
        <v>742</v>
      </c>
      <c r="I5" s="65" t="n">
        <f aca="false">IF(H5="","",G5-H5)</f>
        <v>181</v>
      </c>
      <c r="J5" s="55" t="n">
        <f aca="false">IF(OR(D5="",D5+G5=0),"",D5/(D5+G5))</f>
        <v>0.275510204081633</v>
      </c>
      <c r="K5" s="55" t="n">
        <f aca="false">IF(E5="","",E5/(E5+H5))</f>
        <v>0.332133213321332</v>
      </c>
      <c r="L5" s="66" t="n">
        <f aca="false">IF(OR(K5="",J5=""),"",(J5-K5)*100)</f>
        <v>-5.66230092396995</v>
      </c>
      <c r="M5" s="36" t="n">
        <v>2.04119841836487</v>
      </c>
      <c r="N5" s="36" t="n">
        <v>1.82016957332208</v>
      </c>
      <c r="O5" s="36" t="n">
        <f aca="false">SQRT(M5^2+N5^2)</f>
        <v>2.73486896555991</v>
      </c>
      <c r="P5" s="55" t="n">
        <f aca="false">IF(J5="","",MAX(0,J5-1.96*O5/100))</f>
        <v>0.221906772356658</v>
      </c>
      <c r="Q5" s="55" t="n">
        <f aca="false">IF(J5="","",MIN(1,J5+1.96*O5/100))</f>
        <v>0.329113635806607</v>
      </c>
      <c r="R5" s="32" t="str">
        <f aca="false">IF(L5="","",IF(ABS(L5)&lt;=O5,"Yes","No"))</f>
        <v>No</v>
      </c>
      <c r="S5" s="32" t="str">
        <f aca="false">IF(L5="","",IF(ABS(L5)&lt;=1.96*O5,"Yes","No"))</f>
        <v>No</v>
      </c>
      <c r="T5" s="54" t="n">
        <f aca="false">IF(D5="","",ROUND(SQRT(((D5+G5)*O5/100)^2+(J5*(D5+G5)*0.05402)^2),0))</f>
        <v>40</v>
      </c>
      <c r="U5" s="32" t="s">
        <v>393</v>
      </c>
    </row>
    <row r="6" customFormat="false" ht="15" hidden="false" customHeight="false" outlineLevel="0" collapsed="false">
      <c r="A6" s="32" t="s">
        <v>127</v>
      </c>
      <c r="B6" s="32" t="s">
        <v>137</v>
      </c>
      <c r="C6" s="32" t="s">
        <v>129</v>
      </c>
      <c r="D6" s="54" t="n">
        <v>39</v>
      </c>
      <c r="E6" s="54" t="n">
        <v>34</v>
      </c>
      <c r="F6" s="65" t="n">
        <f aca="false">IF(E6="","",D6-E6)</f>
        <v>5</v>
      </c>
      <c r="G6" s="54" t="n">
        <v>57</v>
      </c>
      <c r="H6" s="54" t="n">
        <v>43</v>
      </c>
      <c r="I6" s="65" t="n">
        <f aca="false">IF(H6="","",G6-H6)</f>
        <v>14</v>
      </c>
      <c r="J6" s="55" t="n">
        <f aca="false">IF(OR(D6="",D6+G6=0),"",D6/(D6+G6))</f>
        <v>0.40625</v>
      </c>
      <c r="K6" s="55" t="n">
        <f aca="false">IF(E6="","",E6/(E6+H6))</f>
        <v>0.441558441558442</v>
      </c>
      <c r="L6" s="66" t="n">
        <f aca="false">IF(OR(K6="",J6=""),"",(J6-K6)*100)</f>
        <v>-3.53084415584415</v>
      </c>
      <c r="M6" s="36" t="n">
        <v>3.1224752494797</v>
      </c>
      <c r="N6" s="36" t="n">
        <v>1.82016957332208</v>
      </c>
      <c r="O6" s="36" t="n">
        <f aca="false">SQRT(M6^2+N6^2)</f>
        <v>3.61425911623126</v>
      </c>
      <c r="P6" s="55" t="n">
        <f aca="false">IF(J6="","",MAX(0,J6-1.96*O6/100))</f>
        <v>0.335410521321867</v>
      </c>
      <c r="Q6" s="55" t="n">
        <f aca="false">IF(J6="","",MIN(1,J6+1.96*O6/100))</f>
        <v>0.477089478678133</v>
      </c>
      <c r="R6" s="32" t="str">
        <f aca="false">IF(L6="","",IF(ABS(L6)&lt;=O6,"Yes","No"))</f>
        <v>Yes</v>
      </c>
      <c r="S6" s="32" t="str">
        <f aca="false">IF(L6="","",IF(ABS(L6)&lt;=1.96*O6,"Yes","No"))</f>
        <v>Yes</v>
      </c>
      <c r="T6" s="54" t="n">
        <f aca="false">IF(D6="","",ROUND(SQRT(((D6+G6)*O6/100)^2+(J6*(D6+G6)*0.07067)^2),0))</f>
        <v>4</v>
      </c>
      <c r="U6" s="32" t="s">
        <v>393</v>
      </c>
    </row>
    <row r="7" customFormat="false" ht="15" hidden="false" customHeight="false" outlineLevel="0" collapsed="false">
      <c r="A7" s="32" t="s">
        <v>127</v>
      </c>
      <c r="B7" s="32" t="s">
        <v>138</v>
      </c>
      <c r="C7" s="32" t="s">
        <v>129</v>
      </c>
      <c r="D7" s="54" t="n">
        <v>531</v>
      </c>
      <c r="E7" s="54" t="n">
        <v>536</v>
      </c>
      <c r="F7" s="65" t="n">
        <f aca="false">IF(E7="","",D7-E7)</f>
        <v>-5</v>
      </c>
      <c r="G7" s="54" t="n">
        <v>1347</v>
      </c>
      <c r="H7" s="54" t="n">
        <v>1122</v>
      </c>
      <c r="I7" s="65" t="n">
        <f aca="false">IF(H7="","",G7-H7)</f>
        <v>225</v>
      </c>
      <c r="J7" s="55" t="n">
        <f aca="false">IF(OR(D7="",D7+G7=0),"",D7/(D7+G7))</f>
        <v>0.282747603833866</v>
      </c>
      <c r="K7" s="55" t="n">
        <f aca="false">IF(E7="","",E7/(E7+H7))</f>
        <v>0.323281061519904</v>
      </c>
      <c r="L7" s="66" t="n">
        <f aca="false">IF(OR(K7="",J7=""),"",(J7-K7)*100)</f>
        <v>-4.05334576860377</v>
      </c>
      <c r="M7" s="36" t="n">
        <v>2.04119841836487</v>
      </c>
      <c r="N7" s="36" t="n">
        <v>1.82016957332208</v>
      </c>
      <c r="O7" s="36" t="n">
        <f aca="false">SQRT(M7^2+N7^2)</f>
        <v>2.73486896555991</v>
      </c>
      <c r="P7" s="55" t="n">
        <f aca="false">IF(J7="","",MAX(0,J7-1.96*O7/100))</f>
        <v>0.229144172108892</v>
      </c>
      <c r="Q7" s="55" t="n">
        <f aca="false">IF(J7="","",MIN(1,J7+1.96*O7/100))</f>
        <v>0.33635103555884</v>
      </c>
      <c r="R7" s="32" t="str">
        <f aca="false">IF(L7="","",IF(ABS(L7)&lt;=O7,"Yes","No"))</f>
        <v>No</v>
      </c>
      <c r="S7" s="32" t="str">
        <f aca="false">IF(L7="","",IF(ABS(L7)&lt;=1.96*O7,"Yes","No"))</f>
        <v>Yes</v>
      </c>
      <c r="T7" s="54" t="n">
        <f aca="false">IF(D7="","",ROUND(SQRT(((D7+G7)*O7/100)^2+(J7*(D7+G7)*0.05402)^2),0))</f>
        <v>59</v>
      </c>
      <c r="U7" s="32" t="s">
        <v>393</v>
      </c>
    </row>
    <row r="8" customFormat="false" ht="15" hidden="false" customHeight="false" outlineLevel="0" collapsed="false">
      <c r="A8" s="32" t="s">
        <v>127</v>
      </c>
      <c r="B8" s="32" t="s">
        <v>139</v>
      </c>
      <c r="C8" s="32" t="s">
        <v>129</v>
      </c>
      <c r="D8" s="54" t="n">
        <v>931</v>
      </c>
      <c r="E8" s="54" t="n">
        <v>912</v>
      </c>
      <c r="F8" s="65" t="n">
        <f aca="false">IF(E8="","",D8-E8)</f>
        <v>19</v>
      </c>
      <c r="G8" s="54" t="n">
        <v>1217</v>
      </c>
      <c r="H8" s="54" t="n">
        <v>949</v>
      </c>
      <c r="I8" s="65" t="n">
        <f aca="false">IF(H8="","",G8-H8)</f>
        <v>268</v>
      </c>
      <c r="J8" s="55" t="n">
        <f aca="false">IF(OR(D8="",D8+G8=0),"",D8/(D8+G8))</f>
        <v>0.43342644320298</v>
      </c>
      <c r="K8" s="55" t="n">
        <f aca="false">IF(E8="","",E8/(E8+H8))</f>
        <v>0.490059108006448</v>
      </c>
      <c r="L8" s="66" t="n">
        <f aca="false">IF(OR(K8="",J8=""),"",(J8-K8)*100)</f>
        <v>-5.66326648034686</v>
      </c>
      <c r="M8" s="36" t="n">
        <v>2.04119841836487</v>
      </c>
      <c r="N8" s="36" t="n">
        <v>1.82016957332208</v>
      </c>
      <c r="O8" s="36" t="n">
        <f aca="false">SQRT(M8^2+N8^2)</f>
        <v>2.73486896555991</v>
      </c>
      <c r="P8" s="55" t="n">
        <f aca="false">IF(J8="","",MAX(0,J8-1.96*O8/100))</f>
        <v>0.379823011478005</v>
      </c>
      <c r="Q8" s="55" t="n">
        <f aca="false">IF(J8="","",MIN(1,J8+1.96*O8/100))</f>
        <v>0.487029874927954</v>
      </c>
      <c r="R8" s="32" t="str">
        <f aca="false">IF(L8="","",IF(ABS(L8)&lt;=O8,"Yes","No"))</f>
        <v>No</v>
      </c>
      <c r="S8" s="32" t="str">
        <f aca="false">IF(L8="","",IF(ABS(L8)&lt;=1.96*O8,"Yes","No"))</f>
        <v>No</v>
      </c>
      <c r="T8" s="54" t="n">
        <f aca="false">IF(D8="","",ROUND(SQRT(((D8+G8)*O8/100)^2+(J8*(D8+G8)*0.05402)^2),0))</f>
        <v>77</v>
      </c>
      <c r="U8" s="32" t="s">
        <v>393</v>
      </c>
    </row>
    <row r="9" customFormat="false" ht="15" hidden="false" customHeight="false" outlineLevel="0" collapsed="false">
      <c r="A9" s="32" t="s">
        <v>127</v>
      </c>
      <c r="B9" s="32" t="s">
        <v>140</v>
      </c>
      <c r="C9" s="32" t="s">
        <v>129</v>
      </c>
      <c r="D9" s="54" t="n">
        <v>247</v>
      </c>
      <c r="E9" s="54" t="n">
        <v>267</v>
      </c>
      <c r="F9" s="65" t="n">
        <f aca="false">IF(E9="","",D9-E9)</f>
        <v>-20</v>
      </c>
      <c r="G9" s="54" t="n">
        <v>542</v>
      </c>
      <c r="H9" s="54" t="n">
        <v>495</v>
      </c>
      <c r="I9" s="65" t="n">
        <f aca="false">IF(H9="","",G9-H9)</f>
        <v>47</v>
      </c>
      <c r="J9" s="55" t="n">
        <f aca="false">IF(OR(D9="",D9+G9=0),"",D9/(D9+G9))</f>
        <v>0.313054499366286</v>
      </c>
      <c r="K9" s="55" t="n">
        <f aca="false">IF(E9="","",E9/(E9+H9))</f>
        <v>0.350393700787402</v>
      </c>
      <c r="L9" s="66" t="n">
        <f aca="false">IF(OR(K9="",J9=""),"",(J9-K9)*100)</f>
        <v>-3.73392014211151</v>
      </c>
      <c r="M9" s="36" t="n">
        <v>3.1224752494797</v>
      </c>
      <c r="N9" s="36" t="n">
        <v>1.82016957332208</v>
      </c>
      <c r="O9" s="36" t="n">
        <f aca="false">SQRT(M9^2+N9^2)</f>
        <v>3.61425911623126</v>
      </c>
      <c r="P9" s="55" t="n">
        <f aca="false">IF(J9="","",MAX(0,J9-1.96*O9/100))</f>
        <v>0.242215020688154</v>
      </c>
      <c r="Q9" s="55" t="n">
        <f aca="false">IF(J9="","",MIN(1,J9+1.96*O9/100))</f>
        <v>0.383893978044419</v>
      </c>
      <c r="R9" s="32" t="str">
        <f aca="false">IF(L9="","",IF(ABS(L9)&lt;=O9,"Yes","No"))</f>
        <v>No</v>
      </c>
      <c r="S9" s="32" t="str">
        <f aca="false">IF(L9="","",IF(ABS(L9)&lt;=1.96*O9,"Yes","No"))</f>
        <v>Yes</v>
      </c>
      <c r="T9" s="54" t="n">
        <f aca="false">IF(D9="","",ROUND(SQRT(((D9+G9)*O9/100)^2+(J9*(D9+G9)*0.07067)^2),0))</f>
        <v>33</v>
      </c>
      <c r="U9" s="32" t="s">
        <v>393</v>
      </c>
    </row>
    <row r="10" customFormat="false" ht="15" hidden="false" customHeight="false" outlineLevel="0" collapsed="false">
      <c r="A10" s="32" t="s">
        <v>127</v>
      </c>
      <c r="B10" s="32" t="s">
        <v>141</v>
      </c>
      <c r="C10" s="32" t="s">
        <v>129</v>
      </c>
      <c r="D10" s="54" t="n">
        <v>508</v>
      </c>
      <c r="E10" s="54" t="n">
        <v>455</v>
      </c>
      <c r="F10" s="65" t="n">
        <f aca="false">IF(E10="","",D10-E10)</f>
        <v>53</v>
      </c>
      <c r="G10" s="54" t="n">
        <v>504</v>
      </c>
      <c r="H10" s="54" t="n">
        <v>467</v>
      </c>
      <c r="I10" s="65" t="n">
        <f aca="false">IF(H10="","",G10-H10)</f>
        <v>37</v>
      </c>
      <c r="J10" s="55" t="n">
        <f aca="false">IF(OR(D10="",D10+G10=0),"",D10/(D10+G10))</f>
        <v>0.50197628458498</v>
      </c>
      <c r="K10" s="55" t="n">
        <f aca="false">IF(E10="","",E10/(E10+H10))</f>
        <v>0.493492407809111</v>
      </c>
      <c r="L10" s="66" t="n">
        <f aca="false">IF(OR(K10="",J10=""),"",(J10-K10)*100)</f>
        <v>0.848387677586959</v>
      </c>
      <c r="M10" s="36" t="n">
        <v>3.1224752494797</v>
      </c>
      <c r="N10" s="36" t="n">
        <v>1.82016957332208</v>
      </c>
      <c r="O10" s="36" t="n">
        <f aca="false">SQRT(M10^2+N10^2)</f>
        <v>3.61425911623126</v>
      </c>
      <c r="P10" s="55" t="n">
        <f aca="false">IF(J10="","",MAX(0,J10-1.96*O10/100))</f>
        <v>0.431136805906847</v>
      </c>
      <c r="Q10" s="55" t="n">
        <f aca="false">IF(J10="","",MIN(1,J10+1.96*O10/100))</f>
        <v>0.572815763263113</v>
      </c>
      <c r="R10" s="32" t="str">
        <f aca="false">IF(L10="","",IF(ABS(L10)&lt;=O10,"Yes","No"))</f>
        <v>Yes</v>
      </c>
      <c r="S10" s="32" t="str">
        <f aca="false">IF(L10="","",IF(ABS(L10)&lt;=1.96*O10,"Yes","No"))</f>
        <v>Yes</v>
      </c>
      <c r="T10" s="54" t="n">
        <f aca="false">IF(D10="","",ROUND(SQRT(((D10+G10)*O10/100)^2+(J10*(D10+G10)*0.07067)^2),0))</f>
        <v>51</v>
      </c>
      <c r="U10" s="32" t="s">
        <v>393</v>
      </c>
    </row>
    <row r="11" customFormat="false" ht="15" hidden="false" customHeight="false" outlineLevel="0" collapsed="false">
      <c r="A11" s="32" t="s">
        <v>127</v>
      </c>
      <c r="B11" s="32" t="s">
        <v>142</v>
      </c>
      <c r="C11" s="32" t="s">
        <v>129</v>
      </c>
      <c r="D11" s="54" t="n">
        <v>28</v>
      </c>
      <c r="E11" s="54" t="n">
        <v>29</v>
      </c>
      <c r="F11" s="65" t="n">
        <f aca="false">IF(E11="","",D11-E11)</f>
        <v>-1</v>
      </c>
      <c r="G11" s="54" t="n">
        <v>83</v>
      </c>
      <c r="H11" s="54" t="n">
        <v>59</v>
      </c>
      <c r="I11" s="65" t="n">
        <f aca="false">IF(H11="","",G11-H11)</f>
        <v>24</v>
      </c>
      <c r="J11" s="55" t="n">
        <f aca="false">IF(OR(D11="",D11+G11=0),"",D11/(D11+G11))</f>
        <v>0.252252252252252</v>
      </c>
      <c r="K11" s="55" t="n">
        <f aca="false">IF(E11="","",E11/(E11+H11))</f>
        <v>0.329545454545455</v>
      </c>
      <c r="L11" s="66" t="n">
        <f aca="false">IF(OR(K11="",J11=""),"",(J11-K11)*100)</f>
        <v>-7.72932022932023</v>
      </c>
      <c r="M11" s="36" t="n">
        <v>3.1224752494797</v>
      </c>
      <c r="N11" s="36" t="n">
        <v>1.82016957332208</v>
      </c>
      <c r="O11" s="36" t="n">
        <f aca="false">SQRT(M11^2+N11^2)</f>
        <v>3.61425911623126</v>
      </c>
      <c r="P11" s="55" t="n">
        <f aca="false">IF(J11="","",MAX(0,J11-1.96*O11/100))</f>
        <v>0.181412773574119</v>
      </c>
      <c r="Q11" s="55" t="n">
        <f aca="false">IF(J11="","",MIN(1,J11+1.96*O11/100))</f>
        <v>0.323091730930385</v>
      </c>
      <c r="R11" s="32" t="str">
        <f aca="false">IF(L11="","",IF(ABS(L11)&lt;=O11,"Yes","No"))</f>
        <v>No</v>
      </c>
      <c r="S11" s="32" t="str">
        <f aca="false">IF(L11="","",IF(ABS(L11)&lt;=1.96*O11,"Yes","No"))</f>
        <v>No</v>
      </c>
      <c r="T11" s="54" t="n">
        <f aca="false">IF(D11="","",ROUND(SQRT(((D11+G11)*O11/100)^2+(J11*(D11+G11)*0.07067)^2),0))</f>
        <v>4</v>
      </c>
      <c r="U11" s="32" t="s">
        <v>393</v>
      </c>
    </row>
    <row r="12" customFormat="false" ht="15" hidden="false" customHeight="false" outlineLevel="0" collapsed="false">
      <c r="A12" s="32" t="s">
        <v>127</v>
      </c>
      <c r="B12" s="32" t="s">
        <v>143</v>
      </c>
      <c r="C12" s="32" t="s">
        <v>129</v>
      </c>
      <c r="D12" s="54" t="n">
        <v>51</v>
      </c>
      <c r="E12" s="54" t="n">
        <v>41</v>
      </c>
      <c r="F12" s="65" t="n">
        <f aca="false">IF(E12="","",D12-E12)</f>
        <v>10</v>
      </c>
      <c r="G12" s="54" t="n">
        <v>196</v>
      </c>
      <c r="H12" s="54" t="n">
        <v>163</v>
      </c>
      <c r="I12" s="65" t="n">
        <f aca="false">IF(H12="","",G12-H12)</f>
        <v>33</v>
      </c>
      <c r="J12" s="55" t="n">
        <f aca="false">IF(OR(D12="",D12+G12=0),"",D12/(D12+G12))</f>
        <v>0.206477732793522</v>
      </c>
      <c r="K12" s="55" t="n">
        <f aca="false">IF(E12="","",E12/(E12+H12))</f>
        <v>0.200980392156863</v>
      </c>
      <c r="L12" s="66" t="n">
        <f aca="false">IF(OR(K12="",J12=""),"",(J12-K12)*100)</f>
        <v>0.549734063665952</v>
      </c>
      <c r="M12" s="36" t="n">
        <v>3.1224752494797</v>
      </c>
      <c r="N12" s="36" t="n">
        <v>1.82016957332208</v>
      </c>
      <c r="O12" s="36" t="n">
        <f aca="false">SQRT(M12^2+N12^2)</f>
        <v>3.61425911623126</v>
      </c>
      <c r="P12" s="55" t="n">
        <f aca="false">IF(J12="","",MAX(0,J12-1.96*O12/100))</f>
        <v>0.13563825411539</v>
      </c>
      <c r="Q12" s="55" t="n">
        <f aca="false">IF(J12="","",MIN(1,J12+1.96*O12/100))</f>
        <v>0.277317211471655</v>
      </c>
      <c r="R12" s="32" t="str">
        <f aca="false">IF(L12="","",IF(ABS(L12)&lt;=O12,"Yes","No"))</f>
        <v>Yes</v>
      </c>
      <c r="S12" s="32" t="str">
        <f aca="false">IF(L12="","",IF(ABS(L12)&lt;=1.96*O12,"Yes","No"))</f>
        <v>Yes</v>
      </c>
      <c r="T12" s="54" t="n">
        <f aca="false">IF(D12="","",ROUND(SQRT(((D12+G12)*O12/100)^2+(J12*(D12+G12)*0.07067)^2),0))</f>
        <v>10</v>
      </c>
      <c r="U12" s="32" t="s">
        <v>393</v>
      </c>
    </row>
    <row r="13" customFormat="false" ht="15" hidden="false" customHeight="false" outlineLevel="0" collapsed="false">
      <c r="A13" s="32" t="s">
        <v>127</v>
      </c>
      <c r="B13" s="32" t="s">
        <v>144</v>
      </c>
      <c r="C13" s="32" t="s">
        <v>129</v>
      </c>
      <c r="D13" s="54" t="n">
        <v>665</v>
      </c>
      <c r="E13" s="54" t="n">
        <v>668</v>
      </c>
      <c r="F13" s="65" t="n">
        <f aca="false">IF(E13="","",D13-E13)</f>
        <v>-3</v>
      </c>
      <c r="G13" s="54" t="n">
        <v>954</v>
      </c>
      <c r="H13" s="54" t="n">
        <v>766</v>
      </c>
      <c r="I13" s="65" t="n">
        <f aca="false">IF(H13="","",G13-H13)</f>
        <v>188</v>
      </c>
      <c r="J13" s="55" t="n">
        <f aca="false">IF(OR(D13="",D13+G13=0),"",D13/(D13+G13))</f>
        <v>0.410747374922792</v>
      </c>
      <c r="K13" s="55" t="n">
        <f aca="false">IF(E13="","",E13/(E13+H13))</f>
        <v>0.465829846582985</v>
      </c>
      <c r="L13" s="66" t="n">
        <f aca="false">IF(OR(K13="",J13=""),"",(J13-K13)*100)</f>
        <v>-5.50824716601928</v>
      </c>
      <c r="M13" s="36" t="n">
        <v>2.04119841836487</v>
      </c>
      <c r="N13" s="36" t="n">
        <v>1.82016957332208</v>
      </c>
      <c r="O13" s="36" t="n">
        <f aca="false">SQRT(M13^2+N13^2)</f>
        <v>2.73486896555991</v>
      </c>
      <c r="P13" s="55" t="n">
        <f aca="false">IF(J13="","",MAX(0,J13-1.96*O13/100))</f>
        <v>0.357143943197818</v>
      </c>
      <c r="Q13" s="55" t="n">
        <f aca="false">IF(J13="","",MIN(1,J13+1.96*O13/100))</f>
        <v>0.464350806647766</v>
      </c>
      <c r="R13" s="32" t="str">
        <f aca="false">IF(L13="","",IF(ABS(L13)&lt;=O13,"Yes","No"))</f>
        <v>No</v>
      </c>
      <c r="S13" s="32" t="str">
        <f aca="false">IF(L13="","",IF(ABS(L13)&lt;=1.96*O13,"Yes","No"))</f>
        <v>No</v>
      </c>
      <c r="T13" s="54" t="n">
        <f aca="false">IF(D13="","",ROUND(SQRT(((D13+G13)*O13/100)^2+(J13*(D13+G13)*0.05402)^2),0))</f>
        <v>57</v>
      </c>
      <c r="U13" s="32" t="s">
        <v>393</v>
      </c>
    </row>
    <row r="14" customFormat="false" ht="15" hidden="false" customHeight="false" outlineLevel="0" collapsed="false">
      <c r="A14" s="32" t="s">
        <v>127</v>
      </c>
      <c r="B14" s="32" t="s">
        <v>145</v>
      </c>
      <c r="C14" s="32" t="s">
        <v>129</v>
      </c>
      <c r="D14" s="54" t="n">
        <v>432</v>
      </c>
      <c r="E14" s="54" t="n">
        <v>402</v>
      </c>
      <c r="F14" s="65" t="n">
        <f aca="false">IF(E14="","",D14-E14)</f>
        <v>30</v>
      </c>
      <c r="G14" s="54" t="n">
        <v>835</v>
      </c>
      <c r="H14" s="54" t="n">
        <v>686</v>
      </c>
      <c r="I14" s="65" t="n">
        <f aca="false">IF(H14="","",G14-H14)</f>
        <v>149</v>
      </c>
      <c r="J14" s="55" t="n">
        <f aca="false">IF(OR(D14="",D14+G14=0),"",D14/(D14+G14))</f>
        <v>0.340962904498816</v>
      </c>
      <c r="K14" s="55" t="n">
        <f aca="false">IF(E14="","",E14/(E14+H14))</f>
        <v>0.369485294117647</v>
      </c>
      <c r="L14" s="66" t="n">
        <f aca="false">IF(OR(K14="",J14=""),"",(J14-K14)*100)</f>
        <v>-2.8522389618831</v>
      </c>
      <c r="M14" s="36" t="n">
        <v>2.04119841836487</v>
      </c>
      <c r="N14" s="36" t="n">
        <v>1.82016957332208</v>
      </c>
      <c r="O14" s="36" t="n">
        <f aca="false">SQRT(M14^2+N14^2)</f>
        <v>2.73486896555991</v>
      </c>
      <c r="P14" s="55" t="n">
        <f aca="false">IF(J14="","",MAX(0,J14-1.96*O14/100))</f>
        <v>0.287359472773842</v>
      </c>
      <c r="Q14" s="55" t="n">
        <f aca="false">IF(J14="","",MIN(1,J14+1.96*O14/100))</f>
        <v>0.39456633622379</v>
      </c>
      <c r="R14" s="32" t="str">
        <f aca="false">IF(L14="","",IF(ABS(L14)&lt;=O14,"Yes","No"))</f>
        <v>No</v>
      </c>
      <c r="S14" s="32" t="str">
        <f aca="false">IF(L14="","",IF(ABS(L14)&lt;=1.96*O14,"Yes","No"))</f>
        <v>Yes</v>
      </c>
      <c r="T14" s="54" t="n">
        <f aca="false">IF(D14="","",ROUND(SQRT(((D14+G14)*O14/100)^2+(J14*(D14+G14)*0.05402)^2),0))</f>
        <v>42</v>
      </c>
      <c r="U14" s="32" t="s">
        <v>393</v>
      </c>
    </row>
    <row r="15" customFormat="false" ht="15" hidden="false" customHeight="false" outlineLevel="0" collapsed="false">
      <c r="A15" s="32" t="s">
        <v>127</v>
      </c>
      <c r="B15" s="32" t="s">
        <v>146</v>
      </c>
      <c r="C15" s="32" t="s">
        <v>129</v>
      </c>
      <c r="D15" s="54" t="n">
        <v>464</v>
      </c>
      <c r="E15" s="54" t="n">
        <v>510</v>
      </c>
      <c r="F15" s="65" t="n">
        <f aca="false">IF(E15="","",D15-E15)</f>
        <v>-46</v>
      </c>
      <c r="G15" s="54" t="n">
        <v>1207</v>
      </c>
      <c r="H15" s="54" t="n">
        <v>960</v>
      </c>
      <c r="I15" s="65" t="n">
        <f aca="false">IF(H15="","",G15-H15)</f>
        <v>247</v>
      </c>
      <c r="J15" s="55" t="n">
        <f aca="false">IF(OR(D15="",D15+G15=0),"",D15/(D15+G15))</f>
        <v>0.277678037103531</v>
      </c>
      <c r="K15" s="55" t="n">
        <f aca="false">IF(E15="","",E15/(E15+H15))</f>
        <v>0.346938775510204</v>
      </c>
      <c r="L15" s="66" t="n">
        <f aca="false">IF(OR(K15="",J15=""),"",(J15-K15)*100)</f>
        <v>-6.92607384066732</v>
      </c>
      <c r="M15" s="36" t="n">
        <v>2.04119841836487</v>
      </c>
      <c r="N15" s="36" t="n">
        <v>1.82016957332208</v>
      </c>
      <c r="O15" s="36" t="n">
        <f aca="false">SQRT(M15^2+N15^2)</f>
        <v>2.73486896555991</v>
      </c>
      <c r="P15" s="55" t="n">
        <f aca="false">IF(J15="","",MAX(0,J15-1.96*O15/100))</f>
        <v>0.224074605378557</v>
      </c>
      <c r="Q15" s="55" t="n">
        <f aca="false">IF(J15="","",MIN(1,J15+1.96*O15/100))</f>
        <v>0.331281468828505</v>
      </c>
      <c r="R15" s="32" t="str">
        <f aca="false">IF(L15="","",IF(ABS(L15)&lt;=O15,"Yes","No"))</f>
        <v>No</v>
      </c>
      <c r="S15" s="32" t="str">
        <f aca="false">IF(L15="","",IF(ABS(L15)&lt;=1.96*O15,"Yes","No"))</f>
        <v>No</v>
      </c>
      <c r="T15" s="54" t="n">
        <f aca="false">IF(D15="","",ROUND(SQRT(((D15+G15)*O15/100)^2+(J15*(D15+G15)*0.05402)^2),0))</f>
        <v>52</v>
      </c>
      <c r="U15" s="32" t="s">
        <v>393</v>
      </c>
    </row>
    <row r="16" customFormat="false" ht="15" hidden="false" customHeight="false" outlineLevel="0" collapsed="false">
      <c r="A16" s="32" t="s">
        <v>127</v>
      </c>
      <c r="B16" s="32" t="s">
        <v>147</v>
      </c>
      <c r="C16" s="32" t="s">
        <v>129</v>
      </c>
      <c r="D16" s="54" t="n">
        <v>506</v>
      </c>
      <c r="E16" s="54" t="n">
        <v>500</v>
      </c>
      <c r="F16" s="65" t="n">
        <f aca="false">IF(E16="","",D16-E16)</f>
        <v>6</v>
      </c>
      <c r="G16" s="54" t="n">
        <v>715</v>
      </c>
      <c r="H16" s="54" t="n">
        <v>546</v>
      </c>
      <c r="I16" s="65" t="n">
        <f aca="false">IF(H16="","",G16-H16)</f>
        <v>169</v>
      </c>
      <c r="J16" s="55" t="n">
        <f aca="false">IF(OR(D16="",D16+G16=0),"",D16/(D16+G16))</f>
        <v>0.414414414414414</v>
      </c>
      <c r="K16" s="55" t="n">
        <f aca="false">IF(E16="","",E16/(E16+H16))</f>
        <v>0.478011472275335</v>
      </c>
      <c r="L16" s="66" t="n">
        <f aca="false">IF(OR(K16="",J16=""),"",(J16-K16)*100)</f>
        <v>-6.35970578609202</v>
      </c>
      <c r="M16" s="36" t="n">
        <v>2.04119841836487</v>
      </c>
      <c r="N16" s="36" t="n">
        <v>1.82016957332208</v>
      </c>
      <c r="O16" s="36" t="n">
        <f aca="false">SQRT(M16^2+N16^2)</f>
        <v>2.73486896555991</v>
      </c>
      <c r="P16" s="55" t="n">
        <f aca="false">IF(J16="","",MAX(0,J16-1.96*O16/100))</f>
        <v>0.36081098268944</v>
      </c>
      <c r="Q16" s="55" t="n">
        <f aca="false">IF(J16="","",MIN(1,J16+1.96*O16/100))</f>
        <v>0.468017846139389</v>
      </c>
      <c r="R16" s="32" t="str">
        <f aca="false">IF(L16="","",IF(ABS(L16)&lt;=O16,"Yes","No"))</f>
        <v>No</v>
      </c>
      <c r="S16" s="32" t="str">
        <f aca="false">IF(L16="","",IF(ABS(L16)&lt;=1.96*O16,"Yes","No"))</f>
        <v>No</v>
      </c>
      <c r="T16" s="54" t="n">
        <f aca="false">IF(D16="","",ROUND(SQRT(((D16+G16)*O16/100)^2+(J16*(D16+G16)*0.05402)^2),0))</f>
        <v>43</v>
      </c>
      <c r="U16" s="32" t="s">
        <v>393</v>
      </c>
    </row>
    <row r="17" customFormat="false" ht="15" hidden="false" customHeight="false" outlineLevel="0" collapsed="false">
      <c r="A17" s="32" t="s">
        <v>127</v>
      </c>
      <c r="B17" s="32" t="s">
        <v>148</v>
      </c>
      <c r="C17" s="32" t="s">
        <v>129</v>
      </c>
      <c r="D17" s="54" t="n">
        <v>99</v>
      </c>
      <c r="E17" s="54" t="n">
        <v>111</v>
      </c>
      <c r="F17" s="65" t="n">
        <f aca="false">IF(E17="","",D17-E17)</f>
        <v>-12</v>
      </c>
      <c r="G17" s="54" t="n">
        <v>431</v>
      </c>
      <c r="H17" s="54" t="n">
        <v>372</v>
      </c>
      <c r="I17" s="65" t="n">
        <f aca="false">IF(H17="","",G17-H17)</f>
        <v>59</v>
      </c>
      <c r="J17" s="55" t="n">
        <f aca="false">IF(OR(D17="",D17+G17=0),"",D17/(D17+G17))</f>
        <v>0.186792452830189</v>
      </c>
      <c r="K17" s="55" t="n">
        <f aca="false">IF(E17="","",E17/(E17+H17))</f>
        <v>0.229813664596273</v>
      </c>
      <c r="L17" s="66" t="n">
        <f aca="false">IF(OR(K17="",J17=""),"",(J17-K17)*100)</f>
        <v>-4.30212117660846</v>
      </c>
      <c r="M17" s="36" t="n">
        <v>3.1224752494797</v>
      </c>
      <c r="N17" s="36" t="n">
        <v>1.82016957332208</v>
      </c>
      <c r="O17" s="36" t="n">
        <f aca="false">SQRT(M17^2+N17^2)</f>
        <v>3.61425911623126</v>
      </c>
      <c r="P17" s="55" t="n">
        <f aca="false">IF(J17="","",MAX(0,J17-1.96*O17/100))</f>
        <v>0.115952974152056</v>
      </c>
      <c r="Q17" s="55" t="n">
        <f aca="false">IF(J17="","",MIN(1,J17+1.96*O17/100))</f>
        <v>0.257631931508321</v>
      </c>
      <c r="R17" s="32" t="str">
        <f aca="false">IF(L17="","",IF(ABS(L17)&lt;=O17,"Yes","No"))</f>
        <v>No</v>
      </c>
      <c r="S17" s="32" t="str">
        <f aca="false">IF(L17="","",IF(ABS(L17)&lt;=1.96*O17,"Yes","No"))</f>
        <v>Yes</v>
      </c>
      <c r="T17" s="54" t="n">
        <f aca="false">IF(D17="","",ROUND(SQRT(((D17+G17)*O17/100)^2+(J17*(D17+G17)*0.07067)^2),0))</f>
        <v>20</v>
      </c>
      <c r="U17" s="32" t="s">
        <v>393</v>
      </c>
    </row>
    <row r="18" customFormat="false" ht="15" hidden="false" customHeight="false" outlineLevel="0" collapsed="false">
      <c r="A18" s="32" t="s">
        <v>127</v>
      </c>
      <c r="B18" s="32" t="s">
        <v>149</v>
      </c>
      <c r="C18" s="32" t="s">
        <v>129</v>
      </c>
      <c r="D18" s="54" t="n">
        <v>765</v>
      </c>
      <c r="E18" s="54" t="n">
        <v>687</v>
      </c>
      <c r="F18" s="65" t="n">
        <f aca="false">IF(E18="","",D18-E18)</f>
        <v>78</v>
      </c>
      <c r="G18" s="54" t="n">
        <v>1068</v>
      </c>
      <c r="H18" s="54" t="n">
        <v>978</v>
      </c>
      <c r="I18" s="65" t="n">
        <f aca="false">IF(H18="","",G18-H18)</f>
        <v>90</v>
      </c>
      <c r="J18" s="55" t="n">
        <f aca="false">IF(OR(D18="",D18+G18=0),"",D18/(D18+G18))</f>
        <v>0.417348608837971</v>
      </c>
      <c r="K18" s="55" t="n">
        <f aca="false">IF(E18="","",E18/(E18+H18))</f>
        <v>0.412612612612613</v>
      </c>
      <c r="L18" s="66" t="n">
        <f aca="false">IF(OR(K18="",J18=""),"",(J18-K18)*100)</f>
        <v>0.473599622535792</v>
      </c>
      <c r="M18" s="36" t="n">
        <v>2.04119841836487</v>
      </c>
      <c r="N18" s="36" t="n">
        <v>1.82016957332208</v>
      </c>
      <c r="O18" s="36" t="n">
        <f aca="false">SQRT(M18^2+N18^2)</f>
        <v>2.73486896555991</v>
      </c>
      <c r="P18" s="55" t="n">
        <f aca="false">IF(J18="","",MAX(0,J18-1.96*O18/100))</f>
        <v>0.363745177112996</v>
      </c>
      <c r="Q18" s="55" t="n">
        <f aca="false">IF(J18="","",MIN(1,J18+1.96*O18/100))</f>
        <v>0.470952040562945</v>
      </c>
      <c r="R18" s="32" t="str">
        <f aca="false">IF(L18="","",IF(ABS(L18)&lt;=O18,"Yes","No"))</f>
        <v>Yes</v>
      </c>
      <c r="S18" s="32" t="str">
        <f aca="false">IF(L18="","",IF(ABS(L18)&lt;=1.96*O18,"Yes","No"))</f>
        <v>Yes</v>
      </c>
      <c r="T18" s="54" t="n">
        <f aca="false">IF(D18="","",ROUND(SQRT(((D18+G18)*O18/100)^2+(J18*(D18+G18)*0.05402)^2),0))</f>
        <v>65</v>
      </c>
      <c r="U18" s="32" t="s">
        <v>393</v>
      </c>
    </row>
    <row r="19" customFormat="false" ht="15" hidden="false" customHeight="false" outlineLevel="0" collapsed="false">
      <c r="A19" s="32" t="s">
        <v>127</v>
      </c>
      <c r="B19" s="32" t="s">
        <v>150</v>
      </c>
      <c r="C19" s="32" t="s">
        <v>129</v>
      </c>
      <c r="D19" s="54" t="n">
        <v>58</v>
      </c>
      <c r="E19" s="54" t="n">
        <v>53</v>
      </c>
      <c r="F19" s="65" t="n">
        <f aca="false">IF(E19="","",D19-E19)</f>
        <v>5</v>
      </c>
      <c r="G19" s="54" t="n">
        <v>118</v>
      </c>
      <c r="H19" s="54" t="n">
        <v>112</v>
      </c>
      <c r="I19" s="65" t="n">
        <f aca="false">IF(H19="","",G19-H19)</f>
        <v>6</v>
      </c>
      <c r="J19" s="55" t="n">
        <f aca="false">IF(OR(D19="",D19+G19=0),"",D19/(D19+G19))</f>
        <v>0.329545454545455</v>
      </c>
      <c r="K19" s="55" t="n">
        <f aca="false">IF(E19="","",E19/(E19+H19))</f>
        <v>0.321212121212121</v>
      </c>
      <c r="L19" s="66" t="n">
        <f aca="false">IF(OR(K19="",J19=""),"",(J19-K19)*100)</f>
        <v>0.83333333333333</v>
      </c>
      <c r="M19" s="36" t="n">
        <v>3.1224752494797</v>
      </c>
      <c r="N19" s="36" t="n">
        <v>1.82016957332208</v>
      </c>
      <c r="O19" s="36" t="n">
        <f aca="false">SQRT(M19^2+N19^2)</f>
        <v>3.61425911623126</v>
      </c>
      <c r="P19" s="55" t="n">
        <f aca="false">IF(J19="","",MAX(0,J19-1.96*O19/100))</f>
        <v>0.258705975867322</v>
      </c>
      <c r="Q19" s="55" t="n">
        <f aca="false">IF(J19="","",MIN(1,J19+1.96*O19/100))</f>
        <v>0.400384933223587</v>
      </c>
      <c r="R19" s="32" t="str">
        <f aca="false">IF(L19="","",IF(ABS(L19)&lt;=O19,"Yes","No"))</f>
        <v>Yes</v>
      </c>
      <c r="S19" s="32" t="str">
        <f aca="false">IF(L19="","",IF(ABS(L19)&lt;=1.96*O19,"Yes","No"))</f>
        <v>Yes</v>
      </c>
      <c r="T19" s="54" t="n">
        <f aca="false">IF(D19="","",ROUND(SQRT(((D19+G19)*O19/100)^2+(J19*(D19+G19)*0.07067)^2),0))</f>
        <v>8</v>
      </c>
      <c r="U19" s="32" t="s">
        <v>393</v>
      </c>
    </row>
    <row r="20" customFormat="false" ht="15" hidden="false" customHeight="false" outlineLevel="0" collapsed="false">
      <c r="A20" s="32" t="s">
        <v>127</v>
      </c>
      <c r="B20" s="32" t="s">
        <v>151</v>
      </c>
      <c r="C20" s="32" t="s">
        <v>129</v>
      </c>
      <c r="D20" s="54" t="n">
        <v>1676</v>
      </c>
      <c r="E20" s="54" t="n">
        <v>1453</v>
      </c>
      <c r="F20" s="65" t="n">
        <f aca="false">IF(E20="","",D20-E20)</f>
        <v>223</v>
      </c>
      <c r="G20" s="54" t="n">
        <v>2516</v>
      </c>
      <c r="H20" s="54" t="n">
        <v>2080</v>
      </c>
      <c r="I20" s="65" t="n">
        <f aca="false">IF(H20="","",G20-H20)</f>
        <v>436</v>
      </c>
      <c r="J20" s="55" t="n">
        <f aca="false">IF(OR(D20="",D20+G20=0),"",D20/(D20+G20))</f>
        <v>0.399809160305344</v>
      </c>
      <c r="K20" s="55" t="n">
        <f aca="false">IF(E20="","",E20/(E20+H20))</f>
        <v>0.411265213699406</v>
      </c>
      <c r="L20" s="66" t="n">
        <f aca="false">IF(OR(K20="",J20=""),"",(J20-K20)*100)</f>
        <v>-1.14560533940621</v>
      </c>
      <c r="M20" s="36" t="n">
        <v>1.49078099364883</v>
      </c>
      <c r="N20" s="36" t="n">
        <v>1.82016957332208</v>
      </c>
      <c r="O20" s="36" t="n">
        <f aca="false">SQRT(M20^2+N20^2)</f>
        <v>2.35275269560404</v>
      </c>
      <c r="P20" s="55" t="n">
        <f aca="false">IF(J20="","",MAX(0,J20-1.96*O20/100))</f>
        <v>0.353695207471504</v>
      </c>
      <c r="Q20" s="55" t="n">
        <f aca="false">IF(J20="","",MIN(1,J20+1.96*O20/100))</f>
        <v>0.445923113139183</v>
      </c>
      <c r="R20" s="32" t="str">
        <f aca="false">IF(L20="","",IF(ABS(L20)&lt;=O20,"Yes","No"))</f>
        <v>Yes</v>
      </c>
      <c r="S20" s="32" t="str">
        <f aca="false">IF(L20="","",IF(ABS(L20)&lt;=1.96*O20,"Yes","No"))</f>
        <v>Yes</v>
      </c>
      <c r="T20" s="54" t="n">
        <f aca="false">IF(D20="","",ROUND(SQRT(((D20+G20)*O20/100)^2+(J20*(D20+G20)*0.04632)^2),0))</f>
        <v>126</v>
      </c>
      <c r="U20" s="32" t="s">
        <v>393</v>
      </c>
    </row>
    <row r="21" customFormat="false" ht="15" hidden="false" customHeight="false" outlineLevel="0" collapsed="false">
      <c r="A21" s="32" t="s">
        <v>127</v>
      </c>
      <c r="B21" s="32" t="s">
        <v>153</v>
      </c>
      <c r="C21" s="32" t="s">
        <v>129</v>
      </c>
      <c r="D21" s="54" t="n">
        <v>541</v>
      </c>
      <c r="E21" s="54" t="n">
        <v>574</v>
      </c>
      <c r="F21" s="65" t="n">
        <f aca="false">IF(E21="","",D21-E21)</f>
        <v>-33</v>
      </c>
      <c r="G21" s="54" t="n">
        <v>685</v>
      </c>
      <c r="H21" s="54" t="n">
        <v>562</v>
      </c>
      <c r="I21" s="65" t="n">
        <f aca="false">IF(H21="","",G21-H21)</f>
        <v>123</v>
      </c>
      <c r="J21" s="55" t="n">
        <f aca="false">IF(OR(D21="",D21+G21=0),"",D21/(D21+G21))</f>
        <v>0.441272430668842</v>
      </c>
      <c r="K21" s="55" t="n">
        <f aca="false">IF(E21="","",E21/(E21+H21))</f>
        <v>0.505281690140845</v>
      </c>
      <c r="L21" s="66" t="n">
        <f aca="false">IF(OR(K21="",J21=""),"",(J21-K21)*100)</f>
        <v>-6.40092594720034</v>
      </c>
      <c r="M21" s="36" t="n">
        <v>2.04119841836487</v>
      </c>
      <c r="N21" s="36" t="n">
        <v>1.82016957332208</v>
      </c>
      <c r="O21" s="36" t="n">
        <f aca="false">SQRT(M21^2+N21^2)</f>
        <v>2.73486896555991</v>
      </c>
      <c r="P21" s="55" t="n">
        <f aca="false">IF(J21="","",MAX(0,J21-1.96*O21/100))</f>
        <v>0.387668998943867</v>
      </c>
      <c r="Q21" s="55" t="n">
        <f aca="false">IF(J21="","",MIN(1,J21+1.96*O21/100))</f>
        <v>0.494875862393816</v>
      </c>
      <c r="R21" s="32" t="str">
        <f aca="false">IF(L21="","",IF(ABS(L21)&lt;=O21,"Yes","No"))</f>
        <v>No</v>
      </c>
      <c r="S21" s="32" t="str">
        <f aca="false">IF(L21="","",IF(ABS(L21)&lt;=1.96*O21,"Yes","No"))</f>
        <v>No</v>
      </c>
      <c r="T21" s="54" t="n">
        <f aca="false">IF(D21="","",ROUND(SQRT(((D21+G21)*O21/100)^2+(J21*(D21+G21)*0.05402)^2),0))</f>
        <v>44</v>
      </c>
      <c r="U21" s="32" t="s">
        <v>393</v>
      </c>
    </row>
    <row r="22" customFormat="false" ht="15" hidden="false" customHeight="false" outlineLevel="0" collapsed="false">
      <c r="A22" s="32" t="s">
        <v>127</v>
      </c>
      <c r="B22" s="32" t="s">
        <v>154</v>
      </c>
      <c r="C22" s="32" t="s">
        <v>129</v>
      </c>
      <c r="D22" s="54" t="n">
        <v>649</v>
      </c>
      <c r="E22" s="54" t="n">
        <v>613</v>
      </c>
      <c r="F22" s="65" t="n">
        <f aca="false">IF(E22="","",D22-E22)</f>
        <v>36</v>
      </c>
      <c r="G22" s="54" t="n">
        <v>1369</v>
      </c>
      <c r="H22" s="54" t="n">
        <v>1136</v>
      </c>
      <c r="I22" s="65" t="n">
        <f aca="false">IF(H22="","",G22-H22)</f>
        <v>233</v>
      </c>
      <c r="J22" s="55" t="n">
        <f aca="false">IF(OR(D22="",D22+G22=0),"",D22/(D22+G22))</f>
        <v>0.321605550049554</v>
      </c>
      <c r="K22" s="55" t="n">
        <f aca="false">IF(E22="","",E22/(E22+H22))</f>
        <v>0.350485991995426</v>
      </c>
      <c r="L22" s="66" t="n">
        <f aca="false">IF(OR(K22="",J22=""),"",(J22-K22)*100)</f>
        <v>-2.8880441945872</v>
      </c>
      <c r="M22" s="36" t="n">
        <v>2.04119841836487</v>
      </c>
      <c r="N22" s="36" t="n">
        <v>1.82016957332208</v>
      </c>
      <c r="O22" s="36" t="n">
        <f aca="false">SQRT(M22^2+N22^2)</f>
        <v>2.73486896555991</v>
      </c>
      <c r="P22" s="55" t="n">
        <f aca="false">IF(J22="","",MAX(0,J22-1.96*O22/100))</f>
        <v>0.26800211832458</v>
      </c>
      <c r="Q22" s="55" t="n">
        <f aca="false">IF(J22="","",MIN(1,J22+1.96*O22/100))</f>
        <v>0.375208981774528</v>
      </c>
      <c r="R22" s="32" t="str">
        <f aca="false">IF(L22="","",IF(ABS(L22)&lt;=O22,"Yes","No"))</f>
        <v>No</v>
      </c>
      <c r="S22" s="32" t="str">
        <f aca="false">IF(L22="","",IF(ABS(L22)&lt;=1.96*O22,"Yes","No"))</f>
        <v>Yes</v>
      </c>
      <c r="T22" s="54" t="n">
        <f aca="false">IF(D22="","",ROUND(SQRT(((D22+G22)*O22/100)^2+(J22*(D22+G22)*0.05402)^2),0))</f>
        <v>65</v>
      </c>
      <c r="U22" s="32" t="s">
        <v>393</v>
      </c>
    </row>
    <row r="23" customFormat="false" ht="15" hidden="false" customHeight="false" outlineLevel="0" collapsed="false">
      <c r="A23" s="32" t="s">
        <v>127</v>
      </c>
      <c r="B23" s="32" t="s">
        <v>155</v>
      </c>
      <c r="C23" s="32" t="s">
        <v>129</v>
      </c>
      <c r="D23" s="54" t="n">
        <v>269</v>
      </c>
      <c r="E23" s="54" t="n">
        <v>273</v>
      </c>
      <c r="F23" s="65" t="n">
        <f aca="false">IF(E23="","",D23-E23)</f>
        <v>-4</v>
      </c>
      <c r="G23" s="54" t="n">
        <v>629</v>
      </c>
      <c r="H23" s="54" t="n">
        <v>574</v>
      </c>
      <c r="I23" s="65" t="n">
        <f aca="false">IF(H23="","",G23-H23)</f>
        <v>55</v>
      </c>
      <c r="J23" s="55" t="n">
        <f aca="false">IF(OR(D23="",D23+G23=0),"",D23/(D23+G23))</f>
        <v>0.299554565701559</v>
      </c>
      <c r="K23" s="55" t="n">
        <f aca="false">IF(E23="","",E23/(E23+H23))</f>
        <v>0.322314049586777</v>
      </c>
      <c r="L23" s="66" t="n">
        <f aca="false">IF(OR(K23="",J23=""),"",(J23-K23)*100)</f>
        <v>-2.27594838852178</v>
      </c>
      <c r="M23" s="36" t="n">
        <v>3.1224752494797</v>
      </c>
      <c r="N23" s="36" t="n">
        <v>1.82016957332208</v>
      </c>
      <c r="O23" s="36" t="n">
        <f aca="false">SQRT(M23^2+N23^2)</f>
        <v>3.61425911623126</v>
      </c>
      <c r="P23" s="55" t="n">
        <f aca="false">IF(J23="","",MAX(0,J23-1.96*O23/100))</f>
        <v>0.228715087023426</v>
      </c>
      <c r="Q23" s="55" t="n">
        <f aca="false">IF(J23="","",MIN(1,J23+1.96*O23/100))</f>
        <v>0.370394044379692</v>
      </c>
      <c r="R23" s="32" t="str">
        <f aca="false">IF(L23="","",IF(ABS(L23)&lt;=O23,"Yes","No"))</f>
        <v>Yes</v>
      </c>
      <c r="S23" s="32" t="str">
        <f aca="false">IF(L23="","",IF(ABS(L23)&lt;=1.96*O23,"Yes","No"))</f>
        <v>Yes</v>
      </c>
      <c r="T23" s="54" t="n">
        <f aca="false">IF(D23="","",ROUND(SQRT(((D23+G23)*O23/100)^2+(J23*(D23+G23)*0.07067)^2),0))</f>
        <v>38</v>
      </c>
      <c r="U23" s="32" t="s">
        <v>393</v>
      </c>
    </row>
    <row r="24" customFormat="false" ht="15" hidden="false" customHeight="false" outlineLevel="0" collapsed="false">
      <c r="A24" s="32" t="s">
        <v>127</v>
      </c>
      <c r="B24" s="32" t="s">
        <v>156</v>
      </c>
      <c r="C24" s="32" t="s">
        <v>129</v>
      </c>
      <c r="D24" s="54" t="n">
        <v>44</v>
      </c>
      <c r="E24" s="54" t="n">
        <v>50</v>
      </c>
      <c r="F24" s="65" t="n">
        <f aca="false">IF(E24="","",D24-E24)</f>
        <v>-6</v>
      </c>
      <c r="G24" s="54" t="n">
        <v>62</v>
      </c>
      <c r="H24" s="54" t="n">
        <v>48</v>
      </c>
      <c r="I24" s="65" t="n">
        <f aca="false">IF(H24="","",G24-H24)</f>
        <v>14</v>
      </c>
      <c r="J24" s="55" t="n">
        <f aca="false">IF(OR(D24="",D24+G24=0),"",D24/(D24+G24))</f>
        <v>0.415094339622642</v>
      </c>
      <c r="K24" s="55" t="n">
        <f aca="false">IF(E24="","",E24/(E24+H24))</f>
        <v>0.510204081632653</v>
      </c>
      <c r="L24" s="66" t="n">
        <f aca="false">IF(OR(K24="",J24=""),"",(J24-K24)*100)</f>
        <v>-9.51097420100115</v>
      </c>
      <c r="M24" s="36" t="n">
        <v>3.1224752494797</v>
      </c>
      <c r="N24" s="36" t="n">
        <v>1.82016957332208</v>
      </c>
      <c r="O24" s="36" t="n">
        <f aca="false">SQRT(M24^2+N24^2)</f>
        <v>3.61425911623126</v>
      </c>
      <c r="P24" s="55" t="n">
        <f aca="false">IF(J24="","",MAX(0,J24-1.96*O24/100))</f>
        <v>0.344254860944509</v>
      </c>
      <c r="Q24" s="55" t="n">
        <f aca="false">IF(J24="","",MIN(1,J24+1.96*O24/100))</f>
        <v>0.485933818300774</v>
      </c>
      <c r="R24" s="32" t="str">
        <f aca="false">IF(L24="","",IF(ABS(L24)&lt;=O24,"Yes","No"))</f>
        <v>No</v>
      </c>
      <c r="S24" s="32" t="str">
        <f aca="false">IF(L24="","",IF(ABS(L24)&lt;=1.96*O24,"Yes","No"))</f>
        <v>No</v>
      </c>
      <c r="T24" s="54" t="n">
        <f aca="false">IF(D24="","",ROUND(SQRT(((D24+G24)*O24/100)^2+(J24*(D24+G24)*0.07067)^2),0))</f>
        <v>5</v>
      </c>
      <c r="U24" s="32" t="s">
        <v>393</v>
      </c>
    </row>
    <row r="25" customFormat="false" ht="15" hidden="false" customHeight="false" outlineLevel="0" collapsed="false">
      <c r="A25" s="32" t="s">
        <v>157</v>
      </c>
      <c r="B25" s="32" t="s">
        <v>158</v>
      </c>
      <c r="C25" s="32" t="s">
        <v>129</v>
      </c>
      <c r="D25" s="54" t="n">
        <v>471</v>
      </c>
      <c r="E25" s="54" t="n">
        <v>454</v>
      </c>
      <c r="F25" s="65" t="n">
        <f aca="false">IF(E25="","",D25-E25)</f>
        <v>17</v>
      </c>
      <c r="G25" s="54" t="n">
        <v>469</v>
      </c>
      <c r="H25" s="54" t="n">
        <v>406</v>
      </c>
      <c r="I25" s="65" t="n">
        <f aca="false">IF(H25="","",G25-H25)</f>
        <v>63</v>
      </c>
      <c r="J25" s="55" t="n">
        <f aca="false">IF(OR(D25="",D25+G25=0),"",D25/(D25+G25))</f>
        <v>0.501063829787234</v>
      </c>
      <c r="K25" s="55" t="n">
        <f aca="false">IF(E25="","",E25/(E25+H25))</f>
        <v>0.527906976744186</v>
      </c>
      <c r="L25" s="66" t="n">
        <f aca="false">IF(OR(K25="",J25=""),"",(J25-K25)*100)</f>
        <v>-2.6843146956952</v>
      </c>
      <c r="M25" s="36" t="n">
        <v>3.1224752494797</v>
      </c>
      <c r="N25" s="36" t="n">
        <v>1.82016957332208</v>
      </c>
      <c r="O25" s="36" t="n">
        <f aca="false">SQRT(M25^2+N25^2)</f>
        <v>3.61425911623126</v>
      </c>
      <c r="P25" s="55" t="n">
        <f aca="false">IF(J25="","",MAX(0,J25-1.96*O25/100))</f>
        <v>0.430224351109101</v>
      </c>
      <c r="Q25" s="55" t="n">
        <f aca="false">IF(J25="","",MIN(1,J25+1.96*O25/100))</f>
        <v>0.571903308465367</v>
      </c>
      <c r="R25" s="32" t="str">
        <f aca="false">IF(L25="","",IF(ABS(L25)&lt;=O25,"Yes","No"))</f>
        <v>Yes</v>
      </c>
      <c r="S25" s="32" t="str">
        <f aca="false">IF(L25="","",IF(ABS(L25)&lt;=1.96*O25,"Yes","No"))</f>
        <v>Yes</v>
      </c>
      <c r="T25" s="54" t="n">
        <f aca="false">IF(D25="","",ROUND(SQRT(((D25+G25)*O25/100)^2+(J25*(D25+G25)*0.07067)^2),0))</f>
        <v>48</v>
      </c>
      <c r="U25" s="32"/>
    </row>
    <row r="26" customFormat="false" ht="15" hidden="false" customHeight="false" outlineLevel="0" collapsed="false">
      <c r="A26" s="32" t="s">
        <v>157</v>
      </c>
      <c r="B26" s="32" t="s">
        <v>159</v>
      </c>
      <c r="C26" s="32" t="s">
        <v>129</v>
      </c>
      <c r="D26" s="54" t="n">
        <v>18233</v>
      </c>
      <c r="E26" s="54" t="n">
        <v>19919</v>
      </c>
      <c r="F26" s="65" t="n">
        <f aca="false">IF(E26="","",D26-E26)</f>
        <v>-1686</v>
      </c>
      <c r="G26" s="54" t="n">
        <v>7093</v>
      </c>
      <c r="H26" s="54" t="n">
        <v>7341</v>
      </c>
      <c r="I26" s="65" t="n">
        <f aca="false">IF(H26="","",G26-H26)</f>
        <v>-248</v>
      </c>
      <c r="J26" s="55" t="n">
        <f aca="false">IF(OR(D26="",D26+G26=0),"",D26/(D26+G26))</f>
        <v>0.719932085603727</v>
      </c>
      <c r="K26" s="55" t="n">
        <f aca="false">IF(E26="","",E26/(E26+H26))</f>
        <v>0.73070432868672</v>
      </c>
      <c r="L26" s="66" t="n">
        <f aca="false">IF(OR(K26="",J26=""),"",(J26-K26)*100)</f>
        <v>-1.07722430829931</v>
      </c>
      <c r="M26" s="36" t="n">
        <v>1.49078099364883</v>
      </c>
      <c r="N26" s="36" t="n">
        <v>1.82016957332208</v>
      </c>
      <c r="O26" s="36" t="n">
        <f aca="false">SQRT(M26^2+N26^2)</f>
        <v>2.35275269560404</v>
      </c>
      <c r="P26" s="55" t="n">
        <f aca="false">IF(J26="","",MAX(0,J26-1.96*O26/100))</f>
        <v>0.673818132769888</v>
      </c>
      <c r="Q26" s="55" t="n">
        <f aca="false">IF(J26="","",MIN(1,J26+1.96*O26/100))</f>
        <v>0.766046038437567</v>
      </c>
      <c r="R26" s="32" t="str">
        <f aca="false">IF(L26="","",IF(ABS(L26)&lt;=O26,"Yes","No"))</f>
        <v>Yes</v>
      </c>
      <c r="S26" s="32" t="str">
        <f aca="false">IF(L26="","",IF(ABS(L26)&lt;=1.96*O26,"Yes","No"))</f>
        <v>Yes</v>
      </c>
      <c r="T26" s="54" t="n">
        <f aca="false">IF(D26="","",ROUND(SQRT(((D26+G26)*O26/100)^2+(J26*(D26+G26)*0.04632)^2),0))</f>
        <v>1034</v>
      </c>
      <c r="U26" s="32"/>
    </row>
    <row r="27" customFormat="false" ht="15" hidden="false" customHeight="false" outlineLevel="0" collapsed="false">
      <c r="A27" s="32" t="s">
        <v>157</v>
      </c>
      <c r="B27" s="32" t="s">
        <v>160</v>
      </c>
      <c r="C27" s="32" t="s">
        <v>129</v>
      </c>
      <c r="D27" s="54" t="n">
        <v>4872</v>
      </c>
      <c r="E27" s="54" t="n">
        <v>4700</v>
      </c>
      <c r="F27" s="65" t="n">
        <f aca="false">IF(E27="","",D27-E27)</f>
        <v>172</v>
      </c>
      <c r="G27" s="54" t="n">
        <v>2479</v>
      </c>
      <c r="H27" s="54" t="n">
        <v>2300</v>
      </c>
      <c r="I27" s="65" t="n">
        <f aca="false">IF(H27="","",G27-H27)</f>
        <v>179</v>
      </c>
      <c r="J27" s="55" t="n">
        <f aca="false">IF(OR(D27="",D27+G27=0),"",D27/(D27+G27))</f>
        <v>0.662766970480207</v>
      </c>
      <c r="K27" s="55" t="n">
        <f aca="false">IF(E27="","",E27/(E27+H27))</f>
        <v>0.671428571428571</v>
      </c>
      <c r="L27" s="66" t="n">
        <f aca="false">IF(OR(K27="",J27=""),"",(J27-K27)*100)</f>
        <v>-0.866160094836455</v>
      </c>
      <c r="M27" s="36" t="n">
        <v>1.49078099364883</v>
      </c>
      <c r="N27" s="36" t="n">
        <v>1.82016957332208</v>
      </c>
      <c r="O27" s="36" t="n">
        <f aca="false">SQRT(M27^2+N27^2)</f>
        <v>2.35275269560404</v>
      </c>
      <c r="P27" s="55" t="n">
        <f aca="false">IF(J27="","",MAX(0,J27-1.96*O27/100))</f>
        <v>0.616653017646368</v>
      </c>
      <c r="Q27" s="55" t="n">
        <f aca="false">IF(J27="","",MIN(1,J27+1.96*O27/100))</f>
        <v>0.708880923314046</v>
      </c>
      <c r="R27" s="32" t="str">
        <f aca="false">IF(L27="","",IF(ABS(L27)&lt;=O27,"Yes","No"))</f>
        <v>Yes</v>
      </c>
      <c r="S27" s="32" t="str">
        <f aca="false">IF(L27="","",IF(ABS(L27)&lt;=1.96*O27,"Yes","No"))</f>
        <v>Yes</v>
      </c>
      <c r="T27" s="54" t="n">
        <f aca="false">IF(D27="","",ROUND(SQRT(((D27+G27)*O27/100)^2+(J27*(D27+G27)*0.04632)^2),0))</f>
        <v>284</v>
      </c>
      <c r="U27" s="32"/>
    </row>
    <row r="28" customFormat="false" ht="15" hidden="false" customHeight="false" outlineLevel="0" collapsed="false">
      <c r="A28" s="32" t="s">
        <v>157</v>
      </c>
      <c r="B28" s="32" t="s">
        <v>161</v>
      </c>
      <c r="C28" s="32" t="s">
        <v>129</v>
      </c>
      <c r="D28" s="54" t="n">
        <v>1139</v>
      </c>
      <c r="E28" s="54" t="n">
        <v>1137</v>
      </c>
      <c r="F28" s="65" t="n">
        <f aca="false">IF(E28="","",D28-E28)</f>
        <v>2</v>
      </c>
      <c r="G28" s="54" t="n">
        <v>883</v>
      </c>
      <c r="H28" s="54" t="n">
        <v>821</v>
      </c>
      <c r="I28" s="65" t="n">
        <f aca="false">IF(H28="","",G28-H28)</f>
        <v>62</v>
      </c>
      <c r="J28" s="55" t="n">
        <f aca="false">IF(OR(D28="",D28+G28=0),"",D28/(D28+G28))</f>
        <v>0.563303659742829</v>
      </c>
      <c r="K28" s="55" t="n">
        <f aca="false">IF(E28="","",E28/(E28+H28))</f>
        <v>0.580694586312564</v>
      </c>
      <c r="L28" s="66" t="n">
        <f aca="false">IF(OR(K28="",J28=""),"",(J28-K28)*100)</f>
        <v>-1.7390926569735</v>
      </c>
      <c r="M28" s="36" t="n">
        <v>2.04119841836487</v>
      </c>
      <c r="N28" s="36" t="n">
        <v>1.82016957332208</v>
      </c>
      <c r="O28" s="36" t="n">
        <f aca="false">SQRT(M28^2+N28^2)</f>
        <v>2.73486896555991</v>
      </c>
      <c r="P28" s="55" t="n">
        <f aca="false">IF(J28="","",MAX(0,J28-1.96*O28/100))</f>
        <v>0.509700228017855</v>
      </c>
      <c r="Q28" s="55" t="n">
        <f aca="false">IF(J28="","",MIN(1,J28+1.96*O28/100))</f>
        <v>0.616907091467803</v>
      </c>
      <c r="R28" s="32" t="str">
        <f aca="false">IF(L28="","",IF(ABS(L28)&lt;=O28,"Yes","No"))</f>
        <v>Yes</v>
      </c>
      <c r="S28" s="32" t="str">
        <f aca="false">IF(L28="","",IF(ABS(L28)&lt;=1.96*O28,"Yes","No"))</f>
        <v>Yes</v>
      </c>
      <c r="T28" s="54" t="n">
        <f aca="false">IF(D28="","",ROUND(SQRT(((D28+G28)*O28/100)^2+(J28*(D28+G28)*0.05402)^2),0))</f>
        <v>83</v>
      </c>
      <c r="U28" s="32"/>
    </row>
    <row r="29" customFormat="false" ht="15" hidden="false" customHeight="false" outlineLevel="0" collapsed="false">
      <c r="A29" s="32" t="s">
        <v>157</v>
      </c>
      <c r="B29" s="32" t="s">
        <v>162</v>
      </c>
      <c r="C29" s="32" t="s">
        <v>129</v>
      </c>
      <c r="D29" s="54" t="n">
        <v>490</v>
      </c>
      <c r="E29" s="54" t="n">
        <v>513</v>
      </c>
      <c r="F29" s="65" t="n">
        <f aca="false">IF(E29="","",D29-E29)</f>
        <v>-23</v>
      </c>
      <c r="G29" s="54" t="n">
        <v>586</v>
      </c>
      <c r="H29" s="54" t="n">
        <v>446</v>
      </c>
      <c r="I29" s="65" t="n">
        <f aca="false">IF(H29="","",G29-H29)</f>
        <v>140</v>
      </c>
      <c r="J29" s="55" t="n">
        <f aca="false">IF(OR(D29="",D29+G29=0),"",D29/(D29+G29))</f>
        <v>0.455390334572491</v>
      </c>
      <c r="K29" s="55" t="n">
        <f aca="false">IF(E29="","",E29/(E29+H29))</f>
        <v>0.534932221063608</v>
      </c>
      <c r="L29" s="66" t="n">
        <f aca="false">IF(OR(K29="",J29=""),"",(J29-K29)*100)</f>
        <v>-7.95418864911172</v>
      </c>
      <c r="M29" s="36" t="n">
        <v>3.1224752494797</v>
      </c>
      <c r="N29" s="36" t="n">
        <v>1.82016957332208</v>
      </c>
      <c r="O29" s="36" t="n">
        <f aca="false">SQRT(M29^2+N29^2)</f>
        <v>3.61425911623126</v>
      </c>
      <c r="P29" s="55" t="n">
        <f aca="false">IF(J29="","",MAX(0,J29-1.96*O29/100))</f>
        <v>0.384550855894358</v>
      </c>
      <c r="Q29" s="55" t="n">
        <f aca="false">IF(J29="","",MIN(1,J29+1.96*O29/100))</f>
        <v>0.526229813250624</v>
      </c>
      <c r="R29" s="32" t="str">
        <f aca="false">IF(L29="","",IF(ABS(L29)&lt;=O29,"Yes","No"))</f>
        <v>No</v>
      </c>
      <c r="S29" s="32" t="str">
        <f aca="false">IF(L29="","",IF(ABS(L29)&lt;=1.96*O29,"Yes","No"))</f>
        <v>No</v>
      </c>
      <c r="T29" s="54" t="n">
        <f aca="false">IF(D29="","",ROUND(SQRT(((D29+G29)*O29/100)^2+(J29*(D29+G29)*0.07067)^2),0))</f>
        <v>52</v>
      </c>
      <c r="U29" s="32"/>
    </row>
    <row r="30" customFormat="false" ht="15" hidden="false" customHeight="false" outlineLevel="0" collapsed="false">
      <c r="A30" s="32" t="s">
        <v>157</v>
      </c>
      <c r="B30" s="32" t="s">
        <v>163</v>
      </c>
      <c r="C30" s="32" t="s">
        <v>129</v>
      </c>
      <c r="D30" s="54" t="n">
        <v>671</v>
      </c>
      <c r="E30" s="54" t="n">
        <v>660</v>
      </c>
      <c r="F30" s="65" t="n">
        <f aca="false">IF(E30="","",D30-E30)</f>
        <v>11</v>
      </c>
      <c r="G30" s="54" t="n">
        <v>540</v>
      </c>
      <c r="H30" s="54" t="n">
        <v>515</v>
      </c>
      <c r="I30" s="65" t="n">
        <f aca="false">IF(H30="","",G30-H30)</f>
        <v>25</v>
      </c>
      <c r="J30" s="55" t="n">
        <f aca="false">IF(OR(D30="",D30+G30=0),"",D30/(D30+G30))</f>
        <v>0.554087530966144</v>
      </c>
      <c r="K30" s="55" t="n">
        <f aca="false">IF(E30="","",E30/(E30+H30))</f>
        <v>0.561702127659575</v>
      </c>
      <c r="L30" s="66" t="n">
        <f aca="false">IF(OR(K30="",J30=""),"",(J30-K30)*100)</f>
        <v>-0.761459669343079</v>
      </c>
      <c r="M30" s="36" t="n">
        <v>2.04119841836487</v>
      </c>
      <c r="N30" s="36" t="n">
        <v>1.82016957332208</v>
      </c>
      <c r="O30" s="36" t="n">
        <f aca="false">SQRT(M30^2+N30^2)</f>
        <v>2.73486896555991</v>
      </c>
      <c r="P30" s="55" t="n">
        <f aca="false">IF(J30="","",MAX(0,J30-1.96*O30/100))</f>
        <v>0.500484099241169</v>
      </c>
      <c r="Q30" s="55" t="n">
        <f aca="false">IF(J30="","",MIN(1,J30+1.96*O30/100))</f>
        <v>0.607690962691118</v>
      </c>
      <c r="R30" s="32" t="str">
        <f aca="false">IF(L30="","",IF(ABS(L30)&lt;=O30,"Yes","No"))</f>
        <v>Yes</v>
      </c>
      <c r="S30" s="32" t="str">
        <f aca="false">IF(L30="","",IF(ABS(L30)&lt;=1.96*O30,"Yes","No"))</f>
        <v>Yes</v>
      </c>
      <c r="T30" s="54" t="n">
        <f aca="false">IF(D30="","",ROUND(SQRT(((D30+G30)*O30/100)^2+(J30*(D30+G30)*0.05402)^2),0))</f>
        <v>49</v>
      </c>
      <c r="U30" s="32"/>
    </row>
    <row r="31" customFormat="false" ht="15" hidden="false" customHeight="false" outlineLevel="0" collapsed="false">
      <c r="A31" s="32" t="s">
        <v>157</v>
      </c>
      <c r="B31" s="32" t="s">
        <v>164</v>
      </c>
      <c r="C31" s="32" t="s">
        <v>129</v>
      </c>
      <c r="D31" s="54" t="n">
        <v>2647</v>
      </c>
      <c r="E31" s="54" t="n">
        <v>2434</v>
      </c>
      <c r="F31" s="65" t="n">
        <f aca="false">IF(E31="","",D31-E31)</f>
        <v>213</v>
      </c>
      <c r="G31" s="54" t="n">
        <v>2087</v>
      </c>
      <c r="H31" s="54" t="n">
        <v>1955</v>
      </c>
      <c r="I31" s="65" t="n">
        <f aca="false">IF(H31="","",G31-H31)</f>
        <v>132</v>
      </c>
      <c r="J31" s="55" t="n">
        <f aca="false">IF(OR(D31="",D31+G31=0),"",D31/(D31+G31))</f>
        <v>0.559146599070553</v>
      </c>
      <c r="K31" s="55" t="n">
        <f aca="false">IF(E31="","",E31/(E31+H31))</f>
        <v>0.554568238778765</v>
      </c>
      <c r="L31" s="66" t="n">
        <f aca="false">IF(OR(K31="",J31=""),"",(J31-K31)*100)</f>
        <v>0.457836029178838</v>
      </c>
      <c r="M31" s="36" t="n">
        <v>1.49078099364883</v>
      </c>
      <c r="N31" s="36" t="n">
        <v>1.82016957332208</v>
      </c>
      <c r="O31" s="36" t="n">
        <f aca="false">SQRT(M31^2+N31^2)</f>
        <v>2.35275269560404</v>
      </c>
      <c r="P31" s="55" t="n">
        <f aca="false">IF(J31="","",MAX(0,J31-1.96*O31/100))</f>
        <v>0.513032646236714</v>
      </c>
      <c r="Q31" s="55" t="n">
        <f aca="false">IF(J31="","",MIN(1,J31+1.96*O31/100))</f>
        <v>0.605260551904393</v>
      </c>
      <c r="R31" s="32" t="str">
        <f aca="false">IF(L31="","",IF(ABS(L31)&lt;=O31,"Yes","No"))</f>
        <v>Yes</v>
      </c>
      <c r="S31" s="32" t="str">
        <f aca="false">IF(L31="","",IF(ABS(L31)&lt;=1.96*O31,"Yes","No"))</f>
        <v>Yes</v>
      </c>
      <c r="T31" s="54" t="n">
        <f aca="false">IF(D31="","",ROUND(SQRT(((D31+G31)*O31/100)^2+(J31*(D31+G31)*0.04632)^2),0))</f>
        <v>166</v>
      </c>
      <c r="U31" s="32"/>
    </row>
    <row r="32" customFormat="false" ht="15" hidden="false" customHeight="false" outlineLevel="0" collapsed="false">
      <c r="A32" s="32" t="s">
        <v>157</v>
      </c>
      <c r="B32" s="32" t="s">
        <v>165</v>
      </c>
      <c r="C32" s="32" t="s">
        <v>129</v>
      </c>
      <c r="D32" s="54" t="n">
        <v>971</v>
      </c>
      <c r="E32" s="54" t="n">
        <v>1077</v>
      </c>
      <c r="F32" s="65" t="n">
        <f aca="false">IF(E32="","",D32-E32)</f>
        <v>-106</v>
      </c>
      <c r="G32" s="54" t="n">
        <v>506</v>
      </c>
      <c r="H32" s="54" t="n">
        <v>463</v>
      </c>
      <c r="I32" s="65" t="n">
        <f aca="false">IF(H32="","",G32-H32)</f>
        <v>43</v>
      </c>
      <c r="J32" s="55" t="n">
        <f aca="false">IF(OR(D32="",D32+G32=0),"",D32/(D32+G32))</f>
        <v>0.657413676371022</v>
      </c>
      <c r="K32" s="55" t="n">
        <f aca="false">IF(E32="","",E32/(E32+H32))</f>
        <v>0.699350649350649</v>
      </c>
      <c r="L32" s="66" t="n">
        <f aca="false">IF(OR(K32="",J32=""),"",(J32-K32)*100)</f>
        <v>-4.19369729796271</v>
      </c>
      <c r="M32" s="36" t="n">
        <v>2.04119841836487</v>
      </c>
      <c r="N32" s="36" t="n">
        <v>1.82016957332208</v>
      </c>
      <c r="O32" s="36" t="n">
        <f aca="false">SQRT(M32^2+N32^2)</f>
        <v>2.73486896555991</v>
      </c>
      <c r="P32" s="55" t="n">
        <f aca="false">IF(J32="","",MAX(0,J32-1.96*O32/100))</f>
        <v>0.603810244646048</v>
      </c>
      <c r="Q32" s="55" t="n">
        <f aca="false">IF(J32="","",MIN(1,J32+1.96*O32/100))</f>
        <v>0.711017108095997</v>
      </c>
      <c r="R32" s="32" t="str">
        <f aca="false">IF(L32="","",IF(ABS(L32)&lt;=O32,"Yes","No"))</f>
        <v>No</v>
      </c>
      <c r="S32" s="32" t="str">
        <f aca="false">IF(L32="","",IF(ABS(L32)&lt;=1.96*O32,"Yes","No"))</f>
        <v>Yes</v>
      </c>
      <c r="T32" s="54" t="n">
        <f aca="false">IF(D32="","",ROUND(SQRT(((D32+G32)*O32/100)^2+(J32*(D32+G32)*0.05402)^2),0))</f>
        <v>66</v>
      </c>
      <c r="U32" s="32"/>
    </row>
    <row r="33" customFormat="false" ht="15" hidden="false" customHeight="false" outlineLevel="0" collapsed="false">
      <c r="A33" s="32" t="s">
        <v>157</v>
      </c>
      <c r="B33" s="32" t="s">
        <v>166</v>
      </c>
      <c r="C33" s="32" t="s">
        <v>129</v>
      </c>
      <c r="D33" s="54" t="n">
        <v>280</v>
      </c>
      <c r="E33" s="54" t="n">
        <v>294</v>
      </c>
      <c r="F33" s="65" t="n">
        <f aca="false">IF(E33="","",D33-E33)</f>
        <v>-14</v>
      </c>
      <c r="G33" s="54" t="n">
        <v>190</v>
      </c>
      <c r="H33" s="54" t="n">
        <v>198</v>
      </c>
      <c r="I33" s="65" t="n">
        <f aca="false">IF(H33="","",G33-H33)</f>
        <v>-8</v>
      </c>
      <c r="J33" s="55" t="n">
        <f aca="false">IF(OR(D33="",D33+G33=0),"",D33/(D33+G33))</f>
        <v>0.595744680851064</v>
      </c>
      <c r="K33" s="55" t="n">
        <f aca="false">IF(E33="","",E33/(E33+H33))</f>
        <v>0.597560975609756</v>
      </c>
      <c r="L33" s="66" t="n">
        <f aca="false">IF(OR(K33="",J33=""),"",(J33-K33)*100)</f>
        <v>-0.181629475869227</v>
      </c>
      <c r="M33" s="36" t="n">
        <v>3.1224752494797</v>
      </c>
      <c r="N33" s="36" t="n">
        <v>1.82016957332208</v>
      </c>
      <c r="O33" s="36" t="n">
        <f aca="false">SQRT(M33^2+N33^2)</f>
        <v>3.61425911623126</v>
      </c>
      <c r="P33" s="55" t="n">
        <f aca="false">IF(J33="","",MAX(0,J33-1.96*O33/100))</f>
        <v>0.524905202172931</v>
      </c>
      <c r="Q33" s="55" t="n">
        <f aca="false">IF(J33="","",MIN(1,J33+1.96*O33/100))</f>
        <v>0.666584159529197</v>
      </c>
      <c r="R33" s="32" t="str">
        <f aca="false">IF(L33="","",IF(ABS(L33)&lt;=O33,"Yes","No"))</f>
        <v>Yes</v>
      </c>
      <c r="S33" s="32" t="str">
        <f aca="false">IF(L33="","",IF(ABS(L33)&lt;=1.96*O33,"Yes","No"))</f>
        <v>Yes</v>
      </c>
      <c r="T33" s="54" t="n">
        <f aca="false">IF(D33="","",ROUND(SQRT(((D33+G33)*O33/100)^2+(J33*(D33+G33)*0.07067)^2),0))</f>
        <v>26</v>
      </c>
      <c r="U33" s="32"/>
    </row>
    <row r="34" customFormat="false" ht="15" hidden="false" customHeight="false" outlineLevel="0" collapsed="false">
      <c r="A34" s="32" t="s">
        <v>157</v>
      </c>
      <c r="B34" s="32" t="s">
        <v>167</v>
      </c>
      <c r="C34" s="32" t="s">
        <v>129</v>
      </c>
      <c r="D34" s="54" t="n">
        <v>440</v>
      </c>
      <c r="E34" s="54" t="n">
        <v>498</v>
      </c>
      <c r="F34" s="65" t="n">
        <f aca="false">IF(E34="","",D34-E34)</f>
        <v>-58</v>
      </c>
      <c r="G34" s="54" t="n">
        <v>1053</v>
      </c>
      <c r="H34" s="54" t="n">
        <v>876</v>
      </c>
      <c r="I34" s="65" t="n">
        <f aca="false">IF(H34="","",G34-H34)</f>
        <v>177</v>
      </c>
      <c r="J34" s="55" t="n">
        <f aca="false">IF(OR(D34="",D34+G34=0),"",D34/(D34+G34))</f>
        <v>0.2947086403215</v>
      </c>
      <c r="K34" s="55" t="n">
        <f aca="false">IF(E34="","",E34/(E34+H34))</f>
        <v>0.362445414847162</v>
      </c>
      <c r="L34" s="66" t="n">
        <f aca="false">IF(OR(K34="",J34=""),"",(J34-K34)*100)</f>
        <v>-6.77367745256612</v>
      </c>
      <c r="M34" s="36" t="n">
        <v>2.04119841836487</v>
      </c>
      <c r="N34" s="36" t="n">
        <v>1.82016957332208</v>
      </c>
      <c r="O34" s="36" t="n">
        <f aca="false">SQRT(M34^2+N34^2)</f>
        <v>2.73486896555991</v>
      </c>
      <c r="P34" s="55" t="n">
        <f aca="false">IF(J34="","",MAX(0,J34-1.96*O34/100))</f>
        <v>0.241105208596526</v>
      </c>
      <c r="Q34" s="55" t="n">
        <f aca="false">IF(J34="","",MIN(1,J34+1.96*O34/100))</f>
        <v>0.348312072046475</v>
      </c>
      <c r="R34" s="32" t="str">
        <f aca="false">IF(L34="","",IF(ABS(L34)&lt;=O34,"Yes","No"))</f>
        <v>No</v>
      </c>
      <c r="S34" s="32" t="str">
        <f aca="false">IF(L34="","",IF(ABS(L34)&lt;=1.96*O34,"Yes","No"))</f>
        <v>No</v>
      </c>
      <c r="T34" s="54" t="n">
        <f aca="false">IF(D34="","",ROUND(SQRT(((D34+G34)*O34/100)^2+(J34*(D34+G34)*0.05402)^2),0))</f>
        <v>47</v>
      </c>
      <c r="U34" s="32"/>
    </row>
    <row r="35" customFormat="false" ht="15" hidden="false" customHeight="false" outlineLevel="0" collapsed="false">
      <c r="A35" s="32" t="s">
        <v>157</v>
      </c>
      <c r="B35" s="32" t="s">
        <v>168</v>
      </c>
      <c r="C35" s="32" t="s">
        <v>129</v>
      </c>
      <c r="D35" s="54" t="n">
        <v>7930</v>
      </c>
      <c r="E35" s="54" t="n">
        <v>7236</v>
      </c>
      <c r="F35" s="65" t="n">
        <f aca="false">IF(E35="","",D35-E35)</f>
        <v>694</v>
      </c>
      <c r="G35" s="54" t="n">
        <v>6985</v>
      </c>
      <c r="H35" s="54" t="n">
        <v>6846</v>
      </c>
      <c r="I35" s="65" t="n">
        <f aca="false">IF(H35="","",G35-H35)</f>
        <v>139</v>
      </c>
      <c r="J35" s="55" t="n">
        <f aca="false">IF(OR(D35="",D35+G35=0),"",D35/(D35+G35))</f>
        <v>0.531679517264499</v>
      </c>
      <c r="K35" s="55" t="n">
        <f aca="false">IF(E35="","",E35/(E35+H35))</f>
        <v>0.513847464848743</v>
      </c>
      <c r="L35" s="66" t="n">
        <f aca="false">IF(OR(K35="",J35=""),"",(J35-K35)*100)</f>
        <v>1.78320524157557</v>
      </c>
      <c r="M35" s="36" t="n">
        <v>1.49078099364883</v>
      </c>
      <c r="N35" s="36" t="n">
        <v>1.82016957332208</v>
      </c>
      <c r="O35" s="36" t="n">
        <f aca="false">SQRT(M35^2+N35^2)</f>
        <v>2.35275269560404</v>
      </c>
      <c r="P35" s="55" t="n">
        <f aca="false">IF(J35="","",MAX(0,J35-1.96*O35/100))</f>
        <v>0.48556556443066</v>
      </c>
      <c r="Q35" s="55" t="n">
        <f aca="false">IF(J35="","",MIN(1,J35+1.96*O35/100))</f>
        <v>0.577793470098338</v>
      </c>
      <c r="R35" s="32" t="str">
        <f aca="false">IF(L35="","",IF(ABS(L35)&lt;=O35,"Yes","No"))</f>
        <v>Yes</v>
      </c>
      <c r="S35" s="32" t="str">
        <f aca="false">IF(L35="","",IF(ABS(L35)&lt;=1.96*O35,"Yes","No"))</f>
        <v>Yes</v>
      </c>
      <c r="T35" s="54" t="n">
        <f aca="false">IF(D35="","",ROUND(SQRT(((D35+G35)*O35/100)^2+(J35*(D35+G35)*0.04632)^2),0))</f>
        <v>508</v>
      </c>
      <c r="U35" s="32"/>
    </row>
    <row r="36" customFormat="false" ht="15" hidden="false" customHeight="false" outlineLevel="0" collapsed="false">
      <c r="A36" s="32" t="s">
        <v>157</v>
      </c>
      <c r="B36" s="32" t="s">
        <v>169</v>
      </c>
      <c r="C36" s="32" t="s">
        <v>129</v>
      </c>
      <c r="D36" s="54" t="n">
        <v>679</v>
      </c>
      <c r="E36" s="54" t="n">
        <v>738</v>
      </c>
      <c r="F36" s="65" t="n">
        <f aca="false">IF(E36="","",D36-E36)</f>
        <v>-59</v>
      </c>
      <c r="G36" s="54" t="n">
        <v>1310</v>
      </c>
      <c r="H36" s="54" t="n">
        <v>1114</v>
      </c>
      <c r="I36" s="65" t="n">
        <f aca="false">IF(H36="","",G36-H36)</f>
        <v>196</v>
      </c>
      <c r="J36" s="55" t="n">
        <f aca="false">IF(OR(D36="",D36+G36=0),"",D36/(D36+G36))</f>
        <v>0.341377576671694</v>
      </c>
      <c r="K36" s="55" t="n">
        <f aca="false">IF(E36="","",E36/(E36+H36))</f>
        <v>0.398488120950324</v>
      </c>
      <c r="L36" s="66" t="n">
        <f aca="false">IF(OR(K36="",J36=""),"",(J36-K36)*100)</f>
        <v>-5.71105442786297</v>
      </c>
      <c r="M36" s="36" t="n">
        <v>2.04119841836487</v>
      </c>
      <c r="N36" s="36" t="n">
        <v>1.82016957332208</v>
      </c>
      <c r="O36" s="36" t="n">
        <f aca="false">SQRT(M36^2+N36^2)</f>
        <v>2.73486896555991</v>
      </c>
      <c r="P36" s="55" t="n">
        <f aca="false">IF(J36="","",MAX(0,J36-1.96*O36/100))</f>
        <v>0.28777414494672</v>
      </c>
      <c r="Q36" s="55" t="n">
        <f aca="false">IF(J36="","",MIN(1,J36+1.96*O36/100))</f>
        <v>0.394981008396669</v>
      </c>
      <c r="R36" s="32" t="str">
        <f aca="false">IF(L36="","",IF(ABS(L36)&lt;=O36,"Yes","No"))</f>
        <v>No</v>
      </c>
      <c r="S36" s="32" t="str">
        <f aca="false">IF(L36="","",IF(ABS(L36)&lt;=1.96*O36,"Yes","No"))</f>
        <v>No</v>
      </c>
      <c r="T36" s="54" t="n">
        <f aca="false">IF(D36="","",ROUND(SQRT(((D36+G36)*O36/100)^2+(J36*(D36+G36)*0.05402)^2),0))</f>
        <v>66</v>
      </c>
      <c r="U36" s="32"/>
    </row>
    <row r="37" customFormat="false" ht="15" hidden="false" customHeight="false" outlineLevel="0" collapsed="false">
      <c r="A37" s="32" t="s">
        <v>157</v>
      </c>
      <c r="B37" s="32" t="s">
        <v>170</v>
      </c>
      <c r="C37" s="32" t="s">
        <v>129</v>
      </c>
      <c r="D37" s="54" t="n">
        <v>358</v>
      </c>
      <c r="E37" s="54" t="n">
        <v>411</v>
      </c>
      <c r="F37" s="65" t="n">
        <f aca="false">IF(E37="","",D37-E37)</f>
        <v>-53</v>
      </c>
      <c r="G37" s="54" t="n">
        <v>769</v>
      </c>
      <c r="H37" s="54" t="n">
        <v>680</v>
      </c>
      <c r="I37" s="65" t="n">
        <f aca="false">IF(H37="","",G37-H37)</f>
        <v>89</v>
      </c>
      <c r="J37" s="55" t="n">
        <f aca="false">IF(OR(D37="",D37+G37=0),"",D37/(D37+G37))</f>
        <v>0.317657497781721</v>
      </c>
      <c r="K37" s="55" t="n">
        <f aca="false">IF(E37="","",E37/(E37+H37))</f>
        <v>0.376718606782768</v>
      </c>
      <c r="L37" s="66" t="n">
        <f aca="false">IF(OR(K37="",J37=""),"",(J37-K37)*100)</f>
        <v>-5.90611090010467</v>
      </c>
      <c r="M37" s="36" t="n">
        <v>3.1224752494797</v>
      </c>
      <c r="N37" s="36" t="n">
        <v>1.82016957332208</v>
      </c>
      <c r="O37" s="36" t="n">
        <f aca="false">SQRT(M37^2+N37^2)</f>
        <v>3.61425911623126</v>
      </c>
      <c r="P37" s="55" t="n">
        <f aca="false">IF(J37="","",MAX(0,J37-1.96*O37/100))</f>
        <v>0.246818019103589</v>
      </c>
      <c r="Q37" s="55" t="n">
        <f aca="false">IF(J37="","",MIN(1,J37+1.96*O37/100))</f>
        <v>0.388496976459854</v>
      </c>
      <c r="R37" s="32" t="str">
        <f aca="false">IF(L37="","",IF(ABS(L37)&lt;=O37,"Yes","No"))</f>
        <v>No</v>
      </c>
      <c r="S37" s="32" t="str">
        <f aca="false">IF(L37="","",IF(ABS(L37)&lt;=1.96*O37,"Yes","No"))</f>
        <v>Yes</v>
      </c>
      <c r="T37" s="54" t="n">
        <f aca="false">IF(D37="","",ROUND(SQRT(((D37+G37)*O37/100)^2+(J37*(D37+G37)*0.07067)^2),0))</f>
        <v>48</v>
      </c>
      <c r="U37" s="32"/>
    </row>
    <row r="38" customFormat="false" ht="15" hidden="false" customHeight="false" outlineLevel="0" collapsed="false">
      <c r="A38" s="32" t="s">
        <v>157</v>
      </c>
      <c r="B38" s="32" t="s">
        <v>171</v>
      </c>
      <c r="C38" s="32" t="s">
        <v>129</v>
      </c>
      <c r="D38" s="54" t="n">
        <v>562</v>
      </c>
      <c r="E38" s="54" t="n">
        <v>623</v>
      </c>
      <c r="F38" s="65" t="n">
        <f aca="false">IF(E38="","",D38-E38)</f>
        <v>-61</v>
      </c>
      <c r="G38" s="54" t="n">
        <v>1444</v>
      </c>
      <c r="H38" s="54" t="n">
        <v>1233</v>
      </c>
      <c r="I38" s="65" t="n">
        <f aca="false">IF(H38="","",G38-H38)</f>
        <v>211</v>
      </c>
      <c r="J38" s="55" t="n">
        <f aca="false">IF(OR(D38="",D38+G38=0),"",D38/(D38+G38))</f>
        <v>0.280159521435693</v>
      </c>
      <c r="K38" s="55" t="n">
        <f aca="false">IF(E38="","",E38/(E38+H38))</f>
        <v>0.335668103448276</v>
      </c>
      <c r="L38" s="66" t="n">
        <f aca="false">IF(OR(K38="",J38=""),"",(J38-K38)*100)</f>
        <v>-5.55085820125829</v>
      </c>
      <c r="M38" s="36" t="n">
        <v>2.04119841836487</v>
      </c>
      <c r="N38" s="36" t="n">
        <v>1.82016957332208</v>
      </c>
      <c r="O38" s="36" t="n">
        <f aca="false">SQRT(M38^2+N38^2)</f>
        <v>2.73486896555991</v>
      </c>
      <c r="P38" s="55" t="n">
        <f aca="false">IF(J38="","",MAX(0,J38-1.96*O38/100))</f>
        <v>0.226556089710719</v>
      </c>
      <c r="Q38" s="55" t="n">
        <f aca="false">IF(J38="","",MIN(1,J38+1.96*O38/100))</f>
        <v>0.333762953160667</v>
      </c>
      <c r="R38" s="32" t="str">
        <f aca="false">IF(L38="","",IF(ABS(L38)&lt;=O38,"Yes","No"))</f>
        <v>No</v>
      </c>
      <c r="S38" s="32" t="str">
        <f aca="false">IF(L38="","",IF(ABS(L38)&lt;=1.96*O38,"Yes","No"))</f>
        <v>No</v>
      </c>
      <c r="T38" s="54" t="n">
        <f aca="false">IF(D38="","",ROUND(SQRT(((D38+G38)*O38/100)^2+(J38*(D38+G38)*0.05402)^2),0))</f>
        <v>63</v>
      </c>
      <c r="U38" s="32"/>
    </row>
    <row r="39" customFormat="false" ht="15" hidden="false" customHeight="false" outlineLevel="0" collapsed="false">
      <c r="A39" s="32" t="s">
        <v>157</v>
      </c>
      <c r="B39" s="32" t="s">
        <v>172</v>
      </c>
      <c r="C39" s="32" t="s">
        <v>129</v>
      </c>
      <c r="D39" s="54" t="n">
        <v>675</v>
      </c>
      <c r="E39" s="54" t="n">
        <v>691</v>
      </c>
      <c r="F39" s="65" t="n">
        <f aca="false">IF(E39="","",D39-E39)</f>
        <v>-16</v>
      </c>
      <c r="G39" s="54" t="n">
        <v>668</v>
      </c>
      <c r="H39" s="54" t="n">
        <v>584</v>
      </c>
      <c r="I39" s="65" t="n">
        <f aca="false">IF(H39="","",G39-H39)</f>
        <v>84</v>
      </c>
      <c r="J39" s="55" t="n">
        <f aca="false">IF(OR(D39="",D39+G39=0),"",D39/(D39+G39))</f>
        <v>0.502606105733433</v>
      </c>
      <c r="K39" s="55" t="n">
        <f aca="false">IF(E39="","",E39/(E39+H39))</f>
        <v>0.541960784313726</v>
      </c>
      <c r="L39" s="66" t="n">
        <f aca="false">IF(OR(K39="",J39=""),"",(J39-K39)*100)</f>
        <v>-3.9354678580293</v>
      </c>
      <c r="M39" s="36" t="n">
        <v>2.04119841836487</v>
      </c>
      <c r="N39" s="36" t="n">
        <v>1.82016957332208</v>
      </c>
      <c r="O39" s="36" t="n">
        <f aca="false">SQRT(M39^2+N39^2)</f>
        <v>2.73486896555991</v>
      </c>
      <c r="P39" s="55" t="n">
        <f aca="false">IF(J39="","",MAX(0,J39-1.96*O39/100))</f>
        <v>0.449002674008458</v>
      </c>
      <c r="Q39" s="55" t="n">
        <f aca="false">IF(J39="","",MIN(1,J39+1.96*O39/100))</f>
        <v>0.556209537458407</v>
      </c>
      <c r="R39" s="32" t="str">
        <f aca="false">IF(L39="","",IF(ABS(L39)&lt;=O39,"Yes","No"))</f>
        <v>No</v>
      </c>
      <c r="S39" s="32" t="str">
        <f aca="false">IF(L39="","",IF(ABS(L39)&lt;=1.96*O39,"Yes","No"))</f>
        <v>Yes</v>
      </c>
      <c r="T39" s="54" t="n">
        <f aca="false">IF(D39="","",ROUND(SQRT(((D39+G39)*O39/100)^2+(J39*(D39+G39)*0.05402)^2),0))</f>
        <v>52</v>
      </c>
      <c r="U39" s="32"/>
    </row>
    <row r="40" customFormat="false" ht="15" hidden="false" customHeight="false" outlineLevel="0" collapsed="false">
      <c r="A40" s="32" t="s">
        <v>157</v>
      </c>
      <c r="B40" s="32" t="s">
        <v>173</v>
      </c>
      <c r="C40" s="32" t="s">
        <v>129</v>
      </c>
      <c r="D40" s="54" t="n">
        <v>3162</v>
      </c>
      <c r="E40" s="54" t="n">
        <v>2780</v>
      </c>
      <c r="F40" s="65" t="n">
        <f aca="false">IF(E40="","",D40-E40)</f>
        <v>382</v>
      </c>
      <c r="G40" s="54" t="n">
        <v>4127</v>
      </c>
      <c r="H40" s="54" t="n">
        <v>3849</v>
      </c>
      <c r="I40" s="65" t="n">
        <f aca="false">IF(H40="","",G40-H40)</f>
        <v>278</v>
      </c>
      <c r="J40" s="55" t="n">
        <f aca="false">IF(OR(D40="",D40+G40=0),"",D40/(D40+G40))</f>
        <v>0.433804362738373</v>
      </c>
      <c r="K40" s="55" t="n">
        <f aca="false">IF(E40="","",E40/(E40+H40))</f>
        <v>0.419369437320863</v>
      </c>
      <c r="L40" s="66" t="n">
        <f aca="false">IF(OR(K40="",J40=""),"",(J40-K40)*100)</f>
        <v>1.44349254175101</v>
      </c>
      <c r="M40" s="36" t="n">
        <v>1.49078099364883</v>
      </c>
      <c r="N40" s="36" t="n">
        <v>1.82016957332208</v>
      </c>
      <c r="O40" s="36" t="n">
        <f aca="false">SQRT(M40^2+N40^2)</f>
        <v>2.35275269560404</v>
      </c>
      <c r="P40" s="55" t="n">
        <f aca="false">IF(J40="","",MAX(0,J40-1.96*O40/100))</f>
        <v>0.387690409904534</v>
      </c>
      <c r="Q40" s="55" t="n">
        <f aca="false">IF(J40="","",MIN(1,J40+1.96*O40/100))</f>
        <v>0.479918315572212</v>
      </c>
      <c r="R40" s="32" t="str">
        <f aca="false">IF(L40="","",IF(ABS(L40)&lt;=O40,"Yes","No"))</f>
        <v>Yes</v>
      </c>
      <c r="S40" s="32" t="str">
        <f aca="false">IF(L40="","",IF(ABS(L40)&lt;=1.96*O40,"Yes","No"))</f>
        <v>Yes</v>
      </c>
      <c r="T40" s="54" t="n">
        <f aca="false">IF(D40="","",ROUND(SQRT(((D40+G40)*O40/100)^2+(J40*(D40+G40)*0.04632)^2),0))</f>
        <v>226</v>
      </c>
      <c r="U40" s="32"/>
    </row>
    <row r="41" customFormat="false" ht="15" hidden="false" customHeight="false" outlineLevel="0" collapsed="false">
      <c r="A41" s="32" t="s">
        <v>157</v>
      </c>
      <c r="B41" s="32" t="s">
        <v>174</v>
      </c>
      <c r="C41" s="32" t="s">
        <v>129</v>
      </c>
      <c r="D41" s="54" t="n">
        <v>2996</v>
      </c>
      <c r="E41" s="54" t="n">
        <v>2945</v>
      </c>
      <c r="F41" s="65" t="n">
        <f aca="false">IF(E41="","",D41-E41)</f>
        <v>51</v>
      </c>
      <c r="G41" s="54" t="n">
        <v>3124</v>
      </c>
      <c r="H41" s="54" t="n">
        <v>2844</v>
      </c>
      <c r="I41" s="65" t="n">
        <f aca="false">IF(H41="","",G41-H41)</f>
        <v>280</v>
      </c>
      <c r="J41" s="55" t="n">
        <f aca="false">IF(OR(D41="",D41+G41=0),"",D41/(D41+G41))</f>
        <v>0.489542483660131</v>
      </c>
      <c r="K41" s="55" t="n">
        <f aca="false">IF(E41="","",E41/(E41+H41))</f>
        <v>0.50872344100881</v>
      </c>
      <c r="L41" s="66" t="n">
        <f aca="false">IF(OR(K41="",J41=""),"",(J41-K41)*100)</f>
        <v>-1.91809573486791</v>
      </c>
      <c r="M41" s="36" t="n">
        <v>1.49078099364883</v>
      </c>
      <c r="N41" s="36" t="n">
        <v>1.82016957332208</v>
      </c>
      <c r="O41" s="36" t="n">
        <f aca="false">SQRT(M41^2+N41^2)</f>
        <v>2.35275269560404</v>
      </c>
      <c r="P41" s="55" t="n">
        <f aca="false">IF(J41="","",MAX(0,J41-1.96*O41/100))</f>
        <v>0.443428530826292</v>
      </c>
      <c r="Q41" s="55" t="n">
        <f aca="false">IF(J41="","",MIN(1,J41+1.96*O41/100))</f>
        <v>0.53565643649397</v>
      </c>
      <c r="R41" s="32" t="str">
        <f aca="false">IF(L41="","",IF(ABS(L41)&lt;=O41,"Yes","No"))</f>
        <v>Yes</v>
      </c>
      <c r="S41" s="32" t="str">
        <f aca="false">IF(L41="","",IF(ABS(L41)&lt;=1.96*O41,"Yes","No"))</f>
        <v>Yes</v>
      </c>
      <c r="T41" s="54" t="n">
        <f aca="false">IF(D41="","",ROUND(SQRT(((D41+G41)*O41/100)^2+(J41*(D41+G41)*0.04632)^2),0))</f>
        <v>200</v>
      </c>
      <c r="U41" s="32"/>
    </row>
    <row r="42" customFormat="false" ht="15" hidden="false" customHeight="false" outlineLevel="0" collapsed="false">
      <c r="A42" s="32" t="s">
        <v>157</v>
      </c>
      <c r="B42" s="32" t="s">
        <v>175</v>
      </c>
      <c r="C42" s="32" t="s">
        <v>129</v>
      </c>
      <c r="D42" s="54" t="n">
        <v>564</v>
      </c>
      <c r="E42" s="54" t="n">
        <v>537</v>
      </c>
      <c r="F42" s="65" t="n">
        <f aca="false">IF(E42="","",D42-E42)</f>
        <v>27</v>
      </c>
      <c r="G42" s="54" t="n">
        <v>633</v>
      </c>
      <c r="H42" s="54" t="n">
        <v>626</v>
      </c>
      <c r="I42" s="65" t="n">
        <f aca="false">IF(H42="","",G42-H42)</f>
        <v>7</v>
      </c>
      <c r="J42" s="55" t="n">
        <f aca="false">IF(OR(D42="",D42+G42=0),"",D42/(D42+G42))</f>
        <v>0.471177944862155</v>
      </c>
      <c r="K42" s="55" t="n">
        <f aca="false">IF(E42="","",E42/(E42+H42))</f>
        <v>0.461736887360275</v>
      </c>
      <c r="L42" s="66" t="n">
        <f aca="false">IF(OR(K42="",J42=""),"",(J42-K42)*100)</f>
        <v>0.944105750188024</v>
      </c>
      <c r="M42" s="36" t="n">
        <v>2.04119841836487</v>
      </c>
      <c r="N42" s="36" t="n">
        <v>1.82016957332208</v>
      </c>
      <c r="O42" s="36" t="n">
        <f aca="false">SQRT(M42^2+N42^2)</f>
        <v>2.73486896555991</v>
      </c>
      <c r="P42" s="55" t="n">
        <f aca="false">IF(J42="","",MAX(0,J42-1.96*O42/100))</f>
        <v>0.417574513137181</v>
      </c>
      <c r="Q42" s="55" t="n">
        <f aca="false">IF(J42="","",MIN(1,J42+1.96*O42/100))</f>
        <v>0.52478137658713</v>
      </c>
      <c r="R42" s="32" t="str">
        <f aca="false">IF(L42="","",IF(ABS(L42)&lt;=O42,"Yes","No"))</f>
        <v>Yes</v>
      </c>
      <c r="S42" s="32" t="str">
        <f aca="false">IF(L42="","",IF(ABS(L42)&lt;=1.96*O42,"Yes","No"))</f>
        <v>Yes</v>
      </c>
      <c r="T42" s="54" t="n">
        <f aca="false">IF(D42="","",ROUND(SQRT(((D42+G42)*O42/100)^2+(J42*(D42+G42)*0.05402)^2),0))</f>
        <v>45</v>
      </c>
      <c r="U42" s="32"/>
    </row>
    <row r="43" customFormat="false" ht="15" hidden="false" customHeight="false" outlineLevel="0" collapsed="false">
      <c r="A43" s="32" t="s">
        <v>157</v>
      </c>
      <c r="B43" s="32" t="s">
        <v>176</v>
      </c>
      <c r="C43" s="32" t="s">
        <v>129</v>
      </c>
      <c r="D43" s="54" t="n">
        <v>4997</v>
      </c>
      <c r="E43" s="54" t="n">
        <v>5009</v>
      </c>
      <c r="F43" s="65" t="n">
        <f aca="false">IF(E43="","",D43-E43)</f>
        <v>-12</v>
      </c>
      <c r="G43" s="54" t="n">
        <v>4273</v>
      </c>
      <c r="H43" s="54" t="n">
        <v>3839</v>
      </c>
      <c r="I43" s="65" t="n">
        <f aca="false">IF(H43="","",G43-H43)</f>
        <v>434</v>
      </c>
      <c r="J43" s="55" t="n">
        <f aca="false">IF(OR(D43="",D43+G43=0),"",D43/(D43+G43))</f>
        <v>0.539050701186624</v>
      </c>
      <c r="K43" s="55" t="n">
        <f aca="false">IF(E43="","",E43/(E43+H43))</f>
        <v>0.566116636528029</v>
      </c>
      <c r="L43" s="66" t="n">
        <f aca="false">IF(OR(K43="",J43=""),"",(J43-K43)*100)</f>
        <v>-2.70659353414053</v>
      </c>
      <c r="M43" s="36" t="n">
        <v>1.49078099364883</v>
      </c>
      <c r="N43" s="36" t="n">
        <v>1.82016957332208</v>
      </c>
      <c r="O43" s="36" t="n">
        <f aca="false">SQRT(M43^2+N43^2)</f>
        <v>2.35275269560404</v>
      </c>
      <c r="P43" s="55" t="n">
        <f aca="false">IF(J43="","",MAX(0,J43-1.96*O43/100))</f>
        <v>0.492936748352784</v>
      </c>
      <c r="Q43" s="55" t="n">
        <f aca="false">IF(J43="","",MIN(1,J43+1.96*O43/100))</f>
        <v>0.585164654020463</v>
      </c>
      <c r="R43" s="32" t="str">
        <f aca="false">IF(L43="","",IF(ABS(L43)&lt;=O43,"Yes","No"))</f>
        <v>No</v>
      </c>
      <c r="S43" s="32" t="str">
        <f aca="false">IF(L43="","",IF(ABS(L43)&lt;=1.96*O43,"Yes","No"))</f>
        <v>Yes</v>
      </c>
      <c r="T43" s="54" t="n">
        <f aca="false">IF(D43="","",ROUND(SQRT(((D43+G43)*O43/100)^2+(J43*(D43+G43)*0.04632)^2),0))</f>
        <v>318</v>
      </c>
      <c r="U43" s="32"/>
    </row>
    <row r="44" customFormat="false" ht="15" hidden="false" customHeight="false" outlineLevel="0" collapsed="false">
      <c r="A44" s="32" t="s">
        <v>157</v>
      </c>
      <c r="B44" s="32" t="s">
        <v>177</v>
      </c>
      <c r="C44" s="32" t="s">
        <v>129</v>
      </c>
      <c r="D44" s="54" t="n">
        <v>5514</v>
      </c>
      <c r="E44" s="54" t="n">
        <v>5137</v>
      </c>
      <c r="F44" s="65" t="n">
        <f aca="false">IF(E44="","",D44-E44)</f>
        <v>377</v>
      </c>
      <c r="G44" s="54" t="n">
        <v>4533</v>
      </c>
      <c r="H44" s="54" t="n">
        <v>4495</v>
      </c>
      <c r="I44" s="65" t="n">
        <f aca="false">IF(H44="","",G44-H44)</f>
        <v>38</v>
      </c>
      <c r="J44" s="55" t="n">
        <f aca="false">IF(OR(D44="",D44+G44=0),"",D44/(D44+G44))</f>
        <v>0.548820543445805</v>
      </c>
      <c r="K44" s="55" t="n">
        <f aca="false">IF(E44="","",E44/(E44+H44))</f>
        <v>0.533326411960133</v>
      </c>
      <c r="L44" s="66" t="n">
        <f aca="false">IF(OR(K44="",J44=""),"",(J44-K44)*100)</f>
        <v>1.54941314856718</v>
      </c>
      <c r="M44" s="36" t="n">
        <v>1.49078099364883</v>
      </c>
      <c r="N44" s="36" t="n">
        <v>1.82016957332208</v>
      </c>
      <c r="O44" s="36" t="n">
        <f aca="false">SQRT(M44^2+N44^2)</f>
        <v>2.35275269560404</v>
      </c>
      <c r="P44" s="55" t="n">
        <f aca="false">IF(J44="","",MAX(0,J44-1.96*O44/100))</f>
        <v>0.502706590611966</v>
      </c>
      <c r="Q44" s="55" t="n">
        <f aca="false">IF(J44="","",MIN(1,J44+1.96*O44/100))</f>
        <v>0.594934496279644</v>
      </c>
      <c r="R44" s="32" t="str">
        <f aca="false">IF(L44="","",IF(ABS(L44)&lt;=O44,"Yes","No"))</f>
        <v>Yes</v>
      </c>
      <c r="S44" s="32" t="str">
        <f aca="false">IF(L44="","",IF(ABS(L44)&lt;=1.96*O44,"Yes","No"))</f>
        <v>Yes</v>
      </c>
      <c r="T44" s="54" t="n">
        <f aca="false">IF(D44="","",ROUND(SQRT(((D44+G44)*O44/100)^2+(J44*(D44+G44)*0.04632)^2),0))</f>
        <v>348</v>
      </c>
      <c r="U44" s="32"/>
    </row>
    <row r="45" customFormat="false" ht="15" hidden="false" customHeight="false" outlineLevel="0" collapsed="false">
      <c r="A45" s="32" t="s">
        <v>157</v>
      </c>
      <c r="B45" s="32" t="s">
        <v>178</v>
      </c>
      <c r="C45" s="32" t="s">
        <v>129</v>
      </c>
      <c r="D45" s="54" t="n">
        <v>1670</v>
      </c>
      <c r="E45" s="54" t="n">
        <v>1663</v>
      </c>
      <c r="F45" s="65" t="n">
        <f aca="false">IF(E45="","",D45-E45)</f>
        <v>7</v>
      </c>
      <c r="G45" s="54" t="n">
        <v>2271</v>
      </c>
      <c r="H45" s="54" t="n">
        <v>1974</v>
      </c>
      <c r="I45" s="65" t="n">
        <f aca="false">IF(H45="","",G45-H45)</f>
        <v>297</v>
      </c>
      <c r="J45" s="55" t="n">
        <f aca="false">IF(OR(D45="",D45+G45=0),"",D45/(D45+G45))</f>
        <v>0.423750317178381</v>
      </c>
      <c r="K45" s="55" t="n">
        <f aca="false">IF(E45="","",E45/(E45+H45))</f>
        <v>0.457244982128128</v>
      </c>
      <c r="L45" s="66" t="n">
        <f aca="false">IF(OR(K45="",J45=""),"",(J45-K45)*100)</f>
        <v>-3.34946649497465</v>
      </c>
      <c r="M45" s="36" t="n">
        <v>1.49078099364883</v>
      </c>
      <c r="N45" s="36" t="n">
        <v>1.82016957332208</v>
      </c>
      <c r="O45" s="36" t="n">
        <f aca="false">SQRT(M45^2+N45^2)</f>
        <v>2.35275269560404</v>
      </c>
      <c r="P45" s="55" t="n">
        <f aca="false">IF(J45="","",MAX(0,J45-1.96*O45/100))</f>
        <v>0.377636364344542</v>
      </c>
      <c r="Q45" s="55" t="n">
        <f aca="false">IF(J45="","",MIN(1,J45+1.96*O45/100))</f>
        <v>0.46986427001222</v>
      </c>
      <c r="R45" s="32" t="str">
        <f aca="false">IF(L45="","",IF(ABS(L45)&lt;=O45,"Yes","No"))</f>
        <v>No</v>
      </c>
      <c r="S45" s="32" t="str">
        <f aca="false">IF(L45="","",IF(ABS(L45)&lt;=1.96*O45,"Yes","No"))</f>
        <v>Yes</v>
      </c>
      <c r="T45" s="54" t="n">
        <f aca="false">IF(D45="","",ROUND(SQRT(((D45+G45)*O45/100)^2+(J45*(D45+G45)*0.04632)^2),0))</f>
        <v>121</v>
      </c>
      <c r="U45" s="32"/>
    </row>
    <row r="46" customFormat="false" ht="15" hidden="false" customHeight="false" outlineLevel="0" collapsed="false">
      <c r="A46" s="32" t="s">
        <v>157</v>
      </c>
      <c r="B46" s="32" t="s">
        <v>179</v>
      </c>
      <c r="C46" s="32" t="s">
        <v>129</v>
      </c>
      <c r="D46" s="54" t="n">
        <v>3901</v>
      </c>
      <c r="E46" s="54" t="n">
        <v>3652</v>
      </c>
      <c r="F46" s="65" t="n">
        <f aca="false">IF(E46="","",D46-E46)</f>
        <v>249</v>
      </c>
      <c r="G46" s="54" t="n">
        <v>4148</v>
      </c>
      <c r="H46" s="54" t="n">
        <v>3768</v>
      </c>
      <c r="I46" s="65" t="n">
        <f aca="false">IF(H46="","",G46-H46)</f>
        <v>380</v>
      </c>
      <c r="J46" s="55" t="n">
        <f aca="false">IF(OR(D46="",D46+G46=0),"",D46/(D46+G46))</f>
        <v>0.484656479065722</v>
      </c>
      <c r="K46" s="55" t="n">
        <f aca="false">IF(E46="","",E46/(E46+H46))</f>
        <v>0.492183288409704</v>
      </c>
      <c r="L46" s="66" t="n">
        <f aca="false">IF(OR(K46="",J46=""),"",(J46-K46)*100)</f>
        <v>-0.752680934398103</v>
      </c>
      <c r="M46" s="36" t="n">
        <v>1.49078099364883</v>
      </c>
      <c r="N46" s="36" t="n">
        <v>1.82016957332208</v>
      </c>
      <c r="O46" s="36" t="n">
        <f aca="false">SQRT(M46^2+N46^2)</f>
        <v>2.35275269560404</v>
      </c>
      <c r="P46" s="55" t="n">
        <f aca="false">IF(J46="","",MAX(0,J46-1.96*O46/100))</f>
        <v>0.438542526231883</v>
      </c>
      <c r="Q46" s="55" t="n">
        <f aca="false">IF(J46="","",MIN(1,J46+1.96*O46/100))</f>
        <v>0.530770431899562</v>
      </c>
      <c r="R46" s="32" t="str">
        <f aca="false">IF(L46="","",IF(ABS(L46)&lt;=O46,"Yes","No"))</f>
        <v>Yes</v>
      </c>
      <c r="S46" s="32" t="str">
        <f aca="false">IF(L46="","",IF(ABS(L46)&lt;=1.96*O46,"Yes","No"))</f>
        <v>Yes</v>
      </c>
      <c r="T46" s="54" t="n">
        <f aca="false">IF(D46="","",ROUND(SQRT(((D46+G46)*O46/100)^2+(J46*(D46+G46)*0.04632)^2),0))</f>
        <v>262</v>
      </c>
      <c r="U46" s="32"/>
    </row>
    <row r="47" customFormat="false" ht="15" hidden="false" customHeight="false" outlineLevel="0" collapsed="false">
      <c r="A47" s="32" t="s">
        <v>157</v>
      </c>
      <c r="B47" s="32" t="s">
        <v>180</v>
      </c>
      <c r="C47" s="32" t="s">
        <v>129</v>
      </c>
      <c r="D47" s="54" t="n">
        <v>893</v>
      </c>
      <c r="E47" s="54" t="n">
        <v>875</v>
      </c>
      <c r="F47" s="65" t="n">
        <f aca="false">IF(E47="","",D47-E47)</f>
        <v>18</v>
      </c>
      <c r="G47" s="54" t="n">
        <v>1902</v>
      </c>
      <c r="H47" s="54" t="n">
        <v>1592</v>
      </c>
      <c r="I47" s="65" t="n">
        <f aca="false">IF(H47="","",G47-H47)</f>
        <v>310</v>
      </c>
      <c r="J47" s="55" t="n">
        <f aca="false">IF(OR(D47="",D47+G47=0),"",D47/(D47+G47))</f>
        <v>0.319499105545617</v>
      </c>
      <c r="K47" s="55" t="n">
        <f aca="false">IF(E47="","",E47/(E47+H47))</f>
        <v>0.35468179975679</v>
      </c>
      <c r="L47" s="66" t="n">
        <f aca="false">IF(OR(K47="",J47=""),"",(J47-K47)*100)</f>
        <v>-3.51826942111725</v>
      </c>
      <c r="M47" s="36" t="n">
        <v>1.49078099364883</v>
      </c>
      <c r="N47" s="36" t="n">
        <v>1.82016957332208</v>
      </c>
      <c r="O47" s="36" t="n">
        <f aca="false">SQRT(M47^2+N47^2)</f>
        <v>2.35275269560404</v>
      </c>
      <c r="P47" s="55" t="n">
        <f aca="false">IF(J47="","",MAX(0,J47-1.96*O47/100))</f>
        <v>0.273385152711778</v>
      </c>
      <c r="Q47" s="55" t="n">
        <f aca="false">IF(J47="","",MIN(1,J47+1.96*O47/100))</f>
        <v>0.365613058379456</v>
      </c>
      <c r="R47" s="32" t="str">
        <f aca="false">IF(L47="","",IF(ABS(L47)&lt;=O47,"Yes","No"))</f>
        <v>No</v>
      </c>
      <c r="S47" s="32" t="str">
        <f aca="false">IF(L47="","",IF(ABS(L47)&lt;=1.96*O47,"Yes","No"))</f>
        <v>Yes</v>
      </c>
      <c r="T47" s="54" t="n">
        <f aca="false">IF(D47="","",ROUND(SQRT(((D47+G47)*O47/100)^2+(J47*(D47+G47)*0.04632)^2),0))</f>
        <v>78</v>
      </c>
      <c r="U47" s="32"/>
    </row>
    <row r="48" customFormat="false" ht="15" hidden="false" customHeight="false" outlineLevel="0" collapsed="false">
      <c r="A48" s="32" t="s">
        <v>157</v>
      </c>
      <c r="B48" s="32" t="s">
        <v>181</v>
      </c>
      <c r="C48" s="32" t="s">
        <v>129</v>
      </c>
      <c r="D48" s="54" t="n">
        <v>730</v>
      </c>
      <c r="E48" s="54" t="n">
        <v>822</v>
      </c>
      <c r="F48" s="65" t="n">
        <f aca="false">IF(E48="","",D48-E48)</f>
        <v>-92</v>
      </c>
      <c r="G48" s="54" t="n">
        <v>1762</v>
      </c>
      <c r="H48" s="54" t="n">
        <v>1519</v>
      </c>
      <c r="I48" s="65" t="n">
        <f aca="false">IF(H48="","",G48-H48)</f>
        <v>243</v>
      </c>
      <c r="J48" s="55" t="n">
        <f aca="false">IF(OR(D48="",D48+G48=0),"",D48/(D48+G48))</f>
        <v>0.292937399678973</v>
      </c>
      <c r="K48" s="55" t="n">
        <f aca="false">IF(E48="","",E48/(E48+H48))</f>
        <v>0.351131994873986</v>
      </c>
      <c r="L48" s="66" t="n">
        <f aca="false">IF(OR(K48="",J48=""),"",(J48-K48)*100)</f>
        <v>-5.81945951950128</v>
      </c>
      <c r="M48" s="36" t="n">
        <v>2.04119841836487</v>
      </c>
      <c r="N48" s="36" t="n">
        <v>1.82016957332208</v>
      </c>
      <c r="O48" s="36" t="n">
        <f aca="false">SQRT(M48^2+N48^2)</f>
        <v>2.73486896555991</v>
      </c>
      <c r="P48" s="55" t="n">
        <f aca="false">IF(J48="","",MAX(0,J48-1.96*O48/100))</f>
        <v>0.239333967953998</v>
      </c>
      <c r="Q48" s="55" t="n">
        <f aca="false">IF(J48="","",MIN(1,J48+1.96*O48/100))</f>
        <v>0.346540831403947</v>
      </c>
      <c r="R48" s="32" t="str">
        <f aca="false">IF(L48="","",IF(ABS(L48)&lt;=O48,"Yes","No"))</f>
        <v>No</v>
      </c>
      <c r="S48" s="32" t="str">
        <f aca="false">IF(L48="","",IF(ABS(L48)&lt;=1.96*O48,"Yes","No"))</f>
        <v>No</v>
      </c>
      <c r="T48" s="54" t="n">
        <f aca="false">IF(D48="","",ROUND(SQRT(((D48+G48)*O48/100)^2+(J48*(D48+G48)*0.05402)^2),0))</f>
        <v>79</v>
      </c>
      <c r="U48" s="32"/>
    </row>
    <row r="49" customFormat="false" ht="15" hidden="false" customHeight="false" outlineLevel="0" collapsed="false">
      <c r="A49" s="32" t="s">
        <v>157</v>
      </c>
      <c r="B49" s="32" t="s">
        <v>182</v>
      </c>
      <c r="C49" s="32" t="s">
        <v>129</v>
      </c>
      <c r="D49" s="54" t="n">
        <v>5254</v>
      </c>
      <c r="E49" s="54" t="n">
        <v>5195</v>
      </c>
      <c r="F49" s="65" t="n">
        <f aca="false">IF(E49="","",D49-E49)</f>
        <v>59</v>
      </c>
      <c r="G49" s="54" t="n">
        <v>4417</v>
      </c>
      <c r="H49" s="54" t="n">
        <v>4070</v>
      </c>
      <c r="I49" s="65" t="n">
        <f aca="false">IF(H49="","",G49-H49)</f>
        <v>347</v>
      </c>
      <c r="J49" s="55" t="n">
        <f aca="false">IF(OR(D49="",D49+G49=0),"",D49/(D49+G49))</f>
        <v>0.543273704890911</v>
      </c>
      <c r="K49" s="55" t="n">
        <f aca="false">IF(E49="","",E49/(E49+H49))</f>
        <v>0.560712358337831</v>
      </c>
      <c r="L49" s="66" t="n">
        <f aca="false">IF(OR(K49="",J49=""),"",(J49-K49)*100)</f>
        <v>-1.74386534469195</v>
      </c>
      <c r="M49" s="36" t="n">
        <v>1.49078099364883</v>
      </c>
      <c r="N49" s="36" t="n">
        <v>1.82016957332208</v>
      </c>
      <c r="O49" s="36" t="n">
        <f aca="false">SQRT(M49^2+N49^2)</f>
        <v>2.35275269560404</v>
      </c>
      <c r="P49" s="55" t="n">
        <f aca="false">IF(J49="","",MAX(0,J49-1.96*O49/100))</f>
        <v>0.497159752057072</v>
      </c>
      <c r="Q49" s="55" t="n">
        <f aca="false">IF(J49="","",MIN(1,J49+1.96*O49/100))</f>
        <v>0.58938765772475</v>
      </c>
      <c r="R49" s="32" t="str">
        <f aca="false">IF(L49="","",IF(ABS(L49)&lt;=O49,"Yes","No"))</f>
        <v>Yes</v>
      </c>
      <c r="S49" s="32" t="str">
        <f aca="false">IF(L49="","",IF(ABS(L49)&lt;=1.96*O49,"Yes","No"))</f>
        <v>Yes</v>
      </c>
      <c r="T49" s="54" t="n">
        <f aca="false">IF(D49="","",ROUND(SQRT(((D49+G49)*O49/100)^2+(J49*(D49+G49)*0.04632)^2),0))</f>
        <v>333</v>
      </c>
      <c r="U49" s="32"/>
    </row>
    <row r="50" customFormat="false" ht="15" hidden="false" customHeight="false" outlineLevel="0" collapsed="false">
      <c r="A50" s="32" t="s">
        <v>183</v>
      </c>
      <c r="B50" s="32" t="s">
        <v>184</v>
      </c>
      <c r="C50" s="32" t="s">
        <v>129</v>
      </c>
      <c r="D50" s="54" t="n">
        <v>360</v>
      </c>
      <c r="E50" s="54" t="n">
        <v>330</v>
      </c>
      <c r="F50" s="65" t="n">
        <f aca="false">IF(E50="","",D50-E50)</f>
        <v>30</v>
      </c>
      <c r="G50" s="54" t="n">
        <v>728</v>
      </c>
      <c r="H50" s="54" t="n">
        <v>632</v>
      </c>
      <c r="I50" s="65" t="n">
        <f aca="false">IF(H50="","",G50-H50)</f>
        <v>96</v>
      </c>
      <c r="J50" s="55" t="n">
        <f aca="false">IF(OR(D50="",D50+G50=0),"",D50/(D50+G50))</f>
        <v>0.330882352941176</v>
      </c>
      <c r="K50" s="55" t="n">
        <f aca="false">IF(E50="","",E50/(E50+H50))</f>
        <v>0.343035343035343</v>
      </c>
      <c r="L50" s="66" t="n">
        <f aca="false">IF(OR(K50="",J50=""),"",(J50-K50)*100)</f>
        <v>-1.21529900941666</v>
      </c>
      <c r="M50" s="36" t="n">
        <v>3.1224752494797</v>
      </c>
      <c r="N50" s="36" t="n">
        <v>1.82016957332208</v>
      </c>
      <c r="O50" s="36" t="n">
        <f aca="false">SQRT(M50^2+N50^2)</f>
        <v>3.61425911623126</v>
      </c>
      <c r="P50" s="55" t="n">
        <f aca="false">IF(J50="","",MAX(0,J50-1.96*O50/100))</f>
        <v>0.260042874263044</v>
      </c>
      <c r="Q50" s="55" t="n">
        <f aca="false">IF(J50="","",MIN(1,J50+1.96*O50/100))</f>
        <v>0.401721831619309</v>
      </c>
      <c r="R50" s="32" t="str">
        <f aca="false">IF(L50="","",IF(ABS(L50)&lt;=O50,"Yes","No"))</f>
        <v>Yes</v>
      </c>
      <c r="S50" s="32" t="str">
        <f aca="false">IF(L50="","",IF(ABS(L50)&lt;=1.96*O50,"Yes","No"))</f>
        <v>Yes</v>
      </c>
      <c r="T50" s="54" t="n">
        <f aca="false">IF(D50="","",ROUND(SQRT(((D50+G50)*O50/100)^2+(J50*(D50+G50)*0.07067)^2),0))</f>
        <v>47</v>
      </c>
      <c r="U50" s="32"/>
    </row>
    <row r="51" customFormat="false" ht="15" hidden="false" customHeight="false" outlineLevel="0" collapsed="false">
      <c r="A51" s="32" t="s">
        <v>183</v>
      </c>
      <c r="B51" s="32" t="s">
        <v>186</v>
      </c>
      <c r="C51" s="32" t="s">
        <v>129</v>
      </c>
      <c r="D51" s="54" t="n">
        <v>970</v>
      </c>
      <c r="E51" s="54" t="n">
        <v>1009</v>
      </c>
      <c r="F51" s="65" t="n">
        <f aca="false">IF(E51="","",D51-E51)</f>
        <v>-39</v>
      </c>
      <c r="G51" s="54" t="n">
        <v>1703</v>
      </c>
      <c r="H51" s="54" t="n">
        <v>1471</v>
      </c>
      <c r="I51" s="65" t="n">
        <f aca="false">IF(H51="","",G51-H51)</f>
        <v>232</v>
      </c>
      <c r="J51" s="55" t="n">
        <f aca="false">IF(OR(D51="",D51+G51=0),"",D51/(D51+G51))</f>
        <v>0.362888140665918</v>
      </c>
      <c r="K51" s="55" t="n">
        <f aca="false">IF(E51="","",E51/(E51+H51))</f>
        <v>0.406854838709677</v>
      </c>
      <c r="L51" s="66" t="n">
        <f aca="false">IF(OR(K51="",J51=""),"",(J51-K51)*100)</f>
        <v>-4.3966698043759</v>
      </c>
      <c r="M51" s="36" t="n">
        <v>1.49078099364883</v>
      </c>
      <c r="N51" s="36" t="n">
        <v>1.82016957332208</v>
      </c>
      <c r="O51" s="36" t="n">
        <f aca="false">SQRT(M51^2+N51^2)</f>
        <v>2.35275269560404</v>
      </c>
      <c r="P51" s="55" t="n">
        <f aca="false">IF(J51="","",MAX(0,J51-1.96*O51/100))</f>
        <v>0.316774187832079</v>
      </c>
      <c r="Q51" s="55" t="n">
        <f aca="false">IF(J51="","",MIN(1,J51+1.96*O51/100))</f>
        <v>0.409002093499758</v>
      </c>
      <c r="R51" s="32" t="str">
        <f aca="false">IF(L51="","",IF(ABS(L51)&lt;=O51,"Yes","No"))</f>
        <v>No</v>
      </c>
      <c r="S51" s="32" t="str">
        <f aca="false">IF(L51="","",IF(ABS(L51)&lt;=1.96*O51,"Yes","No"))</f>
        <v>Yes</v>
      </c>
      <c r="T51" s="54" t="n">
        <f aca="false">IF(D51="","",ROUND(SQRT(((D51+G51)*O51/100)^2+(J51*(D51+G51)*0.04632)^2),0))</f>
        <v>77</v>
      </c>
      <c r="U51" s="32" t="s">
        <v>394</v>
      </c>
    </row>
    <row r="52" customFormat="false" ht="15" hidden="false" customHeight="false" outlineLevel="0" collapsed="false">
      <c r="A52" s="32" t="s">
        <v>183</v>
      </c>
      <c r="B52" s="32" t="s">
        <v>187</v>
      </c>
      <c r="C52" s="32" t="s">
        <v>129</v>
      </c>
      <c r="D52" s="54" t="n">
        <v>387</v>
      </c>
      <c r="E52" s="54" t="n">
        <v>358</v>
      </c>
      <c r="F52" s="65" t="n">
        <f aca="false">IF(E52="","",D52-E52)</f>
        <v>29</v>
      </c>
      <c r="G52" s="54" t="n">
        <v>722</v>
      </c>
      <c r="H52" s="54" t="n">
        <v>503</v>
      </c>
      <c r="I52" s="65" t="n">
        <f aca="false">IF(H52="","",G52-H52)</f>
        <v>219</v>
      </c>
      <c r="J52" s="55" t="n">
        <f aca="false">IF(OR(D52="",D52+G52=0),"",D52/(D52+G52))</f>
        <v>0.348963029756537</v>
      </c>
      <c r="K52" s="55" t="n">
        <f aca="false">IF(E52="","",E52/(E52+H52))</f>
        <v>0.415795586527294</v>
      </c>
      <c r="L52" s="66" t="n">
        <f aca="false">IF(OR(K52="",J52=""),"",(J52-K52)*100)</f>
        <v>-6.68325567707564</v>
      </c>
      <c r="M52" s="36" t="n">
        <v>3.1224752494797</v>
      </c>
      <c r="N52" s="36" t="n">
        <v>1.82016957332208</v>
      </c>
      <c r="O52" s="36" t="n">
        <f aca="false">SQRT(M52^2+N52^2)</f>
        <v>3.61425911623126</v>
      </c>
      <c r="P52" s="55" t="n">
        <f aca="false">IF(J52="","",MAX(0,J52-1.96*O52/100))</f>
        <v>0.278123551078405</v>
      </c>
      <c r="Q52" s="55" t="n">
        <f aca="false">IF(J52="","",MIN(1,J52+1.96*O52/100))</f>
        <v>0.41980250843467</v>
      </c>
      <c r="R52" s="32" t="str">
        <f aca="false">IF(L52="","",IF(ABS(L52)&lt;=O52,"Yes","No"))</f>
        <v>No</v>
      </c>
      <c r="S52" s="32" t="str">
        <f aca="false">IF(L52="","",IF(ABS(L52)&lt;=1.96*O52,"Yes","No"))</f>
        <v>Yes</v>
      </c>
      <c r="T52" s="54" t="n">
        <f aca="false">IF(D52="","",ROUND(SQRT(((D52+G52)*O52/100)^2+(J52*(D52+G52)*0.07067)^2),0))</f>
        <v>49</v>
      </c>
      <c r="U52" s="32" t="s">
        <v>395</v>
      </c>
    </row>
    <row r="53" customFormat="false" ht="15" hidden="false" customHeight="false" outlineLevel="0" collapsed="false">
      <c r="A53" s="32" t="s">
        <v>188</v>
      </c>
      <c r="B53" s="32" t="s">
        <v>189</v>
      </c>
      <c r="C53" s="32" t="s">
        <v>129</v>
      </c>
      <c r="D53" s="54" t="n">
        <v>1015</v>
      </c>
      <c r="E53" s="54" t="n">
        <v>908</v>
      </c>
      <c r="F53" s="65" t="n">
        <f aca="false">IF(E53="","",D53-E53)</f>
        <v>107</v>
      </c>
      <c r="G53" s="54" t="n">
        <v>1316</v>
      </c>
      <c r="H53" s="54" t="n">
        <v>1196</v>
      </c>
      <c r="I53" s="65" t="n">
        <f aca="false">IF(H53="","",G53-H53)</f>
        <v>120</v>
      </c>
      <c r="J53" s="55" t="n">
        <f aca="false">IF(OR(D53="",D53+G53=0),"",D53/(D53+G53))</f>
        <v>0.435435435435435</v>
      </c>
      <c r="K53" s="55" t="n">
        <f aca="false">IF(E53="","",E53/(E53+H53))</f>
        <v>0.431558935361217</v>
      </c>
      <c r="L53" s="66" t="n">
        <f aca="false">IF(OR(K53="",J53=""),"",(J53-K53)*100)</f>
        <v>0.387650007421869</v>
      </c>
      <c r="M53" s="36" t="n">
        <v>2.04119841836487</v>
      </c>
      <c r="N53" s="36" t="n">
        <v>1.82016957332208</v>
      </c>
      <c r="O53" s="36" t="n">
        <f aca="false">SQRT(M53^2+N53^2)</f>
        <v>2.73486896555991</v>
      </c>
      <c r="P53" s="55" t="n">
        <f aca="false">IF(J53="","",MAX(0,J53-1.96*O53/100))</f>
        <v>0.381832003710461</v>
      </c>
      <c r="Q53" s="55" t="n">
        <f aca="false">IF(J53="","",MIN(1,J53+1.96*O53/100))</f>
        <v>0.48903886716041</v>
      </c>
      <c r="R53" s="32" t="str">
        <f aca="false">IF(L53="","",IF(ABS(L53)&lt;=O53,"Yes","No"))</f>
        <v>Yes</v>
      </c>
      <c r="S53" s="32" t="str">
        <f aca="false">IF(L53="","",IF(ABS(L53)&lt;=1.96*O53,"Yes","No"))</f>
        <v>Yes</v>
      </c>
      <c r="T53" s="54" t="n">
        <f aca="false">IF(D53="","",ROUND(SQRT(((D53+G53)*O53/100)^2+(J53*(D53+G53)*0.05402)^2),0))</f>
        <v>84</v>
      </c>
      <c r="U53" s="32"/>
    </row>
    <row r="54" customFormat="false" ht="15" hidden="false" customHeight="false" outlineLevel="0" collapsed="false">
      <c r="A54" s="32" t="s">
        <v>188</v>
      </c>
      <c r="B54" s="32" t="s">
        <v>190</v>
      </c>
      <c r="C54" s="32" t="s">
        <v>129</v>
      </c>
      <c r="D54" s="54" t="n">
        <v>688</v>
      </c>
      <c r="E54" s="54" t="n">
        <v>701</v>
      </c>
      <c r="F54" s="65" t="n">
        <f aca="false">IF(E54="","",D54-E54)</f>
        <v>-13</v>
      </c>
      <c r="G54" s="54" t="n">
        <v>871</v>
      </c>
      <c r="H54" s="54" t="n">
        <v>780</v>
      </c>
      <c r="I54" s="65" t="n">
        <f aca="false">IF(H54="","",G54-H54)</f>
        <v>91</v>
      </c>
      <c r="J54" s="55" t="n">
        <f aca="false">IF(OR(D54="",D54+G54=0),"",D54/(D54+G54))</f>
        <v>0.441308531109686</v>
      </c>
      <c r="K54" s="55" t="n">
        <f aca="false">IF(E54="","",E54/(E54+H54))</f>
        <v>0.473328831870358</v>
      </c>
      <c r="L54" s="66" t="n">
        <f aca="false">IF(OR(K54="",J54=""),"",(J54-K54)*100)</f>
        <v>-3.20203007606721</v>
      </c>
      <c r="M54" s="36" t="n">
        <v>2.04119841836487</v>
      </c>
      <c r="N54" s="36" t="n">
        <v>1.82016957332208</v>
      </c>
      <c r="O54" s="36" t="n">
        <f aca="false">SQRT(M54^2+N54^2)</f>
        <v>2.73486896555991</v>
      </c>
      <c r="P54" s="55" t="n">
        <f aca="false">IF(J54="","",MAX(0,J54-1.96*O54/100))</f>
        <v>0.387705099384711</v>
      </c>
      <c r="Q54" s="55" t="n">
        <f aca="false">IF(J54="","",MIN(1,J54+1.96*O54/100))</f>
        <v>0.49491196283466</v>
      </c>
      <c r="R54" s="32" t="str">
        <f aca="false">IF(L54="","",IF(ABS(L54)&lt;=O54,"Yes","No"))</f>
        <v>No</v>
      </c>
      <c r="S54" s="32" t="str">
        <f aca="false">IF(L54="","",IF(ABS(L54)&lt;=1.96*O54,"Yes","No"))</f>
        <v>Yes</v>
      </c>
      <c r="T54" s="54" t="n">
        <f aca="false">IF(D54="","",ROUND(SQRT(((D54+G54)*O54/100)^2+(J54*(D54+G54)*0.05402)^2),0))</f>
        <v>57</v>
      </c>
      <c r="U54" s="32"/>
    </row>
    <row r="55" customFormat="false" ht="15" hidden="false" customHeight="false" outlineLevel="0" collapsed="false">
      <c r="A55" s="32" t="s">
        <v>188</v>
      </c>
      <c r="B55" s="32" t="s">
        <v>191</v>
      </c>
      <c r="C55" s="32" t="s">
        <v>129</v>
      </c>
      <c r="D55" s="54" t="n">
        <v>430</v>
      </c>
      <c r="E55" s="54" t="n">
        <v>368</v>
      </c>
      <c r="F55" s="65" t="n">
        <f aca="false">IF(E55="","",D55-E55)</f>
        <v>62</v>
      </c>
      <c r="G55" s="54" t="n">
        <v>417</v>
      </c>
      <c r="H55" s="54" t="n">
        <v>408</v>
      </c>
      <c r="I55" s="65" t="n">
        <f aca="false">IF(H55="","",G55-H55)</f>
        <v>9</v>
      </c>
      <c r="J55" s="55" t="n">
        <f aca="false">IF(OR(D55="",D55+G55=0),"",D55/(D55+G55))</f>
        <v>0.50767414403778</v>
      </c>
      <c r="K55" s="55" t="n">
        <f aca="false">IF(E55="","",E55/(E55+H55))</f>
        <v>0.474226804123711</v>
      </c>
      <c r="L55" s="66" t="n">
        <f aca="false">IF(OR(K55="",J55=""),"",(J55-K55)*100)</f>
        <v>3.34473399140691</v>
      </c>
      <c r="M55" s="36" t="n">
        <v>3.1224752494797</v>
      </c>
      <c r="N55" s="36" t="n">
        <v>1.82016957332208</v>
      </c>
      <c r="O55" s="36" t="n">
        <f aca="false">SQRT(M55^2+N55^2)</f>
        <v>3.61425911623126</v>
      </c>
      <c r="P55" s="55" t="n">
        <f aca="false">IF(J55="","",MAX(0,J55-1.96*O55/100))</f>
        <v>0.436834665359648</v>
      </c>
      <c r="Q55" s="55" t="n">
        <f aca="false">IF(J55="","",MIN(1,J55+1.96*O55/100))</f>
        <v>0.578513622715913</v>
      </c>
      <c r="R55" s="32" t="str">
        <f aca="false">IF(L55="","",IF(ABS(L55)&lt;=O55,"Yes","No"))</f>
        <v>Yes</v>
      </c>
      <c r="S55" s="32" t="str">
        <f aca="false">IF(L55="","",IF(ABS(L55)&lt;=1.96*O55,"Yes","No"))</f>
        <v>Yes</v>
      </c>
      <c r="T55" s="54" t="n">
        <f aca="false">IF(D55="","",ROUND(SQRT(((D55+G55)*O55/100)^2+(J55*(D55+G55)*0.07067)^2),0))</f>
        <v>43</v>
      </c>
      <c r="U55" s="32"/>
    </row>
    <row r="56" customFormat="false" ht="15" hidden="false" customHeight="false" outlineLevel="0" collapsed="false">
      <c r="A56" s="32" t="s">
        <v>188</v>
      </c>
      <c r="B56" s="32" t="s">
        <v>160</v>
      </c>
      <c r="C56" s="32" t="s">
        <v>129</v>
      </c>
      <c r="D56" s="54" t="n">
        <v>12263</v>
      </c>
      <c r="E56" s="54" t="n">
        <v>12121</v>
      </c>
      <c r="F56" s="65" t="n">
        <f aca="false">IF(E56="","",D56-E56)</f>
        <v>142</v>
      </c>
      <c r="G56" s="54" t="n">
        <v>5200</v>
      </c>
      <c r="H56" s="54" t="n">
        <v>4931</v>
      </c>
      <c r="I56" s="65" t="n">
        <f aca="false">IF(H56="","",G56-H56)</f>
        <v>269</v>
      </c>
      <c r="J56" s="55" t="n">
        <f aca="false">IF(OR(D56="",D56+G56=0),"",D56/(D56+G56))</f>
        <v>0.702227566855638</v>
      </c>
      <c r="K56" s="55" t="n">
        <f aca="false">IF(E56="","",E56/(E56+H56))</f>
        <v>0.710825709594183</v>
      </c>
      <c r="L56" s="66" t="n">
        <f aca="false">IF(OR(K56="",J56=""),"",(J56-K56)*100)</f>
        <v>-0.859814273854487</v>
      </c>
      <c r="M56" s="36" t="n">
        <v>1.49078099364883</v>
      </c>
      <c r="N56" s="36" t="n">
        <v>1.82016957332208</v>
      </c>
      <c r="O56" s="36" t="n">
        <f aca="false">SQRT(M56^2+N56^2)</f>
        <v>2.35275269560404</v>
      </c>
      <c r="P56" s="55" t="n">
        <f aca="false">IF(J56="","",MAX(0,J56-1.96*O56/100))</f>
        <v>0.656113614021799</v>
      </c>
      <c r="Q56" s="55" t="n">
        <f aca="false">IF(J56="","",MIN(1,J56+1.96*O56/100))</f>
        <v>0.748341519689477</v>
      </c>
      <c r="R56" s="32" t="str">
        <f aca="false">IF(L56="","",IF(ABS(L56)&lt;=O56,"Yes","No"))</f>
        <v>Yes</v>
      </c>
      <c r="S56" s="32" t="str">
        <f aca="false">IF(L56="","",IF(ABS(L56)&lt;=1.96*O56,"Yes","No"))</f>
        <v>Yes</v>
      </c>
      <c r="T56" s="54" t="n">
        <f aca="false">IF(D56="","",ROUND(SQRT(((D56+G56)*O56/100)^2+(J56*(D56+G56)*0.04632)^2),0))</f>
        <v>701</v>
      </c>
      <c r="U56" s="32"/>
    </row>
    <row r="57" customFormat="false" ht="15" hidden="false" customHeight="false" outlineLevel="0" collapsed="false">
      <c r="A57" s="32" t="s">
        <v>188</v>
      </c>
      <c r="B57" s="32" t="s">
        <v>192</v>
      </c>
      <c r="C57" s="32" t="s">
        <v>129</v>
      </c>
      <c r="D57" s="54" t="n">
        <v>6488</v>
      </c>
      <c r="E57" s="54" t="n">
        <v>5576</v>
      </c>
      <c r="F57" s="65" t="n">
        <f aca="false">IF(E57="","",D57-E57)</f>
        <v>912</v>
      </c>
      <c r="G57" s="54" t="n">
        <v>4714</v>
      </c>
      <c r="H57" s="54" t="n">
        <v>4673</v>
      </c>
      <c r="I57" s="65" t="n">
        <f aca="false">IF(H57="","",G57-H57)</f>
        <v>41</v>
      </c>
      <c r="J57" s="55" t="n">
        <f aca="false">IF(OR(D57="",D57+G57=0),"",D57/(D57+G57))</f>
        <v>0.579182288876986</v>
      </c>
      <c r="K57" s="55" t="n">
        <f aca="false">IF(E57="","",E57/(E57+H57))</f>
        <v>0.544053078349107</v>
      </c>
      <c r="L57" s="66" t="n">
        <f aca="false">IF(OR(K57="",J57=""),"",(J57-K57)*100)</f>
        <v>3.51292105278791</v>
      </c>
      <c r="M57" s="36" t="n">
        <v>1.49078099364883</v>
      </c>
      <c r="N57" s="36" t="n">
        <v>1.82016957332208</v>
      </c>
      <c r="O57" s="36" t="n">
        <f aca="false">SQRT(M57^2+N57^2)</f>
        <v>2.35275269560404</v>
      </c>
      <c r="P57" s="55" t="n">
        <f aca="false">IF(J57="","",MAX(0,J57-1.96*O57/100))</f>
        <v>0.533068336043147</v>
      </c>
      <c r="Q57" s="55" t="n">
        <f aca="false">IF(J57="","",MIN(1,J57+1.96*O57/100))</f>
        <v>0.625296241710825</v>
      </c>
      <c r="R57" s="32" t="str">
        <f aca="false">IF(L57="","",IF(ABS(L57)&lt;=O57,"Yes","No"))</f>
        <v>No</v>
      </c>
      <c r="S57" s="32" t="str">
        <f aca="false">IF(L57="","",IF(ABS(L57)&lt;=1.96*O57,"Yes","No"))</f>
        <v>Yes</v>
      </c>
      <c r="T57" s="54" t="n">
        <f aca="false">IF(D57="","",ROUND(SQRT(((D57+G57)*O57/100)^2+(J57*(D57+G57)*0.04632)^2),0))</f>
        <v>400</v>
      </c>
      <c r="U57" s="32"/>
    </row>
    <row r="58" customFormat="false" ht="15" hidden="false" customHeight="false" outlineLevel="0" collapsed="false">
      <c r="A58" s="32" t="s">
        <v>188</v>
      </c>
      <c r="B58" s="32" t="s">
        <v>193</v>
      </c>
      <c r="C58" s="32" t="s">
        <v>129</v>
      </c>
      <c r="D58" s="54" t="n">
        <v>1418</v>
      </c>
      <c r="E58" s="54" t="n">
        <v>1370</v>
      </c>
      <c r="F58" s="65" t="n">
        <f aca="false">IF(E58="","",D58-E58)</f>
        <v>48</v>
      </c>
      <c r="G58" s="54" t="n">
        <v>2605</v>
      </c>
      <c r="H58" s="54" t="n">
        <v>2143</v>
      </c>
      <c r="I58" s="65" t="n">
        <f aca="false">IF(H58="","",G58-H58)</f>
        <v>462</v>
      </c>
      <c r="J58" s="55" t="n">
        <f aca="false">IF(OR(D58="",D58+G58=0),"",D58/(D58+G58))</f>
        <v>0.352473278647775</v>
      </c>
      <c r="K58" s="55" t="n">
        <f aca="false">IF(E58="","",E58/(E58+H58))</f>
        <v>0.389980074010817</v>
      </c>
      <c r="L58" s="66" t="n">
        <f aca="false">IF(OR(K58="",J58=""),"",(J58-K58)*100)</f>
        <v>-3.75067953630417</v>
      </c>
      <c r="M58" s="36" t="n">
        <v>1.49078099364883</v>
      </c>
      <c r="N58" s="36" t="n">
        <v>1.82016957332208</v>
      </c>
      <c r="O58" s="36" t="n">
        <f aca="false">SQRT(M58^2+N58^2)</f>
        <v>2.35275269560404</v>
      </c>
      <c r="P58" s="55" t="n">
        <f aca="false">IF(J58="","",MAX(0,J58-1.96*O58/100))</f>
        <v>0.306359325813936</v>
      </c>
      <c r="Q58" s="55" t="n">
        <f aca="false">IF(J58="","",MIN(1,J58+1.96*O58/100))</f>
        <v>0.398587231481614</v>
      </c>
      <c r="R58" s="32" t="str">
        <f aca="false">IF(L58="","",IF(ABS(L58)&lt;=O58,"Yes","No"))</f>
        <v>No</v>
      </c>
      <c r="S58" s="32" t="str">
        <f aca="false">IF(L58="","",IF(ABS(L58)&lt;=1.96*O58,"Yes","No"))</f>
        <v>Yes</v>
      </c>
      <c r="T58" s="54" t="n">
        <f aca="false">IF(D58="","",ROUND(SQRT(((D58+G58)*O58/100)^2+(J58*(D58+G58)*0.04632)^2),0))</f>
        <v>115</v>
      </c>
      <c r="U58" s="32"/>
    </row>
    <row r="59" customFormat="false" ht="15" hidden="false" customHeight="false" outlineLevel="0" collapsed="false">
      <c r="A59" s="32" t="s">
        <v>188</v>
      </c>
      <c r="B59" s="32" t="s">
        <v>194</v>
      </c>
      <c r="C59" s="32" t="s">
        <v>129</v>
      </c>
      <c r="D59" s="54" t="n">
        <v>29</v>
      </c>
      <c r="E59" s="54" t="n">
        <v>30</v>
      </c>
      <c r="F59" s="65" t="n">
        <f aca="false">IF(E59="","",D59-E59)</f>
        <v>-1</v>
      </c>
      <c r="G59" s="54" t="n">
        <v>54</v>
      </c>
      <c r="H59" s="54" t="n">
        <v>36</v>
      </c>
      <c r="I59" s="65" t="n">
        <f aca="false">IF(H59="","",G59-H59)</f>
        <v>18</v>
      </c>
      <c r="J59" s="55" t="n">
        <f aca="false">IF(OR(D59="",D59+G59=0),"",D59/(D59+G59))</f>
        <v>0.349397590361446</v>
      </c>
      <c r="K59" s="55" t="n">
        <f aca="false">IF(E59="","",E59/(E59+H59))</f>
        <v>0.454545454545455</v>
      </c>
      <c r="L59" s="66" t="n">
        <f aca="false">IF(OR(K59="",J59=""),"",(J59-K59)*100)</f>
        <v>-10.5147864184009</v>
      </c>
      <c r="M59" s="36" t="n">
        <v>3.1224752494797</v>
      </c>
      <c r="N59" s="36" t="n">
        <v>1.82016957332208</v>
      </c>
      <c r="O59" s="36" t="n">
        <f aca="false">SQRT(M59^2+N59^2)</f>
        <v>3.61425911623126</v>
      </c>
      <c r="P59" s="55" t="n">
        <f aca="false">IF(J59="","",MAX(0,J59-1.96*O59/100))</f>
        <v>0.278558111683313</v>
      </c>
      <c r="Q59" s="55" t="n">
        <f aca="false">IF(J59="","",MIN(1,J59+1.96*O59/100))</f>
        <v>0.420237069039579</v>
      </c>
      <c r="R59" s="32" t="str">
        <f aca="false">IF(L59="","",IF(ABS(L59)&lt;=O59,"Yes","No"))</f>
        <v>No</v>
      </c>
      <c r="S59" s="32" t="str">
        <f aca="false">IF(L59="","",IF(ABS(L59)&lt;=1.96*O59,"Yes","No"))</f>
        <v>No</v>
      </c>
      <c r="T59" s="54" t="n">
        <f aca="false">IF(D59="","",ROUND(SQRT(((D59+G59)*O59/100)^2+(J59*(D59+G59)*0.07067)^2),0))</f>
        <v>4</v>
      </c>
      <c r="U59" s="32"/>
    </row>
    <row r="60" customFormat="false" ht="15" hidden="false" customHeight="false" outlineLevel="0" collapsed="false">
      <c r="A60" s="32" t="s">
        <v>188</v>
      </c>
      <c r="B60" s="32" t="s">
        <v>195</v>
      </c>
      <c r="C60" s="32" t="s">
        <v>129</v>
      </c>
      <c r="D60" s="54" t="n">
        <v>935</v>
      </c>
      <c r="E60" s="54" t="n">
        <v>840</v>
      </c>
      <c r="F60" s="65" t="n">
        <f aca="false">IF(E60="","",D60-E60)</f>
        <v>95</v>
      </c>
      <c r="G60" s="54" t="n">
        <v>1280</v>
      </c>
      <c r="H60" s="54" t="n">
        <v>1151</v>
      </c>
      <c r="I60" s="65" t="n">
        <f aca="false">IF(H60="","",G60-H60)</f>
        <v>129</v>
      </c>
      <c r="J60" s="55" t="n">
        <f aca="false">IF(OR(D60="",D60+G60=0),"",D60/(D60+G60))</f>
        <v>0.422121896162528</v>
      </c>
      <c r="K60" s="55" t="n">
        <f aca="false">IF(E60="","",E60/(E60+H60))</f>
        <v>0.421898543445505</v>
      </c>
      <c r="L60" s="66" t="n">
        <f aca="false">IF(OR(K60="",J60=""),"",(J60-K60)*100)</f>
        <v>0.0223352717023451</v>
      </c>
      <c r="M60" s="36" t="n">
        <v>2.04119841836487</v>
      </c>
      <c r="N60" s="36" t="n">
        <v>1.82016957332208</v>
      </c>
      <c r="O60" s="36" t="n">
        <f aca="false">SQRT(M60^2+N60^2)</f>
        <v>2.73486896555991</v>
      </c>
      <c r="P60" s="55" t="n">
        <f aca="false">IF(J60="","",MAX(0,J60-1.96*O60/100))</f>
        <v>0.368518464437554</v>
      </c>
      <c r="Q60" s="55" t="n">
        <f aca="false">IF(J60="","",MIN(1,J60+1.96*O60/100))</f>
        <v>0.475725327887503</v>
      </c>
      <c r="R60" s="32" t="str">
        <f aca="false">IF(L60="","",IF(ABS(L60)&lt;=O60,"Yes","No"))</f>
        <v>Yes</v>
      </c>
      <c r="S60" s="32" t="str">
        <f aca="false">IF(L60="","",IF(ABS(L60)&lt;=1.96*O60,"Yes","No"))</f>
        <v>Yes</v>
      </c>
      <c r="T60" s="54" t="n">
        <f aca="false">IF(D60="","",ROUND(SQRT(((D60+G60)*O60/100)^2+(J60*(D60+G60)*0.05402)^2),0))</f>
        <v>79</v>
      </c>
      <c r="U60" s="32"/>
    </row>
    <row r="61" customFormat="false" ht="15" hidden="false" customHeight="false" outlineLevel="0" collapsed="false">
      <c r="A61" s="32" t="s">
        <v>188</v>
      </c>
      <c r="B61" s="32" t="s">
        <v>196</v>
      </c>
      <c r="C61" s="32" t="s">
        <v>129</v>
      </c>
      <c r="D61" s="54" t="n">
        <v>139</v>
      </c>
      <c r="E61" s="54" t="n">
        <v>130</v>
      </c>
      <c r="F61" s="65" t="n">
        <f aca="false">IF(E61="","",D61-E61)</f>
        <v>9</v>
      </c>
      <c r="G61" s="54" t="n">
        <v>197</v>
      </c>
      <c r="H61" s="54" t="n">
        <v>203</v>
      </c>
      <c r="I61" s="65" t="n">
        <f aca="false">IF(H61="","",G61-H61)</f>
        <v>-6</v>
      </c>
      <c r="J61" s="55" t="n">
        <f aca="false">IF(OR(D61="",D61+G61=0),"",D61/(D61+G61))</f>
        <v>0.413690476190476</v>
      </c>
      <c r="K61" s="55" t="n">
        <f aca="false">IF(E61="","",E61/(E61+H61))</f>
        <v>0.39039039039039</v>
      </c>
      <c r="L61" s="66" t="n">
        <f aca="false">IF(OR(K61="",J61=""),"",(J61-K61)*100)</f>
        <v>2.33000858000858</v>
      </c>
      <c r="M61" s="36" t="n">
        <v>3.1224752494797</v>
      </c>
      <c r="N61" s="36" t="n">
        <v>1.82016957332208</v>
      </c>
      <c r="O61" s="36" t="n">
        <f aca="false">SQRT(M61^2+N61^2)</f>
        <v>3.61425911623126</v>
      </c>
      <c r="P61" s="55" t="n">
        <f aca="false">IF(J61="","",MAX(0,J61-1.96*O61/100))</f>
        <v>0.342850997512343</v>
      </c>
      <c r="Q61" s="55" t="n">
        <f aca="false">IF(J61="","",MIN(1,J61+1.96*O61/100))</f>
        <v>0.484529954868609</v>
      </c>
      <c r="R61" s="32" t="str">
        <f aca="false">IF(L61="","",IF(ABS(L61)&lt;=O61,"Yes","No"))</f>
        <v>Yes</v>
      </c>
      <c r="S61" s="32" t="str">
        <f aca="false">IF(L61="","",IF(ABS(L61)&lt;=1.96*O61,"Yes","No"))</f>
        <v>Yes</v>
      </c>
      <c r="T61" s="54" t="n">
        <f aca="false">IF(D61="","",ROUND(SQRT(((D61+G61)*O61/100)^2+(J61*(D61+G61)*0.07067)^2),0))</f>
        <v>16</v>
      </c>
      <c r="U61" s="32"/>
    </row>
    <row r="62" customFormat="false" ht="15" hidden="false" customHeight="false" outlineLevel="0" collapsed="false">
      <c r="A62" s="32" t="s">
        <v>188</v>
      </c>
      <c r="B62" s="32" t="s">
        <v>197</v>
      </c>
      <c r="C62" s="32" t="s">
        <v>129</v>
      </c>
      <c r="D62" s="54" t="n">
        <v>4761</v>
      </c>
      <c r="E62" s="54" t="n">
        <v>5059</v>
      </c>
      <c r="F62" s="65" t="n">
        <f aca="false">IF(E62="","",D62-E62)</f>
        <v>-298</v>
      </c>
      <c r="G62" s="54" t="n">
        <v>2017</v>
      </c>
      <c r="H62" s="54" t="n">
        <v>1583</v>
      </c>
      <c r="I62" s="65" t="n">
        <f aca="false">IF(H62="","",G62-H62)</f>
        <v>434</v>
      </c>
      <c r="J62" s="55" t="n">
        <f aca="false">IF(OR(D62="",D62+G62=0),"",D62/(D62+G62))</f>
        <v>0.702419592800236</v>
      </c>
      <c r="K62" s="55" t="n">
        <f aca="false">IF(E62="","",E62/(E62+H62))</f>
        <v>0.761668172237278</v>
      </c>
      <c r="L62" s="66" t="n">
        <f aca="false">IF(OR(K62="",J62=""),"",(J62-K62)*100)</f>
        <v>-5.92485794370419</v>
      </c>
      <c r="M62" s="36" t="n">
        <v>1.49078099364883</v>
      </c>
      <c r="N62" s="36" t="n">
        <v>1.82016957332208</v>
      </c>
      <c r="O62" s="36" t="n">
        <f aca="false">SQRT(M62^2+N62^2)</f>
        <v>2.35275269560404</v>
      </c>
      <c r="P62" s="55" t="n">
        <f aca="false">IF(J62="","",MAX(0,J62-1.96*O62/100))</f>
        <v>0.656305639966397</v>
      </c>
      <c r="Q62" s="55" t="n">
        <f aca="false">IF(J62="","",MIN(1,J62+1.96*O62/100))</f>
        <v>0.748533545634075</v>
      </c>
      <c r="R62" s="32" t="str">
        <f aca="false">IF(L62="","",IF(ABS(L62)&lt;=O62,"Yes","No"))</f>
        <v>No</v>
      </c>
      <c r="S62" s="32" t="str">
        <f aca="false">IF(L62="","",IF(ABS(L62)&lt;=1.96*O62,"Yes","No"))</f>
        <v>No</v>
      </c>
      <c r="T62" s="54" t="n">
        <f aca="false">IF(D62="","",ROUND(SQRT(((D62+G62)*O62/100)^2+(J62*(D62+G62)*0.04632)^2),0))</f>
        <v>272</v>
      </c>
      <c r="U62" s="32"/>
    </row>
    <row r="63" customFormat="false" ht="15" hidden="false" customHeight="false" outlineLevel="0" collapsed="false">
      <c r="A63" s="32" t="s">
        <v>188</v>
      </c>
      <c r="B63" s="32" t="s">
        <v>198</v>
      </c>
      <c r="C63" s="32" t="s">
        <v>129</v>
      </c>
      <c r="D63" s="54" t="n">
        <v>3958</v>
      </c>
      <c r="E63" s="54" t="n">
        <v>3565</v>
      </c>
      <c r="F63" s="65" t="n">
        <f aca="false">IF(E63="","",D63-E63)</f>
        <v>393</v>
      </c>
      <c r="G63" s="54" t="n">
        <v>3245</v>
      </c>
      <c r="H63" s="54" t="n">
        <v>3017</v>
      </c>
      <c r="I63" s="65" t="n">
        <f aca="false">IF(H63="","",G63-H63)</f>
        <v>228</v>
      </c>
      <c r="J63" s="55" t="n">
        <f aca="false">IF(OR(D63="",D63+G63=0),"",D63/(D63+G63))</f>
        <v>0.549493266694433</v>
      </c>
      <c r="K63" s="55" t="n">
        <f aca="false">IF(E63="","",E63/(E63+H63))</f>
        <v>0.541628684290489</v>
      </c>
      <c r="L63" s="66" t="n">
        <f aca="false">IF(OR(K63="",J63=""),"",(J63-K63)*100)</f>
        <v>0.786458240394372</v>
      </c>
      <c r="M63" s="36" t="n">
        <v>1.49078099364883</v>
      </c>
      <c r="N63" s="36" t="n">
        <v>1.82016957332208</v>
      </c>
      <c r="O63" s="36" t="n">
        <f aca="false">SQRT(M63^2+N63^2)</f>
        <v>2.35275269560404</v>
      </c>
      <c r="P63" s="55" t="n">
        <f aca="false">IF(J63="","",MAX(0,J63-1.96*O63/100))</f>
        <v>0.503379313860594</v>
      </c>
      <c r="Q63" s="55" t="n">
        <f aca="false">IF(J63="","",MIN(1,J63+1.96*O63/100))</f>
        <v>0.595607219528272</v>
      </c>
      <c r="R63" s="32" t="str">
        <f aca="false">IF(L63="","",IF(ABS(L63)&lt;=O63,"Yes","No"))</f>
        <v>Yes</v>
      </c>
      <c r="S63" s="32" t="str">
        <f aca="false">IF(L63="","",IF(ABS(L63)&lt;=1.96*O63,"Yes","No"))</f>
        <v>Yes</v>
      </c>
      <c r="T63" s="54" t="n">
        <f aca="false">IF(D63="","",ROUND(SQRT(((D63+G63)*O63/100)^2+(J63*(D63+G63)*0.04632)^2),0))</f>
        <v>250</v>
      </c>
      <c r="U63" s="32"/>
    </row>
    <row r="64" customFormat="false" ht="15" hidden="false" customHeight="false" outlineLevel="0" collapsed="false">
      <c r="A64" s="32" t="s">
        <v>188</v>
      </c>
      <c r="B64" s="32" t="s">
        <v>199</v>
      </c>
      <c r="C64" s="32" t="s">
        <v>129</v>
      </c>
      <c r="D64" s="54" t="n">
        <v>475</v>
      </c>
      <c r="E64" s="54" t="n">
        <v>497</v>
      </c>
      <c r="F64" s="65" t="n">
        <f aca="false">IF(E64="","",D64-E64)</f>
        <v>-22</v>
      </c>
      <c r="G64" s="54" t="n">
        <v>256</v>
      </c>
      <c r="H64" s="54" t="n">
        <v>253</v>
      </c>
      <c r="I64" s="65" t="n">
        <f aca="false">IF(H64="","",G64-H64)</f>
        <v>3</v>
      </c>
      <c r="J64" s="55" t="n">
        <f aca="false">IF(OR(D64="",D64+G64=0),"",D64/(D64+G64))</f>
        <v>0.649794801641587</v>
      </c>
      <c r="K64" s="55" t="n">
        <f aca="false">IF(E64="","",E64/(E64+H64))</f>
        <v>0.662666666666667</v>
      </c>
      <c r="L64" s="66" t="n">
        <f aca="false">IF(OR(K64="",J64=""),"",(J64-K64)*100)</f>
        <v>-1.28718650250798</v>
      </c>
      <c r="M64" s="36" t="n">
        <v>3.1224752494797</v>
      </c>
      <c r="N64" s="36" t="n">
        <v>1.82016957332208</v>
      </c>
      <c r="O64" s="36" t="n">
        <f aca="false">SQRT(M64^2+N64^2)</f>
        <v>3.61425911623126</v>
      </c>
      <c r="P64" s="55" t="n">
        <f aca="false">IF(J64="","",MAX(0,J64-1.96*O64/100))</f>
        <v>0.578955322963454</v>
      </c>
      <c r="Q64" s="55" t="n">
        <f aca="false">IF(J64="","",MIN(1,J64+1.96*O64/100))</f>
        <v>0.72063428031972</v>
      </c>
      <c r="R64" s="32" t="str">
        <f aca="false">IF(L64="","",IF(ABS(L64)&lt;=O64,"Yes","No"))</f>
        <v>Yes</v>
      </c>
      <c r="S64" s="32" t="str">
        <f aca="false">IF(L64="","",IF(ABS(L64)&lt;=1.96*O64,"Yes","No"))</f>
        <v>Yes</v>
      </c>
      <c r="T64" s="54" t="n">
        <f aca="false">IF(D64="","",ROUND(SQRT(((D64+G64)*O64/100)^2+(J64*(D64+G64)*0.07067)^2),0))</f>
        <v>43</v>
      </c>
      <c r="U64" s="32"/>
    </row>
    <row r="65" customFormat="false" ht="15" hidden="false" customHeight="false" outlineLevel="0" collapsed="false">
      <c r="A65" s="32" t="s">
        <v>188</v>
      </c>
      <c r="B65" s="32" t="s">
        <v>200</v>
      </c>
      <c r="C65" s="32" t="s">
        <v>129</v>
      </c>
      <c r="D65" s="54" t="n">
        <v>62</v>
      </c>
      <c r="E65" s="54" t="n">
        <v>72</v>
      </c>
      <c r="F65" s="65" t="n">
        <f aca="false">IF(E65="","",D65-E65)</f>
        <v>-10</v>
      </c>
      <c r="G65" s="54" t="n">
        <v>60</v>
      </c>
      <c r="H65" s="54" t="n">
        <v>39</v>
      </c>
      <c r="I65" s="65" t="n">
        <f aca="false">IF(H65="","",G65-H65)</f>
        <v>21</v>
      </c>
      <c r="J65" s="55" t="n">
        <f aca="false">IF(OR(D65="",D65+G65=0),"",D65/(D65+G65))</f>
        <v>0.508196721311475</v>
      </c>
      <c r="K65" s="55" t="n">
        <f aca="false">IF(E65="","",E65/(E65+H65))</f>
        <v>0.648648648648649</v>
      </c>
      <c r="L65" s="66" t="n">
        <f aca="false">IF(OR(K65="",J65=""),"",(J65-K65)*100)</f>
        <v>-14.0451927337173</v>
      </c>
      <c r="M65" s="36" t="n">
        <v>3.1224752494797</v>
      </c>
      <c r="N65" s="36" t="n">
        <v>1.82016957332208</v>
      </c>
      <c r="O65" s="36" t="n">
        <f aca="false">SQRT(M65^2+N65^2)</f>
        <v>3.61425911623126</v>
      </c>
      <c r="P65" s="55" t="n">
        <f aca="false">IF(J65="","",MAX(0,J65-1.96*O65/100))</f>
        <v>0.437357242633343</v>
      </c>
      <c r="Q65" s="55" t="n">
        <f aca="false">IF(J65="","",MIN(1,J65+1.96*O65/100))</f>
        <v>0.579036199989608</v>
      </c>
      <c r="R65" s="32" t="str">
        <f aca="false">IF(L65="","",IF(ABS(L65)&lt;=O65,"Yes","No"))</f>
        <v>No</v>
      </c>
      <c r="S65" s="32" t="str">
        <f aca="false">IF(L65="","",IF(ABS(L65)&lt;=1.96*O65,"Yes","No"))</f>
        <v>No</v>
      </c>
      <c r="T65" s="54" t="n">
        <f aca="false">IF(D65="","",ROUND(SQRT(((D65+G65)*O65/100)^2+(J65*(D65+G65)*0.07067)^2),0))</f>
        <v>6</v>
      </c>
      <c r="U65" s="32"/>
    </row>
    <row r="66" customFormat="false" ht="15" hidden="false" customHeight="false" outlineLevel="0" collapsed="false">
      <c r="A66" s="32" t="s">
        <v>188</v>
      </c>
      <c r="B66" s="32" t="s">
        <v>166</v>
      </c>
      <c r="C66" s="32" t="s">
        <v>129</v>
      </c>
      <c r="D66" s="54" t="n">
        <v>3300</v>
      </c>
      <c r="E66" s="54" t="n">
        <v>3075</v>
      </c>
      <c r="F66" s="65" t="n">
        <f aca="false">IF(E66="","",D66-E66)</f>
        <v>225</v>
      </c>
      <c r="G66" s="54" t="n">
        <v>2810</v>
      </c>
      <c r="H66" s="54" t="n">
        <v>2610</v>
      </c>
      <c r="I66" s="65" t="n">
        <f aca="false">IF(H66="","",G66-H66)</f>
        <v>200</v>
      </c>
      <c r="J66" s="55" t="n">
        <f aca="false">IF(OR(D66="",D66+G66=0),"",D66/(D66+G66))</f>
        <v>0.540098199672668</v>
      </c>
      <c r="K66" s="55" t="n">
        <f aca="false">IF(E66="","",E66/(E66+H66))</f>
        <v>0.54089709762533</v>
      </c>
      <c r="L66" s="66" t="n">
        <f aca="false">IF(OR(K66="",J66=""),"",(J66-K66)*100)</f>
        <v>-0.079889795266197</v>
      </c>
      <c r="M66" s="36" t="n">
        <v>1.49078099364883</v>
      </c>
      <c r="N66" s="36" t="n">
        <v>1.82016957332208</v>
      </c>
      <c r="O66" s="36" t="n">
        <f aca="false">SQRT(M66^2+N66^2)</f>
        <v>2.35275269560404</v>
      </c>
      <c r="P66" s="55" t="n">
        <f aca="false">IF(J66="","",MAX(0,J66-1.96*O66/100))</f>
        <v>0.493984246838829</v>
      </c>
      <c r="Q66" s="55" t="n">
        <f aca="false">IF(J66="","",MIN(1,J66+1.96*O66/100))</f>
        <v>0.586212152506507</v>
      </c>
      <c r="R66" s="32" t="str">
        <f aca="false">IF(L66="","",IF(ABS(L66)&lt;=O66,"Yes","No"))</f>
        <v>Yes</v>
      </c>
      <c r="S66" s="32" t="str">
        <f aca="false">IF(L66="","",IF(ABS(L66)&lt;=1.96*O66,"Yes","No"))</f>
        <v>Yes</v>
      </c>
      <c r="T66" s="54" t="n">
        <f aca="false">IF(D66="","",ROUND(SQRT(((D66+G66)*O66/100)^2+(J66*(D66+G66)*0.04632)^2),0))</f>
        <v>210</v>
      </c>
      <c r="U66" s="32"/>
    </row>
    <row r="67" customFormat="false" ht="15" hidden="false" customHeight="false" outlineLevel="0" collapsed="false">
      <c r="A67" s="32" t="s">
        <v>188</v>
      </c>
      <c r="B67" s="32" t="s">
        <v>201</v>
      </c>
      <c r="C67" s="32" t="s">
        <v>129</v>
      </c>
      <c r="D67" s="54" t="n">
        <v>1287</v>
      </c>
      <c r="E67" s="54" t="n">
        <v>1246</v>
      </c>
      <c r="F67" s="65" t="n">
        <f aca="false">IF(E67="","",D67-E67)</f>
        <v>41</v>
      </c>
      <c r="G67" s="54" t="n">
        <v>1062</v>
      </c>
      <c r="H67" s="54" t="n">
        <v>966</v>
      </c>
      <c r="I67" s="65" t="n">
        <f aca="false">IF(H67="","",G67-H67)</f>
        <v>96</v>
      </c>
      <c r="J67" s="55" t="n">
        <f aca="false">IF(OR(D67="",D67+G67=0),"",D67/(D67+G67))</f>
        <v>0.547892720306513</v>
      </c>
      <c r="K67" s="55" t="n">
        <f aca="false">IF(E67="","",E67/(E67+H67))</f>
        <v>0.563291139240506</v>
      </c>
      <c r="L67" s="66" t="n">
        <f aca="false">IF(OR(K67="",J67=""),"",(J67-K67)*100)</f>
        <v>-1.5398418933993</v>
      </c>
      <c r="M67" s="36" t="n">
        <v>2.04119841836487</v>
      </c>
      <c r="N67" s="36" t="n">
        <v>1.82016957332208</v>
      </c>
      <c r="O67" s="36" t="n">
        <f aca="false">SQRT(M67^2+N67^2)</f>
        <v>2.73486896555991</v>
      </c>
      <c r="P67" s="55" t="n">
        <f aca="false">IF(J67="","",MAX(0,J67-1.96*O67/100))</f>
        <v>0.494289288581539</v>
      </c>
      <c r="Q67" s="55" t="n">
        <f aca="false">IF(J67="","",MIN(1,J67+1.96*O67/100))</f>
        <v>0.601496152031488</v>
      </c>
      <c r="R67" s="32" t="str">
        <f aca="false">IF(L67="","",IF(ABS(L67)&lt;=O67,"Yes","No"))</f>
        <v>Yes</v>
      </c>
      <c r="S67" s="32" t="str">
        <f aca="false">IF(L67="","",IF(ABS(L67)&lt;=1.96*O67,"Yes","No"))</f>
        <v>Yes</v>
      </c>
      <c r="T67" s="54" t="n">
        <f aca="false">IF(D67="","",ROUND(SQRT(((D67+G67)*O67/100)^2+(J67*(D67+G67)*0.05402)^2),0))</f>
        <v>95</v>
      </c>
      <c r="U67" s="32"/>
    </row>
    <row r="68" customFormat="false" ht="15" hidden="false" customHeight="false" outlineLevel="0" collapsed="false">
      <c r="A68" s="32" t="s">
        <v>188</v>
      </c>
      <c r="B68" s="32" t="s">
        <v>202</v>
      </c>
      <c r="C68" s="32" t="s">
        <v>129</v>
      </c>
      <c r="D68" s="54" t="n">
        <v>1790</v>
      </c>
      <c r="E68" s="54" t="n">
        <v>1543</v>
      </c>
      <c r="F68" s="65" t="n">
        <f aca="false">IF(E68="","",D68-E68)</f>
        <v>247</v>
      </c>
      <c r="G68" s="54" t="n">
        <v>2940</v>
      </c>
      <c r="H68" s="54" t="n">
        <v>2708</v>
      </c>
      <c r="I68" s="65" t="n">
        <f aca="false">IF(H68="","",G68-H68)</f>
        <v>232</v>
      </c>
      <c r="J68" s="55" t="n">
        <f aca="false">IF(OR(D68="",D68+G68=0),"",D68/(D68+G68))</f>
        <v>0.378435517970402</v>
      </c>
      <c r="K68" s="55" t="n">
        <f aca="false">IF(E68="","",E68/(E68+H68))</f>
        <v>0.36297341801929</v>
      </c>
      <c r="L68" s="66" t="n">
        <f aca="false">IF(OR(K68="",J68=""),"",(J68-K68)*100)</f>
        <v>1.54620999511121</v>
      </c>
      <c r="M68" s="36" t="n">
        <v>1.49078099364883</v>
      </c>
      <c r="N68" s="36" t="n">
        <v>1.82016957332208</v>
      </c>
      <c r="O68" s="36" t="n">
        <f aca="false">SQRT(M68^2+N68^2)</f>
        <v>2.35275269560404</v>
      </c>
      <c r="P68" s="55" t="n">
        <f aca="false">IF(J68="","",MAX(0,J68-1.96*O68/100))</f>
        <v>0.332321565136563</v>
      </c>
      <c r="Q68" s="55" t="n">
        <f aca="false">IF(J68="","",MIN(1,J68+1.96*O68/100))</f>
        <v>0.424549470804241</v>
      </c>
      <c r="R68" s="32" t="str">
        <f aca="false">IF(L68="","",IF(ABS(L68)&lt;=O68,"Yes","No"))</f>
        <v>Yes</v>
      </c>
      <c r="S68" s="32" t="str">
        <f aca="false">IF(L68="","",IF(ABS(L68)&lt;=1.96*O68,"Yes","No"))</f>
        <v>Yes</v>
      </c>
      <c r="T68" s="54" t="n">
        <f aca="false">IF(D68="","",ROUND(SQRT(((D68+G68)*O68/100)^2+(J68*(D68+G68)*0.04632)^2),0))</f>
        <v>139</v>
      </c>
      <c r="U68" s="32"/>
    </row>
    <row r="69" customFormat="false" ht="15" hidden="false" customHeight="false" outlineLevel="0" collapsed="false">
      <c r="A69" s="32" t="s">
        <v>188</v>
      </c>
      <c r="B69" s="32" t="s">
        <v>203</v>
      </c>
      <c r="C69" s="32" t="s">
        <v>129</v>
      </c>
      <c r="D69" s="54" t="n">
        <v>435</v>
      </c>
      <c r="E69" s="54" t="n">
        <v>474</v>
      </c>
      <c r="F69" s="65" t="n">
        <f aca="false">IF(E69="","",D69-E69)</f>
        <v>-39</v>
      </c>
      <c r="G69" s="54" t="n">
        <v>898</v>
      </c>
      <c r="H69" s="54" t="n">
        <v>678</v>
      </c>
      <c r="I69" s="65" t="n">
        <f aca="false">IF(H69="","",G69-H69)</f>
        <v>220</v>
      </c>
      <c r="J69" s="55" t="n">
        <f aca="false">IF(OR(D69="",D69+G69=0),"",D69/(D69+G69))</f>
        <v>0.326331582895724</v>
      </c>
      <c r="K69" s="55" t="n">
        <f aca="false">IF(E69="","",E69/(E69+H69))</f>
        <v>0.411458333333333</v>
      </c>
      <c r="L69" s="66" t="n">
        <f aca="false">IF(OR(K69="",J69=""),"",(J69-K69)*100)</f>
        <v>-8.51267504376094</v>
      </c>
      <c r="M69" s="36" t="n">
        <v>2.04119841836487</v>
      </c>
      <c r="N69" s="36" t="n">
        <v>1.82016957332208</v>
      </c>
      <c r="O69" s="36" t="n">
        <f aca="false">SQRT(M69^2+N69^2)</f>
        <v>2.73486896555991</v>
      </c>
      <c r="P69" s="55" t="n">
        <f aca="false">IF(J69="","",MAX(0,J69-1.96*O69/100))</f>
        <v>0.27272815117075</v>
      </c>
      <c r="Q69" s="55" t="n">
        <f aca="false">IF(J69="","",MIN(1,J69+1.96*O69/100))</f>
        <v>0.379935014620698</v>
      </c>
      <c r="R69" s="32" t="str">
        <f aca="false">IF(L69="","",IF(ABS(L69)&lt;=O69,"Yes","No"))</f>
        <v>No</v>
      </c>
      <c r="S69" s="32" t="str">
        <f aca="false">IF(L69="","",IF(ABS(L69)&lt;=1.96*O69,"Yes","No"))</f>
        <v>No</v>
      </c>
      <c r="T69" s="54" t="n">
        <f aca="false">IF(D69="","",ROUND(SQRT(((D69+G69)*O69/100)^2+(J69*(D69+G69)*0.05402)^2),0))</f>
        <v>43</v>
      </c>
      <c r="U69" s="32"/>
    </row>
    <row r="70" customFormat="false" ht="15" hidden="false" customHeight="false" outlineLevel="0" collapsed="false">
      <c r="A70" s="32" t="s">
        <v>188</v>
      </c>
      <c r="B70" s="32" t="s">
        <v>204</v>
      </c>
      <c r="C70" s="32" t="s">
        <v>129</v>
      </c>
      <c r="D70" s="54" t="n">
        <v>1428</v>
      </c>
      <c r="E70" s="54" t="n">
        <v>1320</v>
      </c>
      <c r="F70" s="65" t="n">
        <f aca="false">IF(E70="","",D70-E70)</f>
        <v>108</v>
      </c>
      <c r="G70" s="54" t="n">
        <v>1856</v>
      </c>
      <c r="H70" s="54" t="n">
        <v>1650</v>
      </c>
      <c r="I70" s="65" t="n">
        <f aca="false">IF(H70="","",G70-H70)</f>
        <v>206</v>
      </c>
      <c r="J70" s="55" t="n">
        <f aca="false">IF(OR(D70="",D70+G70=0),"",D70/(D70+G70))</f>
        <v>0.43483556638246</v>
      </c>
      <c r="K70" s="55" t="n">
        <f aca="false">IF(E70="","",E70/(E70+H70))</f>
        <v>0.444444444444444</v>
      </c>
      <c r="L70" s="66" t="n">
        <f aca="false">IF(OR(K70="",J70=""),"",(J70-K70)*100)</f>
        <v>-0.960887806198402</v>
      </c>
      <c r="M70" s="36" t="n">
        <v>1.49078099364883</v>
      </c>
      <c r="N70" s="36" t="n">
        <v>1.82016957332208</v>
      </c>
      <c r="O70" s="36" t="n">
        <f aca="false">SQRT(M70^2+N70^2)</f>
        <v>2.35275269560404</v>
      </c>
      <c r="P70" s="55" t="n">
        <f aca="false">IF(J70="","",MAX(0,J70-1.96*O70/100))</f>
        <v>0.388721613548621</v>
      </c>
      <c r="Q70" s="55" t="n">
        <f aca="false">IF(J70="","",MIN(1,J70+1.96*O70/100))</f>
        <v>0.4809495192163</v>
      </c>
      <c r="R70" s="32" t="str">
        <f aca="false">IF(L70="","",IF(ABS(L70)&lt;=O70,"Yes","No"))</f>
        <v>Yes</v>
      </c>
      <c r="S70" s="32" t="str">
        <f aca="false">IF(L70="","",IF(ABS(L70)&lt;=1.96*O70,"Yes","No"))</f>
        <v>Yes</v>
      </c>
      <c r="T70" s="54" t="n">
        <f aca="false">IF(D70="","",ROUND(SQRT(((D70+G70)*O70/100)^2+(J70*(D70+G70)*0.04632)^2),0))</f>
        <v>102</v>
      </c>
      <c r="U70" s="32"/>
    </row>
    <row r="71" customFormat="false" ht="15" hidden="false" customHeight="false" outlineLevel="0" collapsed="false">
      <c r="A71" s="32" t="s">
        <v>188</v>
      </c>
      <c r="B71" s="32" t="s">
        <v>205</v>
      </c>
      <c r="C71" s="32" t="s">
        <v>129</v>
      </c>
      <c r="D71" s="54" t="n">
        <v>2562</v>
      </c>
      <c r="E71" s="54" t="n">
        <v>2540</v>
      </c>
      <c r="F71" s="65" t="n">
        <f aca="false">IF(E71="","",D71-E71)</f>
        <v>22</v>
      </c>
      <c r="G71" s="54" t="n">
        <v>3050</v>
      </c>
      <c r="H71" s="54" t="n">
        <v>2624</v>
      </c>
      <c r="I71" s="65" t="n">
        <f aca="false">IF(H71="","",G71-H71)</f>
        <v>426</v>
      </c>
      <c r="J71" s="55" t="n">
        <f aca="false">IF(OR(D71="",D71+G71=0),"",D71/(D71+G71))</f>
        <v>0.456521739130435</v>
      </c>
      <c r="K71" s="55" t="n">
        <f aca="false">IF(E71="","",E71/(E71+H71))</f>
        <v>0.491866769945779</v>
      </c>
      <c r="L71" s="66" t="n">
        <f aca="false">IF(OR(K71="",J71=""),"",(J71-K71)*100)</f>
        <v>-3.53450308153437</v>
      </c>
      <c r="M71" s="36" t="n">
        <v>1.49078099364883</v>
      </c>
      <c r="N71" s="36" t="n">
        <v>1.82016957332208</v>
      </c>
      <c r="O71" s="36" t="n">
        <f aca="false">SQRT(M71^2+N71^2)</f>
        <v>2.35275269560404</v>
      </c>
      <c r="P71" s="55" t="n">
        <f aca="false">IF(J71="","",MAX(0,J71-1.96*O71/100))</f>
        <v>0.410407786296596</v>
      </c>
      <c r="Q71" s="55" t="n">
        <f aca="false">IF(J71="","",MIN(1,J71+1.96*O71/100))</f>
        <v>0.502635691964274</v>
      </c>
      <c r="R71" s="32" t="str">
        <f aca="false">IF(L71="","",IF(ABS(L71)&lt;=O71,"Yes","No"))</f>
        <v>No</v>
      </c>
      <c r="S71" s="32" t="str">
        <f aca="false">IF(L71="","",IF(ABS(L71)&lt;=1.96*O71,"Yes","No"))</f>
        <v>Yes</v>
      </c>
      <c r="T71" s="54" t="n">
        <f aca="false">IF(D71="","",ROUND(SQRT(((D71+G71)*O71/100)^2+(J71*(D71+G71)*0.04632)^2),0))</f>
        <v>178</v>
      </c>
      <c r="U71" s="32"/>
    </row>
    <row r="72" customFormat="false" ht="15" hidden="false" customHeight="false" outlineLevel="0" collapsed="false">
      <c r="A72" s="32" t="s">
        <v>188</v>
      </c>
      <c r="B72" s="32" t="s">
        <v>206</v>
      </c>
      <c r="C72" s="32" t="s">
        <v>129</v>
      </c>
      <c r="D72" s="54" t="n">
        <v>1469</v>
      </c>
      <c r="E72" s="54" t="n">
        <v>1404</v>
      </c>
      <c r="F72" s="65" t="n">
        <f aca="false">IF(E72="","",D72-E72)</f>
        <v>65</v>
      </c>
      <c r="G72" s="54" t="n">
        <v>2885</v>
      </c>
      <c r="H72" s="54" t="n">
        <v>2512</v>
      </c>
      <c r="I72" s="65" t="n">
        <f aca="false">IF(H72="","",G72-H72)</f>
        <v>373</v>
      </c>
      <c r="J72" s="55" t="n">
        <f aca="false">IF(OR(D72="",D72+G72=0),"",D72/(D72+G72))</f>
        <v>0.337390904915021</v>
      </c>
      <c r="K72" s="55" t="n">
        <f aca="false">IF(E72="","",E72/(E72+H72))</f>
        <v>0.3585291113381</v>
      </c>
      <c r="L72" s="66" t="n">
        <f aca="false">IF(OR(K72="",J72=""),"",(J72-K72)*100)</f>
        <v>-2.11382064230795</v>
      </c>
      <c r="M72" s="36" t="n">
        <v>1.49078099364883</v>
      </c>
      <c r="N72" s="36" t="n">
        <v>1.82016957332208</v>
      </c>
      <c r="O72" s="36" t="n">
        <f aca="false">SQRT(M72^2+N72^2)</f>
        <v>2.35275269560404</v>
      </c>
      <c r="P72" s="55" t="n">
        <f aca="false">IF(J72="","",MAX(0,J72-1.96*O72/100))</f>
        <v>0.291276952081182</v>
      </c>
      <c r="Q72" s="55" t="n">
        <f aca="false">IF(J72="","",MIN(1,J72+1.96*O72/100))</f>
        <v>0.38350485774886</v>
      </c>
      <c r="R72" s="32" t="str">
        <f aca="false">IF(L72="","",IF(ABS(L72)&lt;=O72,"Yes","No"))</f>
        <v>Yes</v>
      </c>
      <c r="S72" s="32" t="str">
        <f aca="false">IF(L72="","",IF(ABS(L72)&lt;=1.96*O72,"Yes","No"))</f>
        <v>Yes</v>
      </c>
      <c r="T72" s="54" t="n">
        <f aca="false">IF(D72="","",ROUND(SQRT(((D72+G72)*O72/100)^2+(J72*(D72+G72)*0.04632)^2),0))</f>
        <v>123</v>
      </c>
      <c r="U72" s="32"/>
    </row>
    <row r="73" customFormat="false" ht="15" hidden="false" customHeight="false" outlineLevel="0" collapsed="false">
      <c r="A73" s="32" t="s">
        <v>188</v>
      </c>
      <c r="B73" s="32" t="s">
        <v>207</v>
      </c>
      <c r="C73" s="32" t="s">
        <v>129</v>
      </c>
      <c r="D73" s="54" t="n">
        <v>1178</v>
      </c>
      <c r="E73" s="54" t="n">
        <v>1128</v>
      </c>
      <c r="F73" s="65" t="n">
        <f aca="false">IF(E73="","",D73-E73)</f>
        <v>50</v>
      </c>
      <c r="G73" s="54" t="n">
        <v>1172</v>
      </c>
      <c r="H73" s="54" t="n">
        <v>998</v>
      </c>
      <c r="I73" s="65" t="n">
        <f aca="false">IF(H73="","",G73-H73)</f>
        <v>174</v>
      </c>
      <c r="J73" s="55" t="n">
        <f aca="false">IF(OR(D73="",D73+G73=0),"",D73/(D73+G73))</f>
        <v>0.501276595744681</v>
      </c>
      <c r="K73" s="55" t="n">
        <f aca="false">IF(E73="","",E73/(E73+H73))</f>
        <v>0.530573847601129</v>
      </c>
      <c r="L73" s="66" t="n">
        <f aca="false">IF(OR(K73="",J73=""),"",(J73-K73)*100)</f>
        <v>-2.9297251856448</v>
      </c>
      <c r="M73" s="36" t="n">
        <v>2.04119841836487</v>
      </c>
      <c r="N73" s="36" t="n">
        <v>1.82016957332208</v>
      </c>
      <c r="O73" s="36" t="n">
        <f aca="false">SQRT(M73^2+N73^2)</f>
        <v>2.73486896555991</v>
      </c>
      <c r="P73" s="55" t="n">
        <f aca="false">IF(J73="","",MAX(0,J73-1.96*O73/100))</f>
        <v>0.447673164019707</v>
      </c>
      <c r="Q73" s="55" t="n">
        <f aca="false">IF(J73="","",MIN(1,J73+1.96*O73/100))</f>
        <v>0.554880027469655</v>
      </c>
      <c r="R73" s="32" t="str">
        <f aca="false">IF(L73="","",IF(ABS(L73)&lt;=O73,"Yes","No"))</f>
        <v>No</v>
      </c>
      <c r="S73" s="32" t="str">
        <f aca="false">IF(L73="","",IF(ABS(L73)&lt;=1.96*O73,"Yes","No"))</f>
        <v>Yes</v>
      </c>
      <c r="T73" s="54" t="n">
        <f aca="false">IF(D73="","",ROUND(SQRT(((D73+G73)*O73/100)^2+(J73*(D73+G73)*0.05402)^2),0))</f>
        <v>90</v>
      </c>
      <c r="U73" s="32"/>
    </row>
    <row r="74" customFormat="false" ht="15" hidden="false" customHeight="false" outlineLevel="0" collapsed="false">
      <c r="A74" s="32" t="s">
        <v>188</v>
      </c>
      <c r="B74" s="32" t="s">
        <v>208</v>
      </c>
      <c r="C74" s="32" t="s">
        <v>129</v>
      </c>
      <c r="D74" s="54" t="n">
        <v>557</v>
      </c>
      <c r="E74" s="54" t="n">
        <v>536</v>
      </c>
      <c r="F74" s="65" t="n">
        <f aca="false">IF(E74="","",D74-E74)</f>
        <v>21</v>
      </c>
      <c r="G74" s="54" t="n">
        <v>591</v>
      </c>
      <c r="H74" s="54" t="n">
        <v>521</v>
      </c>
      <c r="I74" s="65" t="n">
        <f aca="false">IF(H74="","",G74-H74)</f>
        <v>70</v>
      </c>
      <c r="J74" s="55" t="n">
        <f aca="false">IF(OR(D74="",D74+G74=0),"",D74/(D74+G74))</f>
        <v>0.485191637630662</v>
      </c>
      <c r="K74" s="55" t="n">
        <f aca="false">IF(E74="","",E74/(E74+H74))</f>
        <v>0.507095553453169</v>
      </c>
      <c r="L74" s="66" t="n">
        <f aca="false">IF(OR(K74="",J74=""),"",(J74-K74)*100)</f>
        <v>-2.19039158225073</v>
      </c>
      <c r="M74" s="36" t="n">
        <v>2.04119841836487</v>
      </c>
      <c r="N74" s="36" t="n">
        <v>1.82016957332208</v>
      </c>
      <c r="O74" s="36" t="n">
        <f aca="false">SQRT(M74^2+N74^2)</f>
        <v>2.73486896555991</v>
      </c>
      <c r="P74" s="55" t="n">
        <f aca="false">IF(J74="","",MAX(0,J74-1.96*O74/100))</f>
        <v>0.431588205905688</v>
      </c>
      <c r="Q74" s="55" t="n">
        <f aca="false">IF(J74="","",MIN(1,J74+1.96*O74/100))</f>
        <v>0.538795069355636</v>
      </c>
      <c r="R74" s="32" t="str">
        <f aca="false">IF(L74="","",IF(ABS(L74)&lt;=O74,"Yes","No"))</f>
        <v>Yes</v>
      </c>
      <c r="S74" s="32" t="str">
        <f aca="false">IF(L74="","",IF(ABS(L74)&lt;=1.96*O74,"Yes","No"))</f>
        <v>Yes</v>
      </c>
      <c r="T74" s="54" t="n">
        <f aca="false">IF(D74="","",ROUND(SQRT(((D74+G74)*O74/100)^2+(J74*(D74+G74)*0.05402)^2),0))</f>
        <v>43</v>
      </c>
      <c r="U74" s="32"/>
    </row>
    <row r="75" customFormat="false" ht="15" hidden="false" customHeight="false" outlineLevel="0" collapsed="false">
      <c r="A75" s="32" t="s">
        <v>188</v>
      </c>
      <c r="B75" s="32" t="s">
        <v>209</v>
      </c>
      <c r="C75" s="32" t="s">
        <v>129</v>
      </c>
      <c r="D75" s="54" t="n">
        <v>1880</v>
      </c>
      <c r="E75" s="54" t="n">
        <v>1650</v>
      </c>
      <c r="F75" s="65" t="n">
        <f aca="false">IF(E75="","",D75-E75)</f>
        <v>230</v>
      </c>
      <c r="G75" s="54" t="n">
        <v>1673</v>
      </c>
      <c r="H75" s="54" t="n">
        <v>1634</v>
      </c>
      <c r="I75" s="65" t="n">
        <f aca="false">IF(H75="","",G75-H75)</f>
        <v>39</v>
      </c>
      <c r="J75" s="55" t="n">
        <f aca="false">IF(OR(D75="",D75+G75=0),"",D75/(D75+G75))</f>
        <v>0.529130312412046</v>
      </c>
      <c r="K75" s="55" t="n">
        <f aca="false">IF(E75="","",E75/(E75+H75))</f>
        <v>0.502436053593179</v>
      </c>
      <c r="L75" s="66" t="n">
        <f aca="false">IF(OR(K75="",J75=""),"",(J75-K75)*100)</f>
        <v>2.66942588188671</v>
      </c>
      <c r="M75" s="36" t="n">
        <v>1.49078099364883</v>
      </c>
      <c r="N75" s="36" t="n">
        <v>1.82016957332208</v>
      </c>
      <c r="O75" s="36" t="n">
        <f aca="false">SQRT(M75^2+N75^2)</f>
        <v>2.35275269560404</v>
      </c>
      <c r="P75" s="55" t="n">
        <f aca="false">IF(J75="","",MAX(0,J75-1.96*O75/100))</f>
        <v>0.483016359578207</v>
      </c>
      <c r="Q75" s="55" t="n">
        <f aca="false">IF(J75="","",MIN(1,J75+1.96*O75/100))</f>
        <v>0.575244265245885</v>
      </c>
      <c r="R75" s="32" t="str">
        <f aca="false">IF(L75="","",IF(ABS(L75)&lt;=O75,"Yes","No"))</f>
        <v>No</v>
      </c>
      <c r="S75" s="32" t="str">
        <f aca="false">IF(L75="","",IF(ABS(L75)&lt;=1.96*O75,"Yes","No"))</f>
        <v>Yes</v>
      </c>
      <c r="T75" s="54" t="n">
        <f aca="false">IF(D75="","",ROUND(SQRT(((D75+G75)*O75/100)^2+(J75*(D75+G75)*0.04632)^2),0))</f>
        <v>121</v>
      </c>
      <c r="U75" s="32"/>
    </row>
    <row r="76" customFormat="false" ht="15" hidden="false" customHeight="false" outlineLevel="0" collapsed="false">
      <c r="A76" s="32" t="s">
        <v>188</v>
      </c>
      <c r="B76" s="32" t="s">
        <v>210</v>
      </c>
      <c r="C76" s="32" t="s">
        <v>129</v>
      </c>
      <c r="D76" s="54" t="n">
        <v>5313</v>
      </c>
      <c r="E76" s="54" t="n">
        <v>4804</v>
      </c>
      <c r="F76" s="65" t="n">
        <f aca="false">IF(E76="","",D76-E76)</f>
        <v>509</v>
      </c>
      <c r="G76" s="54" t="n">
        <v>4171</v>
      </c>
      <c r="H76" s="54" t="n">
        <v>4095</v>
      </c>
      <c r="I76" s="65" t="n">
        <f aca="false">IF(H76="","",G76-H76)</f>
        <v>76</v>
      </c>
      <c r="J76" s="55" t="n">
        <f aca="false">IF(OR(D76="",D76+G76=0),"",D76/(D76+G76))</f>
        <v>0.560206663854914</v>
      </c>
      <c r="K76" s="55" t="n">
        <f aca="false">IF(E76="","",E76/(E76+H76))</f>
        <v>0.539835936622092</v>
      </c>
      <c r="L76" s="66" t="n">
        <f aca="false">IF(OR(K76="",J76=""),"",(J76-K76)*100)</f>
        <v>2.03707272328212</v>
      </c>
      <c r="M76" s="36" t="n">
        <v>1.49078099364883</v>
      </c>
      <c r="N76" s="36" t="n">
        <v>1.82016957332208</v>
      </c>
      <c r="O76" s="36" t="n">
        <f aca="false">SQRT(M76^2+N76^2)</f>
        <v>2.35275269560404</v>
      </c>
      <c r="P76" s="55" t="n">
        <f aca="false">IF(J76="","",MAX(0,J76-1.96*O76/100))</f>
        <v>0.514092711021075</v>
      </c>
      <c r="Q76" s="55" t="n">
        <f aca="false">IF(J76="","",MIN(1,J76+1.96*O76/100))</f>
        <v>0.606320616688753</v>
      </c>
      <c r="R76" s="32" t="str">
        <f aca="false">IF(L76="","",IF(ABS(L76)&lt;=O76,"Yes","No"))</f>
        <v>Yes</v>
      </c>
      <c r="S76" s="32" t="str">
        <f aca="false">IF(L76="","",IF(ABS(L76)&lt;=1.96*O76,"Yes","No"))</f>
        <v>Yes</v>
      </c>
      <c r="T76" s="54" t="n">
        <f aca="false">IF(D76="","",ROUND(SQRT(((D76+G76)*O76/100)^2+(J76*(D76+G76)*0.04632)^2),0))</f>
        <v>332</v>
      </c>
      <c r="U76" s="32"/>
    </row>
    <row r="77" customFormat="false" ht="15" hidden="false" customHeight="false" outlineLevel="0" collapsed="false">
      <c r="A77" s="32" t="s">
        <v>188</v>
      </c>
      <c r="B77" s="32" t="s">
        <v>211</v>
      </c>
      <c r="C77" s="32" t="s">
        <v>129</v>
      </c>
      <c r="D77" s="54" t="n">
        <v>509</v>
      </c>
      <c r="E77" s="54" t="n">
        <v>484</v>
      </c>
      <c r="F77" s="65" t="n">
        <f aca="false">IF(E77="","",D77-E77)</f>
        <v>25</v>
      </c>
      <c r="G77" s="54" t="n">
        <v>742</v>
      </c>
      <c r="H77" s="54" t="n">
        <v>685</v>
      </c>
      <c r="I77" s="65" t="n">
        <f aca="false">IF(H77="","",G77-H77)</f>
        <v>57</v>
      </c>
      <c r="J77" s="55" t="n">
        <f aca="false">IF(OR(D77="",D77+G77=0),"",D77/(D77+G77))</f>
        <v>0.40687450039968</v>
      </c>
      <c r="K77" s="55" t="n">
        <f aca="false">IF(E77="","",E77/(E77+H77))</f>
        <v>0.414029084687767</v>
      </c>
      <c r="L77" s="66" t="n">
        <f aca="false">IF(OR(K77="",J77=""),"",(J77-K77)*100)</f>
        <v>-0.715458428808707</v>
      </c>
      <c r="M77" s="36" t="n">
        <v>2.04119841836487</v>
      </c>
      <c r="N77" s="36" t="n">
        <v>1.82016957332208</v>
      </c>
      <c r="O77" s="36" t="n">
        <f aca="false">SQRT(M77^2+N77^2)</f>
        <v>2.73486896555991</v>
      </c>
      <c r="P77" s="55" t="n">
        <f aca="false">IF(J77="","",MAX(0,J77-1.96*O77/100))</f>
        <v>0.353271068674706</v>
      </c>
      <c r="Q77" s="55" t="n">
        <f aca="false">IF(J77="","",MIN(1,J77+1.96*O77/100))</f>
        <v>0.460477932124655</v>
      </c>
      <c r="R77" s="32" t="str">
        <f aca="false">IF(L77="","",IF(ABS(L77)&lt;=O77,"Yes","No"))</f>
        <v>Yes</v>
      </c>
      <c r="S77" s="32" t="str">
        <f aca="false">IF(L77="","",IF(ABS(L77)&lt;=1.96*O77,"Yes","No"))</f>
        <v>Yes</v>
      </c>
      <c r="T77" s="54" t="n">
        <f aca="false">IF(D77="","",ROUND(SQRT(((D77+G77)*O77/100)^2+(J77*(D77+G77)*0.05402)^2),0))</f>
        <v>44</v>
      </c>
      <c r="U77" s="32"/>
    </row>
    <row r="78" customFormat="false" ht="15" hidden="false" customHeight="false" outlineLevel="0" collapsed="false">
      <c r="A78" s="32" t="s">
        <v>188</v>
      </c>
      <c r="B78" s="32" t="s">
        <v>212</v>
      </c>
      <c r="C78" s="32" t="s">
        <v>129</v>
      </c>
      <c r="D78" s="54" t="n">
        <v>1003</v>
      </c>
      <c r="E78" s="54" t="n">
        <v>1016</v>
      </c>
      <c r="F78" s="65" t="n">
        <f aca="false">IF(E78="","",D78-E78)</f>
        <v>-13</v>
      </c>
      <c r="G78" s="54" t="n">
        <v>1844</v>
      </c>
      <c r="H78" s="54" t="n">
        <v>1531</v>
      </c>
      <c r="I78" s="65" t="n">
        <f aca="false">IF(H78="","",G78-H78)</f>
        <v>313</v>
      </c>
      <c r="J78" s="55" t="n">
        <f aca="false">IF(OR(D78="",D78+G78=0),"",D78/(D78+G78))</f>
        <v>0.352300667369161</v>
      </c>
      <c r="K78" s="55" t="n">
        <f aca="false">IF(E78="","",E78/(E78+H78))</f>
        <v>0.398900667451904</v>
      </c>
      <c r="L78" s="66" t="n">
        <f aca="false">IF(OR(K78="",J78=""),"",(J78-K78)*100)</f>
        <v>-4.66000000827437</v>
      </c>
      <c r="M78" s="36" t="n">
        <v>1.49078099364883</v>
      </c>
      <c r="N78" s="36" t="n">
        <v>1.82016957332208</v>
      </c>
      <c r="O78" s="36" t="n">
        <f aca="false">SQRT(M78^2+N78^2)</f>
        <v>2.35275269560404</v>
      </c>
      <c r="P78" s="55" t="n">
        <f aca="false">IF(J78="","",MAX(0,J78-1.96*O78/100))</f>
        <v>0.306186714535321</v>
      </c>
      <c r="Q78" s="55" t="n">
        <f aca="false">IF(J78="","",MIN(1,J78+1.96*O78/100))</f>
        <v>0.398414620203</v>
      </c>
      <c r="R78" s="32" t="str">
        <f aca="false">IF(L78="","",IF(ABS(L78)&lt;=O78,"Yes","No"))</f>
        <v>No</v>
      </c>
      <c r="S78" s="32" t="str">
        <f aca="false">IF(L78="","",IF(ABS(L78)&lt;=1.96*O78,"Yes","No"))</f>
        <v>No</v>
      </c>
      <c r="T78" s="54" t="n">
        <f aca="false">IF(D78="","",ROUND(SQRT(((D78+G78)*O78/100)^2+(J78*(D78+G78)*0.04632)^2),0))</f>
        <v>82</v>
      </c>
      <c r="U78" s="32"/>
    </row>
    <row r="79" customFormat="false" ht="15" hidden="false" customHeight="false" outlineLevel="0" collapsed="false">
      <c r="A79" s="32" t="s">
        <v>188</v>
      </c>
      <c r="B79" s="32" t="s">
        <v>213</v>
      </c>
      <c r="C79" s="32" t="s">
        <v>129</v>
      </c>
      <c r="D79" s="54" t="n">
        <v>62</v>
      </c>
      <c r="E79" s="54" t="n">
        <v>62</v>
      </c>
      <c r="F79" s="65" t="n">
        <f aca="false">IF(E79="","",D79-E79)</f>
        <v>0</v>
      </c>
      <c r="G79" s="54" t="n">
        <v>119</v>
      </c>
      <c r="H79" s="54" t="n">
        <v>104</v>
      </c>
      <c r="I79" s="65" t="n">
        <f aca="false">IF(H79="","",G79-H79)</f>
        <v>15</v>
      </c>
      <c r="J79" s="55" t="n">
        <f aca="false">IF(OR(D79="",D79+G79=0),"",D79/(D79+G79))</f>
        <v>0.342541436464088</v>
      </c>
      <c r="K79" s="55" t="n">
        <f aca="false">IF(E79="","",E79/(E79+H79))</f>
        <v>0.373493975903614</v>
      </c>
      <c r="L79" s="66" t="n">
        <f aca="false">IF(OR(K79="",J79=""),"",(J79-K79)*100)</f>
        <v>-3.0952539439526</v>
      </c>
      <c r="M79" s="36" t="n">
        <v>3.1224752494797</v>
      </c>
      <c r="N79" s="36" t="n">
        <v>1.82016957332208</v>
      </c>
      <c r="O79" s="36" t="n">
        <f aca="false">SQRT(M79^2+N79^2)</f>
        <v>3.61425911623126</v>
      </c>
      <c r="P79" s="55" t="n">
        <f aca="false">IF(J79="","",MAX(0,J79-1.96*O79/100))</f>
        <v>0.271701957785956</v>
      </c>
      <c r="Q79" s="55" t="n">
        <f aca="false">IF(J79="","",MIN(1,J79+1.96*O79/100))</f>
        <v>0.413380915142221</v>
      </c>
      <c r="R79" s="32" t="str">
        <f aca="false">IF(L79="","",IF(ABS(L79)&lt;=O79,"Yes","No"))</f>
        <v>Yes</v>
      </c>
      <c r="S79" s="32" t="str">
        <f aca="false">IF(L79="","",IF(ABS(L79)&lt;=1.96*O79,"Yes","No"))</f>
        <v>Yes</v>
      </c>
      <c r="T79" s="54" t="n">
        <f aca="false">IF(D79="","",ROUND(SQRT(((D79+G79)*O79/100)^2+(J79*(D79+G79)*0.07067)^2),0))</f>
        <v>8</v>
      </c>
      <c r="U79" s="32"/>
    </row>
    <row r="80" customFormat="false" ht="15" hidden="false" customHeight="false" outlineLevel="0" collapsed="false">
      <c r="A80" s="32" t="s">
        <v>188</v>
      </c>
      <c r="B80" s="32" t="s">
        <v>214</v>
      </c>
      <c r="C80" s="32" t="s">
        <v>129</v>
      </c>
      <c r="D80" s="54" t="n">
        <v>257</v>
      </c>
      <c r="E80" s="54" t="n">
        <v>243</v>
      </c>
      <c r="F80" s="65" t="n">
        <f aca="false">IF(E80="","",D80-E80)</f>
        <v>14</v>
      </c>
      <c r="G80" s="54" t="n">
        <v>339</v>
      </c>
      <c r="H80" s="54" t="n">
        <v>335</v>
      </c>
      <c r="I80" s="65" t="n">
        <f aca="false">IF(H80="","",G80-H80)</f>
        <v>4</v>
      </c>
      <c r="J80" s="55" t="n">
        <f aca="false">IF(OR(D80="",D80+G80=0),"",D80/(D80+G80))</f>
        <v>0.431208053691275</v>
      </c>
      <c r="K80" s="55" t="n">
        <f aca="false">IF(E80="","",E80/(E80+H80))</f>
        <v>0.420415224913495</v>
      </c>
      <c r="L80" s="66" t="n">
        <f aca="false">IF(OR(K80="",J80=""),"",(J80-K80)*100)</f>
        <v>1.07928287777804</v>
      </c>
      <c r="M80" s="36" t="n">
        <v>3.1224752494797</v>
      </c>
      <c r="N80" s="36" t="n">
        <v>1.82016957332208</v>
      </c>
      <c r="O80" s="36" t="n">
        <f aca="false">SQRT(M80^2+N80^2)</f>
        <v>3.61425911623126</v>
      </c>
      <c r="P80" s="55" t="n">
        <f aca="false">IF(J80="","",MAX(0,J80-1.96*O80/100))</f>
        <v>0.360368575013142</v>
      </c>
      <c r="Q80" s="55" t="n">
        <f aca="false">IF(J80="","",MIN(1,J80+1.96*O80/100))</f>
        <v>0.502047532369408</v>
      </c>
      <c r="R80" s="32" t="str">
        <f aca="false">IF(L80="","",IF(ABS(L80)&lt;=O80,"Yes","No"))</f>
        <v>Yes</v>
      </c>
      <c r="S80" s="32" t="str">
        <f aca="false">IF(L80="","",IF(ABS(L80)&lt;=1.96*O80,"Yes","No"))</f>
        <v>Yes</v>
      </c>
      <c r="T80" s="54" t="n">
        <f aca="false">IF(D80="","",ROUND(SQRT(((D80+G80)*O80/100)^2+(J80*(D80+G80)*0.07067)^2),0))</f>
        <v>28</v>
      </c>
      <c r="U80" s="32"/>
    </row>
    <row r="81" customFormat="false" ht="15" hidden="false" customHeight="false" outlineLevel="0" collapsed="false">
      <c r="A81" s="32" t="s">
        <v>188</v>
      </c>
      <c r="B81" s="32" t="s">
        <v>215</v>
      </c>
      <c r="C81" s="32" t="s">
        <v>129</v>
      </c>
      <c r="D81" s="54" t="n">
        <v>153</v>
      </c>
      <c r="E81" s="54" t="n">
        <v>142</v>
      </c>
      <c r="F81" s="65" t="n">
        <f aca="false">IF(E81="","",D81-E81)</f>
        <v>11</v>
      </c>
      <c r="G81" s="54" t="n">
        <v>210</v>
      </c>
      <c r="H81" s="54" t="n">
        <v>172</v>
      </c>
      <c r="I81" s="65" t="n">
        <f aca="false">IF(H81="","",G81-H81)</f>
        <v>38</v>
      </c>
      <c r="J81" s="55" t="n">
        <f aca="false">IF(OR(D81="",D81+G81=0),"",D81/(D81+G81))</f>
        <v>0.421487603305785</v>
      </c>
      <c r="K81" s="55" t="n">
        <f aca="false">IF(E81="","",E81/(E81+H81))</f>
        <v>0.452229299363057</v>
      </c>
      <c r="L81" s="66" t="n">
        <f aca="false">IF(OR(K81="",J81=""),"",(J81-K81)*100)</f>
        <v>-3.07416960572722</v>
      </c>
      <c r="M81" s="36" t="n">
        <v>3.1224752494797</v>
      </c>
      <c r="N81" s="36" t="n">
        <v>1.82016957332208</v>
      </c>
      <c r="O81" s="36" t="n">
        <f aca="false">SQRT(M81^2+N81^2)</f>
        <v>3.61425911623126</v>
      </c>
      <c r="P81" s="55" t="n">
        <f aca="false">IF(J81="","",MAX(0,J81-1.96*O81/100))</f>
        <v>0.350648124627652</v>
      </c>
      <c r="Q81" s="55" t="n">
        <f aca="false">IF(J81="","",MIN(1,J81+1.96*O81/100))</f>
        <v>0.492327081983918</v>
      </c>
      <c r="R81" s="32" t="str">
        <f aca="false">IF(L81="","",IF(ABS(L81)&lt;=O81,"Yes","No"))</f>
        <v>Yes</v>
      </c>
      <c r="S81" s="32" t="str">
        <f aca="false">IF(L81="","",IF(ABS(L81)&lt;=1.96*O81,"Yes","No"))</f>
        <v>Yes</v>
      </c>
      <c r="T81" s="54" t="n">
        <f aca="false">IF(D81="","",ROUND(SQRT(((D81+G81)*O81/100)^2+(J81*(D81+G81)*0.07067)^2),0))</f>
        <v>17</v>
      </c>
      <c r="U81" s="32"/>
    </row>
    <row r="82" customFormat="false" ht="15" hidden="false" customHeight="false" outlineLevel="0" collapsed="false">
      <c r="A82" s="32" t="s">
        <v>188</v>
      </c>
      <c r="B82" s="32" t="s">
        <v>216</v>
      </c>
      <c r="C82" s="32" t="s">
        <v>129</v>
      </c>
      <c r="D82" s="54" t="n">
        <v>219</v>
      </c>
      <c r="E82" s="54" t="n">
        <v>192</v>
      </c>
      <c r="F82" s="65" t="n">
        <f aca="false">IF(E82="","",D82-E82)</f>
        <v>27</v>
      </c>
      <c r="G82" s="54" t="n">
        <v>259</v>
      </c>
      <c r="H82" s="54" t="n">
        <v>253</v>
      </c>
      <c r="I82" s="65" t="n">
        <f aca="false">IF(H82="","",G82-H82)</f>
        <v>6</v>
      </c>
      <c r="J82" s="55" t="n">
        <f aca="false">IF(OR(D82="",D82+G82=0),"",D82/(D82+G82))</f>
        <v>0.4581589958159</v>
      </c>
      <c r="K82" s="55" t="n">
        <f aca="false">IF(E82="","",E82/(E82+H82))</f>
        <v>0.431460674157303</v>
      </c>
      <c r="L82" s="66" t="n">
        <f aca="false">IF(OR(K82="",J82=""),"",(J82-K82)*100)</f>
        <v>2.66983216585962</v>
      </c>
      <c r="M82" s="36" t="n">
        <v>3.1224752494797</v>
      </c>
      <c r="N82" s="36" t="n">
        <v>1.82016957332208</v>
      </c>
      <c r="O82" s="36" t="n">
        <f aca="false">SQRT(M82^2+N82^2)</f>
        <v>3.61425911623126</v>
      </c>
      <c r="P82" s="55" t="n">
        <f aca="false">IF(J82="","",MAX(0,J82-1.96*O82/100))</f>
        <v>0.387319517137767</v>
      </c>
      <c r="Q82" s="55" t="n">
        <f aca="false">IF(J82="","",MIN(1,J82+1.96*O82/100))</f>
        <v>0.528998474494032</v>
      </c>
      <c r="R82" s="32" t="str">
        <f aca="false">IF(L82="","",IF(ABS(L82)&lt;=O82,"Yes","No"))</f>
        <v>Yes</v>
      </c>
      <c r="S82" s="32" t="str">
        <f aca="false">IF(L82="","",IF(ABS(L82)&lt;=1.96*O82,"Yes","No"))</f>
        <v>Yes</v>
      </c>
      <c r="T82" s="54" t="n">
        <f aca="false">IF(D82="","",ROUND(SQRT(((D82+G82)*O82/100)^2+(J82*(D82+G82)*0.07067)^2),0))</f>
        <v>23</v>
      </c>
      <c r="U82" s="32"/>
    </row>
    <row r="83" customFormat="false" ht="15" hidden="false" customHeight="false" outlineLevel="0" collapsed="false">
      <c r="A83" s="32" t="s">
        <v>188</v>
      </c>
      <c r="B83" s="32" t="s">
        <v>217</v>
      </c>
      <c r="C83" s="32" t="s">
        <v>129</v>
      </c>
      <c r="D83" s="54" t="n">
        <v>959</v>
      </c>
      <c r="E83" s="54" t="n">
        <v>967</v>
      </c>
      <c r="F83" s="65" t="n">
        <f aca="false">IF(E83="","",D83-E83)</f>
        <v>-8</v>
      </c>
      <c r="G83" s="54" t="n">
        <v>1978</v>
      </c>
      <c r="H83" s="54" t="n">
        <v>1709</v>
      </c>
      <c r="I83" s="65" t="n">
        <f aca="false">IF(H83="","",G83-H83)</f>
        <v>269</v>
      </c>
      <c r="J83" s="55" t="n">
        <f aca="false">IF(OR(D83="",D83+G83=0),"",D83/(D83+G83))</f>
        <v>0.326523663602315</v>
      </c>
      <c r="K83" s="55" t="n">
        <f aca="false">IF(E83="","",E83/(E83+H83))</f>
        <v>0.36136023916293</v>
      </c>
      <c r="L83" s="66" t="n">
        <f aca="false">IF(OR(K83="",J83=""),"",(J83-K83)*100)</f>
        <v>-3.48365755606145</v>
      </c>
      <c r="M83" s="36" t="n">
        <v>1.49078099364883</v>
      </c>
      <c r="N83" s="36" t="n">
        <v>1.82016957332208</v>
      </c>
      <c r="O83" s="36" t="n">
        <f aca="false">SQRT(M83^2+N83^2)</f>
        <v>2.35275269560404</v>
      </c>
      <c r="P83" s="55" t="n">
        <f aca="false">IF(J83="","",MAX(0,J83-1.96*O83/100))</f>
        <v>0.280409710768476</v>
      </c>
      <c r="Q83" s="55" t="n">
        <f aca="false">IF(J83="","",MIN(1,J83+1.96*O83/100))</f>
        <v>0.372637616436154</v>
      </c>
      <c r="R83" s="32" t="str">
        <f aca="false">IF(L83="","",IF(ABS(L83)&lt;=O83,"Yes","No"))</f>
        <v>No</v>
      </c>
      <c r="S83" s="32" t="str">
        <f aca="false">IF(L83="","",IF(ABS(L83)&lt;=1.96*O83,"Yes","No"))</f>
        <v>Yes</v>
      </c>
      <c r="T83" s="54" t="n">
        <f aca="false">IF(D83="","",ROUND(SQRT(((D83+G83)*O83/100)^2+(J83*(D83+G83)*0.04632)^2),0))</f>
        <v>82</v>
      </c>
      <c r="U83" s="32"/>
    </row>
    <row r="84" customFormat="false" ht="15" hidden="false" customHeight="false" outlineLevel="0" collapsed="false">
      <c r="A84" s="32" t="s">
        <v>188</v>
      </c>
      <c r="B84" s="32" t="s">
        <v>218</v>
      </c>
      <c r="C84" s="32" t="s">
        <v>129</v>
      </c>
      <c r="D84" s="54" t="n">
        <v>1400</v>
      </c>
      <c r="E84" s="54" t="n">
        <v>1261</v>
      </c>
      <c r="F84" s="65" t="n">
        <f aca="false">IF(E84="","",D84-E84)</f>
        <v>139</v>
      </c>
      <c r="G84" s="54" t="n">
        <v>1464</v>
      </c>
      <c r="H84" s="54" t="n">
        <v>1262</v>
      </c>
      <c r="I84" s="65" t="n">
        <f aca="false">IF(H84="","",G84-H84)</f>
        <v>202</v>
      </c>
      <c r="J84" s="55" t="n">
        <f aca="false">IF(OR(D84="",D84+G84=0),"",D84/(D84+G84))</f>
        <v>0.488826815642458</v>
      </c>
      <c r="K84" s="55" t="n">
        <f aca="false">IF(E84="","",E84/(E84+H84))</f>
        <v>0.499801823226318</v>
      </c>
      <c r="L84" s="66" t="n">
        <f aca="false">IF(OR(K84="",J84=""),"",(J84-K84)*100)</f>
        <v>-1.09750075838598</v>
      </c>
      <c r="M84" s="36" t="n">
        <v>1.49078099364883</v>
      </c>
      <c r="N84" s="36" t="n">
        <v>1.82016957332208</v>
      </c>
      <c r="O84" s="36" t="n">
        <f aca="false">SQRT(M84^2+N84^2)</f>
        <v>2.35275269560404</v>
      </c>
      <c r="P84" s="55" t="n">
        <f aca="false">IF(J84="","",MAX(0,J84-1.96*O84/100))</f>
        <v>0.442712862808619</v>
      </c>
      <c r="Q84" s="55" t="n">
        <f aca="false">IF(J84="","",MIN(1,J84+1.96*O84/100))</f>
        <v>0.534940768476297</v>
      </c>
      <c r="R84" s="32" t="str">
        <f aca="false">IF(L84="","",IF(ABS(L84)&lt;=O84,"Yes","No"))</f>
        <v>Yes</v>
      </c>
      <c r="S84" s="32" t="str">
        <f aca="false">IF(L84="","",IF(ABS(L84)&lt;=1.96*O84,"Yes","No"))</f>
        <v>Yes</v>
      </c>
      <c r="T84" s="54" t="n">
        <f aca="false">IF(D84="","",ROUND(SQRT(((D84+G84)*O84/100)^2+(J84*(D84+G84)*0.04632)^2),0))</f>
        <v>94</v>
      </c>
      <c r="U84" s="32"/>
    </row>
    <row r="85" customFormat="false" ht="15" hidden="false" customHeight="false" outlineLevel="0" collapsed="false">
      <c r="A85" s="32" t="s">
        <v>188</v>
      </c>
      <c r="B85" s="32" t="s">
        <v>219</v>
      </c>
      <c r="C85" s="32" t="s">
        <v>129</v>
      </c>
      <c r="D85" s="54" t="n">
        <v>269</v>
      </c>
      <c r="E85" s="54" t="n">
        <v>250</v>
      </c>
      <c r="F85" s="65" t="n">
        <f aca="false">IF(E85="","",D85-E85)</f>
        <v>19</v>
      </c>
      <c r="G85" s="54" t="n">
        <v>377</v>
      </c>
      <c r="H85" s="54" t="n">
        <v>344</v>
      </c>
      <c r="I85" s="65" t="n">
        <f aca="false">IF(H85="","",G85-H85)</f>
        <v>33</v>
      </c>
      <c r="J85" s="55" t="n">
        <f aca="false">IF(OR(D85="",D85+G85=0),"",D85/(D85+G85))</f>
        <v>0.41640866873065</v>
      </c>
      <c r="K85" s="55" t="n">
        <f aca="false">IF(E85="","",E85/(E85+H85))</f>
        <v>0.420875420875421</v>
      </c>
      <c r="L85" s="66" t="n">
        <f aca="false">IF(OR(K85="",J85=""),"",(J85-K85)*100)</f>
        <v>-0.446675214477077</v>
      </c>
      <c r="M85" s="36" t="n">
        <v>3.1224752494797</v>
      </c>
      <c r="N85" s="36" t="n">
        <v>1.82016957332208</v>
      </c>
      <c r="O85" s="36" t="n">
        <f aca="false">SQRT(M85^2+N85^2)</f>
        <v>3.61425911623126</v>
      </c>
      <c r="P85" s="55" t="n">
        <f aca="false">IF(J85="","",MAX(0,J85-1.96*O85/100))</f>
        <v>0.345569190052517</v>
      </c>
      <c r="Q85" s="55" t="n">
        <f aca="false">IF(J85="","",MIN(1,J85+1.96*O85/100))</f>
        <v>0.487248147408783</v>
      </c>
      <c r="R85" s="32" t="str">
        <f aca="false">IF(L85="","",IF(ABS(L85)&lt;=O85,"Yes","No"))</f>
        <v>Yes</v>
      </c>
      <c r="S85" s="32" t="str">
        <f aca="false">IF(L85="","",IF(ABS(L85)&lt;=1.96*O85,"Yes","No"))</f>
        <v>Yes</v>
      </c>
      <c r="T85" s="54" t="n">
        <f aca="false">IF(D85="","",ROUND(SQRT(((D85+G85)*O85/100)^2+(J85*(D85+G85)*0.07067)^2),0))</f>
        <v>30</v>
      </c>
      <c r="U85" s="32"/>
    </row>
    <row r="86" customFormat="false" ht="15" hidden="false" customHeight="false" outlineLevel="0" collapsed="false">
      <c r="A86" s="32" t="s">
        <v>188</v>
      </c>
      <c r="B86" s="32" t="s">
        <v>180</v>
      </c>
      <c r="C86" s="32" t="s">
        <v>129</v>
      </c>
      <c r="D86" s="54" t="n">
        <v>777</v>
      </c>
      <c r="E86" s="54" t="n">
        <v>724</v>
      </c>
      <c r="F86" s="65" t="n">
        <f aca="false">IF(E86="","",D86-E86)</f>
        <v>53</v>
      </c>
      <c r="G86" s="54" t="n">
        <v>1390</v>
      </c>
      <c r="H86" s="54" t="n">
        <v>1138</v>
      </c>
      <c r="I86" s="65" t="n">
        <f aca="false">IF(H86="","",G86-H86)</f>
        <v>252</v>
      </c>
      <c r="J86" s="55" t="n">
        <f aca="false">IF(OR(D86="",D86+G86=0),"",D86/(D86+G86))</f>
        <v>0.358560221504384</v>
      </c>
      <c r="K86" s="55" t="n">
        <f aca="false">IF(E86="","",E86/(E86+H86))</f>
        <v>0.388829215896885</v>
      </c>
      <c r="L86" s="66" t="n">
        <f aca="false">IF(OR(K86="",J86=""),"",(J86-K86)*100)</f>
        <v>-3.02689943925011</v>
      </c>
      <c r="M86" s="36" t="n">
        <v>2.04119841836487</v>
      </c>
      <c r="N86" s="36" t="n">
        <v>1.82016957332208</v>
      </c>
      <c r="O86" s="36" t="n">
        <f aca="false">SQRT(M86^2+N86^2)</f>
        <v>2.73486896555991</v>
      </c>
      <c r="P86" s="55" t="n">
        <f aca="false">IF(J86="","",MAX(0,J86-1.96*O86/100))</f>
        <v>0.30495678977941</v>
      </c>
      <c r="Q86" s="55" t="n">
        <f aca="false">IF(J86="","",MIN(1,J86+1.96*O86/100))</f>
        <v>0.412163653229358</v>
      </c>
      <c r="R86" s="32" t="str">
        <f aca="false">IF(L86="","",IF(ABS(L86)&lt;=O86,"Yes","No"))</f>
        <v>No</v>
      </c>
      <c r="S86" s="32" t="str">
        <f aca="false">IF(L86="","",IF(ABS(L86)&lt;=1.96*O86,"Yes","No"))</f>
        <v>Yes</v>
      </c>
      <c r="T86" s="54" t="n">
        <f aca="false">IF(D86="","",ROUND(SQRT(((D86+G86)*O86/100)^2+(J86*(D86+G86)*0.05402)^2),0))</f>
        <v>73</v>
      </c>
      <c r="U86" s="32"/>
    </row>
    <row r="87" customFormat="false" ht="15" hidden="false" customHeight="false" outlineLevel="0" collapsed="false">
      <c r="A87" s="32" t="s">
        <v>188</v>
      </c>
      <c r="B87" s="32" t="s">
        <v>220</v>
      </c>
      <c r="C87" s="32" t="s">
        <v>129</v>
      </c>
      <c r="D87" s="54" t="n">
        <v>179</v>
      </c>
      <c r="E87" s="54" t="n">
        <v>190</v>
      </c>
      <c r="F87" s="65" t="n">
        <f aca="false">IF(E87="","",D87-E87)</f>
        <v>-11</v>
      </c>
      <c r="G87" s="54" t="n">
        <v>221</v>
      </c>
      <c r="H87" s="54" t="n">
        <v>165</v>
      </c>
      <c r="I87" s="65" t="n">
        <f aca="false">IF(H87="","",G87-H87)</f>
        <v>56</v>
      </c>
      <c r="J87" s="55" t="n">
        <f aca="false">IF(OR(D87="",D87+G87=0),"",D87/(D87+G87))</f>
        <v>0.4475</v>
      </c>
      <c r="K87" s="55" t="n">
        <f aca="false">IF(E87="","",E87/(E87+H87))</f>
        <v>0.535211267605634</v>
      </c>
      <c r="L87" s="66" t="n">
        <f aca="false">IF(OR(K87="",J87=""),"",(J87-K87)*100)</f>
        <v>-8.77112676056338</v>
      </c>
      <c r="M87" s="36" t="n">
        <v>3.1224752494797</v>
      </c>
      <c r="N87" s="36" t="n">
        <v>1.82016957332208</v>
      </c>
      <c r="O87" s="36" t="n">
        <f aca="false">SQRT(M87^2+N87^2)</f>
        <v>3.61425911623126</v>
      </c>
      <c r="P87" s="55" t="n">
        <f aca="false">IF(J87="","",MAX(0,J87-1.96*O87/100))</f>
        <v>0.376660521321867</v>
      </c>
      <c r="Q87" s="55" t="n">
        <f aca="false">IF(J87="","",MIN(1,J87+1.96*O87/100))</f>
        <v>0.518339478678133</v>
      </c>
      <c r="R87" s="32" t="str">
        <f aca="false">IF(L87="","",IF(ABS(L87)&lt;=O87,"Yes","No"))</f>
        <v>No</v>
      </c>
      <c r="S87" s="32" t="str">
        <f aca="false">IF(L87="","",IF(ABS(L87)&lt;=1.96*O87,"Yes","No"))</f>
        <v>No</v>
      </c>
      <c r="T87" s="54" t="n">
        <f aca="false">IF(D87="","",ROUND(SQRT(((D87+G87)*O87/100)^2+(J87*(D87+G87)*0.07067)^2),0))</f>
        <v>19</v>
      </c>
      <c r="U87" s="32"/>
    </row>
    <row r="88" customFormat="false" ht="15" hidden="false" customHeight="false" outlineLevel="0" collapsed="false">
      <c r="A88" s="32" t="s">
        <v>188</v>
      </c>
      <c r="B88" s="32" t="s">
        <v>221</v>
      </c>
      <c r="C88" s="32" t="s">
        <v>129</v>
      </c>
      <c r="D88" s="54" t="n">
        <v>1333</v>
      </c>
      <c r="E88" s="54" t="n">
        <v>1296</v>
      </c>
      <c r="F88" s="65" t="n">
        <f aca="false">IF(E88="","",D88-E88)</f>
        <v>37</v>
      </c>
      <c r="G88" s="54" t="n">
        <v>1743</v>
      </c>
      <c r="H88" s="54" t="n">
        <v>1534</v>
      </c>
      <c r="I88" s="65" t="n">
        <f aca="false">IF(H88="","",G88-H88)</f>
        <v>209</v>
      </c>
      <c r="J88" s="55" t="n">
        <f aca="false">IF(OR(D88="",D88+G88=0),"",D88/(D88+G88))</f>
        <v>0.433355006501951</v>
      </c>
      <c r="K88" s="55" t="n">
        <f aca="false">IF(E88="","",E88/(E88+H88))</f>
        <v>0.457950530035336</v>
      </c>
      <c r="L88" s="66" t="n">
        <f aca="false">IF(OR(K88="",J88=""),"",(J88-K88)*100)</f>
        <v>-2.45955235333851</v>
      </c>
      <c r="M88" s="36" t="n">
        <v>1.49078099364883</v>
      </c>
      <c r="N88" s="36" t="n">
        <v>1.82016957332208</v>
      </c>
      <c r="O88" s="36" t="n">
        <f aca="false">SQRT(M88^2+N88^2)</f>
        <v>2.35275269560404</v>
      </c>
      <c r="P88" s="55" t="n">
        <f aca="false">IF(J88="","",MAX(0,J88-1.96*O88/100))</f>
        <v>0.387241053668111</v>
      </c>
      <c r="Q88" s="55" t="n">
        <f aca="false">IF(J88="","",MIN(1,J88+1.96*O88/100))</f>
        <v>0.47946895933579</v>
      </c>
      <c r="R88" s="32" t="str">
        <f aca="false">IF(L88="","",IF(ABS(L88)&lt;=O88,"Yes","No"))</f>
        <v>No</v>
      </c>
      <c r="S88" s="32" t="str">
        <f aca="false">IF(L88="","",IF(ABS(L88)&lt;=1.96*O88,"Yes","No"))</f>
        <v>Yes</v>
      </c>
      <c r="T88" s="54" t="n">
        <f aca="false">IF(D88="","",ROUND(SQRT(((D88+G88)*O88/100)^2+(J88*(D88+G88)*0.04632)^2),0))</f>
        <v>95</v>
      </c>
      <c r="U88" s="32"/>
    </row>
    <row r="89" customFormat="false" ht="15" hidden="false" customHeight="false" outlineLevel="0" collapsed="false">
      <c r="A89" s="32" t="s">
        <v>188</v>
      </c>
      <c r="B89" s="32" t="s">
        <v>222</v>
      </c>
      <c r="C89" s="32" t="s">
        <v>129</v>
      </c>
      <c r="D89" s="54" t="n">
        <v>1358</v>
      </c>
      <c r="E89" s="54" t="n">
        <v>1247</v>
      </c>
      <c r="F89" s="65" t="n">
        <f aca="false">IF(E89="","",D89-E89)</f>
        <v>111</v>
      </c>
      <c r="G89" s="54" t="n">
        <v>859</v>
      </c>
      <c r="H89" s="54" t="n">
        <v>810</v>
      </c>
      <c r="I89" s="65" t="n">
        <f aca="false">IF(H89="","",G89-H89)</f>
        <v>49</v>
      </c>
      <c r="J89" s="55" t="n">
        <f aca="false">IF(OR(D89="",D89+G89=0),"",D89/(D89+G89))</f>
        <v>0.612539467749211</v>
      </c>
      <c r="K89" s="55" t="n">
        <f aca="false">IF(E89="","",E89/(E89+H89))</f>
        <v>0.606222654350997</v>
      </c>
      <c r="L89" s="66" t="n">
        <f aca="false">IF(OR(K89="",J89=""),"",(J89-K89)*100)</f>
        <v>0.631681339821399</v>
      </c>
      <c r="M89" s="36" t="n">
        <v>2.04119841836487</v>
      </c>
      <c r="N89" s="36" t="n">
        <v>1.82016957332208</v>
      </c>
      <c r="O89" s="36" t="n">
        <f aca="false">SQRT(M89^2+N89^2)</f>
        <v>2.73486896555991</v>
      </c>
      <c r="P89" s="55" t="n">
        <f aca="false">IF(J89="","",MAX(0,J89-1.96*O89/100))</f>
        <v>0.558936036024236</v>
      </c>
      <c r="Q89" s="55" t="n">
        <f aca="false">IF(J89="","",MIN(1,J89+1.96*O89/100))</f>
        <v>0.666142899474185</v>
      </c>
      <c r="R89" s="32" t="str">
        <f aca="false">IF(L89="","",IF(ABS(L89)&lt;=O89,"Yes","No"))</f>
        <v>Yes</v>
      </c>
      <c r="S89" s="32" t="str">
        <f aca="false">IF(L89="","",IF(ABS(L89)&lt;=1.96*O89,"Yes","No"))</f>
        <v>Yes</v>
      </c>
      <c r="T89" s="54" t="n">
        <f aca="false">IF(D89="","",ROUND(SQRT(((D89+G89)*O89/100)^2+(J89*(D89+G89)*0.05402)^2),0))</f>
        <v>95</v>
      </c>
      <c r="U89" s="32"/>
    </row>
    <row r="90" customFormat="false" ht="15" hidden="false" customHeight="false" outlineLevel="0" collapsed="false">
      <c r="A90" s="32" t="s">
        <v>188</v>
      </c>
      <c r="B90" s="32" t="s">
        <v>223</v>
      </c>
      <c r="C90" s="32" t="s">
        <v>129</v>
      </c>
      <c r="D90" s="54" t="n">
        <v>422</v>
      </c>
      <c r="E90" s="54" t="n">
        <v>362</v>
      </c>
      <c r="F90" s="65" t="n">
        <f aca="false">IF(E90="","",D90-E90)</f>
        <v>60</v>
      </c>
      <c r="G90" s="54" t="n">
        <v>482</v>
      </c>
      <c r="H90" s="54" t="n">
        <v>437</v>
      </c>
      <c r="I90" s="65" t="n">
        <f aca="false">IF(H90="","",G90-H90)</f>
        <v>45</v>
      </c>
      <c r="J90" s="55" t="n">
        <f aca="false">IF(OR(D90="",D90+G90=0),"",D90/(D90+G90))</f>
        <v>0.466814159292035</v>
      </c>
      <c r="K90" s="55" t="n">
        <f aca="false">IF(E90="","",E90/(E90+H90))</f>
        <v>0.453066332916145</v>
      </c>
      <c r="L90" s="66" t="n">
        <f aca="false">IF(OR(K90="",J90=""),"",(J90-K90)*100)</f>
        <v>1.37478263758902</v>
      </c>
      <c r="M90" s="36" t="n">
        <v>3.1224752494797</v>
      </c>
      <c r="N90" s="36" t="n">
        <v>1.82016957332208</v>
      </c>
      <c r="O90" s="36" t="n">
        <f aca="false">SQRT(M90^2+N90^2)</f>
        <v>3.61425911623126</v>
      </c>
      <c r="P90" s="55" t="n">
        <f aca="false">IF(J90="","",MAX(0,J90-1.96*O90/100))</f>
        <v>0.395974680613903</v>
      </c>
      <c r="Q90" s="55" t="n">
        <f aca="false">IF(J90="","",MIN(1,J90+1.96*O90/100))</f>
        <v>0.537653637970168</v>
      </c>
      <c r="R90" s="32" t="str">
        <f aca="false">IF(L90="","",IF(ABS(L90)&lt;=O90,"Yes","No"))</f>
        <v>Yes</v>
      </c>
      <c r="S90" s="32" t="str">
        <f aca="false">IF(L90="","",IF(ABS(L90)&lt;=1.96*O90,"Yes","No"))</f>
        <v>Yes</v>
      </c>
      <c r="T90" s="54" t="n">
        <f aca="false">IF(D90="","",ROUND(SQRT(((D90+G90)*O90/100)^2+(J90*(D90+G90)*0.07067)^2),0))</f>
        <v>44</v>
      </c>
      <c r="U90" s="32"/>
    </row>
    <row r="92" customFormat="false" ht="15" hidden="false" customHeight="false" outlineLevel="0" collapsed="false">
      <c r="A92" s="20" t="s">
        <v>351</v>
      </c>
      <c r="B92" s="67"/>
      <c r="C92" s="67"/>
      <c r="D92" s="68" t="n">
        <f aca="false">SUMIF(E2:E90,"&lt;&gt;",D2:D90)</f>
        <v>143809</v>
      </c>
      <c r="E92" s="68" t="n">
        <f aca="false">SUM(E2:E90)</f>
        <v>139992</v>
      </c>
      <c r="F92" s="69" t="n">
        <f aca="false">D92-E92</f>
        <v>3817</v>
      </c>
      <c r="G92" s="68" t="n">
        <f aca="false">SUMIF(H2:H90,"&lt;&gt;",G2:G90)</f>
        <v>134946</v>
      </c>
      <c r="H92" s="68" t="n">
        <f aca="false">SUM(H2:H90)</f>
        <v>122296</v>
      </c>
      <c r="I92" s="69" t="n">
        <f aca="false">G92-H92</f>
        <v>12650</v>
      </c>
      <c r="J92" s="70" t="n">
        <f aca="false">D92/(D92+G92)</f>
        <v>0.515897472691073</v>
      </c>
      <c r="K92" s="70" t="n">
        <f aca="false">E92/(E92+H92)</f>
        <v>0.533733910815592</v>
      </c>
      <c r="L92" s="71" t="n">
        <f aca="false">(J92-K92)*100</f>
        <v>-1.78364381245193</v>
      </c>
      <c r="M92" s="72" t="n">
        <v>0</v>
      </c>
      <c r="N92" s="72" t="n">
        <v>1.82016957332208</v>
      </c>
      <c r="O92" s="72" t="n">
        <f aca="false">SQRT(M92^2+N92^2)</f>
        <v>1.82016957332208</v>
      </c>
      <c r="P92" s="70" t="n">
        <f aca="false">J92-1.96*O92/100</f>
        <v>0.48022214905396</v>
      </c>
      <c r="Q92" s="70" t="n">
        <f aca="false">J92+1.96*O92/100</f>
        <v>0.551572796328186</v>
      </c>
      <c r="R92" s="67" t="str">
        <f aca="false">IF(ABS(L92)&lt;=O92,"Yes","No")</f>
        <v>Yes</v>
      </c>
      <c r="S92" s="67" t="str">
        <f aca="false">IF(ABS(L92)&lt;=1.96*O92,"Yes","No")</f>
        <v>Yes</v>
      </c>
      <c r="T92" s="68" t="n">
        <f aca="false">ROUND(SQRT(((D92+G92)*O92/100)^2+(J92*(D92+G92)*0.035)^2),0)</f>
        <v>7147</v>
      </c>
    </row>
    <row r="93" customFormat="false" ht="15" hidden="false" customHeight="false" outlineLevel="0" collapsed="false">
      <c r="A93" s="20" t="s">
        <v>352</v>
      </c>
      <c r="B93" s="67"/>
      <c r="C93" s="67"/>
      <c r="D93" s="68" t="n">
        <f aca="false">SUM(D2:D90)</f>
        <v>143809</v>
      </c>
      <c r="E93" s="68"/>
      <c r="F93" s="69"/>
      <c r="G93" s="68" t="n">
        <f aca="false">SUM(G2:G90)</f>
        <v>134946</v>
      </c>
      <c r="H93" s="68"/>
      <c r="I93" s="69"/>
      <c r="J93" s="70" t="n">
        <f aca="false">D93/(D93+G93)</f>
        <v>0.515897472691073</v>
      </c>
      <c r="K93" s="70"/>
      <c r="L93" s="71"/>
      <c r="M93" s="72"/>
      <c r="N93" s="72"/>
      <c r="O93" s="72"/>
      <c r="P93" s="70"/>
      <c r="Q93" s="70"/>
      <c r="R93" s="67"/>
      <c r="S93" s="67"/>
      <c r="T93" s="68"/>
    </row>
    <row r="95" customFormat="false" ht="15" hidden="false" customHeight="false" outlineLevel="0" collapsed="false">
      <c r="A95" s="2" t="s">
        <v>353</v>
      </c>
      <c r="F95" s="73" t="n">
        <f aca="false">(SUMIF(F2:F90,"&gt;0")-SUMIF(F2:F90,"&lt;0"))/COUNT(F2:F90)</f>
        <v>105.584269662921</v>
      </c>
    </row>
    <row r="96" customFormat="false" ht="15" hidden="false" customHeight="false" outlineLevel="0" collapsed="false">
      <c r="A96" s="2" t="s">
        <v>354</v>
      </c>
      <c r="F96" s="73" t="n">
        <f aca="false">(SUMIF(I2:I90,"&gt;0")-SUMIF(I2:I90,"&lt;0"))/COUNT(I2:I90)</f>
        <v>148.022471910112</v>
      </c>
    </row>
    <row r="97" customFormat="false" ht="15" hidden="false" customHeight="false" outlineLevel="0" collapsed="false">
      <c r="A97" s="2" t="s">
        <v>355</v>
      </c>
      <c r="F97" s="74" t="n">
        <f aca="false">(SUMIF(L2:L90,"&gt;0")-SUMIF(L2:L90,"&lt;0"))/COUNT(L2:L90)</f>
        <v>3.29491156298243</v>
      </c>
    </row>
    <row r="98" customFormat="false" ht="15" hidden="false" customHeight="false" outlineLevel="0" collapsed="false">
      <c r="A98" s="5" t="s">
        <v>356</v>
      </c>
      <c r="F98" s="75" t="n">
        <f aca="false">SQRT(SUMSQ(L2:L90)/COUNT(L2:L90))</f>
        <v>4.27083815948522</v>
      </c>
    </row>
    <row r="99" customFormat="false" ht="15" hidden="false" customHeight="false" outlineLevel="0" collapsed="false">
      <c r="A99" s="5" t="s">
        <v>357</v>
      </c>
      <c r="F99" s="76" t="n">
        <f aca="false">L92</f>
        <v>-1.78364381245193</v>
      </c>
    </row>
    <row r="100" customFormat="false" ht="15" hidden="false" customHeight="false" outlineLevel="0" collapsed="false">
      <c r="A100" s="5" t="s">
        <v>358</v>
      </c>
      <c r="F100" s="75" t="n">
        <f aca="false">SQRT((SUMSQ(L2:L90)-2*L92*SUM(L2:L90)+COUNT(L2:L90)*L92^2)/COUNT(L2:L90))</f>
        <v>3.4892275154877</v>
      </c>
    </row>
    <row r="101" customFormat="false" ht="15" hidden="false" customHeight="false" outlineLevel="0" collapsed="false">
      <c r="A101" s="2" t="s">
        <v>359</v>
      </c>
      <c r="F101" s="77" t="n">
        <f aca="false">D92/E92-1</f>
        <v>0.0272658437625006</v>
      </c>
    </row>
    <row r="102" customFormat="false" ht="15" hidden="false" customHeight="false" outlineLevel="0" collapsed="false">
      <c r="A102" s="5" t="s">
        <v>360</v>
      </c>
      <c r="F102" s="78" t="n">
        <f aca="false">G92/H92-1</f>
        <v>0.103437561326617</v>
      </c>
    </row>
    <row r="103" customFormat="false" ht="15" hidden="false" customHeight="false" outlineLevel="0" collapsed="false">
      <c r="A103" s="2" t="s">
        <v>361</v>
      </c>
      <c r="F103" s="77" t="n">
        <f aca="false">(D92+G92)/(E92+H92)-1</f>
        <v>0.0627821326175806</v>
      </c>
    </row>
    <row r="104" customFormat="false" ht="15" hidden="false" customHeight="false" outlineLevel="0" collapsed="false">
      <c r="A104" s="2" t="s">
        <v>362</v>
      </c>
      <c r="F104" s="74" t="n">
        <f aca="false">AVERAGE(O2:O90)</f>
        <v>2.90248937478985</v>
      </c>
    </row>
    <row r="105" customFormat="false" ht="15" hidden="false" customHeight="false" outlineLevel="0" collapsed="false">
      <c r="A105" s="5" t="s">
        <v>363</v>
      </c>
      <c r="F105" s="79" t="n">
        <f aca="false">COUNTIF(R2:R90,"Yes")/(COUNTIF(R2:R90,"Yes")+COUNTIF(R2:R90,"No"))</f>
        <v>0.528089887640449</v>
      </c>
    </row>
    <row r="106" customFormat="false" ht="15" hidden="false" customHeight="false" outlineLevel="0" collapsed="false">
      <c r="A106" s="5" t="s">
        <v>364</v>
      </c>
      <c r="F106" s="79" t="n">
        <f aca="false">COUNTIF(S2:S90,"Yes")/(COUNTIF(S2:S90,"Yes")+COUNTIF(S2:S90,"No"))</f>
        <v>0.775280898876405</v>
      </c>
    </row>
    <row r="107" customFormat="false" ht="15" hidden="false" customHeight="false" outlineLevel="0" collapsed="false">
      <c r="A107" s="2" t="s">
        <v>365</v>
      </c>
      <c r="F107" s="80" t="n">
        <f aca="false">COUNTIFS(L2:L90,"&gt;=-3",L2:L90,"&lt;=3")/COUNT(L2:L90)</f>
        <v>0.550561797752809</v>
      </c>
    </row>
    <row r="108" customFormat="false" ht="15" hidden="false" customHeight="false" outlineLevel="0" collapsed="false">
      <c r="A108" s="2" t="s">
        <v>409</v>
      </c>
      <c r="F108" s="81" t="n">
        <f aca="false">COUNT(E2:E90)</f>
        <v>89</v>
      </c>
    </row>
    <row r="109" customFormat="false" ht="15" hidden="false" customHeight="false" outlineLevel="0" collapsed="false">
      <c r="A109" s="2" t="s">
        <v>367</v>
      </c>
      <c r="F109" s="81" t="n">
        <f aca="false">COUNTA(A2:A90)</f>
        <v>89</v>
      </c>
    </row>
    <row r="111" customFormat="false" ht="15" hidden="false" customHeight="false" outlineLevel="0" collapsed="false">
      <c r="U111" s="5" t="s">
        <v>104</v>
      </c>
    </row>
    <row r="112" customFormat="false" ht="41.75" hidden="false" customHeight="false" outlineLevel="0" collapsed="false">
      <c r="U112" s="64" t="s">
        <v>410</v>
      </c>
    </row>
    <row r="113" customFormat="false" ht="41.75" hidden="false" customHeight="false" outlineLevel="0" collapsed="false">
      <c r="U113" s="64" t="s">
        <v>411</v>
      </c>
    </row>
    <row r="114" customFormat="false" ht="41.75" hidden="false" customHeight="false" outlineLevel="0" collapsed="false">
      <c r="U114" s="64" t="s">
        <v>378</v>
      </c>
    </row>
    <row r="115" customFormat="false" ht="28.35" hidden="false" customHeight="false" outlineLevel="0" collapsed="false">
      <c r="U115" s="64" t="s">
        <v>413</v>
      </c>
    </row>
    <row r="116" customFormat="false" ht="28.35" hidden="false" customHeight="false" outlineLevel="0" collapsed="false">
      <c r="U116" s="64" t="s">
        <v>414</v>
      </c>
    </row>
    <row r="117" customFormat="false" ht="28.35" hidden="false" customHeight="false" outlineLevel="0" collapsed="false">
      <c r="U117" s="64" t="s">
        <v>415</v>
      </c>
    </row>
    <row r="118" customFormat="false" ht="28.35" hidden="false" customHeight="false" outlineLevel="0" collapsed="false">
      <c r="U118" s="64" t="s">
        <v>374</v>
      </c>
    </row>
    <row r="119" customFormat="false" ht="41.75" hidden="false" customHeight="false" outlineLevel="0" collapsed="false">
      <c r="U119" s="64" t="s">
        <v>416</v>
      </c>
    </row>
    <row r="120" customFormat="false" ht="15" hidden="false" customHeight="false" outlineLevel="0" collapsed="false">
      <c r="U120" s="64" t="s">
        <v>417</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82" t="s">
        <v>419</v>
      </c>
    </row>
    <row r="2" customFormat="false" ht="82.05" hidden="false" customHeight="false" outlineLevel="0" collapsed="false">
      <c r="A2" s="64" t="s">
        <v>420</v>
      </c>
    </row>
    <row r="3" customFormat="false" ht="55.2" hidden="false" customHeight="false" outlineLevel="0" collapsed="false">
      <c r="A3" s="64" t="s">
        <v>421</v>
      </c>
    </row>
    <row r="4" customFormat="false" ht="15" hidden="false" customHeight="false" outlineLevel="0" collapsed="false">
      <c r="A4" s="64"/>
    </row>
    <row r="5" customFormat="false" ht="15" hidden="false" customHeight="false" outlineLevel="0" collapsed="false">
      <c r="A5" s="82" t="s">
        <v>422</v>
      </c>
    </row>
    <row r="6" customFormat="false" ht="28.35" hidden="false" customHeight="false" outlineLevel="0" collapsed="false">
      <c r="A6" s="64" t="s">
        <v>423</v>
      </c>
    </row>
    <row r="7" customFormat="false" ht="28.35" hidden="false" customHeight="false" outlineLevel="0" collapsed="false">
      <c r="A7" s="64" t="s">
        <v>424</v>
      </c>
    </row>
    <row r="8" customFormat="false" ht="28.35" hidden="false" customHeight="false" outlineLevel="0" collapsed="false">
      <c r="A8" s="64" t="s">
        <v>425</v>
      </c>
    </row>
    <row r="9" customFormat="false" ht="41.75" hidden="false" customHeight="false" outlineLevel="0" collapsed="false">
      <c r="A9" s="64" t="s">
        <v>426</v>
      </c>
    </row>
    <row r="10" customFormat="false" ht="28.35" hidden="false" customHeight="false" outlineLevel="0" collapsed="false">
      <c r="A10" s="64" t="s">
        <v>427</v>
      </c>
    </row>
    <row r="11" customFormat="false" ht="41.75" hidden="false" customHeight="false" outlineLevel="0" collapsed="false">
      <c r="A11" s="64" t="s">
        <v>428</v>
      </c>
    </row>
    <row r="12" customFormat="false" ht="15" hidden="false" customHeight="false" outlineLevel="0" collapsed="false">
      <c r="A12" s="64"/>
    </row>
    <row r="13" customFormat="false" ht="15" hidden="false" customHeight="false" outlineLevel="0" collapsed="false">
      <c r="A13" s="82" t="s">
        <v>429</v>
      </c>
    </row>
    <row r="14" customFormat="false" ht="41.75" hidden="false" customHeight="false" outlineLevel="0" collapsed="false">
      <c r="A14" s="64" t="s">
        <v>430</v>
      </c>
    </row>
    <row r="15" customFormat="false" ht="28.35" hidden="false" customHeight="false" outlineLevel="0" collapsed="false">
      <c r="A15" s="64" t="s">
        <v>431</v>
      </c>
    </row>
    <row r="16" customFormat="false" ht="15" hidden="false" customHeight="false" outlineLevel="0" collapsed="false">
      <c r="A16" s="64"/>
    </row>
    <row r="17" customFormat="false" ht="15" hidden="false" customHeight="false" outlineLevel="0" collapsed="false">
      <c r="A17" s="82" t="s">
        <v>432</v>
      </c>
    </row>
    <row r="18" customFormat="false" ht="28.35" hidden="false" customHeight="false" outlineLevel="0" collapsed="false">
      <c r="A18" s="64" t="s">
        <v>433</v>
      </c>
    </row>
    <row r="19" customFormat="false" ht="15" hidden="false" customHeight="false" outlineLevel="0" collapsed="false">
      <c r="A19" s="64"/>
    </row>
    <row r="20" customFormat="false" ht="15" hidden="false" customHeight="false" outlineLevel="0" collapsed="false">
      <c r="A20" s="82" t="s">
        <v>434</v>
      </c>
    </row>
    <row r="21" customFormat="false" ht="28.35" hidden="false" customHeight="false" outlineLevel="0" collapsed="false">
      <c r="A21" s="64" t="s">
        <v>435</v>
      </c>
    </row>
    <row r="22" customFormat="false" ht="28.35" hidden="false" customHeight="false" outlineLevel="0" collapsed="false">
      <c r="A22" s="64" t="s">
        <v>436</v>
      </c>
    </row>
    <row r="23" customFormat="false" ht="15" hidden="false" customHeight="false" outlineLevel="0" collapsed="false">
      <c r="A23" s="64" t="s">
        <v>437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2026-10-05T22:26:39Z</dcterms:created>
  <dc:creator>openpyxl</dc:creator>
  <dc:description/>
  <dc:language>en-US</dc:language>
  <cp:lastModifiedBy/>
  <dcterms:modified xsi:type="dcterms:W3CDTF">2026-10-05T22:26:40Z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